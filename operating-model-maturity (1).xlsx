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ath\Documents\momma\"/>
    </mc:Choice>
  </mc:AlternateContent>
  <xr:revisionPtr revIDLastSave="0" documentId="13_ncr:1_{04ED0F28-1D88-491B-A536-C0E6C89FDB99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تعليمات" sheetId="1" r:id="rId1"/>
    <sheet name="الإدخال والحساب" sheetId="2" r:id="rId2"/>
    <sheet name="النتائج" sheetId="3" r:id="rId3"/>
    <sheet name="المرجع" sheetId="4" r:id="rId4"/>
  </sheets>
  <definedNames>
    <definedName name="_xlnm._FilterDatabase" localSheetId="1" hidden="1">'الإدخال والحساب'!$A$1:$I$289</definedName>
    <definedName name="_xlnm._FilterDatabase" localSheetId="2" hidden="1">النتائج!$A$1:$F$49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F7" i="3" s="1"/>
  <c r="E6" i="3"/>
  <c r="F6" i="3" s="1"/>
  <c r="E5" i="3"/>
  <c r="F5" i="3" s="1"/>
  <c r="E4" i="3"/>
  <c r="F4" i="3" s="1"/>
  <c r="E3" i="3"/>
  <c r="F3" i="3" s="1"/>
  <c r="E2" i="3"/>
  <c r="F2" i="3" s="1"/>
  <c r="G289" i="2"/>
  <c r="I289" i="2" s="1"/>
  <c r="G288" i="2"/>
  <c r="I288" i="2" s="1"/>
  <c r="G287" i="2"/>
  <c r="I287" i="2" s="1"/>
  <c r="G286" i="2"/>
  <c r="I286" i="2" s="1"/>
  <c r="G285" i="2"/>
  <c r="I285" i="2" s="1"/>
  <c r="G284" i="2"/>
  <c r="I284" i="2" s="1"/>
  <c r="G283" i="2"/>
  <c r="I283" i="2" s="1"/>
  <c r="G282" i="2"/>
  <c r="I282" i="2" s="1"/>
  <c r="G281" i="2"/>
  <c r="I281" i="2" s="1"/>
  <c r="G280" i="2"/>
  <c r="I280" i="2" s="1"/>
  <c r="G279" i="2"/>
  <c r="I279" i="2" s="1"/>
  <c r="G278" i="2"/>
  <c r="I278" i="2" s="1"/>
  <c r="H277" i="2"/>
  <c r="G277" i="2"/>
  <c r="I277" i="2" s="1"/>
  <c r="H276" i="2"/>
  <c r="G276" i="2"/>
  <c r="I276" i="2" s="1"/>
  <c r="H275" i="2"/>
  <c r="G275" i="2"/>
  <c r="I275" i="2" s="1"/>
  <c r="H274" i="2"/>
  <c r="G274" i="2"/>
  <c r="I274" i="2" s="1"/>
  <c r="H273" i="2"/>
  <c r="G273" i="2"/>
  <c r="I273" i="2" s="1"/>
  <c r="H272" i="2"/>
  <c r="G272" i="2"/>
  <c r="I272" i="2" s="1"/>
  <c r="G271" i="2"/>
  <c r="I271" i="2" s="1"/>
  <c r="G270" i="2"/>
  <c r="I270" i="2" s="1"/>
  <c r="G269" i="2"/>
  <c r="I269" i="2" s="1"/>
  <c r="G268" i="2"/>
  <c r="I268" i="2" s="1"/>
  <c r="G267" i="2"/>
  <c r="I267" i="2" s="1"/>
  <c r="G266" i="2"/>
  <c r="I266" i="2" s="1"/>
  <c r="G265" i="2"/>
  <c r="I265" i="2" s="1"/>
  <c r="G264" i="2"/>
  <c r="I264" i="2" s="1"/>
  <c r="G263" i="2"/>
  <c r="I263" i="2" s="1"/>
  <c r="G262" i="2"/>
  <c r="I262" i="2" s="1"/>
  <c r="G261" i="2"/>
  <c r="I261" i="2" s="1"/>
  <c r="G260" i="2"/>
  <c r="I260" i="2" s="1"/>
  <c r="H259" i="2"/>
  <c r="G259" i="2"/>
  <c r="I259" i="2" s="1"/>
  <c r="H258" i="2"/>
  <c r="G258" i="2"/>
  <c r="I258" i="2" s="1"/>
  <c r="H257" i="2"/>
  <c r="G257" i="2"/>
  <c r="I257" i="2" s="1"/>
  <c r="H256" i="2"/>
  <c r="G256" i="2"/>
  <c r="I256" i="2" s="1"/>
  <c r="H255" i="2"/>
  <c r="G255" i="2"/>
  <c r="I255" i="2" s="1"/>
  <c r="H254" i="2"/>
  <c r="G254" i="2"/>
  <c r="I254" i="2" s="1"/>
  <c r="G253" i="2"/>
  <c r="I253" i="2" s="1"/>
  <c r="G252" i="2"/>
  <c r="I252" i="2" s="1"/>
  <c r="G251" i="2"/>
  <c r="I251" i="2" s="1"/>
  <c r="G250" i="2"/>
  <c r="I250" i="2" s="1"/>
  <c r="G249" i="2"/>
  <c r="I249" i="2" s="1"/>
  <c r="E43" i="3" s="1"/>
  <c r="F43" i="3" s="1"/>
  <c r="G248" i="2"/>
  <c r="I248" i="2" s="1"/>
  <c r="G247" i="2"/>
  <c r="I247" i="2" s="1"/>
  <c r="G246" i="2"/>
  <c r="I246" i="2" s="1"/>
  <c r="G245" i="2"/>
  <c r="I245" i="2" s="1"/>
  <c r="G244" i="2"/>
  <c r="I244" i="2" s="1"/>
  <c r="G243" i="2"/>
  <c r="I243" i="2" s="1"/>
  <c r="G242" i="2"/>
  <c r="I242" i="2" s="1"/>
  <c r="H241" i="2"/>
  <c r="G241" i="2"/>
  <c r="I241" i="2" s="1"/>
  <c r="H240" i="2"/>
  <c r="G240" i="2"/>
  <c r="I240" i="2" s="1"/>
  <c r="H239" i="2"/>
  <c r="G239" i="2"/>
  <c r="I239" i="2" s="1"/>
  <c r="H238" i="2"/>
  <c r="G238" i="2"/>
  <c r="I238" i="2" s="1"/>
  <c r="H237" i="2"/>
  <c r="G237" i="2"/>
  <c r="I237" i="2" s="1"/>
  <c r="H236" i="2"/>
  <c r="G236" i="2"/>
  <c r="I236" i="2" s="1"/>
  <c r="G235" i="2"/>
  <c r="I235" i="2" s="1"/>
  <c r="G234" i="2"/>
  <c r="I234" i="2" s="1"/>
  <c r="G233" i="2"/>
  <c r="I233" i="2" s="1"/>
  <c r="G232" i="2"/>
  <c r="I232" i="2" s="1"/>
  <c r="G231" i="2"/>
  <c r="I231" i="2" s="1"/>
  <c r="G230" i="2"/>
  <c r="I230" i="2" s="1"/>
  <c r="G229" i="2"/>
  <c r="I229" i="2" s="1"/>
  <c r="G228" i="2"/>
  <c r="I228" i="2" s="1"/>
  <c r="G227" i="2"/>
  <c r="I227" i="2" s="1"/>
  <c r="G226" i="2"/>
  <c r="I226" i="2" s="1"/>
  <c r="G225" i="2"/>
  <c r="I225" i="2" s="1"/>
  <c r="G224" i="2"/>
  <c r="I224" i="2" s="1"/>
  <c r="H223" i="2"/>
  <c r="G223" i="2"/>
  <c r="I223" i="2" s="1"/>
  <c r="H222" i="2"/>
  <c r="G222" i="2"/>
  <c r="I222" i="2" s="1"/>
  <c r="H221" i="2"/>
  <c r="G221" i="2"/>
  <c r="I221" i="2" s="1"/>
  <c r="H220" i="2"/>
  <c r="G220" i="2"/>
  <c r="I220" i="2" s="1"/>
  <c r="H219" i="2"/>
  <c r="G219" i="2"/>
  <c r="I219" i="2" s="1"/>
  <c r="H218" i="2"/>
  <c r="G218" i="2"/>
  <c r="I218" i="2" s="1"/>
  <c r="G217" i="2"/>
  <c r="I217" i="2" s="1"/>
  <c r="G216" i="2"/>
  <c r="I216" i="2" s="1"/>
  <c r="G215" i="2"/>
  <c r="I215" i="2" s="1"/>
  <c r="G214" i="2"/>
  <c r="I214" i="2" s="1"/>
  <c r="G213" i="2"/>
  <c r="I213" i="2" s="1"/>
  <c r="G212" i="2"/>
  <c r="I212" i="2" s="1"/>
  <c r="G211" i="2"/>
  <c r="I211" i="2" s="1"/>
  <c r="G210" i="2"/>
  <c r="I210" i="2" s="1"/>
  <c r="G209" i="2"/>
  <c r="I209" i="2" s="1"/>
  <c r="G208" i="2"/>
  <c r="I208" i="2" s="1"/>
  <c r="G207" i="2"/>
  <c r="I207" i="2" s="1"/>
  <c r="G206" i="2"/>
  <c r="I206" i="2" s="1"/>
  <c r="H205" i="2"/>
  <c r="G205" i="2"/>
  <c r="I205" i="2" s="1"/>
  <c r="H204" i="2"/>
  <c r="G204" i="2"/>
  <c r="I204" i="2" s="1"/>
  <c r="H203" i="2"/>
  <c r="G203" i="2"/>
  <c r="I203" i="2" s="1"/>
  <c r="H202" i="2"/>
  <c r="G202" i="2"/>
  <c r="I202" i="2" s="1"/>
  <c r="H201" i="2"/>
  <c r="G201" i="2"/>
  <c r="I201" i="2" s="1"/>
  <c r="H200" i="2"/>
  <c r="G200" i="2"/>
  <c r="I200" i="2" s="1"/>
  <c r="G199" i="2"/>
  <c r="I199" i="2" s="1"/>
  <c r="G198" i="2"/>
  <c r="I198" i="2" s="1"/>
  <c r="G197" i="2"/>
  <c r="I197" i="2" s="1"/>
  <c r="G196" i="2"/>
  <c r="I196" i="2" s="1"/>
  <c r="G195" i="2"/>
  <c r="I195" i="2" s="1"/>
  <c r="E34" i="3" s="1"/>
  <c r="F34" i="3" s="1"/>
  <c r="G194" i="2"/>
  <c r="I194" i="2" s="1"/>
  <c r="G193" i="2"/>
  <c r="I193" i="2" s="1"/>
  <c r="G192" i="2"/>
  <c r="I192" i="2" s="1"/>
  <c r="G191" i="2"/>
  <c r="I191" i="2" s="1"/>
  <c r="G190" i="2"/>
  <c r="I190" i="2" s="1"/>
  <c r="G189" i="2"/>
  <c r="I189" i="2" s="1"/>
  <c r="G188" i="2"/>
  <c r="I188" i="2" s="1"/>
  <c r="H187" i="2"/>
  <c r="G187" i="2"/>
  <c r="I187" i="2" s="1"/>
  <c r="H186" i="2"/>
  <c r="G186" i="2"/>
  <c r="I186" i="2" s="1"/>
  <c r="H185" i="2"/>
  <c r="G185" i="2"/>
  <c r="I185" i="2" s="1"/>
  <c r="H184" i="2"/>
  <c r="G184" i="2"/>
  <c r="I184" i="2" s="1"/>
  <c r="H183" i="2"/>
  <c r="G183" i="2"/>
  <c r="I183" i="2" s="1"/>
  <c r="I182" i="2"/>
  <c r="H182" i="2"/>
  <c r="G182" i="2"/>
  <c r="G181" i="2"/>
  <c r="I181" i="2" s="1"/>
  <c r="G180" i="2"/>
  <c r="I180" i="2" s="1"/>
  <c r="G179" i="2"/>
  <c r="I179" i="2" s="1"/>
  <c r="G178" i="2"/>
  <c r="I178" i="2" s="1"/>
  <c r="G177" i="2"/>
  <c r="I177" i="2" s="1"/>
  <c r="G176" i="2"/>
  <c r="I176" i="2" s="1"/>
  <c r="G175" i="2"/>
  <c r="I175" i="2" s="1"/>
  <c r="G174" i="2"/>
  <c r="I174" i="2" s="1"/>
  <c r="G173" i="2"/>
  <c r="I173" i="2" s="1"/>
  <c r="G172" i="2"/>
  <c r="I172" i="2" s="1"/>
  <c r="G171" i="2"/>
  <c r="I171" i="2" s="1"/>
  <c r="G170" i="2"/>
  <c r="I170" i="2" s="1"/>
  <c r="H169" i="2"/>
  <c r="G169" i="2"/>
  <c r="I169" i="2" s="1"/>
  <c r="H168" i="2"/>
  <c r="G168" i="2"/>
  <c r="I168" i="2" s="1"/>
  <c r="H167" i="2"/>
  <c r="G167" i="2"/>
  <c r="I167" i="2" s="1"/>
  <c r="H166" i="2"/>
  <c r="G166" i="2"/>
  <c r="I166" i="2" s="1"/>
  <c r="H165" i="2"/>
  <c r="G165" i="2"/>
  <c r="I165" i="2" s="1"/>
  <c r="H164" i="2"/>
  <c r="G164" i="2"/>
  <c r="I164" i="2" s="1"/>
  <c r="G163" i="2"/>
  <c r="I163" i="2" s="1"/>
  <c r="G162" i="2"/>
  <c r="I162" i="2" s="1"/>
  <c r="G161" i="2"/>
  <c r="I161" i="2" s="1"/>
  <c r="G160" i="2"/>
  <c r="I160" i="2" s="1"/>
  <c r="G159" i="2"/>
  <c r="I159" i="2" s="1"/>
  <c r="G158" i="2"/>
  <c r="I158" i="2" s="1"/>
  <c r="G157" i="2"/>
  <c r="I157" i="2" s="1"/>
  <c r="G156" i="2"/>
  <c r="I156" i="2" s="1"/>
  <c r="G155" i="2"/>
  <c r="I155" i="2" s="1"/>
  <c r="G154" i="2"/>
  <c r="I154" i="2" s="1"/>
  <c r="G153" i="2"/>
  <c r="I153" i="2" s="1"/>
  <c r="G152" i="2"/>
  <c r="I152" i="2" s="1"/>
  <c r="H151" i="2"/>
  <c r="G151" i="2"/>
  <c r="I151" i="2" s="1"/>
  <c r="H150" i="2"/>
  <c r="G150" i="2"/>
  <c r="I150" i="2" s="1"/>
  <c r="H149" i="2"/>
  <c r="G149" i="2"/>
  <c r="I149" i="2" s="1"/>
  <c r="H148" i="2"/>
  <c r="G148" i="2"/>
  <c r="I148" i="2" s="1"/>
  <c r="H147" i="2"/>
  <c r="G147" i="2"/>
  <c r="I147" i="2" s="1"/>
  <c r="H146" i="2"/>
  <c r="G146" i="2"/>
  <c r="I146" i="2" s="1"/>
  <c r="G145" i="2"/>
  <c r="I145" i="2" s="1"/>
  <c r="G144" i="2"/>
  <c r="I144" i="2" s="1"/>
  <c r="G143" i="2"/>
  <c r="I143" i="2" s="1"/>
  <c r="G142" i="2"/>
  <c r="I142" i="2" s="1"/>
  <c r="G141" i="2"/>
  <c r="I141" i="2" s="1"/>
  <c r="G140" i="2"/>
  <c r="I140" i="2" s="1"/>
  <c r="G139" i="2"/>
  <c r="I139" i="2" s="1"/>
  <c r="G138" i="2"/>
  <c r="I138" i="2" s="1"/>
  <c r="G137" i="2"/>
  <c r="I137" i="2" s="1"/>
  <c r="G136" i="2"/>
  <c r="I136" i="2" s="1"/>
  <c r="G135" i="2"/>
  <c r="I135" i="2" s="1"/>
  <c r="G134" i="2"/>
  <c r="I134" i="2" s="1"/>
  <c r="H133" i="2"/>
  <c r="G133" i="2"/>
  <c r="I133" i="2" s="1"/>
  <c r="H132" i="2"/>
  <c r="G132" i="2"/>
  <c r="I132" i="2" s="1"/>
  <c r="H131" i="2"/>
  <c r="G131" i="2"/>
  <c r="I131" i="2" s="1"/>
  <c r="H130" i="2"/>
  <c r="G130" i="2"/>
  <c r="I130" i="2" s="1"/>
  <c r="H129" i="2"/>
  <c r="G129" i="2"/>
  <c r="I129" i="2" s="1"/>
  <c r="H128" i="2"/>
  <c r="G128" i="2"/>
  <c r="I128" i="2" s="1"/>
  <c r="G127" i="2"/>
  <c r="I127" i="2" s="1"/>
  <c r="G126" i="2"/>
  <c r="I126" i="2" s="1"/>
  <c r="G125" i="2"/>
  <c r="I125" i="2" s="1"/>
  <c r="G124" i="2"/>
  <c r="I124" i="2" s="1"/>
  <c r="G123" i="2"/>
  <c r="I123" i="2" s="1"/>
  <c r="G122" i="2"/>
  <c r="I122" i="2" s="1"/>
  <c r="G121" i="2"/>
  <c r="I121" i="2" s="1"/>
  <c r="G120" i="2"/>
  <c r="I120" i="2" s="1"/>
  <c r="G119" i="2"/>
  <c r="I119" i="2" s="1"/>
  <c r="G118" i="2"/>
  <c r="I118" i="2" s="1"/>
  <c r="G117" i="2"/>
  <c r="I117" i="2" s="1"/>
  <c r="G116" i="2"/>
  <c r="I116" i="2" s="1"/>
  <c r="H115" i="2"/>
  <c r="G115" i="2"/>
  <c r="I115" i="2" s="1"/>
  <c r="H114" i="2"/>
  <c r="G114" i="2"/>
  <c r="I114" i="2" s="1"/>
  <c r="H113" i="2"/>
  <c r="G113" i="2"/>
  <c r="I113" i="2" s="1"/>
  <c r="H112" i="2"/>
  <c r="G112" i="2"/>
  <c r="I112" i="2" s="1"/>
  <c r="H111" i="2"/>
  <c r="G111" i="2"/>
  <c r="I111" i="2" s="1"/>
  <c r="H110" i="2"/>
  <c r="G110" i="2"/>
  <c r="I110" i="2" s="1"/>
  <c r="G109" i="2"/>
  <c r="I109" i="2" s="1"/>
  <c r="G108" i="2"/>
  <c r="I108" i="2" s="1"/>
  <c r="G107" i="2"/>
  <c r="I107" i="2" s="1"/>
  <c r="G106" i="2"/>
  <c r="I106" i="2" s="1"/>
  <c r="G105" i="2"/>
  <c r="I105" i="2" s="1"/>
  <c r="G104" i="2"/>
  <c r="I104" i="2" s="1"/>
  <c r="G103" i="2"/>
  <c r="I103" i="2" s="1"/>
  <c r="G102" i="2"/>
  <c r="I102" i="2" s="1"/>
  <c r="G101" i="2"/>
  <c r="I101" i="2" s="1"/>
  <c r="G100" i="2"/>
  <c r="I100" i="2" s="1"/>
  <c r="G99" i="2"/>
  <c r="I99" i="2" s="1"/>
  <c r="G98" i="2"/>
  <c r="I98" i="2" s="1"/>
  <c r="H97" i="2"/>
  <c r="G97" i="2"/>
  <c r="I97" i="2" s="1"/>
  <c r="H96" i="2"/>
  <c r="G96" i="2"/>
  <c r="I96" i="2" s="1"/>
  <c r="H95" i="2"/>
  <c r="G95" i="2"/>
  <c r="I95" i="2" s="1"/>
  <c r="H94" i="2"/>
  <c r="G94" i="2"/>
  <c r="I94" i="2" s="1"/>
  <c r="H93" i="2"/>
  <c r="G93" i="2"/>
  <c r="I93" i="2" s="1"/>
  <c r="H92" i="2"/>
  <c r="G92" i="2"/>
  <c r="I92" i="2" s="1"/>
  <c r="G91" i="2"/>
  <c r="I91" i="2" s="1"/>
  <c r="G90" i="2"/>
  <c r="I90" i="2" s="1"/>
  <c r="G89" i="2"/>
  <c r="I89" i="2" s="1"/>
  <c r="G88" i="2"/>
  <c r="I88" i="2" s="1"/>
  <c r="G87" i="2"/>
  <c r="I87" i="2" s="1"/>
  <c r="G86" i="2"/>
  <c r="I86" i="2" s="1"/>
  <c r="G85" i="2"/>
  <c r="I85" i="2" s="1"/>
  <c r="G84" i="2"/>
  <c r="I84" i="2" s="1"/>
  <c r="G83" i="2"/>
  <c r="I83" i="2" s="1"/>
  <c r="G82" i="2"/>
  <c r="I82" i="2" s="1"/>
  <c r="G81" i="2"/>
  <c r="I81" i="2" s="1"/>
  <c r="G80" i="2"/>
  <c r="I80" i="2" s="1"/>
  <c r="H79" i="2"/>
  <c r="G79" i="2"/>
  <c r="I79" i="2" s="1"/>
  <c r="H78" i="2"/>
  <c r="G78" i="2"/>
  <c r="I78" i="2" s="1"/>
  <c r="H77" i="2"/>
  <c r="G77" i="2"/>
  <c r="I77" i="2" s="1"/>
  <c r="H76" i="2"/>
  <c r="G76" i="2"/>
  <c r="I76" i="2" s="1"/>
  <c r="H75" i="2"/>
  <c r="G75" i="2"/>
  <c r="I75" i="2" s="1"/>
  <c r="H74" i="2"/>
  <c r="G74" i="2"/>
  <c r="I74" i="2" s="1"/>
  <c r="G73" i="2"/>
  <c r="I73" i="2" s="1"/>
  <c r="G72" i="2"/>
  <c r="I72" i="2" s="1"/>
  <c r="G71" i="2"/>
  <c r="I71" i="2" s="1"/>
  <c r="G70" i="2"/>
  <c r="I70" i="2" s="1"/>
  <c r="G69" i="2"/>
  <c r="I69" i="2" s="1"/>
  <c r="E13" i="3" s="1"/>
  <c r="F13" i="3" s="1"/>
  <c r="G68" i="2"/>
  <c r="I68" i="2" s="1"/>
  <c r="G67" i="2"/>
  <c r="I67" i="2" s="1"/>
  <c r="G66" i="2"/>
  <c r="I66" i="2" s="1"/>
  <c r="G65" i="2"/>
  <c r="I65" i="2" s="1"/>
  <c r="G64" i="2"/>
  <c r="I64" i="2" s="1"/>
  <c r="G63" i="2"/>
  <c r="I63" i="2" s="1"/>
  <c r="G62" i="2"/>
  <c r="I62" i="2" s="1"/>
  <c r="H61" i="2"/>
  <c r="G61" i="2"/>
  <c r="I61" i="2" s="1"/>
  <c r="H60" i="2"/>
  <c r="G60" i="2"/>
  <c r="I60" i="2" s="1"/>
  <c r="H59" i="2"/>
  <c r="G59" i="2"/>
  <c r="I59" i="2" s="1"/>
  <c r="H58" i="2"/>
  <c r="G58" i="2"/>
  <c r="I58" i="2" s="1"/>
  <c r="H57" i="2"/>
  <c r="G57" i="2"/>
  <c r="I57" i="2" s="1"/>
  <c r="H56" i="2"/>
  <c r="G56" i="2"/>
  <c r="I56" i="2" s="1"/>
  <c r="G55" i="2"/>
  <c r="I55" i="2" s="1"/>
  <c r="G54" i="2"/>
  <c r="I54" i="2" s="1"/>
  <c r="G53" i="2"/>
  <c r="I53" i="2" s="1"/>
  <c r="G52" i="2"/>
  <c r="I52" i="2" s="1"/>
  <c r="G51" i="2"/>
  <c r="I51" i="2" s="1"/>
  <c r="G50" i="2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H43" i="2"/>
  <c r="G43" i="2"/>
  <c r="I43" i="2" s="1"/>
  <c r="H42" i="2"/>
  <c r="G42" i="2"/>
  <c r="I42" i="2" s="1"/>
  <c r="H41" i="2"/>
  <c r="G41" i="2"/>
  <c r="I41" i="2" s="1"/>
  <c r="H40" i="2"/>
  <c r="G40" i="2"/>
  <c r="I40" i="2" s="1"/>
  <c r="H39" i="2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I32" i="2"/>
  <c r="G32" i="2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I3" i="2" s="1"/>
  <c r="G2" i="2"/>
  <c r="I2" i="2" s="1"/>
  <c r="E36" i="3" l="1"/>
  <c r="F36" i="3" s="1"/>
  <c r="E31" i="3"/>
  <c r="F31" i="3" s="1"/>
  <c r="E8" i="3"/>
  <c r="F8" i="3" s="1"/>
  <c r="E12" i="3"/>
  <c r="F12" i="3" s="1"/>
  <c r="E49" i="3"/>
  <c r="F49" i="3" s="1"/>
  <c r="E41" i="3"/>
  <c r="F41" i="3" s="1"/>
  <c r="E32" i="3"/>
  <c r="F32" i="3" s="1"/>
  <c r="E17" i="3"/>
  <c r="F17" i="3" s="1"/>
  <c r="E10" i="3"/>
  <c r="F10" i="3" s="1"/>
  <c r="E28" i="3"/>
  <c r="F28" i="3" s="1"/>
  <c r="E19" i="3"/>
  <c r="F19" i="3" s="1"/>
  <c r="E21" i="3"/>
  <c r="F21" i="3" s="1"/>
  <c r="E30" i="3"/>
  <c r="F30" i="3" s="1"/>
  <c r="E47" i="3"/>
  <c r="F47" i="3" s="1"/>
  <c r="E23" i="3"/>
  <c r="F23" i="3" s="1"/>
  <c r="E45" i="3"/>
  <c r="F45" i="3" s="1"/>
  <c r="E37" i="3"/>
  <c r="F37" i="3" s="1"/>
  <c r="E26" i="3"/>
  <c r="F26" i="3" s="1"/>
  <c r="E27" i="3"/>
  <c r="F27" i="3" s="1"/>
  <c r="E48" i="3"/>
  <c r="F48" i="3" s="1"/>
  <c r="E25" i="3"/>
  <c r="F25" i="3" s="1"/>
  <c r="E42" i="3"/>
  <c r="F42" i="3" s="1"/>
  <c r="E15" i="3"/>
  <c r="F15" i="3" s="1"/>
  <c r="E35" i="3"/>
  <c r="F35" i="3" s="1"/>
  <c r="E39" i="3"/>
  <c r="F39" i="3" s="1"/>
  <c r="E24" i="3"/>
  <c r="F24" i="3" s="1"/>
  <c r="E11" i="3"/>
  <c r="F11" i="3" s="1"/>
  <c r="E29" i="3"/>
  <c r="F29" i="3" s="1"/>
  <c r="E20" i="3"/>
  <c r="F20" i="3" s="1"/>
  <c r="E22" i="3"/>
  <c r="F22" i="3" s="1"/>
  <c r="E9" i="3"/>
  <c r="F9" i="3" s="1"/>
  <c r="E44" i="3"/>
  <c r="F44" i="3" s="1"/>
  <c r="E33" i="3"/>
  <c r="F33" i="3" s="1"/>
  <c r="E38" i="3"/>
  <c r="F38" i="3" s="1"/>
  <c r="E14" i="3"/>
  <c r="F14" i="3" s="1"/>
  <c r="E16" i="3"/>
  <c r="F16" i="3" s="1"/>
  <c r="E46" i="3"/>
  <c r="F46" i="3" s="1"/>
  <c r="E18" i="3"/>
  <c r="F18" i="3" s="1"/>
  <c r="E40" i="3"/>
  <c r="F40" i="3" s="1"/>
</calcChain>
</file>

<file path=xl/sharedStrings.xml><?xml version="1.0" encoding="utf-8"?>
<sst xmlns="http://schemas.openxmlformats.org/spreadsheetml/2006/main" count="1987" uniqueCount="348">
  <si>
    <t>دليل الاستخدام — قياس نضج النموذج التشغيلي</t>
  </si>
  <si>
    <t>١. عبّئ عمود «نسبة التحقق %» فقط (الخلايا الصفراء) لكل عنصر، من ٠ إلى ١٠٠. القيم الحالية وهمية للتجربة.</t>
  </si>
  <si>
    <t>٢. «الوزن المكتسب» = الوزن × نسبة التحقق ÷ ١٠٠، يُحسب تلقائيًا، ودرجة المرحلة وتصنيفها في ورقة «النتائج».</t>
  </si>
  <si>
    <t>٣. الهيكل في هذا الملف: القطاع العسكري والقطاع الصحي يُقاس كلٌّ على مستوى القطاع (عمود الوحدة = اسم القطاع، والوكالة = —).</t>
  </si>
  <si>
    <t>٤. القطاع التنفيذي: «وكالة (أ)» تنقسم لـ٧ وحدات، «وكالة (ب)» لـ٣ وحدات، والوكالات (ج) و(د) و(هـ) و(و) تُقاس على مستوى الوكالة (الوحدة = اسم الوكالة).</t>
  </si>
  <si>
    <t>٥. كل وحدة/وكالة/قطاع مقاس يأخذ ١٨ صفًا (التصميم ٦ + التفعيل ٧ + التشغيل ٥).</t>
  </si>
  <si>
    <t>٦. لإضافة كيان جديد: انسخ ١٨ صفًا كاملة وغيّر القطاع/الوكالة/الوحدة، وأضف ٣ صفوف مقابلة في «النتائج».</t>
  </si>
  <si>
    <t>٧. الأوزان وحدود التصنيف في ورقة «المرجع» — أي تعديل ينعكس تلقائيًا.</t>
  </si>
  <si>
    <t>٨. ورقة «الإدخال والحساب» مسطّحة وجاهزة كمصدر مباشر لـ Power BI.</t>
  </si>
  <si>
    <t>ID</t>
  </si>
  <si>
    <t>القطاع</t>
  </si>
  <si>
    <t>الوحدة التنظيمية الرئيسية</t>
  </si>
  <si>
    <t>الوحدة التنظيمية الفرعية</t>
  </si>
  <si>
    <t>المرحلة</t>
  </si>
  <si>
    <t>العنصر</t>
  </si>
  <si>
    <t>الوزن في المرحلة</t>
  </si>
  <si>
    <t>نسبة التحقق %</t>
  </si>
  <si>
    <t>الوزن المكتسب</t>
  </si>
  <si>
    <t>M01</t>
  </si>
  <si>
    <t>القطاع العسكري</t>
  </si>
  <si>
    <t>العسكرية</t>
  </si>
  <si>
    <t>الدور</t>
  </si>
  <si>
    <t>M02</t>
  </si>
  <si>
    <t>الأهداف ومؤشرات الأداء</t>
  </si>
  <si>
    <t>M03</t>
  </si>
  <si>
    <t>الحوكمة</t>
  </si>
  <si>
    <t>M04</t>
  </si>
  <si>
    <t>التنظيم</t>
  </si>
  <si>
    <t>M05</t>
  </si>
  <si>
    <t>الموارد</t>
  </si>
  <si>
    <t>M06</t>
  </si>
  <si>
    <t>الإجراءات</t>
  </si>
  <si>
    <t>M07</t>
  </si>
  <si>
    <t>التفعيل</t>
  </si>
  <si>
    <t>M08</t>
  </si>
  <si>
    <t>M09</t>
  </si>
  <si>
    <t>M10</t>
  </si>
  <si>
    <t>M11</t>
  </si>
  <si>
    <t>M12</t>
  </si>
  <si>
    <t>M13</t>
  </si>
  <si>
    <t>إنتاج المخرج الأول</t>
  </si>
  <si>
    <t>M14</t>
  </si>
  <si>
    <t>M15</t>
  </si>
  <si>
    <t>M16</t>
  </si>
  <si>
    <t>M17</t>
  </si>
  <si>
    <t>M18</t>
  </si>
  <si>
    <t>اكتمال المخرجات المستهدفة</t>
  </si>
  <si>
    <t>M19</t>
  </si>
  <si>
    <t>الأمن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</si>
  <si>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</si>
  <si>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</si>
  <si>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</si>
  <si>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</si>
  <si>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</si>
  <si>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</si>
  <si>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</si>
  <si>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</si>
  <si>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</si>
  <si>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</si>
  <si>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</si>
  <si>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</si>
  <si>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</si>
  <si>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</si>
  <si>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</si>
  <si>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</si>
  <si>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</si>
  <si>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E01</t>
  </si>
  <si>
    <t>القطاع التنفيذي</t>
  </si>
  <si>
    <r>
      <rPr>
        <sz val="11"/>
        <color theme="1"/>
        <rFont val="FreeSans"/>
        <family val="2"/>
      </rPr>
      <t xml:space="preserve">وكالة </t>
    </r>
    <r>
      <rPr>
        <sz val="11"/>
        <color theme="1"/>
        <rFont val="Calibri"/>
        <family val="2"/>
      </rPr>
      <t>(</t>
    </r>
    <r>
      <rPr>
        <sz val="11"/>
        <color theme="1"/>
        <rFont val="FreeSans"/>
        <family val="2"/>
      </rPr>
      <t>أ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</si>
  <si>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FreeSans"/>
        <family val="2"/>
      </rPr>
      <t>وحدة أ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١</t>
    </r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</si>
  <si>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</si>
  <si>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</si>
  <si>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</si>
  <si>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</si>
  <si>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</si>
  <si>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</si>
  <si>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</si>
  <si>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</si>
  <si>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</si>
  <si>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</si>
  <si>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</si>
  <si>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</si>
  <si>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</si>
  <si>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</si>
  <si>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</si>
  <si>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</si>
  <si>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</si>
  <si>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</si>
  <si>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r>
      <rPr>
        <sz val="11"/>
        <color theme="1"/>
        <rFont val="FreeSans"/>
        <family val="2"/>
      </rPr>
      <t>وحدة أ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٢</t>
    </r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</si>
  <si>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</si>
  <si>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</si>
  <si>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</si>
  <si>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</si>
  <si>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</si>
  <si>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</si>
  <si>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</si>
  <si>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</si>
  <si>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</si>
  <si>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</si>
  <si>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</si>
  <si>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</si>
  <si>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</si>
  <si>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</si>
  <si>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</si>
  <si>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</si>
  <si>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</si>
  <si>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</si>
  <si>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r>
      <rPr>
        <sz val="11"/>
        <color theme="1"/>
        <rFont val="FreeSans"/>
        <family val="2"/>
      </rPr>
      <t>وحدة أ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٣</t>
    </r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</si>
  <si>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</si>
  <si>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</si>
  <si>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</si>
  <si>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</si>
  <si>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</si>
  <si>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</si>
  <si>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</si>
  <si>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</si>
  <si>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</si>
  <si>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</si>
  <si>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</si>
  <si>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</si>
  <si>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</si>
  <si>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</si>
  <si>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</si>
  <si>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</si>
  <si>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</si>
  <si>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</si>
  <si>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r>
      <rPr>
        <sz val="11"/>
        <color theme="1"/>
        <rFont val="FreeSans"/>
        <family val="2"/>
      </rPr>
      <t>وحدة أ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٤</t>
    </r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</si>
  <si>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</si>
  <si>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</si>
  <si>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</si>
  <si>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</si>
  <si>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</si>
  <si>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</si>
  <si>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</si>
  <si>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</si>
  <si>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</si>
  <si>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</si>
  <si>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</si>
  <si>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</si>
  <si>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</si>
  <si>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</si>
  <si>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</si>
  <si>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</si>
  <si>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</si>
  <si>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</si>
  <si>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r>
      <rPr>
        <sz val="11"/>
        <color theme="1"/>
        <rFont val="FreeSans"/>
        <family val="2"/>
      </rPr>
      <t>وحدة أ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٥</t>
    </r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</si>
  <si>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</si>
  <si>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</si>
  <si>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</si>
  <si>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</si>
  <si>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</si>
  <si>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</si>
  <si>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</si>
  <si>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</si>
  <si>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</si>
  <si>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</si>
  <si>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</si>
  <si>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</si>
  <si>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</si>
  <si>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</si>
  <si>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</si>
  <si>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</si>
  <si>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</si>
  <si>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</si>
  <si>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r>
      <rPr>
        <sz val="11"/>
        <color theme="1"/>
        <rFont val="FreeSans"/>
        <family val="2"/>
      </rPr>
      <t>وحدة أ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٦</t>
    </r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</si>
  <si>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</si>
  <si>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</si>
  <si>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</si>
  <si>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</si>
  <si>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</si>
  <si>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</si>
  <si>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</si>
  <si>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</si>
  <si>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</si>
  <si>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</si>
  <si>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</si>
  <si>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</si>
  <si>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</si>
  <si>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</si>
  <si>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</si>
  <si>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</si>
  <si>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</si>
  <si>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</si>
  <si>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r>
      <rPr>
        <sz val="11"/>
        <color theme="1"/>
        <rFont val="FreeSans"/>
        <family val="2"/>
      </rPr>
      <t>وحدة أ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٧</t>
    </r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</si>
  <si>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</si>
  <si>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</si>
  <si>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</si>
  <si>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</si>
  <si>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</si>
  <si>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</si>
  <si>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</si>
  <si>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</si>
  <si>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</si>
  <si>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</si>
  <si>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</si>
  <si>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</si>
  <si>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</si>
  <si>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</si>
  <si>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</si>
  <si>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</si>
  <si>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</si>
  <si>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</si>
  <si>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r>
      <rPr>
        <sz val="11"/>
        <color theme="1"/>
        <rFont val="FreeSans"/>
        <family val="2"/>
      </rPr>
      <t xml:space="preserve">وكالة </t>
    </r>
    <r>
      <rPr>
        <sz val="11"/>
        <color theme="1"/>
        <rFont val="Calibri"/>
        <family val="2"/>
      </rPr>
      <t>(</t>
    </r>
    <r>
      <rPr>
        <sz val="11"/>
        <color theme="1"/>
        <rFont val="FreeSans"/>
        <family val="2"/>
      </rPr>
      <t>ب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</si>
  <si>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FreeSans"/>
        <family val="2"/>
      </rPr>
      <t>وحدة ب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١</t>
    </r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</si>
  <si>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</si>
  <si>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</si>
  <si>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</si>
  <si>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</si>
  <si>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</si>
  <si>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</si>
  <si>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</si>
  <si>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</si>
  <si>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</si>
  <si>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</si>
  <si>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</si>
  <si>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</si>
  <si>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</si>
  <si>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</si>
  <si>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</si>
  <si>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</si>
  <si>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</si>
  <si>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</si>
  <si>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r>
      <rPr>
        <sz val="11"/>
        <color theme="1"/>
        <rFont val="FreeSans"/>
        <family val="2"/>
      </rPr>
      <t>وحدة ب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٢</t>
    </r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</si>
  <si>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</si>
  <si>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</si>
  <si>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</si>
  <si>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</si>
  <si>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</si>
  <si>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</si>
  <si>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</si>
  <si>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</si>
  <si>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</si>
  <si>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</si>
  <si>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</si>
  <si>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</si>
  <si>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</si>
  <si>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</si>
  <si>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</si>
  <si>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</si>
  <si>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</si>
  <si>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</si>
  <si>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r>
      <rPr>
        <sz val="11"/>
        <color theme="1"/>
        <rFont val="FreeSans"/>
        <family val="2"/>
      </rPr>
      <t>وحدة ب</t>
    </r>
    <r>
      <rPr>
        <sz val="11"/>
        <color theme="1"/>
        <rFont val="Calibri"/>
        <family val="2"/>
      </rPr>
      <t>-</t>
    </r>
    <r>
      <rPr>
        <sz val="11"/>
        <color theme="1"/>
        <rFont val="FreeSans"/>
        <family val="2"/>
      </rPr>
      <t>٣</t>
    </r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</si>
  <si>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</si>
  <si>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</si>
  <si>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</si>
  <si>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</si>
  <si>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</si>
  <si>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</si>
  <si>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</si>
  <si>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</si>
  <si>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</si>
  <si>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</si>
  <si>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</si>
  <si>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</si>
  <si>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</si>
  <si>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</si>
  <si>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</si>
  <si>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</si>
  <si>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</si>
  <si>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</si>
  <si>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r>
      <rPr>
        <sz val="11"/>
        <color theme="1"/>
        <rFont val="FreeSans"/>
        <family val="2"/>
      </rPr>
      <t xml:space="preserve">وكالة </t>
    </r>
    <r>
      <rPr>
        <sz val="11"/>
        <color theme="1"/>
        <rFont val="Calibri"/>
        <family val="2"/>
      </rPr>
      <t>(</t>
    </r>
    <r>
      <rPr>
        <sz val="11"/>
        <color theme="1"/>
        <rFont val="FreeSans"/>
        <family val="2"/>
      </rPr>
      <t>ج</t>
    </r>
    <r>
      <rPr>
        <sz val="11"/>
        <color theme="1"/>
        <rFont val="Calibri"/>
        <family val="2"/>
      </rPr>
      <t>)</t>
    </r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</si>
  <si>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</si>
  <si>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</si>
  <si>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</si>
  <si>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</si>
  <si>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</si>
  <si>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</si>
  <si>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</si>
  <si>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</si>
  <si>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</si>
  <si>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</si>
  <si>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</si>
  <si>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</si>
  <si>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</si>
  <si>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</si>
  <si>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</si>
  <si>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</si>
  <si>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</si>
  <si>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</si>
  <si>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r>
      <rPr>
        <sz val="11"/>
        <color theme="1"/>
        <rFont val="FreeSans"/>
        <family val="2"/>
      </rPr>
      <t xml:space="preserve">وكالة </t>
    </r>
    <r>
      <rPr>
        <sz val="11"/>
        <color theme="1"/>
        <rFont val="Calibri"/>
        <family val="2"/>
      </rPr>
      <t>(</t>
    </r>
    <r>
      <rPr>
        <sz val="11"/>
        <color theme="1"/>
        <rFont val="FreeSans"/>
        <family val="2"/>
      </rPr>
      <t>د</t>
    </r>
    <r>
      <rPr>
        <sz val="11"/>
        <color theme="1"/>
        <rFont val="Calibri"/>
        <family val="2"/>
      </rPr>
      <t>)</t>
    </r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</si>
  <si>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</si>
  <si>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</si>
  <si>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</si>
  <si>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</si>
  <si>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</si>
  <si>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</si>
  <si>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</si>
  <si>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</si>
  <si>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</si>
  <si>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</si>
  <si>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</si>
  <si>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</si>
  <si>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</si>
  <si>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</si>
  <si>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</si>
  <si>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</si>
  <si>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</si>
  <si>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</si>
  <si>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r>
      <rPr>
        <sz val="11"/>
        <color theme="1"/>
        <rFont val="FreeSans"/>
        <family val="2"/>
      </rPr>
      <t xml:space="preserve">وكالة </t>
    </r>
    <r>
      <rPr>
        <sz val="11"/>
        <color theme="1"/>
        <rFont val="Calibri"/>
        <family val="2"/>
      </rPr>
      <t>(</t>
    </r>
    <r>
      <rPr>
        <sz val="11"/>
        <color theme="1"/>
        <rFont val="FreeSans"/>
        <family val="2"/>
      </rPr>
      <t>هـ</t>
    </r>
    <r>
      <rPr>
        <sz val="11"/>
        <color theme="1"/>
        <rFont val="Calibri"/>
        <family val="2"/>
      </rPr>
      <t>)</t>
    </r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</si>
  <si>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</si>
  <si>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</si>
  <si>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</si>
  <si>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</si>
  <si>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</si>
  <si>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</si>
  <si>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</si>
  <si>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</si>
  <si>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</si>
  <si>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</si>
  <si>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</si>
  <si>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</si>
  <si>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</si>
  <si>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</si>
  <si>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</si>
  <si>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</si>
  <si>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</si>
  <si>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</si>
  <si>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r>
      <rPr>
        <sz val="11"/>
        <color theme="1"/>
        <rFont val="FreeSans"/>
        <family val="2"/>
      </rPr>
      <t xml:space="preserve">وكالة </t>
    </r>
    <r>
      <rPr>
        <sz val="11"/>
        <color theme="1"/>
        <rFont val="Calibri"/>
        <family val="2"/>
      </rPr>
      <t>(</t>
    </r>
    <r>
      <rPr>
        <sz val="11"/>
        <color theme="1"/>
        <rFont val="FreeSans"/>
        <family val="2"/>
      </rPr>
      <t>و</t>
    </r>
    <r>
      <rPr>
        <sz val="11"/>
        <color theme="1"/>
        <rFont val="Calibri"/>
        <family val="2"/>
      </rPr>
      <t>)</t>
    </r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</si>
  <si>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</si>
  <si>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</si>
  <si>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</si>
  <si>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</si>
  <si>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</si>
  <si>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</si>
  <si>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</si>
  <si>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</si>
  <si>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</si>
  <si>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</si>
  <si>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</si>
  <si>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</si>
  <si>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</si>
  <si>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</si>
  <si>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</si>
  <si>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</si>
  <si>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</si>
  <si>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الوكالة</t>
  </si>
  <si>
    <t>الوحدة المقاسة</t>
  </si>
  <si>
    <t>درجة المرحلة</t>
  </si>
  <si>
    <t>التصنيف</t>
  </si>
  <si>
    <t>—</t>
  </si>
  <si>
    <t>القطاع الصحي</t>
  </si>
  <si>
    <t>الوزن</t>
  </si>
  <si>
    <t>حدود التصنيف</t>
  </si>
  <si>
    <r>
      <rPr>
        <sz val="11"/>
        <color theme="1"/>
        <rFont val="FreeSans"/>
        <family val="2"/>
      </rPr>
      <t>أولي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FreeSans"/>
        <family val="2"/>
      </rPr>
      <t>أقل من أو يساوي</t>
    </r>
  </si>
  <si>
    <r>
      <rPr>
        <sz val="11"/>
        <color theme="1"/>
        <rFont val="FreeSans"/>
        <family val="2"/>
      </rPr>
      <t>متقدم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FreeSans"/>
        <family val="2"/>
      </rPr>
      <t>أعلى من</t>
    </r>
  </si>
  <si>
    <t>جزئي: ما بينهما</t>
  </si>
  <si>
    <t>مرحلة التصميم</t>
  </si>
  <si>
    <t>مرحلة التشغيل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</si>
</sst>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13">
    <font>
      <sz val="11"/>
      <color theme="1"/>
      <name val="Calibri"/>
    </font>
    <font>
      <b/>
      <sz val="14"/>
      <color rgb="FF1F6E43"/>
      <name val="Arial"/>
    </font>
    <font>
      <sz val="11"/>
      <name val="Arial"/>
    </font>
    <font>
      <b/>
      <sz val="11"/>
      <color rgb="FFFFFFFF"/>
      <name val="Arial"/>
    </font>
    <font>
      <sz val="11"/>
      <color theme="1"/>
      <name val="FreeSans"/>
    </font>
    <font>
      <sz val="11"/>
      <color rgb="FF008000"/>
      <name val="Arial"/>
    </font>
    <font>
      <sz val="11"/>
      <color rgb="FF0000FF"/>
      <name val="Arial"/>
    </font>
    <font>
      <sz val="11"/>
      <color rgb="FF000000"/>
      <name val="Arial"/>
    </font>
    <font>
      <b/>
      <sz val="11"/>
      <name val="Arial"/>
    </font>
    <font>
      <i/>
      <sz val="11"/>
      <color rgb="FF808080"/>
      <name val="Arial"/>
    </font>
    <font>
      <sz val="11"/>
      <color theme="1"/>
      <name val="Calibri"/>
    </font>
    <font>
      <sz val="11"/>
      <color theme="1"/>
      <name val="FreeSan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E4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1" fontId="6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6" fillId="3" borderId="0" xfId="0" applyFont="1" applyFill="1"/>
    <xf numFmtId="0" fontId="9" fillId="0" borderId="0" xfId="0" applyFont="1"/>
    <xf numFmtId="165" fontId="6" fillId="3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 cent" xfId="1" xr:uid="{00000000-0005-0000-0000-000001000000}"/>
  </cellStyles>
  <dxfs count="6">
    <dxf>
      <font>
        <b/>
        <color rgb="FF501313"/>
        <name val="Arial"/>
      </font>
      <fill>
        <patternFill>
          <bgColor rgb="FFF7C1C1"/>
        </patternFill>
      </fill>
    </dxf>
    <dxf>
      <font>
        <b/>
        <color rgb="FF412402"/>
        <name val="Arial"/>
      </font>
      <fill>
        <patternFill>
          <bgColor rgb="FFFAC775"/>
        </patternFill>
      </fill>
    </dxf>
    <dxf>
      <font>
        <b/>
        <color rgb="FF173404"/>
        <name val="Arial"/>
      </font>
      <fill>
        <patternFill>
          <bgColor rgb="FFC0DD97"/>
        </patternFill>
      </fill>
    </dxf>
    <dxf>
      <font>
        <b/>
        <color rgb="FF501313"/>
        <name val="Arial"/>
      </font>
      <fill>
        <patternFill>
          <bgColor rgb="FFF7C1C1"/>
        </patternFill>
      </fill>
    </dxf>
    <dxf>
      <font>
        <b/>
        <color rgb="FF412402"/>
        <name val="Arial"/>
      </font>
      <fill>
        <patternFill>
          <bgColor rgb="FFFAC775"/>
        </patternFill>
      </fill>
    </dxf>
    <dxf>
      <font>
        <b/>
        <color rgb="FF173404"/>
        <name val="Arial"/>
      </font>
      <fill>
        <patternFill>
          <bgColor rgb="FFC0DD9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01313"/>
      <rgbColor rgb="FF008000"/>
      <rgbColor rgb="FF000080"/>
      <rgbColor rgb="FF808000"/>
      <rgbColor rgb="FF800080"/>
      <rgbColor rgb="FF1F6E43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3404"/>
      <rgbColor rgb="FF41240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9" sqref="A9"/>
    </sheetView>
  </sheetViews>
  <sheetFormatPr defaultColWidth="8.73046875" defaultRowHeight="14.25"/>
  <cols>
    <col min="1" max="1" width="115" customWidth="1"/>
  </cols>
  <sheetData>
    <row r="1" spans="1:1" ht="17.649999999999999">
      <c r="A1" s="1" t="s">
        <v>0</v>
      </c>
    </row>
    <row r="3" spans="1:1" ht="15" customHeight="1">
      <c r="A3" s="2" t="s">
        <v>1</v>
      </c>
    </row>
    <row r="4" spans="1:1" ht="15" customHeight="1">
      <c r="A4" s="2" t="s">
        <v>2</v>
      </c>
    </row>
    <row r="5" spans="1:1" ht="15" customHeight="1">
      <c r="A5" s="2" t="s">
        <v>3</v>
      </c>
    </row>
    <row r="6" spans="1:1" ht="15" customHeight="1">
      <c r="A6" s="2" t="s">
        <v>4</v>
      </c>
    </row>
    <row r="7" spans="1:1" ht="15" customHeight="1">
      <c r="A7" s="2" t="s">
        <v>5</v>
      </c>
    </row>
    <row r="8" spans="1:1" ht="15" customHeight="1">
      <c r="A8" s="2" t="s">
        <v>6</v>
      </c>
    </row>
    <row r="9" spans="1:1" ht="15" customHeight="1">
      <c r="A9" s="2" t="s">
        <v>7</v>
      </c>
    </row>
    <row r="10" spans="1:1" ht="15" customHeight="1">
      <c r="A10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289"/>
  <sheetViews>
    <sheetView workbookViewId="0">
      <selection activeCell="F37" sqref="F37"/>
    </sheetView>
  </sheetViews>
  <sheetFormatPr defaultColWidth="8.73046875" defaultRowHeight="14.25"/>
  <cols>
    <col min="2" max="2" width="16" customWidth="1"/>
    <col min="3" max="3" width="22.265625" customWidth="1"/>
    <col min="4" max="4" width="21.73046875" customWidth="1"/>
    <col min="5" max="5" width="12" customWidth="1"/>
    <col min="6" max="6" width="26" customWidth="1"/>
    <col min="7" max="7" width="16" customWidth="1"/>
    <col min="8" max="9" width="15" customWidth="1"/>
  </cols>
  <sheetData>
    <row r="1" spans="1:9">
      <c r="A1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hidden="1">
      <c r="A2" t="s">
        <v>18</v>
      </c>
      <c r="B2" s="4" t="s">
        <v>19</v>
      </c>
      <c r="C2" s="4" t="s">
        <v>19</v>
      </c>
      <c r="D2" s="4" t="s">
        <v>20</v>
      </c>
      <c r="E2" s="6" t="s">
        <v>346</v>
      </c>
      <c r="F2" s="4" t="s">
        <v>21</v>
      </c>
      <c r="G2" s="15">
        <f>SUMIFS(المرجع!$C$2:$C$19,المرجع!$A$2:$A$19,$E2,المرجع!$B$2:$B$19,$F2)</f>
        <v>25</v>
      </c>
      <c r="H2" s="14">
        <v>98</v>
      </c>
      <c r="I2" s="16">
        <f>G2*H2/100</f>
        <v>24.5</v>
      </c>
    </row>
    <row r="3" spans="1:9" hidden="1">
      <c r="A3" t="s">
        <v>22</v>
      </c>
      <c r="B3" s="4" t="s">
        <v>19</v>
      </c>
      <c r="C3" s="4" t="s">
        <v>19</v>
      </c>
      <c r="D3" s="4" t="s">
        <v>20</v>
      </c>
      <c r="E3" s="6" t="s">
        <v>346</v>
      </c>
      <c r="F3" s="4" t="s">
        <v>23</v>
      </c>
      <c r="G3" s="15">
        <f>SUMIFS(المرجع!$C$2:$C$19,المرجع!$A$2:$A$19,$E3,المرجع!$B$2:$B$19,$F3)</f>
        <v>15</v>
      </c>
      <c r="H3" s="14">
        <v>81</v>
      </c>
      <c r="I3" s="16">
        <f t="shared" ref="I3:I65" si="0">G3*H3/100</f>
        <v>12.15</v>
      </c>
    </row>
    <row r="4" spans="1:9" hidden="1">
      <c r="A4" t="s">
        <v>24</v>
      </c>
      <c r="B4" s="4" t="s">
        <v>19</v>
      </c>
      <c r="C4" s="4" t="s">
        <v>19</v>
      </c>
      <c r="D4" s="4" t="s">
        <v>20</v>
      </c>
      <c r="E4" s="6" t="s">
        <v>346</v>
      </c>
      <c r="F4" s="4" t="s">
        <v>25</v>
      </c>
      <c r="G4" s="15">
        <f>SUMIFS(المرجع!$C$2:$C$19,المرجع!$A$2:$A$19,$E4,المرجع!$B$2:$B$19,$F4)</f>
        <v>15</v>
      </c>
      <c r="H4" s="14">
        <v>78</v>
      </c>
      <c r="I4" s="16">
        <f t="shared" si="0"/>
        <v>11.7</v>
      </c>
    </row>
    <row r="5" spans="1:9" hidden="1">
      <c r="A5" t="s">
        <v>26</v>
      </c>
      <c r="B5" s="4" t="s">
        <v>19</v>
      </c>
      <c r="C5" s="4" t="s">
        <v>19</v>
      </c>
      <c r="D5" s="4" t="s">
        <v>20</v>
      </c>
      <c r="E5" s="6" t="s">
        <v>346</v>
      </c>
      <c r="F5" s="4" t="s">
        <v>27</v>
      </c>
      <c r="G5" s="15">
        <f>SUMIFS(المرجع!$C$2:$C$19,المرجع!$A$2:$A$19,$E5,المرجع!$B$2:$B$19,$F5)</f>
        <v>20</v>
      </c>
      <c r="H5" s="14">
        <v>86</v>
      </c>
      <c r="I5" s="16">
        <f t="shared" si="0"/>
        <v>17.2</v>
      </c>
    </row>
    <row r="6" spans="1:9" hidden="1">
      <c r="A6" t="s">
        <v>28</v>
      </c>
      <c r="B6" s="4" t="s">
        <v>19</v>
      </c>
      <c r="C6" s="4" t="s">
        <v>19</v>
      </c>
      <c r="D6" s="4" t="s">
        <v>20</v>
      </c>
      <c r="E6" s="6" t="s">
        <v>346</v>
      </c>
      <c r="F6" s="4" t="s">
        <v>29</v>
      </c>
      <c r="G6" s="15">
        <f>SUMIFS(المرجع!$C$2:$C$19,المرجع!$A$2:$A$19,$E6,المرجع!$B$2:$B$19,$F6)</f>
        <v>20</v>
      </c>
      <c r="H6" s="14">
        <v>85</v>
      </c>
      <c r="I6" s="16">
        <f t="shared" si="0"/>
        <v>17</v>
      </c>
    </row>
    <row r="7" spans="1:9" hidden="1">
      <c r="A7" t="s">
        <v>30</v>
      </c>
      <c r="B7" s="4" t="s">
        <v>19</v>
      </c>
      <c r="C7" s="4" t="s">
        <v>19</v>
      </c>
      <c r="D7" s="4" t="s">
        <v>20</v>
      </c>
      <c r="E7" s="6" t="s">
        <v>346</v>
      </c>
      <c r="F7" s="4" t="s">
        <v>31</v>
      </c>
      <c r="G7" s="15">
        <f>SUMIFS(المرجع!$C$2:$C$19,المرجع!$A$2:$A$19,$E7,المرجع!$B$2:$B$19,$F7)</f>
        <v>5</v>
      </c>
      <c r="H7" s="14">
        <v>85</v>
      </c>
      <c r="I7" s="16">
        <f t="shared" si="0"/>
        <v>4.25</v>
      </c>
    </row>
    <row r="8" spans="1:9" hidden="1">
      <c r="A8" t="s">
        <v>32</v>
      </c>
      <c r="B8" s="4" t="s">
        <v>19</v>
      </c>
      <c r="C8" s="4" t="s">
        <v>19</v>
      </c>
      <c r="D8" s="4" t="s">
        <v>20</v>
      </c>
      <c r="E8" s="6" t="s">
        <v>33</v>
      </c>
      <c r="F8" s="4" t="s">
        <v>21</v>
      </c>
      <c r="G8" s="15">
        <f>SUMIFS(المرجع!$C$2:$C$19,المرجع!$A$2:$A$19,$E8,المرجع!$B$2:$B$19,$F8)</f>
        <v>15</v>
      </c>
      <c r="H8" s="14">
        <v>53</v>
      </c>
      <c r="I8" s="16">
        <f t="shared" si="0"/>
        <v>7.95</v>
      </c>
    </row>
    <row r="9" spans="1:9" hidden="1">
      <c r="A9" t="s">
        <v>34</v>
      </c>
      <c r="B9" s="4" t="s">
        <v>19</v>
      </c>
      <c r="C9" s="4" t="s">
        <v>19</v>
      </c>
      <c r="D9" s="4" t="s">
        <v>20</v>
      </c>
      <c r="E9" s="6" t="s">
        <v>33</v>
      </c>
      <c r="F9" s="4" t="s">
        <v>23</v>
      </c>
      <c r="G9" s="15">
        <f>SUMIFS(المرجع!$C$2:$C$19,المرجع!$A$2:$A$19,$E9,المرجع!$B$2:$B$19,$F9)</f>
        <v>15</v>
      </c>
      <c r="H9" s="14">
        <v>51</v>
      </c>
      <c r="I9" s="16">
        <f t="shared" si="0"/>
        <v>7.65</v>
      </c>
    </row>
    <row r="10" spans="1:9" hidden="1">
      <c r="A10" t="s">
        <v>35</v>
      </c>
      <c r="B10" s="4" t="s">
        <v>19</v>
      </c>
      <c r="C10" s="4" t="s">
        <v>19</v>
      </c>
      <c r="D10" s="4" t="s">
        <v>20</v>
      </c>
      <c r="E10" s="6" t="s">
        <v>33</v>
      </c>
      <c r="F10" s="4" t="s">
        <v>25</v>
      </c>
      <c r="G10" s="15">
        <f>SUMIFS(المرجع!$C$2:$C$19,المرجع!$A$2:$A$19,$E10,المرجع!$B$2:$B$19,$F10)</f>
        <v>15</v>
      </c>
      <c r="H10" s="14">
        <v>79</v>
      </c>
      <c r="I10" s="16">
        <f t="shared" si="0"/>
        <v>11.85</v>
      </c>
    </row>
    <row r="11" spans="1:9" hidden="1">
      <c r="A11" t="s">
        <v>36</v>
      </c>
      <c r="B11" s="4" t="s">
        <v>19</v>
      </c>
      <c r="C11" s="4" t="s">
        <v>19</v>
      </c>
      <c r="D11" s="4" t="s">
        <v>20</v>
      </c>
      <c r="E11" s="6" t="s">
        <v>33</v>
      </c>
      <c r="F11" s="4" t="s">
        <v>27</v>
      </c>
      <c r="G11" s="15">
        <f>SUMIFS(المرجع!$C$2:$C$19,المرجع!$A$2:$A$19,$E11,المرجع!$B$2:$B$19,$F11)</f>
        <v>20</v>
      </c>
      <c r="H11" s="14">
        <v>50</v>
      </c>
      <c r="I11" s="16">
        <f t="shared" si="0"/>
        <v>10</v>
      </c>
    </row>
    <row r="12" spans="1:9" hidden="1">
      <c r="A12" t="s">
        <v>37</v>
      </c>
      <c r="B12" s="4" t="s">
        <v>19</v>
      </c>
      <c r="C12" s="4" t="s">
        <v>19</v>
      </c>
      <c r="D12" s="4" t="s">
        <v>20</v>
      </c>
      <c r="E12" s="6" t="s">
        <v>33</v>
      </c>
      <c r="F12" s="4" t="s">
        <v>29</v>
      </c>
      <c r="G12" s="15">
        <f>SUMIFS(المرجع!$C$2:$C$19,المرجع!$A$2:$A$19,$E12,المرجع!$B$2:$B$19,$F12)</f>
        <v>25</v>
      </c>
      <c r="H12" s="14">
        <v>82</v>
      </c>
      <c r="I12" s="16">
        <f t="shared" si="0"/>
        <v>20.5</v>
      </c>
    </row>
    <row r="13" spans="1:9" hidden="1">
      <c r="A13" t="s">
        <v>38</v>
      </c>
      <c r="B13" s="4" t="s">
        <v>19</v>
      </c>
      <c r="C13" s="4" t="s">
        <v>19</v>
      </c>
      <c r="D13" s="4" t="s">
        <v>20</v>
      </c>
      <c r="E13" s="6" t="s">
        <v>33</v>
      </c>
      <c r="F13" s="4" t="s">
        <v>31</v>
      </c>
      <c r="G13" s="15">
        <f>SUMIFS(المرجع!$C$2:$C$19,المرجع!$A$2:$A$19,$E13,المرجع!$B$2:$B$19,$F13)</f>
        <v>5</v>
      </c>
      <c r="H13" s="14">
        <v>72</v>
      </c>
      <c r="I13" s="16">
        <f t="shared" si="0"/>
        <v>3.6</v>
      </c>
    </row>
    <row r="14" spans="1:9" hidden="1">
      <c r="A14" t="s">
        <v>39</v>
      </c>
      <c r="B14" s="4" t="s">
        <v>19</v>
      </c>
      <c r="C14" s="4" t="s">
        <v>19</v>
      </c>
      <c r="D14" s="4" t="s">
        <v>20</v>
      </c>
      <c r="E14" s="6" t="s">
        <v>33</v>
      </c>
      <c r="F14" s="4" t="s">
        <v>40</v>
      </c>
      <c r="G14" s="15">
        <f>SUMIFS(المرجع!$C$2:$C$19,المرجع!$A$2:$A$19,$E14,المرجع!$B$2:$B$19,$F14)</f>
        <v>5</v>
      </c>
      <c r="H14" s="14">
        <v>47</v>
      </c>
      <c r="I14" s="16">
        <f t="shared" si="0"/>
        <v>2.35</v>
      </c>
    </row>
    <row r="15" spans="1:9">
      <c r="A15" t="s">
        <v>41</v>
      </c>
      <c r="B15" s="4" t="s">
        <v>19</v>
      </c>
      <c r="C15" s="4" t="s">
        <v>19</v>
      </c>
      <c r="D15" s="4" t="s">
        <v>20</v>
      </c>
      <c r="E15" s="6" t="s">
        <v>347</v>
      </c>
      <c r="F15" s="4" t="s">
        <v>23</v>
      </c>
      <c r="G15" s="15">
        <f>SUMIFS(المرجع!$C$2:$C$19,المرجع!$A$2:$A$19,$E15,المرجع!$B$2:$B$19,$F15)</f>
        <v>25</v>
      </c>
      <c r="H15" s="14">
        <v>25</v>
      </c>
      <c r="I15" s="16">
        <f t="shared" si="0"/>
        <v>6.25</v>
      </c>
    </row>
    <row r="16" spans="1:9">
      <c r="A16" t="s">
        <v>42</v>
      </c>
      <c r="B16" s="4" t="s">
        <v>19</v>
      </c>
      <c r="C16" s="4" t="s">
        <v>19</v>
      </c>
      <c r="D16" s="4" t="s">
        <v>20</v>
      </c>
      <c r="E16" s="6" t="s">
        <v>347</v>
      </c>
      <c r="F16" s="4" t="s">
        <v>25</v>
      </c>
      <c r="G16" s="15">
        <f>SUMIFS(المرجع!$C$2:$C$19,المرجع!$A$2:$A$19,$E16,المرجع!$B$2:$B$19,$F16)</f>
        <v>15</v>
      </c>
      <c r="H16" s="14">
        <v>29</v>
      </c>
      <c r="I16" s="16">
        <f t="shared" si="0"/>
        <v>4.3499999999999996</v>
      </c>
    </row>
    <row r="17" spans="1:9">
      <c r="A17" t="s">
        <v>43</v>
      </c>
      <c r="B17" s="4" t="s">
        <v>19</v>
      </c>
      <c r="C17" s="4" t="s">
        <v>19</v>
      </c>
      <c r="D17" s="4" t="s">
        <v>20</v>
      </c>
      <c r="E17" s="6" t="s">
        <v>347</v>
      </c>
      <c r="F17" s="4" t="s">
        <v>29</v>
      </c>
      <c r="G17" s="15">
        <f>SUMIFS(المرجع!$C$2:$C$19,المرجع!$A$2:$A$19,$E17,المرجع!$B$2:$B$19,$F17)</f>
        <v>15</v>
      </c>
      <c r="H17" s="14">
        <v>37</v>
      </c>
      <c r="I17" s="16">
        <f t="shared" si="0"/>
        <v>5.55</v>
      </c>
    </row>
    <row r="18" spans="1:9">
      <c r="A18" t="s">
        <v>44</v>
      </c>
      <c r="B18" s="4" t="s">
        <v>19</v>
      </c>
      <c r="C18" s="4" t="s">
        <v>19</v>
      </c>
      <c r="D18" s="4" t="s">
        <v>20</v>
      </c>
      <c r="E18" s="6" t="s">
        <v>347</v>
      </c>
      <c r="F18" s="4" t="s">
        <v>31</v>
      </c>
      <c r="G18" s="15">
        <f>SUMIFS(المرجع!$C$2:$C$19,المرجع!$A$2:$A$19,$E18,المرجع!$B$2:$B$19,$F18)</f>
        <v>15</v>
      </c>
      <c r="H18" s="14">
        <v>38</v>
      </c>
      <c r="I18" s="16">
        <f t="shared" si="0"/>
        <v>5.7</v>
      </c>
    </row>
    <row r="19" spans="1:9">
      <c r="A19" t="s">
        <v>45</v>
      </c>
      <c r="B19" s="4" t="s">
        <v>19</v>
      </c>
      <c r="C19" s="4" t="s">
        <v>19</v>
      </c>
      <c r="D19" s="4" t="s">
        <v>20</v>
      </c>
      <c r="E19" s="6" t="s">
        <v>347</v>
      </c>
      <c r="F19" s="4" t="s">
        <v>46</v>
      </c>
      <c r="G19" s="15">
        <f>SUMIFS(المرجع!$C$2:$C$19,المرجع!$A$2:$A$19,$E19,المرجع!$B$2:$B$19,$F19)</f>
        <v>30</v>
      </c>
      <c r="H19" s="14">
        <v>56</v>
      </c>
      <c r="I19" s="16">
        <f t="shared" si="0"/>
        <v>16.8</v>
      </c>
    </row>
    <row r="20" spans="1:9" hidden="1">
      <c r="A20" t="s">
        <v>47</v>
      </c>
      <c r="B20" s="4" t="s">
        <v>19</v>
      </c>
      <c r="C20" s="4" t="s">
        <v>19</v>
      </c>
      <c r="D20" s="4" t="s">
        <v>48</v>
      </c>
      <c r="E20" s="6" t="s">
        <v>346</v>
      </c>
      <c r="F20" s="4" t="s">
        <v>21</v>
      </c>
      <c r="G20" s="15">
        <f>SUMIFS(المرجع!$C$2:$C$19,المرجع!$A$2:$A$19,$E20,المرجع!$B$2:$B$19,$F20)</f>
        <v>25</v>
      </c>
      <c r="H20" s="14">
        <v>98</v>
      </c>
      <c r="I20" s="16">
        <f t="shared" ref="I20:I37" si="1">G20*H20/100</f>
        <v>24.5</v>
      </c>
    </row>
    <row r="21" spans="1:9" hidden="1">
      <c r="A21" t="s">
        <v>49</v>
      </c>
      <c r="B21" s="4" t="s">
        <v>19</v>
      </c>
      <c r="C21" s="4" t="s">
        <v>19</v>
      </c>
      <c r="D21" s="4" t="s">
        <v>48</v>
      </c>
      <c r="E21" s="6" t="s">
        <v>346</v>
      </c>
      <c r="F21" s="4" t="s">
        <v>23</v>
      </c>
      <c r="G21" s="15">
        <f>SUMIFS(المرجع!$C$2:$C$19,المرجع!$A$2:$A$19,$E21,المرجع!$B$2:$B$19,$F21)</f>
        <v>15</v>
      </c>
      <c r="H21" s="14">
        <v>81</v>
      </c>
      <c r="I21" s="16">
        <f t="shared" si="1"/>
        <v>12.15</v>
      </c>
    </row>
    <row r="22" spans="1:9" hidden="1">
      <c r="A22" t="s">
        <v>50</v>
      </c>
      <c r="B22" s="4" t="s">
        <v>19</v>
      </c>
      <c r="C22" s="4" t="s">
        <v>19</v>
      </c>
      <c r="D22" s="4" t="s">
        <v>48</v>
      </c>
      <c r="E22" s="6" t="s">
        <v>346</v>
      </c>
      <c r="F22" s="4" t="s">
        <v>25</v>
      </c>
      <c r="G22" s="15">
        <f>SUMIFS(المرجع!$C$2:$C$19,المرجع!$A$2:$A$19,$E22,المرجع!$B$2:$B$19,$F22)</f>
        <v>15</v>
      </c>
      <c r="H22" s="14">
        <v>78</v>
      </c>
      <c r="I22" s="16">
        <f t="shared" si="1"/>
        <v>11.7</v>
      </c>
    </row>
    <row r="23" spans="1:9" hidden="1">
      <c r="A23" t="s">
        <v>51</v>
      </c>
      <c r="B23" s="4" t="s">
        <v>19</v>
      </c>
      <c r="C23" s="4" t="s">
        <v>19</v>
      </c>
      <c r="D23" s="4" t="s">
        <v>48</v>
      </c>
      <c r="E23" s="6" t="s">
        <v>346</v>
      </c>
      <c r="F23" s="4" t="s">
        <v>27</v>
      </c>
      <c r="G23" s="15">
        <f>SUMIFS(المرجع!$C$2:$C$19,المرجع!$A$2:$A$19,$E23,المرجع!$B$2:$B$19,$F23)</f>
        <v>20</v>
      </c>
      <c r="H23" s="14">
        <v>86</v>
      </c>
      <c r="I23" s="16">
        <f t="shared" si="1"/>
        <v>17.2</v>
      </c>
    </row>
    <row r="24" spans="1:9" hidden="1">
      <c r="A24" t="s">
        <v>52</v>
      </c>
      <c r="B24" s="4" t="s">
        <v>19</v>
      </c>
      <c r="C24" s="4" t="s">
        <v>19</v>
      </c>
      <c r="D24" s="4" t="s">
        <v>48</v>
      </c>
      <c r="E24" s="6" t="s">
        <v>346</v>
      </c>
      <c r="F24" s="4" t="s">
        <v>29</v>
      </c>
      <c r="G24" s="15">
        <f>SUMIFS(المرجع!$C$2:$C$19,المرجع!$A$2:$A$19,$E24,المرجع!$B$2:$B$19,$F24)</f>
        <v>20</v>
      </c>
      <c r="H24" s="14">
        <v>85</v>
      </c>
      <c r="I24" s="16">
        <f t="shared" si="1"/>
        <v>17</v>
      </c>
    </row>
    <row r="25" spans="1:9" hidden="1">
      <c r="A25" t="s">
        <v>53</v>
      </c>
      <c r="B25" s="4" t="s">
        <v>19</v>
      </c>
      <c r="C25" s="4" t="s">
        <v>19</v>
      </c>
      <c r="D25" s="4" t="s">
        <v>48</v>
      </c>
      <c r="E25" s="6" t="s">
        <v>346</v>
      </c>
      <c r="F25" s="4" t="s">
        <v>31</v>
      </c>
      <c r="G25" s="15">
        <f>SUMIFS(المرجع!$C$2:$C$19,المرجع!$A$2:$A$19,$E25,المرجع!$B$2:$B$19,$F25)</f>
        <v>5</v>
      </c>
      <c r="H25" s="14">
        <v>85</v>
      </c>
      <c r="I25" s="16">
        <f t="shared" si="1"/>
        <v>4.25</v>
      </c>
    </row>
    <row r="26" spans="1:9" hidden="1">
      <c r="A26" t="s">
        <v>54</v>
      </c>
      <c r="B26" s="4" t="s">
        <v>19</v>
      </c>
      <c r="C26" s="4" t="s">
        <v>19</v>
      </c>
      <c r="D26" s="4" t="s">
        <v>48</v>
      </c>
      <c r="E26" s="6" t="s">
        <v>33</v>
      </c>
      <c r="F26" s="4" t="s">
        <v>21</v>
      </c>
      <c r="G26" s="15">
        <f>SUMIFS(المرجع!$C$2:$C$19,المرجع!$A$2:$A$19,$E26,المرجع!$B$2:$B$19,$F26)</f>
        <v>15</v>
      </c>
      <c r="H26" s="14">
        <v>53</v>
      </c>
      <c r="I26" s="16">
        <f t="shared" si="1"/>
        <v>7.95</v>
      </c>
    </row>
    <row r="27" spans="1:9" hidden="1">
      <c r="A27" t="s">
        <v>55</v>
      </c>
      <c r="B27" s="4" t="s">
        <v>19</v>
      </c>
      <c r="C27" s="4" t="s">
        <v>19</v>
      </c>
      <c r="D27" s="4" t="s">
        <v>48</v>
      </c>
      <c r="E27" s="6" t="s">
        <v>33</v>
      </c>
      <c r="F27" s="4" t="s">
        <v>23</v>
      </c>
      <c r="G27" s="15">
        <f>SUMIFS(المرجع!$C$2:$C$19,المرجع!$A$2:$A$19,$E27,المرجع!$B$2:$B$19,$F27)</f>
        <v>15</v>
      </c>
      <c r="H27" s="14">
        <v>51</v>
      </c>
      <c r="I27" s="16">
        <f t="shared" si="1"/>
        <v>7.65</v>
      </c>
    </row>
    <row r="28" spans="1:9" hidden="1">
      <c r="A28" t="s">
        <v>56</v>
      </c>
      <c r="B28" s="4" t="s">
        <v>19</v>
      </c>
      <c r="C28" s="4" t="s">
        <v>19</v>
      </c>
      <c r="D28" s="4" t="s">
        <v>48</v>
      </c>
      <c r="E28" s="6" t="s">
        <v>33</v>
      </c>
      <c r="F28" s="4" t="s">
        <v>25</v>
      </c>
      <c r="G28" s="15">
        <f>SUMIFS(المرجع!$C$2:$C$19,المرجع!$A$2:$A$19,$E28,المرجع!$B$2:$B$19,$F28)</f>
        <v>15</v>
      </c>
      <c r="H28" s="14">
        <v>79</v>
      </c>
      <c r="I28" s="16">
        <f t="shared" si="1"/>
        <v>11.85</v>
      </c>
    </row>
    <row r="29" spans="1:9" hidden="1">
      <c r="A29" t="s">
        <v>57</v>
      </c>
      <c r="B29" s="4" t="s">
        <v>19</v>
      </c>
      <c r="C29" s="4" t="s">
        <v>19</v>
      </c>
      <c r="D29" s="4" t="s">
        <v>48</v>
      </c>
      <c r="E29" s="6" t="s">
        <v>33</v>
      </c>
      <c r="F29" s="4" t="s">
        <v>27</v>
      </c>
      <c r="G29" s="15">
        <f>SUMIFS(المرجع!$C$2:$C$19,المرجع!$A$2:$A$19,$E29,المرجع!$B$2:$B$19,$F29)</f>
        <v>20</v>
      </c>
      <c r="H29" s="14">
        <v>50</v>
      </c>
      <c r="I29" s="16">
        <f t="shared" si="1"/>
        <v>10</v>
      </c>
    </row>
    <row r="30" spans="1:9" hidden="1">
      <c r="A30" t="s">
        <v>58</v>
      </c>
      <c r="B30" s="4" t="s">
        <v>19</v>
      </c>
      <c r="C30" s="4" t="s">
        <v>19</v>
      </c>
      <c r="D30" s="4" t="s">
        <v>48</v>
      </c>
      <c r="E30" s="6" t="s">
        <v>33</v>
      </c>
      <c r="F30" s="4" t="s">
        <v>29</v>
      </c>
      <c r="G30" s="15">
        <f>SUMIFS(المرجع!$C$2:$C$19,المرجع!$A$2:$A$19,$E30,المرجع!$B$2:$B$19,$F30)</f>
        <v>25</v>
      </c>
      <c r="H30" s="14">
        <v>82</v>
      </c>
      <c r="I30" s="16">
        <f t="shared" si="1"/>
        <v>20.5</v>
      </c>
    </row>
    <row r="31" spans="1:9" hidden="1">
      <c r="A31" t="s">
        <v>59</v>
      </c>
      <c r="B31" s="4" t="s">
        <v>19</v>
      </c>
      <c r="C31" s="4" t="s">
        <v>19</v>
      </c>
      <c r="D31" s="4" t="s">
        <v>48</v>
      </c>
      <c r="E31" s="6" t="s">
        <v>33</v>
      </c>
      <c r="F31" s="4" t="s">
        <v>31</v>
      </c>
      <c r="G31" s="15">
        <f>SUMIFS(المرجع!$C$2:$C$19,المرجع!$A$2:$A$19,$E31,المرجع!$B$2:$B$19,$F31)</f>
        <v>5</v>
      </c>
      <c r="H31" s="14">
        <v>72</v>
      </c>
      <c r="I31" s="16">
        <f t="shared" si="1"/>
        <v>3.6</v>
      </c>
    </row>
    <row r="32" spans="1:9" hidden="1">
      <c r="A32" t="s">
        <v>60</v>
      </c>
      <c r="B32" s="4" t="s">
        <v>19</v>
      </c>
      <c r="C32" s="4" t="s">
        <v>19</v>
      </c>
      <c r="D32" s="4" t="s">
        <v>48</v>
      </c>
      <c r="E32" s="6" t="s">
        <v>33</v>
      </c>
      <c r="F32" s="4" t="s">
        <v>40</v>
      </c>
      <c r="G32" s="15">
        <f>SUMIFS(المرجع!$C$2:$C$19,المرجع!$A$2:$A$19,$E32,المرجع!$B$2:$B$19,$F32)</f>
        <v>5</v>
      </c>
      <c r="H32" s="14">
        <v>47</v>
      </c>
      <c r="I32" s="16">
        <f t="shared" si="1"/>
        <v>2.35</v>
      </c>
    </row>
    <row r="33" spans="1:9">
      <c r="A33" t="s">
        <v>61</v>
      </c>
      <c r="B33" s="4" t="s">
        <v>19</v>
      </c>
      <c r="C33" s="4" t="s">
        <v>19</v>
      </c>
      <c r="D33" s="4" t="s">
        <v>48</v>
      </c>
      <c r="E33" s="6" t="s">
        <v>347</v>
      </c>
      <c r="F33" s="4" t="s">
        <v>23</v>
      </c>
      <c r="G33" s="15">
        <f>SUMIFS(المرجع!$C$2:$C$19,المرجع!$A$2:$A$19,$E33,المرجع!$B$2:$B$19,$F33)</f>
        <v>25</v>
      </c>
      <c r="H33" s="14">
        <v>25</v>
      </c>
      <c r="I33" s="16">
        <f t="shared" si="1"/>
        <v>6.25</v>
      </c>
    </row>
    <row r="34" spans="1:9">
      <c r="A34" t="s">
        <v>62</v>
      </c>
      <c r="B34" s="4" t="s">
        <v>19</v>
      </c>
      <c r="C34" s="4" t="s">
        <v>19</v>
      </c>
      <c r="D34" s="4" t="s">
        <v>48</v>
      </c>
      <c r="E34" s="6" t="s">
        <v>347</v>
      </c>
      <c r="F34" s="4" t="s">
        <v>25</v>
      </c>
      <c r="G34" s="15">
        <f>SUMIFS(المرجع!$C$2:$C$19,المرجع!$A$2:$A$19,$E34,المرجع!$B$2:$B$19,$F34)</f>
        <v>15</v>
      </c>
      <c r="H34" s="14">
        <v>29</v>
      </c>
      <c r="I34" s="16">
        <f t="shared" si="1"/>
        <v>4.3499999999999996</v>
      </c>
    </row>
    <row r="35" spans="1:9">
      <c r="A35" t="s">
        <v>63</v>
      </c>
      <c r="B35" s="4" t="s">
        <v>19</v>
      </c>
      <c r="C35" s="4" t="s">
        <v>19</v>
      </c>
      <c r="D35" s="4" t="s">
        <v>48</v>
      </c>
      <c r="E35" s="6" t="s">
        <v>347</v>
      </c>
      <c r="F35" s="4" t="s">
        <v>29</v>
      </c>
      <c r="G35" s="15">
        <f>SUMIFS(المرجع!$C$2:$C$19,المرجع!$A$2:$A$19,$E35,المرجع!$B$2:$B$19,$F35)</f>
        <v>15</v>
      </c>
      <c r="H35" s="14">
        <v>37</v>
      </c>
      <c r="I35" s="16">
        <f t="shared" si="1"/>
        <v>5.55</v>
      </c>
    </row>
    <row r="36" spans="1:9">
      <c r="A36" t="s">
        <v>64</v>
      </c>
      <c r="B36" s="4" t="s">
        <v>19</v>
      </c>
      <c r="C36" s="4" t="s">
        <v>19</v>
      </c>
      <c r="D36" s="4" t="s">
        <v>48</v>
      </c>
      <c r="E36" s="6" t="s">
        <v>347</v>
      </c>
      <c r="F36" s="4" t="s">
        <v>31</v>
      </c>
      <c r="G36" s="15">
        <f>SUMIFS(المرجع!$C$2:$C$19,المرجع!$A$2:$A$19,$E36,المرجع!$B$2:$B$19,$F36)</f>
        <v>15</v>
      </c>
      <c r="H36" s="14">
        <v>38</v>
      </c>
      <c r="I36" s="16">
        <f t="shared" si="1"/>
        <v>5.7</v>
      </c>
    </row>
    <row r="37" spans="1:9">
      <c r="A37" t="s">
        <v>65</v>
      </c>
      <c r="B37" s="4" t="s">
        <v>19</v>
      </c>
      <c r="C37" s="4" t="s">
        <v>19</v>
      </c>
      <c r="D37" s="4" t="s">
        <v>48</v>
      </c>
      <c r="E37" s="6" t="s">
        <v>347</v>
      </c>
      <c r="F37" s="4" t="s">
        <v>46</v>
      </c>
      <c r="G37" s="15">
        <f>SUMIFS(المرجع!$C$2:$C$19,المرجع!$A$2:$A$19,$E37,المرجع!$B$2:$B$19,$F37)</f>
        <v>30</v>
      </c>
      <c r="H37" s="14">
        <v>56</v>
      </c>
      <c r="I37" s="16">
        <f t="shared" si="1"/>
        <v>16.8</v>
      </c>
    </row>
    <row r="38" spans="1:9" hidden="1">
      <c r="A38" t="s">
        <v>66</v>
      </c>
      <c r="B38" s="4" t="s">
        <v>67</v>
      </c>
      <c r="C38" s="4" t="s">
        <v>68</v>
      </c>
      <c r="D38" s="4" t="s">
        <v>69</v>
      </c>
      <c r="E38" s="6" t="s">
        <v>346</v>
      </c>
      <c r="F38" s="4" t="s">
        <v>21</v>
      </c>
      <c r="G38" s="15">
        <f>SUMIFS(المرجع!$C$2:$C$19,المرجع!$A$2:$A$19,$E38,المرجع!$B$2:$B$19,$F38)</f>
        <v>25</v>
      </c>
      <c r="H38" s="14">
        <v>74.7</v>
      </c>
      <c r="I38" s="16">
        <f>G38*H38/100</f>
        <v>18.675000000000001</v>
      </c>
    </row>
    <row r="39" spans="1:9" hidden="1">
      <c r="A39" t="s">
        <v>70</v>
      </c>
      <c r="B39" s="4" t="s">
        <v>67</v>
      </c>
      <c r="C39" s="4" t="s">
        <v>68</v>
      </c>
      <c r="D39" s="4" t="s">
        <v>69</v>
      </c>
      <c r="E39" s="6" t="s">
        <v>346</v>
      </c>
      <c r="F39" s="4" t="s">
        <v>23</v>
      </c>
      <c r="G39" s="15">
        <f>SUMIFS(المرجع!$C$2:$C$19,المرجع!$A$2:$A$19,$E39,المرجع!$B$2:$B$19,$F39)</f>
        <v>15</v>
      </c>
      <c r="H39" s="14">
        <f t="shared" ref="H39:H43" si="2">89.99</f>
        <v>89.99</v>
      </c>
      <c r="I39" s="16">
        <f t="shared" ref="I39:I43" si="3">G39*H39/100</f>
        <v>13.4985</v>
      </c>
    </row>
    <row r="40" spans="1:9" hidden="1">
      <c r="A40" t="s">
        <v>71</v>
      </c>
      <c r="B40" s="4" t="s">
        <v>67</v>
      </c>
      <c r="C40" s="4" t="s">
        <v>68</v>
      </c>
      <c r="D40" s="4" t="s">
        <v>69</v>
      </c>
      <c r="E40" s="6" t="s">
        <v>346</v>
      </c>
      <c r="F40" s="4" t="s">
        <v>25</v>
      </c>
      <c r="G40" s="15">
        <f>SUMIFS(المرجع!$C$2:$C$19,المرجع!$A$2:$A$19,$E40,المرجع!$B$2:$B$19,$F40)</f>
        <v>15</v>
      </c>
      <c r="H40" s="14">
        <f t="shared" si="2"/>
        <v>89.99</v>
      </c>
      <c r="I40" s="16">
        <f t="shared" si="3"/>
        <v>13.4985</v>
      </c>
    </row>
    <row r="41" spans="1:9" hidden="1">
      <c r="A41" t="s">
        <v>72</v>
      </c>
      <c r="B41" s="4" t="s">
        <v>67</v>
      </c>
      <c r="C41" s="4" t="s">
        <v>68</v>
      </c>
      <c r="D41" s="4" t="s">
        <v>69</v>
      </c>
      <c r="E41" s="6" t="s">
        <v>346</v>
      </c>
      <c r="F41" s="4" t="s">
        <v>27</v>
      </c>
      <c r="G41" s="15">
        <f>SUMIFS(المرجع!$C$2:$C$19,المرجع!$A$2:$A$19,$E41,المرجع!$B$2:$B$19,$F41)</f>
        <v>20</v>
      </c>
      <c r="H41" s="14">
        <f t="shared" si="2"/>
        <v>89.99</v>
      </c>
      <c r="I41" s="16">
        <f t="shared" si="3"/>
        <v>17.998000000000001</v>
      </c>
    </row>
    <row r="42" spans="1:9" hidden="1">
      <c r="A42" t="s">
        <v>73</v>
      </c>
      <c r="B42" s="4" t="s">
        <v>67</v>
      </c>
      <c r="C42" s="4" t="s">
        <v>68</v>
      </c>
      <c r="D42" s="4" t="s">
        <v>69</v>
      </c>
      <c r="E42" s="6" t="s">
        <v>346</v>
      </c>
      <c r="F42" s="4" t="s">
        <v>29</v>
      </c>
      <c r="G42" s="15">
        <f>SUMIFS(المرجع!$C$2:$C$19,المرجع!$A$2:$A$19,$E42,المرجع!$B$2:$B$19,$F42)</f>
        <v>20</v>
      </c>
      <c r="H42" s="14">
        <f t="shared" si="2"/>
        <v>89.99</v>
      </c>
      <c r="I42" s="16">
        <f t="shared" si="3"/>
        <v>17.998000000000001</v>
      </c>
    </row>
    <row r="43" spans="1:9" hidden="1">
      <c r="A43" t="s">
        <v>74</v>
      </c>
      <c r="B43" s="4" t="s">
        <v>67</v>
      </c>
      <c r="C43" s="4" t="s">
        <v>68</v>
      </c>
      <c r="D43" s="4" t="s">
        <v>69</v>
      </c>
      <c r="E43" s="6" t="s">
        <v>346</v>
      </c>
      <c r="F43" s="4" t="s">
        <v>31</v>
      </c>
      <c r="G43" s="15">
        <f>SUMIFS(المرجع!$C$2:$C$19,المرجع!$A$2:$A$19,$E43,المرجع!$B$2:$B$19,$F43)</f>
        <v>5</v>
      </c>
      <c r="H43" s="14">
        <f t="shared" si="2"/>
        <v>89.99</v>
      </c>
      <c r="I43" s="16">
        <f t="shared" si="3"/>
        <v>4.4995000000000003</v>
      </c>
    </row>
    <row r="44" spans="1:9" hidden="1">
      <c r="A44" t="s">
        <v>75</v>
      </c>
      <c r="B44" s="4" t="s">
        <v>67</v>
      </c>
      <c r="C44" s="4" t="s">
        <v>68</v>
      </c>
      <c r="D44" s="4" t="s">
        <v>69</v>
      </c>
      <c r="E44" s="6" t="s">
        <v>33</v>
      </c>
      <c r="F44" s="4" t="s">
        <v>21</v>
      </c>
      <c r="G44" s="15">
        <f>SUMIFS(المرجع!$C$2:$C$19,المرجع!$A$2:$A$19,$E44,المرجع!$B$2:$B$19,$F44)</f>
        <v>15</v>
      </c>
      <c r="H44" s="14">
        <v>67</v>
      </c>
      <c r="I44" s="16">
        <f t="shared" si="0"/>
        <v>10.050000000000001</v>
      </c>
    </row>
    <row r="45" spans="1:9" hidden="1">
      <c r="A45" t="s">
        <v>76</v>
      </c>
      <c r="B45" s="4" t="s">
        <v>67</v>
      </c>
      <c r="C45" s="4" t="s">
        <v>68</v>
      </c>
      <c r="D45" s="4" t="s">
        <v>69</v>
      </c>
      <c r="E45" s="6" t="s">
        <v>33</v>
      </c>
      <c r="F45" s="4" t="s">
        <v>23</v>
      </c>
      <c r="G45" s="15">
        <f>SUMIFS(المرجع!$C$2:$C$19,المرجع!$A$2:$A$19,$E45,المرجع!$B$2:$B$19,$F45)</f>
        <v>15</v>
      </c>
      <c r="H45" s="14">
        <v>61</v>
      </c>
      <c r="I45" s="16">
        <f t="shared" si="0"/>
        <v>9.15</v>
      </c>
    </row>
    <row r="46" spans="1:9" hidden="1">
      <c r="A46" t="s">
        <v>77</v>
      </c>
      <c r="B46" s="4" t="s">
        <v>67</v>
      </c>
      <c r="C46" s="4" t="s">
        <v>68</v>
      </c>
      <c r="D46" s="4" t="s">
        <v>69</v>
      </c>
      <c r="E46" s="6" t="s">
        <v>33</v>
      </c>
      <c r="F46" s="4" t="s">
        <v>25</v>
      </c>
      <c r="G46" s="15">
        <f>SUMIFS(المرجع!$C$2:$C$19,المرجع!$A$2:$A$19,$E46,المرجع!$B$2:$B$19,$F46)</f>
        <v>15</v>
      </c>
      <c r="H46" s="14">
        <v>47</v>
      </c>
      <c r="I46" s="16">
        <f t="shared" si="0"/>
        <v>7.05</v>
      </c>
    </row>
    <row r="47" spans="1:9" hidden="1">
      <c r="A47" t="s">
        <v>78</v>
      </c>
      <c r="B47" s="4" t="s">
        <v>67</v>
      </c>
      <c r="C47" s="4" t="s">
        <v>68</v>
      </c>
      <c r="D47" s="4" t="s">
        <v>69</v>
      </c>
      <c r="E47" s="6" t="s">
        <v>33</v>
      </c>
      <c r="F47" s="4" t="s">
        <v>27</v>
      </c>
      <c r="G47" s="15">
        <f>SUMIFS(المرجع!$C$2:$C$19,المرجع!$A$2:$A$19,$E47,المرجع!$B$2:$B$19,$F47)</f>
        <v>20</v>
      </c>
      <c r="H47" s="14">
        <v>74</v>
      </c>
      <c r="I47" s="16">
        <f t="shared" si="0"/>
        <v>14.8</v>
      </c>
    </row>
    <row r="48" spans="1:9" hidden="1">
      <c r="A48" t="s">
        <v>79</v>
      </c>
      <c r="B48" s="4" t="s">
        <v>67</v>
      </c>
      <c r="C48" s="4" t="s">
        <v>68</v>
      </c>
      <c r="D48" s="4" t="s">
        <v>69</v>
      </c>
      <c r="E48" s="6" t="s">
        <v>33</v>
      </c>
      <c r="F48" s="4" t="s">
        <v>29</v>
      </c>
      <c r="G48" s="15">
        <f>SUMIFS(المرجع!$C$2:$C$19,المرجع!$A$2:$A$19,$E48,المرجع!$B$2:$B$19,$F48)</f>
        <v>25</v>
      </c>
      <c r="H48" s="14">
        <v>79</v>
      </c>
      <c r="I48" s="16">
        <f t="shared" si="0"/>
        <v>19.75</v>
      </c>
    </row>
    <row r="49" spans="1:9" hidden="1">
      <c r="A49" t="s">
        <v>80</v>
      </c>
      <c r="B49" s="4" t="s">
        <v>67</v>
      </c>
      <c r="C49" s="4" t="s">
        <v>68</v>
      </c>
      <c r="D49" s="4" t="s">
        <v>69</v>
      </c>
      <c r="E49" s="6" t="s">
        <v>33</v>
      </c>
      <c r="F49" s="4" t="s">
        <v>31</v>
      </c>
      <c r="G49" s="15">
        <f>SUMIFS(المرجع!$C$2:$C$19,المرجع!$A$2:$A$19,$E49,المرجع!$B$2:$B$19,$F49)</f>
        <v>5</v>
      </c>
      <c r="H49" s="14">
        <v>52</v>
      </c>
      <c r="I49" s="16">
        <f t="shared" si="0"/>
        <v>2.6</v>
      </c>
    </row>
    <row r="50" spans="1:9" hidden="1">
      <c r="A50" t="s">
        <v>81</v>
      </c>
      <c r="B50" s="4" t="s">
        <v>67</v>
      </c>
      <c r="C50" s="4" t="s">
        <v>68</v>
      </c>
      <c r="D50" s="4" t="s">
        <v>69</v>
      </c>
      <c r="E50" s="6" t="s">
        <v>33</v>
      </c>
      <c r="F50" s="4" t="s">
        <v>40</v>
      </c>
      <c r="G50" s="15">
        <f>SUMIFS(المرجع!$C$2:$C$19,المرجع!$A$2:$A$19,$E50,المرجع!$B$2:$B$19,$F50)</f>
        <v>5</v>
      </c>
      <c r="H50" s="14">
        <v>69</v>
      </c>
      <c r="I50" s="16">
        <f t="shared" si="0"/>
        <v>3.45</v>
      </c>
    </row>
    <row r="51" spans="1:9">
      <c r="A51" t="s">
        <v>82</v>
      </c>
      <c r="B51" s="4" t="s">
        <v>67</v>
      </c>
      <c r="C51" s="4" t="s">
        <v>68</v>
      </c>
      <c r="D51" s="4" t="s">
        <v>69</v>
      </c>
      <c r="E51" s="6" t="s">
        <v>347</v>
      </c>
      <c r="F51" s="4" t="s">
        <v>23</v>
      </c>
      <c r="G51" s="15">
        <f>SUMIFS(المرجع!$C$2:$C$19,المرجع!$A$2:$A$19,$E51,المرجع!$B$2:$B$19,$F51)</f>
        <v>25</v>
      </c>
      <c r="H51" s="14">
        <v>29</v>
      </c>
      <c r="I51" s="16">
        <f t="shared" si="0"/>
        <v>7.25</v>
      </c>
    </row>
    <row r="52" spans="1:9">
      <c r="A52" t="s">
        <v>83</v>
      </c>
      <c r="B52" s="4" t="s">
        <v>67</v>
      </c>
      <c r="C52" s="4" t="s">
        <v>68</v>
      </c>
      <c r="D52" s="4" t="s">
        <v>69</v>
      </c>
      <c r="E52" s="6" t="s">
        <v>347</v>
      </c>
      <c r="F52" s="4" t="s">
        <v>25</v>
      </c>
      <c r="G52" s="15">
        <f>SUMIFS(المرجع!$C$2:$C$19,المرجع!$A$2:$A$19,$E52,المرجع!$B$2:$B$19,$F52)</f>
        <v>15</v>
      </c>
      <c r="H52" s="14">
        <v>59</v>
      </c>
      <c r="I52" s="16">
        <f t="shared" si="0"/>
        <v>8.85</v>
      </c>
    </row>
    <row r="53" spans="1:9">
      <c r="A53" t="s">
        <v>84</v>
      </c>
      <c r="B53" s="4" t="s">
        <v>67</v>
      </c>
      <c r="C53" s="4" t="s">
        <v>68</v>
      </c>
      <c r="D53" s="4" t="s">
        <v>69</v>
      </c>
      <c r="E53" s="6" t="s">
        <v>347</v>
      </c>
      <c r="F53" s="4" t="s">
        <v>29</v>
      </c>
      <c r="G53" s="15">
        <f>SUMIFS(المرجع!$C$2:$C$19,المرجع!$A$2:$A$19,$E53,المرجع!$B$2:$B$19,$F53)</f>
        <v>15</v>
      </c>
      <c r="H53" s="14">
        <v>42</v>
      </c>
      <c r="I53" s="16">
        <f t="shared" si="0"/>
        <v>6.3</v>
      </c>
    </row>
    <row r="54" spans="1:9">
      <c r="A54" t="s">
        <v>85</v>
      </c>
      <c r="B54" s="4" t="s">
        <v>67</v>
      </c>
      <c r="C54" s="4" t="s">
        <v>68</v>
      </c>
      <c r="D54" s="4" t="s">
        <v>69</v>
      </c>
      <c r="E54" s="6" t="s">
        <v>347</v>
      </c>
      <c r="F54" s="4" t="s">
        <v>31</v>
      </c>
      <c r="G54" s="15">
        <f>SUMIFS(المرجع!$C$2:$C$19,المرجع!$A$2:$A$19,$E54,المرجع!$B$2:$B$19,$F54)</f>
        <v>15</v>
      </c>
      <c r="H54" s="14">
        <v>64</v>
      </c>
      <c r="I54" s="16">
        <f t="shared" si="0"/>
        <v>9.6</v>
      </c>
    </row>
    <row r="55" spans="1:9">
      <c r="A55" t="s">
        <v>86</v>
      </c>
      <c r="B55" s="4" t="s">
        <v>67</v>
      </c>
      <c r="C55" s="4" t="s">
        <v>68</v>
      </c>
      <c r="D55" s="4" t="s">
        <v>69</v>
      </c>
      <c r="E55" s="6" t="s">
        <v>347</v>
      </c>
      <c r="F55" s="4" t="s">
        <v>46</v>
      </c>
      <c r="G55" s="15">
        <f>SUMIFS(المرجع!$C$2:$C$19,المرجع!$A$2:$A$19,$E55,المرجع!$B$2:$B$19,$F55)</f>
        <v>30</v>
      </c>
      <c r="H55" s="14">
        <v>63</v>
      </c>
      <c r="I55" s="16">
        <f t="shared" si="0"/>
        <v>18.899999999999999</v>
      </c>
    </row>
    <row r="56" spans="1:9" hidden="1">
      <c r="A56" t="s">
        <v>87</v>
      </c>
      <c r="B56" s="4" t="s">
        <v>67</v>
      </c>
      <c r="C56" s="4" t="s">
        <v>68</v>
      </c>
      <c r="D56" s="4" t="s">
        <v>88</v>
      </c>
      <c r="E56" s="6" t="s">
        <v>346</v>
      </c>
      <c r="F56" s="4" t="s">
        <v>21</v>
      </c>
      <c r="G56" s="15">
        <f>SUMIFS(المرجع!$C$2:$C$19,المرجع!$A$2:$A$19,$E56,المرجع!$B$2:$B$19,$F56)</f>
        <v>25</v>
      </c>
      <c r="H56" s="14">
        <f t="shared" ref="H56:H61" si="4">25.93</f>
        <v>25.93</v>
      </c>
      <c r="I56" s="16">
        <f t="shared" ref="I56:I61" si="5">G56*H56/100</f>
        <v>6.4824999999999999</v>
      </c>
    </row>
    <row r="57" spans="1:9" hidden="1">
      <c r="A57" t="s">
        <v>89</v>
      </c>
      <c r="B57" s="4" t="s">
        <v>67</v>
      </c>
      <c r="C57" s="4" t="s">
        <v>68</v>
      </c>
      <c r="D57" s="4" t="s">
        <v>88</v>
      </c>
      <c r="E57" s="6" t="s">
        <v>346</v>
      </c>
      <c r="F57" s="4" t="s">
        <v>23</v>
      </c>
      <c r="G57" s="15">
        <f>SUMIFS(المرجع!$C$2:$C$19,المرجع!$A$2:$A$19,$E57,المرجع!$B$2:$B$19,$F57)</f>
        <v>15</v>
      </c>
      <c r="H57" s="14">
        <f t="shared" si="4"/>
        <v>25.93</v>
      </c>
      <c r="I57" s="16">
        <f t="shared" si="5"/>
        <v>3.8895</v>
      </c>
    </row>
    <row r="58" spans="1:9" hidden="1">
      <c r="A58" t="s">
        <v>90</v>
      </c>
      <c r="B58" s="4" t="s">
        <v>67</v>
      </c>
      <c r="C58" s="4" t="s">
        <v>68</v>
      </c>
      <c r="D58" s="4" t="s">
        <v>88</v>
      </c>
      <c r="E58" s="6" t="s">
        <v>346</v>
      </c>
      <c r="F58" s="4" t="s">
        <v>25</v>
      </c>
      <c r="G58" s="15">
        <f>SUMIFS(المرجع!$C$2:$C$19,المرجع!$A$2:$A$19,$E58,المرجع!$B$2:$B$19,$F58)</f>
        <v>15</v>
      </c>
      <c r="H58" s="14">
        <f t="shared" si="4"/>
        <v>25.93</v>
      </c>
      <c r="I58" s="16">
        <f t="shared" si="5"/>
        <v>3.8895</v>
      </c>
    </row>
    <row r="59" spans="1:9" hidden="1">
      <c r="A59" t="s">
        <v>91</v>
      </c>
      <c r="B59" s="4" t="s">
        <v>67</v>
      </c>
      <c r="C59" s="4" t="s">
        <v>68</v>
      </c>
      <c r="D59" s="4" t="s">
        <v>88</v>
      </c>
      <c r="E59" s="6" t="s">
        <v>346</v>
      </c>
      <c r="F59" s="4" t="s">
        <v>27</v>
      </c>
      <c r="G59" s="15">
        <f>SUMIFS(المرجع!$C$2:$C$19,المرجع!$A$2:$A$19,$E59,المرجع!$B$2:$B$19,$F59)</f>
        <v>20</v>
      </c>
      <c r="H59" s="14">
        <f t="shared" si="4"/>
        <v>25.93</v>
      </c>
      <c r="I59" s="16">
        <f t="shared" si="5"/>
        <v>5.1859999999999999</v>
      </c>
    </row>
    <row r="60" spans="1:9" hidden="1">
      <c r="A60" t="s">
        <v>92</v>
      </c>
      <c r="B60" s="4" t="s">
        <v>67</v>
      </c>
      <c r="C60" s="4" t="s">
        <v>68</v>
      </c>
      <c r="D60" s="4" t="s">
        <v>88</v>
      </c>
      <c r="E60" s="6" t="s">
        <v>346</v>
      </c>
      <c r="F60" s="4" t="s">
        <v>29</v>
      </c>
      <c r="G60" s="15">
        <f>SUMIFS(المرجع!$C$2:$C$19,المرجع!$A$2:$A$19,$E60,المرجع!$B$2:$B$19,$F60)</f>
        <v>20</v>
      </c>
      <c r="H60" s="14">
        <f t="shared" si="4"/>
        <v>25.93</v>
      </c>
      <c r="I60" s="16">
        <f t="shared" si="5"/>
        <v>5.1859999999999999</v>
      </c>
    </row>
    <row r="61" spans="1:9" hidden="1">
      <c r="A61" t="s">
        <v>93</v>
      </c>
      <c r="B61" s="4" t="s">
        <v>67</v>
      </c>
      <c r="C61" s="4" t="s">
        <v>68</v>
      </c>
      <c r="D61" s="4" t="s">
        <v>88</v>
      </c>
      <c r="E61" s="6" t="s">
        <v>346</v>
      </c>
      <c r="F61" s="4" t="s">
        <v>31</v>
      </c>
      <c r="G61" s="15">
        <f>SUMIFS(المرجع!$C$2:$C$19,المرجع!$A$2:$A$19,$E61,المرجع!$B$2:$B$19,$F61)</f>
        <v>5</v>
      </c>
      <c r="H61" s="14">
        <f t="shared" si="4"/>
        <v>25.93</v>
      </c>
      <c r="I61" s="16">
        <f t="shared" si="5"/>
        <v>1.2965</v>
      </c>
    </row>
    <row r="62" spans="1:9" hidden="1">
      <c r="A62" t="s">
        <v>94</v>
      </c>
      <c r="B62" s="4" t="s">
        <v>67</v>
      </c>
      <c r="C62" s="4" t="s">
        <v>68</v>
      </c>
      <c r="D62" s="4" t="s">
        <v>88</v>
      </c>
      <c r="E62" s="6" t="s">
        <v>33</v>
      </c>
      <c r="F62" s="4" t="s">
        <v>21</v>
      </c>
      <c r="G62" s="15">
        <f>SUMIFS(المرجع!$C$2:$C$19,المرجع!$A$2:$A$19,$E62,المرجع!$B$2:$B$19,$F62)</f>
        <v>15</v>
      </c>
      <c r="H62" s="14">
        <v>63</v>
      </c>
      <c r="I62" s="16">
        <f t="shared" si="0"/>
        <v>9.4499999999999993</v>
      </c>
    </row>
    <row r="63" spans="1:9" hidden="1">
      <c r="A63" t="s">
        <v>95</v>
      </c>
      <c r="B63" s="4" t="s">
        <v>67</v>
      </c>
      <c r="C63" s="4" t="s">
        <v>68</v>
      </c>
      <c r="D63" s="4" t="s">
        <v>88</v>
      </c>
      <c r="E63" s="6" t="s">
        <v>33</v>
      </c>
      <c r="F63" s="4" t="s">
        <v>23</v>
      </c>
      <c r="G63" s="15">
        <f>SUMIFS(المرجع!$C$2:$C$19,المرجع!$A$2:$A$19,$E63,المرجع!$B$2:$B$19,$F63)</f>
        <v>15</v>
      </c>
      <c r="H63" s="14">
        <v>50</v>
      </c>
      <c r="I63" s="16">
        <f t="shared" si="0"/>
        <v>7.5</v>
      </c>
    </row>
    <row r="64" spans="1:9" hidden="1">
      <c r="A64" t="s">
        <v>96</v>
      </c>
      <c r="B64" s="4" t="s">
        <v>67</v>
      </c>
      <c r="C64" s="4" t="s">
        <v>68</v>
      </c>
      <c r="D64" s="4" t="s">
        <v>88</v>
      </c>
      <c r="E64" s="6" t="s">
        <v>33</v>
      </c>
      <c r="F64" s="4" t="s">
        <v>25</v>
      </c>
      <c r="G64" s="15">
        <f>SUMIFS(المرجع!$C$2:$C$19,المرجع!$A$2:$A$19,$E64,المرجع!$B$2:$B$19,$F64)</f>
        <v>15</v>
      </c>
      <c r="H64" s="14">
        <v>59</v>
      </c>
      <c r="I64" s="16">
        <f t="shared" si="0"/>
        <v>8.85</v>
      </c>
    </row>
    <row r="65" spans="1:9" hidden="1">
      <c r="A65" t="s">
        <v>97</v>
      </c>
      <c r="B65" s="4" t="s">
        <v>67</v>
      </c>
      <c r="C65" s="4" t="s">
        <v>68</v>
      </c>
      <c r="D65" s="4" t="s">
        <v>88</v>
      </c>
      <c r="E65" s="6" t="s">
        <v>33</v>
      </c>
      <c r="F65" s="4" t="s">
        <v>27</v>
      </c>
      <c r="G65" s="15">
        <f>SUMIFS(المرجع!$C$2:$C$19,المرجع!$A$2:$A$19,$E65,المرجع!$B$2:$B$19,$F65)</f>
        <v>20</v>
      </c>
      <c r="H65" s="14">
        <v>51</v>
      </c>
      <c r="I65" s="16">
        <f t="shared" si="0"/>
        <v>10.199999999999999</v>
      </c>
    </row>
    <row r="66" spans="1:9" hidden="1">
      <c r="A66" t="s">
        <v>98</v>
      </c>
      <c r="B66" s="4" t="s">
        <v>67</v>
      </c>
      <c r="C66" s="4" t="s">
        <v>68</v>
      </c>
      <c r="D66" s="4" t="s">
        <v>88</v>
      </c>
      <c r="E66" s="6" t="s">
        <v>33</v>
      </c>
      <c r="F66" s="4" t="s">
        <v>29</v>
      </c>
      <c r="G66" s="15">
        <f>SUMIFS(المرجع!$C$2:$C$19,المرجع!$A$2:$A$19,$E66,المرجع!$B$2:$B$19,$F66)</f>
        <v>25</v>
      </c>
      <c r="H66" s="14">
        <v>69</v>
      </c>
      <c r="I66" s="16">
        <f t="shared" ref="I66:I127" si="6">G66*H66/100</f>
        <v>17.25</v>
      </c>
    </row>
    <row r="67" spans="1:9" hidden="1">
      <c r="A67" t="s">
        <v>99</v>
      </c>
      <c r="B67" s="4" t="s">
        <v>67</v>
      </c>
      <c r="C67" s="4" t="s">
        <v>68</v>
      </c>
      <c r="D67" s="4" t="s">
        <v>88</v>
      </c>
      <c r="E67" s="6" t="s">
        <v>33</v>
      </c>
      <c r="F67" s="4" t="s">
        <v>31</v>
      </c>
      <c r="G67" s="15">
        <f>SUMIFS(المرجع!$C$2:$C$19,المرجع!$A$2:$A$19,$E67,المرجع!$B$2:$B$19,$F67)</f>
        <v>5</v>
      </c>
      <c r="H67" s="14">
        <v>62</v>
      </c>
      <c r="I67" s="16">
        <f t="shared" si="6"/>
        <v>3.1</v>
      </c>
    </row>
    <row r="68" spans="1:9" hidden="1">
      <c r="A68" t="s">
        <v>100</v>
      </c>
      <c r="B68" s="4" t="s">
        <v>67</v>
      </c>
      <c r="C68" s="4" t="s">
        <v>68</v>
      </c>
      <c r="D68" s="4" t="s">
        <v>88</v>
      </c>
      <c r="E68" s="6" t="s">
        <v>33</v>
      </c>
      <c r="F68" s="4" t="s">
        <v>40</v>
      </c>
      <c r="G68" s="15">
        <f>SUMIFS(المرجع!$C$2:$C$19,المرجع!$A$2:$A$19,$E68,المرجع!$B$2:$B$19,$F68)</f>
        <v>5</v>
      </c>
      <c r="H68" s="14">
        <v>74</v>
      </c>
      <c r="I68" s="16">
        <f t="shared" si="6"/>
        <v>3.7</v>
      </c>
    </row>
    <row r="69" spans="1:9">
      <c r="A69" t="s">
        <v>101</v>
      </c>
      <c r="B69" s="4" t="s">
        <v>67</v>
      </c>
      <c r="C69" s="4" t="s">
        <v>68</v>
      </c>
      <c r="D69" s="4" t="s">
        <v>88</v>
      </c>
      <c r="E69" s="6" t="s">
        <v>347</v>
      </c>
      <c r="F69" s="4" t="s">
        <v>23</v>
      </c>
      <c r="G69" s="15">
        <f>SUMIFS(المرجع!$C$2:$C$19,المرجع!$A$2:$A$19,$E69,المرجع!$B$2:$B$19,$F69)</f>
        <v>25</v>
      </c>
      <c r="H69" s="14">
        <v>64</v>
      </c>
      <c r="I69" s="16">
        <f t="shared" si="6"/>
        <v>16</v>
      </c>
    </row>
    <row r="70" spans="1:9">
      <c r="A70" t="s">
        <v>102</v>
      </c>
      <c r="B70" s="4" t="s">
        <v>67</v>
      </c>
      <c r="C70" s="4" t="s">
        <v>68</v>
      </c>
      <c r="D70" s="4" t="s">
        <v>88</v>
      </c>
      <c r="E70" s="6" t="s">
        <v>347</v>
      </c>
      <c r="F70" s="4" t="s">
        <v>25</v>
      </c>
      <c r="G70" s="15">
        <f>SUMIFS(المرجع!$C$2:$C$19,المرجع!$A$2:$A$19,$E70,المرجع!$B$2:$B$19,$F70)</f>
        <v>15</v>
      </c>
      <c r="H70" s="14">
        <v>47</v>
      </c>
      <c r="I70" s="16">
        <f t="shared" si="6"/>
        <v>7.05</v>
      </c>
    </row>
    <row r="71" spans="1:9">
      <c r="A71" t="s">
        <v>103</v>
      </c>
      <c r="B71" s="4" t="s">
        <v>67</v>
      </c>
      <c r="C71" s="4" t="s">
        <v>68</v>
      </c>
      <c r="D71" s="4" t="s">
        <v>88</v>
      </c>
      <c r="E71" s="6" t="s">
        <v>347</v>
      </c>
      <c r="F71" s="4" t="s">
        <v>29</v>
      </c>
      <c r="G71" s="15">
        <f>SUMIFS(المرجع!$C$2:$C$19,المرجع!$A$2:$A$19,$E71,المرجع!$B$2:$B$19,$F71)</f>
        <v>15</v>
      </c>
      <c r="H71" s="14">
        <v>34</v>
      </c>
      <c r="I71" s="16">
        <f t="shared" si="6"/>
        <v>5.0999999999999996</v>
      </c>
    </row>
    <row r="72" spans="1:9">
      <c r="A72" t="s">
        <v>104</v>
      </c>
      <c r="B72" s="4" t="s">
        <v>67</v>
      </c>
      <c r="C72" s="4" t="s">
        <v>68</v>
      </c>
      <c r="D72" s="4" t="s">
        <v>88</v>
      </c>
      <c r="E72" s="6" t="s">
        <v>347</v>
      </c>
      <c r="F72" s="4" t="s">
        <v>31</v>
      </c>
      <c r="G72" s="15">
        <f>SUMIFS(المرجع!$C$2:$C$19,المرجع!$A$2:$A$19,$E72,المرجع!$B$2:$B$19,$F72)</f>
        <v>15</v>
      </c>
      <c r="H72" s="14">
        <v>47</v>
      </c>
      <c r="I72" s="16">
        <f t="shared" si="6"/>
        <v>7.05</v>
      </c>
    </row>
    <row r="73" spans="1:9">
      <c r="A73" t="s">
        <v>105</v>
      </c>
      <c r="B73" s="4" t="s">
        <v>67</v>
      </c>
      <c r="C73" s="4" t="s">
        <v>68</v>
      </c>
      <c r="D73" s="4" t="s">
        <v>88</v>
      </c>
      <c r="E73" s="6" t="s">
        <v>347</v>
      </c>
      <c r="F73" s="4" t="s">
        <v>46</v>
      </c>
      <c r="G73" s="15">
        <f>SUMIFS(المرجع!$C$2:$C$19,المرجع!$A$2:$A$19,$E73,المرجع!$B$2:$B$19,$F73)</f>
        <v>30</v>
      </c>
      <c r="H73" s="14">
        <v>46</v>
      </c>
      <c r="I73" s="16">
        <f t="shared" si="6"/>
        <v>13.8</v>
      </c>
    </row>
    <row r="74" spans="1:9" hidden="1">
      <c r="A74" t="s">
        <v>106</v>
      </c>
      <c r="B74" s="4" t="s">
        <v>67</v>
      </c>
      <c r="C74" s="4" t="s">
        <v>68</v>
      </c>
      <c r="D74" s="4" t="s">
        <v>107</v>
      </c>
      <c r="E74" s="6" t="s">
        <v>346</v>
      </c>
      <c r="F74" s="4" t="s">
        <v>21</v>
      </c>
      <c r="G74" s="15">
        <f>SUMIFS(المرجع!$C$2:$C$19,المرجع!$A$2:$A$19,$E74,المرجع!$B$2:$B$19,$F74)</f>
        <v>25</v>
      </c>
      <c r="H74" s="14">
        <f t="shared" ref="H74:H79" si="7">60.26</f>
        <v>60.26</v>
      </c>
      <c r="I74" s="16">
        <f t="shared" ref="I74:I79" si="8">G74*H74/100</f>
        <v>15.065</v>
      </c>
    </row>
    <row r="75" spans="1:9" hidden="1">
      <c r="A75" t="s">
        <v>108</v>
      </c>
      <c r="B75" s="4" t="s">
        <v>67</v>
      </c>
      <c r="C75" s="4" t="s">
        <v>68</v>
      </c>
      <c r="D75" s="4" t="s">
        <v>107</v>
      </c>
      <c r="E75" s="6" t="s">
        <v>346</v>
      </c>
      <c r="F75" s="4" t="s">
        <v>23</v>
      </c>
      <c r="G75" s="15">
        <f>SUMIFS(المرجع!$C$2:$C$19,المرجع!$A$2:$A$19,$E75,المرجع!$B$2:$B$19,$F75)</f>
        <v>15</v>
      </c>
      <c r="H75" s="14">
        <f t="shared" si="7"/>
        <v>60.26</v>
      </c>
      <c r="I75" s="16">
        <f t="shared" si="8"/>
        <v>9.0389999999999997</v>
      </c>
    </row>
    <row r="76" spans="1:9" hidden="1">
      <c r="A76" t="s">
        <v>109</v>
      </c>
      <c r="B76" s="4" t="s">
        <v>67</v>
      </c>
      <c r="C76" s="4" t="s">
        <v>68</v>
      </c>
      <c r="D76" s="4" t="s">
        <v>107</v>
      </c>
      <c r="E76" s="6" t="s">
        <v>346</v>
      </c>
      <c r="F76" s="4" t="s">
        <v>25</v>
      </c>
      <c r="G76" s="15">
        <f>SUMIFS(المرجع!$C$2:$C$19,المرجع!$A$2:$A$19,$E76,المرجع!$B$2:$B$19,$F76)</f>
        <v>15</v>
      </c>
      <c r="H76" s="14">
        <f t="shared" si="7"/>
        <v>60.26</v>
      </c>
      <c r="I76" s="16">
        <f t="shared" si="8"/>
        <v>9.0389999999999997</v>
      </c>
    </row>
    <row r="77" spans="1:9" hidden="1">
      <c r="A77" t="s">
        <v>110</v>
      </c>
      <c r="B77" s="4" t="s">
        <v>67</v>
      </c>
      <c r="C77" s="4" t="s">
        <v>68</v>
      </c>
      <c r="D77" s="4" t="s">
        <v>107</v>
      </c>
      <c r="E77" s="6" t="s">
        <v>346</v>
      </c>
      <c r="F77" s="4" t="s">
        <v>27</v>
      </c>
      <c r="G77" s="15">
        <f>SUMIFS(المرجع!$C$2:$C$19,المرجع!$A$2:$A$19,$E77,المرجع!$B$2:$B$19,$F77)</f>
        <v>20</v>
      </c>
      <c r="H77" s="14">
        <f t="shared" si="7"/>
        <v>60.26</v>
      </c>
      <c r="I77" s="16">
        <f t="shared" si="8"/>
        <v>12.052</v>
      </c>
    </row>
    <row r="78" spans="1:9" hidden="1">
      <c r="A78" t="s">
        <v>111</v>
      </c>
      <c r="B78" s="4" t="s">
        <v>67</v>
      </c>
      <c r="C78" s="4" t="s">
        <v>68</v>
      </c>
      <c r="D78" s="4" t="s">
        <v>107</v>
      </c>
      <c r="E78" s="6" t="s">
        <v>346</v>
      </c>
      <c r="F78" s="4" t="s">
        <v>29</v>
      </c>
      <c r="G78" s="15">
        <f>SUMIFS(المرجع!$C$2:$C$19,المرجع!$A$2:$A$19,$E78,المرجع!$B$2:$B$19,$F78)</f>
        <v>20</v>
      </c>
      <c r="H78" s="14">
        <f t="shared" si="7"/>
        <v>60.26</v>
      </c>
      <c r="I78" s="16">
        <f t="shared" si="8"/>
        <v>12.052</v>
      </c>
    </row>
    <row r="79" spans="1:9" hidden="1">
      <c r="A79" t="s">
        <v>112</v>
      </c>
      <c r="B79" s="4" t="s">
        <v>67</v>
      </c>
      <c r="C79" s="4" t="s">
        <v>68</v>
      </c>
      <c r="D79" s="4" t="s">
        <v>107</v>
      </c>
      <c r="E79" s="6" t="s">
        <v>346</v>
      </c>
      <c r="F79" s="4" t="s">
        <v>31</v>
      </c>
      <c r="G79" s="15">
        <f>SUMIFS(المرجع!$C$2:$C$19,المرجع!$A$2:$A$19,$E79,المرجع!$B$2:$B$19,$F79)</f>
        <v>5</v>
      </c>
      <c r="H79" s="14">
        <f t="shared" si="7"/>
        <v>60.26</v>
      </c>
      <c r="I79" s="16">
        <f t="shared" si="8"/>
        <v>3.0129999999999999</v>
      </c>
    </row>
    <row r="80" spans="1:9" hidden="1">
      <c r="A80" t="s">
        <v>113</v>
      </c>
      <c r="B80" s="4" t="s">
        <v>67</v>
      </c>
      <c r="C80" s="4" t="s">
        <v>68</v>
      </c>
      <c r="D80" s="4" t="s">
        <v>107</v>
      </c>
      <c r="E80" s="6" t="s">
        <v>33</v>
      </c>
      <c r="F80" s="4" t="s">
        <v>21</v>
      </c>
      <c r="G80" s="15">
        <f>SUMIFS(المرجع!$C$2:$C$19,المرجع!$A$2:$A$19,$E80,المرجع!$B$2:$B$19,$F80)</f>
        <v>15</v>
      </c>
      <c r="H80" s="14">
        <v>55</v>
      </c>
      <c r="I80" s="16">
        <f t="shared" si="6"/>
        <v>8.25</v>
      </c>
    </row>
    <row r="81" spans="1:9" hidden="1">
      <c r="A81" t="s">
        <v>114</v>
      </c>
      <c r="B81" s="4" t="s">
        <v>67</v>
      </c>
      <c r="C81" s="4" t="s">
        <v>68</v>
      </c>
      <c r="D81" s="4" t="s">
        <v>107</v>
      </c>
      <c r="E81" s="6" t="s">
        <v>33</v>
      </c>
      <c r="F81" s="4" t="s">
        <v>23</v>
      </c>
      <c r="G81" s="15">
        <f>SUMIFS(المرجع!$C$2:$C$19,المرجع!$A$2:$A$19,$E81,المرجع!$B$2:$B$19,$F81)</f>
        <v>15</v>
      </c>
      <c r="H81" s="14">
        <v>79</v>
      </c>
      <c r="I81" s="16">
        <f t="shared" si="6"/>
        <v>11.85</v>
      </c>
    </row>
    <row r="82" spans="1:9" hidden="1">
      <c r="A82" t="s">
        <v>115</v>
      </c>
      <c r="B82" s="4" t="s">
        <v>67</v>
      </c>
      <c r="C82" s="4" t="s">
        <v>68</v>
      </c>
      <c r="D82" s="4" t="s">
        <v>107</v>
      </c>
      <c r="E82" s="6" t="s">
        <v>33</v>
      </c>
      <c r="F82" s="4" t="s">
        <v>25</v>
      </c>
      <c r="G82" s="15">
        <f>SUMIFS(المرجع!$C$2:$C$19,المرجع!$A$2:$A$19,$E82,المرجع!$B$2:$B$19,$F82)</f>
        <v>15</v>
      </c>
      <c r="H82" s="14">
        <v>60</v>
      </c>
      <c r="I82" s="16">
        <f t="shared" si="6"/>
        <v>9</v>
      </c>
    </row>
    <row r="83" spans="1:9" hidden="1">
      <c r="A83" t="s">
        <v>116</v>
      </c>
      <c r="B83" s="4" t="s">
        <v>67</v>
      </c>
      <c r="C83" s="4" t="s">
        <v>68</v>
      </c>
      <c r="D83" s="4" t="s">
        <v>107</v>
      </c>
      <c r="E83" s="6" t="s">
        <v>33</v>
      </c>
      <c r="F83" s="4" t="s">
        <v>27</v>
      </c>
      <c r="G83" s="15">
        <f>SUMIFS(المرجع!$C$2:$C$19,المرجع!$A$2:$A$19,$E83,المرجع!$B$2:$B$19,$F83)</f>
        <v>20</v>
      </c>
      <c r="H83" s="14">
        <v>55</v>
      </c>
      <c r="I83" s="16">
        <f t="shared" si="6"/>
        <v>11</v>
      </c>
    </row>
    <row r="84" spans="1:9" hidden="1">
      <c r="A84" t="s">
        <v>117</v>
      </c>
      <c r="B84" s="4" t="s">
        <v>67</v>
      </c>
      <c r="C84" s="4" t="s">
        <v>68</v>
      </c>
      <c r="D84" s="4" t="s">
        <v>107</v>
      </c>
      <c r="E84" s="6" t="s">
        <v>33</v>
      </c>
      <c r="F84" s="4" t="s">
        <v>29</v>
      </c>
      <c r="G84" s="15">
        <f>SUMIFS(المرجع!$C$2:$C$19,المرجع!$A$2:$A$19,$E84,المرجع!$B$2:$B$19,$F84)</f>
        <v>25</v>
      </c>
      <c r="H84" s="14">
        <v>74</v>
      </c>
      <c r="I84" s="16">
        <f t="shared" si="6"/>
        <v>18.5</v>
      </c>
    </row>
    <row r="85" spans="1:9" hidden="1">
      <c r="A85" t="s">
        <v>118</v>
      </c>
      <c r="B85" s="4" t="s">
        <v>67</v>
      </c>
      <c r="C85" s="4" t="s">
        <v>68</v>
      </c>
      <c r="D85" s="4" t="s">
        <v>107</v>
      </c>
      <c r="E85" s="6" t="s">
        <v>33</v>
      </c>
      <c r="F85" s="4" t="s">
        <v>31</v>
      </c>
      <c r="G85" s="15">
        <f>SUMIFS(المرجع!$C$2:$C$19,المرجع!$A$2:$A$19,$E85,المرجع!$B$2:$B$19,$F85)</f>
        <v>5</v>
      </c>
      <c r="H85" s="14">
        <v>69</v>
      </c>
      <c r="I85" s="16">
        <f t="shared" si="6"/>
        <v>3.45</v>
      </c>
    </row>
    <row r="86" spans="1:9" hidden="1">
      <c r="A86" t="s">
        <v>119</v>
      </c>
      <c r="B86" s="4" t="s">
        <v>67</v>
      </c>
      <c r="C86" s="4" t="s">
        <v>68</v>
      </c>
      <c r="D86" s="4" t="s">
        <v>107</v>
      </c>
      <c r="E86" s="6" t="s">
        <v>33</v>
      </c>
      <c r="F86" s="4" t="s">
        <v>40</v>
      </c>
      <c r="G86" s="15">
        <f>SUMIFS(المرجع!$C$2:$C$19,المرجع!$A$2:$A$19,$E86,المرجع!$B$2:$B$19,$F86)</f>
        <v>5</v>
      </c>
      <c r="H86" s="14">
        <v>62</v>
      </c>
      <c r="I86" s="16">
        <f t="shared" si="6"/>
        <v>3.1</v>
      </c>
    </row>
    <row r="87" spans="1:9">
      <c r="A87" t="s">
        <v>120</v>
      </c>
      <c r="B87" s="4" t="s">
        <v>67</v>
      </c>
      <c r="C87" s="4" t="s">
        <v>68</v>
      </c>
      <c r="D87" s="4" t="s">
        <v>107</v>
      </c>
      <c r="E87" s="6" t="s">
        <v>347</v>
      </c>
      <c r="F87" s="4" t="s">
        <v>23</v>
      </c>
      <c r="G87" s="15">
        <f>SUMIFS(المرجع!$C$2:$C$19,المرجع!$A$2:$A$19,$E87,المرجع!$B$2:$B$19,$F87)</f>
        <v>25</v>
      </c>
      <c r="H87" s="14">
        <v>64</v>
      </c>
      <c r="I87" s="16">
        <f t="shared" si="6"/>
        <v>16</v>
      </c>
    </row>
    <row r="88" spans="1:9">
      <c r="A88" t="s">
        <v>121</v>
      </c>
      <c r="B88" s="4" t="s">
        <v>67</v>
      </c>
      <c r="C88" s="4" t="s">
        <v>68</v>
      </c>
      <c r="D88" s="4" t="s">
        <v>107</v>
      </c>
      <c r="E88" s="6" t="s">
        <v>347</v>
      </c>
      <c r="F88" s="4" t="s">
        <v>25</v>
      </c>
      <c r="G88" s="15">
        <f>SUMIFS(المرجع!$C$2:$C$19,المرجع!$A$2:$A$19,$E88,المرجع!$B$2:$B$19,$F88)</f>
        <v>15</v>
      </c>
      <c r="H88" s="14">
        <v>59</v>
      </c>
      <c r="I88" s="16">
        <f t="shared" si="6"/>
        <v>8.85</v>
      </c>
    </row>
    <row r="89" spans="1:9">
      <c r="A89" t="s">
        <v>122</v>
      </c>
      <c r="B89" s="4" t="s">
        <v>67</v>
      </c>
      <c r="C89" s="4" t="s">
        <v>68</v>
      </c>
      <c r="D89" s="4" t="s">
        <v>107</v>
      </c>
      <c r="E89" s="6" t="s">
        <v>347</v>
      </c>
      <c r="F89" s="4" t="s">
        <v>29</v>
      </c>
      <c r="G89" s="15">
        <f>SUMIFS(المرجع!$C$2:$C$19,المرجع!$A$2:$A$19,$E89,المرجع!$B$2:$B$19,$F89)</f>
        <v>15</v>
      </c>
      <c r="H89" s="14">
        <v>38</v>
      </c>
      <c r="I89" s="16">
        <f t="shared" si="6"/>
        <v>5.7</v>
      </c>
    </row>
    <row r="90" spans="1:9">
      <c r="A90" t="s">
        <v>123</v>
      </c>
      <c r="B90" s="4" t="s">
        <v>67</v>
      </c>
      <c r="C90" s="4" t="s">
        <v>68</v>
      </c>
      <c r="D90" s="4" t="s">
        <v>107</v>
      </c>
      <c r="E90" s="6" t="s">
        <v>347</v>
      </c>
      <c r="F90" s="4" t="s">
        <v>31</v>
      </c>
      <c r="G90" s="15">
        <f>SUMIFS(المرجع!$C$2:$C$19,المرجع!$A$2:$A$19,$E90,المرجع!$B$2:$B$19,$F90)</f>
        <v>15</v>
      </c>
      <c r="H90" s="14">
        <v>44</v>
      </c>
      <c r="I90" s="16">
        <f t="shared" si="6"/>
        <v>6.6</v>
      </c>
    </row>
    <row r="91" spans="1:9">
      <c r="A91" t="s">
        <v>124</v>
      </c>
      <c r="B91" s="4" t="s">
        <v>67</v>
      </c>
      <c r="C91" s="4" t="s">
        <v>68</v>
      </c>
      <c r="D91" s="4" t="s">
        <v>107</v>
      </c>
      <c r="E91" s="6" t="s">
        <v>347</v>
      </c>
      <c r="F91" s="4" t="s">
        <v>46</v>
      </c>
      <c r="G91" s="15">
        <f>SUMIFS(المرجع!$C$2:$C$19,المرجع!$A$2:$A$19,$E91,المرجع!$B$2:$B$19,$F91)</f>
        <v>30</v>
      </c>
      <c r="H91" s="14">
        <v>27</v>
      </c>
      <c r="I91" s="16">
        <f t="shared" si="6"/>
        <v>8.1</v>
      </c>
    </row>
    <row r="92" spans="1:9" hidden="1">
      <c r="A92" t="s">
        <v>125</v>
      </c>
      <c r="B92" s="4" t="s">
        <v>67</v>
      </c>
      <c r="C92" s="4" t="s">
        <v>68</v>
      </c>
      <c r="D92" s="4" t="s">
        <v>126</v>
      </c>
      <c r="E92" s="6" t="s">
        <v>346</v>
      </c>
      <c r="F92" s="4" t="s">
        <v>21</v>
      </c>
      <c r="G92" s="15">
        <f>SUMIFS(المرجع!$C$2:$C$19,المرجع!$A$2:$A$19,$E92,المرجع!$B$2:$B$19,$F92)</f>
        <v>25</v>
      </c>
      <c r="H92" s="14">
        <f t="shared" ref="H92:H97" si="9">37.25</f>
        <v>37.25</v>
      </c>
      <c r="I92" s="16">
        <f t="shared" ref="I92:I97" si="10">G92*H92/100</f>
        <v>9.3125</v>
      </c>
    </row>
    <row r="93" spans="1:9" hidden="1">
      <c r="A93" t="s">
        <v>127</v>
      </c>
      <c r="B93" s="4" t="s">
        <v>67</v>
      </c>
      <c r="C93" s="4" t="s">
        <v>68</v>
      </c>
      <c r="D93" s="4" t="s">
        <v>126</v>
      </c>
      <c r="E93" s="6" t="s">
        <v>346</v>
      </c>
      <c r="F93" s="4" t="s">
        <v>23</v>
      </c>
      <c r="G93" s="15">
        <f>SUMIFS(المرجع!$C$2:$C$19,المرجع!$A$2:$A$19,$E93,المرجع!$B$2:$B$19,$F93)</f>
        <v>15</v>
      </c>
      <c r="H93" s="14">
        <f t="shared" si="9"/>
        <v>37.25</v>
      </c>
      <c r="I93" s="16">
        <f t="shared" si="10"/>
        <v>5.5875000000000004</v>
      </c>
    </row>
    <row r="94" spans="1:9" hidden="1">
      <c r="A94" t="s">
        <v>128</v>
      </c>
      <c r="B94" s="4" t="s">
        <v>67</v>
      </c>
      <c r="C94" s="4" t="s">
        <v>68</v>
      </c>
      <c r="D94" s="4" t="s">
        <v>126</v>
      </c>
      <c r="E94" s="6" t="s">
        <v>346</v>
      </c>
      <c r="F94" s="4" t="s">
        <v>25</v>
      </c>
      <c r="G94" s="15">
        <f>SUMIFS(المرجع!$C$2:$C$19,المرجع!$A$2:$A$19,$E94,المرجع!$B$2:$B$19,$F94)</f>
        <v>15</v>
      </c>
      <c r="H94" s="14">
        <f t="shared" si="9"/>
        <v>37.25</v>
      </c>
      <c r="I94" s="16">
        <f t="shared" si="10"/>
        <v>5.5875000000000004</v>
      </c>
    </row>
    <row r="95" spans="1:9" hidden="1">
      <c r="A95" t="s">
        <v>129</v>
      </c>
      <c r="B95" s="4" t="s">
        <v>67</v>
      </c>
      <c r="C95" s="4" t="s">
        <v>68</v>
      </c>
      <c r="D95" s="4" t="s">
        <v>126</v>
      </c>
      <c r="E95" s="6" t="s">
        <v>346</v>
      </c>
      <c r="F95" s="4" t="s">
        <v>27</v>
      </c>
      <c r="G95" s="15">
        <f>SUMIFS(المرجع!$C$2:$C$19,المرجع!$A$2:$A$19,$E95,المرجع!$B$2:$B$19,$F95)</f>
        <v>20</v>
      </c>
      <c r="H95" s="14">
        <f t="shared" si="9"/>
        <v>37.25</v>
      </c>
      <c r="I95" s="16">
        <f t="shared" si="10"/>
        <v>7.45</v>
      </c>
    </row>
    <row r="96" spans="1:9" hidden="1">
      <c r="A96" t="s">
        <v>130</v>
      </c>
      <c r="B96" s="4" t="s">
        <v>67</v>
      </c>
      <c r="C96" s="4" t="s">
        <v>68</v>
      </c>
      <c r="D96" s="4" t="s">
        <v>126</v>
      </c>
      <c r="E96" s="6" t="s">
        <v>346</v>
      </c>
      <c r="F96" s="4" t="s">
        <v>29</v>
      </c>
      <c r="G96" s="15">
        <f>SUMIFS(المرجع!$C$2:$C$19,المرجع!$A$2:$A$19,$E96,المرجع!$B$2:$B$19,$F96)</f>
        <v>20</v>
      </c>
      <c r="H96" s="14">
        <f t="shared" si="9"/>
        <v>37.25</v>
      </c>
      <c r="I96" s="16">
        <f t="shared" si="10"/>
        <v>7.45</v>
      </c>
    </row>
    <row r="97" spans="1:9" hidden="1">
      <c r="A97" t="s">
        <v>131</v>
      </c>
      <c r="B97" s="4" t="s">
        <v>67</v>
      </c>
      <c r="C97" s="4" t="s">
        <v>68</v>
      </c>
      <c r="D97" s="4" t="s">
        <v>126</v>
      </c>
      <c r="E97" s="6" t="s">
        <v>346</v>
      </c>
      <c r="F97" s="4" t="s">
        <v>31</v>
      </c>
      <c r="G97" s="15">
        <f>SUMIFS(المرجع!$C$2:$C$19,المرجع!$A$2:$A$19,$E97,المرجع!$B$2:$B$19,$F97)</f>
        <v>5</v>
      </c>
      <c r="H97" s="14">
        <f t="shared" si="9"/>
        <v>37.25</v>
      </c>
      <c r="I97" s="16">
        <f t="shared" si="10"/>
        <v>1.8625</v>
      </c>
    </row>
    <row r="98" spans="1:9" hidden="1">
      <c r="A98" t="s">
        <v>132</v>
      </c>
      <c r="B98" s="4" t="s">
        <v>67</v>
      </c>
      <c r="C98" s="4" t="s">
        <v>68</v>
      </c>
      <c r="D98" s="4" t="s">
        <v>126</v>
      </c>
      <c r="E98" s="6" t="s">
        <v>33</v>
      </c>
      <c r="F98" s="4" t="s">
        <v>21</v>
      </c>
      <c r="G98" s="15">
        <f>SUMIFS(المرجع!$C$2:$C$19,المرجع!$A$2:$A$19,$E98,المرجع!$B$2:$B$19,$F98)</f>
        <v>15</v>
      </c>
      <c r="H98" s="14">
        <v>58</v>
      </c>
      <c r="I98" s="16">
        <f t="shared" si="6"/>
        <v>8.6999999999999993</v>
      </c>
    </row>
    <row r="99" spans="1:9" hidden="1">
      <c r="A99" t="s">
        <v>133</v>
      </c>
      <c r="B99" s="4" t="s">
        <v>67</v>
      </c>
      <c r="C99" s="4" t="s">
        <v>68</v>
      </c>
      <c r="D99" s="4" t="s">
        <v>126</v>
      </c>
      <c r="E99" s="6" t="s">
        <v>33</v>
      </c>
      <c r="F99" s="4" t="s">
        <v>23</v>
      </c>
      <c r="G99" s="15">
        <f>SUMIFS(المرجع!$C$2:$C$19,المرجع!$A$2:$A$19,$E99,المرجع!$B$2:$B$19,$F99)</f>
        <v>15</v>
      </c>
      <c r="H99" s="14">
        <v>81</v>
      </c>
      <c r="I99" s="16">
        <f t="shared" si="6"/>
        <v>12.15</v>
      </c>
    </row>
    <row r="100" spans="1:9" hidden="1">
      <c r="A100" t="s">
        <v>134</v>
      </c>
      <c r="B100" s="4" t="s">
        <v>67</v>
      </c>
      <c r="C100" s="4" t="s">
        <v>68</v>
      </c>
      <c r="D100" s="4" t="s">
        <v>126</v>
      </c>
      <c r="E100" s="6" t="s">
        <v>33</v>
      </c>
      <c r="F100" s="4" t="s">
        <v>25</v>
      </c>
      <c r="G100" s="15">
        <f>SUMIFS(المرجع!$C$2:$C$19,المرجع!$A$2:$A$19,$E100,المرجع!$B$2:$B$19,$F100)</f>
        <v>15</v>
      </c>
      <c r="H100" s="14">
        <v>65</v>
      </c>
      <c r="I100" s="16">
        <f t="shared" si="6"/>
        <v>9.75</v>
      </c>
    </row>
    <row r="101" spans="1:9" hidden="1">
      <c r="A101" t="s">
        <v>135</v>
      </c>
      <c r="B101" s="4" t="s">
        <v>67</v>
      </c>
      <c r="C101" s="4" t="s">
        <v>68</v>
      </c>
      <c r="D101" s="4" t="s">
        <v>126</v>
      </c>
      <c r="E101" s="6" t="s">
        <v>33</v>
      </c>
      <c r="F101" s="4" t="s">
        <v>27</v>
      </c>
      <c r="G101" s="15">
        <f>SUMIFS(المرجع!$C$2:$C$19,المرجع!$A$2:$A$19,$E101,المرجع!$B$2:$B$19,$F101)</f>
        <v>20</v>
      </c>
      <c r="H101" s="14">
        <v>58</v>
      </c>
      <c r="I101" s="16">
        <f t="shared" si="6"/>
        <v>11.6</v>
      </c>
    </row>
    <row r="102" spans="1:9" hidden="1">
      <c r="A102" t="s">
        <v>136</v>
      </c>
      <c r="B102" s="4" t="s">
        <v>67</v>
      </c>
      <c r="C102" s="4" t="s">
        <v>68</v>
      </c>
      <c r="D102" s="4" t="s">
        <v>126</v>
      </c>
      <c r="E102" s="6" t="s">
        <v>33</v>
      </c>
      <c r="F102" s="4" t="s">
        <v>29</v>
      </c>
      <c r="G102" s="15">
        <f>SUMIFS(المرجع!$C$2:$C$19,المرجع!$A$2:$A$19,$E102,المرجع!$B$2:$B$19,$F102)</f>
        <v>25</v>
      </c>
      <c r="H102" s="14">
        <v>76</v>
      </c>
      <c r="I102" s="16">
        <f t="shared" si="6"/>
        <v>19</v>
      </c>
    </row>
    <row r="103" spans="1:9" hidden="1">
      <c r="A103" t="s">
        <v>137</v>
      </c>
      <c r="B103" s="4" t="s">
        <v>67</v>
      </c>
      <c r="C103" s="4" t="s">
        <v>68</v>
      </c>
      <c r="D103" s="4" t="s">
        <v>126</v>
      </c>
      <c r="E103" s="6" t="s">
        <v>33</v>
      </c>
      <c r="F103" s="4" t="s">
        <v>31</v>
      </c>
      <c r="G103" s="15">
        <f>SUMIFS(المرجع!$C$2:$C$19,المرجع!$A$2:$A$19,$E103,المرجع!$B$2:$B$19,$F103)</f>
        <v>5</v>
      </c>
      <c r="H103" s="14">
        <v>70</v>
      </c>
      <c r="I103" s="16">
        <f t="shared" si="6"/>
        <v>3.5</v>
      </c>
    </row>
    <row r="104" spans="1:9" hidden="1">
      <c r="A104" t="s">
        <v>138</v>
      </c>
      <c r="B104" s="4" t="s">
        <v>67</v>
      </c>
      <c r="C104" s="4" t="s">
        <v>68</v>
      </c>
      <c r="D104" s="4" t="s">
        <v>126</v>
      </c>
      <c r="E104" s="6" t="s">
        <v>33</v>
      </c>
      <c r="F104" s="4" t="s">
        <v>40</v>
      </c>
      <c r="G104" s="15">
        <f>SUMIFS(المرجع!$C$2:$C$19,المرجع!$A$2:$A$19,$E104,المرجع!$B$2:$B$19,$F104)</f>
        <v>5</v>
      </c>
      <c r="H104" s="14">
        <v>74</v>
      </c>
      <c r="I104" s="16">
        <f t="shared" si="6"/>
        <v>3.7</v>
      </c>
    </row>
    <row r="105" spans="1:9">
      <c r="A105" t="s">
        <v>139</v>
      </c>
      <c r="B105" s="4" t="s">
        <v>67</v>
      </c>
      <c r="C105" s="4" t="s">
        <v>68</v>
      </c>
      <c r="D105" s="4" t="s">
        <v>126</v>
      </c>
      <c r="E105" s="6" t="s">
        <v>347</v>
      </c>
      <c r="F105" s="4" t="s">
        <v>23</v>
      </c>
      <c r="G105" s="15">
        <f>SUMIFS(المرجع!$C$2:$C$19,المرجع!$A$2:$A$19,$E105,المرجع!$B$2:$B$19,$F105)</f>
        <v>25</v>
      </c>
      <c r="H105" s="14">
        <v>33</v>
      </c>
      <c r="I105" s="16">
        <f t="shared" si="6"/>
        <v>8.25</v>
      </c>
    </row>
    <row r="106" spans="1:9">
      <c r="A106" t="s">
        <v>140</v>
      </c>
      <c r="B106" s="4" t="s">
        <v>67</v>
      </c>
      <c r="C106" s="4" t="s">
        <v>68</v>
      </c>
      <c r="D106" s="4" t="s">
        <v>126</v>
      </c>
      <c r="E106" s="6" t="s">
        <v>347</v>
      </c>
      <c r="F106" s="4" t="s">
        <v>25</v>
      </c>
      <c r="G106" s="15">
        <f>SUMIFS(المرجع!$C$2:$C$19,المرجع!$A$2:$A$19,$E106,المرجع!$B$2:$B$19,$F106)</f>
        <v>15</v>
      </c>
      <c r="H106" s="14">
        <v>40</v>
      </c>
      <c r="I106" s="16">
        <f t="shared" si="6"/>
        <v>6</v>
      </c>
    </row>
    <row r="107" spans="1:9">
      <c r="A107" t="s">
        <v>141</v>
      </c>
      <c r="B107" s="4" t="s">
        <v>67</v>
      </c>
      <c r="C107" s="4" t="s">
        <v>68</v>
      </c>
      <c r="D107" s="4" t="s">
        <v>126</v>
      </c>
      <c r="E107" s="6" t="s">
        <v>347</v>
      </c>
      <c r="F107" s="4" t="s">
        <v>29</v>
      </c>
      <c r="G107" s="15">
        <f>SUMIFS(المرجع!$C$2:$C$19,المرجع!$A$2:$A$19,$E107,المرجع!$B$2:$B$19,$F107)</f>
        <v>15</v>
      </c>
      <c r="H107" s="14">
        <v>32</v>
      </c>
      <c r="I107" s="16">
        <f t="shared" si="6"/>
        <v>4.8</v>
      </c>
    </row>
    <row r="108" spans="1:9">
      <c r="A108" t="s">
        <v>142</v>
      </c>
      <c r="B108" s="4" t="s">
        <v>67</v>
      </c>
      <c r="C108" s="4" t="s">
        <v>68</v>
      </c>
      <c r="D108" s="4" t="s">
        <v>126</v>
      </c>
      <c r="E108" s="6" t="s">
        <v>347</v>
      </c>
      <c r="F108" s="4" t="s">
        <v>31</v>
      </c>
      <c r="G108" s="15">
        <f>SUMIFS(المرجع!$C$2:$C$19,المرجع!$A$2:$A$19,$E108,المرجع!$B$2:$B$19,$F108)</f>
        <v>15</v>
      </c>
      <c r="H108" s="14">
        <v>39</v>
      </c>
      <c r="I108" s="16">
        <f t="shared" si="6"/>
        <v>5.85</v>
      </c>
    </row>
    <row r="109" spans="1:9">
      <c r="A109" t="s">
        <v>143</v>
      </c>
      <c r="B109" s="4" t="s">
        <v>67</v>
      </c>
      <c r="C109" s="4" t="s">
        <v>68</v>
      </c>
      <c r="D109" s="4" t="s">
        <v>126</v>
      </c>
      <c r="E109" s="6" t="s">
        <v>347</v>
      </c>
      <c r="F109" s="4" t="s">
        <v>46</v>
      </c>
      <c r="G109" s="15">
        <f>SUMIFS(المرجع!$C$2:$C$19,المرجع!$A$2:$A$19,$E109,المرجع!$B$2:$B$19,$F109)</f>
        <v>30</v>
      </c>
      <c r="H109" s="14">
        <v>59</v>
      </c>
      <c r="I109" s="16">
        <f t="shared" si="6"/>
        <v>17.7</v>
      </c>
    </row>
    <row r="110" spans="1:9" hidden="1">
      <c r="A110" t="s">
        <v>144</v>
      </c>
      <c r="B110" s="4" t="s">
        <v>67</v>
      </c>
      <c r="C110" s="4" t="s">
        <v>68</v>
      </c>
      <c r="D110" s="4" t="s">
        <v>145</v>
      </c>
      <c r="E110" s="6" t="s">
        <v>346</v>
      </c>
      <c r="F110" s="4" t="s">
        <v>21</v>
      </c>
      <c r="G110" s="15">
        <f>SUMIFS(المرجع!$C$2:$C$19,المرجع!$A$2:$A$19,$E110,المرجع!$B$2:$B$19,$F110)</f>
        <v>25</v>
      </c>
      <c r="H110" s="14">
        <f t="shared" ref="H110:H115" si="11">65.92</f>
        <v>65.92</v>
      </c>
      <c r="I110" s="16">
        <f t="shared" ref="I110:I115" si="12">G110*H110/100</f>
        <v>16.48</v>
      </c>
    </row>
    <row r="111" spans="1:9" hidden="1">
      <c r="A111" t="s">
        <v>146</v>
      </c>
      <c r="B111" s="4" t="s">
        <v>67</v>
      </c>
      <c r="C111" s="4" t="s">
        <v>68</v>
      </c>
      <c r="D111" s="4" t="s">
        <v>145</v>
      </c>
      <c r="E111" s="6" t="s">
        <v>346</v>
      </c>
      <c r="F111" s="4" t="s">
        <v>23</v>
      </c>
      <c r="G111" s="15">
        <f>SUMIFS(المرجع!$C$2:$C$19,المرجع!$A$2:$A$19,$E111,المرجع!$B$2:$B$19,$F111)</f>
        <v>15</v>
      </c>
      <c r="H111" s="14">
        <f t="shared" si="11"/>
        <v>65.92</v>
      </c>
      <c r="I111" s="16">
        <f t="shared" si="12"/>
        <v>9.8879999999999999</v>
      </c>
    </row>
    <row r="112" spans="1:9" hidden="1">
      <c r="A112" t="s">
        <v>147</v>
      </c>
      <c r="B112" s="4" t="s">
        <v>67</v>
      </c>
      <c r="C112" s="4" t="s">
        <v>68</v>
      </c>
      <c r="D112" s="4" t="s">
        <v>145</v>
      </c>
      <c r="E112" s="6" t="s">
        <v>346</v>
      </c>
      <c r="F112" s="4" t="s">
        <v>25</v>
      </c>
      <c r="G112" s="15">
        <f>SUMIFS(المرجع!$C$2:$C$19,المرجع!$A$2:$A$19,$E112,المرجع!$B$2:$B$19,$F112)</f>
        <v>15</v>
      </c>
      <c r="H112" s="14">
        <f t="shared" si="11"/>
        <v>65.92</v>
      </c>
      <c r="I112" s="16">
        <f t="shared" si="12"/>
        <v>9.8879999999999999</v>
      </c>
    </row>
    <row r="113" spans="1:9" hidden="1">
      <c r="A113" t="s">
        <v>148</v>
      </c>
      <c r="B113" s="4" t="s">
        <v>67</v>
      </c>
      <c r="C113" s="4" t="s">
        <v>68</v>
      </c>
      <c r="D113" s="4" t="s">
        <v>145</v>
      </c>
      <c r="E113" s="6" t="s">
        <v>346</v>
      </c>
      <c r="F113" s="4" t="s">
        <v>27</v>
      </c>
      <c r="G113" s="15">
        <f>SUMIFS(المرجع!$C$2:$C$19,المرجع!$A$2:$A$19,$E113,المرجع!$B$2:$B$19,$F113)</f>
        <v>20</v>
      </c>
      <c r="H113" s="14">
        <f t="shared" si="11"/>
        <v>65.92</v>
      </c>
      <c r="I113" s="16">
        <f t="shared" si="12"/>
        <v>13.184000000000001</v>
      </c>
    </row>
    <row r="114" spans="1:9" hidden="1">
      <c r="A114" t="s">
        <v>149</v>
      </c>
      <c r="B114" s="4" t="s">
        <v>67</v>
      </c>
      <c r="C114" s="4" t="s">
        <v>68</v>
      </c>
      <c r="D114" s="4" t="s">
        <v>145</v>
      </c>
      <c r="E114" s="6" t="s">
        <v>346</v>
      </c>
      <c r="F114" s="4" t="s">
        <v>29</v>
      </c>
      <c r="G114" s="15">
        <f>SUMIFS(المرجع!$C$2:$C$19,المرجع!$A$2:$A$19,$E114,المرجع!$B$2:$B$19,$F114)</f>
        <v>20</v>
      </c>
      <c r="H114" s="14">
        <f t="shared" si="11"/>
        <v>65.92</v>
      </c>
      <c r="I114" s="16">
        <f t="shared" si="12"/>
        <v>13.184000000000001</v>
      </c>
    </row>
    <row r="115" spans="1:9" hidden="1">
      <c r="A115" t="s">
        <v>150</v>
      </c>
      <c r="B115" s="4" t="s">
        <v>67</v>
      </c>
      <c r="C115" s="4" t="s">
        <v>68</v>
      </c>
      <c r="D115" s="4" t="s">
        <v>145</v>
      </c>
      <c r="E115" s="6" t="s">
        <v>346</v>
      </c>
      <c r="F115" s="4" t="s">
        <v>31</v>
      </c>
      <c r="G115" s="15">
        <f>SUMIFS(المرجع!$C$2:$C$19,المرجع!$A$2:$A$19,$E115,المرجع!$B$2:$B$19,$F115)</f>
        <v>5</v>
      </c>
      <c r="H115" s="14">
        <f t="shared" si="11"/>
        <v>65.92</v>
      </c>
      <c r="I115" s="16">
        <f t="shared" si="12"/>
        <v>3.2960000000000003</v>
      </c>
    </row>
    <row r="116" spans="1:9" hidden="1">
      <c r="A116" t="s">
        <v>151</v>
      </c>
      <c r="B116" s="4" t="s">
        <v>67</v>
      </c>
      <c r="C116" s="4" t="s">
        <v>68</v>
      </c>
      <c r="D116" s="4" t="s">
        <v>145</v>
      </c>
      <c r="E116" s="6" t="s">
        <v>33</v>
      </c>
      <c r="F116" s="4" t="s">
        <v>21</v>
      </c>
      <c r="G116" s="15">
        <f>SUMIFS(المرجع!$C$2:$C$19,المرجع!$A$2:$A$19,$E116,المرجع!$B$2:$B$19,$F116)</f>
        <v>15</v>
      </c>
      <c r="H116" s="14">
        <v>68</v>
      </c>
      <c r="I116" s="16">
        <f t="shared" si="6"/>
        <v>10.199999999999999</v>
      </c>
    </row>
    <row r="117" spans="1:9" hidden="1">
      <c r="A117" t="s">
        <v>152</v>
      </c>
      <c r="B117" s="4" t="s">
        <v>67</v>
      </c>
      <c r="C117" s="4" t="s">
        <v>68</v>
      </c>
      <c r="D117" s="4" t="s">
        <v>145</v>
      </c>
      <c r="E117" s="6" t="s">
        <v>33</v>
      </c>
      <c r="F117" s="4" t="s">
        <v>23</v>
      </c>
      <c r="G117" s="15">
        <f>SUMIFS(المرجع!$C$2:$C$19,المرجع!$A$2:$A$19,$E117,المرجع!$B$2:$B$19,$F117)</f>
        <v>15</v>
      </c>
      <c r="H117" s="14">
        <v>59</v>
      </c>
      <c r="I117" s="16">
        <f t="shared" si="6"/>
        <v>8.85</v>
      </c>
    </row>
    <row r="118" spans="1:9" hidden="1">
      <c r="A118" t="s">
        <v>153</v>
      </c>
      <c r="B118" s="4" t="s">
        <v>67</v>
      </c>
      <c r="C118" s="4" t="s">
        <v>68</v>
      </c>
      <c r="D118" s="4" t="s">
        <v>145</v>
      </c>
      <c r="E118" s="6" t="s">
        <v>33</v>
      </c>
      <c r="F118" s="4" t="s">
        <v>25</v>
      </c>
      <c r="G118" s="15">
        <f>SUMIFS(المرجع!$C$2:$C$19,المرجع!$A$2:$A$19,$E118,المرجع!$B$2:$B$19,$F118)</f>
        <v>15</v>
      </c>
      <c r="H118" s="14">
        <v>53</v>
      </c>
      <c r="I118" s="16">
        <f t="shared" si="6"/>
        <v>7.95</v>
      </c>
    </row>
    <row r="119" spans="1:9" hidden="1">
      <c r="A119" t="s">
        <v>154</v>
      </c>
      <c r="B119" s="4" t="s">
        <v>67</v>
      </c>
      <c r="C119" s="4" t="s">
        <v>68</v>
      </c>
      <c r="D119" s="4" t="s">
        <v>145</v>
      </c>
      <c r="E119" s="6" t="s">
        <v>33</v>
      </c>
      <c r="F119" s="4" t="s">
        <v>27</v>
      </c>
      <c r="G119" s="15">
        <f>SUMIFS(المرجع!$C$2:$C$19,المرجع!$A$2:$A$19,$E119,المرجع!$B$2:$B$19,$F119)</f>
        <v>20</v>
      </c>
      <c r="H119" s="14">
        <v>77</v>
      </c>
      <c r="I119" s="16">
        <f t="shared" si="6"/>
        <v>15.4</v>
      </c>
    </row>
    <row r="120" spans="1:9" hidden="1">
      <c r="A120" t="s">
        <v>155</v>
      </c>
      <c r="B120" s="4" t="s">
        <v>67</v>
      </c>
      <c r="C120" s="4" t="s">
        <v>68</v>
      </c>
      <c r="D120" s="4" t="s">
        <v>145</v>
      </c>
      <c r="E120" s="6" t="s">
        <v>33</v>
      </c>
      <c r="F120" s="4" t="s">
        <v>29</v>
      </c>
      <c r="G120" s="15">
        <f>SUMIFS(المرجع!$C$2:$C$19,المرجع!$A$2:$A$19,$E120,المرجع!$B$2:$B$19,$F120)</f>
        <v>25</v>
      </c>
      <c r="H120" s="14">
        <v>76</v>
      </c>
      <c r="I120" s="16">
        <f t="shared" si="6"/>
        <v>19</v>
      </c>
    </row>
    <row r="121" spans="1:9" hidden="1">
      <c r="A121" t="s">
        <v>156</v>
      </c>
      <c r="B121" s="4" t="s">
        <v>67</v>
      </c>
      <c r="C121" s="4" t="s">
        <v>68</v>
      </c>
      <c r="D121" s="4" t="s">
        <v>145</v>
      </c>
      <c r="E121" s="6" t="s">
        <v>33</v>
      </c>
      <c r="F121" s="4" t="s">
        <v>31</v>
      </c>
      <c r="G121" s="15">
        <f>SUMIFS(المرجع!$C$2:$C$19,المرجع!$A$2:$A$19,$E121,المرجع!$B$2:$B$19,$F121)</f>
        <v>5</v>
      </c>
      <c r="H121" s="14">
        <v>50</v>
      </c>
      <c r="I121" s="16">
        <f t="shared" si="6"/>
        <v>2.5</v>
      </c>
    </row>
    <row r="122" spans="1:9" hidden="1">
      <c r="A122" t="s">
        <v>157</v>
      </c>
      <c r="B122" s="4" t="s">
        <v>67</v>
      </c>
      <c r="C122" s="4" t="s">
        <v>68</v>
      </c>
      <c r="D122" s="4" t="s">
        <v>145</v>
      </c>
      <c r="E122" s="6" t="s">
        <v>33</v>
      </c>
      <c r="F122" s="4" t="s">
        <v>40</v>
      </c>
      <c r="G122" s="15">
        <f>SUMIFS(المرجع!$C$2:$C$19,المرجع!$A$2:$A$19,$E122,المرجع!$B$2:$B$19,$F122)</f>
        <v>5</v>
      </c>
      <c r="H122" s="14">
        <v>48</v>
      </c>
      <c r="I122" s="16">
        <f t="shared" si="6"/>
        <v>2.4</v>
      </c>
    </row>
    <row r="123" spans="1:9">
      <c r="A123" t="s">
        <v>158</v>
      </c>
      <c r="B123" s="4" t="s">
        <v>67</v>
      </c>
      <c r="C123" s="4" t="s">
        <v>68</v>
      </c>
      <c r="D123" s="4" t="s">
        <v>145</v>
      </c>
      <c r="E123" s="6" t="s">
        <v>347</v>
      </c>
      <c r="F123" s="4" t="s">
        <v>23</v>
      </c>
      <c r="G123" s="15">
        <f>SUMIFS(المرجع!$C$2:$C$19,المرجع!$A$2:$A$19,$E123,المرجع!$B$2:$B$19,$F123)</f>
        <v>25</v>
      </c>
      <c r="H123" s="14">
        <v>31</v>
      </c>
      <c r="I123" s="16">
        <f t="shared" si="6"/>
        <v>7.75</v>
      </c>
    </row>
    <row r="124" spans="1:9">
      <c r="A124" t="s">
        <v>159</v>
      </c>
      <c r="B124" s="4" t="s">
        <v>67</v>
      </c>
      <c r="C124" s="4" t="s">
        <v>68</v>
      </c>
      <c r="D124" s="4" t="s">
        <v>145</v>
      </c>
      <c r="E124" s="6" t="s">
        <v>347</v>
      </c>
      <c r="F124" s="4" t="s">
        <v>25</v>
      </c>
      <c r="G124" s="15">
        <f>SUMIFS(المرجع!$C$2:$C$19,المرجع!$A$2:$A$19,$E124,المرجع!$B$2:$B$19,$F124)</f>
        <v>15</v>
      </c>
      <c r="H124" s="14">
        <v>33</v>
      </c>
      <c r="I124" s="16">
        <f t="shared" si="6"/>
        <v>4.95</v>
      </c>
    </row>
    <row r="125" spans="1:9">
      <c r="A125" t="s">
        <v>160</v>
      </c>
      <c r="B125" s="4" t="s">
        <v>67</v>
      </c>
      <c r="C125" s="4" t="s">
        <v>68</v>
      </c>
      <c r="D125" s="4" t="s">
        <v>145</v>
      </c>
      <c r="E125" s="6" t="s">
        <v>347</v>
      </c>
      <c r="F125" s="4" t="s">
        <v>29</v>
      </c>
      <c r="G125" s="15">
        <f>SUMIFS(المرجع!$C$2:$C$19,المرجع!$A$2:$A$19,$E125,المرجع!$B$2:$B$19,$F125)</f>
        <v>15</v>
      </c>
      <c r="H125" s="14">
        <v>64</v>
      </c>
      <c r="I125" s="16">
        <f t="shared" si="6"/>
        <v>9.6</v>
      </c>
    </row>
    <row r="126" spans="1:9">
      <c r="A126" t="s">
        <v>161</v>
      </c>
      <c r="B126" s="4" t="s">
        <v>67</v>
      </c>
      <c r="C126" s="4" t="s">
        <v>68</v>
      </c>
      <c r="D126" s="4" t="s">
        <v>145</v>
      </c>
      <c r="E126" s="6" t="s">
        <v>347</v>
      </c>
      <c r="F126" s="4" t="s">
        <v>31</v>
      </c>
      <c r="G126" s="15">
        <f>SUMIFS(المرجع!$C$2:$C$19,المرجع!$A$2:$A$19,$E126,المرجع!$B$2:$B$19,$F126)</f>
        <v>15</v>
      </c>
      <c r="H126" s="14">
        <v>34</v>
      </c>
      <c r="I126" s="16">
        <f t="shared" si="6"/>
        <v>5.0999999999999996</v>
      </c>
    </row>
    <row r="127" spans="1:9">
      <c r="A127" t="s">
        <v>162</v>
      </c>
      <c r="B127" s="4" t="s">
        <v>67</v>
      </c>
      <c r="C127" s="4" t="s">
        <v>68</v>
      </c>
      <c r="D127" s="4" t="s">
        <v>145</v>
      </c>
      <c r="E127" s="6" t="s">
        <v>347</v>
      </c>
      <c r="F127" s="4" t="s">
        <v>46</v>
      </c>
      <c r="G127" s="15">
        <f>SUMIFS(المرجع!$C$2:$C$19,المرجع!$A$2:$A$19,$E127,المرجع!$B$2:$B$19,$F127)</f>
        <v>30</v>
      </c>
      <c r="H127" s="14">
        <v>51</v>
      </c>
      <c r="I127" s="16">
        <f t="shared" si="6"/>
        <v>15.3</v>
      </c>
    </row>
    <row r="128" spans="1:9" hidden="1">
      <c r="A128" t="s">
        <v>163</v>
      </c>
      <c r="B128" s="4" t="s">
        <v>67</v>
      </c>
      <c r="C128" s="4" t="s">
        <v>68</v>
      </c>
      <c r="D128" s="4" t="s">
        <v>164</v>
      </c>
      <c r="E128" s="6" t="s">
        <v>346</v>
      </c>
      <c r="F128" s="4" t="s">
        <v>21</v>
      </c>
      <c r="G128" s="15">
        <f>SUMIFS(المرجع!$C$2:$C$19,المرجع!$A$2:$A$19,$E128,المرجع!$B$2:$B$19,$F128)</f>
        <v>25</v>
      </c>
      <c r="H128" s="14">
        <f t="shared" ref="H128:H133" si="13">5.49</f>
        <v>5.49</v>
      </c>
      <c r="I128" s="16">
        <f t="shared" ref="I128:I133" si="14">G128*H128/100</f>
        <v>1.3725000000000001</v>
      </c>
    </row>
    <row r="129" spans="1:9" hidden="1">
      <c r="A129" t="s">
        <v>165</v>
      </c>
      <c r="B129" s="4" t="s">
        <v>67</v>
      </c>
      <c r="C129" s="4" t="s">
        <v>68</v>
      </c>
      <c r="D129" s="4" t="s">
        <v>164</v>
      </c>
      <c r="E129" s="6" t="s">
        <v>346</v>
      </c>
      <c r="F129" s="4" t="s">
        <v>23</v>
      </c>
      <c r="G129" s="15">
        <f>SUMIFS(المرجع!$C$2:$C$19,المرجع!$A$2:$A$19,$E129,المرجع!$B$2:$B$19,$F129)</f>
        <v>15</v>
      </c>
      <c r="H129" s="14">
        <f t="shared" si="13"/>
        <v>5.49</v>
      </c>
      <c r="I129" s="16">
        <f t="shared" si="14"/>
        <v>0.82350000000000012</v>
      </c>
    </row>
    <row r="130" spans="1:9" hidden="1">
      <c r="A130" t="s">
        <v>166</v>
      </c>
      <c r="B130" s="4" t="s">
        <v>67</v>
      </c>
      <c r="C130" s="4" t="s">
        <v>68</v>
      </c>
      <c r="D130" s="4" t="s">
        <v>164</v>
      </c>
      <c r="E130" s="6" t="s">
        <v>346</v>
      </c>
      <c r="F130" s="4" t="s">
        <v>25</v>
      </c>
      <c r="G130" s="15">
        <f>SUMIFS(المرجع!$C$2:$C$19,المرجع!$A$2:$A$19,$E130,المرجع!$B$2:$B$19,$F130)</f>
        <v>15</v>
      </c>
      <c r="H130" s="14">
        <f t="shared" si="13"/>
        <v>5.49</v>
      </c>
      <c r="I130" s="16">
        <f t="shared" si="14"/>
        <v>0.82350000000000012</v>
      </c>
    </row>
    <row r="131" spans="1:9" hidden="1">
      <c r="A131" t="s">
        <v>167</v>
      </c>
      <c r="B131" s="4" t="s">
        <v>67</v>
      </c>
      <c r="C131" s="4" t="s">
        <v>68</v>
      </c>
      <c r="D131" s="4" t="s">
        <v>164</v>
      </c>
      <c r="E131" s="6" t="s">
        <v>346</v>
      </c>
      <c r="F131" s="4" t="s">
        <v>27</v>
      </c>
      <c r="G131" s="15">
        <f>SUMIFS(المرجع!$C$2:$C$19,المرجع!$A$2:$A$19,$E131,المرجع!$B$2:$B$19,$F131)</f>
        <v>20</v>
      </c>
      <c r="H131" s="14">
        <f t="shared" si="13"/>
        <v>5.49</v>
      </c>
      <c r="I131" s="16">
        <f t="shared" si="14"/>
        <v>1.0980000000000001</v>
      </c>
    </row>
    <row r="132" spans="1:9" hidden="1">
      <c r="A132" t="s">
        <v>168</v>
      </c>
      <c r="B132" s="4" t="s">
        <v>67</v>
      </c>
      <c r="C132" s="4" t="s">
        <v>68</v>
      </c>
      <c r="D132" s="4" t="s">
        <v>164</v>
      </c>
      <c r="E132" s="6" t="s">
        <v>346</v>
      </c>
      <c r="F132" s="4" t="s">
        <v>29</v>
      </c>
      <c r="G132" s="15">
        <f>SUMIFS(المرجع!$C$2:$C$19,المرجع!$A$2:$A$19,$E132,المرجع!$B$2:$B$19,$F132)</f>
        <v>20</v>
      </c>
      <c r="H132" s="14">
        <f t="shared" si="13"/>
        <v>5.49</v>
      </c>
      <c r="I132" s="16">
        <f t="shared" si="14"/>
        <v>1.0980000000000001</v>
      </c>
    </row>
    <row r="133" spans="1:9" hidden="1">
      <c r="A133" t="s">
        <v>169</v>
      </c>
      <c r="B133" s="4" t="s">
        <v>67</v>
      </c>
      <c r="C133" s="4" t="s">
        <v>68</v>
      </c>
      <c r="D133" s="4" t="s">
        <v>164</v>
      </c>
      <c r="E133" s="6" t="s">
        <v>346</v>
      </c>
      <c r="F133" s="4" t="s">
        <v>31</v>
      </c>
      <c r="G133" s="15">
        <f>SUMIFS(المرجع!$C$2:$C$19,المرجع!$A$2:$A$19,$E133,المرجع!$B$2:$B$19,$F133)</f>
        <v>5</v>
      </c>
      <c r="H133" s="14">
        <f t="shared" si="13"/>
        <v>5.49</v>
      </c>
      <c r="I133" s="16">
        <f t="shared" si="14"/>
        <v>0.27450000000000002</v>
      </c>
    </row>
    <row r="134" spans="1:9" hidden="1">
      <c r="A134" t="s">
        <v>170</v>
      </c>
      <c r="B134" s="4" t="s">
        <v>67</v>
      </c>
      <c r="C134" s="4" t="s">
        <v>68</v>
      </c>
      <c r="D134" s="4" t="s">
        <v>164</v>
      </c>
      <c r="E134" s="6" t="s">
        <v>33</v>
      </c>
      <c r="F134" s="4" t="s">
        <v>21</v>
      </c>
      <c r="G134" s="15">
        <f>SUMIFS(المرجع!$C$2:$C$19,المرجع!$A$2:$A$19,$E134,المرجع!$B$2:$B$19,$F134)</f>
        <v>15</v>
      </c>
      <c r="H134" s="14">
        <v>78</v>
      </c>
      <c r="I134" s="16">
        <f t="shared" ref="I134:I193" si="15">G134*H134/100</f>
        <v>11.7</v>
      </c>
    </row>
    <row r="135" spans="1:9" hidden="1">
      <c r="A135" t="s">
        <v>171</v>
      </c>
      <c r="B135" s="4" t="s">
        <v>67</v>
      </c>
      <c r="C135" s="4" t="s">
        <v>68</v>
      </c>
      <c r="D135" s="4" t="s">
        <v>164</v>
      </c>
      <c r="E135" s="6" t="s">
        <v>33</v>
      </c>
      <c r="F135" s="4" t="s">
        <v>23</v>
      </c>
      <c r="G135" s="15">
        <f>SUMIFS(المرجع!$C$2:$C$19,المرجع!$A$2:$A$19,$E135,المرجع!$B$2:$B$19,$F135)</f>
        <v>15</v>
      </c>
      <c r="H135" s="14">
        <v>61</v>
      </c>
      <c r="I135" s="16">
        <f t="shared" si="15"/>
        <v>9.15</v>
      </c>
    </row>
    <row r="136" spans="1:9" hidden="1">
      <c r="A136" t="s">
        <v>172</v>
      </c>
      <c r="B136" s="4" t="s">
        <v>67</v>
      </c>
      <c r="C136" s="4" t="s">
        <v>68</v>
      </c>
      <c r="D136" s="4" t="s">
        <v>164</v>
      </c>
      <c r="E136" s="6" t="s">
        <v>33</v>
      </c>
      <c r="F136" s="4" t="s">
        <v>25</v>
      </c>
      <c r="G136" s="15">
        <f>SUMIFS(المرجع!$C$2:$C$19,المرجع!$A$2:$A$19,$E136,المرجع!$B$2:$B$19,$F136)</f>
        <v>15</v>
      </c>
      <c r="H136" s="14">
        <v>80</v>
      </c>
      <c r="I136" s="16">
        <f t="shared" si="15"/>
        <v>12</v>
      </c>
    </row>
    <row r="137" spans="1:9" hidden="1">
      <c r="A137" t="s">
        <v>173</v>
      </c>
      <c r="B137" s="4" t="s">
        <v>67</v>
      </c>
      <c r="C137" s="4" t="s">
        <v>68</v>
      </c>
      <c r="D137" s="4" t="s">
        <v>164</v>
      </c>
      <c r="E137" s="6" t="s">
        <v>33</v>
      </c>
      <c r="F137" s="4" t="s">
        <v>27</v>
      </c>
      <c r="G137" s="15">
        <f>SUMIFS(المرجع!$C$2:$C$19,المرجع!$A$2:$A$19,$E137,المرجع!$B$2:$B$19,$F137)</f>
        <v>20</v>
      </c>
      <c r="H137" s="14">
        <v>45</v>
      </c>
      <c r="I137" s="16">
        <f t="shared" si="15"/>
        <v>9</v>
      </c>
    </row>
    <row r="138" spans="1:9" hidden="1">
      <c r="A138" t="s">
        <v>174</v>
      </c>
      <c r="B138" s="4" t="s">
        <v>67</v>
      </c>
      <c r="C138" s="4" t="s">
        <v>68</v>
      </c>
      <c r="D138" s="4" t="s">
        <v>164</v>
      </c>
      <c r="E138" s="6" t="s">
        <v>33</v>
      </c>
      <c r="F138" s="4" t="s">
        <v>29</v>
      </c>
      <c r="G138" s="15">
        <f>SUMIFS(المرجع!$C$2:$C$19,المرجع!$A$2:$A$19,$E138,المرجع!$B$2:$B$19,$F138)</f>
        <v>25</v>
      </c>
      <c r="H138" s="14">
        <v>52</v>
      </c>
      <c r="I138" s="16">
        <f t="shared" si="15"/>
        <v>13</v>
      </c>
    </row>
    <row r="139" spans="1:9" hidden="1">
      <c r="A139" t="s">
        <v>175</v>
      </c>
      <c r="B139" s="4" t="s">
        <v>67</v>
      </c>
      <c r="C139" s="4" t="s">
        <v>68</v>
      </c>
      <c r="D139" s="4" t="s">
        <v>164</v>
      </c>
      <c r="E139" s="6" t="s">
        <v>33</v>
      </c>
      <c r="F139" s="4" t="s">
        <v>31</v>
      </c>
      <c r="G139" s="15">
        <f>SUMIFS(المرجع!$C$2:$C$19,المرجع!$A$2:$A$19,$E139,المرجع!$B$2:$B$19,$F139)</f>
        <v>5</v>
      </c>
      <c r="H139" s="14">
        <v>79</v>
      </c>
      <c r="I139" s="16">
        <f t="shared" si="15"/>
        <v>3.95</v>
      </c>
    </row>
    <row r="140" spans="1:9" hidden="1">
      <c r="A140" t="s">
        <v>176</v>
      </c>
      <c r="B140" s="4" t="s">
        <v>67</v>
      </c>
      <c r="C140" s="4" t="s">
        <v>68</v>
      </c>
      <c r="D140" s="4" t="s">
        <v>164</v>
      </c>
      <c r="E140" s="6" t="s">
        <v>33</v>
      </c>
      <c r="F140" s="4" t="s">
        <v>40</v>
      </c>
      <c r="G140" s="15">
        <f>SUMIFS(المرجع!$C$2:$C$19,المرجع!$A$2:$A$19,$E140,المرجع!$B$2:$B$19,$F140)</f>
        <v>5</v>
      </c>
      <c r="H140" s="14">
        <v>62</v>
      </c>
      <c r="I140" s="16">
        <f t="shared" si="15"/>
        <v>3.1</v>
      </c>
    </row>
    <row r="141" spans="1:9">
      <c r="A141" t="s">
        <v>177</v>
      </c>
      <c r="B141" s="4" t="s">
        <v>67</v>
      </c>
      <c r="C141" s="4" t="s">
        <v>68</v>
      </c>
      <c r="D141" s="4" t="s">
        <v>164</v>
      </c>
      <c r="E141" s="6" t="s">
        <v>347</v>
      </c>
      <c r="F141" s="4" t="s">
        <v>23</v>
      </c>
      <c r="G141" s="15">
        <f>SUMIFS(المرجع!$C$2:$C$19,المرجع!$A$2:$A$19,$E141,المرجع!$B$2:$B$19,$F141)</f>
        <v>25</v>
      </c>
      <c r="H141" s="14">
        <v>45</v>
      </c>
      <c r="I141" s="16">
        <f t="shared" si="15"/>
        <v>11.25</v>
      </c>
    </row>
    <row r="142" spans="1:9">
      <c r="A142" t="s">
        <v>178</v>
      </c>
      <c r="B142" s="4" t="s">
        <v>67</v>
      </c>
      <c r="C142" s="4" t="s">
        <v>68</v>
      </c>
      <c r="D142" s="4" t="s">
        <v>164</v>
      </c>
      <c r="E142" s="6" t="s">
        <v>347</v>
      </c>
      <c r="F142" s="4" t="s">
        <v>25</v>
      </c>
      <c r="G142" s="15">
        <f>SUMIFS(المرجع!$C$2:$C$19,المرجع!$A$2:$A$19,$E142,المرجع!$B$2:$B$19,$F142)</f>
        <v>15</v>
      </c>
      <c r="H142" s="14">
        <v>31</v>
      </c>
      <c r="I142" s="16">
        <f t="shared" si="15"/>
        <v>4.6500000000000004</v>
      </c>
    </row>
    <row r="143" spans="1:9">
      <c r="A143" t="s">
        <v>179</v>
      </c>
      <c r="B143" s="4" t="s">
        <v>67</v>
      </c>
      <c r="C143" s="4" t="s">
        <v>68</v>
      </c>
      <c r="D143" s="4" t="s">
        <v>164</v>
      </c>
      <c r="E143" s="6" t="s">
        <v>347</v>
      </c>
      <c r="F143" s="4" t="s">
        <v>29</v>
      </c>
      <c r="G143" s="15">
        <f>SUMIFS(المرجع!$C$2:$C$19,المرجع!$A$2:$A$19,$E143,المرجع!$B$2:$B$19,$F143)</f>
        <v>15</v>
      </c>
      <c r="H143" s="14">
        <v>42</v>
      </c>
      <c r="I143" s="16">
        <f t="shared" si="15"/>
        <v>6.3</v>
      </c>
    </row>
    <row r="144" spans="1:9">
      <c r="A144" t="s">
        <v>180</v>
      </c>
      <c r="B144" s="4" t="s">
        <v>67</v>
      </c>
      <c r="C144" s="4" t="s">
        <v>68</v>
      </c>
      <c r="D144" s="4" t="s">
        <v>164</v>
      </c>
      <c r="E144" s="6" t="s">
        <v>347</v>
      </c>
      <c r="F144" s="4" t="s">
        <v>31</v>
      </c>
      <c r="G144" s="15">
        <f>SUMIFS(المرجع!$C$2:$C$19,المرجع!$A$2:$A$19,$E144,المرجع!$B$2:$B$19,$F144)</f>
        <v>15</v>
      </c>
      <c r="H144" s="14">
        <v>51</v>
      </c>
      <c r="I144" s="16">
        <f t="shared" si="15"/>
        <v>7.65</v>
      </c>
    </row>
    <row r="145" spans="1:9">
      <c r="A145" t="s">
        <v>181</v>
      </c>
      <c r="B145" s="4" t="s">
        <v>67</v>
      </c>
      <c r="C145" s="4" t="s">
        <v>68</v>
      </c>
      <c r="D145" s="4" t="s">
        <v>164</v>
      </c>
      <c r="E145" s="6" t="s">
        <v>347</v>
      </c>
      <c r="F145" s="4" t="s">
        <v>46</v>
      </c>
      <c r="G145" s="15">
        <f>SUMIFS(المرجع!$C$2:$C$19,المرجع!$A$2:$A$19,$E145,المرجع!$B$2:$B$19,$F145)</f>
        <v>30</v>
      </c>
      <c r="H145" s="14">
        <v>34</v>
      </c>
      <c r="I145" s="16">
        <f t="shared" si="15"/>
        <v>10.199999999999999</v>
      </c>
    </row>
    <row r="146" spans="1:9" hidden="1">
      <c r="A146" t="s">
        <v>182</v>
      </c>
      <c r="B146" s="4" t="s">
        <v>67</v>
      </c>
      <c r="C146" s="4" t="s">
        <v>68</v>
      </c>
      <c r="D146" s="4" t="s">
        <v>183</v>
      </c>
      <c r="E146" s="6" t="s">
        <v>346</v>
      </c>
      <c r="F146" s="4" t="s">
        <v>21</v>
      </c>
      <c r="G146" s="15">
        <f>SUMIFS(المرجع!$C$2:$C$19,المرجع!$A$2:$A$19,$E146,المرجع!$B$2:$B$19,$F146)</f>
        <v>25</v>
      </c>
      <c r="H146" s="14">
        <f t="shared" ref="H146:H151" si="16">4.4</f>
        <v>4.4000000000000004</v>
      </c>
      <c r="I146" s="16">
        <f t="shared" ref="I146:I151" si="17">G146*H146/100</f>
        <v>1.1000000000000001</v>
      </c>
    </row>
    <row r="147" spans="1:9" hidden="1">
      <c r="A147" t="s">
        <v>184</v>
      </c>
      <c r="B147" s="4" t="s">
        <v>67</v>
      </c>
      <c r="C147" s="4" t="s">
        <v>68</v>
      </c>
      <c r="D147" s="4" t="s">
        <v>183</v>
      </c>
      <c r="E147" s="6" t="s">
        <v>346</v>
      </c>
      <c r="F147" s="4" t="s">
        <v>23</v>
      </c>
      <c r="G147" s="15">
        <f>SUMIFS(المرجع!$C$2:$C$19,المرجع!$A$2:$A$19,$E147,المرجع!$B$2:$B$19,$F147)</f>
        <v>15</v>
      </c>
      <c r="H147" s="14">
        <f t="shared" si="16"/>
        <v>4.4000000000000004</v>
      </c>
      <c r="I147" s="16">
        <f t="shared" si="17"/>
        <v>0.66</v>
      </c>
    </row>
    <row r="148" spans="1:9" hidden="1">
      <c r="A148" t="s">
        <v>185</v>
      </c>
      <c r="B148" s="4" t="s">
        <v>67</v>
      </c>
      <c r="C148" s="4" t="s">
        <v>68</v>
      </c>
      <c r="D148" s="4" t="s">
        <v>183</v>
      </c>
      <c r="E148" s="6" t="s">
        <v>346</v>
      </c>
      <c r="F148" s="4" t="s">
        <v>25</v>
      </c>
      <c r="G148" s="15">
        <f>SUMIFS(المرجع!$C$2:$C$19,المرجع!$A$2:$A$19,$E148,المرجع!$B$2:$B$19,$F148)</f>
        <v>15</v>
      </c>
      <c r="H148" s="14">
        <f t="shared" si="16"/>
        <v>4.4000000000000004</v>
      </c>
      <c r="I148" s="16">
        <f t="shared" si="17"/>
        <v>0.66</v>
      </c>
    </row>
    <row r="149" spans="1:9" hidden="1">
      <c r="A149" t="s">
        <v>186</v>
      </c>
      <c r="B149" s="4" t="s">
        <v>67</v>
      </c>
      <c r="C149" s="4" t="s">
        <v>68</v>
      </c>
      <c r="D149" s="4" t="s">
        <v>183</v>
      </c>
      <c r="E149" s="6" t="s">
        <v>346</v>
      </c>
      <c r="F149" s="4" t="s">
        <v>27</v>
      </c>
      <c r="G149" s="15">
        <f>SUMIFS(المرجع!$C$2:$C$19,المرجع!$A$2:$A$19,$E149,المرجع!$B$2:$B$19,$F149)</f>
        <v>20</v>
      </c>
      <c r="H149" s="14">
        <f t="shared" si="16"/>
        <v>4.4000000000000004</v>
      </c>
      <c r="I149" s="16">
        <f t="shared" si="17"/>
        <v>0.88</v>
      </c>
    </row>
    <row r="150" spans="1:9" hidden="1">
      <c r="A150" t="s">
        <v>187</v>
      </c>
      <c r="B150" s="4" t="s">
        <v>67</v>
      </c>
      <c r="C150" s="4" t="s">
        <v>68</v>
      </c>
      <c r="D150" s="4" t="s">
        <v>183</v>
      </c>
      <c r="E150" s="6" t="s">
        <v>346</v>
      </c>
      <c r="F150" s="4" t="s">
        <v>29</v>
      </c>
      <c r="G150" s="15">
        <f>SUMIFS(المرجع!$C$2:$C$19,المرجع!$A$2:$A$19,$E150,المرجع!$B$2:$B$19,$F150)</f>
        <v>20</v>
      </c>
      <c r="H150" s="14">
        <f t="shared" si="16"/>
        <v>4.4000000000000004</v>
      </c>
      <c r="I150" s="16">
        <f t="shared" si="17"/>
        <v>0.88</v>
      </c>
    </row>
    <row r="151" spans="1:9" hidden="1">
      <c r="A151" t="s">
        <v>188</v>
      </c>
      <c r="B151" s="4" t="s">
        <v>67</v>
      </c>
      <c r="C151" s="4" t="s">
        <v>68</v>
      </c>
      <c r="D151" s="4" t="s">
        <v>183</v>
      </c>
      <c r="E151" s="6" t="s">
        <v>346</v>
      </c>
      <c r="F151" s="4" t="s">
        <v>31</v>
      </c>
      <c r="G151" s="15">
        <f>SUMIFS(المرجع!$C$2:$C$19,المرجع!$A$2:$A$19,$E151,المرجع!$B$2:$B$19,$F151)</f>
        <v>5</v>
      </c>
      <c r="H151" s="14">
        <f t="shared" si="16"/>
        <v>4.4000000000000004</v>
      </c>
      <c r="I151" s="16">
        <f t="shared" si="17"/>
        <v>0.22</v>
      </c>
    </row>
    <row r="152" spans="1:9" hidden="1">
      <c r="A152" t="s">
        <v>189</v>
      </c>
      <c r="B152" s="4" t="s">
        <v>67</v>
      </c>
      <c r="C152" s="4" t="s">
        <v>68</v>
      </c>
      <c r="D152" s="4" t="s">
        <v>183</v>
      </c>
      <c r="E152" s="6" t="s">
        <v>33</v>
      </c>
      <c r="F152" s="4" t="s">
        <v>21</v>
      </c>
      <c r="G152" s="15">
        <f>SUMIFS(المرجع!$C$2:$C$19,المرجع!$A$2:$A$19,$E152,المرجع!$B$2:$B$19,$F152)</f>
        <v>15</v>
      </c>
      <c r="H152" s="14">
        <v>51</v>
      </c>
      <c r="I152" s="16">
        <f t="shared" si="15"/>
        <v>7.65</v>
      </c>
    </row>
    <row r="153" spans="1:9" hidden="1">
      <c r="A153" t="s">
        <v>190</v>
      </c>
      <c r="B153" s="4" t="s">
        <v>67</v>
      </c>
      <c r="C153" s="4" t="s">
        <v>68</v>
      </c>
      <c r="D153" s="4" t="s">
        <v>183</v>
      </c>
      <c r="E153" s="6" t="s">
        <v>33</v>
      </c>
      <c r="F153" s="4" t="s">
        <v>23</v>
      </c>
      <c r="G153" s="15">
        <f>SUMIFS(المرجع!$C$2:$C$19,المرجع!$A$2:$A$19,$E153,المرجع!$B$2:$B$19,$F153)</f>
        <v>15</v>
      </c>
      <c r="H153" s="14">
        <v>64</v>
      </c>
      <c r="I153" s="16">
        <f t="shared" si="15"/>
        <v>9.6</v>
      </c>
    </row>
    <row r="154" spans="1:9" hidden="1">
      <c r="A154" t="s">
        <v>191</v>
      </c>
      <c r="B154" s="4" t="s">
        <v>67</v>
      </c>
      <c r="C154" s="4" t="s">
        <v>68</v>
      </c>
      <c r="D154" s="4" t="s">
        <v>183</v>
      </c>
      <c r="E154" s="6" t="s">
        <v>33</v>
      </c>
      <c r="F154" s="4" t="s">
        <v>25</v>
      </c>
      <c r="G154" s="15">
        <f>SUMIFS(المرجع!$C$2:$C$19,المرجع!$A$2:$A$19,$E154,المرجع!$B$2:$B$19,$F154)</f>
        <v>15</v>
      </c>
      <c r="H154" s="14">
        <v>77</v>
      </c>
      <c r="I154" s="16">
        <f t="shared" si="15"/>
        <v>11.55</v>
      </c>
    </row>
    <row r="155" spans="1:9" hidden="1">
      <c r="A155" t="s">
        <v>192</v>
      </c>
      <c r="B155" s="4" t="s">
        <v>67</v>
      </c>
      <c r="C155" s="4" t="s">
        <v>68</v>
      </c>
      <c r="D155" s="4" t="s">
        <v>183</v>
      </c>
      <c r="E155" s="6" t="s">
        <v>33</v>
      </c>
      <c r="F155" s="4" t="s">
        <v>27</v>
      </c>
      <c r="G155" s="15">
        <f>SUMIFS(المرجع!$C$2:$C$19,المرجع!$A$2:$A$19,$E155,المرجع!$B$2:$B$19,$F155)</f>
        <v>20</v>
      </c>
      <c r="H155" s="14">
        <v>57</v>
      </c>
      <c r="I155" s="16">
        <f t="shared" si="15"/>
        <v>11.4</v>
      </c>
    </row>
    <row r="156" spans="1:9" hidden="1">
      <c r="A156" t="s">
        <v>193</v>
      </c>
      <c r="B156" s="4" t="s">
        <v>67</v>
      </c>
      <c r="C156" s="4" t="s">
        <v>68</v>
      </c>
      <c r="D156" s="4" t="s">
        <v>183</v>
      </c>
      <c r="E156" s="6" t="s">
        <v>33</v>
      </c>
      <c r="F156" s="4" t="s">
        <v>29</v>
      </c>
      <c r="G156" s="15">
        <f>SUMIFS(المرجع!$C$2:$C$19,المرجع!$A$2:$A$19,$E156,المرجع!$B$2:$B$19,$F156)</f>
        <v>25</v>
      </c>
      <c r="H156" s="14">
        <v>54</v>
      </c>
      <c r="I156" s="16">
        <f t="shared" si="15"/>
        <v>13.5</v>
      </c>
    </row>
    <row r="157" spans="1:9" hidden="1">
      <c r="A157" t="s">
        <v>194</v>
      </c>
      <c r="B157" s="4" t="s">
        <v>67</v>
      </c>
      <c r="C157" s="4" t="s">
        <v>68</v>
      </c>
      <c r="D157" s="4" t="s">
        <v>183</v>
      </c>
      <c r="E157" s="6" t="s">
        <v>33</v>
      </c>
      <c r="F157" s="4" t="s">
        <v>31</v>
      </c>
      <c r="G157" s="15">
        <f>SUMIFS(المرجع!$C$2:$C$19,المرجع!$A$2:$A$19,$E157,المرجع!$B$2:$B$19,$F157)</f>
        <v>5</v>
      </c>
      <c r="H157" s="14">
        <v>68</v>
      </c>
      <c r="I157" s="16">
        <f t="shared" si="15"/>
        <v>3.4</v>
      </c>
    </row>
    <row r="158" spans="1:9" hidden="1">
      <c r="A158" t="s">
        <v>195</v>
      </c>
      <c r="B158" s="4" t="s">
        <v>67</v>
      </c>
      <c r="C158" s="4" t="s">
        <v>68</v>
      </c>
      <c r="D158" s="4" t="s">
        <v>183</v>
      </c>
      <c r="E158" s="6" t="s">
        <v>33</v>
      </c>
      <c r="F158" s="4" t="s">
        <v>40</v>
      </c>
      <c r="G158" s="15">
        <f>SUMIFS(المرجع!$C$2:$C$19,المرجع!$A$2:$A$19,$E158,المرجع!$B$2:$B$19,$F158)</f>
        <v>5</v>
      </c>
      <c r="H158" s="14">
        <v>55</v>
      </c>
      <c r="I158" s="16">
        <f t="shared" si="15"/>
        <v>2.75</v>
      </c>
    </row>
    <row r="159" spans="1:9">
      <c r="A159" t="s">
        <v>196</v>
      </c>
      <c r="B159" s="4" t="s">
        <v>67</v>
      </c>
      <c r="C159" s="4" t="s">
        <v>68</v>
      </c>
      <c r="D159" s="4" t="s">
        <v>183</v>
      </c>
      <c r="E159" s="6" t="s">
        <v>347</v>
      </c>
      <c r="F159" s="4" t="s">
        <v>23</v>
      </c>
      <c r="G159" s="15">
        <f>SUMIFS(المرجع!$C$2:$C$19,المرجع!$A$2:$A$19,$E159,المرجع!$B$2:$B$19,$F159)</f>
        <v>25</v>
      </c>
      <c r="H159" s="14">
        <v>23</v>
      </c>
      <c r="I159" s="16">
        <f t="shared" si="15"/>
        <v>5.75</v>
      </c>
    </row>
    <row r="160" spans="1:9">
      <c r="A160" t="s">
        <v>197</v>
      </c>
      <c r="B160" s="4" t="s">
        <v>67</v>
      </c>
      <c r="C160" s="4" t="s">
        <v>68</v>
      </c>
      <c r="D160" s="4" t="s">
        <v>183</v>
      </c>
      <c r="E160" s="6" t="s">
        <v>347</v>
      </c>
      <c r="F160" s="4" t="s">
        <v>25</v>
      </c>
      <c r="G160" s="15">
        <f>SUMIFS(المرجع!$C$2:$C$19,المرجع!$A$2:$A$19,$E160,المرجع!$B$2:$B$19,$F160)</f>
        <v>15</v>
      </c>
      <c r="H160" s="14">
        <v>27</v>
      </c>
      <c r="I160" s="16">
        <f t="shared" si="15"/>
        <v>4.05</v>
      </c>
    </row>
    <row r="161" spans="1:9">
      <c r="A161" t="s">
        <v>198</v>
      </c>
      <c r="B161" s="4" t="s">
        <v>67</v>
      </c>
      <c r="C161" s="4" t="s">
        <v>68</v>
      </c>
      <c r="D161" s="4" t="s">
        <v>183</v>
      </c>
      <c r="E161" s="6" t="s">
        <v>347</v>
      </c>
      <c r="F161" s="4" t="s">
        <v>29</v>
      </c>
      <c r="G161" s="15">
        <f>SUMIFS(المرجع!$C$2:$C$19,المرجع!$A$2:$A$19,$E161,المرجع!$B$2:$B$19,$F161)</f>
        <v>15</v>
      </c>
      <c r="H161" s="14">
        <v>23</v>
      </c>
      <c r="I161" s="16">
        <f t="shared" si="15"/>
        <v>3.45</v>
      </c>
    </row>
    <row r="162" spans="1:9">
      <c r="A162" t="s">
        <v>199</v>
      </c>
      <c r="B162" s="4" t="s">
        <v>67</v>
      </c>
      <c r="C162" s="4" t="s">
        <v>68</v>
      </c>
      <c r="D162" s="4" t="s">
        <v>183</v>
      </c>
      <c r="E162" s="6" t="s">
        <v>347</v>
      </c>
      <c r="F162" s="4" t="s">
        <v>31</v>
      </c>
      <c r="G162" s="15">
        <f>SUMIFS(المرجع!$C$2:$C$19,المرجع!$A$2:$A$19,$E162,المرجع!$B$2:$B$19,$F162)</f>
        <v>15</v>
      </c>
      <c r="H162" s="14">
        <v>15</v>
      </c>
      <c r="I162" s="16">
        <f t="shared" si="15"/>
        <v>2.25</v>
      </c>
    </row>
    <row r="163" spans="1:9">
      <c r="A163" t="s">
        <v>200</v>
      </c>
      <c r="B163" s="4" t="s">
        <v>67</v>
      </c>
      <c r="C163" s="4" t="s">
        <v>68</v>
      </c>
      <c r="D163" s="4" t="s">
        <v>183</v>
      </c>
      <c r="E163" s="6" t="s">
        <v>347</v>
      </c>
      <c r="F163" s="4" t="s">
        <v>46</v>
      </c>
      <c r="G163" s="15">
        <f>SUMIFS(المرجع!$C$2:$C$19,المرجع!$A$2:$A$19,$E163,المرجع!$B$2:$B$19,$F163)</f>
        <v>30</v>
      </c>
      <c r="H163" s="14">
        <v>24</v>
      </c>
      <c r="I163" s="16">
        <f t="shared" si="15"/>
        <v>7.2</v>
      </c>
    </row>
    <row r="164" spans="1:9" hidden="1">
      <c r="A164" t="s">
        <v>201</v>
      </c>
      <c r="B164" s="4" t="s">
        <v>67</v>
      </c>
      <c r="C164" s="4" t="s">
        <v>202</v>
      </c>
      <c r="D164" s="4" t="s">
        <v>203</v>
      </c>
      <c r="E164" s="6" t="s">
        <v>346</v>
      </c>
      <c r="F164" s="4" t="s">
        <v>21</v>
      </c>
      <c r="G164" s="15">
        <f>SUMIFS(المرجع!$C$2:$C$19,المرجع!$A$2:$A$19,$E164,المرجع!$B$2:$B$19,$F164)</f>
        <v>25</v>
      </c>
      <c r="H164" s="14">
        <f t="shared" ref="H164:H169" si="18">65.95</f>
        <v>65.95</v>
      </c>
      <c r="I164" s="16">
        <f t="shared" ref="I164:I169" si="19">G164*H164/100</f>
        <v>16.487500000000001</v>
      </c>
    </row>
    <row r="165" spans="1:9" hidden="1">
      <c r="A165" t="s">
        <v>204</v>
      </c>
      <c r="B165" s="4" t="s">
        <v>67</v>
      </c>
      <c r="C165" s="4" t="s">
        <v>202</v>
      </c>
      <c r="D165" s="4" t="s">
        <v>203</v>
      </c>
      <c r="E165" s="6" t="s">
        <v>346</v>
      </c>
      <c r="F165" s="4" t="s">
        <v>23</v>
      </c>
      <c r="G165" s="15">
        <f>SUMIFS(المرجع!$C$2:$C$19,المرجع!$A$2:$A$19,$E165,المرجع!$B$2:$B$19,$F165)</f>
        <v>15</v>
      </c>
      <c r="H165" s="14">
        <f t="shared" si="18"/>
        <v>65.95</v>
      </c>
      <c r="I165" s="16">
        <f t="shared" si="19"/>
        <v>9.8925000000000001</v>
      </c>
    </row>
    <row r="166" spans="1:9" hidden="1">
      <c r="A166" t="s">
        <v>205</v>
      </c>
      <c r="B166" s="4" t="s">
        <v>67</v>
      </c>
      <c r="C166" s="4" t="s">
        <v>202</v>
      </c>
      <c r="D166" s="4" t="s">
        <v>203</v>
      </c>
      <c r="E166" s="6" t="s">
        <v>346</v>
      </c>
      <c r="F166" s="4" t="s">
        <v>25</v>
      </c>
      <c r="G166" s="15">
        <f>SUMIFS(المرجع!$C$2:$C$19,المرجع!$A$2:$A$19,$E166,المرجع!$B$2:$B$19,$F166)</f>
        <v>15</v>
      </c>
      <c r="H166" s="14">
        <f t="shared" si="18"/>
        <v>65.95</v>
      </c>
      <c r="I166" s="16">
        <f t="shared" si="19"/>
        <v>9.8925000000000001</v>
      </c>
    </row>
    <row r="167" spans="1:9" hidden="1">
      <c r="A167" t="s">
        <v>206</v>
      </c>
      <c r="B167" s="4" t="s">
        <v>67</v>
      </c>
      <c r="C167" s="4" t="s">
        <v>202</v>
      </c>
      <c r="D167" s="4" t="s">
        <v>203</v>
      </c>
      <c r="E167" s="6" t="s">
        <v>346</v>
      </c>
      <c r="F167" s="4" t="s">
        <v>27</v>
      </c>
      <c r="G167" s="15">
        <f>SUMIFS(المرجع!$C$2:$C$19,المرجع!$A$2:$A$19,$E167,المرجع!$B$2:$B$19,$F167)</f>
        <v>20</v>
      </c>
      <c r="H167" s="14">
        <f t="shared" si="18"/>
        <v>65.95</v>
      </c>
      <c r="I167" s="16">
        <f t="shared" si="19"/>
        <v>13.19</v>
      </c>
    </row>
    <row r="168" spans="1:9" hidden="1">
      <c r="A168" t="s">
        <v>207</v>
      </c>
      <c r="B168" s="4" t="s">
        <v>67</v>
      </c>
      <c r="C168" s="4" t="s">
        <v>202</v>
      </c>
      <c r="D168" s="4" t="s">
        <v>203</v>
      </c>
      <c r="E168" s="6" t="s">
        <v>346</v>
      </c>
      <c r="F168" s="4" t="s">
        <v>29</v>
      </c>
      <c r="G168" s="15">
        <f>SUMIFS(المرجع!$C$2:$C$19,المرجع!$A$2:$A$19,$E168,المرجع!$B$2:$B$19,$F168)</f>
        <v>20</v>
      </c>
      <c r="H168" s="14">
        <f t="shared" si="18"/>
        <v>65.95</v>
      </c>
      <c r="I168" s="16">
        <f t="shared" si="19"/>
        <v>13.19</v>
      </c>
    </row>
    <row r="169" spans="1:9" hidden="1">
      <c r="A169" t="s">
        <v>208</v>
      </c>
      <c r="B169" s="4" t="s">
        <v>67</v>
      </c>
      <c r="C169" s="4" t="s">
        <v>202</v>
      </c>
      <c r="D169" s="4" t="s">
        <v>203</v>
      </c>
      <c r="E169" s="6" t="s">
        <v>346</v>
      </c>
      <c r="F169" s="4" t="s">
        <v>31</v>
      </c>
      <c r="G169" s="15">
        <f>SUMIFS(المرجع!$C$2:$C$19,المرجع!$A$2:$A$19,$E169,المرجع!$B$2:$B$19,$F169)</f>
        <v>5</v>
      </c>
      <c r="H169" s="14">
        <f t="shared" si="18"/>
        <v>65.95</v>
      </c>
      <c r="I169" s="16">
        <f t="shared" si="19"/>
        <v>3.2974999999999999</v>
      </c>
    </row>
    <row r="170" spans="1:9" hidden="1">
      <c r="A170" t="s">
        <v>209</v>
      </c>
      <c r="B170" s="4" t="s">
        <v>67</v>
      </c>
      <c r="C170" s="4" t="s">
        <v>202</v>
      </c>
      <c r="D170" s="4" t="s">
        <v>203</v>
      </c>
      <c r="E170" s="6" t="s">
        <v>33</v>
      </c>
      <c r="F170" s="4" t="s">
        <v>21</v>
      </c>
      <c r="G170" s="15">
        <f>SUMIFS(المرجع!$C$2:$C$19,المرجع!$A$2:$A$19,$E170,المرجع!$B$2:$B$19,$F170)</f>
        <v>15</v>
      </c>
      <c r="H170" s="14">
        <v>60</v>
      </c>
      <c r="I170" s="16">
        <f t="shared" si="15"/>
        <v>9</v>
      </c>
    </row>
    <row r="171" spans="1:9" hidden="1">
      <c r="A171" t="s">
        <v>210</v>
      </c>
      <c r="B171" s="4" t="s">
        <v>67</v>
      </c>
      <c r="C171" s="4" t="s">
        <v>202</v>
      </c>
      <c r="D171" s="4" t="s">
        <v>203</v>
      </c>
      <c r="E171" s="6" t="s">
        <v>33</v>
      </c>
      <c r="F171" s="4" t="s">
        <v>23</v>
      </c>
      <c r="G171" s="15">
        <f>SUMIFS(المرجع!$C$2:$C$19,المرجع!$A$2:$A$19,$E171,المرجع!$B$2:$B$19,$F171)</f>
        <v>15</v>
      </c>
      <c r="H171" s="14">
        <v>48</v>
      </c>
      <c r="I171" s="16">
        <f t="shared" si="15"/>
        <v>7.2</v>
      </c>
    </row>
    <row r="172" spans="1:9" hidden="1">
      <c r="A172" t="s">
        <v>211</v>
      </c>
      <c r="B172" s="4" t="s">
        <v>67</v>
      </c>
      <c r="C172" s="4" t="s">
        <v>202</v>
      </c>
      <c r="D172" s="4" t="s">
        <v>203</v>
      </c>
      <c r="E172" s="6" t="s">
        <v>33</v>
      </c>
      <c r="F172" s="4" t="s">
        <v>25</v>
      </c>
      <c r="G172" s="15">
        <f>SUMIFS(المرجع!$C$2:$C$19,المرجع!$A$2:$A$19,$E172,المرجع!$B$2:$B$19,$F172)</f>
        <v>15</v>
      </c>
      <c r="H172" s="14">
        <v>60</v>
      </c>
      <c r="I172" s="16">
        <f t="shared" si="15"/>
        <v>9</v>
      </c>
    </row>
    <row r="173" spans="1:9" hidden="1">
      <c r="A173" t="s">
        <v>212</v>
      </c>
      <c r="B173" s="4" t="s">
        <v>67</v>
      </c>
      <c r="C173" s="4" t="s">
        <v>202</v>
      </c>
      <c r="D173" s="4" t="s">
        <v>203</v>
      </c>
      <c r="E173" s="6" t="s">
        <v>33</v>
      </c>
      <c r="F173" s="4" t="s">
        <v>27</v>
      </c>
      <c r="G173" s="15">
        <f>SUMIFS(المرجع!$C$2:$C$19,المرجع!$A$2:$A$19,$E173,المرجع!$B$2:$B$19,$F173)</f>
        <v>20</v>
      </c>
      <c r="H173" s="14">
        <v>81</v>
      </c>
      <c r="I173" s="16">
        <f t="shared" si="15"/>
        <v>16.2</v>
      </c>
    </row>
    <row r="174" spans="1:9" hidden="1">
      <c r="A174" t="s">
        <v>213</v>
      </c>
      <c r="B174" s="4" t="s">
        <v>67</v>
      </c>
      <c r="C174" s="4" t="s">
        <v>202</v>
      </c>
      <c r="D174" s="4" t="s">
        <v>203</v>
      </c>
      <c r="E174" s="6" t="s">
        <v>33</v>
      </c>
      <c r="F174" s="4" t="s">
        <v>29</v>
      </c>
      <c r="G174" s="15">
        <f>SUMIFS(المرجع!$C$2:$C$19,المرجع!$A$2:$A$19,$E174,المرجع!$B$2:$B$19,$F174)</f>
        <v>25</v>
      </c>
      <c r="H174" s="14">
        <v>50</v>
      </c>
      <c r="I174" s="16">
        <f t="shared" si="15"/>
        <v>12.5</v>
      </c>
    </row>
    <row r="175" spans="1:9" hidden="1">
      <c r="A175" t="s">
        <v>214</v>
      </c>
      <c r="B175" s="4" t="s">
        <v>67</v>
      </c>
      <c r="C175" s="4" t="s">
        <v>202</v>
      </c>
      <c r="D175" s="4" t="s">
        <v>203</v>
      </c>
      <c r="E175" s="6" t="s">
        <v>33</v>
      </c>
      <c r="F175" s="4" t="s">
        <v>31</v>
      </c>
      <c r="G175" s="15">
        <f>SUMIFS(المرجع!$C$2:$C$19,المرجع!$A$2:$A$19,$E175,المرجع!$B$2:$B$19,$F175)</f>
        <v>5</v>
      </c>
      <c r="H175" s="14">
        <v>50</v>
      </c>
      <c r="I175" s="16">
        <f t="shared" si="15"/>
        <v>2.5</v>
      </c>
    </row>
    <row r="176" spans="1:9" hidden="1">
      <c r="A176" t="s">
        <v>215</v>
      </c>
      <c r="B176" s="4" t="s">
        <v>67</v>
      </c>
      <c r="C176" s="4" t="s">
        <v>202</v>
      </c>
      <c r="D176" s="4" t="s">
        <v>203</v>
      </c>
      <c r="E176" s="6" t="s">
        <v>33</v>
      </c>
      <c r="F176" s="4" t="s">
        <v>40</v>
      </c>
      <c r="G176" s="15">
        <f>SUMIFS(المرجع!$C$2:$C$19,المرجع!$A$2:$A$19,$E176,المرجع!$B$2:$B$19,$F176)</f>
        <v>5</v>
      </c>
      <c r="H176" s="14">
        <v>76</v>
      </c>
      <c r="I176" s="16">
        <f t="shared" si="15"/>
        <v>3.8</v>
      </c>
    </row>
    <row r="177" spans="1:9">
      <c r="A177" t="s">
        <v>216</v>
      </c>
      <c r="B177" s="4" t="s">
        <v>67</v>
      </c>
      <c r="C177" s="4" t="s">
        <v>202</v>
      </c>
      <c r="D177" s="4" t="s">
        <v>203</v>
      </c>
      <c r="E177" s="6" t="s">
        <v>347</v>
      </c>
      <c r="F177" s="4" t="s">
        <v>23</v>
      </c>
      <c r="G177" s="15">
        <f>SUMIFS(المرجع!$C$2:$C$19,المرجع!$A$2:$A$19,$E177,المرجع!$B$2:$B$19,$F177)</f>
        <v>25</v>
      </c>
      <c r="H177" s="14">
        <v>28</v>
      </c>
      <c r="I177" s="16">
        <f t="shared" si="15"/>
        <v>7</v>
      </c>
    </row>
    <row r="178" spans="1:9">
      <c r="A178" t="s">
        <v>217</v>
      </c>
      <c r="B178" s="4" t="s">
        <v>67</v>
      </c>
      <c r="C178" s="4" t="s">
        <v>202</v>
      </c>
      <c r="D178" s="4" t="s">
        <v>203</v>
      </c>
      <c r="E178" s="6" t="s">
        <v>347</v>
      </c>
      <c r="F178" s="4" t="s">
        <v>25</v>
      </c>
      <c r="G178" s="15">
        <f>SUMIFS(المرجع!$C$2:$C$19,المرجع!$A$2:$A$19,$E178,المرجع!$B$2:$B$19,$F178)</f>
        <v>15</v>
      </c>
      <c r="H178" s="14">
        <v>58</v>
      </c>
      <c r="I178" s="16">
        <f t="shared" si="15"/>
        <v>8.6999999999999993</v>
      </c>
    </row>
    <row r="179" spans="1:9">
      <c r="A179" t="s">
        <v>218</v>
      </c>
      <c r="B179" s="4" t="s">
        <v>67</v>
      </c>
      <c r="C179" s="4" t="s">
        <v>202</v>
      </c>
      <c r="D179" s="4" t="s">
        <v>203</v>
      </c>
      <c r="E179" s="6" t="s">
        <v>347</v>
      </c>
      <c r="F179" s="4" t="s">
        <v>29</v>
      </c>
      <c r="G179" s="15">
        <f>SUMIFS(المرجع!$C$2:$C$19,المرجع!$A$2:$A$19,$E179,المرجع!$B$2:$B$19,$F179)</f>
        <v>15</v>
      </c>
      <c r="H179" s="14">
        <v>32</v>
      </c>
      <c r="I179" s="16">
        <f t="shared" si="15"/>
        <v>4.8</v>
      </c>
    </row>
    <row r="180" spans="1:9">
      <c r="A180" t="s">
        <v>219</v>
      </c>
      <c r="B180" s="4" t="s">
        <v>67</v>
      </c>
      <c r="C180" s="4" t="s">
        <v>202</v>
      </c>
      <c r="D180" s="4" t="s">
        <v>203</v>
      </c>
      <c r="E180" s="6" t="s">
        <v>347</v>
      </c>
      <c r="F180" s="4" t="s">
        <v>31</v>
      </c>
      <c r="G180" s="15">
        <f>SUMIFS(المرجع!$C$2:$C$19,المرجع!$A$2:$A$19,$E180,المرجع!$B$2:$B$19,$F180)</f>
        <v>15</v>
      </c>
      <c r="H180" s="14">
        <v>32</v>
      </c>
      <c r="I180" s="16">
        <f t="shared" si="15"/>
        <v>4.8</v>
      </c>
    </row>
    <row r="181" spans="1:9">
      <c r="A181" t="s">
        <v>220</v>
      </c>
      <c r="B181" s="4" t="s">
        <v>67</v>
      </c>
      <c r="C181" s="4" t="s">
        <v>202</v>
      </c>
      <c r="D181" s="4" t="s">
        <v>203</v>
      </c>
      <c r="E181" s="6" t="s">
        <v>347</v>
      </c>
      <c r="F181" s="4" t="s">
        <v>46</v>
      </c>
      <c r="G181" s="15">
        <f>SUMIFS(المرجع!$C$2:$C$19,المرجع!$A$2:$A$19,$E181,المرجع!$B$2:$B$19,$F181)</f>
        <v>30</v>
      </c>
      <c r="H181" s="14">
        <v>54</v>
      </c>
      <c r="I181" s="16">
        <f t="shared" si="15"/>
        <v>16.2</v>
      </c>
    </row>
    <row r="182" spans="1:9" hidden="1">
      <c r="A182" t="s">
        <v>221</v>
      </c>
      <c r="B182" s="4" t="s">
        <v>67</v>
      </c>
      <c r="C182" s="4" t="s">
        <v>202</v>
      </c>
      <c r="D182" s="4" t="s">
        <v>222</v>
      </c>
      <c r="E182" s="6" t="s">
        <v>346</v>
      </c>
      <c r="F182" s="4" t="s">
        <v>21</v>
      </c>
      <c r="G182" s="15">
        <f>SUMIFS(المرجع!$C$2:$C$19,المرجع!$A$2:$A$19,$E182,المرجع!$B$2:$B$19,$F182)</f>
        <v>25</v>
      </c>
      <c r="H182" s="14">
        <f t="shared" ref="H182:H187" si="20">8.64</f>
        <v>8.64</v>
      </c>
      <c r="I182" s="16">
        <f t="shared" ref="I182:I187" si="21">G182*H182/100</f>
        <v>2.16</v>
      </c>
    </row>
    <row r="183" spans="1:9" hidden="1">
      <c r="A183" t="s">
        <v>223</v>
      </c>
      <c r="B183" s="4" t="s">
        <v>67</v>
      </c>
      <c r="C183" s="4" t="s">
        <v>202</v>
      </c>
      <c r="D183" s="4" t="s">
        <v>222</v>
      </c>
      <c r="E183" s="6" t="s">
        <v>346</v>
      </c>
      <c r="F183" s="4" t="s">
        <v>23</v>
      </c>
      <c r="G183" s="15">
        <f>SUMIFS(المرجع!$C$2:$C$19,المرجع!$A$2:$A$19,$E183,المرجع!$B$2:$B$19,$F183)</f>
        <v>15</v>
      </c>
      <c r="H183" s="14">
        <f t="shared" si="20"/>
        <v>8.64</v>
      </c>
      <c r="I183" s="16">
        <f t="shared" si="21"/>
        <v>1.2960000000000003</v>
      </c>
    </row>
    <row r="184" spans="1:9" hidden="1">
      <c r="A184" t="s">
        <v>224</v>
      </c>
      <c r="B184" s="4" t="s">
        <v>67</v>
      </c>
      <c r="C184" s="4" t="s">
        <v>202</v>
      </c>
      <c r="D184" s="4" t="s">
        <v>222</v>
      </c>
      <c r="E184" s="6" t="s">
        <v>346</v>
      </c>
      <c r="F184" s="4" t="s">
        <v>25</v>
      </c>
      <c r="G184" s="15">
        <f>SUMIFS(المرجع!$C$2:$C$19,المرجع!$A$2:$A$19,$E184,المرجع!$B$2:$B$19,$F184)</f>
        <v>15</v>
      </c>
      <c r="H184" s="14">
        <f t="shared" si="20"/>
        <v>8.64</v>
      </c>
      <c r="I184" s="16">
        <f t="shared" si="21"/>
        <v>1.2960000000000003</v>
      </c>
    </row>
    <row r="185" spans="1:9" hidden="1">
      <c r="A185" t="s">
        <v>225</v>
      </c>
      <c r="B185" s="4" t="s">
        <v>67</v>
      </c>
      <c r="C185" s="4" t="s">
        <v>202</v>
      </c>
      <c r="D185" s="4" t="s">
        <v>222</v>
      </c>
      <c r="E185" s="6" t="s">
        <v>346</v>
      </c>
      <c r="F185" s="4" t="s">
        <v>27</v>
      </c>
      <c r="G185" s="15">
        <f>SUMIFS(المرجع!$C$2:$C$19,المرجع!$A$2:$A$19,$E185,المرجع!$B$2:$B$19,$F185)</f>
        <v>20</v>
      </c>
      <c r="H185" s="14">
        <f t="shared" si="20"/>
        <v>8.64</v>
      </c>
      <c r="I185" s="16">
        <f t="shared" si="21"/>
        <v>1.7280000000000002</v>
      </c>
    </row>
    <row r="186" spans="1:9" hidden="1">
      <c r="A186" t="s">
        <v>226</v>
      </c>
      <c r="B186" s="4" t="s">
        <v>67</v>
      </c>
      <c r="C186" s="4" t="s">
        <v>202</v>
      </c>
      <c r="D186" s="4" t="s">
        <v>222</v>
      </c>
      <c r="E186" s="6" t="s">
        <v>346</v>
      </c>
      <c r="F186" s="4" t="s">
        <v>29</v>
      </c>
      <c r="G186" s="15">
        <f>SUMIFS(المرجع!$C$2:$C$19,المرجع!$A$2:$A$19,$E186,المرجع!$B$2:$B$19,$F186)</f>
        <v>20</v>
      </c>
      <c r="H186" s="14">
        <f t="shared" si="20"/>
        <v>8.64</v>
      </c>
      <c r="I186" s="16">
        <f t="shared" si="21"/>
        <v>1.7280000000000002</v>
      </c>
    </row>
    <row r="187" spans="1:9" hidden="1">
      <c r="A187" t="s">
        <v>227</v>
      </c>
      <c r="B187" s="4" t="s">
        <v>67</v>
      </c>
      <c r="C187" s="4" t="s">
        <v>202</v>
      </c>
      <c r="D187" s="4" t="s">
        <v>222</v>
      </c>
      <c r="E187" s="6" t="s">
        <v>346</v>
      </c>
      <c r="F187" s="4" t="s">
        <v>31</v>
      </c>
      <c r="G187" s="15">
        <f>SUMIFS(المرجع!$C$2:$C$19,المرجع!$A$2:$A$19,$E187,المرجع!$B$2:$B$19,$F187)</f>
        <v>5</v>
      </c>
      <c r="H187" s="14">
        <f t="shared" si="20"/>
        <v>8.64</v>
      </c>
      <c r="I187" s="16">
        <f t="shared" si="21"/>
        <v>0.43200000000000005</v>
      </c>
    </row>
    <row r="188" spans="1:9" hidden="1">
      <c r="A188" t="s">
        <v>228</v>
      </c>
      <c r="B188" s="4" t="s">
        <v>67</v>
      </c>
      <c r="C188" s="4" t="s">
        <v>202</v>
      </c>
      <c r="D188" s="4" t="s">
        <v>222</v>
      </c>
      <c r="E188" s="6" t="s">
        <v>33</v>
      </c>
      <c r="F188" s="4" t="s">
        <v>21</v>
      </c>
      <c r="G188" s="15">
        <f>SUMIFS(المرجع!$C$2:$C$19,المرجع!$A$2:$A$19,$E188,المرجع!$B$2:$B$19,$F188)</f>
        <v>15</v>
      </c>
      <c r="H188" s="14">
        <v>58</v>
      </c>
      <c r="I188" s="16">
        <f t="shared" si="15"/>
        <v>8.6999999999999993</v>
      </c>
    </row>
    <row r="189" spans="1:9" hidden="1">
      <c r="A189" t="s">
        <v>229</v>
      </c>
      <c r="B189" s="4" t="s">
        <v>67</v>
      </c>
      <c r="C189" s="4" t="s">
        <v>202</v>
      </c>
      <c r="D189" s="4" t="s">
        <v>222</v>
      </c>
      <c r="E189" s="6" t="s">
        <v>33</v>
      </c>
      <c r="F189" s="4" t="s">
        <v>23</v>
      </c>
      <c r="G189" s="15">
        <f>SUMIFS(المرجع!$C$2:$C$19,المرجع!$A$2:$A$19,$E189,المرجع!$B$2:$B$19,$F189)</f>
        <v>15</v>
      </c>
      <c r="H189" s="14">
        <v>79</v>
      </c>
      <c r="I189" s="16">
        <f t="shared" si="15"/>
        <v>11.85</v>
      </c>
    </row>
    <row r="190" spans="1:9" hidden="1">
      <c r="A190" t="s">
        <v>230</v>
      </c>
      <c r="B190" s="4" t="s">
        <v>67</v>
      </c>
      <c r="C190" s="4" t="s">
        <v>202</v>
      </c>
      <c r="D190" s="4" t="s">
        <v>222</v>
      </c>
      <c r="E190" s="6" t="s">
        <v>33</v>
      </c>
      <c r="F190" s="4" t="s">
        <v>25</v>
      </c>
      <c r="G190" s="15">
        <f>SUMIFS(المرجع!$C$2:$C$19,المرجع!$A$2:$A$19,$E190,المرجع!$B$2:$B$19,$F190)</f>
        <v>15</v>
      </c>
      <c r="H190" s="14">
        <v>57</v>
      </c>
      <c r="I190" s="16">
        <f t="shared" si="15"/>
        <v>8.5500000000000007</v>
      </c>
    </row>
    <row r="191" spans="1:9" hidden="1">
      <c r="A191" t="s">
        <v>231</v>
      </c>
      <c r="B191" s="4" t="s">
        <v>67</v>
      </c>
      <c r="C191" s="4" t="s">
        <v>202</v>
      </c>
      <c r="D191" s="4" t="s">
        <v>222</v>
      </c>
      <c r="E191" s="6" t="s">
        <v>33</v>
      </c>
      <c r="F191" s="4" t="s">
        <v>27</v>
      </c>
      <c r="G191" s="15">
        <f>SUMIFS(المرجع!$C$2:$C$19,المرجع!$A$2:$A$19,$E191,المرجع!$B$2:$B$19,$F191)</f>
        <v>20</v>
      </c>
      <c r="H191" s="14">
        <v>64</v>
      </c>
      <c r="I191" s="16">
        <f t="shared" si="15"/>
        <v>12.8</v>
      </c>
    </row>
    <row r="192" spans="1:9" hidden="1">
      <c r="A192" t="s">
        <v>232</v>
      </c>
      <c r="B192" s="4" t="s">
        <v>67</v>
      </c>
      <c r="C192" s="4" t="s">
        <v>202</v>
      </c>
      <c r="D192" s="4" t="s">
        <v>222</v>
      </c>
      <c r="E192" s="6" t="s">
        <v>33</v>
      </c>
      <c r="F192" s="4" t="s">
        <v>29</v>
      </c>
      <c r="G192" s="15">
        <f>SUMIFS(المرجع!$C$2:$C$19,المرجع!$A$2:$A$19,$E192,المرجع!$B$2:$B$19,$F192)</f>
        <v>25</v>
      </c>
      <c r="H192" s="14">
        <v>70</v>
      </c>
      <c r="I192" s="16">
        <f t="shared" si="15"/>
        <v>17.5</v>
      </c>
    </row>
    <row r="193" spans="1:9" hidden="1">
      <c r="A193" t="s">
        <v>233</v>
      </c>
      <c r="B193" s="4" t="s">
        <v>67</v>
      </c>
      <c r="C193" s="4" t="s">
        <v>202</v>
      </c>
      <c r="D193" s="4" t="s">
        <v>222</v>
      </c>
      <c r="E193" s="6" t="s">
        <v>33</v>
      </c>
      <c r="F193" s="4" t="s">
        <v>31</v>
      </c>
      <c r="G193" s="15">
        <f>SUMIFS(المرجع!$C$2:$C$19,المرجع!$A$2:$A$19,$E193,المرجع!$B$2:$B$19,$F193)</f>
        <v>5</v>
      </c>
      <c r="H193" s="14">
        <v>68</v>
      </c>
      <c r="I193" s="16">
        <f t="shared" si="15"/>
        <v>3.4</v>
      </c>
    </row>
    <row r="194" spans="1:9" hidden="1">
      <c r="A194" t="s">
        <v>234</v>
      </c>
      <c r="B194" s="4" t="s">
        <v>67</v>
      </c>
      <c r="C194" s="4" t="s">
        <v>202</v>
      </c>
      <c r="D194" s="4" t="s">
        <v>222</v>
      </c>
      <c r="E194" s="6" t="s">
        <v>33</v>
      </c>
      <c r="F194" s="4" t="s">
        <v>40</v>
      </c>
      <c r="G194" s="15">
        <f>SUMIFS(المرجع!$C$2:$C$19,المرجع!$A$2:$A$19,$E194,المرجع!$B$2:$B$19,$F194)</f>
        <v>5</v>
      </c>
      <c r="H194" s="14">
        <v>73</v>
      </c>
      <c r="I194" s="16">
        <f t="shared" ref="I194:I253" si="22">G194*H194/100</f>
        <v>3.65</v>
      </c>
    </row>
    <row r="195" spans="1:9">
      <c r="A195" t="s">
        <v>235</v>
      </c>
      <c r="B195" s="4" t="s">
        <v>67</v>
      </c>
      <c r="C195" s="4" t="s">
        <v>202</v>
      </c>
      <c r="D195" s="4" t="s">
        <v>222</v>
      </c>
      <c r="E195" s="6" t="s">
        <v>347</v>
      </c>
      <c r="F195" s="4" t="s">
        <v>23</v>
      </c>
      <c r="G195" s="15">
        <f>SUMIFS(المرجع!$C$2:$C$19,المرجع!$A$2:$A$19,$E195,المرجع!$B$2:$B$19,$F195)</f>
        <v>25</v>
      </c>
      <c r="H195" s="14">
        <v>57</v>
      </c>
      <c r="I195" s="16">
        <f t="shared" si="22"/>
        <v>14.25</v>
      </c>
    </row>
    <row r="196" spans="1:9">
      <c r="A196" t="s">
        <v>236</v>
      </c>
      <c r="B196" s="4" t="s">
        <v>67</v>
      </c>
      <c r="C196" s="4" t="s">
        <v>202</v>
      </c>
      <c r="D196" s="4" t="s">
        <v>222</v>
      </c>
      <c r="E196" s="6" t="s">
        <v>347</v>
      </c>
      <c r="F196" s="4" t="s">
        <v>25</v>
      </c>
      <c r="G196" s="15">
        <f>SUMIFS(المرجع!$C$2:$C$19,المرجع!$A$2:$A$19,$E196,المرجع!$B$2:$B$19,$F196)</f>
        <v>15</v>
      </c>
      <c r="H196" s="14">
        <v>52</v>
      </c>
      <c r="I196" s="16">
        <f t="shared" si="22"/>
        <v>7.8</v>
      </c>
    </row>
    <row r="197" spans="1:9">
      <c r="A197" t="s">
        <v>237</v>
      </c>
      <c r="B197" s="4" t="s">
        <v>67</v>
      </c>
      <c r="C197" s="4" t="s">
        <v>202</v>
      </c>
      <c r="D197" s="4" t="s">
        <v>222</v>
      </c>
      <c r="E197" s="6" t="s">
        <v>347</v>
      </c>
      <c r="F197" s="4" t="s">
        <v>29</v>
      </c>
      <c r="G197" s="15">
        <f>SUMIFS(المرجع!$C$2:$C$19,المرجع!$A$2:$A$19,$E197,المرجع!$B$2:$B$19,$F197)</f>
        <v>15</v>
      </c>
      <c r="H197" s="14">
        <v>31</v>
      </c>
      <c r="I197" s="16">
        <f t="shared" si="22"/>
        <v>4.6500000000000004</v>
      </c>
    </row>
    <row r="198" spans="1:9">
      <c r="A198" t="s">
        <v>238</v>
      </c>
      <c r="B198" s="4" t="s">
        <v>67</v>
      </c>
      <c r="C198" s="4" t="s">
        <v>202</v>
      </c>
      <c r="D198" s="4" t="s">
        <v>222</v>
      </c>
      <c r="E198" s="6" t="s">
        <v>347</v>
      </c>
      <c r="F198" s="4" t="s">
        <v>31</v>
      </c>
      <c r="G198" s="15">
        <f>SUMIFS(المرجع!$C$2:$C$19,المرجع!$A$2:$A$19,$E198,المرجع!$B$2:$B$19,$F198)</f>
        <v>15</v>
      </c>
      <c r="H198" s="14">
        <v>39</v>
      </c>
      <c r="I198" s="16">
        <f t="shared" si="22"/>
        <v>5.85</v>
      </c>
    </row>
    <row r="199" spans="1:9">
      <c r="A199" t="s">
        <v>239</v>
      </c>
      <c r="B199" s="4" t="s">
        <v>67</v>
      </c>
      <c r="C199" s="4" t="s">
        <v>202</v>
      </c>
      <c r="D199" s="4" t="s">
        <v>222</v>
      </c>
      <c r="E199" s="6" t="s">
        <v>347</v>
      </c>
      <c r="F199" s="4" t="s">
        <v>46</v>
      </c>
      <c r="G199" s="15">
        <f>SUMIFS(المرجع!$C$2:$C$19,المرجع!$A$2:$A$19,$E199,المرجع!$B$2:$B$19,$F199)</f>
        <v>30</v>
      </c>
      <c r="H199" s="14">
        <v>38</v>
      </c>
      <c r="I199" s="16">
        <f t="shared" si="22"/>
        <v>11.4</v>
      </c>
    </row>
    <row r="200" spans="1:9" hidden="1">
      <c r="A200" t="s">
        <v>240</v>
      </c>
      <c r="B200" s="4" t="s">
        <v>67</v>
      </c>
      <c r="C200" s="4" t="s">
        <v>202</v>
      </c>
      <c r="D200" s="4" t="s">
        <v>241</v>
      </c>
      <c r="E200" s="6" t="s">
        <v>346</v>
      </c>
      <c r="F200" s="4" t="s">
        <v>21</v>
      </c>
      <c r="G200" s="15">
        <f>SUMIFS(المرجع!$C$2:$C$19,المرجع!$A$2:$A$19,$E200,المرجع!$B$2:$B$19,$F200)</f>
        <v>25</v>
      </c>
      <c r="H200" s="14">
        <f t="shared" ref="H200:H205" si="23">83.26</f>
        <v>83.26</v>
      </c>
      <c r="I200" s="16">
        <f t="shared" ref="I200:I205" si="24">G200*H200/100</f>
        <v>20.815000000000001</v>
      </c>
    </row>
    <row r="201" spans="1:9" hidden="1">
      <c r="A201" t="s">
        <v>242</v>
      </c>
      <c r="B201" s="4" t="s">
        <v>67</v>
      </c>
      <c r="C201" s="4" t="s">
        <v>202</v>
      </c>
      <c r="D201" s="4" t="s">
        <v>241</v>
      </c>
      <c r="E201" s="6" t="s">
        <v>346</v>
      </c>
      <c r="F201" s="4" t="s">
        <v>23</v>
      </c>
      <c r="G201" s="15">
        <f>SUMIFS(المرجع!$C$2:$C$19,المرجع!$A$2:$A$19,$E201,المرجع!$B$2:$B$19,$F201)</f>
        <v>15</v>
      </c>
      <c r="H201" s="14">
        <f t="shared" si="23"/>
        <v>83.26</v>
      </c>
      <c r="I201" s="16">
        <f t="shared" si="24"/>
        <v>12.489000000000001</v>
      </c>
    </row>
    <row r="202" spans="1:9" hidden="1">
      <c r="A202" t="s">
        <v>243</v>
      </c>
      <c r="B202" s="4" t="s">
        <v>67</v>
      </c>
      <c r="C202" s="4" t="s">
        <v>202</v>
      </c>
      <c r="D202" s="4" t="s">
        <v>241</v>
      </c>
      <c r="E202" s="6" t="s">
        <v>346</v>
      </c>
      <c r="F202" s="4" t="s">
        <v>25</v>
      </c>
      <c r="G202" s="15">
        <f>SUMIFS(المرجع!$C$2:$C$19,المرجع!$A$2:$A$19,$E202,المرجع!$B$2:$B$19,$F202)</f>
        <v>15</v>
      </c>
      <c r="H202" s="14">
        <f t="shared" si="23"/>
        <v>83.26</v>
      </c>
      <c r="I202" s="16">
        <f t="shared" si="24"/>
        <v>12.489000000000001</v>
      </c>
    </row>
    <row r="203" spans="1:9" hidden="1">
      <c r="A203" t="s">
        <v>244</v>
      </c>
      <c r="B203" s="4" t="s">
        <v>67</v>
      </c>
      <c r="C203" s="4" t="s">
        <v>202</v>
      </c>
      <c r="D203" s="4" t="s">
        <v>241</v>
      </c>
      <c r="E203" s="6" t="s">
        <v>346</v>
      </c>
      <c r="F203" s="4" t="s">
        <v>27</v>
      </c>
      <c r="G203" s="15">
        <f>SUMIFS(المرجع!$C$2:$C$19,المرجع!$A$2:$A$19,$E203,المرجع!$B$2:$B$19,$F203)</f>
        <v>20</v>
      </c>
      <c r="H203" s="14">
        <f t="shared" si="23"/>
        <v>83.26</v>
      </c>
      <c r="I203" s="16">
        <f t="shared" si="24"/>
        <v>16.652000000000001</v>
      </c>
    </row>
    <row r="204" spans="1:9" hidden="1">
      <c r="A204" t="s">
        <v>245</v>
      </c>
      <c r="B204" s="4" t="s">
        <v>67</v>
      </c>
      <c r="C204" s="4" t="s">
        <v>202</v>
      </c>
      <c r="D204" s="4" t="s">
        <v>241</v>
      </c>
      <c r="E204" s="6" t="s">
        <v>346</v>
      </c>
      <c r="F204" s="4" t="s">
        <v>29</v>
      </c>
      <c r="G204" s="15">
        <f>SUMIFS(المرجع!$C$2:$C$19,المرجع!$A$2:$A$19,$E204,المرجع!$B$2:$B$19,$F204)</f>
        <v>20</v>
      </c>
      <c r="H204" s="14">
        <f t="shared" si="23"/>
        <v>83.26</v>
      </c>
      <c r="I204" s="16">
        <f t="shared" si="24"/>
        <v>16.652000000000001</v>
      </c>
    </row>
    <row r="205" spans="1:9" hidden="1">
      <c r="A205" t="s">
        <v>246</v>
      </c>
      <c r="B205" s="4" t="s">
        <v>67</v>
      </c>
      <c r="C205" s="4" t="s">
        <v>202</v>
      </c>
      <c r="D205" s="4" t="s">
        <v>241</v>
      </c>
      <c r="E205" s="6" t="s">
        <v>346</v>
      </c>
      <c r="F205" s="4" t="s">
        <v>31</v>
      </c>
      <c r="G205" s="15">
        <f>SUMIFS(المرجع!$C$2:$C$19,المرجع!$A$2:$A$19,$E205,المرجع!$B$2:$B$19,$F205)</f>
        <v>5</v>
      </c>
      <c r="H205" s="14">
        <f t="shared" si="23"/>
        <v>83.26</v>
      </c>
      <c r="I205" s="16">
        <f t="shared" si="24"/>
        <v>4.1630000000000003</v>
      </c>
    </row>
    <row r="206" spans="1:9" hidden="1">
      <c r="A206" t="s">
        <v>247</v>
      </c>
      <c r="B206" s="4" t="s">
        <v>67</v>
      </c>
      <c r="C206" s="4" t="s">
        <v>202</v>
      </c>
      <c r="D206" s="4" t="s">
        <v>241</v>
      </c>
      <c r="E206" s="6" t="s">
        <v>33</v>
      </c>
      <c r="F206" s="4" t="s">
        <v>21</v>
      </c>
      <c r="G206" s="15">
        <f>SUMIFS(المرجع!$C$2:$C$19,المرجع!$A$2:$A$19,$E206,المرجع!$B$2:$B$19,$F206)</f>
        <v>15</v>
      </c>
      <c r="H206" s="14">
        <v>82</v>
      </c>
      <c r="I206" s="16">
        <f t="shared" si="22"/>
        <v>12.3</v>
      </c>
    </row>
    <row r="207" spans="1:9" hidden="1">
      <c r="A207" t="s">
        <v>248</v>
      </c>
      <c r="B207" s="4" t="s">
        <v>67</v>
      </c>
      <c r="C207" s="4" t="s">
        <v>202</v>
      </c>
      <c r="D207" s="4" t="s">
        <v>241</v>
      </c>
      <c r="E207" s="6" t="s">
        <v>33</v>
      </c>
      <c r="F207" s="4" t="s">
        <v>23</v>
      </c>
      <c r="G207" s="15">
        <f>SUMIFS(المرجع!$C$2:$C$19,المرجع!$A$2:$A$19,$E207,المرجع!$B$2:$B$19,$F207)</f>
        <v>15</v>
      </c>
      <c r="H207" s="14">
        <v>59</v>
      </c>
      <c r="I207" s="16">
        <f t="shared" si="22"/>
        <v>8.85</v>
      </c>
    </row>
    <row r="208" spans="1:9" hidden="1">
      <c r="A208" t="s">
        <v>249</v>
      </c>
      <c r="B208" s="4" t="s">
        <v>67</v>
      </c>
      <c r="C208" s="4" t="s">
        <v>202</v>
      </c>
      <c r="D208" s="4" t="s">
        <v>241</v>
      </c>
      <c r="E208" s="6" t="s">
        <v>33</v>
      </c>
      <c r="F208" s="4" t="s">
        <v>25</v>
      </c>
      <c r="G208" s="15">
        <f>SUMIFS(المرجع!$C$2:$C$19,المرجع!$A$2:$A$19,$E208,المرجع!$B$2:$B$19,$F208)</f>
        <v>15</v>
      </c>
      <c r="H208" s="14">
        <v>45</v>
      </c>
      <c r="I208" s="16">
        <f t="shared" si="22"/>
        <v>6.75</v>
      </c>
    </row>
    <row r="209" spans="1:9" hidden="1">
      <c r="A209" t="s">
        <v>250</v>
      </c>
      <c r="B209" s="4" t="s">
        <v>67</v>
      </c>
      <c r="C209" s="4" t="s">
        <v>202</v>
      </c>
      <c r="D209" s="4" t="s">
        <v>241</v>
      </c>
      <c r="E209" s="6" t="s">
        <v>33</v>
      </c>
      <c r="F209" s="4" t="s">
        <v>27</v>
      </c>
      <c r="G209" s="15">
        <f>SUMIFS(المرجع!$C$2:$C$19,المرجع!$A$2:$A$19,$E209,المرجع!$B$2:$B$19,$F209)</f>
        <v>20</v>
      </c>
      <c r="H209" s="14">
        <v>49</v>
      </c>
      <c r="I209" s="16">
        <f t="shared" si="22"/>
        <v>9.8000000000000007</v>
      </c>
    </row>
    <row r="210" spans="1:9" hidden="1">
      <c r="A210" t="s">
        <v>251</v>
      </c>
      <c r="B210" s="4" t="s">
        <v>67</v>
      </c>
      <c r="C210" s="4" t="s">
        <v>202</v>
      </c>
      <c r="D210" s="4" t="s">
        <v>241</v>
      </c>
      <c r="E210" s="6" t="s">
        <v>33</v>
      </c>
      <c r="F210" s="4" t="s">
        <v>29</v>
      </c>
      <c r="G210" s="15">
        <f>SUMIFS(المرجع!$C$2:$C$19,المرجع!$A$2:$A$19,$E210,المرجع!$B$2:$B$19,$F210)</f>
        <v>25</v>
      </c>
      <c r="H210" s="14">
        <v>48</v>
      </c>
      <c r="I210" s="16">
        <f t="shared" si="22"/>
        <v>12</v>
      </c>
    </row>
    <row r="211" spans="1:9" hidden="1">
      <c r="A211" t="s">
        <v>252</v>
      </c>
      <c r="B211" s="4" t="s">
        <v>67</v>
      </c>
      <c r="C211" s="4" t="s">
        <v>202</v>
      </c>
      <c r="D211" s="4" t="s">
        <v>241</v>
      </c>
      <c r="E211" s="6" t="s">
        <v>33</v>
      </c>
      <c r="F211" s="4" t="s">
        <v>31</v>
      </c>
      <c r="G211" s="15">
        <f>SUMIFS(المرجع!$C$2:$C$19,المرجع!$A$2:$A$19,$E211,المرجع!$B$2:$B$19,$F211)</f>
        <v>5</v>
      </c>
      <c r="H211" s="14">
        <v>59</v>
      </c>
      <c r="I211" s="16">
        <f t="shared" si="22"/>
        <v>2.95</v>
      </c>
    </row>
    <row r="212" spans="1:9" hidden="1">
      <c r="A212" t="s">
        <v>253</v>
      </c>
      <c r="B212" s="4" t="s">
        <v>67</v>
      </c>
      <c r="C212" s="4" t="s">
        <v>202</v>
      </c>
      <c r="D212" s="4" t="s">
        <v>241</v>
      </c>
      <c r="E212" s="6" t="s">
        <v>33</v>
      </c>
      <c r="F212" s="4" t="s">
        <v>40</v>
      </c>
      <c r="G212" s="15">
        <f>SUMIFS(المرجع!$C$2:$C$19,المرجع!$A$2:$A$19,$E212,المرجع!$B$2:$B$19,$F212)</f>
        <v>5</v>
      </c>
      <c r="H212" s="14">
        <v>49</v>
      </c>
      <c r="I212" s="16">
        <f t="shared" si="22"/>
        <v>2.4500000000000002</v>
      </c>
    </row>
    <row r="213" spans="1:9">
      <c r="A213" t="s">
        <v>254</v>
      </c>
      <c r="B213" s="4" t="s">
        <v>67</v>
      </c>
      <c r="C213" s="4" t="s">
        <v>202</v>
      </c>
      <c r="D213" s="4" t="s">
        <v>241</v>
      </c>
      <c r="E213" s="6" t="s">
        <v>347</v>
      </c>
      <c r="F213" s="4" t="s">
        <v>23</v>
      </c>
      <c r="G213" s="15">
        <f>SUMIFS(المرجع!$C$2:$C$19,المرجع!$A$2:$A$19,$E213,المرجع!$B$2:$B$19,$F213)</f>
        <v>25</v>
      </c>
      <c r="H213" s="14">
        <v>26</v>
      </c>
      <c r="I213" s="16">
        <f t="shared" si="22"/>
        <v>6.5</v>
      </c>
    </row>
    <row r="214" spans="1:9">
      <c r="A214" t="s">
        <v>255</v>
      </c>
      <c r="B214" s="4" t="s">
        <v>67</v>
      </c>
      <c r="C214" s="4" t="s">
        <v>202</v>
      </c>
      <c r="D214" s="4" t="s">
        <v>241</v>
      </c>
      <c r="E214" s="6" t="s">
        <v>347</v>
      </c>
      <c r="F214" s="4" t="s">
        <v>25</v>
      </c>
      <c r="G214" s="15">
        <f>SUMIFS(المرجع!$C$2:$C$19,المرجع!$A$2:$A$19,$E214,المرجع!$B$2:$B$19,$F214)</f>
        <v>15</v>
      </c>
      <c r="H214" s="14">
        <v>45</v>
      </c>
      <c r="I214" s="16">
        <f t="shared" si="22"/>
        <v>6.75</v>
      </c>
    </row>
    <row r="215" spans="1:9">
      <c r="A215" t="s">
        <v>256</v>
      </c>
      <c r="B215" s="4" t="s">
        <v>67</v>
      </c>
      <c r="C215" s="4" t="s">
        <v>202</v>
      </c>
      <c r="D215" s="4" t="s">
        <v>241</v>
      </c>
      <c r="E215" s="6" t="s">
        <v>347</v>
      </c>
      <c r="F215" s="4" t="s">
        <v>29</v>
      </c>
      <c r="G215" s="15">
        <f>SUMIFS(المرجع!$C$2:$C$19,المرجع!$A$2:$A$19,$E215,المرجع!$B$2:$B$19,$F215)</f>
        <v>15</v>
      </c>
      <c r="H215" s="14">
        <v>28</v>
      </c>
      <c r="I215" s="16">
        <f t="shared" si="22"/>
        <v>4.2</v>
      </c>
    </row>
    <row r="216" spans="1:9">
      <c r="A216" t="s">
        <v>257</v>
      </c>
      <c r="B216" s="4" t="s">
        <v>67</v>
      </c>
      <c r="C216" s="4" t="s">
        <v>202</v>
      </c>
      <c r="D216" s="4" t="s">
        <v>241</v>
      </c>
      <c r="E216" s="6" t="s">
        <v>347</v>
      </c>
      <c r="F216" s="4" t="s">
        <v>31</v>
      </c>
      <c r="G216" s="15">
        <f>SUMIFS(المرجع!$C$2:$C$19,المرجع!$A$2:$A$19,$E216,المرجع!$B$2:$B$19,$F216)</f>
        <v>15</v>
      </c>
      <c r="H216" s="14">
        <v>56</v>
      </c>
      <c r="I216" s="16">
        <f t="shared" si="22"/>
        <v>8.4</v>
      </c>
    </row>
    <row r="217" spans="1:9">
      <c r="A217" t="s">
        <v>258</v>
      </c>
      <c r="B217" s="4" t="s">
        <v>67</v>
      </c>
      <c r="C217" s="4" t="s">
        <v>202</v>
      </c>
      <c r="D217" s="4" t="s">
        <v>241</v>
      </c>
      <c r="E217" s="6" t="s">
        <v>347</v>
      </c>
      <c r="F217" s="4" t="s">
        <v>46</v>
      </c>
      <c r="G217" s="15">
        <f>SUMIFS(المرجع!$C$2:$C$19,المرجع!$A$2:$A$19,$E217,المرجع!$B$2:$B$19,$F217)</f>
        <v>30</v>
      </c>
      <c r="H217" s="14">
        <v>39</v>
      </c>
      <c r="I217" s="16">
        <f t="shared" si="22"/>
        <v>11.7</v>
      </c>
    </row>
    <row r="218" spans="1:9" hidden="1">
      <c r="A218" t="s">
        <v>259</v>
      </c>
      <c r="B218" s="4" t="s">
        <v>67</v>
      </c>
      <c r="C218" s="4" t="s">
        <v>260</v>
      </c>
      <c r="D218" s="4" t="s">
        <v>260</v>
      </c>
      <c r="E218" s="6" t="s">
        <v>346</v>
      </c>
      <c r="F218" s="4" t="s">
        <v>21</v>
      </c>
      <c r="G218" s="15">
        <f>SUMIFS(المرجع!$C$2:$C$19,المرجع!$A$2:$A$19,$E218,المرجع!$B$2:$B$19,$F218)</f>
        <v>25</v>
      </c>
      <c r="H218" s="14">
        <f t="shared" ref="H218:H223" si="25">81.05</f>
        <v>81.05</v>
      </c>
      <c r="I218" s="16">
        <f t="shared" ref="I218:I223" si="26">G218*H218/100</f>
        <v>20.262499999999999</v>
      </c>
    </row>
    <row r="219" spans="1:9" hidden="1">
      <c r="A219" t="s">
        <v>261</v>
      </c>
      <c r="B219" s="4" t="s">
        <v>67</v>
      </c>
      <c r="C219" s="4" t="s">
        <v>260</v>
      </c>
      <c r="D219" s="4" t="s">
        <v>260</v>
      </c>
      <c r="E219" s="6" t="s">
        <v>346</v>
      </c>
      <c r="F219" s="4" t="s">
        <v>23</v>
      </c>
      <c r="G219" s="15">
        <f>SUMIFS(المرجع!$C$2:$C$19,المرجع!$A$2:$A$19,$E219,المرجع!$B$2:$B$19,$F219)</f>
        <v>15</v>
      </c>
      <c r="H219" s="14">
        <f t="shared" si="25"/>
        <v>81.05</v>
      </c>
      <c r="I219" s="16">
        <f t="shared" si="26"/>
        <v>12.157500000000001</v>
      </c>
    </row>
    <row r="220" spans="1:9" hidden="1">
      <c r="A220" t="s">
        <v>262</v>
      </c>
      <c r="B220" s="4" t="s">
        <v>67</v>
      </c>
      <c r="C220" s="4" t="s">
        <v>260</v>
      </c>
      <c r="D220" s="4" t="s">
        <v>260</v>
      </c>
      <c r="E220" s="6" t="s">
        <v>346</v>
      </c>
      <c r="F220" s="4" t="s">
        <v>25</v>
      </c>
      <c r="G220" s="15">
        <f>SUMIFS(المرجع!$C$2:$C$19,المرجع!$A$2:$A$19,$E220,المرجع!$B$2:$B$19,$F220)</f>
        <v>15</v>
      </c>
      <c r="H220" s="14">
        <f t="shared" si="25"/>
        <v>81.05</v>
      </c>
      <c r="I220" s="16">
        <f t="shared" si="26"/>
        <v>12.157500000000001</v>
      </c>
    </row>
    <row r="221" spans="1:9" hidden="1">
      <c r="A221" t="s">
        <v>263</v>
      </c>
      <c r="B221" s="4" t="s">
        <v>67</v>
      </c>
      <c r="C221" s="4" t="s">
        <v>260</v>
      </c>
      <c r="D221" s="4" t="s">
        <v>260</v>
      </c>
      <c r="E221" s="6" t="s">
        <v>346</v>
      </c>
      <c r="F221" s="4" t="s">
        <v>27</v>
      </c>
      <c r="G221" s="15">
        <f>SUMIFS(المرجع!$C$2:$C$19,المرجع!$A$2:$A$19,$E221,المرجع!$B$2:$B$19,$F221)</f>
        <v>20</v>
      </c>
      <c r="H221" s="14">
        <f t="shared" si="25"/>
        <v>81.05</v>
      </c>
      <c r="I221" s="16">
        <f t="shared" si="26"/>
        <v>16.21</v>
      </c>
    </row>
    <row r="222" spans="1:9" hidden="1">
      <c r="A222" t="s">
        <v>264</v>
      </c>
      <c r="B222" s="4" t="s">
        <v>67</v>
      </c>
      <c r="C222" s="4" t="s">
        <v>260</v>
      </c>
      <c r="D222" s="4" t="s">
        <v>260</v>
      </c>
      <c r="E222" s="6" t="s">
        <v>346</v>
      </c>
      <c r="F222" s="4" t="s">
        <v>29</v>
      </c>
      <c r="G222" s="15">
        <f>SUMIFS(المرجع!$C$2:$C$19,المرجع!$A$2:$A$19,$E222,المرجع!$B$2:$B$19,$F222)</f>
        <v>20</v>
      </c>
      <c r="H222" s="14">
        <f t="shared" si="25"/>
        <v>81.05</v>
      </c>
      <c r="I222" s="16">
        <f t="shared" si="26"/>
        <v>16.21</v>
      </c>
    </row>
    <row r="223" spans="1:9" hidden="1">
      <c r="A223" t="s">
        <v>265</v>
      </c>
      <c r="B223" s="4" t="s">
        <v>67</v>
      </c>
      <c r="C223" s="4" t="s">
        <v>260</v>
      </c>
      <c r="D223" s="4" t="s">
        <v>260</v>
      </c>
      <c r="E223" s="6" t="s">
        <v>346</v>
      </c>
      <c r="F223" s="4" t="s">
        <v>31</v>
      </c>
      <c r="G223" s="15">
        <f>SUMIFS(المرجع!$C$2:$C$19,المرجع!$A$2:$A$19,$E223,المرجع!$B$2:$B$19,$F223)</f>
        <v>5</v>
      </c>
      <c r="H223" s="14">
        <f t="shared" si="25"/>
        <v>81.05</v>
      </c>
      <c r="I223" s="16">
        <f t="shared" si="26"/>
        <v>4.0525000000000002</v>
      </c>
    </row>
    <row r="224" spans="1:9" hidden="1">
      <c r="A224" t="s">
        <v>266</v>
      </c>
      <c r="B224" s="4" t="s">
        <v>67</v>
      </c>
      <c r="C224" s="4" t="s">
        <v>260</v>
      </c>
      <c r="D224" s="4" t="s">
        <v>260</v>
      </c>
      <c r="E224" s="6" t="s">
        <v>33</v>
      </c>
      <c r="F224" s="4" t="s">
        <v>21</v>
      </c>
      <c r="G224" s="15">
        <f>SUMIFS(المرجع!$C$2:$C$19,المرجع!$A$2:$A$19,$E224,المرجع!$B$2:$B$19,$F224)</f>
        <v>15</v>
      </c>
      <c r="H224" s="14">
        <v>81</v>
      </c>
      <c r="I224" s="16">
        <f t="shared" si="22"/>
        <v>12.15</v>
      </c>
    </row>
    <row r="225" spans="1:9" hidden="1">
      <c r="A225" t="s">
        <v>267</v>
      </c>
      <c r="B225" s="4" t="s">
        <v>67</v>
      </c>
      <c r="C225" s="4" t="s">
        <v>260</v>
      </c>
      <c r="D225" s="4" t="s">
        <v>260</v>
      </c>
      <c r="E225" s="6" t="s">
        <v>33</v>
      </c>
      <c r="F225" s="4" t="s">
        <v>23</v>
      </c>
      <c r="G225" s="15">
        <f>SUMIFS(المرجع!$C$2:$C$19,المرجع!$A$2:$A$19,$E225,المرجع!$B$2:$B$19,$F225)</f>
        <v>15</v>
      </c>
      <c r="H225" s="14">
        <v>75</v>
      </c>
      <c r="I225" s="16">
        <f t="shared" si="22"/>
        <v>11.25</v>
      </c>
    </row>
    <row r="226" spans="1:9" hidden="1">
      <c r="A226" t="s">
        <v>268</v>
      </c>
      <c r="B226" s="4" t="s">
        <v>67</v>
      </c>
      <c r="C226" s="4" t="s">
        <v>260</v>
      </c>
      <c r="D226" s="4" t="s">
        <v>260</v>
      </c>
      <c r="E226" s="6" t="s">
        <v>33</v>
      </c>
      <c r="F226" s="4" t="s">
        <v>25</v>
      </c>
      <c r="G226" s="15">
        <f>SUMIFS(المرجع!$C$2:$C$19,المرجع!$A$2:$A$19,$E226,المرجع!$B$2:$B$19,$F226)</f>
        <v>15</v>
      </c>
      <c r="H226" s="14">
        <v>60</v>
      </c>
      <c r="I226" s="16">
        <f t="shared" si="22"/>
        <v>9</v>
      </c>
    </row>
    <row r="227" spans="1:9" hidden="1">
      <c r="A227" t="s">
        <v>269</v>
      </c>
      <c r="B227" s="4" t="s">
        <v>67</v>
      </c>
      <c r="C227" s="4" t="s">
        <v>260</v>
      </c>
      <c r="D227" s="4" t="s">
        <v>260</v>
      </c>
      <c r="E227" s="6" t="s">
        <v>33</v>
      </c>
      <c r="F227" s="4" t="s">
        <v>27</v>
      </c>
      <c r="G227" s="15">
        <f>SUMIFS(المرجع!$C$2:$C$19,المرجع!$A$2:$A$19,$E227,المرجع!$B$2:$B$19,$F227)</f>
        <v>20</v>
      </c>
      <c r="H227" s="14">
        <v>75</v>
      </c>
      <c r="I227" s="16">
        <f t="shared" si="22"/>
        <v>15</v>
      </c>
    </row>
    <row r="228" spans="1:9" hidden="1">
      <c r="A228" t="s">
        <v>270</v>
      </c>
      <c r="B228" s="4" t="s">
        <v>67</v>
      </c>
      <c r="C228" s="4" t="s">
        <v>260</v>
      </c>
      <c r="D228" s="4" t="s">
        <v>260</v>
      </c>
      <c r="E228" s="6" t="s">
        <v>33</v>
      </c>
      <c r="F228" s="4" t="s">
        <v>29</v>
      </c>
      <c r="G228" s="15">
        <f>SUMIFS(المرجع!$C$2:$C$19,المرجع!$A$2:$A$19,$E228,المرجع!$B$2:$B$19,$F228)</f>
        <v>25</v>
      </c>
      <c r="H228" s="14">
        <v>71</v>
      </c>
      <c r="I228" s="16">
        <f t="shared" si="22"/>
        <v>17.75</v>
      </c>
    </row>
    <row r="229" spans="1:9" hidden="1">
      <c r="A229" t="s">
        <v>271</v>
      </c>
      <c r="B229" s="4" t="s">
        <v>67</v>
      </c>
      <c r="C229" s="4" t="s">
        <v>260</v>
      </c>
      <c r="D229" s="4" t="s">
        <v>260</v>
      </c>
      <c r="E229" s="6" t="s">
        <v>33</v>
      </c>
      <c r="F229" s="4" t="s">
        <v>31</v>
      </c>
      <c r="G229" s="15">
        <f>SUMIFS(المرجع!$C$2:$C$19,المرجع!$A$2:$A$19,$E229,المرجع!$B$2:$B$19,$F229)</f>
        <v>5</v>
      </c>
      <c r="H229" s="14">
        <v>57</v>
      </c>
      <c r="I229" s="16">
        <f t="shared" si="22"/>
        <v>2.85</v>
      </c>
    </row>
    <row r="230" spans="1:9" hidden="1">
      <c r="A230" t="s">
        <v>272</v>
      </c>
      <c r="B230" s="4" t="s">
        <v>67</v>
      </c>
      <c r="C230" s="4" t="s">
        <v>260</v>
      </c>
      <c r="D230" s="4" t="s">
        <v>260</v>
      </c>
      <c r="E230" s="6" t="s">
        <v>33</v>
      </c>
      <c r="F230" s="4" t="s">
        <v>40</v>
      </c>
      <c r="G230" s="15">
        <f>SUMIFS(المرجع!$C$2:$C$19,المرجع!$A$2:$A$19,$E230,المرجع!$B$2:$B$19,$F230)</f>
        <v>5</v>
      </c>
      <c r="H230" s="14">
        <v>51</v>
      </c>
      <c r="I230" s="16">
        <f t="shared" si="22"/>
        <v>2.5499999999999998</v>
      </c>
    </row>
    <row r="231" spans="1:9">
      <c r="A231" t="s">
        <v>273</v>
      </c>
      <c r="B231" s="4" t="s">
        <v>67</v>
      </c>
      <c r="C231" s="4" t="s">
        <v>260</v>
      </c>
      <c r="D231" s="4" t="s">
        <v>260</v>
      </c>
      <c r="E231" s="6" t="s">
        <v>347</v>
      </c>
      <c r="F231" s="4" t="s">
        <v>23</v>
      </c>
      <c r="G231" s="15">
        <f>SUMIFS(المرجع!$C$2:$C$19,المرجع!$A$2:$A$19,$E231,المرجع!$B$2:$B$19,$F231)</f>
        <v>25</v>
      </c>
      <c r="H231" s="14">
        <v>30</v>
      </c>
      <c r="I231" s="16">
        <f t="shared" si="22"/>
        <v>7.5</v>
      </c>
    </row>
    <row r="232" spans="1:9">
      <c r="A232" t="s">
        <v>274</v>
      </c>
      <c r="B232" s="4" t="s">
        <v>67</v>
      </c>
      <c r="C232" s="4" t="s">
        <v>260</v>
      </c>
      <c r="D232" s="4" t="s">
        <v>260</v>
      </c>
      <c r="E232" s="6" t="s">
        <v>347</v>
      </c>
      <c r="F232" s="4" t="s">
        <v>25</v>
      </c>
      <c r="G232" s="15">
        <f>SUMIFS(المرجع!$C$2:$C$19,المرجع!$A$2:$A$19,$E232,المرجع!$B$2:$B$19,$F232)</f>
        <v>15</v>
      </c>
      <c r="H232" s="14">
        <v>51</v>
      </c>
      <c r="I232" s="16">
        <f t="shared" si="22"/>
        <v>7.65</v>
      </c>
    </row>
    <row r="233" spans="1:9">
      <c r="A233" t="s">
        <v>275</v>
      </c>
      <c r="B233" s="4" t="s">
        <v>67</v>
      </c>
      <c r="C233" s="4" t="s">
        <v>260</v>
      </c>
      <c r="D233" s="4" t="s">
        <v>260</v>
      </c>
      <c r="E233" s="6" t="s">
        <v>347</v>
      </c>
      <c r="F233" s="4" t="s">
        <v>29</v>
      </c>
      <c r="G233" s="15">
        <f>SUMIFS(المرجع!$C$2:$C$19,المرجع!$A$2:$A$19,$E233,المرجع!$B$2:$B$19,$F233)</f>
        <v>15</v>
      </c>
      <c r="H233" s="14">
        <v>46</v>
      </c>
      <c r="I233" s="16">
        <f t="shared" si="22"/>
        <v>6.9</v>
      </c>
    </row>
    <row r="234" spans="1:9">
      <c r="A234" t="s">
        <v>276</v>
      </c>
      <c r="B234" s="4" t="s">
        <v>67</v>
      </c>
      <c r="C234" s="4" t="s">
        <v>260</v>
      </c>
      <c r="D234" s="4" t="s">
        <v>260</v>
      </c>
      <c r="E234" s="6" t="s">
        <v>347</v>
      </c>
      <c r="F234" s="4" t="s">
        <v>31</v>
      </c>
      <c r="G234" s="15">
        <f>SUMIFS(المرجع!$C$2:$C$19,المرجع!$A$2:$A$19,$E234,المرجع!$B$2:$B$19,$F234)</f>
        <v>15</v>
      </c>
      <c r="H234" s="14">
        <v>51</v>
      </c>
      <c r="I234" s="16">
        <f t="shared" si="22"/>
        <v>7.65</v>
      </c>
    </row>
    <row r="235" spans="1:9">
      <c r="A235" t="s">
        <v>277</v>
      </c>
      <c r="B235" s="4" t="s">
        <v>67</v>
      </c>
      <c r="C235" s="4" t="s">
        <v>260</v>
      </c>
      <c r="D235" s="4" t="s">
        <v>260</v>
      </c>
      <c r="E235" s="6" t="s">
        <v>347</v>
      </c>
      <c r="F235" s="4" t="s">
        <v>46</v>
      </c>
      <c r="G235" s="15">
        <f>SUMIFS(المرجع!$C$2:$C$19,المرجع!$A$2:$A$19,$E235,المرجع!$B$2:$B$19,$F235)</f>
        <v>30</v>
      </c>
      <c r="H235" s="14">
        <v>50</v>
      </c>
      <c r="I235" s="16">
        <f t="shared" si="22"/>
        <v>15</v>
      </c>
    </row>
    <row r="236" spans="1:9" hidden="1">
      <c r="A236" t="s">
        <v>278</v>
      </c>
      <c r="B236" s="4" t="s">
        <v>67</v>
      </c>
      <c r="C236" s="4" t="s">
        <v>279</v>
      </c>
      <c r="D236" s="4" t="s">
        <v>279</v>
      </c>
      <c r="E236" s="6" t="s">
        <v>346</v>
      </c>
      <c r="F236" s="4" t="s">
        <v>21</v>
      </c>
      <c r="G236" s="15">
        <f>SUMIFS(المرجع!$C$2:$C$19,المرجع!$A$2:$A$19,$E236,المرجع!$B$2:$B$19,$F236)</f>
        <v>25</v>
      </c>
      <c r="H236" s="14">
        <f t="shared" ref="H236:H241" si="27">79.85</f>
        <v>79.849999999999994</v>
      </c>
      <c r="I236" s="16">
        <f t="shared" ref="I236:I241" si="28">G236*H236/100</f>
        <v>19.962499999999999</v>
      </c>
    </row>
    <row r="237" spans="1:9" hidden="1">
      <c r="A237" t="s">
        <v>280</v>
      </c>
      <c r="B237" s="4" t="s">
        <v>67</v>
      </c>
      <c r="C237" s="4" t="s">
        <v>279</v>
      </c>
      <c r="D237" s="4" t="s">
        <v>279</v>
      </c>
      <c r="E237" s="6" t="s">
        <v>346</v>
      </c>
      <c r="F237" s="4" t="s">
        <v>23</v>
      </c>
      <c r="G237" s="15">
        <f>SUMIFS(المرجع!$C$2:$C$19,المرجع!$A$2:$A$19,$E237,المرجع!$B$2:$B$19,$F237)</f>
        <v>15</v>
      </c>
      <c r="H237" s="14">
        <f t="shared" si="27"/>
        <v>79.849999999999994</v>
      </c>
      <c r="I237" s="16">
        <f t="shared" si="28"/>
        <v>11.977499999999999</v>
      </c>
    </row>
    <row r="238" spans="1:9" hidden="1">
      <c r="A238" t="s">
        <v>281</v>
      </c>
      <c r="B238" s="4" t="s">
        <v>67</v>
      </c>
      <c r="C238" s="4" t="s">
        <v>279</v>
      </c>
      <c r="D238" s="4" t="s">
        <v>279</v>
      </c>
      <c r="E238" s="6" t="s">
        <v>346</v>
      </c>
      <c r="F238" s="4" t="s">
        <v>25</v>
      </c>
      <c r="G238" s="15">
        <f>SUMIFS(المرجع!$C$2:$C$19,المرجع!$A$2:$A$19,$E238,المرجع!$B$2:$B$19,$F238)</f>
        <v>15</v>
      </c>
      <c r="H238" s="14">
        <f t="shared" si="27"/>
        <v>79.849999999999994</v>
      </c>
      <c r="I238" s="16">
        <f t="shared" si="28"/>
        <v>11.977499999999999</v>
      </c>
    </row>
    <row r="239" spans="1:9" hidden="1">
      <c r="A239" t="s">
        <v>282</v>
      </c>
      <c r="B239" s="4" t="s">
        <v>67</v>
      </c>
      <c r="C239" s="4" t="s">
        <v>279</v>
      </c>
      <c r="D239" s="4" t="s">
        <v>279</v>
      </c>
      <c r="E239" s="6" t="s">
        <v>346</v>
      </c>
      <c r="F239" s="4" t="s">
        <v>27</v>
      </c>
      <c r="G239" s="15">
        <f>SUMIFS(المرجع!$C$2:$C$19,المرجع!$A$2:$A$19,$E239,المرجع!$B$2:$B$19,$F239)</f>
        <v>20</v>
      </c>
      <c r="H239" s="14">
        <f t="shared" si="27"/>
        <v>79.849999999999994</v>
      </c>
      <c r="I239" s="16">
        <f t="shared" si="28"/>
        <v>15.97</v>
      </c>
    </row>
    <row r="240" spans="1:9" hidden="1">
      <c r="A240" t="s">
        <v>283</v>
      </c>
      <c r="B240" s="4" t="s">
        <v>67</v>
      </c>
      <c r="C240" s="4" t="s">
        <v>279</v>
      </c>
      <c r="D240" s="4" t="s">
        <v>279</v>
      </c>
      <c r="E240" s="6" t="s">
        <v>346</v>
      </c>
      <c r="F240" s="4" t="s">
        <v>29</v>
      </c>
      <c r="G240" s="15">
        <f>SUMIFS(المرجع!$C$2:$C$19,المرجع!$A$2:$A$19,$E240,المرجع!$B$2:$B$19,$F240)</f>
        <v>20</v>
      </c>
      <c r="H240" s="14">
        <f t="shared" si="27"/>
        <v>79.849999999999994</v>
      </c>
      <c r="I240" s="16">
        <f t="shared" si="28"/>
        <v>15.97</v>
      </c>
    </row>
    <row r="241" spans="1:9" hidden="1">
      <c r="A241" t="s">
        <v>284</v>
      </c>
      <c r="B241" s="4" t="s">
        <v>67</v>
      </c>
      <c r="C241" s="4" t="s">
        <v>279</v>
      </c>
      <c r="D241" s="4" t="s">
        <v>279</v>
      </c>
      <c r="E241" s="6" t="s">
        <v>346</v>
      </c>
      <c r="F241" s="4" t="s">
        <v>31</v>
      </c>
      <c r="G241" s="15">
        <f>SUMIFS(المرجع!$C$2:$C$19,المرجع!$A$2:$A$19,$E241,المرجع!$B$2:$B$19,$F241)</f>
        <v>5</v>
      </c>
      <c r="H241" s="14">
        <f t="shared" si="27"/>
        <v>79.849999999999994</v>
      </c>
      <c r="I241" s="16">
        <f t="shared" si="28"/>
        <v>3.9925000000000002</v>
      </c>
    </row>
    <row r="242" spans="1:9" hidden="1">
      <c r="A242" t="s">
        <v>285</v>
      </c>
      <c r="B242" s="4" t="s">
        <v>67</v>
      </c>
      <c r="C242" s="4" t="s">
        <v>279</v>
      </c>
      <c r="D242" s="4" t="s">
        <v>279</v>
      </c>
      <c r="E242" s="6" t="s">
        <v>33</v>
      </c>
      <c r="F242" s="4" t="s">
        <v>21</v>
      </c>
      <c r="G242" s="15">
        <f>SUMIFS(المرجع!$C$2:$C$19,المرجع!$A$2:$A$19,$E242,المرجع!$B$2:$B$19,$F242)</f>
        <v>15</v>
      </c>
      <c r="H242" s="14">
        <v>70</v>
      </c>
      <c r="I242" s="16">
        <f t="shared" si="22"/>
        <v>10.5</v>
      </c>
    </row>
    <row r="243" spans="1:9" hidden="1">
      <c r="A243" t="s">
        <v>286</v>
      </c>
      <c r="B243" s="4" t="s">
        <v>67</v>
      </c>
      <c r="C243" s="4" t="s">
        <v>279</v>
      </c>
      <c r="D243" s="4" t="s">
        <v>279</v>
      </c>
      <c r="E243" s="6" t="s">
        <v>33</v>
      </c>
      <c r="F243" s="4" t="s">
        <v>23</v>
      </c>
      <c r="G243" s="15">
        <f>SUMIFS(المرجع!$C$2:$C$19,المرجع!$A$2:$A$19,$E243,المرجع!$B$2:$B$19,$F243)</f>
        <v>15</v>
      </c>
      <c r="H243" s="14">
        <v>66</v>
      </c>
      <c r="I243" s="16">
        <f t="shared" si="22"/>
        <v>9.9</v>
      </c>
    </row>
    <row r="244" spans="1:9" hidden="1">
      <c r="A244" t="s">
        <v>287</v>
      </c>
      <c r="B244" s="4" t="s">
        <v>67</v>
      </c>
      <c r="C244" s="4" t="s">
        <v>279</v>
      </c>
      <c r="D244" s="4" t="s">
        <v>279</v>
      </c>
      <c r="E244" s="6" t="s">
        <v>33</v>
      </c>
      <c r="F244" s="4" t="s">
        <v>25</v>
      </c>
      <c r="G244" s="15">
        <f>SUMIFS(المرجع!$C$2:$C$19,المرجع!$A$2:$A$19,$E244,المرجع!$B$2:$B$19,$F244)</f>
        <v>15</v>
      </c>
      <c r="H244" s="14">
        <v>51</v>
      </c>
      <c r="I244" s="16">
        <f t="shared" si="22"/>
        <v>7.65</v>
      </c>
    </row>
    <row r="245" spans="1:9" hidden="1">
      <c r="A245" t="s">
        <v>288</v>
      </c>
      <c r="B245" s="4" t="s">
        <v>67</v>
      </c>
      <c r="C245" s="4" t="s">
        <v>279</v>
      </c>
      <c r="D245" s="4" t="s">
        <v>279</v>
      </c>
      <c r="E245" s="6" t="s">
        <v>33</v>
      </c>
      <c r="F245" s="4" t="s">
        <v>27</v>
      </c>
      <c r="G245" s="15">
        <f>SUMIFS(المرجع!$C$2:$C$19,المرجع!$A$2:$A$19,$E245,المرجع!$B$2:$B$19,$F245)</f>
        <v>20</v>
      </c>
      <c r="H245" s="14">
        <v>60</v>
      </c>
      <c r="I245" s="16">
        <f t="shared" si="22"/>
        <v>12</v>
      </c>
    </row>
    <row r="246" spans="1:9" hidden="1">
      <c r="A246" t="s">
        <v>289</v>
      </c>
      <c r="B246" s="4" t="s">
        <v>67</v>
      </c>
      <c r="C246" s="4" t="s">
        <v>279</v>
      </c>
      <c r="D246" s="4" t="s">
        <v>279</v>
      </c>
      <c r="E246" s="6" t="s">
        <v>33</v>
      </c>
      <c r="F246" s="4" t="s">
        <v>29</v>
      </c>
      <c r="G246" s="15">
        <f>SUMIFS(المرجع!$C$2:$C$19,المرجع!$A$2:$A$19,$E246,المرجع!$B$2:$B$19,$F246)</f>
        <v>25</v>
      </c>
      <c r="H246" s="14">
        <v>57</v>
      </c>
      <c r="I246" s="16">
        <f t="shared" si="22"/>
        <v>14.25</v>
      </c>
    </row>
    <row r="247" spans="1:9" hidden="1">
      <c r="A247" t="s">
        <v>290</v>
      </c>
      <c r="B247" s="4" t="s">
        <v>67</v>
      </c>
      <c r="C247" s="4" t="s">
        <v>279</v>
      </c>
      <c r="D247" s="4" t="s">
        <v>279</v>
      </c>
      <c r="E247" s="6" t="s">
        <v>33</v>
      </c>
      <c r="F247" s="4" t="s">
        <v>31</v>
      </c>
      <c r="G247" s="15">
        <f>SUMIFS(المرجع!$C$2:$C$19,المرجع!$A$2:$A$19,$E247,المرجع!$B$2:$B$19,$F247)</f>
        <v>5</v>
      </c>
      <c r="H247" s="14">
        <v>57</v>
      </c>
      <c r="I247" s="16">
        <f t="shared" si="22"/>
        <v>2.85</v>
      </c>
    </row>
    <row r="248" spans="1:9" hidden="1">
      <c r="A248" t="s">
        <v>291</v>
      </c>
      <c r="B248" s="4" t="s">
        <v>67</v>
      </c>
      <c r="C248" s="4" t="s">
        <v>279</v>
      </c>
      <c r="D248" s="4" t="s">
        <v>279</v>
      </c>
      <c r="E248" s="6" t="s">
        <v>33</v>
      </c>
      <c r="F248" s="4" t="s">
        <v>40</v>
      </c>
      <c r="G248" s="15">
        <f>SUMIFS(المرجع!$C$2:$C$19,المرجع!$A$2:$A$19,$E248,المرجع!$B$2:$B$19,$F248)</f>
        <v>5</v>
      </c>
      <c r="H248" s="14">
        <v>79</v>
      </c>
      <c r="I248" s="16">
        <f t="shared" si="22"/>
        <v>3.95</v>
      </c>
    </row>
    <row r="249" spans="1:9">
      <c r="A249" t="s">
        <v>292</v>
      </c>
      <c r="B249" s="4" t="s">
        <v>67</v>
      </c>
      <c r="C249" s="4" t="s">
        <v>279</v>
      </c>
      <c r="D249" s="4" t="s">
        <v>279</v>
      </c>
      <c r="E249" s="6" t="s">
        <v>347</v>
      </c>
      <c r="F249" s="4" t="s">
        <v>23</v>
      </c>
      <c r="G249" s="15">
        <f>SUMIFS(المرجع!$C$2:$C$19,المرجع!$A$2:$A$19,$E249,المرجع!$B$2:$B$19,$F249)</f>
        <v>25</v>
      </c>
      <c r="H249" s="14">
        <v>52</v>
      </c>
      <c r="I249" s="16">
        <f t="shared" si="22"/>
        <v>13</v>
      </c>
    </row>
    <row r="250" spans="1:9">
      <c r="A250" t="s">
        <v>293</v>
      </c>
      <c r="B250" s="4" t="s">
        <v>67</v>
      </c>
      <c r="C250" s="4" t="s">
        <v>279</v>
      </c>
      <c r="D250" s="4" t="s">
        <v>279</v>
      </c>
      <c r="E250" s="6" t="s">
        <v>347</v>
      </c>
      <c r="F250" s="4" t="s">
        <v>25</v>
      </c>
      <c r="G250" s="15">
        <f>SUMIFS(المرجع!$C$2:$C$19,المرجع!$A$2:$A$19,$E250,المرجع!$B$2:$B$19,$F250)</f>
        <v>15</v>
      </c>
      <c r="H250" s="14">
        <v>32</v>
      </c>
      <c r="I250" s="16">
        <f t="shared" si="22"/>
        <v>4.8</v>
      </c>
    </row>
    <row r="251" spans="1:9">
      <c r="A251" t="s">
        <v>294</v>
      </c>
      <c r="B251" s="4" t="s">
        <v>67</v>
      </c>
      <c r="C251" s="4" t="s">
        <v>279</v>
      </c>
      <c r="D251" s="4" t="s">
        <v>279</v>
      </c>
      <c r="E251" s="6" t="s">
        <v>347</v>
      </c>
      <c r="F251" s="4" t="s">
        <v>29</v>
      </c>
      <c r="G251" s="15">
        <f>SUMIFS(المرجع!$C$2:$C$19,المرجع!$A$2:$A$19,$E251,المرجع!$B$2:$B$19,$F251)</f>
        <v>15</v>
      </c>
      <c r="H251" s="14">
        <v>51</v>
      </c>
      <c r="I251" s="16">
        <f t="shared" si="22"/>
        <v>7.65</v>
      </c>
    </row>
    <row r="252" spans="1:9">
      <c r="A252" t="s">
        <v>295</v>
      </c>
      <c r="B252" s="4" t="s">
        <v>67</v>
      </c>
      <c r="C252" s="4" t="s">
        <v>279</v>
      </c>
      <c r="D252" s="4" t="s">
        <v>279</v>
      </c>
      <c r="E252" s="6" t="s">
        <v>347</v>
      </c>
      <c r="F252" s="4" t="s">
        <v>31</v>
      </c>
      <c r="G252" s="15">
        <f>SUMIFS(المرجع!$C$2:$C$19,المرجع!$A$2:$A$19,$E252,المرجع!$B$2:$B$19,$F252)</f>
        <v>15</v>
      </c>
      <c r="H252" s="14">
        <v>35</v>
      </c>
      <c r="I252" s="16">
        <f t="shared" si="22"/>
        <v>5.25</v>
      </c>
    </row>
    <row r="253" spans="1:9">
      <c r="A253" t="s">
        <v>296</v>
      </c>
      <c r="B253" s="4" t="s">
        <v>67</v>
      </c>
      <c r="C253" s="4" t="s">
        <v>279</v>
      </c>
      <c r="D253" s="4" t="s">
        <v>279</v>
      </c>
      <c r="E253" s="6" t="s">
        <v>347</v>
      </c>
      <c r="F253" s="4" t="s">
        <v>46</v>
      </c>
      <c r="G253" s="15">
        <f>SUMIFS(المرجع!$C$2:$C$19,المرجع!$A$2:$A$19,$E253,المرجع!$B$2:$B$19,$F253)</f>
        <v>30</v>
      </c>
      <c r="H253" s="14">
        <v>41</v>
      </c>
      <c r="I253" s="16">
        <f t="shared" si="22"/>
        <v>12.3</v>
      </c>
    </row>
    <row r="254" spans="1:9" hidden="1">
      <c r="A254" t="s">
        <v>297</v>
      </c>
      <c r="B254" s="4" t="s">
        <v>67</v>
      </c>
      <c r="C254" s="4" t="s">
        <v>298</v>
      </c>
      <c r="D254" s="4" t="s">
        <v>298</v>
      </c>
      <c r="E254" s="6" t="s">
        <v>346</v>
      </c>
      <c r="F254" s="4" t="s">
        <v>21</v>
      </c>
      <c r="G254" s="15">
        <f>SUMIFS(المرجع!$C$2:$C$19,المرجع!$A$2:$A$19,$E254,المرجع!$B$2:$B$19,$F254)</f>
        <v>25</v>
      </c>
      <c r="H254" s="14">
        <f t="shared" ref="H254:H259" si="29">1.06</f>
        <v>1.06</v>
      </c>
      <c r="I254" s="16">
        <f t="shared" ref="I254:I259" si="30">G254*H254/100</f>
        <v>0.26500000000000001</v>
      </c>
    </row>
    <row r="255" spans="1:9" hidden="1">
      <c r="A255" t="s">
        <v>299</v>
      </c>
      <c r="B255" s="4" t="s">
        <v>67</v>
      </c>
      <c r="C255" s="4" t="s">
        <v>298</v>
      </c>
      <c r="D255" s="4" t="s">
        <v>298</v>
      </c>
      <c r="E255" s="6" t="s">
        <v>346</v>
      </c>
      <c r="F255" s="4" t="s">
        <v>23</v>
      </c>
      <c r="G255" s="15">
        <f>SUMIFS(المرجع!$C$2:$C$19,المرجع!$A$2:$A$19,$E255,المرجع!$B$2:$B$19,$F255)</f>
        <v>15</v>
      </c>
      <c r="H255" s="14">
        <f t="shared" si="29"/>
        <v>1.06</v>
      </c>
      <c r="I255" s="16">
        <f t="shared" si="30"/>
        <v>0.159</v>
      </c>
    </row>
    <row r="256" spans="1:9" hidden="1">
      <c r="A256" t="s">
        <v>300</v>
      </c>
      <c r="B256" s="4" t="s">
        <v>67</v>
      </c>
      <c r="C256" s="4" t="s">
        <v>298</v>
      </c>
      <c r="D256" s="4" t="s">
        <v>298</v>
      </c>
      <c r="E256" s="6" t="s">
        <v>346</v>
      </c>
      <c r="F256" s="4" t="s">
        <v>25</v>
      </c>
      <c r="G256" s="15">
        <f>SUMIFS(المرجع!$C$2:$C$19,المرجع!$A$2:$A$19,$E256,المرجع!$B$2:$B$19,$F256)</f>
        <v>15</v>
      </c>
      <c r="H256" s="14">
        <f t="shared" si="29"/>
        <v>1.06</v>
      </c>
      <c r="I256" s="16">
        <f t="shared" si="30"/>
        <v>0.159</v>
      </c>
    </row>
    <row r="257" spans="1:9" hidden="1">
      <c r="A257" t="s">
        <v>301</v>
      </c>
      <c r="B257" s="4" t="s">
        <v>67</v>
      </c>
      <c r="C257" s="4" t="s">
        <v>298</v>
      </c>
      <c r="D257" s="4" t="s">
        <v>298</v>
      </c>
      <c r="E257" s="6" t="s">
        <v>346</v>
      </c>
      <c r="F257" s="4" t="s">
        <v>27</v>
      </c>
      <c r="G257" s="15">
        <f>SUMIFS(المرجع!$C$2:$C$19,المرجع!$A$2:$A$19,$E257,المرجع!$B$2:$B$19,$F257)</f>
        <v>20</v>
      </c>
      <c r="H257" s="14">
        <f t="shared" si="29"/>
        <v>1.06</v>
      </c>
      <c r="I257" s="16">
        <f t="shared" si="30"/>
        <v>0.21200000000000002</v>
      </c>
    </row>
    <row r="258" spans="1:9" hidden="1">
      <c r="A258" t="s">
        <v>302</v>
      </c>
      <c r="B258" s="4" t="s">
        <v>67</v>
      </c>
      <c r="C258" s="4" t="s">
        <v>298</v>
      </c>
      <c r="D258" s="4" t="s">
        <v>298</v>
      </c>
      <c r="E258" s="6" t="s">
        <v>346</v>
      </c>
      <c r="F258" s="4" t="s">
        <v>29</v>
      </c>
      <c r="G258" s="15">
        <f>SUMIFS(المرجع!$C$2:$C$19,المرجع!$A$2:$A$19,$E258,المرجع!$B$2:$B$19,$F258)</f>
        <v>20</v>
      </c>
      <c r="H258" s="14">
        <f t="shared" si="29"/>
        <v>1.06</v>
      </c>
      <c r="I258" s="16">
        <f t="shared" si="30"/>
        <v>0.21200000000000002</v>
      </c>
    </row>
    <row r="259" spans="1:9" hidden="1">
      <c r="A259" t="s">
        <v>303</v>
      </c>
      <c r="B259" s="4" t="s">
        <v>67</v>
      </c>
      <c r="C259" s="4" t="s">
        <v>298</v>
      </c>
      <c r="D259" s="4" t="s">
        <v>298</v>
      </c>
      <c r="E259" s="6" t="s">
        <v>346</v>
      </c>
      <c r="F259" s="4" t="s">
        <v>31</v>
      </c>
      <c r="G259" s="15">
        <f>SUMIFS(المرجع!$C$2:$C$19,المرجع!$A$2:$A$19,$E259,المرجع!$B$2:$B$19,$F259)</f>
        <v>5</v>
      </c>
      <c r="H259" s="14">
        <f t="shared" si="29"/>
        <v>1.06</v>
      </c>
      <c r="I259" s="16">
        <f t="shared" si="30"/>
        <v>5.3000000000000005E-2</v>
      </c>
    </row>
    <row r="260" spans="1:9" hidden="1">
      <c r="A260" t="s">
        <v>304</v>
      </c>
      <c r="B260" s="4" t="s">
        <v>67</v>
      </c>
      <c r="C260" s="4" t="s">
        <v>298</v>
      </c>
      <c r="D260" s="4" t="s">
        <v>298</v>
      </c>
      <c r="E260" s="6" t="s">
        <v>33</v>
      </c>
      <c r="F260" s="4" t="s">
        <v>21</v>
      </c>
      <c r="G260" s="15">
        <f>SUMIFS(المرجع!$C$2:$C$19,المرجع!$A$2:$A$19,$E260,المرجع!$B$2:$B$19,$F260)</f>
        <v>15</v>
      </c>
      <c r="H260" s="14">
        <v>48</v>
      </c>
      <c r="I260" s="16">
        <f t="shared" ref="I260:I289" si="31">G260*H260/100</f>
        <v>7.2</v>
      </c>
    </row>
    <row r="261" spans="1:9" hidden="1">
      <c r="A261" t="s">
        <v>305</v>
      </c>
      <c r="B261" s="4" t="s">
        <v>67</v>
      </c>
      <c r="C261" s="4" t="s">
        <v>298</v>
      </c>
      <c r="D261" s="4" t="s">
        <v>298</v>
      </c>
      <c r="E261" s="6" t="s">
        <v>33</v>
      </c>
      <c r="F261" s="4" t="s">
        <v>23</v>
      </c>
      <c r="G261" s="15">
        <f>SUMIFS(المرجع!$C$2:$C$19,المرجع!$A$2:$A$19,$E261,المرجع!$B$2:$B$19,$F261)</f>
        <v>15</v>
      </c>
      <c r="H261" s="14">
        <v>79</v>
      </c>
      <c r="I261" s="16">
        <f t="shared" si="31"/>
        <v>11.85</v>
      </c>
    </row>
    <row r="262" spans="1:9" hidden="1">
      <c r="A262" t="s">
        <v>306</v>
      </c>
      <c r="B262" s="4" t="s">
        <v>67</v>
      </c>
      <c r="C262" s="4" t="s">
        <v>298</v>
      </c>
      <c r="D262" s="4" t="s">
        <v>298</v>
      </c>
      <c r="E262" s="6" t="s">
        <v>33</v>
      </c>
      <c r="F262" s="4" t="s">
        <v>25</v>
      </c>
      <c r="G262" s="15">
        <f>SUMIFS(المرجع!$C$2:$C$19,المرجع!$A$2:$A$19,$E262,المرجع!$B$2:$B$19,$F262)</f>
        <v>15</v>
      </c>
      <c r="H262" s="14">
        <v>45</v>
      </c>
      <c r="I262" s="16">
        <f t="shared" si="31"/>
        <v>6.75</v>
      </c>
    </row>
    <row r="263" spans="1:9" hidden="1">
      <c r="A263" t="s">
        <v>307</v>
      </c>
      <c r="B263" s="4" t="s">
        <v>67</v>
      </c>
      <c r="C263" s="4" t="s">
        <v>298</v>
      </c>
      <c r="D263" s="4" t="s">
        <v>298</v>
      </c>
      <c r="E263" s="6" t="s">
        <v>33</v>
      </c>
      <c r="F263" s="4" t="s">
        <v>27</v>
      </c>
      <c r="G263" s="15">
        <f>SUMIFS(المرجع!$C$2:$C$19,المرجع!$A$2:$A$19,$E263,المرجع!$B$2:$B$19,$F263)</f>
        <v>20</v>
      </c>
      <c r="H263" s="14">
        <v>50</v>
      </c>
      <c r="I263" s="16">
        <f t="shared" si="31"/>
        <v>10</v>
      </c>
    </row>
    <row r="264" spans="1:9" hidden="1">
      <c r="A264" t="s">
        <v>308</v>
      </c>
      <c r="B264" s="4" t="s">
        <v>67</v>
      </c>
      <c r="C264" s="4" t="s">
        <v>298</v>
      </c>
      <c r="D264" s="4" t="s">
        <v>298</v>
      </c>
      <c r="E264" s="6" t="s">
        <v>33</v>
      </c>
      <c r="F264" s="4" t="s">
        <v>29</v>
      </c>
      <c r="G264" s="15">
        <f>SUMIFS(المرجع!$C$2:$C$19,المرجع!$A$2:$A$19,$E264,المرجع!$B$2:$B$19,$F264)</f>
        <v>25</v>
      </c>
      <c r="H264" s="14">
        <v>60</v>
      </c>
      <c r="I264" s="16">
        <f t="shared" si="31"/>
        <v>15</v>
      </c>
    </row>
    <row r="265" spans="1:9" hidden="1">
      <c r="A265" t="s">
        <v>309</v>
      </c>
      <c r="B265" s="4" t="s">
        <v>67</v>
      </c>
      <c r="C265" s="4" t="s">
        <v>298</v>
      </c>
      <c r="D265" s="4" t="s">
        <v>298</v>
      </c>
      <c r="E265" s="6" t="s">
        <v>33</v>
      </c>
      <c r="F265" s="4" t="s">
        <v>31</v>
      </c>
      <c r="G265" s="15">
        <f>SUMIFS(المرجع!$C$2:$C$19,المرجع!$A$2:$A$19,$E265,المرجع!$B$2:$B$19,$F265)</f>
        <v>5</v>
      </c>
      <c r="H265" s="14">
        <v>55</v>
      </c>
      <c r="I265" s="16">
        <f t="shared" si="31"/>
        <v>2.75</v>
      </c>
    </row>
    <row r="266" spans="1:9" hidden="1">
      <c r="A266" t="s">
        <v>310</v>
      </c>
      <c r="B266" s="4" t="s">
        <v>67</v>
      </c>
      <c r="C266" s="4" t="s">
        <v>298</v>
      </c>
      <c r="D266" s="4" t="s">
        <v>298</v>
      </c>
      <c r="E266" s="6" t="s">
        <v>33</v>
      </c>
      <c r="F266" s="4" t="s">
        <v>40</v>
      </c>
      <c r="G266" s="15">
        <f>SUMIFS(المرجع!$C$2:$C$19,المرجع!$A$2:$A$19,$E266,المرجع!$B$2:$B$19,$F266)</f>
        <v>5</v>
      </c>
      <c r="H266" s="14">
        <v>71</v>
      </c>
      <c r="I266" s="16">
        <f t="shared" si="31"/>
        <v>3.55</v>
      </c>
    </row>
    <row r="267" spans="1:9">
      <c r="A267" t="s">
        <v>311</v>
      </c>
      <c r="B267" s="4" t="s">
        <v>67</v>
      </c>
      <c r="C267" s="4" t="s">
        <v>298</v>
      </c>
      <c r="D267" s="4" t="s">
        <v>298</v>
      </c>
      <c r="E267" s="6" t="s">
        <v>347</v>
      </c>
      <c r="F267" s="4" t="s">
        <v>23</v>
      </c>
      <c r="G267" s="15">
        <f>SUMIFS(المرجع!$C$2:$C$19,المرجع!$A$2:$A$19,$E267,المرجع!$B$2:$B$19,$F267)</f>
        <v>25</v>
      </c>
      <c r="H267" s="14">
        <v>55</v>
      </c>
      <c r="I267" s="16">
        <f t="shared" si="31"/>
        <v>13.75</v>
      </c>
    </row>
    <row r="268" spans="1:9">
      <c r="A268" t="s">
        <v>312</v>
      </c>
      <c r="B268" s="4" t="s">
        <v>67</v>
      </c>
      <c r="C268" s="4" t="s">
        <v>298</v>
      </c>
      <c r="D268" s="4" t="s">
        <v>298</v>
      </c>
      <c r="E268" s="6" t="s">
        <v>347</v>
      </c>
      <c r="F268" s="4" t="s">
        <v>25</v>
      </c>
      <c r="G268" s="15">
        <f>SUMIFS(المرجع!$C$2:$C$19,المرجع!$A$2:$A$19,$E268,المرجع!$B$2:$B$19,$F268)</f>
        <v>15</v>
      </c>
      <c r="H268" s="14">
        <v>54</v>
      </c>
      <c r="I268" s="16">
        <f t="shared" si="31"/>
        <v>8.1</v>
      </c>
    </row>
    <row r="269" spans="1:9">
      <c r="A269" t="s">
        <v>313</v>
      </c>
      <c r="B269" s="4" t="s">
        <v>67</v>
      </c>
      <c r="C269" s="4" t="s">
        <v>298</v>
      </c>
      <c r="D269" s="4" t="s">
        <v>298</v>
      </c>
      <c r="E269" s="6" t="s">
        <v>347</v>
      </c>
      <c r="F269" s="4" t="s">
        <v>29</v>
      </c>
      <c r="G269" s="15">
        <f>SUMIFS(المرجع!$C$2:$C$19,المرجع!$A$2:$A$19,$E269,المرجع!$B$2:$B$19,$F269)</f>
        <v>15</v>
      </c>
      <c r="H269" s="14">
        <v>37</v>
      </c>
      <c r="I269" s="16">
        <f t="shared" si="31"/>
        <v>5.55</v>
      </c>
    </row>
    <row r="270" spans="1:9">
      <c r="A270" t="s">
        <v>314</v>
      </c>
      <c r="B270" s="4" t="s">
        <v>67</v>
      </c>
      <c r="C270" s="4" t="s">
        <v>298</v>
      </c>
      <c r="D270" s="4" t="s">
        <v>298</v>
      </c>
      <c r="E270" s="6" t="s">
        <v>347</v>
      </c>
      <c r="F270" s="4" t="s">
        <v>31</v>
      </c>
      <c r="G270" s="15">
        <f>SUMIFS(المرجع!$C$2:$C$19,المرجع!$A$2:$A$19,$E270,المرجع!$B$2:$B$19,$F270)</f>
        <v>15</v>
      </c>
      <c r="H270" s="14">
        <v>49</v>
      </c>
      <c r="I270" s="16">
        <f t="shared" si="31"/>
        <v>7.35</v>
      </c>
    </row>
    <row r="271" spans="1:9">
      <c r="A271" t="s">
        <v>315</v>
      </c>
      <c r="B271" s="4" t="s">
        <v>67</v>
      </c>
      <c r="C271" s="4" t="s">
        <v>298</v>
      </c>
      <c r="D271" s="4" t="s">
        <v>298</v>
      </c>
      <c r="E271" s="6" t="s">
        <v>347</v>
      </c>
      <c r="F271" s="4" t="s">
        <v>46</v>
      </c>
      <c r="G271" s="15">
        <f>SUMIFS(المرجع!$C$2:$C$19,المرجع!$A$2:$A$19,$E271,المرجع!$B$2:$B$19,$F271)</f>
        <v>30</v>
      </c>
      <c r="H271" s="14">
        <v>27</v>
      </c>
      <c r="I271" s="16">
        <f t="shared" si="31"/>
        <v>8.1</v>
      </c>
    </row>
    <row r="272" spans="1:9" hidden="1">
      <c r="A272" t="s">
        <v>316</v>
      </c>
      <c r="B272" s="4" t="s">
        <v>67</v>
      </c>
      <c r="C272" s="4" t="s">
        <v>317</v>
      </c>
      <c r="D272" s="4" t="s">
        <v>317</v>
      </c>
      <c r="E272" s="6" t="s">
        <v>346</v>
      </c>
      <c r="F272" s="4" t="s">
        <v>21</v>
      </c>
      <c r="G272" s="15">
        <f>SUMIFS(المرجع!$C$2:$C$19,المرجع!$A$2:$A$19,$E272,المرجع!$B$2:$B$19,$F272)</f>
        <v>25</v>
      </c>
      <c r="H272" s="14">
        <f t="shared" ref="H272:H277" si="32">91.74</f>
        <v>91.74</v>
      </c>
      <c r="I272" s="16">
        <f t="shared" ref="I272:I277" si="33">G272*H272/100</f>
        <v>22.934999999999999</v>
      </c>
    </row>
    <row r="273" spans="1:9" hidden="1">
      <c r="A273" t="s">
        <v>318</v>
      </c>
      <c r="B273" s="4" t="s">
        <v>67</v>
      </c>
      <c r="C273" s="4" t="s">
        <v>317</v>
      </c>
      <c r="D273" s="4" t="s">
        <v>317</v>
      </c>
      <c r="E273" s="6" t="s">
        <v>346</v>
      </c>
      <c r="F273" s="4" t="s">
        <v>23</v>
      </c>
      <c r="G273" s="15">
        <f>SUMIFS(المرجع!$C$2:$C$19,المرجع!$A$2:$A$19,$E273,المرجع!$B$2:$B$19,$F273)</f>
        <v>15</v>
      </c>
      <c r="H273" s="14">
        <f t="shared" si="32"/>
        <v>91.74</v>
      </c>
      <c r="I273" s="16">
        <f t="shared" si="33"/>
        <v>13.760999999999999</v>
      </c>
    </row>
    <row r="274" spans="1:9" hidden="1">
      <c r="A274" t="s">
        <v>319</v>
      </c>
      <c r="B274" s="4" t="s">
        <v>67</v>
      </c>
      <c r="C274" s="4" t="s">
        <v>317</v>
      </c>
      <c r="D274" s="4" t="s">
        <v>317</v>
      </c>
      <c r="E274" s="6" t="s">
        <v>346</v>
      </c>
      <c r="F274" s="4" t="s">
        <v>25</v>
      </c>
      <c r="G274" s="15">
        <f>SUMIFS(المرجع!$C$2:$C$19,المرجع!$A$2:$A$19,$E274,المرجع!$B$2:$B$19,$F274)</f>
        <v>15</v>
      </c>
      <c r="H274" s="14">
        <f t="shared" si="32"/>
        <v>91.74</v>
      </c>
      <c r="I274" s="16">
        <f t="shared" si="33"/>
        <v>13.760999999999999</v>
      </c>
    </row>
    <row r="275" spans="1:9" hidden="1">
      <c r="A275" t="s">
        <v>320</v>
      </c>
      <c r="B275" s="4" t="s">
        <v>67</v>
      </c>
      <c r="C275" s="4" t="s">
        <v>317</v>
      </c>
      <c r="D275" s="4" t="s">
        <v>317</v>
      </c>
      <c r="E275" s="6" t="s">
        <v>346</v>
      </c>
      <c r="F275" s="4" t="s">
        <v>27</v>
      </c>
      <c r="G275" s="15">
        <f>SUMIFS(المرجع!$C$2:$C$19,المرجع!$A$2:$A$19,$E275,المرجع!$B$2:$B$19,$F275)</f>
        <v>20</v>
      </c>
      <c r="H275" s="14">
        <f t="shared" si="32"/>
        <v>91.74</v>
      </c>
      <c r="I275" s="16">
        <f t="shared" si="33"/>
        <v>18.347999999999999</v>
      </c>
    </row>
    <row r="276" spans="1:9" hidden="1">
      <c r="A276" t="s">
        <v>321</v>
      </c>
      <c r="B276" s="4" t="s">
        <v>67</v>
      </c>
      <c r="C276" s="4" t="s">
        <v>317</v>
      </c>
      <c r="D276" s="4" t="s">
        <v>317</v>
      </c>
      <c r="E276" s="6" t="s">
        <v>346</v>
      </c>
      <c r="F276" s="4" t="s">
        <v>29</v>
      </c>
      <c r="G276" s="15">
        <f>SUMIFS(المرجع!$C$2:$C$19,المرجع!$A$2:$A$19,$E276,المرجع!$B$2:$B$19,$F276)</f>
        <v>20</v>
      </c>
      <c r="H276" s="14">
        <f t="shared" si="32"/>
        <v>91.74</v>
      </c>
      <c r="I276" s="16">
        <f t="shared" si="33"/>
        <v>18.347999999999999</v>
      </c>
    </row>
    <row r="277" spans="1:9" hidden="1">
      <c r="A277" t="s">
        <v>322</v>
      </c>
      <c r="B277" s="4" t="s">
        <v>67</v>
      </c>
      <c r="C277" s="4" t="s">
        <v>317</v>
      </c>
      <c r="D277" s="4" t="s">
        <v>317</v>
      </c>
      <c r="E277" s="6" t="s">
        <v>346</v>
      </c>
      <c r="F277" s="4" t="s">
        <v>31</v>
      </c>
      <c r="G277" s="15">
        <f>SUMIFS(المرجع!$C$2:$C$19,المرجع!$A$2:$A$19,$E277,المرجع!$B$2:$B$19,$F277)</f>
        <v>5</v>
      </c>
      <c r="H277" s="14">
        <f t="shared" si="32"/>
        <v>91.74</v>
      </c>
      <c r="I277" s="16">
        <f t="shared" si="33"/>
        <v>4.5869999999999997</v>
      </c>
    </row>
    <row r="278" spans="1:9" hidden="1">
      <c r="A278" t="s">
        <v>323</v>
      </c>
      <c r="B278" s="4" t="s">
        <v>67</v>
      </c>
      <c r="C278" s="4" t="s">
        <v>317</v>
      </c>
      <c r="D278" s="4" t="s">
        <v>317</v>
      </c>
      <c r="E278" s="6" t="s">
        <v>33</v>
      </c>
      <c r="F278" s="4" t="s">
        <v>21</v>
      </c>
      <c r="G278" s="15">
        <f>SUMIFS(المرجع!$C$2:$C$19,المرجع!$A$2:$A$19,$E278,المرجع!$B$2:$B$19,$F278)</f>
        <v>15</v>
      </c>
      <c r="H278" s="14">
        <v>63</v>
      </c>
      <c r="I278" s="16">
        <f t="shared" si="31"/>
        <v>9.4499999999999993</v>
      </c>
    </row>
    <row r="279" spans="1:9" hidden="1">
      <c r="A279" t="s">
        <v>324</v>
      </c>
      <c r="B279" s="4" t="s">
        <v>67</v>
      </c>
      <c r="C279" s="4" t="s">
        <v>317</v>
      </c>
      <c r="D279" s="4" t="s">
        <v>317</v>
      </c>
      <c r="E279" s="6" t="s">
        <v>33</v>
      </c>
      <c r="F279" s="4" t="s">
        <v>23</v>
      </c>
      <c r="G279" s="15">
        <f>SUMIFS(المرجع!$C$2:$C$19,المرجع!$A$2:$A$19,$E279,المرجع!$B$2:$B$19,$F279)</f>
        <v>15</v>
      </c>
      <c r="H279" s="14">
        <v>72</v>
      </c>
      <c r="I279" s="16">
        <f t="shared" si="31"/>
        <v>10.8</v>
      </c>
    </row>
    <row r="280" spans="1:9" hidden="1">
      <c r="A280" t="s">
        <v>325</v>
      </c>
      <c r="B280" s="4" t="s">
        <v>67</v>
      </c>
      <c r="C280" s="4" t="s">
        <v>317</v>
      </c>
      <c r="D280" s="4" t="s">
        <v>317</v>
      </c>
      <c r="E280" s="6" t="s">
        <v>33</v>
      </c>
      <c r="F280" s="4" t="s">
        <v>25</v>
      </c>
      <c r="G280" s="15">
        <f>SUMIFS(المرجع!$C$2:$C$19,المرجع!$A$2:$A$19,$E280,المرجع!$B$2:$B$19,$F280)</f>
        <v>15</v>
      </c>
      <c r="H280" s="14">
        <v>80</v>
      </c>
      <c r="I280" s="16">
        <f t="shared" si="31"/>
        <v>12</v>
      </c>
    </row>
    <row r="281" spans="1:9" hidden="1">
      <c r="A281" t="s">
        <v>326</v>
      </c>
      <c r="B281" s="4" t="s">
        <v>67</v>
      </c>
      <c r="C281" s="4" t="s">
        <v>317</v>
      </c>
      <c r="D281" s="4" t="s">
        <v>317</v>
      </c>
      <c r="E281" s="6" t="s">
        <v>33</v>
      </c>
      <c r="F281" s="4" t="s">
        <v>27</v>
      </c>
      <c r="G281" s="15">
        <f>SUMIFS(المرجع!$C$2:$C$19,المرجع!$A$2:$A$19,$E281,المرجع!$B$2:$B$19,$F281)</f>
        <v>20</v>
      </c>
      <c r="H281" s="14">
        <v>76</v>
      </c>
      <c r="I281" s="16">
        <f t="shared" si="31"/>
        <v>15.2</v>
      </c>
    </row>
    <row r="282" spans="1:9" hidden="1">
      <c r="A282" t="s">
        <v>327</v>
      </c>
      <c r="B282" s="4" t="s">
        <v>67</v>
      </c>
      <c r="C282" s="4" t="s">
        <v>317</v>
      </c>
      <c r="D282" s="4" t="s">
        <v>317</v>
      </c>
      <c r="E282" s="6" t="s">
        <v>33</v>
      </c>
      <c r="F282" s="4" t="s">
        <v>29</v>
      </c>
      <c r="G282" s="15">
        <f>SUMIFS(المرجع!$C$2:$C$19,المرجع!$A$2:$A$19,$E282,المرجع!$B$2:$B$19,$F282)</f>
        <v>25</v>
      </c>
      <c r="H282" s="14">
        <v>54</v>
      </c>
      <c r="I282" s="16">
        <f t="shared" si="31"/>
        <v>13.5</v>
      </c>
    </row>
    <row r="283" spans="1:9" hidden="1">
      <c r="A283" t="s">
        <v>328</v>
      </c>
      <c r="B283" s="4" t="s">
        <v>67</v>
      </c>
      <c r="C283" s="4" t="s">
        <v>317</v>
      </c>
      <c r="D283" s="4" t="s">
        <v>317</v>
      </c>
      <c r="E283" s="6" t="s">
        <v>33</v>
      </c>
      <c r="F283" s="4" t="s">
        <v>31</v>
      </c>
      <c r="G283" s="15">
        <f>SUMIFS(المرجع!$C$2:$C$19,المرجع!$A$2:$A$19,$E283,المرجع!$B$2:$B$19,$F283)</f>
        <v>5</v>
      </c>
      <c r="H283" s="14">
        <v>57</v>
      </c>
      <c r="I283" s="16">
        <f t="shared" si="31"/>
        <v>2.85</v>
      </c>
    </row>
    <row r="284" spans="1:9" hidden="1">
      <c r="A284" t="s">
        <v>329</v>
      </c>
      <c r="B284" s="4" t="s">
        <v>67</v>
      </c>
      <c r="C284" s="4" t="s">
        <v>317</v>
      </c>
      <c r="D284" s="4" t="s">
        <v>317</v>
      </c>
      <c r="E284" s="6" t="s">
        <v>33</v>
      </c>
      <c r="F284" s="4" t="s">
        <v>40</v>
      </c>
      <c r="G284" s="15">
        <f>SUMIFS(المرجع!$C$2:$C$19,المرجع!$A$2:$A$19,$E284,المرجع!$B$2:$B$19,$F284)</f>
        <v>5</v>
      </c>
      <c r="H284" s="14">
        <v>63</v>
      </c>
      <c r="I284" s="16">
        <f t="shared" si="31"/>
        <v>3.15</v>
      </c>
    </row>
    <row r="285" spans="1:9">
      <c r="A285" t="s">
        <v>330</v>
      </c>
      <c r="B285" s="4" t="s">
        <v>67</v>
      </c>
      <c r="C285" s="4" t="s">
        <v>317</v>
      </c>
      <c r="D285" s="4" t="s">
        <v>317</v>
      </c>
      <c r="E285" s="6" t="s">
        <v>347</v>
      </c>
      <c r="F285" s="4" t="s">
        <v>23</v>
      </c>
      <c r="G285" s="15">
        <f>SUMIFS(المرجع!$C$2:$C$19,المرجع!$A$2:$A$19,$E285,المرجع!$B$2:$B$19,$F285)</f>
        <v>25</v>
      </c>
      <c r="H285" s="14">
        <v>37</v>
      </c>
      <c r="I285" s="16">
        <f t="shared" si="31"/>
        <v>9.25</v>
      </c>
    </row>
    <row r="286" spans="1:9">
      <c r="A286" t="s">
        <v>331</v>
      </c>
      <c r="B286" s="4" t="s">
        <v>67</v>
      </c>
      <c r="C286" s="4" t="s">
        <v>317</v>
      </c>
      <c r="D286" s="4" t="s">
        <v>317</v>
      </c>
      <c r="E286" s="6" t="s">
        <v>347</v>
      </c>
      <c r="F286" s="4" t="s">
        <v>25</v>
      </c>
      <c r="G286" s="15">
        <f>SUMIFS(المرجع!$C$2:$C$19,المرجع!$A$2:$A$19,$E286,المرجع!$B$2:$B$19,$F286)</f>
        <v>15</v>
      </c>
      <c r="H286" s="14">
        <v>27</v>
      </c>
      <c r="I286" s="16">
        <f t="shared" si="31"/>
        <v>4.05</v>
      </c>
    </row>
    <row r="287" spans="1:9">
      <c r="A287" t="s">
        <v>332</v>
      </c>
      <c r="B287" s="4" t="s">
        <v>67</v>
      </c>
      <c r="C287" s="4" t="s">
        <v>317</v>
      </c>
      <c r="D287" s="4" t="s">
        <v>317</v>
      </c>
      <c r="E287" s="6" t="s">
        <v>347</v>
      </c>
      <c r="F287" s="4" t="s">
        <v>29</v>
      </c>
      <c r="G287" s="15">
        <f>SUMIFS(المرجع!$C$2:$C$19,المرجع!$A$2:$A$19,$E287,المرجع!$B$2:$B$19,$F287)</f>
        <v>15</v>
      </c>
      <c r="H287" s="14">
        <v>61</v>
      </c>
      <c r="I287" s="16">
        <f t="shared" si="31"/>
        <v>9.15</v>
      </c>
    </row>
    <row r="288" spans="1:9">
      <c r="A288" t="s">
        <v>333</v>
      </c>
      <c r="B288" s="4" t="s">
        <v>67</v>
      </c>
      <c r="C288" s="4" t="s">
        <v>317</v>
      </c>
      <c r="D288" s="4" t="s">
        <v>317</v>
      </c>
      <c r="E288" s="6" t="s">
        <v>347</v>
      </c>
      <c r="F288" s="4" t="s">
        <v>31</v>
      </c>
      <c r="G288" s="15">
        <f>SUMIFS(المرجع!$C$2:$C$19,المرجع!$A$2:$A$19,$E288,المرجع!$B$2:$B$19,$F288)</f>
        <v>15</v>
      </c>
      <c r="H288" s="14">
        <v>58</v>
      </c>
      <c r="I288" s="16">
        <f t="shared" si="31"/>
        <v>8.6999999999999993</v>
      </c>
    </row>
    <row r="289" spans="1:9">
      <c r="A289" t="s">
        <v>334</v>
      </c>
      <c r="B289" s="4" t="s">
        <v>67</v>
      </c>
      <c r="C289" s="4" t="s">
        <v>317</v>
      </c>
      <c r="D289" s="4" t="s">
        <v>317</v>
      </c>
      <c r="E289" s="6" t="s">
        <v>347</v>
      </c>
      <c r="F289" s="4" t="s">
        <v>46</v>
      </c>
      <c r="G289" s="15">
        <f>SUMIFS(المرجع!$C$2:$C$19,المرجع!$A$2:$A$19,$E289,المرجع!$B$2:$B$19,$F289)</f>
        <v>30</v>
      </c>
      <c r="H289" s="14">
        <v>27</v>
      </c>
      <c r="I289" s="16">
        <f t="shared" si="31"/>
        <v>8.1</v>
      </c>
    </row>
  </sheetData>
  <autoFilter ref="A1:I289" xr:uid="{00000000-0001-0000-0100-000000000000}">
    <filterColumn colId="4">
      <filters>
        <filter val="التشغيل"/>
      </filters>
    </filterColumn>
  </autoFilter>
  <dataValidations count="1">
    <dataValidation type="whole" allowBlank="1" errorTitle="نسبة غير صحيحة" error="أدخل قيمة من ٠ إلى ١٠٠" sqref="H2:H289" xr:uid="{00000000-0002-0000-0100-000000000000}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49"/>
  <sheetViews>
    <sheetView workbookViewId="0">
      <selection activeCell="E55" sqref="E55"/>
    </sheetView>
  </sheetViews>
  <sheetFormatPr defaultColWidth="8.73046875" defaultRowHeight="14.25"/>
  <cols>
    <col min="1" max="1" width="16" customWidth="1"/>
    <col min="2" max="2" width="14" customWidth="1"/>
    <col min="3" max="3" width="16" customWidth="1"/>
    <col min="4" max="4" width="12" customWidth="1"/>
    <col min="5" max="5" width="14" customWidth="1"/>
    <col min="6" max="6" width="12" customWidth="1"/>
  </cols>
  <sheetData>
    <row r="1" spans="1:6">
      <c r="A1" s="3" t="s">
        <v>10</v>
      </c>
      <c r="B1" s="3" t="s">
        <v>335</v>
      </c>
      <c r="C1" s="3" t="s">
        <v>336</v>
      </c>
      <c r="D1" s="3" t="s">
        <v>13</v>
      </c>
      <c r="E1" s="3" t="s">
        <v>337</v>
      </c>
      <c r="F1" s="3" t="s">
        <v>338</v>
      </c>
    </row>
    <row r="2" spans="1:6" hidden="1">
      <c r="A2" s="4" t="s">
        <v>19</v>
      </c>
      <c r="B2" s="5" t="s">
        <v>339</v>
      </c>
      <c r="C2" s="4" t="s">
        <v>19</v>
      </c>
      <c r="D2" s="6" t="s">
        <v>346</v>
      </c>
      <c r="E2" s="7">
        <f>SUMIFS('الإدخال والحساب'!$I$2:$I$289,'الإدخال والحساب'!$D$2:$D$289,$C2,'الإدخال والحساب'!$E$2:$E$289,$D2)</f>
        <v>0</v>
      </c>
      <c r="F2" s="8" t="str">
        <f>IF(E2&gt;المرجع!$F$3,"متقدم",IF(E2&lt;=المرجع!$F$2,"أولي","جزئي"))</f>
        <v>أولي</v>
      </c>
    </row>
    <row r="3" spans="1:6" hidden="1">
      <c r="A3" s="4" t="s">
        <v>19</v>
      </c>
      <c r="B3" s="5" t="s">
        <v>339</v>
      </c>
      <c r="C3" s="4" t="s">
        <v>19</v>
      </c>
      <c r="D3" s="6" t="s">
        <v>33</v>
      </c>
      <c r="E3" s="7">
        <f>SUMIFS('الإدخال والحساب'!$I$2:$I$289,'الإدخال والحساب'!$D$2:$D$289,$C3,'الإدخال والحساب'!$E$2:$E$289,$D3)</f>
        <v>0</v>
      </c>
      <c r="F3" s="8" t="str">
        <f>IF(E3&gt;المرجع!$F$3,"متقدم",IF(E3&lt;=المرجع!$F$2,"أولي","جزئي"))</f>
        <v>أولي</v>
      </c>
    </row>
    <row r="4" spans="1:6">
      <c r="A4" s="4" t="s">
        <v>19</v>
      </c>
      <c r="B4" s="5" t="s">
        <v>339</v>
      </c>
      <c r="C4" s="4" t="s">
        <v>19</v>
      </c>
      <c r="D4" s="6" t="s">
        <v>347</v>
      </c>
      <c r="E4" s="7">
        <f>SUMIFS('الإدخال والحساب'!$I$2:$I$289,'الإدخال والحساب'!$D$2:$D$289,$C4,'الإدخال والحساب'!$E$2:$E$289,$D4)</f>
        <v>0</v>
      </c>
      <c r="F4" s="8" t="str">
        <f>IF(E4&gt;المرجع!$F$3,"متقدم",IF(E4&lt;=المرجع!$F$2,"أولي","جزئي"))</f>
        <v>أولي</v>
      </c>
    </row>
    <row r="5" spans="1:6" hidden="1">
      <c r="A5" s="4" t="s">
        <v>340</v>
      </c>
      <c r="B5" s="5" t="s">
        <v>339</v>
      </c>
      <c r="C5" s="4" t="s">
        <v>340</v>
      </c>
      <c r="D5" s="6" t="s">
        <v>346</v>
      </c>
      <c r="E5" s="7">
        <f>SUMIFS('الإدخال والحساب'!$I$2:$I$289,'الإدخال والحساب'!$D$2:$D$289,$C5,'الإدخال والحساب'!$E$2:$E$289,$D5)</f>
        <v>0</v>
      </c>
      <c r="F5" s="8" t="str">
        <f>IF(E5&gt;المرجع!$F$3,"متقدم",IF(E5&lt;=المرجع!$F$2,"أولي","جزئي"))</f>
        <v>أولي</v>
      </c>
    </row>
    <row r="6" spans="1:6" hidden="1">
      <c r="A6" s="4" t="s">
        <v>340</v>
      </c>
      <c r="B6" s="5" t="s">
        <v>339</v>
      </c>
      <c r="C6" s="4" t="s">
        <v>340</v>
      </c>
      <c r="D6" s="6" t="s">
        <v>33</v>
      </c>
      <c r="E6" s="7">
        <f>SUMIFS('الإدخال والحساب'!$I$2:$I$289,'الإدخال والحساب'!$D$2:$D$289,$C6,'الإدخال والحساب'!$E$2:$E$289,$D6)</f>
        <v>0</v>
      </c>
      <c r="F6" s="8" t="str">
        <f>IF(E6&gt;المرجع!$F$3,"متقدم",IF(E6&lt;=المرجع!$F$2,"أولي","جزئي"))</f>
        <v>أولي</v>
      </c>
    </row>
    <row r="7" spans="1:6">
      <c r="A7" s="4" t="s">
        <v>340</v>
      </c>
      <c r="B7" s="5" t="s">
        <v>339</v>
      </c>
      <c r="C7" s="4" t="s">
        <v>340</v>
      </c>
      <c r="D7" s="6" t="s">
        <v>347</v>
      </c>
      <c r="E7" s="7">
        <f>SUMIFS('الإدخال والحساب'!$I$2:$I$289,'الإدخال والحساب'!$D$2:$D$289,$C7,'الإدخال والحساب'!$E$2:$E$289,$D7)</f>
        <v>0</v>
      </c>
      <c r="F7" s="8" t="str">
        <f>IF(E7&gt;المرجع!$F$3,"متقدم",IF(E7&lt;=المرجع!$F$2,"أولي","جزئي"))</f>
        <v>أولي</v>
      </c>
    </row>
    <row r="8" spans="1:6" hidden="1">
      <c r="A8" s="4" t="s">
        <v>67</v>
      </c>
      <c r="B8" s="4" t="s">
        <v>68</v>
      </c>
      <c r="C8" s="4" t="s">
        <v>69</v>
      </c>
      <c r="D8" s="6" t="s">
        <v>346</v>
      </c>
      <c r="E8" s="7">
        <f>SUMIFS('الإدخال والحساب'!$I$2:$I$289,'الإدخال والحساب'!$D$2:$D$289,$C8,'الإدخال والحساب'!$E$2:$E$289,$D8)</f>
        <v>86.167500000000004</v>
      </c>
      <c r="F8" s="8" t="str">
        <f>IF(E8&gt;المرجع!$F$3,"متقدم",IF(E8&lt;=المرجع!$F$2,"أولي","جزئي"))</f>
        <v>متقدم</v>
      </c>
    </row>
    <row r="9" spans="1:6" hidden="1">
      <c r="A9" s="4" t="s">
        <v>67</v>
      </c>
      <c r="B9" s="4" t="s">
        <v>68</v>
      </c>
      <c r="C9" s="4" t="s">
        <v>69</v>
      </c>
      <c r="D9" s="6" t="s">
        <v>33</v>
      </c>
      <c r="E9" s="7">
        <f>SUMIFS('الإدخال والحساب'!$I$2:$I$289,'الإدخال والحساب'!$D$2:$D$289,$C9,'الإدخال والحساب'!$E$2:$E$289,$D9)</f>
        <v>66.850000000000009</v>
      </c>
      <c r="F9" s="8" t="str">
        <f>IF(E9&gt;المرجع!$F$3,"متقدم",IF(E9&lt;=المرجع!$F$2,"أولي","جزئي"))</f>
        <v>جزئي</v>
      </c>
    </row>
    <row r="10" spans="1:6">
      <c r="A10" s="4" t="s">
        <v>67</v>
      </c>
      <c r="B10" s="4" t="s">
        <v>68</v>
      </c>
      <c r="C10" s="4" t="s">
        <v>69</v>
      </c>
      <c r="D10" s="6" t="s">
        <v>347</v>
      </c>
      <c r="E10" s="7">
        <f>SUMIFS('الإدخال والحساب'!$I$2:$I$289,'الإدخال والحساب'!$D$2:$D$289,$C10,'الإدخال والحساب'!$E$2:$E$289,$D10)</f>
        <v>50.9</v>
      </c>
      <c r="F10" s="8" t="str">
        <f>IF(E10&gt;المرجع!$F$3,"متقدم",IF(E10&lt;=المرجع!$F$2,"أولي","جزئي"))</f>
        <v>جزئي</v>
      </c>
    </row>
    <row r="11" spans="1:6" hidden="1">
      <c r="A11" s="4" t="s">
        <v>67</v>
      </c>
      <c r="B11" s="4" t="s">
        <v>68</v>
      </c>
      <c r="C11" s="4" t="s">
        <v>88</v>
      </c>
      <c r="D11" s="6" t="s">
        <v>346</v>
      </c>
      <c r="E11" s="7">
        <f>SUMIFS('الإدخال والحساب'!$I$2:$I$289,'الإدخال والحساب'!$D$2:$D$289,$C11,'الإدخال والحساب'!$E$2:$E$289,$D11)</f>
        <v>25.93</v>
      </c>
      <c r="F11" s="8" t="str">
        <f>IF(E11&gt;المرجع!$F$3,"متقدم",IF(E11&lt;=المرجع!$F$2,"أولي","جزئي"))</f>
        <v>أولي</v>
      </c>
    </row>
    <row r="12" spans="1:6" hidden="1">
      <c r="A12" s="4" t="s">
        <v>67</v>
      </c>
      <c r="B12" s="4" t="s">
        <v>68</v>
      </c>
      <c r="C12" s="4" t="s">
        <v>88</v>
      </c>
      <c r="D12" s="6" t="s">
        <v>33</v>
      </c>
      <c r="E12" s="7">
        <f>SUMIFS('الإدخال والحساب'!$I$2:$I$289,'الإدخال والحساب'!$D$2:$D$289,$C12,'الإدخال والحساب'!$E$2:$E$289,$D12)</f>
        <v>60.050000000000004</v>
      </c>
      <c r="F12" s="8" t="str">
        <f>IF(E12&gt;المرجع!$F$3,"متقدم",IF(E12&lt;=المرجع!$F$2,"أولي","جزئي"))</f>
        <v>جزئي</v>
      </c>
    </row>
    <row r="13" spans="1:6">
      <c r="A13" s="4" t="s">
        <v>67</v>
      </c>
      <c r="B13" s="4" t="s">
        <v>68</v>
      </c>
      <c r="C13" s="4" t="s">
        <v>88</v>
      </c>
      <c r="D13" s="6" t="s">
        <v>347</v>
      </c>
      <c r="E13" s="7">
        <f>SUMIFS('الإدخال والحساب'!$I$2:$I$289,'الإدخال والحساب'!$D$2:$D$289,$C13,'الإدخال والحساب'!$E$2:$E$289,$D13)</f>
        <v>49</v>
      </c>
      <c r="F13" s="8" t="str">
        <f>IF(E13&gt;المرجع!$F$3,"متقدم",IF(E13&lt;=المرجع!$F$2,"أولي","جزئي"))</f>
        <v>جزئي</v>
      </c>
    </row>
    <row r="14" spans="1:6" hidden="1">
      <c r="A14" s="4" t="s">
        <v>67</v>
      </c>
      <c r="B14" s="4" t="s">
        <v>68</v>
      </c>
      <c r="C14" s="4" t="s">
        <v>107</v>
      </c>
      <c r="D14" s="6" t="s">
        <v>346</v>
      </c>
      <c r="E14" s="7">
        <f>SUMIFS('الإدخال والحساب'!$I$2:$I$289,'الإدخال والحساب'!$D$2:$D$289,$C14,'الإدخال والحساب'!$E$2:$E$289,$D14)</f>
        <v>60.26</v>
      </c>
      <c r="F14" s="8" t="str">
        <f>IF(E14&gt;المرجع!$F$3,"متقدم",IF(E14&lt;=المرجع!$F$2,"أولي","جزئي"))</f>
        <v>جزئي</v>
      </c>
    </row>
    <row r="15" spans="1:6" hidden="1">
      <c r="A15" s="4" t="s">
        <v>67</v>
      </c>
      <c r="B15" s="4" t="s">
        <v>68</v>
      </c>
      <c r="C15" s="4" t="s">
        <v>107</v>
      </c>
      <c r="D15" s="6" t="s">
        <v>33</v>
      </c>
      <c r="E15" s="7">
        <f>SUMIFS('الإدخال والحساب'!$I$2:$I$289,'الإدخال والحساب'!$D$2:$D$289,$C15,'الإدخال والحساب'!$E$2:$E$289,$D15)</f>
        <v>65.150000000000006</v>
      </c>
      <c r="F15" s="8" t="str">
        <f>IF(E15&gt;المرجع!$F$3,"متقدم",IF(E15&lt;=المرجع!$F$2,"أولي","جزئي"))</f>
        <v>جزئي</v>
      </c>
    </row>
    <row r="16" spans="1:6">
      <c r="A16" s="4" t="s">
        <v>67</v>
      </c>
      <c r="B16" s="4" t="s">
        <v>68</v>
      </c>
      <c r="C16" s="4" t="s">
        <v>107</v>
      </c>
      <c r="D16" s="6" t="s">
        <v>347</v>
      </c>
      <c r="E16" s="7">
        <f>SUMIFS('الإدخال والحساب'!$I$2:$I$289,'الإدخال والحساب'!$D$2:$D$289,$C16,'الإدخال والحساب'!$E$2:$E$289,$D16)</f>
        <v>45.25</v>
      </c>
      <c r="F16" s="8" t="str">
        <f>IF(E16&gt;المرجع!$F$3,"متقدم",IF(E16&lt;=المرجع!$F$2,"أولي","جزئي"))</f>
        <v>جزئي</v>
      </c>
    </row>
    <row r="17" spans="1:6" hidden="1">
      <c r="A17" s="4" t="s">
        <v>67</v>
      </c>
      <c r="B17" s="4" t="s">
        <v>68</v>
      </c>
      <c r="C17" s="4" t="s">
        <v>126</v>
      </c>
      <c r="D17" s="6" t="s">
        <v>346</v>
      </c>
      <c r="E17" s="7">
        <f>SUMIFS('الإدخال والحساب'!$I$2:$I$289,'الإدخال والحساب'!$D$2:$D$289,$C17,'الإدخال والحساب'!$E$2:$E$289,$D17)</f>
        <v>37.25</v>
      </c>
      <c r="F17" s="8" t="str">
        <f>IF(E17&gt;المرجع!$F$3,"متقدم",IF(E17&lt;=المرجع!$F$2,"أولي","جزئي"))</f>
        <v>جزئي</v>
      </c>
    </row>
    <row r="18" spans="1:6" hidden="1">
      <c r="A18" s="4" t="s">
        <v>67</v>
      </c>
      <c r="B18" s="4" t="s">
        <v>68</v>
      </c>
      <c r="C18" s="4" t="s">
        <v>126</v>
      </c>
      <c r="D18" s="6" t="s">
        <v>33</v>
      </c>
      <c r="E18" s="7">
        <f>SUMIFS('الإدخال والحساب'!$I$2:$I$289,'الإدخال والحساب'!$D$2:$D$289,$C18,'الإدخال والحساب'!$E$2:$E$289,$D18)</f>
        <v>68.400000000000006</v>
      </c>
      <c r="F18" s="8" t="str">
        <f>IF(E18&gt;المرجع!$F$3,"متقدم",IF(E18&lt;=المرجع!$F$2,"أولي","جزئي"))</f>
        <v>جزئي</v>
      </c>
    </row>
    <row r="19" spans="1:6">
      <c r="A19" s="4" t="s">
        <v>67</v>
      </c>
      <c r="B19" s="4" t="s">
        <v>68</v>
      </c>
      <c r="C19" s="4" t="s">
        <v>126</v>
      </c>
      <c r="D19" s="6" t="s">
        <v>347</v>
      </c>
      <c r="E19" s="7">
        <f>SUMIFS('الإدخال والحساب'!$I$2:$I$289,'الإدخال والحساب'!$D$2:$D$289,$C19,'الإدخال والحساب'!$E$2:$E$289,$D19)</f>
        <v>42.599999999999994</v>
      </c>
      <c r="F19" s="8" t="str">
        <f>IF(E19&gt;المرجع!$F$3,"متقدم",IF(E19&lt;=المرجع!$F$2,"أولي","جزئي"))</f>
        <v>جزئي</v>
      </c>
    </row>
    <row r="20" spans="1:6" hidden="1">
      <c r="A20" s="4" t="s">
        <v>67</v>
      </c>
      <c r="B20" s="4" t="s">
        <v>68</v>
      </c>
      <c r="C20" s="4" t="s">
        <v>145</v>
      </c>
      <c r="D20" s="6" t="s">
        <v>346</v>
      </c>
      <c r="E20" s="7">
        <f>SUMIFS('الإدخال والحساب'!$I$2:$I$289,'الإدخال والحساب'!$D$2:$D$289,$C20,'الإدخال والحساب'!$E$2:$E$289,$D20)</f>
        <v>65.92</v>
      </c>
      <c r="F20" s="8" t="str">
        <f>IF(E20&gt;المرجع!$F$3,"متقدم",IF(E20&lt;=المرجع!$F$2,"أولي","جزئي"))</f>
        <v>جزئي</v>
      </c>
    </row>
    <row r="21" spans="1:6" hidden="1">
      <c r="A21" s="4" t="s">
        <v>67</v>
      </c>
      <c r="B21" s="4" t="s">
        <v>68</v>
      </c>
      <c r="C21" s="4" t="s">
        <v>145</v>
      </c>
      <c r="D21" s="6" t="s">
        <v>33</v>
      </c>
      <c r="E21" s="7">
        <f>SUMIFS('الإدخال والحساب'!$I$2:$I$289,'الإدخال والحساب'!$D$2:$D$289,$C21,'الإدخال والحساب'!$E$2:$E$289,$D21)</f>
        <v>66.3</v>
      </c>
      <c r="F21" s="8" t="str">
        <f>IF(E21&gt;المرجع!$F$3,"متقدم",IF(E21&lt;=المرجع!$F$2,"أولي","جزئي"))</f>
        <v>جزئي</v>
      </c>
    </row>
    <row r="22" spans="1:6">
      <c r="A22" s="4" t="s">
        <v>67</v>
      </c>
      <c r="B22" s="4" t="s">
        <v>68</v>
      </c>
      <c r="C22" s="4" t="s">
        <v>145</v>
      </c>
      <c r="D22" s="6" t="s">
        <v>347</v>
      </c>
      <c r="E22" s="7">
        <f>SUMIFS('الإدخال والحساب'!$I$2:$I$289,'الإدخال والحساب'!$D$2:$D$289,$C22,'الإدخال والحساب'!$E$2:$E$289,$D22)</f>
        <v>42.7</v>
      </c>
      <c r="F22" s="8" t="str">
        <f>IF(E22&gt;المرجع!$F$3,"متقدم",IF(E22&lt;=المرجع!$F$2,"أولي","جزئي"))</f>
        <v>جزئي</v>
      </c>
    </row>
    <row r="23" spans="1:6" hidden="1">
      <c r="A23" s="4" t="s">
        <v>67</v>
      </c>
      <c r="B23" s="4" t="s">
        <v>68</v>
      </c>
      <c r="C23" s="4" t="s">
        <v>164</v>
      </c>
      <c r="D23" s="6" t="s">
        <v>346</v>
      </c>
      <c r="E23" s="7">
        <f>SUMIFS('الإدخال والحساب'!$I$2:$I$289,'الإدخال والحساب'!$D$2:$D$289,$C23,'الإدخال والحساب'!$E$2:$E$289,$D23)</f>
        <v>5.49</v>
      </c>
      <c r="F23" s="8" t="str">
        <f>IF(E23&gt;المرجع!$F$3,"متقدم",IF(E23&lt;=المرجع!$F$2,"أولي","جزئي"))</f>
        <v>أولي</v>
      </c>
    </row>
    <row r="24" spans="1:6" hidden="1">
      <c r="A24" s="4" t="s">
        <v>67</v>
      </c>
      <c r="B24" s="4" t="s">
        <v>68</v>
      </c>
      <c r="C24" s="4" t="s">
        <v>164</v>
      </c>
      <c r="D24" s="6" t="s">
        <v>33</v>
      </c>
      <c r="E24" s="7">
        <f>SUMIFS('الإدخال والحساب'!$I$2:$I$289,'الإدخال والحساب'!$D$2:$D$289,$C24,'الإدخال والحساب'!$E$2:$E$289,$D24)</f>
        <v>61.900000000000006</v>
      </c>
      <c r="F24" s="8" t="str">
        <f>IF(E24&gt;المرجع!$F$3,"متقدم",IF(E24&lt;=المرجع!$F$2,"أولي","جزئي"))</f>
        <v>جزئي</v>
      </c>
    </row>
    <row r="25" spans="1:6">
      <c r="A25" s="4" t="s">
        <v>67</v>
      </c>
      <c r="B25" s="4" t="s">
        <v>68</v>
      </c>
      <c r="C25" s="4" t="s">
        <v>164</v>
      </c>
      <c r="D25" s="6" t="s">
        <v>347</v>
      </c>
      <c r="E25" s="7">
        <f>SUMIFS('الإدخال والحساب'!$I$2:$I$289,'الإدخال والحساب'!$D$2:$D$289,$C25,'الإدخال والحساب'!$E$2:$E$289,$D25)</f>
        <v>40.049999999999997</v>
      </c>
      <c r="F25" s="8" t="str">
        <f>IF(E25&gt;المرجع!$F$3,"متقدم",IF(E25&lt;=المرجع!$F$2,"أولي","جزئي"))</f>
        <v>جزئي</v>
      </c>
    </row>
    <row r="26" spans="1:6" hidden="1">
      <c r="A26" s="4" t="s">
        <v>67</v>
      </c>
      <c r="B26" s="4" t="s">
        <v>68</v>
      </c>
      <c r="C26" s="4" t="s">
        <v>183</v>
      </c>
      <c r="D26" s="6" t="s">
        <v>346</v>
      </c>
      <c r="E26" s="7">
        <f>SUMIFS('الإدخال والحساب'!$I$2:$I$289,'الإدخال والحساب'!$D$2:$D$289,$C26,'الإدخال والحساب'!$E$2:$E$289,$D26)</f>
        <v>4.4000000000000004</v>
      </c>
      <c r="F26" s="8" t="str">
        <f>IF(E26&gt;المرجع!$F$3,"متقدم",IF(E26&lt;=المرجع!$F$2,"أولي","جزئي"))</f>
        <v>أولي</v>
      </c>
    </row>
    <row r="27" spans="1:6" hidden="1">
      <c r="A27" s="4" t="s">
        <v>67</v>
      </c>
      <c r="B27" s="4" t="s">
        <v>68</v>
      </c>
      <c r="C27" s="4" t="s">
        <v>183</v>
      </c>
      <c r="D27" s="6" t="s">
        <v>33</v>
      </c>
      <c r="E27" s="7">
        <f>SUMIFS('الإدخال والحساب'!$I$2:$I$289,'الإدخال والحساب'!$D$2:$D$289,$C27,'الإدخال والحساب'!$E$2:$E$289,$D27)</f>
        <v>59.85</v>
      </c>
      <c r="F27" s="8" t="str">
        <f>IF(E27&gt;المرجع!$F$3,"متقدم",IF(E27&lt;=المرجع!$F$2,"أولي","جزئي"))</f>
        <v>جزئي</v>
      </c>
    </row>
    <row r="28" spans="1:6">
      <c r="A28" s="4" t="s">
        <v>67</v>
      </c>
      <c r="B28" s="4" t="s">
        <v>68</v>
      </c>
      <c r="C28" s="4" t="s">
        <v>183</v>
      </c>
      <c r="D28" s="6" t="s">
        <v>347</v>
      </c>
      <c r="E28" s="7">
        <f>SUMIFS('الإدخال والحساب'!$I$2:$I$289,'الإدخال والحساب'!$D$2:$D$289,$C28,'الإدخال والحساب'!$E$2:$E$289,$D28)</f>
        <v>22.7</v>
      </c>
      <c r="F28" s="8" t="str">
        <f>IF(E28&gt;المرجع!$F$3,"متقدم",IF(E28&lt;=المرجع!$F$2,"أولي","جزئي"))</f>
        <v>أولي</v>
      </c>
    </row>
    <row r="29" spans="1:6" hidden="1">
      <c r="A29" s="4" t="s">
        <v>67</v>
      </c>
      <c r="B29" s="4" t="s">
        <v>202</v>
      </c>
      <c r="C29" s="4" t="s">
        <v>203</v>
      </c>
      <c r="D29" s="6" t="s">
        <v>346</v>
      </c>
      <c r="E29" s="7">
        <f>SUMIFS('الإدخال والحساب'!$I$2:$I$289,'الإدخال والحساب'!$D$2:$D$289,$C29,'الإدخال والحساب'!$E$2:$E$289,$D29)</f>
        <v>65.95</v>
      </c>
      <c r="F29" s="8" t="str">
        <f>IF(E29&gt;المرجع!$F$3,"متقدم",IF(E29&lt;=المرجع!$F$2,"أولي","جزئي"))</f>
        <v>جزئي</v>
      </c>
    </row>
    <row r="30" spans="1:6" hidden="1">
      <c r="A30" s="4" t="s">
        <v>67</v>
      </c>
      <c r="B30" s="4" t="s">
        <v>202</v>
      </c>
      <c r="C30" s="4" t="s">
        <v>203</v>
      </c>
      <c r="D30" s="6" t="s">
        <v>33</v>
      </c>
      <c r="E30" s="7">
        <f>SUMIFS('الإدخال والحساب'!$I$2:$I$289,'الإدخال والحساب'!$D$2:$D$289,$C30,'الإدخال والحساب'!$E$2:$E$289,$D30)</f>
        <v>60.199999999999996</v>
      </c>
      <c r="F30" s="8" t="str">
        <f>IF(E30&gt;المرجع!$F$3,"متقدم",IF(E30&lt;=المرجع!$F$2,"أولي","جزئي"))</f>
        <v>جزئي</v>
      </c>
    </row>
    <row r="31" spans="1:6">
      <c r="A31" s="4" t="s">
        <v>67</v>
      </c>
      <c r="B31" s="4" t="s">
        <v>202</v>
      </c>
      <c r="C31" s="4" t="s">
        <v>203</v>
      </c>
      <c r="D31" s="6" t="s">
        <v>347</v>
      </c>
      <c r="E31" s="7">
        <f>SUMIFS('الإدخال والحساب'!$I$2:$I$289,'الإدخال والحساب'!$D$2:$D$289,$C31,'الإدخال والحساب'!$E$2:$E$289,$D31)</f>
        <v>41.5</v>
      </c>
      <c r="F31" s="8" t="str">
        <f>IF(E31&gt;المرجع!$F$3,"متقدم",IF(E31&lt;=المرجع!$F$2,"أولي","جزئي"))</f>
        <v>جزئي</v>
      </c>
    </row>
    <row r="32" spans="1:6" hidden="1">
      <c r="A32" s="4" t="s">
        <v>67</v>
      </c>
      <c r="B32" s="4" t="s">
        <v>202</v>
      </c>
      <c r="C32" s="4" t="s">
        <v>222</v>
      </c>
      <c r="D32" s="6" t="s">
        <v>346</v>
      </c>
      <c r="E32" s="7">
        <f>SUMIFS('الإدخال والحساب'!$I$2:$I$289,'الإدخال والحساب'!$D$2:$D$289,$C32,'الإدخال والحساب'!$E$2:$E$289,$D32)</f>
        <v>8.64</v>
      </c>
      <c r="F32" s="8" t="str">
        <f>IF(E32&gt;المرجع!$F$3,"متقدم",IF(E32&lt;=المرجع!$F$2,"أولي","جزئي"))</f>
        <v>أولي</v>
      </c>
    </row>
    <row r="33" spans="1:6" hidden="1">
      <c r="A33" s="4" t="s">
        <v>67</v>
      </c>
      <c r="B33" s="4" t="s">
        <v>202</v>
      </c>
      <c r="C33" s="4" t="s">
        <v>222</v>
      </c>
      <c r="D33" s="6" t="s">
        <v>33</v>
      </c>
      <c r="E33" s="7">
        <f>SUMIFS('الإدخال والحساب'!$I$2:$I$289,'الإدخال والحساب'!$D$2:$D$289,$C33,'الإدخال والحساب'!$E$2:$E$289,$D33)</f>
        <v>66.45</v>
      </c>
      <c r="F33" s="8" t="str">
        <f>IF(E33&gt;المرجع!$F$3,"متقدم",IF(E33&lt;=المرجع!$F$2,"أولي","جزئي"))</f>
        <v>جزئي</v>
      </c>
    </row>
    <row r="34" spans="1:6">
      <c r="A34" s="4" t="s">
        <v>67</v>
      </c>
      <c r="B34" s="4" t="s">
        <v>202</v>
      </c>
      <c r="C34" s="4" t="s">
        <v>222</v>
      </c>
      <c r="D34" s="6" t="s">
        <v>347</v>
      </c>
      <c r="E34" s="7">
        <f>SUMIFS('الإدخال والحساب'!$I$2:$I$289,'الإدخال والحساب'!$D$2:$D$289,$C34,'الإدخال والحساب'!$E$2:$E$289,$D34)</f>
        <v>43.95</v>
      </c>
      <c r="F34" s="8" t="str">
        <f>IF(E34&gt;المرجع!$F$3,"متقدم",IF(E34&lt;=المرجع!$F$2,"أولي","جزئي"))</f>
        <v>جزئي</v>
      </c>
    </row>
    <row r="35" spans="1:6" hidden="1">
      <c r="A35" s="4" t="s">
        <v>67</v>
      </c>
      <c r="B35" s="4" t="s">
        <v>202</v>
      </c>
      <c r="C35" s="4" t="s">
        <v>241</v>
      </c>
      <c r="D35" s="6" t="s">
        <v>346</v>
      </c>
      <c r="E35" s="7">
        <f>SUMIFS('الإدخال والحساب'!$I$2:$I$289,'الإدخال والحساب'!$D$2:$D$289,$C35,'الإدخال والحساب'!$E$2:$E$289,$D35)</f>
        <v>83.26</v>
      </c>
      <c r="F35" s="8" t="str">
        <f>IF(E35&gt;المرجع!$F$3,"متقدم",IF(E35&lt;=المرجع!$F$2,"أولي","جزئي"))</f>
        <v>متقدم</v>
      </c>
    </row>
    <row r="36" spans="1:6" hidden="1">
      <c r="A36" s="4" t="s">
        <v>67</v>
      </c>
      <c r="B36" s="4" t="s">
        <v>202</v>
      </c>
      <c r="C36" s="4" t="s">
        <v>241</v>
      </c>
      <c r="D36" s="6" t="s">
        <v>33</v>
      </c>
      <c r="E36" s="7">
        <f>SUMIFS('الإدخال والحساب'!$I$2:$I$289,'الإدخال والحساب'!$D$2:$D$289,$C36,'الإدخال والحساب'!$E$2:$E$289,$D36)</f>
        <v>55.100000000000009</v>
      </c>
      <c r="F36" s="8" t="str">
        <f>IF(E36&gt;المرجع!$F$3,"متقدم",IF(E36&lt;=المرجع!$F$2,"أولي","جزئي"))</f>
        <v>جزئي</v>
      </c>
    </row>
    <row r="37" spans="1:6">
      <c r="A37" s="4" t="s">
        <v>67</v>
      </c>
      <c r="B37" s="4" t="s">
        <v>202</v>
      </c>
      <c r="C37" s="4" t="s">
        <v>241</v>
      </c>
      <c r="D37" s="6" t="s">
        <v>347</v>
      </c>
      <c r="E37" s="7">
        <f>SUMIFS('الإدخال والحساب'!$I$2:$I$289,'الإدخال والحساب'!$D$2:$D$289,$C37,'الإدخال والحساب'!$E$2:$E$289,$D37)</f>
        <v>37.549999999999997</v>
      </c>
      <c r="F37" s="8" t="str">
        <f>IF(E37&gt;المرجع!$F$3,"متقدم",IF(E37&lt;=المرجع!$F$2,"أولي","جزئي"))</f>
        <v>جزئي</v>
      </c>
    </row>
    <row r="38" spans="1:6" hidden="1">
      <c r="A38" s="4" t="s">
        <v>67</v>
      </c>
      <c r="B38" s="4" t="s">
        <v>260</v>
      </c>
      <c r="C38" s="4" t="s">
        <v>260</v>
      </c>
      <c r="D38" s="6" t="s">
        <v>346</v>
      </c>
      <c r="E38" s="7">
        <f>SUMIFS('الإدخال والحساب'!$I$2:$I$289,'الإدخال والحساب'!$D$2:$D$289,$C38,'الإدخال والحساب'!$E$2:$E$289,$D38)</f>
        <v>81.05</v>
      </c>
      <c r="F38" s="8" t="str">
        <f>IF(E38&gt;المرجع!$F$3,"متقدم",IF(E38&lt;=المرجع!$F$2,"أولي","جزئي"))</f>
        <v>متقدم</v>
      </c>
    </row>
    <row r="39" spans="1:6" hidden="1">
      <c r="A39" s="4" t="s">
        <v>67</v>
      </c>
      <c r="B39" s="4" t="s">
        <v>260</v>
      </c>
      <c r="C39" s="4" t="s">
        <v>260</v>
      </c>
      <c r="D39" s="6" t="s">
        <v>33</v>
      </c>
      <c r="E39" s="7">
        <f>SUMIFS('الإدخال والحساب'!$I$2:$I$289,'الإدخال والحساب'!$D$2:$D$289,$C39,'الإدخال والحساب'!$E$2:$E$289,$D39)</f>
        <v>70.55</v>
      </c>
      <c r="F39" s="8" t="str">
        <f>IF(E39&gt;المرجع!$F$3,"متقدم",IF(E39&lt;=المرجع!$F$2,"أولي","جزئي"))</f>
        <v>متقدم</v>
      </c>
    </row>
    <row r="40" spans="1:6">
      <c r="A40" s="4" t="s">
        <v>67</v>
      </c>
      <c r="B40" s="4" t="s">
        <v>260</v>
      </c>
      <c r="C40" s="4" t="s">
        <v>260</v>
      </c>
      <c r="D40" s="6" t="s">
        <v>347</v>
      </c>
      <c r="E40" s="7">
        <f>SUMIFS('الإدخال والحساب'!$I$2:$I$289,'الإدخال والحساب'!$D$2:$D$289,$C40,'الإدخال والحساب'!$E$2:$E$289,$D40)</f>
        <v>44.7</v>
      </c>
      <c r="F40" s="8" t="str">
        <f>IF(E40&gt;المرجع!$F$3,"متقدم",IF(E40&lt;=المرجع!$F$2,"أولي","جزئي"))</f>
        <v>جزئي</v>
      </c>
    </row>
    <row r="41" spans="1:6" hidden="1">
      <c r="A41" s="4" t="s">
        <v>67</v>
      </c>
      <c r="B41" s="4" t="s">
        <v>279</v>
      </c>
      <c r="C41" s="4" t="s">
        <v>279</v>
      </c>
      <c r="D41" s="6" t="s">
        <v>346</v>
      </c>
      <c r="E41" s="7">
        <f>SUMIFS('الإدخال والحساب'!$I$2:$I$289,'الإدخال والحساب'!$D$2:$D$289,$C41,'الإدخال والحساب'!$E$2:$E$289,$D41)</f>
        <v>79.850000000000009</v>
      </c>
      <c r="F41" s="8" t="str">
        <f>IF(E41&gt;المرجع!$F$3,"متقدم",IF(E41&lt;=المرجع!$F$2,"أولي","جزئي"))</f>
        <v>متقدم</v>
      </c>
    </row>
    <row r="42" spans="1:6" hidden="1">
      <c r="A42" s="4" t="s">
        <v>67</v>
      </c>
      <c r="B42" s="4" t="s">
        <v>279</v>
      </c>
      <c r="C42" s="4" t="s">
        <v>279</v>
      </c>
      <c r="D42" s="6" t="s">
        <v>33</v>
      </c>
      <c r="E42" s="7">
        <f>SUMIFS('الإدخال والحساب'!$I$2:$I$289,'الإدخال والحساب'!$D$2:$D$289,$C42,'الإدخال والحساب'!$E$2:$E$289,$D42)</f>
        <v>61.1</v>
      </c>
      <c r="F42" s="8" t="str">
        <f>IF(E42&gt;المرجع!$F$3,"متقدم",IF(E42&lt;=المرجع!$F$2,"أولي","جزئي"))</f>
        <v>جزئي</v>
      </c>
    </row>
    <row r="43" spans="1:6">
      <c r="A43" s="4" t="s">
        <v>67</v>
      </c>
      <c r="B43" s="4" t="s">
        <v>279</v>
      </c>
      <c r="C43" s="4" t="s">
        <v>279</v>
      </c>
      <c r="D43" s="6" t="s">
        <v>347</v>
      </c>
      <c r="E43" s="7">
        <f>SUMIFS('الإدخال والحساب'!$I$2:$I$289,'الإدخال والحساب'!$D$2:$D$289,$C43,'الإدخال والحساب'!$E$2:$E$289,$D43)</f>
        <v>43</v>
      </c>
      <c r="F43" s="8" t="str">
        <f>IF(E43&gt;المرجع!$F$3,"متقدم",IF(E43&lt;=المرجع!$F$2,"أولي","جزئي"))</f>
        <v>جزئي</v>
      </c>
    </row>
    <row r="44" spans="1:6" hidden="1">
      <c r="A44" s="4" t="s">
        <v>67</v>
      </c>
      <c r="B44" s="4" t="s">
        <v>298</v>
      </c>
      <c r="C44" s="4" t="s">
        <v>298</v>
      </c>
      <c r="D44" s="6" t="s">
        <v>346</v>
      </c>
      <c r="E44" s="7">
        <f>SUMIFS('الإدخال والحساب'!$I$2:$I$289,'الإدخال والحساب'!$D$2:$D$289,$C44,'الإدخال والحساب'!$E$2:$E$289,$D44)</f>
        <v>1.06</v>
      </c>
      <c r="F44" s="8" t="str">
        <f>IF(E44&gt;المرجع!$F$3,"متقدم",IF(E44&lt;=المرجع!$F$2,"أولي","جزئي"))</f>
        <v>أولي</v>
      </c>
    </row>
    <row r="45" spans="1:6" hidden="1">
      <c r="A45" s="4" t="s">
        <v>67</v>
      </c>
      <c r="B45" s="4" t="s">
        <v>298</v>
      </c>
      <c r="C45" s="4" t="s">
        <v>298</v>
      </c>
      <c r="D45" s="6" t="s">
        <v>33</v>
      </c>
      <c r="E45" s="7">
        <f>SUMIFS('الإدخال والحساب'!$I$2:$I$289,'الإدخال والحساب'!$D$2:$D$289,$C45,'الإدخال والحساب'!$E$2:$E$289,$D45)</f>
        <v>57.099999999999994</v>
      </c>
      <c r="F45" s="8" t="str">
        <f>IF(E45&gt;المرجع!$F$3,"متقدم",IF(E45&lt;=المرجع!$F$2,"أولي","جزئي"))</f>
        <v>جزئي</v>
      </c>
    </row>
    <row r="46" spans="1:6">
      <c r="A46" s="4" t="s">
        <v>67</v>
      </c>
      <c r="B46" s="4" t="s">
        <v>298</v>
      </c>
      <c r="C46" s="4" t="s">
        <v>298</v>
      </c>
      <c r="D46" s="6" t="s">
        <v>347</v>
      </c>
      <c r="E46" s="7">
        <f>SUMIFS('الإدخال والحساب'!$I$2:$I$289,'الإدخال والحساب'!$D$2:$D$289,$C46,'الإدخال والحساب'!$E$2:$E$289,$D46)</f>
        <v>42.85</v>
      </c>
      <c r="F46" s="8" t="str">
        <f>IF(E46&gt;المرجع!$F$3,"متقدم",IF(E46&lt;=المرجع!$F$2,"أولي","جزئي"))</f>
        <v>جزئي</v>
      </c>
    </row>
    <row r="47" spans="1:6" hidden="1">
      <c r="A47" s="4" t="s">
        <v>67</v>
      </c>
      <c r="B47" s="4" t="s">
        <v>317</v>
      </c>
      <c r="C47" s="4" t="s">
        <v>317</v>
      </c>
      <c r="D47" s="6" t="s">
        <v>346</v>
      </c>
      <c r="E47" s="7">
        <f>SUMIFS('الإدخال والحساب'!$I$2:$I$289,'الإدخال والحساب'!$D$2:$D$289,$C47,'الإدخال والحساب'!$E$2:$E$289,$D47)</f>
        <v>91.74</v>
      </c>
      <c r="F47" s="8" t="str">
        <f>IF(E47&gt;المرجع!$F$3,"متقدم",IF(E47&lt;=المرجع!$F$2,"أولي","جزئي"))</f>
        <v>متقدم</v>
      </c>
    </row>
    <row r="48" spans="1:6" hidden="1">
      <c r="A48" s="4" t="s">
        <v>67</v>
      </c>
      <c r="B48" s="4" t="s">
        <v>317</v>
      </c>
      <c r="C48" s="4" t="s">
        <v>317</v>
      </c>
      <c r="D48" s="6" t="s">
        <v>33</v>
      </c>
      <c r="E48" s="7">
        <f>SUMIFS('الإدخال والحساب'!$I$2:$I$289,'الإدخال والحساب'!$D$2:$D$289,$C48,'الإدخال والحساب'!$E$2:$E$289,$D48)</f>
        <v>66.95</v>
      </c>
      <c r="F48" s="8" t="str">
        <f>IF(E48&gt;المرجع!$F$3,"متقدم",IF(E48&lt;=المرجع!$F$2,"أولي","جزئي"))</f>
        <v>جزئي</v>
      </c>
    </row>
    <row r="49" spans="1:6">
      <c r="A49" s="4" t="s">
        <v>67</v>
      </c>
      <c r="B49" s="4" t="s">
        <v>317</v>
      </c>
      <c r="C49" s="4" t="s">
        <v>317</v>
      </c>
      <c r="D49" s="6" t="s">
        <v>347</v>
      </c>
      <c r="E49" s="7">
        <f>SUMIFS('الإدخال والحساب'!$I$2:$I$289,'الإدخال والحساب'!$D$2:$D$289,$C49,'الإدخال والحساب'!$E$2:$E$289,$D49)</f>
        <v>39.25</v>
      </c>
      <c r="F49" s="8" t="str">
        <f>IF(E49&gt;المرجع!$F$3,"متقدم",IF(E49&lt;=المرجع!$F$2,"أولي","جزئي"))</f>
        <v>جزئي</v>
      </c>
    </row>
  </sheetData>
  <autoFilter ref="A1:F49" xr:uid="{00000000-0001-0000-0200-000000000000}">
    <filterColumn colId="3">
      <filters>
        <filter val="التشغيل"/>
      </filters>
    </filterColumn>
  </autoFilter>
  <conditionalFormatting sqref="E2:E49">
    <cfRule type="cellIs" dxfId="5" priority="2" operator="greaterThan">
      <formula>70</formula>
    </cfRule>
    <cfRule type="cellIs" dxfId="4" priority="3" operator="between">
      <formula>31</formula>
      <formula>70</formula>
    </cfRule>
    <cfRule type="cellIs" dxfId="3" priority="4" operator="lessThanOrEqual">
      <formula>30</formula>
    </cfRule>
  </conditionalFormatting>
  <conditionalFormatting sqref="F2:F49">
    <cfRule type="cellIs" dxfId="2" priority="5" operator="equal">
      <formula>"متقدم"</formula>
    </cfRule>
    <cfRule type="cellIs" dxfId="1" priority="6" operator="equal">
      <formula>"جزئي"</formula>
    </cfRule>
    <cfRule type="cellIs" dxfId="0" priority="7" operator="equal">
      <formula>"أولي"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tabSelected="1" workbookViewId="0">
      <selection activeCell="H19" sqref="H19"/>
    </sheetView>
  </sheetViews>
  <sheetFormatPr defaultColWidth="8.73046875" defaultRowHeight="14.25"/>
  <cols>
    <col min="1" max="1" width="12" customWidth="1"/>
    <col min="2" max="2" width="26" customWidth="1"/>
    <col min="3" max="3" width="8" customWidth="1"/>
    <col min="4" max="4" width="3" customWidth="1"/>
    <col min="5" max="5" width="22" customWidth="1"/>
    <col min="6" max="6" width="8" customWidth="1"/>
  </cols>
  <sheetData>
    <row r="1" spans="1:6">
      <c r="A1" s="3" t="s">
        <v>13</v>
      </c>
      <c r="B1" s="3" t="s">
        <v>14</v>
      </c>
      <c r="C1" s="3" t="s">
        <v>341</v>
      </c>
      <c r="E1" s="9" t="s">
        <v>342</v>
      </c>
    </row>
    <row r="2" spans="1:6">
      <c r="A2" s="4" t="s">
        <v>346</v>
      </c>
      <c r="B2" s="4" t="s">
        <v>21</v>
      </c>
      <c r="C2" s="10">
        <v>25</v>
      </c>
      <c r="E2" s="11" t="s">
        <v>343</v>
      </c>
      <c r="F2" s="12">
        <v>30</v>
      </c>
    </row>
    <row r="3" spans="1:6">
      <c r="A3" s="4" t="s">
        <v>346</v>
      </c>
      <c r="B3" s="4" t="s">
        <v>23</v>
      </c>
      <c r="C3" s="10">
        <v>15</v>
      </c>
      <c r="E3" s="11" t="s">
        <v>344</v>
      </c>
      <c r="F3" s="12">
        <v>70</v>
      </c>
    </row>
    <row r="4" spans="1:6">
      <c r="A4" s="4" t="s">
        <v>346</v>
      </c>
      <c r="B4" s="4" t="s">
        <v>25</v>
      </c>
      <c r="C4" s="10">
        <v>15</v>
      </c>
      <c r="E4" s="13" t="s">
        <v>345</v>
      </c>
    </row>
    <row r="5" spans="1:6">
      <c r="A5" s="4" t="s">
        <v>346</v>
      </c>
      <c r="B5" s="4" t="s">
        <v>27</v>
      </c>
      <c r="C5" s="10">
        <v>20</v>
      </c>
    </row>
    <row r="6" spans="1:6">
      <c r="A6" s="4" t="s">
        <v>346</v>
      </c>
      <c r="B6" s="4" t="s">
        <v>29</v>
      </c>
      <c r="C6" s="10">
        <v>20</v>
      </c>
    </row>
    <row r="7" spans="1:6">
      <c r="A7" s="4" t="s">
        <v>346</v>
      </c>
      <c r="B7" s="4" t="s">
        <v>31</v>
      </c>
      <c r="C7" s="10">
        <v>5</v>
      </c>
    </row>
    <row r="8" spans="1:6">
      <c r="A8" s="4" t="s">
        <v>33</v>
      </c>
      <c r="B8" s="4" t="s">
        <v>21</v>
      </c>
      <c r="C8" s="10">
        <v>15</v>
      </c>
    </row>
    <row r="9" spans="1:6">
      <c r="A9" s="4" t="s">
        <v>33</v>
      </c>
      <c r="B9" s="4" t="s">
        <v>23</v>
      </c>
      <c r="C9" s="10">
        <v>15</v>
      </c>
    </row>
    <row r="10" spans="1:6">
      <c r="A10" s="4" t="s">
        <v>33</v>
      </c>
      <c r="B10" s="4" t="s">
        <v>25</v>
      </c>
      <c r="C10" s="10">
        <v>15</v>
      </c>
    </row>
    <row r="11" spans="1:6">
      <c r="A11" s="4" t="s">
        <v>33</v>
      </c>
      <c r="B11" s="4" t="s">
        <v>27</v>
      </c>
      <c r="C11" s="10">
        <v>20</v>
      </c>
    </row>
    <row r="12" spans="1:6">
      <c r="A12" s="4" t="s">
        <v>33</v>
      </c>
      <c r="B12" s="4" t="s">
        <v>29</v>
      </c>
      <c r="C12" s="10">
        <v>25</v>
      </c>
    </row>
    <row r="13" spans="1:6">
      <c r="A13" s="4" t="s">
        <v>33</v>
      </c>
      <c r="B13" s="4" t="s">
        <v>31</v>
      </c>
      <c r="C13" s="10">
        <v>5</v>
      </c>
    </row>
    <row r="14" spans="1:6">
      <c r="A14" s="4" t="s">
        <v>33</v>
      </c>
      <c r="B14" s="4" t="s">
        <v>40</v>
      </c>
      <c r="C14" s="10">
        <v>5</v>
      </c>
    </row>
    <row r="15" spans="1:6">
      <c r="A15" s="4" t="s">
        <v>347</v>
      </c>
      <c r="B15" s="4" t="s">
        <v>23</v>
      </c>
      <c r="C15" s="10">
        <v>25</v>
      </c>
    </row>
    <row r="16" spans="1:6">
      <c r="A16" s="4" t="s">
        <v>347</v>
      </c>
      <c r="B16" s="4" t="s">
        <v>25</v>
      </c>
      <c r="C16" s="10">
        <v>15</v>
      </c>
    </row>
    <row r="17" spans="1:3">
      <c r="A17" s="4" t="s">
        <v>347</v>
      </c>
      <c r="B17" s="4" t="s">
        <v>29</v>
      </c>
      <c r="C17" s="10">
        <v>15</v>
      </c>
    </row>
    <row r="18" spans="1:3">
      <c r="A18" s="4" t="s">
        <v>347</v>
      </c>
      <c r="B18" s="4" t="s">
        <v>31</v>
      </c>
      <c r="C18" s="10">
        <v>15</v>
      </c>
    </row>
    <row r="19" spans="1:3">
      <c r="A19" s="4" t="s">
        <v>347</v>
      </c>
      <c r="B19" s="4" t="s">
        <v>46</v>
      </c>
      <c r="C19" s="10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ae6671a-5249-452b-90f8-8b3499ce8865}" enabled="1" method="Privileged" siteId="{859f050e-9731-4556-aab4-683a27e7fa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تعليمات</vt:lpstr>
      <vt:lpstr>الإدخال والحساب</vt:lpstr>
      <vt:lpstr>النتائج</vt:lpstr>
      <vt:lpstr>المرجع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Alothman</cp:lastModifiedBy>
  <dcterms:modified xsi:type="dcterms:W3CDTF">2026-08-12T19:19:17Z</dcterms:modified>
</cp:coreProperties>
</file>