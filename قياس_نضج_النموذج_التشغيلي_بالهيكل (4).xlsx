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تعليمات" sheetId="1" state="visible" r:id="rId3"/>
    <sheet name="المرجع" sheetId="2" state="visible" r:id="rId4"/>
    <sheet name="نقاط التحقق" sheetId="3" state="visible" r:id="rId5"/>
    <sheet name="قائمة الوحدات" sheetId="4" state="visible" r:id="rId6"/>
    <sheet name="المرتبطة بسمو الوزير" sheetId="5" state="visible" r:id="rId7"/>
    <sheet name="الشؤون التنفيذية" sheetId="6" state="visible" r:id="rId8"/>
    <sheet name="الجهاز العسكري" sheetId="7" state="visible" r:id="rId9"/>
    <sheet name="تقييم العناصر" sheetId="8" state="visible" r:id="rId10"/>
    <sheet name="النتائج" sheetId="9" state="visible" r:id="rId11"/>
    <sheet name="ملخص الوحدات" sheetId="10" state="visible" r:id="rId12"/>
  </sheets>
  <definedNames>
    <definedName function="false" hidden="true" localSheetId="6" name="_xlnm._FilterDatabase" vbProcedure="false">'الجهاز العسكري'!$A$1:$P$631</definedName>
    <definedName function="false" hidden="true" localSheetId="5" name="_xlnm._FilterDatabase" vbProcedure="false">'الشؤون التنفيذية'!$A$1:$Q$421</definedName>
    <definedName function="false" hidden="true" localSheetId="4" name="_xlnm._FilterDatabase" vbProcedure="false">'المرتبطة بسمو الوزير'!$A$1:$P$151</definedName>
    <definedName function="false" hidden="true" localSheetId="8" name="_xlnm._FilterDatabase" vbProcedure="false">النتائج!$A$1:$N$121</definedName>
    <definedName function="false" hidden="true" localSheetId="7" name="_xlnm._FilterDatabase" vbProcedure="false">'تقييم العناصر'!$A$1:$T$721</definedName>
    <definedName function="false" hidden="true" localSheetId="3" name="_xlnm._FilterDatabase" vbProcedure="false">'قائمة الوحدات'!$A$1:$I$41</definedName>
    <definedName function="false" hidden="true" localSheetId="9" name="_xlnm._FilterDatabase" vbProcedure="false">'ملخص الوحدات'!$A$1:$J$43</definedName>
    <definedName function="false" hidden="true" localSheetId="2" name="_xlnm._FilterDatabase" vbProcedure="false">'نقاط التحقق'!$A$1:$H$31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<sst xmlns="http://schemas.openxmlformats.org/spreadsheetml/2006/main" count="10245" uniqueCount="2185">
  <si>
    <t xml:space="preserve">دليل الاستخدام — قياس نضج النموذج التشغيلي للوحدات التنظيمية</t>
  </si>
  <si>
    <t xml:space="preserve">١) منطق القياس (من الأسفل إلى الأعلى)</t>
  </si>
  <si>
    <t xml:space="preserve">نقطة التحقق ← العنصر ← المرحلة ← الوحدة التنظيمية</t>
  </si>
  <si>
    <t xml:space="preserve">• تُقاس كل نقطة تحقق على حدة لكل وحدة تنظيمية بنسبة من ٠ إلى ١٠٠، وتُصنَّف تلقائيًا: مستوفاة بشكل أولي ≤ ٣٠، جزئي ٣١–٧٠، متقدم &gt; ٧٠ (نفس حدود التصنيف في «المرجع»).</t>
  </si>
  <si>
    <t xml:space="preserve">• نسبة اكتمال العنصر = متوسط نسب نقاط التحقق التابعة له (النقطة غير المقيّمة تُحتسب صفرًا).</t>
  </si>
  <si>
    <t xml:space="preserve">• الوزن المكتسب للعنصر = وزن العنصر في المرحلة × نسبة اكتماله ÷ ١٠٠.</t>
  </si>
  <si>
    <t xml:space="preserve">• درجة المرحلة = مجموع الأوزان المكتسبة لعناصرها (مجموع أوزان كل مرحلة = ١٠٠). والنضج النهائي المرجّح للوحدة = التصميم×٢٠٪ + البناء المؤسسي×٣٠٪ + التشغيل×٥٠٪ (الأوزان قابلة للتعديل في «المرجع» K9:K11). التصنيف: أولي ≤ ٣٠، جزئي ٣١–٧٠، متقدم &gt; ٧٠.</t>
  </si>
  <si>
    <t xml:space="preserve">• التصنيف: أولي ≤ ٣٠، جزئي ٣١–٧٠، متقدم &gt; ٧٠.</t>
  </si>
  <si>
    <t xml:space="preserve">٢) بنية الملف</t>
  </si>
  <si>
    <t xml:space="preserve">• «المرجع»: المراحل الثلاث (التصميم / البناء المؤسسي / التشغيل) والعناصر وأوزانها وعدد نقاط التحقق وحدود التصنيف.</t>
  </si>
  <si>
    <t xml:space="preserve">• «نقاط التحقق»: نص كل نقطة تحقق وكودها والجهة المزودة للمعلومة (٣٠ نقطة).</t>
  </si>
  <si>
    <t xml:space="preserve">• «قائمة الوحدات»: سجل الوحدات المقاسة بأكوادها — نقطة التعريف الوحيدة لأي وحدة.</t>
  </si>
  <si>
    <t xml:space="preserve">• ثلاث أوراق إدخال بمستوى نقطة التحقق: «المرتبطة بالمسؤول الأول» و«الشؤون التنفيذية» و«الجهاز العسكري».</t>
  </si>
  <si>
    <t xml:space="preserve">• «تقييم العناصر»: نسبة اكتمال كل عنصر محسوبة من نقاطه + عمود ملاحظات لتفسير النقص.</t>
  </si>
  <si>
    <t xml:space="preserve">• «النتائج»: درجة كل وحدة في كل مرحلة. «ملخص الوحدات»: المراحل الثلاث في صف واحد لكل وحدة.</t>
  </si>
  <si>
    <t xml:space="preserve">٣) ما الذي تعبّئه أنت (الخلايا الصفراء بخط أزرق فقط)</t>
  </si>
  <si>
    <t xml:space="preserve">• في أوراق الإدخال الثلاث: «نسبة إنجاز النقطة %» (٠–١٠٠) + «ملاحظات النقطة» + «الشواهد / الرابط» + «دورة القياس».</t>
  </si>
  <si>
    <t xml:space="preserve">• في «تقييم العناصر»: عمود «ملاحظات العنصر» بعد نسبة الاكتمال مباشرة — تكتب فيه سبب النقص (مثال: نضج الدور ٥٧٪ ← الدور معتمد ولم يُعمّم على أصحاب المصلحة).</t>
  </si>
  <si>
    <t xml:space="preserve">• «نسبة إنجاز النقطة المستهدفة لعام 2026 %»: تعبّئها بجوار نسبة الإنجاز الحالية لكل نقطة تحقق (٠–١٠٠)، وتتجمع تلقائيًا لتظهر «المستهدف» بجانب «الحالي» على مستوى العنصر والمرحلة والنضج النهائي في أوراق «تقييم العناصر» و«النتائج» و«ملخص الوحدات».</t>
  </si>
  <si>
    <t xml:space="preserve">• كل ما عدا ذلك معادلات محسوبة تلقائيًا — لا تكتب فوقها.</t>
  </si>
  <si>
    <t xml:space="preserve">٤) لإضافة وحدة تنظيمية جديدة</t>
  </si>
  <si>
    <t xml:space="preserve">• أضف صفًا في «قائمة الوحدات» بكود جديد، ثم انسخ ٣٠ صفًا كاملة في ورقة مجموعتها وغيّر «كود الوحدة» فقط.</t>
  </si>
  <si>
    <t xml:space="preserve">• أضف ١٨ صفًا في «تقييم العناصر» و٣ صفوف في «النتائج» وصفًا واحدًا في «ملخص الوحدات».</t>
  </si>
  <si>
    <t xml:space="preserve">٥) ملاحظات وافتراضات — تحتاج مراجعتك</t>
  </si>
  <si>
    <t xml:space="preserve">• أسماء وحدات «المرتبطة بالمسؤول الأول» (وحدة مرتبطة ١–٦) أسماء مؤقتة؛ استبدلها بالقائمة الفعلية.</t>
  </si>
  <si>
    <t xml:space="preserve">• جميع نسب نقاط التحقق في الملف قيم وهمية للتجربة، موزّعة من القيم الوهمية في ملفك الأصلي.</t>
  </si>
  <si>
    <t xml:space="preserve">• نقاط التحقق داخل العنصر الواحد متساوية الوزن؛ أخبرني إن كان لديك ترجيح مختلف بينها.</t>
  </si>
  <si>
    <t xml:space="preserve">• «النضج الإجمالي» في ورقة الملخص متوسط حسابي بسيط للمراحل الثلاث — افتراض قابل للتغيير.</t>
  </si>
  <si>
    <t xml:space="preserve">• «الجهة المزودة للمعلومة» في ورقة نقاط التحقق متروكة فارغة لتعبئتها حسب أيقونات الإطار المعتمد.</t>
  </si>
  <si>
    <t xml:space="preserve">٦) للربط مع أداة HTML</t>
  </si>
  <si>
    <t xml:space="preserve">• لكل صف مفتاح نصي فريد في «معرف الصف»: كود الوحدة + كود النقطة (في الإدخال)، وكود الوحدة + المرحلة + العنصر (في تقييم العناصر).</t>
  </si>
  <si>
    <t xml:space="preserve">• استخدم الأكواد الإنجليزية (المجموعة / الوحدة / المرحلة / العنصر / النقطة) للربط والفرز، لا الأسماء العربية.</t>
  </si>
  <si>
    <t xml:space="preserve">• أوراق الإدخال الثلاث متطابقة الأعمدة تمامًا فيمكن دمجها في مصفوفة واحدة بعد القراءة.</t>
  </si>
  <si>
    <t xml:space="preserve">المرحلة</t>
  </si>
  <si>
    <t xml:space="preserve">كود المرحلة</t>
  </si>
  <si>
    <t xml:space="preserve">ترتيب المرحلة</t>
  </si>
  <si>
    <t xml:space="preserve">العنصر</t>
  </si>
  <si>
    <t xml:space="preserve">كود العنصر</t>
  </si>
  <si>
    <t xml:space="preserve">ترتيب العنصر</t>
  </si>
  <si>
    <t xml:space="preserve">الوزن في المرحلة %</t>
  </si>
  <si>
    <t xml:space="preserve">عدد نقاط التحقق</t>
  </si>
  <si>
    <t xml:space="preserve">حدود التصنيف</t>
  </si>
  <si>
    <t xml:space="preserve">القيمة</t>
  </si>
  <si>
    <t xml:space="preserve">التصميم</t>
  </si>
  <si>
    <t xml:space="preserve">DESIGN</t>
  </si>
  <si>
    <t xml:space="preserve">الدور</t>
  </si>
  <si>
    <t xml:space="preserve">ROLE</t>
  </si>
  <si>
    <t xml:space="preserve">أولي: أقل من أو يساوي</t>
  </si>
  <si>
    <t xml:space="preserve">الأهداف ومؤشرات الأداء</t>
  </si>
  <si>
    <t xml:space="preserve">KPI</t>
  </si>
  <si>
    <t xml:space="preserve">متقدم: أعلى من</t>
  </si>
  <si>
    <t xml:space="preserve">الحوكمة</t>
  </si>
  <si>
    <t xml:space="preserve">GOV</t>
  </si>
  <si>
    <t xml:space="preserve">جزئي: ما بينهما</t>
  </si>
  <si>
    <t xml:space="preserve">التنظيم</t>
  </si>
  <si>
    <t xml:space="preserve">ORG</t>
  </si>
  <si>
    <t xml:space="preserve">الموارد</t>
  </si>
  <si>
    <t xml:space="preserve">RES</t>
  </si>
  <si>
    <t xml:space="preserve">ملاحظة: عدد نقاط التحقق مأخوذ من إطار نقاط التحقق المعتمد (ورقة «نقاط التحقق»).</t>
  </si>
  <si>
    <t xml:space="preserve">الإجراءات</t>
  </si>
  <si>
    <t xml:space="preserve">PROC</t>
  </si>
  <si>
    <t xml:space="preserve">البناء المؤسسي</t>
  </si>
  <si>
    <t xml:space="preserve">BUILD</t>
  </si>
  <si>
    <t xml:space="preserve">أوزان المراحل للنضج النهائي</t>
  </si>
  <si>
    <t xml:space="preserve">الوزن %</t>
  </si>
  <si>
    <t xml:space="preserve">التشغيل</t>
  </si>
  <si>
    <t xml:space="preserve">OPERATE</t>
  </si>
  <si>
    <t xml:space="preserve">المجموع يجب أن يساوي ١٠٠</t>
  </si>
  <si>
    <t xml:space="preserve">إنتاج المخرج الأول</t>
  </si>
  <si>
    <t xml:space="preserve">OUT1</t>
  </si>
  <si>
    <t xml:space="preserve">اكتمال المخرجات المستهدفة</t>
  </si>
  <si>
    <t xml:space="preserve">OUTF</t>
  </si>
  <si>
    <t xml:space="preserve">كود النقطة</t>
  </si>
  <si>
    <t xml:space="preserve">رقم النقطة</t>
  </si>
  <si>
    <t xml:space="preserve">نص نقطة التحقق</t>
  </si>
  <si>
    <t xml:space="preserve">الجهة المزودة للمعلومة</t>
  </si>
  <si>
    <t xml:space="preserve">DESIGN-ROLE-1</t>
  </si>
  <si>
    <t xml:space="preserve">دور مفصل للوحدة التنظيمية</t>
  </si>
  <si>
    <t xml:space="preserve">DESIGN-KPI-1</t>
  </si>
  <si>
    <t xml:space="preserve">أهداف محددة للوحدة التنظيمية وربطها بمؤشرات أداء لقياسها</t>
  </si>
  <si>
    <t xml:space="preserve">DESIGN-KPI-2</t>
  </si>
  <si>
    <t xml:space="preserve">مؤشرات أداء الوحدة التنظيمية</t>
  </si>
  <si>
    <t xml:space="preserve">DESIGN-GOV-1</t>
  </si>
  <si>
    <t xml:space="preserve">تفصيل القرارات ومصفوفة الصلاحيات واللجان ذات العلاقة لاعتماد مخرجات الوحدة التنظيمية</t>
  </si>
  <si>
    <t xml:space="preserve">DESIGN-ORG-1</t>
  </si>
  <si>
    <t xml:space="preserve">تطوير الأدوار والمسؤوليات للوحدة التنظيمية وتفصيل الهيكل التنظيمي</t>
  </si>
  <si>
    <t xml:space="preserve">DESIGN-RES-1</t>
  </si>
  <si>
    <t xml:space="preserve">تفصيل احتياج الموارد البشرية للوحدة التنظيمية</t>
  </si>
  <si>
    <t xml:space="preserve">DESIGN-PROC-1</t>
  </si>
  <si>
    <t xml:space="preserve">تفصيل المخرجات إلى إجراءات عالية المستوى</t>
  </si>
  <si>
    <t xml:space="preserve">BUILD-ROLE-1</t>
  </si>
  <si>
    <t xml:space="preserve">دور معتمد للوحدة التنظيمية</t>
  </si>
  <si>
    <t xml:space="preserve">BUILD-KPI-1</t>
  </si>
  <si>
    <t xml:space="preserve">أهداف تشغيلية معتمدة من صاحب الصلاحية</t>
  </si>
  <si>
    <t xml:space="preserve">BUILD-KPI-2</t>
  </si>
  <si>
    <t xml:space="preserve">نشر الأهداف التشغيلية على موظفي الوحدة التنظيمية</t>
  </si>
  <si>
    <t xml:space="preserve">BUILD-GOV-1</t>
  </si>
  <si>
    <t xml:space="preserve">مصفوفة صلاحيات معتمدة ومعممة على أصحاب المصلحة</t>
  </si>
  <si>
    <t xml:space="preserve">BUILD-GOV-2</t>
  </si>
  <si>
    <t xml:space="preserve">سياسات معتمدة للتي تملكها الوحدة التنظيمية</t>
  </si>
  <si>
    <t xml:space="preserve">BUILD-GOV-3</t>
  </si>
  <si>
    <t xml:space="preserve">قرار تشكيل معتمد للجان ذات العلاقة</t>
  </si>
  <si>
    <t xml:space="preserve">BUILD-ORG-1</t>
  </si>
  <si>
    <t xml:space="preserve">هيكل تنظيمي معتمد من صاحب الصلاحية</t>
  </si>
  <si>
    <t xml:space="preserve">BUILD-ORG-2</t>
  </si>
  <si>
    <t xml:space="preserve">هيكل تنظيمي منشأ على نظام القوى العاملة</t>
  </si>
  <si>
    <t xml:space="preserve">BUILD-ORG-3</t>
  </si>
  <si>
    <t xml:space="preserve">الموظفون المحددون مسكّنون على الهيكل التنظيمي المستهدف</t>
  </si>
  <si>
    <t xml:space="preserve">BUILD-RES-1</t>
  </si>
  <si>
    <t xml:space="preserve">مدير الوحدة التنظيمية والموظفون الرئيسيون معينون/ملحقون</t>
  </si>
  <si>
    <t xml:space="preserve">BUILD-RES-2</t>
  </si>
  <si>
    <t xml:space="preserve">خطة توظيف وتدريب مستكملة</t>
  </si>
  <si>
    <t xml:space="preserve">BUILD-RES-3</t>
  </si>
  <si>
    <t xml:space="preserve">وجود مساحات مكتبية كافية</t>
  </si>
  <si>
    <t xml:space="preserve">BUILD-RES-4</t>
  </si>
  <si>
    <t xml:space="preserve">وجود الاحتياجات التقنية الأساسية</t>
  </si>
  <si>
    <t xml:space="preserve">BUILD-PROC-1</t>
  </si>
  <si>
    <t xml:space="preserve">إجراءات معتمدة للوحدة التنظيمية</t>
  </si>
  <si>
    <t xml:space="preserve">BUILD-OUT1-1</t>
  </si>
  <si>
    <t xml:space="preserve">إنتاج المخرج الأول من قبل الوحدة التنظيمية</t>
  </si>
  <si>
    <t xml:space="preserve">OPERATE-KPI-1</t>
  </si>
  <si>
    <t xml:space="preserve">تحرك مؤشرات الأداء التشغيلي للوحدة التنظيمية بشكل إيجابي</t>
  </si>
  <si>
    <t xml:space="preserve">OPERATE-KPI-2</t>
  </si>
  <si>
    <t xml:space="preserve">خطة سنوية معتمدة للوحدة التنظيمية</t>
  </si>
  <si>
    <t xml:space="preserve">OPERATE-GOV-1</t>
  </si>
  <si>
    <t xml:space="preserve">محاضر لجان موثقة</t>
  </si>
  <si>
    <t xml:space="preserve">OPERATE-GOV-2</t>
  </si>
  <si>
    <t xml:space="preserve">نشر السياسات التي تملكها الوحدة التنظيمية</t>
  </si>
  <si>
    <t xml:space="preserve">OPERATE-GOV-3</t>
  </si>
  <si>
    <t xml:space="preserve">اتخاذ القرارات في نطاق الصلاحيات (وجود شواهد)</t>
  </si>
  <si>
    <t xml:space="preserve">OPERATE-RES-1</t>
  </si>
  <si>
    <t xml:space="preserve">موارد مستكملة للحد الأدنى الذي يغطي كافة محاور سلسلة القيمة</t>
  </si>
  <si>
    <t xml:space="preserve">OPERATE-PROC-1</t>
  </si>
  <si>
    <t xml:space="preserve">تحقيق تقييم "مطبق بشكل كامل" من منهجية تقييم فعالية الإجراءات</t>
  </si>
  <si>
    <t xml:space="preserve">OPERATE-OUTF-1</t>
  </si>
  <si>
    <t xml:space="preserve">اكتمال مخرجات النموذج التشغيلي المستهدف للوحدة التنظيمية</t>
  </si>
  <si>
    <t xml:space="preserve">كود الوحدة</t>
  </si>
  <si>
    <t xml:space="preserve">كود المجموعة</t>
  </si>
  <si>
    <t xml:space="preserve">المجموعة</t>
  </si>
  <si>
    <t xml:space="preserve">الوحدة التنظيمية الرئيسية</t>
  </si>
  <si>
    <t xml:space="preserve">الوحدة التنظيمية الفرعية</t>
  </si>
  <si>
    <t xml:space="preserve">الوحدة المقاسة</t>
  </si>
  <si>
    <t xml:space="preserve">مستوى الوحدة</t>
  </si>
  <si>
    <t xml:space="preserve">ورقة الإدخال</t>
  </si>
  <si>
    <t xml:space="preserve">عدد نقاط التحقق المقاسة</t>
  </si>
  <si>
    <t xml:space="preserve">TOP-01</t>
  </si>
  <si>
    <t xml:space="preserve">TOP</t>
  </si>
  <si>
    <t xml:space="preserve">المرتبطة بسمو الوزير</t>
  </si>
  <si>
    <t xml:space="preserve">المكتب التنفيذي</t>
  </si>
  <si>
    <t xml:space="preserve">—</t>
  </si>
  <si>
    <t xml:space="preserve">إدارة</t>
  </si>
  <si>
    <t xml:space="preserve">المرتبطة بالمسؤول الأول</t>
  </si>
  <si>
    <t xml:space="preserve">TOP-02</t>
  </si>
  <si>
    <t xml:space="preserve">إدارة المتابعة والتقارير</t>
  </si>
  <si>
    <t xml:space="preserve">TOP-03</t>
  </si>
  <si>
    <t xml:space="preserve">إدارة الحوكمة والمخاطر</t>
  </si>
  <si>
    <t xml:space="preserve">TOP-04</t>
  </si>
  <si>
    <t xml:space="preserve">إدارة الشؤون القانونية</t>
  </si>
  <si>
    <t xml:space="preserve">TOP-05</t>
  </si>
  <si>
    <t xml:space="preserve">إدارة التميز المؤسسي</t>
  </si>
  <si>
    <t xml:space="preserve">EXE-01</t>
  </si>
  <si>
    <t xml:space="preserve">EXE</t>
  </si>
  <si>
    <t xml:space="preserve">الشؤون التنفيذية</t>
  </si>
  <si>
    <t xml:space="preserve">وكالة الشؤون الفنية</t>
  </si>
  <si>
    <t xml:space="preserve">الإدارة العامة للتخطيط والدراسات</t>
  </si>
  <si>
    <t xml:space="preserve">إدارة عامة</t>
  </si>
  <si>
    <t xml:space="preserve">EXE-02</t>
  </si>
  <si>
    <t xml:space="preserve">الإدارة العامة للجودة والتطوير</t>
  </si>
  <si>
    <t xml:space="preserve">EXE-03</t>
  </si>
  <si>
    <t xml:space="preserve">الإدارة العامة للمشاريع</t>
  </si>
  <si>
    <t xml:space="preserve">EXE-04</t>
  </si>
  <si>
    <t xml:space="preserve">الإدارة العامة للتشغيل والصيانة</t>
  </si>
  <si>
    <t xml:space="preserve">EXE-05</t>
  </si>
  <si>
    <t xml:space="preserve">الإدارة العامة للسلامة والبيئة</t>
  </si>
  <si>
    <t xml:space="preserve">EXE-06</t>
  </si>
  <si>
    <t xml:space="preserve">الإدارة العامة للأصول والمرافق</t>
  </si>
  <si>
    <t xml:space="preserve">EXE-07</t>
  </si>
  <si>
    <t xml:space="preserve">الإدارة العامة للأمن والحماية</t>
  </si>
  <si>
    <t xml:space="preserve">EXE-08</t>
  </si>
  <si>
    <t xml:space="preserve">وكالة الخدمات المساندة</t>
  </si>
  <si>
    <t xml:space="preserve">الإدارة العامة للموارد البشرية</t>
  </si>
  <si>
    <t xml:space="preserve">EXE-09</t>
  </si>
  <si>
    <t xml:space="preserve">الإدارة العامة للشؤون المالية</t>
  </si>
  <si>
    <t xml:space="preserve">EXE-10</t>
  </si>
  <si>
    <t xml:space="preserve">الإدارة العامة لتقنية المعلومات</t>
  </si>
  <si>
    <t xml:space="preserve">EXE-11</t>
  </si>
  <si>
    <t xml:space="preserve">وكالة الشؤون الاستراتيجية</t>
  </si>
  <si>
    <t xml:space="preserve">وكالة</t>
  </si>
  <si>
    <t xml:space="preserve">EXE-12</t>
  </si>
  <si>
    <t xml:space="preserve">وكالة التحول الرقمي</t>
  </si>
  <si>
    <t xml:space="preserve">EXE-13</t>
  </si>
  <si>
    <t xml:space="preserve">وكالة الاتصال المؤسسي</t>
  </si>
  <si>
    <t xml:space="preserve">EXE-14</t>
  </si>
  <si>
    <t xml:space="preserve">وكالة الرقابة والالتزام</t>
  </si>
  <si>
    <t xml:space="preserve">MIL-01</t>
  </si>
  <si>
    <t xml:space="preserve">MIL</t>
  </si>
  <si>
    <t xml:space="preserve">الجهاز العسكري</t>
  </si>
  <si>
    <t xml:space="preserve">هيئة الأركان</t>
  </si>
  <si>
    <t xml:space="preserve">MIL-02</t>
  </si>
  <si>
    <t xml:space="preserve">قيادة القوات البرية</t>
  </si>
  <si>
    <t xml:space="preserve">MIL-03</t>
  </si>
  <si>
    <t xml:space="preserve">قيادة القوات الجوية</t>
  </si>
  <si>
    <t xml:space="preserve">MIL-04</t>
  </si>
  <si>
    <t xml:space="preserve">قيادة القوات البحرية</t>
  </si>
  <si>
    <t xml:space="preserve">MIL-05</t>
  </si>
  <si>
    <t xml:space="preserve">قيادة قوات الدفاع الجوي</t>
  </si>
  <si>
    <t xml:space="preserve">MIL-06</t>
  </si>
  <si>
    <t xml:space="preserve">قيادة القوات الاستراتيجية</t>
  </si>
  <si>
    <t xml:space="preserve">MIL-07</t>
  </si>
  <si>
    <t xml:space="preserve">الإدارة العامة للاستخبارات العسكرية</t>
  </si>
  <si>
    <t xml:space="preserve">MIL-08</t>
  </si>
  <si>
    <t xml:space="preserve">الإدارة العامة للعمليات المشتركة</t>
  </si>
  <si>
    <t xml:space="preserve">MIL-09</t>
  </si>
  <si>
    <t xml:space="preserve">الإدارة العامة للتخطيط والتنظيم العسكري</t>
  </si>
  <si>
    <t xml:space="preserve">MIL-10</t>
  </si>
  <si>
    <t xml:space="preserve">الإدارة العامة للإمداد والتموين</t>
  </si>
  <si>
    <t xml:space="preserve">MIL-11</t>
  </si>
  <si>
    <t xml:space="preserve">الإدارة العامة للاتصالات وتقنية المعلومات العسكرية</t>
  </si>
  <si>
    <t xml:space="preserve">MIL-12</t>
  </si>
  <si>
    <t xml:space="preserve">الإدارة العامة للشؤون الهندسية العسكرية</t>
  </si>
  <si>
    <t xml:space="preserve">MIL-13</t>
  </si>
  <si>
    <t xml:space="preserve">الإدارة العامة للخدمات الطبية العسكرية</t>
  </si>
  <si>
    <t xml:space="preserve">MIL-14</t>
  </si>
  <si>
    <t xml:space="preserve">الإدارة العامة للقوى البشرية العسكرية</t>
  </si>
  <si>
    <t xml:space="preserve">MIL-15</t>
  </si>
  <si>
    <t xml:space="preserve">الإدارة العامة للتدريب والتأهيل العسكري</t>
  </si>
  <si>
    <t xml:space="preserve">MIL-16</t>
  </si>
  <si>
    <t xml:space="preserve">الإدارة العامة للتسليح والعتاد</t>
  </si>
  <si>
    <t xml:space="preserve">MIL-17</t>
  </si>
  <si>
    <t xml:space="preserve">الإدارة العامة للقضاء العسكري</t>
  </si>
  <si>
    <t xml:space="preserve">MIL-18</t>
  </si>
  <si>
    <t xml:space="preserve">الإدارة العامة للأمن العسكري</t>
  </si>
  <si>
    <t xml:space="preserve">MIL-19</t>
  </si>
  <si>
    <t xml:space="preserve">الإدارة العامة للمالية والميزانية العسكرية</t>
  </si>
  <si>
    <t xml:space="preserve">MIL-20</t>
  </si>
  <si>
    <t xml:space="preserve">الإدارة العامة للعلاقات العامة والإعلام العسكري</t>
  </si>
  <si>
    <t xml:space="preserve">MIL-21</t>
  </si>
  <si>
    <t xml:space="preserve">الإدارة العامة للمراسم والتشريفات العسكرية</t>
  </si>
  <si>
    <t xml:space="preserve">معرف الصف</t>
  </si>
  <si>
    <t xml:space="preserve">القطاع</t>
  </si>
  <si>
    <t xml:space="preserve">نسبة إنجاز النقطة %</t>
  </si>
  <si>
    <t xml:space="preserve">نسبة إنجاز النقطة المستهدفة لعام 2026 %</t>
  </si>
  <si>
    <t xml:space="preserve">حالة النقطة</t>
  </si>
  <si>
    <t xml:space="preserve">ملاحظات النقطة</t>
  </si>
  <si>
    <t xml:space="preserve">TOP-01-DESIGN-ROLE-1</t>
  </si>
  <si>
    <t xml:space="preserve">الملاحظات فيذا</t>
  </si>
  <si>
    <t xml:space="preserve">TOP-01-DESIGN-KPI-1</t>
  </si>
  <si>
    <t xml:space="preserve">TOP-01-DESIGN-KPI-2</t>
  </si>
  <si>
    <t xml:space="preserve">TOP-01-DESIGN-GOV-1</t>
  </si>
  <si>
    <t xml:space="preserve">TOP-01-DESIGN-ORG-1</t>
  </si>
  <si>
    <t xml:space="preserve">TOP-01-DESIGN-RES-1</t>
  </si>
  <si>
    <t xml:space="preserve">TOP-01-DESIGN-PROC-1</t>
  </si>
  <si>
    <t xml:space="preserve">TOP-01-BUILD-ROLE-1</t>
  </si>
  <si>
    <t xml:space="preserve">TOP-01-BUILD-KPI-1</t>
  </si>
  <si>
    <t xml:space="preserve">TOP-01-BUILD-KPI-2</t>
  </si>
  <si>
    <t xml:space="preserve">TOP-01-BUILD-GOV-1</t>
  </si>
  <si>
    <t xml:space="preserve">TOP-01-BUILD-GOV-2</t>
  </si>
  <si>
    <t xml:space="preserve">TOP-01-BUILD-GOV-3</t>
  </si>
  <si>
    <t xml:space="preserve">TOP-01-BUILD-ORG-1</t>
  </si>
  <si>
    <t xml:space="preserve">TOP-01-BUILD-ORG-2</t>
  </si>
  <si>
    <t xml:space="preserve">TOP-01-BUILD-ORG-3</t>
  </si>
  <si>
    <t xml:space="preserve">TOP-01-BUILD-RES-1</t>
  </si>
  <si>
    <t xml:space="preserve">TOP-01-BUILD-RES-2</t>
  </si>
  <si>
    <t xml:space="preserve">TOP-01-BUILD-RES-3</t>
  </si>
  <si>
    <t xml:space="preserve">TOP-01-BUILD-RES-4</t>
  </si>
  <si>
    <t xml:space="preserve">TOP-01-BUILD-PROC-1</t>
  </si>
  <si>
    <t xml:space="preserve">TOP-01-BUILD-OUT1-1</t>
  </si>
  <si>
    <t xml:space="preserve">TOP-01-OPERATE-KPI-1</t>
  </si>
  <si>
    <t xml:space="preserve">TOP-01-OPERATE-KPI-2</t>
  </si>
  <si>
    <t xml:space="preserve">TOP-01-OPERATE-GOV-1</t>
  </si>
  <si>
    <t xml:space="preserve">TOP-01-OPERATE-GOV-2</t>
  </si>
  <si>
    <t xml:space="preserve">TOP-01-OPERATE-GOV-3</t>
  </si>
  <si>
    <t xml:space="preserve">TOP-01-OPERATE-RES-1</t>
  </si>
  <si>
    <t xml:space="preserve">TOP-01-OPERATE-PROC-1</t>
  </si>
  <si>
    <t xml:space="preserve">TOP-01-OPERATE-OUTF-1</t>
  </si>
  <si>
    <t xml:space="preserve">TOP-02-DESIGN-ROLE-1</t>
  </si>
  <si>
    <t xml:space="preserve">TOP-02-DESIGN-KPI-1</t>
  </si>
  <si>
    <t xml:space="preserve">TOP-02-DESIGN-KPI-2</t>
  </si>
  <si>
    <t xml:space="preserve">TOP-02-DESIGN-GOV-1</t>
  </si>
  <si>
    <t xml:space="preserve">TOP-02-DESIGN-ORG-1</t>
  </si>
  <si>
    <t xml:space="preserve">TOP-02-DESIGN-RES-1</t>
  </si>
  <si>
    <t xml:space="preserve">TOP-02-DESIGN-PROC-1</t>
  </si>
  <si>
    <t xml:space="preserve">TOP-02-BUILD-ROLE-1</t>
  </si>
  <si>
    <t xml:space="preserve">TOP-02-BUILD-KPI-1</t>
  </si>
  <si>
    <t xml:space="preserve">TOP-02-BUILD-KPI-2</t>
  </si>
  <si>
    <t xml:space="preserve">TOP-02-BUILD-GOV-1</t>
  </si>
  <si>
    <t xml:space="preserve">TOP-02-BUILD-GOV-2</t>
  </si>
  <si>
    <t xml:space="preserve">TOP-02-BUILD-GOV-3</t>
  </si>
  <si>
    <t xml:space="preserve">TOP-02-BUILD-ORG-1</t>
  </si>
  <si>
    <t xml:space="preserve">TOP-02-BUILD-ORG-2</t>
  </si>
  <si>
    <t xml:space="preserve">TOP-02-BUILD-ORG-3</t>
  </si>
  <si>
    <t xml:space="preserve">TOP-02-BUILD-RES-1</t>
  </si>
  <si>
    <t xml:space="preserve">TOP-02-BUILD-RES-2</t>
  </si>
  <si>
    <t xml:space="preserve">TOP-02-BUILD-RES-3</t>
  </si>
  <si>
    <t xml:space="preserve">TOP-02-BUILD-RES-4</t>
  </si>
  <si>
    <t xml:space="preserve">TOP-02-BUILD-PROC-1</t>
  </si>
  <si>
    <t xml:space="preserve">TOP-02-BUILD-OUT1-1</t>
  </si>
  <si>
    <t xml:space="preserve">TOP-02-OPERATE-KPI-1</t>
  </si>
  <si>
    <t xml:space="preserve">TOP-02-OPERATE-KPI-2</t>
  </si>
  <si>
    <t xml:space="preserve">TOP-02-OPERATE-GOV-1</t>
  </si>
  <si>
    <t xml:space="preserve">TOP-02-OPERATE-GOV-2</t>
  </si>
  <si>
    <t xml:space="preserve">TOP-02-OPERATE-GOV-3</t>
  </si>
  <si>
    <t xml:space="preserve">TOP-02-OPERATE-RES-1</t>
  </si>
  <si>
    <t xml:space="preserve">TOP-02-OPERATE-PROC-1</t>
  </si>
  <si>
    <t xml:space="preserve">TOP-02-OPERATE-OUTF-1</t>
  </si>
  <si>
    <t xml:space="preserve">TOP-03-DESIGN-ROLE-1</t>
  </si>
  <si>
    <t xml:space="preserve">TOP-03-DESIGN-KPI-1</t>
  </si>
  <si>
    <t xml:space="preserve">TOP-03-DESIGN-KPI-2</t>
  </si>
  <si>
    <t xml:space="preserve">TOP-03-DESIGN-GOV-1</t>
  </si>
  <si>
    <t xml:space="preserve">TOP-03-DESIGN-ORG-1</t>
  </si>
  <si>
    <t xml:space="preserve">TOP-03-DESIGN-RES-1</t>
  </si>
  <si>
    <t xml:space="preserve">TOP-03-DESIGN-PROC-1</t>
  </si>
  <si>
    <t xml:space="preserve">TOP-03-BUILD-ROLE-1</t>
  </si>
  <si>
    <t xml:space="preserve">TOP-03-BUILD-KPI-1</t>
  </si>
  <si>
    <t xml:space="preserve">TOP-03-BUILD-KPI-2</t>
  </si>
  <si>
    <t xml:space="preserve">TOP-03-BUILD-GOV-1</t>
  </si>
  <si>
    <t xml:space="preserve">TOP-03-BUILD-GOV-2</t>
  </si>
  <si>
    <t xml:space="preserve">TOP-03-BUILD-GOV-3</t>
  </si>
  <si>
    <t xml:space="preserve">TOP-03-BUILD-ORG-1</t>
  </si>
  <si>
    <t xml:space="preserve">TOP-03-BUILD-ORG-2</t>
  </si>
  <si>
    <t xml:space="preserve">TOP-03-BUILD-ORG-3</t>
  </si>
  <si>
    <t xml:space="preserve">TOP-03-BUILD-RES-1</t>
  </si>
  <si>
    <t xml:space="preserve">TOP-03-BUILD-RES-2</t>
  </si>
  <si>
    <t xml:space="preserve">TOP-03-BUILD-RES-3</t>
  </si>
  <si>
    <t xml:space="preserve">TOP-03-BUILD-RES-4</t>
  </si>
  <si>
    <t xml:space="preserve">TOP-03-BUILD-PROC-1</t>
  </si>
  <si>
    <t xml:space="preserve">TOP-03-BUILD-OUT1-1</t>
  </si>
  <si>
    <t xml:space="preserve">TOP-03-OPERATE-KPI-1</t>
  </si>
  <si>
    <t xml:space="preserve">TOP-03-OPERATE-KPI-2</t>
  </si>
  <si>
    <t xml:space="preserve">TOP-03-OPERATE-GOV-1</t>
  </si>
  <si>
    <t xml:space="preserve">TOP-03-OPERATE-GOV-2</t>
  </si>
  <si>
    <t xml:space="preserve">TOP-03-OPERATE-GOV-3</t>
  </si>
  <si>
    <t xml:space="preserve">TOP-03-OPERATE-RES-1</t>
  </si>
  <si>
    <t xml:space="preserve">TOP-03-OPERATE-PROC-1</t>
  </si>
  <si>
    <t xml:space="preserve">TOP-03-OPERATE-OUTF-1</t>
  </si>
  <si>
    <t xml:space="preserve">TOP-04-DESIGN-ROLE-1</t>
  </si>
  <si>
    <t xml:space="preserve">TOP-04-DESIGN-KPI-1</t>
  </si>
  <si>
    <t xml:space="preserve">TOP-04-DESIGN-KPI-2</t>
  </si>
  <si>
    <t xml:space="preserve">TOP-04-DESIGN-GOV-1</t>
  </si>
  <si>
    <t xml:space="preserve">TOP-04-DESIGN-ORG-1</t>
  </si>
  <si>
    <t xml:space="preserve">TOP-04-DESIGN-RES-1</t>
  </si>
  <si>
    <t xml:space="preserve">TOP-04-DESIGN-PROC-1</t>
  </si>
  <si>
    <t xml:space="preserve">TOP-04-BUILD-ROLE-1</t>
  </si>
  <si>
    <t xml:space="preserve">TOP-04-BUILD-KPI-1</t>
  </si>
  <si>
    <t xml:space="preserve">TOP-04-BUILD-KPI-2</t>
  </si>
  <si>
    <t xml:space="preserve">TOP-04-BUILD-GOV-1</t>
  </si>
  <si>
    <t xml:space="preserve">TOP-04-BUILD-GOV-2</t>
  </si>
  <si>
    <t xml:space="preserve">TOP-04-BUILD-GOV-3</t>
  </si>
  <si>
    <t xml:space="preserve">TOP-04-BUILD-ORG-1</t>
  </si>
  <si>
    <t xml:space="preserve">TOP-04-BUILD-ORG-2</t>
  </si>
  <si>
    <t xml:space="preserve">TOP-04-BUILD-ORG-3</t>
  </si>
  <si>
    <t xml:space="preserve">TOP-04-BUILD-RES-1</t>
  </si>
  <si>
    <t xml:space="preserve">TOP-04-BUILD-RES-2</t>
  </si>
  <si>
    <t xml:space="preserve">TOP-04-BUILD-RES-3</t>
  </si>
  <si>
    <t xml:space="preserve">TOP-04-BUILD-RES-4</t>
  </si>
  <si>
    <t xml:space="preserve">TOP-04-BUILD-PROC-1</t>
  </si>
  <si>
    <t xml:space="preserve">TOP-04-BUILD-OUT1-1</t>
  </si>
  <si>
    <t xml:space="preserve">TOP-04-OPERATE-KPI-1</t>
  </si>
  <si>
    <t xml:space="preserve">TOP-04-OPERATE-KPI-2</t>
  </si>
  <si>
    <t xml:space="preserve">TOP-04-OPERATE-GOV-1</t>
  </si>
  <si>
    <t xml:space="preserve">TOP-04-OPERATE-GOV-2</t>
  </si>
  <si>
    <t xml:space="preserve">TOP-04-OPERATE-GOV-3</t>
  </si>
  <si>
    <t xml:space="preserve">TOP-04-OPERATE-RES-1</t>
  </si>
  <si>
    <t xml:space="preserve">TOP-04-OPERATE-PROC-1</t>
  </si>
  <si>
    <t xml:space="preserve">TOP-04-OPERATE-OUTF-1</t>
  </si>
  <si>
    <t xml:space="preserve">TOP-05-DESIGN-ROLE-1</t>
  </si>
  <si>
    <t xml:space="preserve">TOP-05-DESIGN-KPI-1</t>
  </si>
  <si>
    <t xml:space="preserve">TOP-05-DESIGN-KPI-2</t>
  </si>
  <si>
    <t xml:space="preserve">TOP-05-DESIGN-GOV-1</t>
  </si>
  <si>
    <t xml:space="preserve">TOP-05-DESIGN-ORG-1</t>
  </si>
  <si>
    <t xml:space="preserve">TOP-05-DESIGN-RES-1</t>
  </si>
  <si>
    <t xml:space="preserve">TOP-05-DESIGN-PROC-1</t>
  </si>
  <si>
    <t xml:space="preserve">TOP-05-BUILD-ROLE-1</t>
  </si>
  <si>
    <t xml:space="preserve">TOP-05-BUILD-KPI-1</t>
  </si>
  <si>
    <t xml:space="preserve">TOP-05-BUILD-KPI-2</t>
  </si>
  <si>
    <t xml:space="preserve">TOP-05-BUILD-GOV-1</t>
  </si>
  <si>
    <t xml:space="preserve">TOP-05-BUILD-GOV-2</t>
  </si>
  <si>
    <t xml:space="preserve">TOP-05-BUILD-GOV-3</t>
  </si>
  <si>
    <t xml:space="preserve">TOP-05-BUILD-ORG-1</t>
  </si>
  <si>
    <t xml:space="preserve">TOP-05-BUILD-ORG-2</t>
  </si>
  <si>
    <t xml:space="preserve">TOP-05-BUILD-ORG-3</t>
  </si>
  <si>
    <t xml:space="preserve">TOP-05-BUILD-RES-1</t>
  </si>
  <si>
    <t xml:space="preserve">TOP-05-BUILD-RES-2</t>
  </si>
  <si>
    <t xml:space="preserve">TOP-05-BUILD-RES-3</t>
  </si>
  <si>
    <t xml:space="preserve">TOP-05-BUILD-RES-4</t>
  </si>
  <si>
    <t xml:space="preserve">TOP-05-BUILD-PROC-1</t>
  </si>
  <si>
    <t xml:space="preserve">TOP-05-BUILD-OUT1-1</t>
  </si>
  <si>
    <t xml:space="preserve">TOP-05-OPERATE-KPI-1</t>
  </si>
  <si>
    <t xml:space="preserve">TOP-05-OPERATE-KPI-2</t>
  </si>
  <si>
    <t xml:space="preserve">TOP-05-OPERATE-GOV-1</t>
  </si>
  <si>
    <t xml:space="preserve">TOP-05-OPERATE-GOV-2</t>
  </si>
  <si>
    <t xml:space="preserve">TOP-05-OPERATE-GOV-3</t>
  </si>
  <si>
    <t xml:space="preserve">TOP-05-OPERATE-RES-1</t>
  </si>
  <si>
    <t xml:space="preserve">TOP-05-OPERATE-PROC-1</t>
  </si>
  <si>
    <t xml:space="preserve">TOP-05-OPERATE-OUTF-1</t>
  </si>
  <si>
    <t xml:space="preserve">EXE-01-DESIGN-ROLE-1</t>
  </si>
  <si>
    <t xml:space="preserve">EXE-01-DESIGN-KPI-1</t>
  </si>
  <si>
    <t xml:space="preserve">EXE-01-DESIGN-KPI-2</t>
  </si>
  <si>
    <t xml:space="preserve">EXE-01-DESIGN-GOV-1</t>
  </si>
  <si>
    <t xml:space="preserve">EXE-01-DESIGN-ORG-1</t>
  </si>
  <si>
    <t xml:space="preserve">EXE-01-DESIGN-RES-1</t>
  </si>
  <si>
    <t xml:space="preserve">EXE-01-DESIGN-PROC-1</t>
  </si>
  <si>
    <t xml:space="preserve">EXE-01-BUILD-ROLE-1</t>
  </si>
  <si>
    <t xml:space="preserve">EXE-01-BUILD-KPI-1</t>
  </si>
  <si>
    <t xml:space="preserve">EXE-01-BUILD-KPI-2</t>
  </si>
  <si>
    <t xml:space="preserve">EXE-01-BUILD-GOV-1</t>
  </si>
  <si>
    <t xml:space="preserve">EXE-01-BUILD-GOV-2</t>
  </si>
  <si>
    <t xml:space="preserve">EXE-01-BUILD-GOV-3</t>
  </si>
  <si>
    <t xml:space="preserve">EXE-01-BUILD-ORG-1</t>
  </si>
  <si>
    <t xml:space="preserve">EXE-01-BUILD-ORG-2</t>
  </si>
  <si>
    <t xml:space="preserve">EXE-01-BUILD-ORG-3</t>
  </si>
  <si>
    <t xml:space="preserve">EXE-01-BUILD-RES-1</t>
  </si>
  <si>
    <t xml:space="preserve">EXE-01-BUILD-RES-2</t>
  </si>
  <si>
    <t xml:space="preserve">EXE-01-BUILD-RES-3</t>
  </si>
  <si>
    <t xml:space="preserve">EXE-01-BUILD-RES-4</t>
  </si>
  <si>
    <t xml:space="preserve">EXE-01-BUILD-PROC-1</t>
  </si>
  <si>
    <t xml:space="preserve">EXE-01-BUILD-OUT1-1</t>
  </si>
  <si>
    <t xml:space="preserve">EXE-01-OPERATE-KPI-1</t>
  </si>
  <si>
    <t xml:space="preserve">EXE-01-OPERATE-KPI-2</t>
  </si>
  <si>
    <t xml:space="preserve">EXE-01-OPERATE-GOV-1</t>
  </si>
  <si>
    <t xml:space="preserve">EXE-01-OPERATE-GOV-2</t>
  </si>
  <si>
    <t xml:space="preserve">EXE-01-OPERATE-GOV-3</t>
  </si>
  <si>
    <t xml:space="preserve">EXE-01-OPERATE-RES-1</t>
  </si>
  <si>
    <t xml:space="preserve">EXE-01-OPERATE-PROC-1</t>
  </si>
  <si>
    <t xml:space="preserve">EXE-01-OPERATE-OUTF-1</t>
  </si>
  <si>
    <t xml:space="preserve">EXE-02-DESIGN-ROLE-1</t>
  </si>
  <si>
    <t xml:space="preserve">EXE-02-DESIGN-KPI-1</t>
  </si>
  <si>
    <t xml:space="preserve">EXE-02-DESIGN-KPI-2</t>
  </si>
  <si>
    <t xml:space="preserve">EXE-02-DESIGN-GOV-1</t>
  </si>
  <si>
    <t xml:space="preserve">EXE-02-DESIGN-ORG-1</t>
  </si>
  <si>
    <t xml:space="preserve">EXE-02-DESIGN-RES-1</t>
  </si>
  <si>
    <t xml:space="preserve">EXE-02-DESIGN-PROC-1</t>
  </si>
  <si>
    <t xml:space="preserve">EXE-02-BUILD-ROLE-1</t>
  </si>
  <si>
    <t xml:space="preserve">EXE-02-BUILD-KPI-1</t>
  </si>
  <si>
    <t xml:space="preserve">EXE-02-BUILD-KPI-2</t>
  </si>
  <si>
    <t xml:space="preserve">EXE-02-BUILD-GOV-1</t>
  </si>
  <si>
    <t xml:space="preserve">EXE-02-BUILD-GOV-2</t>
  </si>
  <si>
    <t xml:space="preserve">EXE-02-BUILD-GOV-3</t>
  </si>
  <si>
    <t xml:space="preserve">EXE-02-BUILD-ORG-1</t>
  </si>
  <si>
    <t xml:space="preserve">EXE-02-BUILD-ORG-2</t>
  </si>
  <si>
    <t xml:space="preserve">EXE-02-BUILD-ORG-3</t>
  </si>
  <si>
    <t xml:space="preserve">EXE-02-BUILD-RES-1</t>
  </si>
  <si>
    <t xml:space="preserve">EXE-02-BUILD-RES-2</t>
  </si>
  <si>
    <t xml:space="preserve">EXE-02-BUILD-RES-3</t>
  </si>
  <si>
    <t xml:space="preserve">EXE-02-BUILD-RES-4</t>
  </si>
  <si>
    <t xml:space="preserve">EXE-02-BUILD-PROC-1</t>
  </si>
  <si>
    <t xml:space="preserve">EXE-02-BUILD-OUT1-1</t>
  </si>
  <si>
    <t xml:space="preserve">EXE-02-OPERATE-KPI-1</t>
  </si>
  <si>
    <t xml:space="preserve">EXE-02-OPERATE-KPI-2</t>
  </si>
  <si>
    <t xml:space="preserve">EXE-02-OPERATE-GOV-1</t>
  </si>
  <si>
    <t xml:space="preserve">EXE-02-OPERATE-GOV-2</t>
  </si>
  <si>
    <t xml:space="preserve">EXE-02-OPERATE-GOV-3</t>
  </si>
  <si>
    <t xml:space="preserve">EXE-02-OPERATE-RES-1</t>
  </si>
  <si>
    <t xml:space="preserve">EXE-02-OPERATE-PROC-1</t>
  </si>
  <si>
    <t xml:space="preserve">EXE-02-OPERATE-OUTF-1</t>
  </si>
  <si>
    <t xml:space="preserve">EXE-03-DESIGN-ROLE-1</t>
  </si>
  <si>
    <t xml:space="preserve">EXE-03-DESIGN-KPI-1</t>
  </si>
  <si>
    <t xml:space="preserve">EXE-03-DESIGN-KPI-2</t>
  </si>
  <si>
    <t xml:space="preserve">EXE-03-DESIGN-GOV-1</t>
  </si>
  <si>
    <t xml:space="preserve">EXE-03-DESIGN-ORG-1</t>
  </si>
  <si>
    <t xml:space="preserve">EXE-03-DESIGN-RES-1</t>
  </si>
  <si>
    <t xml:space="preserve">EXE-03-DESIGN-PROC-1</t>
  </si>
  <si>
    <t xml:space="preserve">EXE-03-BUILD-ROLE-1</t>
  </si>
  <si>
    <t xml:space="preserve">EXE-03-BUILD-KPI-1</t>
  </si>
  <si>
    <t xml:space="preserve">EXE-03-BUILD-KPI-2</t>
  </si>
  <si>
    <t xml:space="preserve">EXE-03-BUILD-GOV-1</t>
  </si>
  <si>
    <t xml:space="preserve">EXE-03-BUILD-GOV-2</t>
  </si>
  <si>
    <t xml:space="preserve">EXE-03-BUILD-GOV-3</t>
  </si>
  <si>
    <t xml:space="preserve">EXE-03-BUILD-ORG-1</t>
  </si>
  <si>
    <t xml:space="preserve">EXE-03-BUILD-ORG-2</t>
  </si>
  <si>
    <t xml:space="preserve">EXE-03-BUILD-ORG-3</t>
  </si>
  <si>
    <t xml:space="preserve">EXE-03-BUILD-RES-1</t>
  </si>
  <si>
    <t xml:space="preserve">EXE-03-BUILD-RES-2</t>
  </si>
  <si>
    <t xml:space="preserve">EXE-03-BUILD-RES-3</t>
  </si>
  <si>
    <t xml:space="preserve">EXE-03-BUILD-RES-4</t>
  </si>
  <si>
    <t xml:space="preserve">EXE-03-BUILD-PROC-1</t>
  </si>
  <si>
    <t xml:space="preserve">EXE-03-BUILD-OUT1-1</t>
  </si>
  <si>
    <t xml:space="preserve">EXE-03-OPERATE-KPI-1</t>
  </si>
  <si>
    <t xml:space="preserve">EXE-03-OPERATE-KPI-2</t>
  </si>
  <si>
    <t xml:space="preserve">EXE-03-OPERATE-GOV-1</t>
  </si>
  <si>
    <t xml:space="preserve">EXE-03-OPERATE-GOV-2</t>
  </si>
  <si>
    <t xml:space="preserve">EXE-03-OPERATE-GOV-3</t>
  </si>
  <si>
    <t xml:space="preserve">EXE-03-OPERATE-RES-1</t>
  </si>
  <si>
    <t xml:space="preserve">EXE-03-OPERATE-PROC-1</t>
  </si>
  <si>
    <t xml:space="preserve">EXE-03-OPERATE-OUTF-1</t>
  </si>
  <si>
    <t xml:space="preserve">EXE-04-DESIGN-ROLE-1</t>
  </si>
  <si>
    <t xml:space="preserve">EXE-04-DESIGN-KPI-1</t>
  </si>
  <si>
    <t xml:space="preserve">EXE-04-DESIGN-KPI-2</t>
  </si>
  <si>
    <t xml:space="preserve">EXE-04-DESIGN-GOV-1</t>
  </si>
  <si>
    <t xml:space="preserve">EXE-04-DESIGN-ORG-1</t>
  </si>
  <si>
    <t xml:space="preserve">EXE-04-DESIGN-RES-1</t>
  </si>
  <si>
    <t xml:space="preserve">EXE-04-DESIGN-PROC-1</t>
  </si>
  <si>
    <t xml:space="preserve">EXE-04-BUILD-ROLE-1</t>
  </si>
  <si>
    <t xml:space="preserve">EXE-04-BUILD-KPI-1</t>
  </si>
  <si>
    <t xml:space="preserve">EXE-04-BUILD-KPI-2</t>
  </si>
  <si>
    <t xml:space="preserve">EXE-04-BUILD-GOV-1</t>
  </si>
  <si>
    <t xml:space="preserve">EXE-04-BUILD-GOV-2</t>
  </si>
  <si>
    <t xml:space="preserve">EXE-04-BUILD-GOV-3</t>
  </si>
  <si>
    <t xml:space="preserve">EXE-04-BUILD-ORG-1</t>
  </si>
  <si>
    <t xml:space="preserve">EXE-04-BUILD-ORG-2</t>
  </si>
  <si>
    <t xml:space="preserve">EXE-04-BUILD-ORG-3</t>
  </si>
  <si>
    <t xml:space="preserve">EXE-04-BUILD-RES-1</t>
  </si>
  <si>
    <t xml:space="preserve">EXE-04-BUILD-RES-2</t>
  </si>
  <si>
    <t xml:space="preserve">EXE-04-BUILD-RES-3</t>
  </si>
  <si>
    <t xml:space="preserve">EXE-04-BUILD-RES-4</t>
  </si>
  <si>
    <t xml:space="preserve">EXE-04-BUILD-PROC-1</t>
  </si>
  <si>
    <t xml:space="preserve">EXE-04-BUILD-OUT1-1</t>
  </si>
  <si>
    <t xml:space="preserve">EXE-04-OPERATE-KPI-1</t>
  </si>
  <si>
    <t xml:space="preserve">EXE-04-OPERATE-KPI-2</t>
  </si>
  <si>
    <t xml:space="preserve">EXE-04-OPERATE-GOV-1</t>
  </si>
  <si>
    <t xml:space="preserve">EXE-04-OPERATE-GOV-2</t>
  </si>
  <si>
    <t xml:space="preserve">EXE-04-OPERATE-GOV-3</t>
  </si>
  <si>
    <t xml:space="preserve">EXE-04-OPERATE-RES-1</t>
  </si>
  <si>
    <t xml:space="preserve">EXE-04-OPERATE-PROC-1</t>
  </si>
  <si>
    <t xml:space="preserve">EXE-04-OPERATE-OUTF-1</t>
  </si>
  <si>
    <t xml:space="preserve">EXE-05-DESIGN-ROLE-1</t>
  </si>
  <si>
    <t xml:space="preserve">EXE-05-DESIGN-KPI-1</t>
  </si>
  <si>
    <t xml:space="preserve">EXE-05-DESIGN-KPI-2</t>
  </si>
  <si>
    <t xml:space="preserve">EXE-05-DESIGN-GOV-1</t>
  </si>
  <si>
    <t xml:space="preserve">EXE-05-DESIGN-ORG-1</t>
  </si>
  <si>
    <t xml:space="preserve">EXE-05-DESIGN-RES-1</t>
  </si>
  <si>
    <t xml:space="preserve">EXE-05-DESIGN-PROC-1</t>
  </si>
  <si>
    <t xml:space="preserve">EXE-05-BUILD-ROLE-1</t>
  </si>
  <si>
    <t xml:space="preserve">EXE-05-BUILD-KPI-1</t>
  </si>
  <si>
    <t xml:space="preserve">EXE-05-BUILD-KPI-2</t>
  </si>
  <si>
    <t xml:space="preserve">EXE-05-BUILD-GOV-1</t>
  </si>
  <si>
    <t xml:space="preserve">EXE-05-BUILD-GOV-2</t>
  </si>
  <si>
    <t xml:space="preserve">EXE-05-BUILD-GOV-3</t>
  </si>
  <si>
    <t xml:space="preserve">EXE-05-BUILD-ORG-1</t>
  </si>
  <si>
    <t xml:space="preserve">EXE-05-BUILD-ORG-2</t>
  </si>
  <si>
    <t xml:space="preserve">EXE-05-BUILD-ORG-3</t>
  </si>
  <si>
    <t xml:space="preserve">EXE-05-BUILD-RES-1</t>
  </si>
  <si>
    <t xml:space="preserve">EXE-05-BUILD-RES-2</t>
  </si>
  <si>
    <t xml:space="preserve">EXE-05-BUILD-RES-3</t>
  </si>
  <si>
    <t xml:space="preserve">EXE-05-BUILD-RES-4</t>
  </si>
  <si>
    <t xml:space="preserve">EXE-05-BUILD-PROC-1</t>
  </si>
  <si>
    <t xml:space="preserve">EXE-05-BUILD-OUT1-1</t>
  </si>
  <si>
    <t xml:space="preserve">EXE-05-OPERATE-KPI-1</t>
  </si>
  <si>
    <t xml:space="preserve">EXE-05-OPERATE-KPI-2</t>
  </si>
  <si>
    <t xml:space="preserve">EXE-05-OPERATE-GOV-1</t>
  </si>
  <si>
    <t xml:space="preserve">EXE-05-OPERATE-GOV-2</t>
  </si>
  <si>
    <t xml:space="preserve">EXE-05-OPERATE-GOV-3</t>
  </si>
  <si>
    <t xml:space="preserve">EXE-05-OPERATE-RES-1</t>
  </si>
  <si>
    <t xml:space="preserve">EXE-05-OPERATE-PROC-1</t>
  </si>
  <si>
    <t xml:space="preserve">EXE-05-OPERATE-OUTF-1</t>
  </si>
  <si>
    <t xml:space="preserve">EXE-06-DESIGN-ROLE-1</t>
  </si>
  <si>
    <t xml:space="preserve">EXE-06-DESIGN-KPI-1</t>
  </si>
  <si>
    <t xml:space="preserve">EXE-06-DESIGN-KPI-2</t>
  </si>
  <si>
    <t xml:space="preserve">EXE-06-DESIGN-GOV-1</t>
  </si>
  <si>
    <t xml:space="preserve">EXE-06-DESIGN-ORG-1</t>
  </si>
  <si>
    <t xml:space="preserve">EXE-06-DESIGN-RES-1</t>
  </si>
  <si>
    <t xml:space="preserve">EXE-06-DESIGN-PROC-1</t>
  </si>
  <si>
    <t xml:space="preserve">EXE-06-BUILD-ROLE-1</t>
  </si>
  <si>
    <t xml:space="preserve">EXE-06-BUILD-KPI-1</t>
  </si>
  <si>
    <t xml:space="preserve">EXE-06-BUILD-KPI-2</t>
  </si>
  <si>
    <t xml:space="preserve">EXE-06-BUILD-GOV-1</t>
  </si>
  <si>
    <t xml:space="preserve">EXE-06-BUILD-GOV-2</t>
  </si>
  <si>
    <t xml:space="preserve">EXE-06-BUILD-GOV-3</t>
  </si>
  <si>
    <t xml:space="preserve">EXE-06-BUILD-ORG-1</t>
  </si>
  <si>
    <t xml:space="preserve">EXE-06-BUILD-ORG-2</t>
  </si>
  <si>
    <t xml:space="preserve">EXE-06-BUILD-ORG-3</t>
  </si>
  <si>
    <t xml:space="preserve">EXE-06-BUILD-RES-1</t>
  </si>
  <si>
    <t xml:space="preserve">EXE-06-BUILD-RES-2</t>
  </si>
  <si>
    <t xml:space="preserve">EXE-06-BUILD-RES-3</t>
  </si>
  <si>
    <t xml:space="preserve">EXE-06-BUILD-RES-4</t>
  </si>
  <si>
    <t xml:space="preserve">EXE-06-BUILD-PROC-1</t>
  </si>
  <si>
    <t xml:space="preserve">EXE-06-BUILD-OUT1-1</t>
  </si>
  <si>
    <t xml:space="preserve">EXE-06-OPERATE-KPI-1</t>
  </si>
  <si>
    <t xml:space="preserve">EXE-06-OPERATE-KPI-2</t>
  </si>
  <si>
    <t xml:space="preserve">EXE-06-OPERATE-GOV-1</t>
  </si>
  <si>
    <t xml:space="preserve">EXE-06-OPERATE-GOV-2</t>
  </si>
  <si>
    <t xml:space="preserve">EXE-06-OPERATE-GOV-3</t>
  </si>
  <si>
    <t xml:space="preserve">EXE-06-OPERATE-RES-1</t>
  </si>
  <si>
    <t xml:space="preserve">EXE-06-OPERATE-PROC-1</t>
  </si>
  <si>
    <t xml:space="preserve">EXE-06-OPERATE-OUTF-1</t>
  </si>
  <si>
    <t xml:space="preserve">EXE-07-DESIGN-ROLE-1</t>
  </si>
  <si>
    <t xml:space="preserve">EXE-07-DESIGN-KPI-1</t>
  </si>
  <si>
    <t xml:space="preserve">EXE-07-DESIGN-KPI-2</t>
  </si>
  <si>
    <t xml:space="preserve">EXE-07-DESIGN-GOV-1</t>
  </si>
  <si>
    <t xml:space="preserve">EXE-07-DESIGN-ORG-1</t>
  </si>
  <si>
    <t xml:space="preserve">EXE-07-DESIGN-RES-1</t>
  </si>
  <si>
    <t xml:space="preserve">EXE-07-DESIGN-PROC-1</t>
  </si>
  <si>
    <t xml:space="preserve">EXE-07-BUILD-ROLE-1</t>
  </si>
  <si>
    <t xml:space="preserve">EXE-07-BUILD-KPI-1</t>
  </si>
  <si>
    <t xml:space="preserve">EXE-07-BUILD-KPI-2</t>
  </si>
  <si>
    <t xml:space="preserve">EXE-07-BUILD-GOV-1</t>
  </si>
  <si>
    <t xml:space="preserve">EXE-07-BUILD-GOV-2</t>
  </si>
  <si>
    <t xml:space="preserve">EXE-07-BUILD-GOV-3</t>
  </si>
  <si>
    <t xml:space="preserve">EXE-07-BUILD-ORG-1</t>
  </si>
  <si>
    <t xml:space="preserve">EXE-07-BUILD-ORG-2</t>
  </si>
  <si>
    <t xml:space="preserve">EXE-07-BUILD-ORG-3</t>
  </si>
  <si>
    <t xml:space="preserve">EXE-07-BUILD-RES-1</t>
  </si>
  <si>
    <t xml:space="preserve">EXE-07-BUILD-RES-2</t>
  </si>
  <si>
    <t xml:space="preserve">EXE-07-BUILD-RES-3</t>
  </si>
  <si>
    <t xml:space="preserve">EXE-07-BUILD-RES-4</t>
  </si>
  <si>
    <t xml:space="preserve">EXE-07-BUILD-PROC-1</t>
  </si>
  <si>
    <t xml:space="preserve">EXE-07-BUILD-OUT1-1</t>
  </si>
  <si>
    <t xml:space="preserve">EXE-07-OPERATE-KPI-1</t>
  </si>
  <si>
    <t xml:space="preserve">EXE-07-OPERATE-KPI-2</t>
  </si>
  <si>
    <t xml:space="preserve">EXE-07-OPERATE-GOV-1</t>
  </si>
  <si>
    <t xml:space="preserve">EXE-07-OPERATE-GOV-2</t>
  </si>
  <si>
    <t xml:space="preserve">EXE-07-OPERATE-GOV-3</t>
  </si>
  <si>
    <t xml:space="preserve">EXE-07-OPERATE-RES-1</t>
  </si>
  <si>
    <t xml:space="preserve">EXE-07-OPERATE-PROC-1</t>
  </si>
  <si>
    <t xml:space="preserve">EXE-07-OPERATE-OUTF-1</t>
  </si>
  <si>
    <t xml:space="preserve">EXE-08-DESIGN-ROLE-1</t>
  </si>
  <si>
    <t xml:space="preserve">EXE-08-DESIGN-KPI-1</t>
  </si>
  <si>
    <t xml:space="preserve">EXE-08-DESIGN-KPI-2</t>
  </si>
  <si>
    <t xml:space="preserve">EXE-08-DESIGN-GOV-1</t>
  </si>
  <si>
    <t xml:space="preserve">EXE-08-DESIGN-ORG-1</t>
  </si>
  <si>
    <t xml:space="preserve">EXE-08-DESIGN-RES-1</t>
  </si>
  <si>
    <t xml:space="preserve">EXE-08-DESIGN-PROC-1</t>
  </si>
  <si>
    <t xml:space="preserve">EXE-08-BUILD-ROLE-1</t>
  </si>
  <si>
    <t xml:space="preserve">EXE-08-BUILD-KPI-1</t>
  </si>
  <si>
    <t xml:space="preserve">EXE-08-BUILD-KPI-2</t>
  </si>
  <si>
    <t xml:space="preserve">EXE-08-BUILD-GOV-1</t>
  </si>
  <si>
    <t xml:space="preserve">EXE-08-BUILD-GOV-2</t>
  </si>
  <si>
    <t xml:space="preserve">EXE-08-BUILD-GOV-3</t>
  </si>
  <si>
    <t xml:space="preserve">EXE-08-BUILD-ORG-1</t>
  </si>
  <si>
    <t xml:space="preserve">EXE-08-BUILD-ORG-2</t>
  </si>
  <si>
    <t xml:space="preserve">EXE-08-BUILD-ORG-3</t>
  </si>
  <si>
    <t xml:space="preserve">EXE-08-BUILD-RES-1</t>
  </si>
  <si>
    <t xml:space="preserve">EXE-08-BUILD-RES-2</t>
  </si>
  <si>
    <t xml:space="preserve">EXE-08-BUILD-RES-3</t>
  </si>
  <si>
    <t xml:space="preserve">EXE-08-BUILD-RES-4</t>
  </si>
  <si>
    <t xml:space="preserve">EXE-08-BUILD-PROC-1</t>
  </si>
  <si>
    <t xml:space="preserve">EXE-08-BUILD-OUT1-1</t>
  </si>
  <si>
    <t xml:space="preserve">EXE-08-OPERATE-KPI-1</t>
  </si>
  <si>
    <t xml:space="preserve">EXE-08-OPERATE-KPI-2</t>
  </si>
  <si>
    <t xml:space="preserve">EXE-08-OPERATE-GOV-1</t>
  </si>
  <si>
    <t xml:space="preserve">EXE-08-OPERATE-GOV-2</t>
  </si>
  <si>
    <t xml:space="preserve">EXE-08-OPERATE-GOV-3</t>
  </si>
  <si>
    <t xml:space="preserve">EXE-08-OPERATE-RES-1</t>
  </si>
  <si>
    <t xml:space="preserve">EXE-08-OPERATE-PROC-1</t>
  </si>
  <si>
    <t xml:space="preserve">الملاحظات فييذا</t>
  </si>
  <si>
    <t xml:space="preserve">EXE-08-OPERATE-OUTF-1</t>
  </si>
  <si>
    <t xml:space="preserve">EXE-09-DESIGN-ROLE-1</t>
  </si>
  <si>
    <t xml:space="preserve">EXE-09-DESIGN-KPI-1</t>
  </si>
  <si>
    <t xml:space="preserve">EXE-09-DESIGN-KPI-2</t>
  </si>
  <si>
    <t xml:space="preserve">EXE-09-DESIGN-GOV-1</t>
  </si>
  <si>
    <t xml:space="preserve">EXE-09-DESIGN-ORG-1</t>
  </si>
  <si>
    <t xml:space="preserve">EXE-09-DESIGN-RES-1</t>
  </si>
  <si>
    <t xml:space="preserve">EXE-09-DESIGN-PROC-1</t>
  </si>
  <si>
    <t xml:space="preserve">EXE-09-BUILD-ROLE-1</t>
  </si>
  <si>
    <t xml:space="preserve">EXE-09-BUILD-KPI-1</t>
  </si>
  <si>
    <t xml:space="preserve">EXE-09-BUILD-KPI-2</t>
  </si>
  <si>
    <t xml:space="preserve">EXE-09-BUILD-GOV-1</t>
  </si>
  <si>
    <t xml:space="preserve">EXE-09-BUILD-GOV-2</t>
  </si>
  <si>
    <t xml:space="preserve">EXE-09-BUILD-GOV-3</t>
  </si>
  <si>
    <t xml:space="preserve">EXE-09-BUILD-ORG-1</t>
  </si>
  <si>
    <t xml:space="preserve">EXE-09-BUILD-ORG-2</t>
  </si>
  <si>
    <t xml:space="preserve">EXE-09-BUILD-ORG-3</t>
  </si>
  <si>
    <t xml:space="preserve">EXE-09-BUILD-RES-1</t>
  </si>
  <si>
    <t xml:space="preserve">EXE-09-BUILD-RES-2</t>
  </si>
  <si>
    <t xml:space="preserve">EXE-09-BUILD-RES-3</t>
  </si>
  <si>
    <t xml:space="preserve">EXE-09-BUILD-RES-4</t>
  </si>
  <si>
    <t xml:space="preserve">EXE-09-BUILD-PROC-1</t>
  </si>
  <si>
    <t xml:space="preserve">EXE-09-BUILD-OUT1-1</t>
  </si>
  <si>
    <t xml:space="preserve">EXE-09-OPERATE-KPI-1</t>
  </si>
  <si>
    <t xml:space="preserve">EXE-09-OPERATE-KPI-2</t>
  </si>
  <si>
    <t xml:space="preserve">EXE-09-OPERATE-GOV-1</t>
  </si>
  <si>
    <t xml:space="preserve">EXE-09-OPERATE-GOV-2</t>
  </si>
  <si>
    <t xml:space="preserve">EXE-09-OPERATE-GOV-3</t>
  </si>
  <si>
    <t xml:space="preserve">EXE-09-OPERATE-RES-1</t>
  </si>
  <si>
    <t xml:space="preserve">EXE-09-OPERATE-PROC-1</t>
  </si>
  <si>
    <t xml:space="preserve">EXE-09-OPERATE-OUTF-1</t>
  </si>
  <si>
    <t xml:space="preserve">EXE-10-DESIGN-ROLE-1</t>
  </si>
  <si>
    <t xml:space="preserve">EXE-10-DESIGN-KPI-1</t>
  </si>
  <si>
    <t xml:space="preserve">EXE-10-DESIGN-KPI-2</t>
  </si>
  <si>
    <t xml:space="preserve">EXE-10-DESIGN-GOV-1</t>
  </si>
  <si>
    <t xml:space="preserve">EXE-10-DESIGN-ORG-1</t>
  </si>
  <si>
    <t xml:space="preserve">EXE-10-DESIGN-RES-1</t>
  </si>
  <si>
    <t xml:space="preserve">EXE-10-DESIGN-PROC-1</t>
  </si>
  <si>
    <t xml:space="preserve">EXE-10-BUILD-ROLE-1</t>
  </si>
  <si>
    <t xml:space="preserve">EXE-10-BUILD-KPI-1</t>
  </si>
  <si>
    <t xml:space="preserve">EXE-10-BUILD-KPI-2</t>
  </si>
  <si>
    <t xml:space="preserve">EXE-10-BUILD-GOV-1</t>
  </si>
  <si>
    <t xml:space="preserve">EXE-10-BUILD-GOV-2</t>
  </si>
  <si>
    <t xml:space="preserve">EXE-10-BUILD-GOV-3</t>
  </si>
  <si>
    <t xml:space="preserve">EXE-10-BUILD-ORG-1</t>
  </si>
  <si>
    <t xml:space="preserve">EXE-10-BUILD-ORG-2</t>
  </si>
  <si>
    <t xml:space="preserve">EXE-10-BUILD-ORG-3</t>
  </si>
  <si>
    <t xml:space="preserve">EXE-10-BUILD-RES-1</t>
  </si>
  <si>
    <t xml:space="preserve">EXE-10-BUILD-RES-2</t>
  </si>
  <si>
    <t xml:space="preserve">EXE-10-BUILD-RES-3</t>
  </si>
  <si>
    <t xml:space="preserve">EXE-10-BUILD-RES-4</t>
  </si>
  <si>
    <t xml:space="preserve">EXE-10-BUILD-PROC-1</t>
  </si>
  <si>
    <t xml:space="preserve">EXE-10-BUILD-OUT1-1</t>
  </si>
  <si>
    <t xml:space="preserve">EXE-10-OPERATE-KPI-1</t>
  </si>
  <si>
    <t xml:space="preserve">EXE-10-OPERATE-KPI-2</t>
  </si>
  <si>
    <t xml:space="preserve">EXE-10-OPERATE-GOV-1</t>
  </si>
  <si>
    <t xml:space="preserve">EXE-10-OPERATE-GOV-2</t>
  </si>
  <si>
    <t xml:space="preserve">EXE-10-OPERATE-GOV-3</t>
  </si>
  <si>
    <t xml:space="preserve">EXE-10-OPERATE-RES-1</t>
  </si>
  <si>
    <t xml:space="preserve">EXE-10-OPERATE-PROC-1</t>
  </si>
  <si>
    <t xml:space="preserve">EXE-10-OPERATE-OUTF-1</t>
  </si>
  <si>
    <t xml:space="preserve">EXE-11-DESIGN-ROLE-1</t>
  </si>
  <si>
    <t xml:space="preserve">EXE-11-DESIGN-KPI-1</t>
  </si>
  <si>
    <t xml:space="preserve">EXE-11-DESIGN-KPI-2</t>
  </si>
  <si>
    <t xml:space="preserve">EXE-11-DESIGN-GOV-1</t>
  </si>
  <si>
    <t xml:space="preserve">EXE-11-DESIGN-ORG-1</t>
  </si>
  <si>
    <t xml:space="preserve">EXE-11-DESIGN-RES-1</t>
  </si>
  <si>
    <t xml:space="preserve">EXE-11-DESIGN-PROC-1</t>
  </si>
  <si>
    <t xml:space="preserve">EXE-11-BUILD-ROLE-1</t>
  </si>
  <si>
    <t xml:space="preserve">EXE-11-BUILD-KPI-1</t>
  </si>
  <si>
    <t xml:space="preserve">EXE-11-BUILD-KPI-2</t>
  </si>
  <si>
    <t xml:space="preserve">EXE-11-BUILD-GOV-1</t>
  </si>
  <si>
    <t xml:space="preserve">EXE-11-BUILD-GOV-2</t>
  </si>
  <si>
    <t xml:space="preserve">EXE-11-BUILD-GOV-3</t>
  </si>
  <si>
    <t xml:space="preserve">EXE-11-BUILD-ORG-1</t>
  </si>
  <si>
    <t xml:space="preserve">EXE-11-BUILD-ORG-2</t>
  </si>
  <si>
    <t xml:space="preserve">EXE-11-BUILD-ORG-3</t>
  </si>
  <si>
    <t xml:space="preserve">EXE-11-BUILD-RES-1</t>
  </si>
  <si>
    <t xml:space="preserve">EXE-11-BUILD-RES-2</t>
  </si>
  <si>
    <t xml:space="preserve">EXE-11-BUILD-RES-3</t>
  </si>
  <si>
    <t xml:space="preserve">EXE-11-BUILD-RES-4</t>
  </si>
  <si>
    <t xml:space="preserve">EXE-11-BUILD-PROC-1</t>
  </si>
  <si>
    <t xml:space="preserve">EXE-11-BUILD-OUT1-1</t>
  </si>
  <si>
    <t xml:space="preserve">EXE-11-OPERATE-KPI-1</t>
  </si>
  <si>
    <t xml:space="preserve">EXE-11-OPERATE-KPI-2</t>
  </si>
  <si>
    <t xml:space="preserve">EXE-11-OPERATE-GOV-1</t>
  </si>
  <si>
    <t xml:space="preserve">EXE-11-OPERATE-GOV-2</t>
  </si>
  <si>
    <t xml:space="preserve">EXE-11-OPERATE-GOV-3</t>
  </si>
  <si>
    <t xml:space="preserve">EXE-11-OPERATE-RES-1</t>
  </si>
  <si>
    <t xml:space="preserve">EXE-11-OPERATE-PROC-1</t>
  </si>
  <si>
    <t xml:space="preserve">EXE-11-OPERATE-OUTF-1</t>
  </si>
  <si>
    <t xml:space="preserve">EXE-12-DESIGN-ROLE-1</t>
  </si>
  <si>
    <t xml:space="preserve">EXE-12-DESIGN-KPI-1</t>
  </si>
  <si>
    <t xml:space="preserve">EXE-12-DESIGN-KPI-2</t>
  </si>
  <si>
    <t xml:space="preserve">EXE-12-DESIGN-GOV-1</t>
  </si>
  <si>
    <t xml:space="preserve">EXE-12-DESIGN-ORG-1</t>
  </si>
  <si>
    <t xml:space="preserve">EXE-12-DESIGN-RES-1</t>
  </si>
  <si>
    <t xml:space="preserve">EXE-12-DESIGN-PROC-1</t>
  </si>
  <si>
    <t xml:space="preserve">EXE-12-BUILD-ROLE-1</t>
  </si>
  <si>
    <t xml:space="preserve">EXE-12-BUILD-KPI-1</t>
  </si>
  <si>
    <t xml:space="preserve">EXE-12-BUILD-KPI-2</t>
  </si>
  <si>
    <t xml:space="preserve">EXE-12-BUILD-GOV-1</t>
  </si>
  <si>
    <t xml:space="preserve">EXE-12-BUILD-GOV-2</t>
  </si>
  <si>
    <t xml:space="preserve">EXE-12-BUILD-GOV-3</t>
  </si>
  <si>
    <t xml:space="preserve">EXE-12-BUILD-ORG-1</t>
  </si>
  <si>
    <t xml:space="preserve">EXE-12-BUILD-ORG-2</t>
  </si>
  <si>
    <t xml:space="preserve">EXE-12-BUILD-ORG-3</t>
  </si>
  <si>
    <t xml:space="preserve">EXE-12-BUILD-RES-1</t>
  </si>
  <si>
    <t xml:space="preserve">EXE-12-BUILD-RES-2</t>
  </si>
  <si>
    <t xml:space="preserve">EXE-12-BUILD-RES-3</t>
  </si>
  <si>
    <t xml:space="preserve">EXE-12-BUILD-RES-4</t>
  </si>
  <si>
    <t xml:space="preserve">EXE-12-BUILD-PROC-1</t>
  </si>
  <si>
    <t xml:space="preserve">EXE-12-BUILD-OUT1-1</t>
  </si>
  <si>
    <t xml:space="preserve">EXE-12-OPERATE-KPI-1</t>
  </si>
  <si>
    <t xml:space="preserve">EXE-12-OPERATE-KPI-2</t>
  </si>
  <si>
    <t xml:space="preserve">EXE-12-OPERATE-GOV-1</t>
  </si>
  <si>
    <t xml:space="preserve">EXE-12-OPERATE-GOV-2</t>
  </si>
  <si>
    <t xml:space="preserve">EXE-12-OPERATE-GOV-3</t>
  </si>
  <si>
    <t xml:space="preserve">EXE-12-OPERATE-RES-1</t>
  </si>
  <si>
    <t xml:space="preserve">EXE-12-OPERATE-PROC-1</t>
  </si>
  <si>
    <t xml:space="preserve">EXE-12-OPERATE-OUTF-1</t>
  </si>
  <si>
    <t xml:space="preserve">EXE-13-DESIGN-ROLE-1</t>
  </si>
  <si>
    <t xml:space="preserve">EXE-13-DESIGN-KPI-1</t>
  </si>
  <si>
    <t xml:space="preserve">EXE-13-DESIGN-KPI-2</t>
  </si>
  <si>
    <t xml:space="preserve">EXE-13-DESIGN-GOV-1</t>
  </si>
  <si>
    <t xml:space="preserve">EXE-13-DESIGN-ORG-1</t>
  </si>
  <si>
    <t xml:space="preserve">EXE-13-DESIGN-RES-1</t>
  </si>
  <si>
    <t xml:space="preserve">EXE-13-DESIGN-PROC-1</t>
  </si>
  <si>
    <t xml:space="preserve">EXE-13-BUILD-ROLE-1</t>
  </si>
  <si>
    <t xml:space="preserve">EXE-13-BUILD-KPI-1</t>
  </si>
  <si>
    <t xml:space="preserve">EXE-13-BUILD-KPI-2</t>
  </si>
  <si>
    <t xml:space="preserve">EXE-13-BUILD-GOV-1</t>
  </si>
  <si>
    <t xml:space="preserve">EXE-13-BUILD-GOV-2</t>
  </si>
  <si>
    <t xml:space="preserve">EXE-13-BUILD-GOV-3</t>
  </si>
  <si>
    <t xml:space="preserve">EXE-13-BUILD-ORG-1</t>
  </si>
  <si>
    <t xml:space="preserve">EXE-13-BUILD-ORG-2</t>
  </si>
  <si>
    <t xml:space="preserve">EXE-13-BUILD-ORG-3</t>
  </si>
  <si>
    <t xml:space="preserve">EXE-13-BUILD-RES-1</t>
  </si>
  <si>
    <t xml:space="preserve">EXE-13-BUILD-RES-2</t>
  </si>
  <si>
    <t xml:space="preserve">EXE-13-BUILD-RES-3</t>
  </si>
  <si>
    <t xml:space="preserve">EXE-13-BUILD-RES-4</t>
  </si>
  <si>
    <t xml:space="preserve">EXE-13-BUILD-PROC-1</t>
  </si>
  <si>
    <t xml:space="preserve">EXE-13-BUILD-OUT1-1</t>
  </si>
  <si>
    <t xml:space="preserve">EXE-13-OPERATE-KPI-1</t>
  </si>
  <si>
    <t xml:space="preserve">EXE-13-OPERATE-KPI-2</t>
  </si>
  <si>
    <t xml:space="preserve">EXE-13-OPERATE-GOV-1</t>
  </si>
  <si>
    <t xml:space="preserve">EXE-13-OPERATE-GOV-2</t>
  </si>
  <si>
    <t xml:space="preserve">EXE-13-OPERATE-GOV-3</t>
  </si>
  <si>
    <t xml:space="preserve">EXE-13-OPERATE-RES-1</t>
  </si>
  <si>
    <t xml:space="preserve">EXE-13-OPERATE-PROC-1</t>
  </si>
  <si>
    <t xml:space="preserve">EXE-13-OPERATE-OUTF-1</t>
  </si>
  <si>
    <t xml:space="preserve">EXE-14-DESIGN-ROLE-1</t>
  </si>
  <si>
    <t xml:space="preserve">EXE-14-DESIGN-KPI-1</t>
  </si>
  <si>
    <t xml:space="preserve">EXE-14-DESIGN-KPI-2</t>
  </si>
  <si>
    <t xml:space="preserve">EXE-14-DESIGN-GOV-1</t>
  </si>
  <si>
    <t xml:space="preserve">EXE-14-DESIGN-ORG-1</t>
  </si>
  <si>
    <t xml:space="preserve">EXE-14-DESIGN-RES-1</t>
  </si>
  <si>
    <t xml:space="preserve">EXE-14-DESIGN-PROC-1</t>
  </si>
  <si>
    <t xml:space="preserve">EXE-14-BUILD-ROLE-1</t>
  </si>
  <si>
    <t xml:space="preserve">EXE-14-BUILD-KPI-1</t>
  </si>
  <si>
    <t xml:space="preserve">EXE-14-BUILD-KPI-2</t>
  </si>
  <si>
    <t xml:space="preserve">EXE-14-BUILD-GOV-1</t>
  </si>
  <si>
    <t xml:space="preserve">EXE-14-BUILD-GOV-2</t>
  </si>
  <si>
    <t xml:space="preserve">EXE-14-BUILD-GOV-3</t>
  </si>
  <si>
    <t xml:space="preserve">EXE-14-BUILD-ORG-1</t>
  </si>
  <si>
    <t xml:space="preserve">EXE-14-BUILD-ORG-2</t>
  </si>
  <si>
    <t xml:space="preserve">EXE-14-BUILD-ORG-3</t>
  </si>
  <si>
    <t xml:space="preserve">EXE-14-BUILD-RES-1</t>
  </si>
  <si>
    <t xml:space="preserve">EXE-14-BUILD-RES-2</t>
  </si>
  <si>
    <t xml:space="preserve">EXE-14-BUILD-RES-3</t>
  </si>
  <si>
    <t xml:space="preserve">EXE-14-BUILD-RES-4</t>
  </si>
  <si>
    <t xml:space="preserve">EXE-14-BUILD-PROC-1</t>
  </si>
  <si>
    <t xml:space="preserve">EXE-14-BUILD-OUT1-1</t>
  </si>
  <si>
    <t xml:space="preserve">EXE-14-OPERATE-KPI-1</t>
  </si>
  <si>
    <t xml:space="preserve">EXE-14-OPERATE-KPI-2</t>
  </si>
  <si>
    <t xml:space="preserve">EXE-14-OPERATE-GOV-1</t>
  </si>
  <si>
    <t xml:space="preserve">EXE-14-OPERATE-GOV-2</t>
  </si>
  <si>
    <t xml:space="preserve">EXE-14-OPERATE-GOV-3</t>
  </si>
  <si>
    <t xml:space="preserve">EXE-14-OPERATE-RES-1</t>
  </si>
  <si>
    <t xml:space="preserve">EXE-14-OPERATE-PROC-1</t>
  </si>
  <si>
    <t xml:space="preserve">EXE-14-OPERATE-OUTF-1</t>
  </si>
  <si>
    <t xml:space="preserve">MIL-01-DESIGN-ROLE-1</t>
  </si>
  <si>
    <t xml:space="preserve">MIL-01-DESIGN-KPI-1</t>
  </si>
  <si>
    <t xml:space="preserve">MIL-01-DESIGN-KPI-2</t>
  </si>
  <si>
    <t xml:space="preserve">MIL-01-DESIGN-GOV-1</t>
  </si>
  <si>
    <t xml:space="preserve">MIL-01-DESIGN-ORG-1</t>
  </si>
  <si>
    <t xml:space="preserve">MIL-01-DESIGN-RES-1</t>
  </si>
  <si>
    <t xml:space="preserve">MIL-01-DESIGN-PROC-1</t>
  </si>
  <si>
    <t xml:space="preserve">MIL-01-BUILD-ROLE-1</t>
  </si>
  <si>
    <t xml:space="preserve">MIL-01-BUILD-KPI-1</t>
  </si>
  <si>
    <t xml:space="preserve">MIL-01-BUILD-KPI-2</t>
  </si>
  <si>
    <t xml:space="preserve">MIL-01-BUILD-GOV-1</t>
  </si>
  <si>
    <t xml:space="preserve">MIL-01-BUILD-GOV-2</t>
  </si>
  <si>
    <t xml:space="preserve">MIL-01-BUILD-GOV-3</t>
  </si>
  <si>
    <t xml:space="preserve">MIL-01-BUILD-ORG-1</t>
  </si>
  <si>
    <t xml:space="preserve">MIL-01-BUILD-ORG-2</t>
  </si>
  <si>
    <t xml:space="preserve">MIL-01-BUILD-ORG-3</t>
  </si>
  <si>
    <t xml:space="preserve">MIL-01-BUILD-RES-1</t>
  </si>
  <si>
    <t xml:space="preserve">MIL-01-BUILD-RES-2</t>
  </si>
  <si>
    <t xml:space="preserve">MIL-01-BUILD-RES-3</t>
  </si>
  <si>
    <t xml:space="preserve">MIL-01-BUILD-RES-4</t>
  </si>
  <si>
    <t xml:space="preserve">MIL-01-BUILD-PROC-1</t>
  </si>
  <si>
    <t xml:space="preserve">MIL-01-BUILD-OUT1-1</t>
  </si>
  <si>
    <t xml:space="preserve">MIL-01-OPERATE-KPI-1</t>
  </si>
  <si>
    <t xml:space="preserve">MIL-01-OPERATE-KPI-2</t>
  </si>
  <si>
    <t xml:space="preserve">MIL-01-OPERATE-GOV-1</t>
  </si>
  <si>
    <t xml:space="preserve">MIL-01-OPERATE-GOV-2</t>
  </si>
  <si>
    <t xml:space="preserve">MIL-01-OPERATE-GOV-3</t>
  </si>
  <si>
    <t xml:space="preserve">MIL-01-OPERATE-RES-1</t>
  </si>
  <si>
    <t xml:space="preserve">MIL-01-OPERATE-PROC-1</t>
  </si>
  <si>
    <t xml:space="preserve">MIL-01-OPERATE-OUTF-1</t>
  </si>
  <si>
    <t xml:space="preserve">MIL-02-DESIGN-ROLE-1</t>
  </si>
  <si>
    <t xml:space="preserve">MIL-02-DESIGN-KPI-1</t>
  </si>
  <si>
    <t xml:space="preserve">MIL-02-DESIGN-KPI-2</t>
  </si>
  <si>
    <t xml:space="preserve">MIL-02-DESIGN-GOV-1</t>
  </si>
  <si>
    <t xml:space="preserve">MIL-02-DESIGN-ORG-1</t>
  </si>
  <si>
    <t xml:space="preserve">MIL-02-DESIGN-RES-1</t>
  </si>
  <si>
    <t xml:space="preserve">MIL-02-DESIGN-PROC-1</t>
  </si>
  <si>
    <t xml:space="preserve">MIL-02-BUILD-ROLE-1</t>
  </si>
  <si>
    <t xml:space="preserve">MIL-02-BUILD-KPI-1</t>
  </si>
  <si>
    <t xml:space="preserve">MIL-02-BUILD-KPI-2</t>
  </si>
  <si>
    <t xml:space="preserve">MIL-02-BUILD-GOV-1</t>
  </si>
  <si>
    <t xml:space="preserve">MIL-02-BUILD-GOV-2</t>
  </si>
  <si>
    <t xml:space="preserve">MIL-02-BUILD-GOV-3</t>
  </si>
  <si>
    <t xml:space="preserve">MIL-02-BUILD-ORG-1</t>
  </si>
  <si>
    <t xml:space="preserve">MIL-02-BUILD-ORG-2</t>
  </si>
  <si>
    <t xml:space="preserve">MIL-02-BUILD-ORG-3</t>
  </si>
  <si>
    <t xml:space="preserve">MIL-02-BUILD-RES-1</t>
  </si>
  <si>
    <t xml:space="preserve">MIL-02-BUILD-RES-2</t>
  </si>
  <si>
    <t xml:space="preserve">MIL-02-BUILD-RES-3</t>
  </si>
  <si>
    <t xml:space="preserve">MIL-02-BUILD-RES-4</t>
  </si>
  <si>
    <t xml:space="preserve">MIL-02-BUILD-PROC-1</t>
  </si>
  <si>
    <t xml:space="preserve">MIL-02-BUILD-OUT1-1</t>
  </si>
  <si>
    <t xml:space="preserve">MIL-02-OPERATE-KPI-1</t>
  </si>
  <si>
    <t xml:space="preserve">MIL-02-OPERATE-KPI-2</t>
  </si>
  <si>
    <t xml:space="preserve">MIL-02-OPERATE-GOV-1</t>
  </si>
  <si>
    <t xml:space="preserve">MIL-02-OPERATE-GOV-2</t>
  </si>
  <si>
    <t xml:space="preserve">MIL-02-OPERATE-GOV-3</t>
  </si>
  <si>
    <t xml:space="preserve">MIL-02-OPERATE-RES-1</t>
  </si>
  <si>
    <t xml:space="preserve">MIL-02-OPERATE-PROC-1</t>
  </si>
  <si>
    <t xml:space="preserve">MIL-02-OPERATE-OUTF-1</t>
  </si>
  <si>
    <t xml:space="preserve">MIL-03-DESIGN-ROLE-1</t>
  </si>
  <si>
    <t xml:space="preserve">MIL-03-DESIGN-KPI-1</t>
  </si>
  <si>
    <t xml:space="preserve">MIL-03-DESIGN-KPI-2</t>
  </si>
  <si>
    <t xml:space="preserve">MIL-03-DESIGN-GOV-1</t>
  </si>
  <si>
    <t xml:space="preserve">MIL-03-DESIGN-ORG-1</t>
  </si>
  <si>
    <t xml:space="preserve">MIL-03-DESIGN-RES-1</t>
  </si>
  <si>
    <t xml:space="preserve">MIL-03-DESIGN-PROC-1</t>
  </si>
  <si>
    <t xml:space="preserve">MIL-03-BUILD-ROLE-1</t>
  </si>
  <si>
    <t xml:space="preserve">MIL-03-BUILD-KPI-1</t>
  </si>
  <si>
    <t xml:space="preserve">MIL-03-BUILD-KPI-2</t>
  </si>
  <si>
    <t xml:space="preserve">MIL-03-BUILD-GOV-1</t>
  </si>
  <si>
    <t xml:space="preserve">MIL-03-BUILD-GOV-2</t>
  </si>
  <si>
    <t xml:space="preserve">MIL-03-BUILD-GOV-3</t>
  </si>
  <si>
    <t xml:space="preserve">MIL-03-BUILD-ORG-1</t>
  </si>
  <si>
    <t xml:space="preserve">MIL-03-BUILD-ORG-2</t>
  </si>
  <si>
    <t xml:space="preserve">MIL-03-BUILD-ORG-3</t>
  </si>
  <si>
    <t xml:space="preserve">MIL-03-BUILD-RES-1</t>
  </si>
  <si>
    <t xml:space="preserve">MIL-03-BUILD-RES-2</t>
  </si>
  <si>
    <t xml:space="preserve">MIL-03-BUILD-RES-3</t>
  </si>
  <si>
    <t xml:space="preserve">MIL-03-BUILD-RES-4</t>
  </si>
  <si>
    <t xml:space="preserve">MIL-03-BUILD-PROC-1</t>
  </si>
  <si>
    <t xml:space="preserve">MIL-03-BUILD-OUT1-1</t>
  </si>
  <si>
    <t xml:space="preserve">MIL-03-OPERATE-KPI-1</t>
  </si>
  <si>
    <t xml:space="preserve">MIL-03-OPERATE-KPI-2</t>
  </si>
  <si>
    <t xml:space="preserve">MIL-03-OPERATE-GOV-1</t>
  </si>
  <si>
    <t xml:space="preserve">MIL-03-OPERATE-GOV-2</t>
  </si>
  <si>
    <t xml:space="preserve">MIL-03-OPERATE-GOV-3</t>
  </si>
  <si>
    <t xml:space="preserve">MIL-03-OPERATE-RES-1</t>
  </si>
  <si>
    <t xml:space="preserve">MIL-03-OPERATE-PROC-1</t>
  </si>
  <si>
    <t xml:space="preserve">MIL-03-OPERATE-OUTF-1</t>
  </si>
  <si>
    <t xml:space="preserve">MIL-04-DESIGN-ROLE-1</t>
  </si>
  <si>
    <t xml:space="preserve">MIL-04-DESIGN-KPI-1</t>
  </si>
  <si>
    <t xml:space="preserve">MIL-04-DESIGN-KPI-2</t>
  </si>
  <si>
    <t xml:space="preserve">MIL-04-DESIGN-GOV-1</t>
  </si>
  <si>
    <t xml:space="preserve">MIL-04-DESIGN-ORG-1</t>
  </si>
  <si>
    <t xml:space="preserve">MIL-04-DESIGN-RES-1</t>
  </si>
  <si>
    <t xml:space="preserve">MIL-04-DESIGN-PROC-1</t>
  </si>
  <si>
    <t xml:space="preserve">MIL-04-BUILD-ROLE-1</t>
  </si>
  <si>
    <t xml:space="preserve">MIL-04-BUILD-KPI-1</t>
  </si>
  <si>
    <t xml:space="preserve">MIL-04-BUILD-KPI-2</t>
  </si>
  <si>
    <t xml:space="preserve">MIL-04-BUILD-GOV-1</t>
  </si>
  <si>
    <t xml:space="preserve">MIL-04-BUILD-GOV-2</t>
  </si>
  <si>
    <t xml:space="preserve">MIL-04-BUILD-GOV-3</t>
  </si>
  <si>
    <t xml:space="preserve">MIL-04-BUILD-ORG-1</t>
  </si>
  <si>
    <t xml:space="preserve">MIL-04-BUILD-ORG-2</t>
  </si>
  <si>
    <t xml:space="preserve">MIL-04-BUILD-ORG-3</t>
  </si>
  <si>
    <t xml:space="preserve">MIL-04-BUILD-RES-1</t>
  </si>
  <si>
    <t xml:space="preserve">MIL-04-BUILD-RES-2</t>
  </si>
  <si>
    <t xml:space="preserve">MIL-04-BUILD-RES-3</t>
  </si>
  <si>
    <t xml:space="preserve">MIL-04-BUILD-RES-4</t>
  </si>
  <si>
    <t xml:space="preserve">MIL-04-BUILD-PROC-1</t>
  </si>
  <si>
    <t xml:space="preserve">MIL-04-BUILD-OUT1-1</t>
  </si>
  <si>
    <t xml:space="preserve">MIL-04-OPERATE-KPI-1</t>
  </si>
  <si>
    <t xml:space="preserve">MIL-04-OPERATE-KPI-2</t>
  </si>
  <si>
    <t xml:space="preserve">MIL-04-OPERATE-GOV-1</t>
  </si>
  <si>
    <t xml:space="preserve">MIL-04-OPERATE-GOV-2</t>
  </si>
  <si>
    <t xml:space="preserve">MIL-04-OPERATE-GOV-3</t>
  </si>
  <si>
    <t xml:space="preserve">MIL-04-OPERATE-RES-1</t>
  </si>
  <si>
    <t xml:space="preserve">MIL-04-OPERATE-PROC-1</t>
  </si>
  <si>
    <t xml:space="preserve">MIL-04-OPERATE-OUTF-1</t>
  </si>
  <si>
    <t xml:space="preserve">MIL-05-DESIGN-ROLE-1</t>
  </si>
  <si>
    <t xml:space="preserve">MIL-05-DESIGN-KPI-1</t>
  </si>
  <si>
    <t xml:space="preserve">MIL-05-DESIGN-KPI-2</t>
  </si>
  <si>
    <t xml:space="preserve">MIL-05-DESIGN-GOV-1</t>
  </si>
  <si>
    <t xml:space="preserve">MIL-05-DESIGN-ORG-1</t>
  </si>
  <si>
    <t xml:space="preserve">MIL-05-DESIGN-RES-1</t>
  </si>
  <si>
    <t xml:space="preserve">MIL-05-DESIGN-PROC-1</t>
  </si>
  <si>
    <t xml:space="preserve">MIL-05-BUILD-ROLE-1</t>
  </si>
  <si>
    <t xml:space="preserve">MIL-05-BUILD-KPI-1</t>
  </si>
  <si>
    <t xml:space="preserve">MIL-05-BUILD-KPI-2</t>
  </si>
  <si>
    <t xml:space="preserve">MIL-05-BUILD-GOV-1</t>
  </si>
  <si>
    <t xml:space="preserve">MIL-05-BUILD-GOV-2</t>
  </si>
  <si>
    <t xml:space="preserve">MIL-05-BUILD-GOV-3</t>
  </si>
  <si>
    <t xml:space="preserve">MIL-05-BUILD-ORG-1</t>
  </si>
  <si>
    <t xml:space="preserve">MIL-05-BUILD-ORG-2</t>
  </si>
  <si>
    <t xml:space="preserve">MIL-05-BUILD-ORG-3</t>
  </si>
  <si>
    <t xml:space="preserve">MIL-05-BUILD-RES-1</t>
  </si>
  <si>
    <t xml:space="preserve">MIL-05-BUILD-RES-2</t>
  </si>
  <si>
    <t xml:space="preserve">MIL-05-BUILD-RES-3</t>
  </si>
  <si>
    <t xml:space="preserve">MIL-05-BUILD-RES-4</t>
  </si>
  <si>
    <t xml:space="preserve">MIL-05-BUILD-PROC-1</t>
  </si>
  <si>
    <t xml:space="preserve">MIL-05-BUILD-OUT1-1</t>
  </si>
  <si>
    <t xml:space="preserve">MIL-05-OPERATE-KPI-1</t>
  </si>
  <si>
    <t xml:space="preserve">MIL-05-OPERATE-KPI-2</t>
  </si>
  <si>
    <t xml:space="preserve">MIL-05-OPERATE-GOV-1</t>
  </si>
  <si>
    <t xml:space="preserve">MIL-05-OPERATE-GOV-2</t>
  </si>
  <si>
    <t xml:space="preserve">MIL-05-OPERATE-GOV-3</t>
  </si>
  <si>
    <t xml:space="preserve">MIL-05-OPERATE-RES-1</t>
  </si>
  <si>
    <t xml:space="preserve">MIL-05-OPERATE-PROC-1</t>
  </si>
  <si>
    <t xml:space="preserve">MIL-05-OPERATE-OUTF-1</t>
  </si>
  <si>
    <t xml:space="preserve">MIL-06-DESIGN-ROLE-1</t>
  </si>
  <si>
    <t xml:space="preserve">MIL-06-DESIGN-KPI-1</t>
  </si>
  <si>
    <t xml:space="preserve">MIL-06-DESIGN-KPI-2</t>
  </si>
  <si>
    <t xml:space="preserve">MIL-06-DESIGN-GOV-1</t>
  </si>
  <si>
    <t xml:space="preserve">MIL-06-DESIGN-ORG-1</t>
  </si>
  <si>
    <t xml:space="preserve">MIL-06-DESIGN-RES-1</t>
  </si>
  <si>
    <t xml:space="preserve">MIL-06-DESIGN-PROC-1</t>
  </si>
  <si>
    <t xml:space="preserve">MIL-06-BUILD-ROLE-1</t>
  </si>
  <si>
    <t xml:space="preserve">MIL-06-BUILD-KPI-1</t>
  </si>
  <si>
    <t xml:space="preserve">MIL-06-BUILD-KPI-2</t>
  </si>
  <si>
    <t xml:space="preserve">MIL-06-BUILD-GOV-1</t>
  </si>
  <si>
    <t xml:space="preserve">MIL-06-BUILD-GOV-2</t>
  </si>
  <si>
    <t xml:space="preserve">MIL-06-BUILD-GOV-3</t>
  </si>
  <si>
    <t xml:space="preserve">MIL-06-BUILD-ORG-1</t>
  </si>
  <si>
    <t xml:space="preserve">MIL-06-BUILD-ORG-2</t>
  </si>
  <si>
    <t xml:space="preserve">MIL-06-BUILD-ORG-3</t>
  </si>
  <si>
    <t xml:space="preserve">MIL-06-BUILD-RES-1</t>
  </si>
  <si>
    <t xml:space="preserve">MIL-06-BUILD-RES-2</t>
  </si>
  <si>
    <t xml:space="preserve">MIL-06-BUILD-RES-3</t>
  </si>
  <si>
    <t xml:space="preserve">MIL-06-BUILD-RES-4</t>
  </si>
  <si>
    <t xml:space="preserve">MIL-06-BUILD-PROC-1</t>
  </si>
  <si>
    <t xml:space="preserve">MIL-06-BUILD-OUT1-1</t>
  </si>
  <si>
    <t xml:space="preserve">MIL-06-OPERATE-KPI-1</t>
  </si>
  <si>
    <t xml:space="preserve">MIL-06-OPERATE-KPI-2</t>
  </si>
  <si>
    <t xml:space="preserve">MIL-06-OPERATE-GOV-1</t>
  </si>
  <si>
    <t xml:space="preserve">MIL-06-OPERATE-GOV-2</t>
  </si>
  <si>
    <t xml:space="preserve">MIL-06-OPERATE-GOV-3</t>
  </si>
  <si>
    <t xml:space="preserve">MIL-06-OPERATE-RES-1</t>
  </si>
  <si>
    <t xml:space="preserve">MIL-06-OPERATE-PROC-1</t>
  </si>
  <si>
    <t xml:space="preserve">MIL-06-OPERATE-OUTF-1</t>
  </si>
  <si>
    <t xml:space="preserve">MIL-07-DESIGN-ROLE-1</t>
  </si>
  <si>
    <t xml:space="preserve">MIL-07-DESIGN-KPI-1</t>
  </si>
  <si>
    <t xml:space="preserve">MIL-07-DESIGN-KPI-2</t>
  </si>
  <si>
    <t xml:space="preserve">MIL-07-DESIGN-GOV-1</t>
  </si>
  <si>
    <t xml:space="preserve">MIL-07-DESIGN-ORG-1</t>
  </si>
  <si>
    <t xml:space="preserve">MIL-07-DESIGN-RES-1</t>
  </si>
  <si>
    <t xml:space="preserve">MIL-07-DESIGN-PROC-1</t>
  </si>
  <si>
    <t xml:space="preserve">MIL-07-BUILD-ROLE-1</t>
  </si>
  <si>
    <t xml:space="preserve">MIL-07-BUILD-KPI-1</t>
  </si>
  <si>
    <t xml:space="preserve">MIL-07-BUILD-KPI-2</t>
  </si>
  <si>
    <t xml:space="preserve">MIL-07-BUILD-GOV-1</t>
  </si>
  <si>
    <t xml:space="preserve">MIL-07-BUILD-GOV-2</t>
  </si>
  <si>
    <t xml:space="preserve">MIL-07-BUILD-GOV-3</t>
  </si>
  <si>
    <t xml:space="preserve">MIL-07-BUILD-ORG-1</t>
  </si>
  <si>
    <t xml:space="preserve">MIL-07-BUILD-ORG-2</t>
  </si>
  <si>
    <t xml:space="preserve">MIL-07-BUILD-ORG-3</t>
  </si>
  <si>
    <t xml:space="preserve">MIL-07-BUILD-RES-1</t>
  </si>
  <si>
    <t xml:space="preserve">MIL-07-BUILD-RES-2</t>
  </si>
  <si>
    <t xml:space="preserve">MIL-07-BUILD-RES-3</t>
  </si>
  <si>
    <t xml:space="preserve">MIL-07-BUILD-RES-4</t>
  </si>
  <si>
    <t xml:space="preserve">MIL-07-BUILD-PROC-1</t>
  </si>
  <si>
    <t xml:space="preserve">MIL-07-BUILD-OUT1-1</t>
  </si>
  <si>
    <t xml:space="preserve">MIL-07-OPERATE-KPI-1</t>
  </si>
  <si>
    <t xml:space="preserve">MIL-07-OPERATE-KPI-2</t>
  </si>
  <si>
    <t xml:space="preserve">MIL-07-OPERATE-GOV-1</t>
  </si>
  <si>
    <t xml:space="preserve">MIL-07-OPERATE-GOV-2</t>
  </si>
  <si>
    <t xml:space="preserve">MIL-07-OPERATE-GOV-3</t>
  </si>
  <si>
    <t xml:space="preserve">MIL-07-OPERATE-RES-1</t>
  </si>
  <si>
    <t xml:space="preserve">MIL-07-OPERATE-PROC-1</t>
  </si>
  <si>
    <t xml:space="preserve">MIL-07-OPERATE-OUTF-1</t>
  </si>
  <si>
    <t xml:space="preserve">MIL-08-DESIGN-ROLE-1</t>
  </si>
  <si>
    <t xml:space="preserve">MIL-08-DESIGN-KPI-1</t>
  </si>
  <si>
    <t xml:space="preserve">MIL-08-DESIGN-KPI-2</t>
  </si>
  <si>
    <t xml:space="preserve">MIL-08-DESIGN-GOV-1</t>
  </si>
  <si>
    <t xml:space="preserve">MIL-08-DESIGN-ORG-1</t>
  </si>
  <si>
    <t xml:space="preserve">MIL-08-DESIGN-RES-1</t>
  </si>
  <si>
    <t xml:space="preserve">MIL-08-DESIGN-PROC-1</t>
  </si>
  <si>
    <t xml:space="preserve">MIL-08-BUILD-ROLE-1</t>
  </si>
  <si>
    <t xml:space="preserve">MIL-08-BUILD-KPI-1</t>
  </si>
  <si>
    <t xml:space="preserve">MIL-08-BUILD-KPI-2</t>
  </si>
  <si>
    <t xml:space="preserve">MIL-08-BUILD-GOV-1</t>
  </si>
  <si>
    <t xml:space="preserve">MIL-08-BUILD-GOV-2</t>
  </si>
  <si>
    <t xml:space="preserve">MIL-08-BUILD-GOV-3</t>
  </si>
  <si>
    <t xml:space="preserve">MIL-08-BUILD-ORG-1</t>
  </si>
  <si>
    <t xml:space="preserve">MIL-08-BUILD-ORG-2</t>
  </si>
  <si>
    <t xml:space="preserve">MIL-08-BUILD-ORG-3</t>
  </si>
  <si>
    <t xml:space="preserve">MIL-08-BUILD-RES-1</t>
  </si>
  <si>
    <t xml:space="preserve">MIL-08-BUILD-RES-2</t>
  </si>
  <si>
    <t xml:space="preserve">MIL-08-BUILD-RES-3</t>
  </si>
  <si>
    <t xml:space="preserve">MIL-08-BUILD-RES-4</t>
  </si>
  <si>
    <t xml:space="preserve">MIL-08-BUILD-PROC-1</t>
  </si>
  <si>
    <t xml:space="preserve">MIL-08-BUILD-OUT1-1</t>
  </si>
  <si>
    <t xml:space="preserve">MIL-08-OPERATE-KPI-1</t>
  </si>
  <si>
    <t xml:space="preserve">MIL-08-OPERATE-KPI-2</t>
  </si>
  <si>
    <t xml:space="preserve">MIL-08-OPERATE-GOV-1</t>
  </si>
  <si>
    <t xml:space="preserve">MIL-08-OPERATE-GOV-2</t>
  </si>
  <si>
    <t xml:space="preserve">MIL-08-OPERATE-GOV-3</t>
  </si>
  <si>
    <t xml:space="preserve">MIL-08-OPERATE-RES-1</t>
  </si>
  <si>
    <t xml:space="preserve">MIL-08-OPERATE-PROC-1</t>
  </si>
  <si>
    <t xml:space="preserve">MIL-08-OPERATE-OUTF-1</t>
  </si>
  <si>
    <t xml:space="preserve">MIL-09-DESIGN-ROLE-1</t>
  </si>
  <si>
    <t xml:space="preserve">MIL-09-DESIGN-KPI-1</t>
  </si>
  <si>
    <t xml:space="preserve">MIL-09-DESIGN-KPI-2</t>
  </si>
  <si>
    <t xml:space="preserve">MIL-09-DESIGN-GOV-1</t>
  </si>
  <si>
    <t xml:space="preserve">MIL-09-DESIGN-ORG-1</t>
  </si>
  <si>
    <t xml:space="preserve">MIL-09-DESIGN-RES-1</t>
  </si>
  <si>
    <t xml:space="preserve">MIL-09-DESIGN-PROC-1</t>
  </si>
  <si>
    <t xml:space="preserve">MIL-09-BUILD-ROLE-1</t>
  </si>
  <si>
    <t xml:space="preserve">MIL-09-BUILD-KPI-1</t>
  </si>
  <si>
    <t xml:space="preserve">MIL-09-BUILD-KPI-2</t>
  </si>
  <si>
    <t xml:space="preserve">MIL-09-BUILD-GOV-1</t>
  </si>
  <si>
    <t xml:space="preserve">MIL-09-BUILD-GOV-2</t>
  </si>
  <si>
    <t xml:space="preserve">MIL-09-BUILD-GOV-3</t>
  </si>
  <si>
    <t xml:space="preserve">MIL-09-BUILD-ORG-1</t>
  </si>
  <si>
    <t xml:space="preserve">MIL-09-BUILD-ORG-2</t>
  </si>
  <si>
    <t xml:space="preserve">MIL-09-BUILD-ORG-3</t>
  </si>
  <si>
    <t xml:space="preserve">MIL-09-BUILD-RES-1</t>
  </si>
  <si>
    <t xml:space="preserve">MIL-09-BUILD-RES-2</t>
  </si>
  <si>
    <t xml:space="preserve">MIL-09-BUILD-RES-3</t>
  </si>
  <si>
    <t xml:space="preserve">MIL-09-BUILD-RES-4</t>
  </si>
  <si>
    <t xml:space="preserve">MIL-09-BUILD-PROC-1</t>
  </si>
  <si>
    <t xml:space="preserve">MIL-09-BUILD-OUT1-1</t>
  </si>
  <si>
    <t xml:space="preserve">MIL-09-OPERATE-KPI-1</t>
  </si>
  <si>
    <t xml:space="preserve">MIL-09-OPERATE-KPI-2</t>
  </si>
  <si>
    <t xml:space="preserve">MIL-09-OPERATE-GOV-1</t>
  </si>
  <si>
    <t xml:space="preserve">MIL-09-OPERATE-GOV-2</t>
  </si>
  <si>
    <t xml:space="preserve">MIL-09-OPERATE-GOV-3</t>
  </si>
  <si>
    <t xml:space="preserve">MIL-09-OPERATE-RES-1</t>
  </si>
  <si>
    <t xml:space="preserve">MIL-09-OPERATE-PROC-1</t>
  </si>
  <si>
    <t xml:space="preserve">MIL-09-OPERATE-OUTF-1</t>
  </si>
  <si>
    <t xml:space="preserve">MIL-10-DESIGN-ROLE-1</t>
  </si>
  <si>
    <t xml:space="preserve">MIL-10-DESIGN-KPI-1</t>
  </si>
  <si>
    <t xml:space="preserve">MIL-10-DESIGN-KPI-2</t>
  </si>
  <si>
    <t xml:space="preserve">MIL-10-DESIGN-GOV-1</t>
  </si>
  <si>
    <t xml:space="preserve">MIL-10-DESIGN-ORG-1</t>
  </si>
  <si>
    <t xml:space="preserve">MIL-10-DESIGN-RES-1</t>
  </si>
  <si>
    <t xml:space="preserve">MIL-10-DESIGN-PROC-1</t>
  </si>
  <si>
    <t xml:space="preserve">MIL-10-BUILD-ROLE-1</t>
  </si>
  <si>
    <t xml:space="preserve">MIL-10-BUILD-KPI-1</t>
  </si>
  <si>
    <t xml:space="preserve">MIL-10-BUILD-KPI-2</t>
  </si>
  <si>
    <t xml:space="preserve">MIL-10-BUILD-GOV-1</t>
  </si>
  <si>
    <t xml:space="preserve">MIL-10-BUILD-GOV-2</t>
  </si>
  <si>
    <t xml:space="preserve">MIL-10-BUILD-GOV-3</t>
  </si>
  <si>
    <t xml:space="preserve">MIL-10-BUILD-ORG-1</t>
  </si>
  <si>
    <t xml:space="preserve">MIL-10-BUILD-ORG-2</t>
  </si>
  <si>
    <t xml:space="preserve">MIL-10-BUILD-ORG-3</t>
  </si>
  <si>
    <t xml:space="preserve">MIL-10-BUILD-RES-1</t>
  </si>
  <si>
    <t xml:space="preserve">MIL-10-BUILD-RES-2</t>
  </si>
  <si>
    <t xml:space="preserve">MIL-10-BUILD-RES-3</t>
  </si>
  <si>
    <t xml:space="preserve">MIL-10-BUILD-RES-4</t>
  </si>
  <si>
    <t xml:space="preserve">MIL-10-BUILD-PROC-1</t>
  </si>
  <si>
    <t xml:space="preserve">MIL-10-BUILD-OUT1-1</t>
  </si>
  <si>
    <t xml:space="preserve">MIL-10-OPERATE-KPI-1</t>
  </si>
  <si>
    <t xml:space="preserve">MIL-10-OPERATE-KPI-2</t>
  </si>
  <si>
    <t xml:space="preserve">MIL-10-OPERATE-GOV-1</t>
  </si>
  <si>
    <t xml:space="preserve">MIL-10-OPERATE-GOV-2</t>
  </si>
  <si>
    <t xml:space="preserve">MIL-10-OPERATE-GOV-3</t>
  </si>
  <si>
    <t xml:space="preserve">MIL-10-OPERATE-RES-1</t>
  </si>
  <si>
    <t xml:space="preserve">MIL-10-OPERATE-PROC-1</t>
  </si>
  <si>
    <t xml:space="preserve">MIL-10-OPERATE-OUTF-1</t>
  </si>
  <si>
    <t xml:space="preserve">MIL-11-DESIGN-ROLE-1</t>
  </si>
  <si>
    <t xml:space="preserve">MIL-11-DESIGN-KPI-1</t>
  </si>
  <si>
    <t xml:space="preserve">MIL-11-DESIGN-KPI-2</t>
  </si>
  <si>
    <t xml:space="preserve">MIL-11-DESIGN-GOV-1</t>
  </si>
  <si>
    <t xml:space="preserve">MIL-11-DESIGN-ORG-1</t>
  </si>
  <si>
    <t xml:space="preserve">MIL-11-DESIGN-RES-1</t>
  </si>
  <si>
    <t xml:space="preserve">MIL-11-DESIGN-PROC-1</t>
  </si>
  <si>
    <t xml:space="preserve">MIL-11-BUILD-ROLE-1</t>
  </si>
  <si>
    <t xml:space="preserve">MIL-11-BUILD-KPI-1</t>
  </si>
  <si>
    <t xml:space="preserve">MIL-11-BUILD-KPI-2</t>
  </si>
  <si>
    <t xml:space="preserve">MIL-11-BUILD-GOV-1</t>
  </si>
  <si>
    <t xml:space="preserve">MIL-11-BUILD-GOV-2</t>
  </si>
  <si>
    <t xml:space="preserve">MIL-11-BUILD-GOV-3</t>
  </si>
  <si>
    <t xml:space="preserve">MIL-11-BUILD-ORG-1</t>
  </si>
  <si>
    <t xml:space="preserve">MIL-11-BUILD-ORG-2</t>
  </si>
  <si>
    <t xml:space="preserve">MIL-11-BUILD-ORG-3</t>
  </si>
  <si>
    <t xml:space="preserve">MIL-11-BUILD-RES-1</t>
  </si>
  <si>
    <t xml:space="preserve">MIL-11-BUILD-RES-2</t>
  </si>
  <si>
    <t xml:space="preserve">MIL-11-BUILD-RES-3</t>
  </si>
  <si>
    <t xml:space="preserve">MIL-11-BUILD-RES-4</t>
  </si>
  <si>
    <t xml:space="preserve">MIL-11-BUILD-PROC-1</t>
  </si>
  <si>
    <t xml:space="preserve">MIL-11-BUILD-OUT1-1</t>
  </si>
  <si>
    <t xml:space="preserve">MIL-11-OPERATE-KPI-1</t>
  </si>
  <si>
    <t xml:space="preserve">MIL-11-OPERATE-KPI-2</t>
  </si>
  <si>
    <t xml:space="preserve">MIL-11-OPERATE-GOV-1</t>
  </si>
  <si>
    <t xml:space="preserve">MIL-11-OPERATE-GOV-2</t>
  </si>
  <si>
    <t xml:space="preserve">MIL-11-OPERATE-GOV-3</t>
  </si>
  <si>
    <t xml:space="preserve">MIL-11-OPERATE-RES-1</t>
  </si>
  <si>
    <t xml:space="preserve">MIL-11-OPERATE-PROC-1</t>
  </si>
  <si>
    <t xml:space="preserve">MIL-11-OPERATE-OUTF-1</t>
  </si>
  <si>
    <t xml:space="preserve">MIL-12-DESIGN-ROLE-1</t>
  </si>
  <si>
    <t xml:space="preserve">MIL-12-DESIGN-KPI-1</t>
  </si>
  <si>
    <t xml:space="preserve">MIL-12-DESIGN-KPI-2</t>
  </si>
  <si>
    <t xml:space="preserve">MIL-12-DESIGN-GOV-1</t>
  </si>
  <si>
    <t xml:space="preserve">MIL-12-DESIGN-ORG-1</t>
  </si>
  <si>
    <t xml:space="preserve">MIL-12-DESIGN-RES-1</t>
  </si>
  <si>
    <t xml:space="preserve">MIL-12-DESIGN-PROC-1</t>
  </si>
  <si>
    <t xml:space="preserve">MIL-12-BUILD-ROLE-1</t>
  </si>
  <si>
    <t xml:space="preserve">MIL-12-BUILD-KPI-1</t>
  </si>
  <si>
    <t xml:space="preserve">MIL-12-BUILD-KPI-2</t>
  </si>
  <si>
    <t xml:space="preserve">MIL-12-BUILD-GOV-1</t>
  </si>
  <si>
    <t xml:space="preserve">MIL-12-BUILD-GOV-2</t>
  </si>
  <si>
    <t xml:space="preserve">MIL-12-BUILD-GOV-3</t>
  </si>
  <si>
    <t xml:space="preserve">MIL-12-BUILD-ORG-1</t>
  </si>
  <si>
    <t xml:space="preserve">MIL-12-BUILD-ORG-2</t>
  </si>
  <si>
    <t xml:space="preserve">MIL-12-BUILD-ORG-3</t>
  </si>
  <si>
    <t xml:space="preserve">MIL-12-BUILD-RES-1</t>
  </si>
  <si>
    <t xml:space="preserve">MIL-12-BUILD-RES-2</t>
  </si>
  <si>
    <t xml:space="preserve">MIL-12-BUILD-RES-3</t>
  </si>
  <si>
    <t xml:space="preserve">MIL-12-BUILD-RES-4</t>
  </si>
  <si>
    <t xml:space="preserve">MIL-12-BUILD-PROC-1</t>
  </si>
  <si>
    <t xml:space="preserve">MIL-12-BUILD-OUT1-1</t>
  </si>
  <si>
    <t xml:space="preserve">MIL-12-OPERATE-KPI-1</t>
  </si>
  <si>
    <t xml:space="preserve">MIL-12-OPERATE-KPI-2</t>
  </si>
  <si>
    <t xml:space="preserve">MIL-12-OPERATE-GOV-1</t>
  </si>
  <si>
    <t xml:space="preserve">MIL-12-OPERATE-GOV-2</t>
  </si>
  <si>
    <t xml:space="preserve">MIL-12-OPERATE-GOV-3</t>
  </si>
  <si>
    <t xml:space="preserve">MIL-12-OPERATE-RES-1</t>
  </si>
  <si>
    <t xml:space="preserve">MIL-12-OPERATE-PROC-1</t>
  </si>
  <si>
    <t xml:space="preserve">MIL-12-OPERATE-OUTF-1</t>
  </si>
  <si>
    <t xml:space="preserve">MIL-13-DESIGN-ROLE-1</t>
  </si>
  <si>
    <t xml:space="preserve">MIL-13-DESIGN-KPI-1</t>
  </si>
  <si>
    <t xml:space="preserve">MIL-13-DESIGN-KPI-2</t>
  </si>
  <si>
    <t xml:space="preserve">MIL-13-DESIGN-GOV-1</t>
  </si>
  <si>
    <t xml:space="preserve">MIL-13-DESIGN-ORG-1</t>
  </si>
  <si>
    <t xml:space="preserve">MIL-13-DESIGN-RES-1</t>
  </si>
  <si>
    <t xml:space="preserve">MIL-13-DESIGN-PROC-1</t>
  </si>
  <si>
    <t xml:space="preserve">MIL-13-BUILD-ROLE-1</t>
  </si>
  <si>
    <t xml:space="preserve">MIL-13-BUILD-KPI-1</t>
  </si>
  <si>
    <t xml:space="preserve">MIL-13-BUILD-KPI-2</t>
  </si>
  <si>
    <t xml:space="preserve">MIL-13-BUILD-GOV-1</t>
  </si>
  <si>
    <t xml:space="preserve">MIL-13-BUILD-GOV-2</t>
  </si>
  <si>
    <t xml:space="preserve">MIL-13-BUILD-GOV-3</t>
  </si>
  <si>
    <t xml:space="preserve">MIL-13-BUILD-ORG-1</t>
  </si>
  <si>
    <t xml:space="preserve">MIL-13-BUILD-ORG-2</t>
  </si>
  <si>
    <t xml:space="preserve">MIL-13-BUILD-ORG-3</t>
  </si>
  <si>
    <t xml:space="preserve">MIL-13-BUILD-RES-1</t>
  </si>
  <si>
    <t xml:space="preserve">MIL-13-BUILD-RES-2</t>
  </si>
  <si>
    <t xml:space="preserve">MIL-13-BUILD-RES-3</t>
  </si>
  <si>
    <t xml:space="preserve">MIL-13-BUILD-RES-4</t>
  </si>
  <si>
    <t xml:space="preserve">MIL-13-BUILD-PROC-1</t>
  </si>
  <si>
    <t xml:space="preserve">MIL-13-BUILD-OUT1-1</t>
  </si>
  <si>
    <t xml:space="preserve">MIL-13-OPERATE-KPI-1</t>
  </si>
  <si>
    <t xml:space="preserve">MIL-13-OPERATE-KPI-2</t>
  </si>
  <si>
    <t xml:space="preserve">MIL-13-OPERATE-GOV-1</t>
  </si>
  <si>
    <t xml:space="preserve">MIL-13-OPERATE-GOV-2</t>
  </si>
  <si>
    <t xml:space="preserve">MIL-13-OPERATE-GOV-3</t>
  </si>
  <si>
    <t xml:space="preserve">MIL-13-OPERATE-RES-1</t>
  </si>
  <si>
    <t xml:space="preserve">MIL-13-OPERATE-PROC-1</t>
  </si>
  <si>
    <t xml:space="preserve">MIL-13-OPERATE-OUTF-1</t>
  </si>
  <si>
    <t xml:space="preserve">MIL-14-DESIGN-ROLE-1</t>
  </si>
  <si>
    <t xml:space="preserve">MIL-14-DESIGN-KPI-1</t>
  </si>
  <si>
    <t xml:space="preserve">MIL-14-DESIGN-KPI-2</t>
  </si>
  <si>
    <t xml:space="preserve">MIL-14-DESIGN-GOV-1</t>
  </si>
  <si>
    <t xml:space="preserve">MIL-14-DESIGN-ORG-1</t>
  </si>
  <si>
    <t xml:space="preserve">MIL-14-DESIGN-RES-1</t>
  </si>
  <si>
    <t xml:space="preserve">MIL-14-DESIGN-PROC-1</t>
  </si>
  <si>
    <t xml:space="preserve">MIL-14-BUILD-ROLE-1</t>
  </si>
  <si>
    <t xml:space="preserve">MIL-14-BUILD-KPI-1</t>
  </si>
  <si>
    <t xml:space="preserve">MIL-14-BUILD-KPI-2</t>
  </si>
  <si>
    <t xml:space="preserve">MIL-14-BUILD-GOV-1</t>
  </si>
  <si>
    <t xml:space="preserve">MIL-14-BUILD-GOV-2</t>
  </si>
  <si>
    <t xml:space="preserve">MIL-14-BUILD-GOV-3</t>
  </si>
  <si>
    <t xml:space="preserve">MIL-14-BUILD-ORG-1</t>
  </si>
  <si>
    <t xml:space="preserve">MIL-14-BUILD-ORG-2</t>
  </si>
  <si>
    <t xml:space="preserve">MIL-14-BUILD-ORG-3</t>
  </si>
  <si>
    <t xml:space="preserve">MIL-14-BUILD-RES-1</t>
  </si>
  <si>
    <t xml:space="preserve">MIL-14-BUILD-RES-2</t>
  </si>
  <si>
    <t xml:space="preserve">MIL-14-BUILD-RES-3</t>
  </si>
  <si>
    <t xml:space="preserve">MIL-14-BUILD-RES-4</t>
  </si>
  <si>
    <t xml:space="preserve">MIL-14-BUILD-PROC-1</t>
  </si>
  <si>
    <t xml:space="preserve">MIL-14-BUILD-OUT1-1</t>
  </si>
  <si>
    <t xml:space="preserve">MIL-14-OPERATE-KPI-1</t>
  </si>
  <si>
    <t xml:space="preserve">MIL-14-OPERATE-KPI-2</t>
  </si>
  <si>
    <t xml:space="preserve">MIL-14-OPERATE-GOV-1</t>
  </si>
  <si>
    <t xml:space="preserve">MIL-14-OPERATE-GOV-2</t>
  </si>
  <si>
    <t xml:space="preserve">MIL-14-OPERATE-GOV-3</t>
  </si>
  <si>
    <t xml:space="preserve">MIL-14-OPERATE-RES-1</t>
  </si>
  <si>
    <t xml:space="preserve">MIL-14-OPERATE-PROC-1</t>
  </si>
  <si>
    <t xml:space="preserve">MIL-14-OPERATE-OUTF-1</t>
  </si>
  <si>
    <t xml:space="preserve">MIL-15-DESIGN-ROLE-1</t>
  </si>
  <si>
    <t xml:space="preserve">MIL-15-DESIGN-KPI-1</t>
  </si>
  <si>
    <t xml:space="preserve">MIL-15-DESIGN-KPI-2</t>
  </si>
  <si>
    <t xml:space="preserve">MIL-15-DESIGN-GOV-1</t>
  </si>
  <si>
    <t xml:space="preserve">MIL-15-DESIGN-ORG-1</t>
  </si>
  <si>
    <t xml:space="preserve">MIL-15-DESIGN-RES-1</t>
  </si>
  <si>
    <t xml:space="preserve">MIL-15-DESIGN-PROC-1</t>
  </si>
  <si>
    <t xml:space="preserve">MIL-15-BUILD-ROLE-1</t>
  </si>
  <si>
    <t xml:space="preserve">MIL-15-BUILD-KPI-1</t>
  </si>
  <si>
    <t xml:space="preserve">MIL-15-BUILD-KPI-2</t>
  </si>
  <si>
    <t xml:space="preserve">MIL-15-BUILD-GOV-1</t>
  </si>
  <si>
    <t xml:space="preserve">MIL-15-BUILD-GOV-2</t>
  </si>
  <si>
    <t xml:space="preserve">MIL-15-BUILD-GOV-3</t>
  </si>
  <si>
    <t xml:space="preserve">MIL-15-BUILD-ORG-1</t>
  </si>
  <si>
    <t xml:space="preserve">MIL-15-BUILD-ORG-2</t>
  </si>
  <si>
    <t xml:space="preserve">MIL-15-BUILD-ORG-3</t>
  </si>
  <si>
    <t xml:space="preserve">MIL-15-BUILD-RES-1</t>
  </si>
  <si>
    <t xml:space="preserve">MIL-15-BUILD-RES-2</t>
  </si>
  <si>
    <t xml:space="preserve">MIL-15-BUILD-RES-3</t>
  </si>
  <si>
    <t xml:space="preserve">MIL-15-BUILD-RES-4</t>
  </si>
  <si>
    <t xml:space="preserve">MIL-15-BUILD-PROC-1</t>
  </si>
  <si>
    <t xml:space="preserve">MIL-15-BUILD-OUT1-1</t>
  </si>
  <si>
    <t xml:space="preserve">MIL-15-OPERATE-KPI-1</t>
  </si>
  <si>
    <t xml:space="preserve">MIL-15-OPERATE-KPI-2</t>
  </si>
  <si>
    <t xml:space="preserve">MIL-15-OPERATE-GOV-1</t>
  </si>
  <si>
    <t xml:space="preserve">MIL-15-OPERATE-GOV-2</t>
  </si>
  <si>
    <t xml:space="preserve">MIL-15-OPERATE-GOV-3</t>
  </si>
  <si>
    <t xml:space="preserve">MIL-15-OPERATE-RES-1</t>
  </si>
  <si>
    <t xml:space="preserve">MIL-15-OPERATE-PROC-1</t>
  </si>
  <si>
    <t xml:space="preserve">MIL-15-OPERATE-OUTF-1</t>
  </si>
  <si>
    <t xml:space="preserve">MIL-16-DESIGN-ROLE-1</t>
  </si>
  <si>
    <t xml:space="preserve">MIL-16-DESIGN-KPI-1</t>
  </si>
  <si>
    <t xml:space="preserve">MIL-16-DESIGN-KPI-2</t>
  </si>
  <si>
    <t xml:space="preserve">MIL-16-DESIGN-GOV-1</t>
  </si>
  <si>
    <t xml:space="preserve">MIL-16-DESIGN-ORG-1</t>
  </si>
  <si>
    <t xml:space="preserve">MIL-16-DESIGN-RES-1</t>
  </si>
  <si>
    <t xml:space="preserve">MIL-16-DESIGN-PROC-1</t>
  </si>
  <si>
    <t xml:space="preserve">MIL-16-BUILD-ROLE-1</t>
  </si>
  <si>
    <t xml:space="preserve">MIL-16-BUILD-KPI-1</t>
  </si>
  <si>
    <t xml:space="preserve">MIL-16-BUILD-KPI-2</t>
  </si>
  <si>
    <t xml:space="preserve">MIL-16-BUILD-GOV-1</t>
  </si>
  <si>
    <t xml:space="preserve">MIL-16-BUILD-GOV-2</t>
  </si>
  <si>
    <t xml:space="preserve">MIL-16-BUILD-GOV-3</t>
  </si>
  <si>
    <t xml:space="preserve">MIL-16-BUILD-ORG-1</t>
  </si>
  <si>
    <t xml:space="preserve">MIL-16-BUILD-ORG-2</t>
  </si>
  <si>
    <t xml:space="preserve">MIL-16-BUILD-ORG-3</t>
  </si>
  <si>
    <t xml:space="preserve">MIL-16-BUILD-RES-1</t>
  </si>
  <si>
    <t xml:space="preserve">MIL-16-BUILD-RES-2</t>
  </si>
  <si>
    <t xml:space="preserve">MIL-16-BUILD-RES-3</t>
  </si>
  <si>
    <t xml:space="preserve">MIL-16-BUILD-RES-4</t>
  </si>
  <si>
    <t xml:space="preserve">MIL-16-BUILD-PROC-1</t>
  </si>
  <si>
    <t xml:space="preserve">MIL-16-BUILD-OUT1-1</t>
  </si>
  <si>
    <t xml:space="preserve">MIL-16-OPERATE-KPI-1</t>
  </si>
  <si>
    <t xml:space="preserve">MIL-16-OPERATE-KPI-2</t>
  </si>
  <si>
    <t xml:space="preserve">MIL-16-OPERATE-GOV-1</t>
  </si>
  <si>
    <t xml:space="preserve">MIL-16-OPERATE-GOV-2</t>
  </si>
  <si>
    <t xml:space="preserve">MIL-16-OPERATE-GOV-3</t>
  </si>
  <si>
    <t xml:space="preserve">MIL-16-OPERATE-RES-1</t>
  </si>
  <si>
    <t xml:space="preserve">MIL-16-OPERATE-PROC-1</t>
  </si>
  <si>
    <t xml:space="preserve">MIL-16-OPERATE-OUTF-1</t>
  </si>
  <si>
    <t xml:space="preserve">MIL-17-DESIGN-ROLE-1</t>
  </si>
  <si>
    <t xml:space="preserve">MIL-17-DESIGN-KPI-1</t>
  </si>
  <si>
    <t xml:space="preserve">MIL-17-DESIGN-KPI-2</t>
  </si>
  <si>
    <t xml:space="preserve">MIL-17-DESIGN-GOV-1</t>
  </si>
  <si>
    <t xml:space="preserve">MIL-17-DESIGN-ORG-1</t>
  </si>
  <si>
    <t xml:space="preserve">MIL-17-DESIGN-RES-1</t>
  </si>
  <si>
    <t xml:space="preserve">MIL-17-DESIGN-PROC-1</t>
  </si>
  <si>
    <t xml:space="preserve">MIL-17-BUILD-ROLE-1</t>
  </si>
  <si>
    <t xml:space="preserve">MIL-17-BUILD-KPI-1</t>
  </si>
  <si>
    <t xml:space="preserve">MIL-17-BUILD-KPI-2</t>
  </si>
  <si>
    <t xml:space="preserve">MIL-17-BUILD-GOV-1</t>
  </si>
  <si>
    <t xml:space="preserve">MIL-17-BUILD-GOV-2</t>
  </si>
  <si>
    <t xml:space="preserve">MIL-17-BUILD-GOV-3</t>
  </si>
  <si>
    <t xml:space="preserve">MIL-17-BUILD-ORG-1</t>
  </si>
  <si>
    <t xml:space="preserve">MIL-17-BUILD-ORG-2</t>
  </si>
  <si>
    <t xml:space="preserve">MIL-17-BUILD-ORG-3</t>
  </si>
  <si>
    <t xml:space="preserve">MIL-17-BUILD-RES-1</t>
  </si>
  <si>
    <t xml:space="preserve">MIL-17-BUILD-RES-2</t>
  </si>
  <si>
    <t xml:space="preserve">MIL-17-BUILD-RES-3</t>
  </si>
  <si>
    <t xml:space="preserve">MIL-17-BUILD-RES-4</t>
  </si>
  <si>
    <t xml:space="preserve">MIL-17-BUILD-PROC-1</t>
  </si>
  <si>
    <t xml:space="preserve">MIL-17-BUILD-OUT1-1</t>
  </si>
  <si>
    <t xml:space="preserve">MIL-17-OPERATE-KPI-1</t>
  </si>
  <si>
    <t xml:space="preserve">MIL-17-OPERATE-KPI-2</t>
  </si>
  <si>
    <t xml:space="preserve">MIL-17-OPERATE-GOV-1</t>
  </si>
  <si>
    <t xml:space="preserve">MIL-17-OPERATE-GOV-2</t>
  </si>
  <si>
    <t xml:space="preserve">MIL-17-OPERATE-GOV-3</t>
  </si>
  <si>
    <t xml:space="preserve">MIL-17-OPERATE-RES-1</t>
  </si>
  <si>
    <t xml:space="preserve">MIL-17-OPERATE-PROC-1</t>
  </si>
  <si>
    <t xml:space="preserve">MIL-17-OPERATE-OUTF-1</t>
  </si>
  <si>
    <t xml:space="preserve">MIL-18-DESIGN-ROLE-1</t>
  </si>
  <si>
    <t xml:space="preserve">MIL-18-DESIGN-KPI-1</t>
  </si>
  <si>
    <t xml:space="preserve">MIL-18-DESIGN-KPI-2</t>
  </si>
  <si>
    <t xml:space="preserve">MIL-18-DESIGN-GOV-1</t>
  </si>
  <si>
    <t xml:space="preserve">MIL-18-DESIGN-ORG-1</t>
  </si>
  <si>
    <t xml:space="preserve">MIL-18-DESIGN-RES-1</t>
  </si>
  <si>
    <t xml:space="preserve">MIL-18-DESIGN-PROC-1</t>
  </si>
  <si>
    <t xml:space="preserve">MIL-18-BUILD-ROLE-1</t>
  </si>
  <si>
    <t xml:space="preserve">MIL-18-BUILD-KPI-1</t>
  </si>
  <si>
    <t xml:space="preserve">MIL-18-BUILD-KPI-2</t>
  </si>
  <si>
    <t xml:space="preserve">MIL-18-BUILD-GOV-1</t>
  </si>
  <si>
    <t xml:space="preserve">MIL-18-BUILD-GOV-2</t>
  </si>
  <si>
    <t xml:space="preserve">MIL-18-BUILD-GOV-3</t>
  </si>
  <si>
    <t xml:space="preserve">MIL-18-BUILD-ORG-1</t>
  </si>
  <si>
    <t xml:space="preserve">MIL-18-BUILD-ORG-2</t>
  </si>
  <si>
    <t xml:space="preserve">MIL-18-BUILD-ORG-3</t>
  </si>
  <si>
    <t xml:space="preserve">MIL-18-BUILD-RES-1</t>
  </si>
  <si>
    <t xml:space="preserve">MIL-18-BUILD-RES-2</t>
  </si>
  <si>
    <t xml:space="preserve">MIL-18-BUILD-RES-3</t>
  </si>
  <si>
    <t xml:space="preserve">MIL-18-BUILD-RES-4</t>
  </si>
  <si>
    <t xml:space="preserve">MIL-18-BUILD-PROC-1</t>
  </si>
  <si>
    <t xml:space="preserve">MIL-18-BUILD-OUT1-1</t>
  </si>
  <si>
    <t xml:space="preserve">MIL-18-OPERATE-KPI-1</t>
  </si>
  <si>
    <t xml:space="preserve">MIL-18-OPERATE-KPI-2</t>
  </si>
  <si>
    <t xml:space="preserve">MIL-18-OPERATE-GOV-1</t>
  </si>
  <si>
    <t xml:space="preserve">MIL-18-OPERATE-GOV-2</t>
  </si>
  <si>
    <t xml:space="preserve">MIL-18-OPERATE-GOV-3</t>
  </si>
  <si>
    <t xml:space="preserve">MIL-18-OPERATE-RES-1</t>
  </si>
  <si>
    <t xml:space="preserve">MIL-18-OPERATE-PROC-1</t>
  </si>
  <si>
    <t xml:space="preserve">MIL-18-OPERATE-OUTF-1</t>
  </si>
  <si>
    <t xml:space="preserve">MIL-19-DESIGN-ROLE-1</t>
  </si>
  <si>
    <t xml:space="preserve">MIL-19-DESIGN-KPI-1</t>
  </si>
  <si>
    <t xml:space="preserve">MIL-19-DESIGN-KPI-2</t>
  </si>
  <si>
    <t xml:space="preserve">MIL-19-DESIGN-GOV-1</t>
  </si>
  <si>
    <t xml:space="preserve">MIL-19-DESIGN-ORG-1</t>
  </si>
  <si>
    <t xml:space="preserve">MIL-19-DESIGN-RES-1</t>
  </si>
  <si>
    <t xml:space="preserve">MIL-19-DESIGN-PROC-1</t>
  </si>
  <si>
    <t xml:space="preserve">MIL-19-BUILD-ROLE-1</t>
  </si>
  <si>
    <t xml:space="preserve">MIL-19-BUILD-KPI-1</t>
  </si>
  <si>
    <t xml:space="preserve">MIL-19-BUILD-KPI-2</t>
  </si>
  <si>
    <t xml:space="preserve">MIL-19-BUILD-GOV-1</t>
  </si>
  <si>
    <t xml:space="preserve">MIL-19-BUILD-GOV-2</t>
  </si>
  <si>
    <t xml:space="preserve">MIL-19-BUILD-GOV-3</t>
  </si>
  <si>
    <t xml:space="preserve">MIL-19-BUILD-ORG-1</t>
  </si>
  <si>
    <t xml:space="preserve">MIL-19-BUILD-ORG-2</t>
  </si>
  <si>
    <t xml:space="preserve">MIL-19-BUILD-ORG-3</t>
  </si>
  <si>
    <t xml:space="preserve">MIL-19-BUILD-RES-1</t>
  </si>
  <si>
    <t xml:space="preserve">MIL-19-BUILD-RES-2</t>
  </si>
  <si>
    <t xml:space="preserve">MIL-19-BUILD-RES-3</t>
  </si>
  <si>
    <t xml:space="preserve">MIL-19-BUILD-RES-4</t>
  </si>
  <si>
    <t xml:space="preserve">MIL-19-BUILD-PROC-1</t>
  </si>
  <si>
    <t xml:space="preserve">MIL-19-BUILD-OUT1-1</t>
  </si>
  <si>
    <t xml:space="preserve">MIL-19-OPERATE-KPI-1</t>
  </si>
  <si>
    <t xml:space="preserve">MIL-19-OPERATE-KPI-2</t>
  </si>
  <si>
    <t xml:space="preserve">MIL-19-OPERATE-GOV-1</t>
  </si>
  <si>
    <t xml:space="preserve">MIL-19-OPERATE-GOV-2</t>
  </si>
  <si>
    <t xml:space="preserve">MIL-19-OPERATE-GOV-3</t>
  </si>
  <si>
    <t xml:space="preserve">MIL-19-OPERATE-RES-1</t>
  </si>
  <si>
    <t xml:space="preserve">MIL-19-OPERATE-PROC-1</t>
  </si>
  <si>
    <t xml:space="preserve">MIL-19-OPERATE-OUTF-1</t>
  </si>
  <si>
    <t xml:space="preserve">MIL-20-DESIGN-ROLE-1</t>
  </si>
  <si>
    <t xml:space="preserve">MIL-20-DESIGN-KPI-1</t>
  </si>
  <si>
    <t xml:space="preserve">MIL-20-DESIGN-KPI-2</t>
  </si>
  <si>
    <t xml:space="preserve">MIL-20-DESIGN-GOV-1</t>
  </si>
  <si>
    <t xml:space="preserve">MIL-20-DESIGN-ORG-1</t>
  </si>
  <si>
    <t xml:space="preserve">MIL-20-DESIGN-RES-1</t>
  </si>
  <si>
    <t xml:space="preserve">MIL-20-DESIGN-PROC-1</t>
  </si>
  <si>
    <t xml:space="preserve">MIL-20-BUILD-ROLE-1</t>
  </si>
  <si>
    <t xml:space="preserve">MIL-20-BUILD-KPI-1</t>
  </si>
  <si>
    <t xml:space="preserve">MIL-20-BUILD-KPI-2</t>
  </si>
  <si>
    <t xml:space="preserve">MIL-20-BUILD-GOV-1</t>
  </si>
  <si>
    <t xml:space="preserve">MIL-20-BUILD-GOV-2</t>
  </si>
  <si>
    <t xml:space="preserve">MIL-20-BUILD-GOV-3</t>
  </si>
  <si>
    <t xml:space="preserve">MIL-20-BUILD-ORG-1</t>
  </si>
  <si>
    <t xml:space="preserve">MIL-20-BUILD-ORG-2</t>
  </si>
  <si>
    <t xml:space="preserve">MIL-20-BUILD-ORG-3</t>
  </si>
  <si>
    <t xml:space="preserve">MIL-20-BUILD-RES-1</t>
  </si>
  <si>
    <t xml:space="preserve">MIL-20-BUILD-RES-2</t>
  </si>
  <si>
    <t xml:space="preserve">MIL-20-BUILD-RES-3</t>
  </si>
  <si>
    <t xml:space="preserve">MIL-20-BUILD-RES-4</t>
  </si>
  <si>
    <t xml:space="preserve">MIL-20-BUILD-PROC-1</t>
  </si>
  <si>
    <t xml:space="preserve">MIL-20-BUILD-OUT1-1</t>
  </si>
  <si>
    <t xml:space="preserve">MIL-20-OPERATE-KPI-1</t>
  </si>
  <si>
    <t xml:space="preserve">MIL-20-OPERATE-KPI-2</t>
  </si>
  <si>
    <t xml:space="preserve">MIL-20-OPERATE-GOV-1</t>
  </si>
  <si>
    <t xml:space="preserve">MIL-20-OPERATE-GOV-2</t>
  </si>
  <si>
    <t xml:space="preserve">MIL-20-OPERATE-GOV-3</t>
  </si>
  <si>
    <t xml:space="preserve">MIL-20-OPERATE-RES-1</t>
  </si>
  <si>
    <t xml:space="preserve">MIL-20-OPERATE-PROC-1</t>
  </si>
  <si>
    <t xml:space="preserve">MIL-20-OPERATE-OUTF-1</t>
  </si>
  <si>
    <t xml:space="preserve">MIL-21-DESIGN-ROLE-1</t>
  </si>
  <si>
    <t xml:space="preserve">MIL-21-DESIGN-KPI-1</t>
  </si>
  <si>
    <t xml:space="preserve">MIL-21-DESIGN-KPI-2</t>
  </si>
  <si>
    <t xml:space="preserve">MIL-21-DESIGN-GOV-1</t>
  </si>
  <si>
    <t xml:space="preserve">MIL-21-DESIGN-ORG-1</t>
  </si>
  <si>
    <t xml:space="preserve">MIL-21-DESIGN-RES-1</t>
  </si>
  <si>
    <t xml:space="preserve">MIL-21-DESIGN-PROC-1</t>
  </si>
  <si>
    <t xml:space="preserve">MIL-21-BUILD-ROLE-1</t>
  </si>
  <si>
    <t xml:space="preserve">MIL-21-BUILD-KPI-1</t>
  </si>
  <si>
    <t xml:space="preserve">MIL-21-BUILD-KPI-2</t>
  </si>
  <si>
    <t xml:space="preserve">MIL-21-BUILD-GOV-1</t>
  </si>
  <si>
    <t xml:space="preserve">MIL-21-BUILD-GOV-2</t>
  </si>
  <si>
    <t xml:space="preserve">MIL-21-BUILD-GOV-3</t>
  </si>
  <si>
    <t xml:space="preserve">MIL-21-BUILD-ORG-1</t>
  </si>
  <si>
    <t xml:space="preserve">MIL-21-BUILD-ORG-2</t>
  </si>
  <si>
    <t xml:space="preserve">MIL-21-BUILD-ORG-3</t>
  </si>
  <si>
    <t xml:space="preserve">MIL-21-BUILD-RES-1</t>
  </si>
  <si>
    <t xml:space="preserve">MIL-21-BUILD-RES-2</t>
  </si>
  <si>
    <t xml:space="preserve">MIL-21-BUILD-RES-3</t>
  </si>
  <si>
    <t xml:space="preserve">MIL-21-BUILD-RES-4</t>
  </si>
  <si>
    <t xml:space="preserve">MIL-21-BUILD-PROC-1</t>
  </si>
  <si>
    <t xml:space="preserve">MIL-21-BUILD-OUT1-1</t>
  </si>
  <si>
    <t xml:space="preserve">MIL-21-OPERATE-KPI-1</t>
  </si>
  <si>
    <t xml:space="preserve">MIL-21-OPERATE-KPI-2</t>
  </si>
  <si>
    <t xml:space="preserve">MIL-21-OPERATE-GOV-1</t>
  </si>
  <si>
    <t xml:space="preserve">MIL-21-OPERATE-GOV-2</t>
  </si>
  <si>
    <t xml:space="preserve">MIL-21-OPERATE-GOV-3</t>
  </si>
  <si>
    <t xml:space="preserve">MIL-21-OPERATE-RES-1</t>
  </si>
  <si>
    <t xml:space="preserve">MIL-21-OPERATE-PROC-1</t>
  </si>
  <si>
    <t xml:space="preserve">MIL-21-OPERATE-OUTF-1</t>
  </si>
  <si>
    <t xml:space="preserve">إجمالي نقاط التحقق</t>
  </si>
  <si>
    <t xml:space="preserve">النقاط المقيّمة</t>
  </si>
  <si>
    <t xml:space="preserve">نسبة اكتمال العنصر %</t>
  </si>
  <si>
    <t xml:space="preserve">نسبة اكتمال العنصر المستهدفة لعام 2026 %</t>
  </si>
  <si>
    <t xml:space="preserve">ملاحظات العنصر (سبب النقص)</t>
  </si>
  <si>
    <t xml:space="preserve">الوزن المكتسب</t>
  </si>
  <si>
    <t xml:space="preserve">تصنيف العنصر</t>
  </si>
  <si>
    <t xml:space="preserve">الوزن المكتسب المستهدف لعام 2026</t>
  </si>
  <si>
    <t xml:space="preserve">TOP-01-DESIGN-ROLE</t>
  </si>
  <si>
    <t xml:space="preserve">TOP-01-DESIGN-KPI</t>
  </si>
  <si>
    <t xml:space="preserve">TOP-01-DESIGN-GOV</t>
  </si>
  <si>
    <t xml:space="preserve">TOP-01-DESIGN-ORG</t>
  </si>
  <si>
    <t xml:space="preserve">TOP-01-DESIGN-RES</t>
  </si>
  <si>
    <t xml:space="preserve">TOP-01-DESIGN-PROC</t>
  </si>
  <si>
    <t xml:space="preserve">TOP-01-BUILD-ROLE</t>
  </si>
  <si>
    <t xml:space="preserve">TOP-01-BUILD-KPI</t>
  </si>
  <si>
    <t xml:space="preserve">TOP-01-BUILD-GOV</t>
  </si>
  <si>
    <t xml:space="preserve">TOP-01-BUILD-ORG</t>
  </si>
  <si>
    <t xml:space="preserve">TOP-01-BUILD-RES</t>
  </si>
  <si>
    <t xml:space="preserve">TOP-01-BUILD-PROC</t>
  </si>
  <si>
    <t xml:space="preserve">TOP-01-BUILD-OUT1</t>
  </si>
  <si>
    <t xml:space="preserve">TOP-01-OPERATE-KPI</t>
  </si>
  <si>
    <t xml:space="preserve">TOP-01-OPERATE-GOV</t>
  </si>
  <si>
    <t xml:space="preserve">TOP-01-OPERATE-RES</t>
  </si>
  <si>
    <t xml:space="preserve">TOP-01-OPERATE-PROC</t>
  </si>
  <si>
    <t xml:space="preserve">TOP-01-OPERATE-OUTF</t>
  </si>
  <si>
    <t xml:space="preserve">TOP-02-DESIGN-ROLE</t>
  </si>
  <si>
    <t xml:space="preserve">TOP-02-DESIGN-KPI</t>
  </si>
  <si>
    <t xml:space="preserve">TOP-02-DESIGN-GOV</t>
  </si>
  <si>
    <t xml:space="preserve">TOP-02-DESIGN-ORG</t>
  </si>
  <si>
    <t xml:space="preserve">TOP-02-DESIGN-RES</t>
  </si>
  <si>
    <t xml:space="preserve">TOP-02-DESIGN-PROC</t>
  </si>
  <si>
    <t xml:space="preserve">TOP-02-BUILD-ROLE</t>
  </si>
  <si>
    <t xml:space="preserve">TOP-02-BUILD-KPI</t>
  </si>
  <si>
    <t xml:space="preserve">TOP-02-BUILD-GOV</t>
  </si>
  <si>
    <t xml:space="preserve">TOP-02-BUILD-ORG</t>
  </si>
  <si>
    <t xml:space="preserve">TOP-02-BUILD-RES</t>
  </si>
  <si>
    <t xml:space="preserve">TOP-02-BUILD-PROC</t>
  </si>
  <si>
    <t xml:space="preserve">TOP-02-BUILD-OUT1</t>
  </si>
  <si>
    <t xml:space="preserve">TOP-02-OPERATE-KPI</t>
  </si>
  <si>
    <t xml:space="preserve">TOP-02-OPERATE-GOV</t>
  </si>
  <si>
    <t xml:space="preserve">TOP-02-OPERATE-RES</t>
  </si>
  <si>
    <t xml:space="preserve">TOP-02-OPERATE-PROC</t>
  </si>
  <si>
    <t xml:space="preserve">TOP-02-OPERATE-OUTF</t>
  </si>
  <si>
    <t xml:space="preserve">TOP-03-DESIGN-ROLE</t>
  </si>
  <si>
    <t xml:space="preserve">TOP-03-DESIGN-KPI</t>
  </si>
  <si>
    <t xml:space="preserve">TOP-03-DESIGN-GOV</t>
  </si>
  <si>
    <t xml:space="preserve">TOP-03-DESIGN-ORG</t>
  </si>
  <si>
    <t xml:space="preserve">TOP-03-DESIGN-RES</t>
  </si>
  <si>
    <t xml:space="preserve">TOP-03-DESIGN-PROC</t>
  </si>
  <si>
    <t xml:space="preserve">TOP-03-BUILD-ROLE</t>
  </si>
  <si>
    <t xml:space="preserve">TOP-03-BUILD-KPI</t>
  </si>
  <si>
    <t xml:space="preserve">TOP-03-BUILD-GOV</t>
  </si>
  <si>
    <t xml:space="preserve">TOP-03-BUILD-ORG</t>
  </si>
  <si>
    <t xml:space="preserve">TOP-03-BUILD-RES</t>
  </si>
  <si>
    <t xml:space="preserve">TOP-03-BUILD-PROC</t>
  </si>
  <si>
    <t xml:space="preserve">TOP-03-BUILD-OUT1</t>
  </si>
  <si>
    <t xml:space="preserve">TOP-03-OPERATE-KPI</t>
  </si>
  <si>
    <t xml:space="preserve">TOP-03-OPERATE-GOV</t>
  </si>
  <si>
    <t xml:space="preserve">TOP-03-OPERATE-RES</t>
  </si>
  <si>
    <t xml:space="preserve">TOP-03-OPERATE-PROC</t>
  </si>
  <si>
    <t xml:space="preserve">TOP-03-OPERATE-OUTF</t>
  </si>
  <si>
    <t xml:space="preserve">TOP-04-DESIGN-ROLE</t>
  </si>
  <si>
    <t xml:space="preserve">TOP-04-DESIGN-KPI</t>
  </si>
  <si>
    <t xml:space="preserve">TOP-04-DESIGN-GOV</t>
  </si>
  <si>
    <t xml:space="preserve">TOP-04-DESIGN-ORG</t>
  </si>
  <si>
    <t xml:space="preserve">TOP-04-DESIGN-RES</t>
  </si>
  <si>
    <t xml:space="preserve">TOP-04-DESIGN-PROC</t>
  </si>
  <si>
    <t xml:space="preserve">TOP-04-BUILD-ROLE</t>
  </si>
  <si>
    <t xml:space="preserve">TOP-04-BUILD-KPI</t>
  </si>
  <si>
    <t xml:space="preserve">TOP-04-BUILD-GOV</t>
  </si>
  <si>
    <t xml:space="preserve">TOP-04-BUILD-ORG</t>
  </si>
  <si>
    <t xml:space="preserve">TOP-04-BUILD-RES</t>
  </si>
  <si>
    <t xml:space="preserve">TOP-04-BUILD-PROC</t>
  </si>
  <si>
    <t xml:space="preserve">TOP-04-BUILD-OUT1</t>
  </si>
  <si>
    <t xml:space="preserve">TOP-04-OPERATE-KPI</t>
  </si>
  <si>
    <t xml:space="preserve">TOP-04-OPERATE-GOV</t>
  </si>
  <si>
    <t xml:space="preserve">TOP-04-OPERATE-RES</t>
  </si>
  <si>
    <t xml:space="preserve">TOP-04-OPERATE-PROC</t>
  </si>
  <si>
    <t xml:space="preserve">TOP-04-OPERATE-OUTF</t>
  </si>
  <si>
    <t xml:space="preserve">TOP-05-DESIGN-ROLE</t>
  </si>
  <si>
    <t xml:space="preserve">TOP-05-DESIGN-KPI</t>
  </si>
  <si>
    <t xml:space="preserve">TOP-05-DESIGN-GOV</t>
  </si>
  <si>
    <t xml:space="preserve">TOP-05-DESIGN-ORG</t>
  </si>
  <si>
    <t xml:space="preserve">TOP-05-DESIGN-RES</t>
  </si>
  <si>
    <t xml:space="preserve">TOP-05-DESIGN-PROC</t>
  </si>
  <si>
    <t xml:space="preserve">TOP-05-BUILD-ROLE</t>
  </si>
  <si>
    <t xml:space="preserve">TOP-05-BUILD-KPI</t>
  </si>
  <si>
    <t xml:space="preserve">TOP-05-BUILD-GOV</t>
  </si>
  <si>
    <t xml:space="preserve">TOP-05-BUILD-ORG</t>
  </si>
  <si>
    <t xml:space="preserve">TOP-05-BUILD-RES</t>
  </si>
  <si>
    <t xml:space="preserve">TOP-05-BUILD-PROC</t>
  </si>
  <si>
    <t xml:space="preserve">TOP-05-BUILD-OUT1</t>
  </si>
  <si>
    <t xml:space="preserve">TOP-05-OPERATE-KPI</t>
  </si>
  <si>
    <t xml:space="preserve">TOP-05-OPERATE-GOV</t>
  </si>
  <si>
    <t xml:space="preserve">TOP-05-OPERATE-RES</t>
  </si>
  <si>
    <t xml:space="preserve">TOP-05-OPERATE-PROC</t>
  </si>
  <si>
    <t xml:space="preserve">TOP-05-OPERATE-OUTF</t>
  </si>
  <si>
    <t xml:space="preserve">EXE-01-DESIGN-ROLE</t>
  </si>
  <si>
    <t xml:space="preserve">EXE-01-DESIGN-KPI</t>
  </si>
  <si>
    <t xml:space="preserve">EXE-01-DESIGN-GOV</t>
  </si>
  <si>
    <t xml:space="preserve">EXE-01-DESIGN-ORG</t>
  </si>
  <si>
    <t xml:space="preserve">EXE-01-DESIGN-RES</t>
  </si>
  <si>
    <t xml:space="preserve">EXE-01-DESIGN-PROC</t>
  </si>
  <si>
    <t xml:space="preserve">EXE-01-BUILD-ROLE</t>
  </si>
  <si>
    <t xml:space="preserve">EXE-01-BUILD-KPI</t>
  </si>
  <si>
    <t xml:space="preserve">EXE-01-BUILD-GOV</t>
  </si>
  <si>
    <t xml:space="preserve">EXE-01-BUILD-ORG</t>
  </si>
  <si>
    <t xml:space="preserve">EXE-01-BUILD-RES</t>
  </si>
  <si>
    <t xml:space="preserve">EXE-01-BUILD-PROC</t>
  </si>
  <si>
    <t xml:space="preserve">EXE-01-BUILD-OUT1</t>
  </si>
  <si>
    <t xml:space="preserve">EXE-01-OPERATE-KPI</t>
  </si>
  <si>
    <t xml:space="preserve">EXE-01-OPERATE-GOV</t>
  </si>
  <si>
    <t xml:space="preserve">EXE-01-OPERATE-RES</t>
  </si>
  <si>
    <t xml:space="preserve">EXE-01-OPERATE-PROC</t>
  </si>
  <si>
    <t xml:space="preserve">EXE-01-OPERATE-OUTF</t>
  </si>
  <si>
    <t xml:space="preserve">EXE-02-DESIGN-ROLE</t>
  </si>
  <si>
    <t xml:space="preserve">EXE-02-DESIGN-KPI</t>
  </si>
  <si>
    <t xml:space="preserve">EXE-02-DESIGN-GOV</t>
  </si>
  <si>
    <t xml:space="preserve">EXE-02-DESIGN-ORG</t>
  </si>
  <si>
    <t xml:space="preserve">EXE-02-DESIGN-RES</t>
  </si>
  <si>
    <t xml:space="preserve">EXE-02-DESIGN-PROC</t>
  </si>
  <si>
    <t xml:space="preserve">EXE-02-BUILD-ROLE</t>
  </si>
  <si>
    <t xml:space="preserve">EXE-02-BUILD-KPI</t>
  </si>
  <si>
    <t xml:space="preserve">EXE-02-BUILD-GOV</t>
  </si>
  <si>
    <t xml:space="preserve">EXE-02-BUILD-ORG</t>
  </si>
  <si>
    <t xml:space="preserve">EXE-02-BUILD-RES</t>
  </si>
  <si>
    <t xml:space="preserve">EXE-02-BUILD-PROC</t>
  </si>
  <si>
    <t xml:space="preserve">EXE-02-BUILD-OUT1</t>
  </si>
  <si>
    <t xml:space="preserve">EXE-02-OPERATE-KPI</t>
  </si>
  <si>
    <t xml:space="preserve">EXE-02-OPERATE-GOV</t>
  </si>
  <si>
    <t xml:space="preserve">EXE-02-OPERATE-RES</t>
  </si>
  <si>
    <t xml:space="preserve">EXE-02-OPERATE-PROC</t>
  </si>
  <si>
    <t xml:space="preserve">EXE-02-OPERATE-OUTF</t>
  </si>
  <si>
    <t xml:space="preserve">EXE-03-DESIGN-ROLE</t>
  </si>
  <si>
    <t xml:space="preserve">EXE-03-DESIGN-KPI</t>
  </si>
  <si>
    <t xml:space="preserve">EXE-03-DESIGN-GOV</t>
  </si>
  <si>
    <t xml:space="preserve">EXE-03-DESIGN-ORG</t>
  </si>
  <si>
    <t xml:space="preserve">EXE-03-DESIGN-RES</t>
  </si>
  <si>
    <t xml:space="preserve">EXE-03-DESIGN-PROC</t>
  </si>
  <si>
    <t xml:space="preserve">EXE-03-BUILD-ROLE</t>
  </si>
  <si>
    <t xml:space="preserve">EXE-03-BUILD-KPI</t>
  </si>
  <si>
    <t xml:space="preserve">EXE-03-BUILD-GOV</t>
  </si>
  <si>
    <t xml:space="preserve">EXE-03-BUILD-ORG</t>
  </si>
  <si>
    <t xml:space="preserve">EXE-03-BUILD-RES</t>
  </si>
  <si>
    <t xml:space="preserve">EXE-03-BUILD-PROC</t>
  </si>
  <si>
    <t xml:space="preserve">EXE-03-BUILD-OUT1</t>
  </si>
  <si>
    <t xml:space="preserve">EXE-03-OPERATE-KPI</t>
  </si>
  <si>
    <t xml:space="preserve">EXE-03-OPERATE-GOV</t>
  </si>
  <si>
    <t xml:space="preserve">EXE-03-OPERATE-RES</t>
  </si>
  <si>
    <t xml:space="preserve">EXE-03-OPERATE-PROC</t>
  </si>
  <si>
    <t xml:space="preserve">EXE-03-OPERATE-OUTF</t>
  </si>
  <si>
    <t xml:space="preserve">EXE-04-DESIGN-ROLE</t>
  </si>
  <si>
    <t xml:space="preserve">EXE-04-DESIGN-KPI</t>
  </si>
  <si>
    <t xml:space="preserve">EXE-04-DESIGN-GOV</t>
  </si>
  <si>
    <t xml:space="preserve">EXE-04-DESIGN-ORG</t>
  </si>
  <si>
    <t xml:space="preserve">EXE-04-DESIGN-RES</t>
  </si>
  <si>
    <t xml:space="preserve">EXE-04-DESIGN-PROC</t>
  </si>
  <si>
    <t xml:space="preserve">EXE-04-BUILD-ROLE</t>
  </si>
  <si>
    <t xml:space="preserve">EXE-04-BUILD-KPI</t>
  </si>
  <si>
    <t xml:space="preserve">EXE-04-BUILD-GOV</t>
  </si>
  <si>
    <t xml:space="preserve">EXE-04-BUILD-ORG</t>
  </si>
  <si>
    <t xml:space="preserve">EXE-04-BUILD-RES</t>
  </si>
  <si>
    <t xml:space="preserve">EXE-04-BUILD-PROC</t>
  </si>
  <si>
    <t xml:space="preserve">EXE-04-BUILD-OUT1</t>
  </si>
  <si>
    <t xml:space="preserve">EXE-04-OPERATE-KPI</t>
  </si>
  <si>
    <t xml:space="preserve">EXE-04-OPERATE-GOV</t>
  </si>
  <si>
    <t xml:space="preserve">EXE-04-OPERATE-RES</t>
  </si>
  <si>
    <t xml:space="preserve">EXE-04-OPERATE-PROC</t>
  </si>
  <si>
    <t xml:space="preserve">EXE-04-OPERATE-OUTF</t>
  </si>
  <si>
    <t xml:space="preserve">EXE-05-DESIGN-ROLE</t>
  </si>
  <si>
    <t xml:space="preserve">EXE-05-DESIGN-KPI</t>
  </si>
  <si>
    <t xml:space="preserve">EXE-05-DESIGN-GOV</t>
  </si>
  <si>
    <t xml:space="preserve">EXE-05-DESIGN-ORG</t>
  </si>
  <si>
    <t xml:space="preserve">EXE-05-DESIGN-RES</t>
  </si>
  <si>
    <t xml:space="preserve">EXE-05-DESIGN-PROC</t>
  </si>
  <si>
    <t xml:space="preserve">EXE-05-BUILD-ROLE</t>
  </si>
  <si>
    <t xml:space="preserve">EXE-05-BUILD-KPI</t>
  </si>
  <si>
    <t xml:space="preserve">EXE-05-BUILD-GOV</t>
  </si>
  <si>
    <t xml:space="preserve">EXE-05-BUILD-ORG</t>
  </si>
  <si>
    <t xml:space="preserve">EXE-05-BUILD-RES</t>
  </si>
  <si>
    <t xml:space="preserve">EXE-05-BUILD-PROC</t>
  </si>
  <si>
    <t xml:space="preserve">EXE-05-BUILD-OUT1</t>
  </si>
  <si>
    <t xml:space="preserve">EXE-05-OPERATE-KPI</t>
  </si>
  <si>
    <t xml:space="preserve">EXE-05-OPERATE-GOV</t>
  </si>
  <si>
    <t xml:space="preserve">EXE-05-OPERATE-RES</t>
  </si>
  <si>
    <t xml:space="preserve">EXE-05-OPERATE-PROC</t>
  </si>
  <si>
    <t xml:space="preserve">EXE-05-OPERATE-OUTF</t>
  </si>
  <si>
    <t xml:space="preserve">EXE-06-DESIGN-ROLE</t>
  </si>
  <si>
    <t xml:space="preserve">EXE-06-DESIGN-KPI</t>
  </si>
  <si>
    <t xml:space="preserve">EXE-06-DESIGN-GOV</t>
  </si>
  <si>
    <t xml:space="preserve">EXE-06-DESIGN-ORG</t>
  </si>
  <si>
    <t xml:space="preserve">EXE-06-DESIGN-RES</t>
  </si>
  <si>
    <t xml:space="preserve">EXE-06-DESIGN-PROC</t>
  </si>
  <si>
    <t xml:space="preserve">EXE-06-BUILD-ROLE</t>
  </si>
  <si>
    <t xml:space="preserve">EXE-06-BUILD-KPI</t>
  </si>
  <si>
    <t xml:space="preserve">EXE-06-BUILD-GOV</t>
  </si>
  <si>
    <t xml:space="preserve">EXE-06-BUILD-ORG</t>
  </si>
  <si>
    <t xml:space="preserve">EXE-06-BUILD-RES</t>
  </si>
  <si>
    <t xml:space="preserve">EXE-06-BUILD-PROC</t>
  </si>
  <si>
    <t xml:space="preserve">EXE-06-BUILD-OUT1</t>
  </si>
  <si>
    <t xml:space="preserve">EXE-06-OPERATE-KPI</t>
  </si>
  <si>
    <t xml:space="preserve">EXE-06-OPERATE-GOV</t>
  </si>
  <si>
    <t xml:space="preserve">EXE-06-OPERATE-RES</t>
  </si>
  <si>
    <t xml:space="preserve">EXE-06-OPERATE-PROC</t>
  </si>
  <si>
    <t xml:space="preserve">EXE-06-OPERATE-OUTF</t>
  </si>
  <si>
    <t xml:space="preserve">EXE-07-DESIGN-ROLE</t>
  </si>
  <si>
    <t xml:space="preserve">EXE-07-DESIGN-KPI</t>
  </si>
  <si>
    <t xml:space="preserve">EXE-07-DESIGN-GOV</t>
  </si>
  <si>
    <t xml:space="preserve">EXE-07-DESIGN-ORG</t>
  </si>
  <si>
    <t xml:space="preserve">EXE-07-DESIGN-RES</t>
  </si>
  <si>
    <t xml:space="preserve">EXE-07-DESIGN-PROC</t>
  </si>
  <si>
    <t xml:space="preserve">EXE-07-BUILD-ROLE</t>
  </si>
  <si>
    <t xml:space="preserve">EXE-07-BUILD-KPI</t>
  </si>
  <si>
    <t xml:space="preserve">EXE-07-BUILD-GOV</t>
  </si>
  <si>
    <t xml:space="preserve">EXE-07-BUILD-ORG</t>
  </si>
  <si>
    <t xml:space="preserve">EXE-07-BUILD-RES</t>
  </si>
  <si>
    <t xml:space="preserve">EXE-07-BUILD-PROC</t>
  </si>
  <si>
    <t xml:space="preserve">EXE-07-BUILD-OUT1</t>
  </si>
  <si>
    <t xml:space="preserve">EXE-07-OPERATE-KPI</t>
  </si>
  <si>
    <t xml:space="preserve">EXE-07-OPERATE-GOV</t>
  </si>
  <si>
    <t xml:space="preserve">EXE-07-OPERATE-RES</t>
  </si>
  <si>
    <t xml:space="preserve">EXE-07-OPERATE-PROC</t>
  </si>
  <si>
    <t xml:space="preserve">EXE-07-OPERATE-OUTF</t>
  </si>
  <si>
    <t xml:space="preserve">EXE-08-DESIGN-ROLE</t>
  </si>
  <si>
    <t xml:space="preserve">EXE-08-DESIGN-KPI</t>
  </si>
  <si>
    <t xml:space="preserve">EXE-08-DESIGN-GOV</t>
  </si>
  <si>
    <t xml:space="preserve">EXE-08-DESIGN-ORG</t>
  </si>
  <si>
    <t xml:space="preserve">EXE-08-DESIGN-RES</t>
  </si>
  <si>
    <t xml:space="preserve">EXE-08-DESIGN-PROC</t>
  </si>
  <si>
    <t xml:space="preserve">EXE-08-BUILD-ROLE</t>
  </si>
  <si>
    <t xml:space="preserve">EXE-08-BUILD-KPI</t>
  </si>
  <si>
    <t xml:space="preserve">EXE-08-BUILD-GOV</t>
  </si>
  <si>
    <t xml:space="preserve">EXE-08-BUILD-ORG</t>
  </si>
  <si>
    <t xml:space="preserve">EXE-08-BUILD-RES</t>
  </si>
  <si>
    <t xml:space="preserve">EXE-08-BUILD-PROC</t>
  </si>
  <si>
    <t xml:space="preserve">EXE-08-BUILD-OUT1</t>
  </si>
  <si>
    <t xml:space="preserve">EXE-08-OPERATE-KPI</t>
  </si>
  <si>
    <t xml:space="preserve">EXE-08-OPERATE-GOV</t>
  </si>
  <si>
    <t xml:space="preserve">EXE-08-OPERATE-RES</t>
  </si>
  <si>
    <t xml:space="preserve">EXE-08-OPERATE-PROC</t>
  </si>
  <si>
    <t xml:space="preserve">EXE-08-OPERATE-OUTF</t>
  </si>
  <si>
    <t xml:space="preserve">EXE-09-DESIGN-ROLE</t>
  </si>
  <si>
    <t xml:space="preserve">EXE-09-DESIGN-KPI</t>
  </si>
  <si>
    <t xml:space="preserve">EXE-09-DESIGN-GOV</t>
  </si>
  <si>
    <t xml:space="preserve">EXE-09-DESIGN-ORG</t>
  </si>
  <si>
    <t xml:space="preserve">EXE-09-DESIGN-RES</t>
  </si>
  <si>
    <t xml:space="preserve">EXE-09-DESIGN-PROC</t>
  </si>
  <si>
    <t xml:space="preserve">EXE-09-BUILD-ROLE</t>
  </si>
  <si>
    <t xml:space="preserve">EXE-09-BUILD-KPI</t>
  </si>
  <si>
    <t xml:space="preserve">EXE-09-BUILD-GOV</t>
  </si>
  <si>
    <t xml:space="preserve">EXE-09-BUILD-ORG</t>
  </si>
  <si>
    <t xml:space="preserve">EXE-09-BUILD-RES</t>
  </si>
  <si>
    <t xml:space="preserve">EXE-09-BUILD-PROC</t>
  </si>
  <si>
    <t xml:space="preserve">EXE-09-BUILD-OUT1</t>
  </si>
  <si>
    <t xml:space="preserve">EXE-09-OPERATE-KPI</t>
  </si>
  <si>
    <t xml:space="preserve">EXE-09-OPERATE-GOV</t>
  </si>
  <si>
    <t xml:space="preserve">EXE-09-OPERATE-RES</t>
  </si>
  <si>
    <t xml:space="preserve">EXE-09-OPERATE-PROC</t>
  </si>
  <si>
    <t xml:space="preserve">EXE-09-OPERATE-OUTF</t>
  </si>
  <si>
    <t xml:space="preserve">EXE-10-DESIGN-ROLE</t>
  </si>
  <si>
    <t xml:space="preserve">EXE-10-DESIGN-KPI</t>
  </si>
  <si>
    <t xml:space="preserve">EXE-10-DESIGN-GOV</t>
  </si>
  <si>
    <t xml:space="preserve">EXE-10-DESIGN-ORG</t>
  </si>
  <si>
    <t xml:space="preserve">EXE-10-DESIGN-RES</t>
  </si>
  <si>
    <t xml:space="preserve">EXE-10-DESIGN-PROC</t>
  </si>
  <si>
    <t xml:space="preserve">EXE-10-BUILD-ROLE</t>
  </si>
  <si>
    <t xml:space="preserve">EXE-10-BUILD-KPI</t>
  </si>
  <si>
    <t xml:space="preserve">EXE-10-BUILD-GOV</t>
  </si>
  <si>
    <t xml:space="preserve">EXE-10-BUILD-ORG</t>
  </si>
  <si>
    <t xml:space="preserve">EXE-10-BUILD-RES</t>
  </si>
  <si>
    <t xml:space="preserve">EXE-10-BUILD-PROC</t>
  </si>
  <si>
    <t xml:space="preserve">EXE-10-BUILD-OUT1</t>
  </si>
  <si>
    <t xml:space="preserve">EXE-10-OPERATE-KPI</t>
  </si>
  <si>
    <t xml:space="preserve">EXE-10-OPERATE-GOV</t>
  </si>
  <si>
    <t xml:space="preserve">EXE-10-OPERATE-RES</t>
  </si>
  <si>
    <t xml:space="preserve">EXE-10-OPERATE-PROC</t>
  </si>
  <si>
    <t xml:space="preserve">EXE-10-OPERATE-OUTF</t>
  </si>
  <si>
    <t xml:space="preserve">EXE-11-DESIGN-ROLE</t>
  </si>
  <si>
    <t xml:space="preserve">EXE-11-DESIGN-KPI</t>
  </si>
  <si>
    <t xml:space="preserve">EXE-11-DESIGN-GOV</t>
  </si>
  <si>
    <t xml:space="preserve">EXE-11-DESIGN-ORG</t>
  </si>
  <si>
    <t xml:space="preserve">EXE-11-DESIGN-RES</t>
  </si>
  <si>
    <t xml:space="preserve">EXE-11-DESIGN-PROC</t>
  </si>
  <si>
    <t xml:space="preserve">EXE-11-BUILD-ROLE</t>
  </si>
  <si>
    <t xml:space="preserve">EXE-11-BUILD-KPI</t>
  </si>
  <si>
    <t xml:space="preserve">EXE-11-BUILD-GOV</t>
  </si>
  <si>
    <t xml:space="preserve">EXE-11-BUILD-ORG</t>
  </si>
  <si>
    <t xml:space="preserve">EXE-11-BUILD-RES</t>
  </si>
  <si>
    <t xml:space="preserve">EXE-11-BUILD-PROC</t>
  </si>
  <si>
    <t xml:space="preserve">EXE-11-BUILD-OUT1</t>
  </si>
  <si>
    <t xml:space="preserve">EXE-11-OPERATE-KPI</t>
  </si>
  <si>
    <t xml:space="preserve">EXE-11-OPERATE-GOV</t>
  </si>
  <si>
    <t xml:space="preserve">EXE-11-OPERATE-RES</t>
  </si>
  <si>
    <t xml:space="preserve">EXE-11-OPERATE-PROC</t>
  </si>
  <si>
    <t xml:space="preserve">EXE-11-OPERATE-OUTF</t>
  </si>
  <si>
    <t xml:space="preserve">EXE-12-DESIGN-ROLE</t>
  </si>
  <si>
    <t xml:space="preserve">EXE-12-DESIGN-KPI</t>
  </si>
  <si>
    <t xml:space="preserve">EXE-12-DESIGN-GOV</t>
  </si>
  <si>
    <t xml:space="preserve">EXE-12-DESIGN-ORG</t>
  </si>
  <si>
    <t xml:space="preserve">EXE-12-DESIGN-RES</t>
  </si>
  <si>
    <t xml:space="preserve">EXE-12-DESIGN-PROC</t>
  </si>
  <si>
    <t xml:space="preserve">EXE-12-BUILD-ROLE</t>
  </si>
  <si>
    <t xml:space="preserve">EXE-12-BUILD-KPI</t>
  </si>
  <si>
    <t xml:space="preserve">EXE-12-BUILD-GOV</t>
  </si>
  <si>
    <t xml:space="preserve">EXE-12-BUILD-ORG</t>
  </si>
  <si>
    <t xml:space="preserve">EXE-12-BUILD-RES</t>
  </si>
  <si>
    <t xml:space="preserve">EXE-12-BUILD-PROC</t>
  </si>
  <si>
    <t xml:space="preserve">EXE-12-BUILD-OUT1</t>
  </si>
  <si>
    <t xml:space="preserve">EXE-12-OPERATE-KPI</t>
  </si>
  <si>
    <t xml:space="preserve">EXE-12-OPERATE-GOV</t>
  </si>
  <si>
    <t xml:space="preserve">EXE-12-OPERATE-RES</t>
  </si>
  <si>
    <t xml:space="preserve">EXE-12-OPERATE-PROC</t>
  </si>
  <si>
    <t xml:space="preserve">EXE-12-OPERATE-OUTF</t>
  </si>
  <si>
    <t xml:space="preserve">EXE-13-DESIGN-ROLE</t>
  </si>
  <si>
    <t xml:space="preserve">EXE-13-DESIGN-KPI</t>
  </si>
  <si>
    <t xml:space="preserve">EXE-13-DESIGN-GOV</t>
  </si>
  <si>
    <t xml:space="preserve">EXE-13-DESIGN-ORG</t>
  </si>
  <si>
    <t xml:space="preserve">EXE-13-DESIGN-RES</t>
  </si>
  <si>
    <t xml:space="preserve">EXE-13-DESIGN-PROC</t>
  </si>
  <si>
    <t xml:space="preserve">EXE-13-BUILD-ROLE</t>
  </si>
  <si>
    <t xml:space="preserve">EXE-13-BUILD-KPI</t>
  </si>
  <si>
    <t xml:space="preserve">EXE-13-BUILD-GOV</t>
  </si>
  <si>
    <t xml:space="preserve">EXE-13-BUILD-ORG</t>
  </si>
  <si>
    <t xml:space="preserve">EXE-13-BUILD-RES</t>
  </si>
  <si>
    <t xml:space="preserve">EXE-13-BUILD-PROC</t>
  </si>
  <si>
    <t xml:space="preserve">EXE-13-BUILD-OUT1</t>
  </si>
  <si>
    <t xml:space="preserve">EXE-13-OPERATE-KPI</t>
  </si>
  <si>
    <t xml:space="preserve">EXE-13-OPERATE-GOV</t>
  </si>
  <si>
    <t xml:space="preserve">EXE-13-OPERATE-RES</t>
  </si>
  <si>
    <t xml:space="preserve">EXE-13-OPERATE-PROC</t>
  </si>
  <si>
    <t xml:space="preserve">EXE-13-OPERATE-OUTF</t>
  </si>
  <si>
    <t xml:space="preserve">EXE-14-DESIGN-ROLE</t>
  </si>
  <si>
    <t xml:space="preserve">EXE-14-DESIGN-KPI</t>
  </si>
  <si>
    <t xml:space="preserve">EXE-14-DESIGN-GOV</t>
  </si>
  <si>
    <t xml:space="preserve">EXE-14-DESIGN-ORG</t>
  </si>
  <si>
    <t xml:space="preserve">EXE-14-DESIGN-RES</t>
  </si>
  <si>
    <t xml:space="preserve">EXE-14-DESIGN-PROC</t>
  </si>
  <si>
    <t xml:space="preserve">EXE-14-BUILD-ROLE</t>
  </si>
  <si>
    <t xml:space="preserve">EXE-14-BUILD-KPI</t>
  </si>
  <si>
    <t xml:space="preserve">EXE-14-BUILD-GOV</t>
  </si>
  <si>
    <t xml:space="preserve">EXE-14-BUILD-ORG</t>
  </si>
  <si>
    <t xml:space="preserve">EXE-14-BUILD-RES</t>
  </si>
  <si>
    <t xml:space="preserve">EXE-14-BUILD-PROC</t>
  </si>
  <si>
    <t xml:space="preserve">EXE-14-BUILD-OUT1</t>
  </si>
  <si>
    <t xml:space="preserve">EXE-14-OPERATE-KPI</t>
  </si>
  <si>
    <t xml:space="preserve">EXE-14-OPERATE-GOV</t>
  </si>
  <si>
    <t xml:space="preserve">EXE-14-OPERATE-RES</t>
  </si>
  <si>
    <t xml:space="preserve">EXE-14-OPERATE-PROC</t>
  </si>
  <si>
    <t xml:space="preserve">EXE-14-OPERATE-OUTF</t>
  </si>
  <si>
    <t xml:space="preserve">MIL-01-DESIGN-ROLE</t>
  </si>
  <si>
    <t xml:space="preserve">MIL-01-DESIGN-KPI</t>
  </si>
  <si>
    <t xml:space="preserve">MIL-01-DESIGN-GOV</t>
  </si>
  <si>
    <t xml:space="preserve">MIL-01-DESIGN-ORG</t>
  </si>
  <si>
    <t xml:space="preserve">MIL-01-DESIGN-RES</t>
  </si>
  <si>
    <t xml:space="preserve">MIL-01-DESIGN-PROC</t>
  </si>
  <si>
    <t xml:space="preserve">MIL-01-BUILD-ROLE</t>
  </si>
  <si>
    <t xml:space="preserve">MIL-01-BUILD-KPI</t>
  </si>
  <si>
    <t xml:space="preserve">MIL-01-BUILD-GOV</t>
  </si>
  <si>
    <t xml:space="preserve">MIL-01-BUILD-ORG</t>
  </si>
  <si>
    <t xml:space="preserve">MIL-01-BUILD-RES</t>
  </si>
  <si>
    <t xml:space="preserve">MIL-01-BUILD-PROC</t>
  </si>
  <si>
    <t xml:space="preserve">MIL-01-BUILD-OUT1</t>
  </si>
  <si>
    <t xml:space="preserve">MIL-01-OPERATE-KPI</t>
  </si>
  <si>
    <t xml:space="preserve">MIL-01-OPERATE-GOV</t>
  </si>
  <si>
    <t xml:space="preserve">MIL-01-OPERATE-RES</t>
  </si>
  <si>
    <t xml:space="preserve">MIL-01-OPERATE-PROC</t>
  </si>
  <si>
    <t xml:space="preserve">MIL-01-OPERATE-OUTF</t>
  </si>
  <si>
    <t xml:space="preserve">MIL-02-DESIGN-ROLE</t>
  </si>
  <si>
    <t xml:space="preserve">MIL-02-DESIGN-KPI</t>
  </si>
  <si>
    <t xml:space="preserve">MIL-02-DESIGN-GOV</t>
  </si>
  <si>
    <t xml:space="preserve">MIL-02-DESIGN-ORG</t>
  </si>
  <si>
    <t xml:space="preserve">MIL-02-DESIGN-RES</t>
  </si>
  <si>
    <t xml:space="preserve">MIL-02-DESIGN-PROC</t>
  </si>
  <si>
    <t xml:space="preserve">MIL-02-BUILD-ROLE</t>
  </si>
  <si>
    <t xml:space="preserve">MIL-02-BUILD-KPI</t>
  </si>
  <si>
    <t xml:space="preserve">MIL-02-BUILD-GOV</t>
  </si>
  <si>
    <t xml:space="preserve">MIL-02-BUILD-ORG</t>
  </si>
  <si>
    <t xml:space="preserve">MIL-02-BUILD-RES</t>
  </si>
  <si>
    <t xml:space="preserve">MIL-02-BUILD-PROC</t>
  </si>
  <si>
    <t xml:space="preserve">MIL-02-BUILD-OUT1</t>
  </si>
  <si>
    <t xml:space="preserve">MIL-02-OPERATE-KPI</t>
  </si>
  <si>
    <t xml:space="preserve">MIL-02-OPERATE-GOV</t>
  </si>
  <si>
    <t xml:space="preserve">MIL-02-OPERATE-RES</t>
  </si>
  <si>
    <t xml:space="preserve">MIL-02-OPERATE-PROC</t>
  </si>
  <si>
    <t xml:space="preserve">MIL-02-OPERATE-OUTF</t>
  </si>
  <si>
    <t xml:space="preserve">MIL-03-DESIGN-ROLE</t>
  </si>
  <si>
    <t xml:space="preserve">MIL-03-DESIGN-KPI</t>
  </si>
  <si>
    <t xml:space="preserve">MIL-03-DESIGN-GOV</t>
  </si>
  <si>
    <t xml:space="preserve">MIL-03-DESIGN-ORG</t>
  </si>
  <si>
    <t xml:space="preserve">MIL-03-DESIGN-RES</t>
  </si>
  <si>
    <t xml:space="preserve">MIL-03-DESIGN-PROC</t>
  </si>
  <si>
    <t xml:space="preserve">MIL-03-BUILD-ROLE</t>
  </si>
  <si>
    <t xml:space="preserve">MIL-03-BUILD-KPI</t>
  </si>
  <si>
    <t xml:space="preserve">MIL-03-BUILD-GOV</t>
  </si>
  <si>
    <t xml:space="preserve">MIL-03-BUILD-ORG</t>
  </si>
  <si>
    <t xml:space="preserve">MIL-03-BUILD-RES</t>
  </si>
  <si>
    <t xml:space="preserve">MIL-03-BUILD-PROC</t>
  </si>
  <si>
    <t xml:space="preserve">MIL-03-BUILD-OUT1</t>
  </si>
  <si>
    <t xml:space="preserve">MIL-03-OPERATE-KPI</t>
  </si>
  <si>
    <t xml:space="preserve">MIL-03-OPERATE-GOV</t>
  </si>
  <si>
    <t xml:space="preserve">MIL-03-OPERATE-RES</t>
  </si>
  <si>
    <t xml:space="preserve">MIL-03-OPERATE-PROC</t>
  </si>
  <si>
    <t xml:space="preserve">MIL-03-OPERATE-OUTF</t>
  </si>
  <si>
    <t xml:space="preserve">MIL-04-DESIGN-ROLE</t>
  </si>
  <si>
    <t xml:space="preserve">MIL-04-DESIGN-KPI</t>
  </si>
  <si>
    <t xml:space="preserve">MIL-04-DESIGN-GOV</t>
  </si>
  <si>
    <t xml:space="preserve">MIL-04-DESIGN-ORG</t>
  </si>
  <si>
    <t xml:space="preserve">MIL-04-DESIGN-RES</t>
  </si>
  <si>
    <t xml:space="preserve">MIL-04-DESIGN-PROC</t>
  </si>
  <si>
    <t xml:space="preserve">MIL-04-BUILD-ROLE</t>
  </si>
  <si>
    <t xml:space="preserve">MIL-04-BUILD-KPI</t>
  </si>
  <si>
    <t xml:space="preserve">MIL-04-BUILD-GOV</t>
  </si>
  <si>
    <t xml:space="preserve">MIL-04-BUILD-ORG</t>
  </si>
  <si>
    <t xml:space="preserve">MIL-04-BUILD-RES</t>
  </si>
  <si>
    <t xml:space="preserve">MIL-04-BUILD-PROC</t>
  </si>
  <si>
    <t xml:space="preserve">MIL-04-BUILD-OUT1</t>
  </si>
  <si>
    <t xml:space="preserve">MIL-04-OPERATE-KPI</t>
  </si>
  <si>
    <t xml:space="preserve">MIL-04-OPERATE-GOV</t>
  </si>
  <si>
    <t xml:space="preserve">MIL-04-OPERATE-RES</t>
  </si>
  <si>
    <t xml:space="preserve">MIL-04-OPERATE-PROC</t>
  </si>
  <si>
    <t xml:space="preserve">MIL-04-OPERATE-OUTF</t>
  </si>
  <si>
    <t xml:space="preserve">MIL-05-DESIGN-ROLE</t>
  </si>
  <si>
    <t xml:space="preserve">MIL-05-DESIGN-KPI</t>
  </si>
  <si>
    <t xml:space="preserve">MIL-05-DESIGN-GOV</t>
  </si>
  <si>
    <t xml:space="preserve">MIL-05-DESIGN-ORG</t>
  </si>
  <si>
    <t xml:space="preserve">MIL-05-DESIGN-RES</t>
  </si>
  <si>
    <t xml:space="preserve">MIL-05-DESIGN-PROC</t>
  </si>
  <si>
    <t xml:space="preserve">MIL-05-BUILD-ROLE</t>
  </si>
  <si>
    <t xml:space="preserve">MIL-05-BUILD-KPI</t>
  </si>
  <si>
    <t xml:space="preserve">MIL-05-BUILD-GOV</t>
  </si>
  <si>
    <t xml:space="preserve">MIL-05-BUILD-ORG</t>
  </si>
  <si>
    <t xml:space="preserve">MIL-05-BUILD-RES</t>
  </si>
  <si>
    <t xml:space="preserve">MIL-05-BUILD-PROC</t>
  </si>
  <si>
    <t xml:space="preserve">MIL-05-BUILD-OUT1</t>
  </si>
  <si>
    <t xml:space="preserve">MIL-05-OPERATE-KPI</t>
  </si>
  <si>
    <t xml:space="preserve">MIL-05-OPERATE-GOV</t>
  </si>
  <si>
    <t xml:space="preserve">MIL-05-OPERATE-RES</t>
  </si>
  <si>
    <t xml:space="preserve">MIL-05-OPERATE-PROC</t>
  </si>
  <si>
    <t xml:space="preserve">MIL-05-OPERATE-OUTF</t>
  </si>
  <si>
    <t xml:space="preserve">MIL-06-DESIGN-ROLE</t>
  </si>
  <si>
    <t xml:space="preserve">MIL-06-DESIGN-KPI</t>
  </si>
  <si>
    <t xml:space="preserve">MIL-06-DESIGN-GOV</t>
  </si>
  <si>
    <t xml:space="preserve">MIL-06-DESIGN-ORG</t>
  </si>
  <si>
    <t xml:space="preserve">MIL-06-DESIGN-RES</t>
  </si>
  <si>
    <t xml:space="preserve">MIL-06-DESIGN-PROC</t>
  </si>
  <si>
    <t xml:space="preserve">MIL-06-BUILD-ROLE</t>
  </si>
  <si>
    <t xml:space="preserve">MIL-06-BUILD-KPI</t>
  </si>
  <si>
    <t xml:space="preserve">MIL-06-BUILD-GOV</t>
  </si>
  <si>
    <t xml:space="preserve">MIL-06-BUILD-ORG</t>
  </si>
  <si>
    <t xml:space="preserve">MIL-06-BUILD-RES</t>
  </si>
  <si>
    <t xml:space="preserve">MIL-06-BUILD-PROC</t>
  </si>
  <si>
    <t xml:space="preserve">MIL-06-BUILD-OUT1</t>
  </si>
  <si>
    <t xml:space="preserve">MIL-06-OPERATE-KPI</t>
  </si>
  <si>
    <t xml:space="preserve">MIL-06-OPERATE-GOV</t>
  </si>
  <si>
    <t xml:space="preserve">MIL-06-OPERATE-RES</t>
  </si>
  <si>
    <t xml:space="preserve">MIL-06-OPERATE-PROC</t>
  </si>
  <si>
    <t xml:space="preserve">MIL-06-OPERATE-OUTF</t>
  </si>
  <si>
    <t xml:space="preserve">MIL-07-DESIGN-ROLE</t>
  </si>
  <si>
    <t xml:space="preserve">MIL-07-DESIGN-KPI</t>
  </si>
  <si>
    <t xml:space="preserve">MIL-07-DESIGN-GOV</t>
  </si>
  <si>
    <t xml:space="preserve">MIL-07-DESIGN-ORG</t>
  </si>
  <si>
    <t xml:space="preserve">MIL-07-DESIGN-RES</t>
  </si>
  <si>
    <t xml:space="preserve">MIL-07-DESIGN-PROC</t>
  </si>
  <si>
    <t xml:space="preserve">MIL-07-BUILD-ROLE</t>
  </si>
  <si>
    <t xml:space="preserve">MIL-07-BUILD-KPI</t>
  </si>
  <si>
    <t xml:space="preserve">MIL-07-BUILD-GOV</t>
  </si>
  <si>
    <t xml:space="preserve">MIL-07-BUILD-ORG</t>
  </si>
  <si>
    <t xml:space="preserve">MIL-07-BUILD-RES</t>
  </si>
  <si>
    <t xml:space="preserve">MIL-07-BUILD-PROC</t>
  </si>
  <si>
    <t xml:space="preserve">MIL-07-BUILD-OUT1</t>
  </si>
  <si>
    <t xml:space="preserve">MIL-07-OPERATE-KPI</t>
  </si>
  <si>
    <t xml:space="preserve">MIL-07-OPERATE-GOV</t>
  </si>
  <si>
    <t xml:space="preserve">MIL-07-OPERATE-RES</t>
  </si>
  <si>
    <t xml:space="preserve">MIL-07-OPERATE-PROC</t>
  </si>
  <si>
    <t xml:space="preserve">MIL-07-OPERATE-OUTF</t>
  </si>
  <si>
    <t xml:space="preserve">MIL-08-DESIGN-ROLE</t>
  </si>
  <si>
    <t xml:space="preserve">MIL-08-DESIGN-KPI</t>
  </si>
  <si>
    <t xml:space="preserve">MIL-08-DESIGN-GOV</t>
  </si>
  <si>
    <t xml:space="preserve">MIL-08-DESIGN-ORG</t>
  </si>
  <si>
    <t xml:space="preserve">MIL-08-DESIGN-RES</t>
  </si>
  <si>
    <t xml:space="preserve">MIL-08-DESIGN-PROC</t>
  </si>
  <si>
    <t xml:space="preserve">MIL-08-BUILD-ROLE</t>
  </si>
  <si>
    <t xml:space="preserve">MIL-08-BUILD-KPI</t>
  </si>
  <si>
    <t xml:space="preserve">MIL-08-BUILD-GOV</t>
  </si>
  <si>
    <t xml:space="preserve">MIL-08-BUILD-ORG</t>
  </si>
  <si>
    <t xml:space="preserve">MIL-08-BUILD-RES</t>
  </si>
  <si>
    <t xml:space="preserve">MIL-08-BUILD-PROC</t>
  </si>
  <si>
    <t xml:space="preserve">MIL-08-BUILD-OUT1</t>
  </si>
  <si>
    <t xml:space="preserve">MIL-08-OPERATE-KPI</t>
  </si>
  <si>
    <t xml:space="preserve">MIL-08-OPERATE-GOV</t>
  </si>
  <si>
    <t xml:space="preserve">MIL-08-OPERATE-RES</t>
  </si>
  <si>
    <t xml:space="preserve">MIL-08-OPERATE-PROC</t>
  </si>
  <si>
    <t xml:space="preserve">MIL-08-OPERATE-OUTF</t>
  </si>
  <si>
    <t xml:space="preserve">MIL-09-DESIGN-ROLE</t>
  </si>
  <si>
    <t xml:space="preserve">MIL-09-DESIGN-KPI</t>
  </si>
  <si>
    <t xml:space="preserve">MIL-09-DESIGN-GOV</t>
  </si>
  <si>
    <t xml:space="preserve">MIL-09-DESIGN-ORG</t>
  </si>
  <si>
    <t xml:space="preserve">MIL-09-DESIGN-RES</t>
  </si>
  <si>
    <t xml:space="preserve">MIL-09-DESIGN-PROC</t>
  </si>
  <si>
    <t xml:space="preserve">MIL-09-BUILD-ROLE</t>
  </si>
  <si>
    <t xml:space="preserve">MIL-09-BUILD-KPI</t>
  </si>
  <si>
    <t xml:space="preserve">MIL-09-BUILD-GOV</t>
  </si>
  <si>
    <t xml:space="preserve">MIL-09-BUILD-ORG</t>
  </si>
  <si>
    <t xml:space="preserve">MIL-09-BUILD-RES</t>
  </si>
  <si>
    <t xml:space="preserve">MIL-09-BUILD-PROC</t>
  </si>
  <si>
    <t xml:space="preserve">MIL-09-BUILD-OUT1</t>
  </si>
  <si>
    <t xml:space="preserve">MIL-09-OPERATE-KPI</t>
  </si>
  <si>
    <t xml:space="preserve">MIL-09-OPERATE-GOV</t>
  </si>
  <si>
    <t xml:space="preserve">MIL-09-OPERATE-RES</t>
  </si>
  <si>
    <t xml:space="preserve">MIL-09-OPERATE-PROC</t>
  </si>
  <si>
    <t xml:space="preserve">MIL-09-OPERATE-OUTF</t>
  </si>
  <si>
    <t xml:space="preserve">MIL-10-DESIGN-ROLE</t>
  </si>
  <si>
    <t xml:space="preserve">MIL-10-DESIGN-KPI</t>
  </si>
  <si>
    <t xml:space="preserve">MIL-10-DESIGN-GOV</t>
  </si>
  <si>
    <t xml:space="preserve">MIL-10-DESIGN-ORG</t>
  </si>
  <si>
    <t xml:space="preserve">MIL-10-DESIGN-RES</t>
  </si>
  <si>
    <t xml:space="preserve">MIL-10-DESIGN-PROC</t>
  </si>
  <si>
    <t xml:space="preserve">MIL-10-BUILD-ROLE</t>
  </si>
  <si>
    <t xml:space="preserve">MIL-10-BUILD-KPI</t>
  </si>
  <si>
    <t xml:space="preserve">MIL-10-BUILD-GOV</t>
  </si>
  <si>
    <t xml:space="preserve">MIL-10-BUILD-ORG</t>
  </si>
  <si>
    <t xml:space="preserve">MIL-10-BUILD-RES</t>
  </si>
  <si>
    <t xml:space="preserve">MIL-10-BUILD-PROC</t>
  </si>
  <si>
    <t xml:space="preserve">MIL-10-BUILD-OUT1</t>
  </si>
  <si>
    <t xml:space="preserve">MIL-10-OPERATE-KPI</t>
  </si>
  <si>
    <t xml:space="preserve">MIL-10-OPERATE-GOV</t>
  </si>
  <si>
    <t xml:space="preserve">MIL-10-OPERATE-RES</t>
  </si>
  <si>
    <t xml:space="preserve">MIL-10-OPERATE-PROC</t>
  </si>
  <si>
    <t xml:space="preserve">MIL-10-OPERATE-OUTF</t>
  </si>
  <si>
    <t xml:space="preserve">MIL-11-DESIGN-ROLE</t>
  </si>
  <si>
    <t xml:space="preserve">MIL-11-DESIGN-KPI</t>
  </si>
  <si>
    <t xml:space="preserve">MIL-11-DESIGN-GOV</t>
  </si>
  <si>
    <t xml:space="preserve">MIL-11-DESIGN-ORG</t>
  </si>
  <si>
    <t xml:space="preserve">MIL-11-DESIGN-RES</t>
  </si>
  <si>
    <t xml:space="preserve">MIL-11-DESIGN-PROC</t>
  </si>
  <si>
    <t xml:space="preserve">MIL-11-BUILD-ROLE</t>
  </si>
  <si>
    <t xml:space="preserve">MIL-11-BUILD-KPI</t>
  </si>
  <si>
    <t xml:space="preserve">MIL-11-BUILD-GOV</t>
  </si>
  <si>
    <t xml:space="preserve">MIL-11-BUILD-ORG</t>
  </si>
  <si>
    <t xml:space="preserve">MIL-11-BUILD-RES</t>
  </si>
  <si>
    <t xml:space="preserve">MIL-11-BUILD-PROC</t>
  </si>
  <si>
    <t xml:space="preserve">MIL-11-BUILD-OUT1</t>
  </si>
  <si>
    <t xml:space="preserve">MIL-11-OPERATE-KPI</t>
  </si>
  <si>
    <t xml:space="preserve">MIL-11-OPERATE-GOV</t>
  </si>
  <si>
    <t xml:space="preserve">MIL-11-OPERATE-RES</t>
  </si>
  <si>
    <t xml:space="preserve">MIL-11-OPERATE-PROC</t>
  </si>
  <si>
    <t xml:space="preserve">MIL-11-OPERATE-OUTF</t>
  </si>
  <si>
    <t xml:space="preserve">MIL-12-DESIGN-ROLE</t>
  </si>
  <si>
    <t xml:space="preserve">MIL-12-DESIGN-KPI</t>
  </si>
  <si>
    <t xml:space="preserve">MIL-12-DESIGN-GOV</t>
  </si>
  <si>
    <t xml:space="preserve">MIL-12-DESIGN-ORG</t>
  </si>
  <si>
    <t xml:space="preserve">MIL-12-DESIGN-RES</t>
  </si>
  <si>
    <t xml:space="preserve">MIL-12-DESIGN-PROC</t>
  </si>
  <si>
    <t xml:space="preserve">MIL-12-BUILD-ROLE</t>
  </si>
  <si>
    <t xml:space="preserve">MIL-12-BUILD-KPI</t>
  </si>
  <si>
    <t xml:space="preserve">MIL-12-BUILD-GOV</t>
  </si>
  <si>
    <t xml:space="preserve">MIL-12-BUILD-ORG</t>
  </si>
  <si>
    <t xml:space="preserve">MIL-12-BUILD-RES</t>
  </si>
  <si>
    <t xml:space="preserve">MIL-12-BUILD-PROC</t>
  </si>
  <si>
    <t xml:space="preserve">MIL-12-BUILD-OUT1</t>
  </si>
  <si>
    <t xml:space="preserve">MIL-12-OPERATE-KPI</t>
  </si>
  <si>
    <t xml:space="preserve">MIL-12-OPERATE-GOV</t>
  </si>
  <si>
    <t xml:space="preserve">MIL-12-OPERATE-RES</t>
  </si>
  <si>
    <t xml:space="preserve">MIL-12-OPERATE-PROC</t>
  </si>
  <si>
    <t xml:space="preserve">MIL-12-OPERATE-OUTF</t>
  </si>
  <si>
    <t xml:space="preserve">MIL-13-DESIGN-ROLE</t>
  </si>
  <si>
    <t xml:space="preserve">MIL-13-DESIGN-KPI</t>
  </si>
  <si>
    <t xml:space="preserve">MIL-13-DESIGN-GOV</t>
  </si>
  <si>
    <t xml:space="preserve">MIL-13-DESIGN-ORG</t>
  </si>
  <si>
    <t xml:space="preserve">MIL-13-DESIGN-RES</t>
  </si>
  <si>
    <t xml:space="preserve">MIL-13-DESIGN-PROC</t>
  </si>
  <si>
    <t xml:space="preserve">MIL-13-BUILD-ROLE</t>
  </si>
  <si>
    <t xml:space="preserve">MIL-13-BUILD-KPI</t>
  </si>
  <si>
    <t xml:space="preserve">MIL-13-BUILD-GOV</t>
  </si>
  <si>
    <t xml:space="preserve">MIL-13-BUILD-ORG</t>
  </si>
  <si>
    <t xml:space="preserve">MIL-13-BUILD-RES</t>
  </si>
  <si>
    <t xml:space="preserve">MIL-13-BUILD-PROC</t>
  </si>
  <si>
    <t xml:space="preserve">MIL-13-BUILD-OUT1</t>
  </si>
  <si>
    <t xml:space="preserve">MIL-13-OPERATE-KPI</t>
  </si>
  <si>
    <t xml:space="preserve">MIL-13-OPERATE-GOV</t>
  </si>
  <si>
    <t xml:space="preserve">MIL-13-OPERATE-RES</t>
  </si>
  <si>
    <t xml:space="preserve">MIL-13-OPERATE-PROC</t>
  </si>
  <si>
    <t xml:space="preserve">MIL-13-OPERATE-OUTF</t>
  </si>
  <si>
    <t xml:space="preserve">MIL-14-DESIGN-ROLE</t>
  </si>
  <si>
    <t xml:space="preserve">MIL-14-DESIGN-KPI</t>
  </si>
  <si>
    <t xml:space="preserve">MIL-14-DESIGN-GOV</t>
  </si>
  <si>
    <t xml:space="preserve">MIL-14-DESIGN-ORG</t>
  </si>
  <si>
    <t xml:space="preserve">MIL-14-DESIGN-RES</t>
  </si>
  <si>
    <t xml:space="preserve">MIL-14-DESIGN-PROC</t>
  </si>
  <si>
    <t xml:space="preserve">MIL-14-BUILD-ROLE</t>
  </si>
  <si>
    <t xml:space="preserve">MIL-14-BUILD-KPI</t>
  </si>
  <si>
    <t xml:space="preserve">MIL-14-BUILD-GOV</t>
  </si>
  <si>
    <t xml:space="preserve">MIL-14-BUILD-ORG</t>
  </si>
  <si>
    <t xml:space="preserve">MIL-14-BUILD-RES</t>
  </si>
  <si>
    <t xml:space="preserve">MIL-14-BUILD-PROC</t>
  </si>
  <si>
    <t xml:space="preserve">MIL-14-BUILD-OUT1</t>
  </si>
  <si>
    <t xml:space="preserve">MIL-14-OPERATE-KPI</t>
  </si>
  <si>
    <t xml:space="preserve">MIL-14-OPERATE-GOV</t>
  </si>
  <si>
    <t xml:space="preserve">MIL-14-OPERATE-RES</t>
  </si>
  <si>
    <t xml:space="preserve">MIL-14-OPERATE-PROC</t>
  </si>
  <si>
    <t xml:space="preserve">MIL-14-OPERATE-OUTF</t>
  </si>
  <si>
    <t xml:space="preserve">MIL-15-DESIGN-ROLE</t>
  </si>
  <si>
    <t xml:space="preserve">MIL-15-DESIGN-KPI</t>
  </si>
  <si>
    <t xml:space="preserve">MIL-15-DESIGN-GOV</t>
  </si>
  <si>
    <t xml:space="preserve">MIL-15-DESIGN-ORG</t>
  </si>
  <si>
    <t xml:space="preserve">MIL-15-DESIGN-RES</t>
  </si>
  <si>
    <t xml:space="preserve">MIL-15-DESIGN-PROC</t>
  </si>
  <si>
    <t xml:space="preserve">MIL-15-BUILD-ROLE</t>
  </si>
  <si>
    <t xml:space="preserve">MIL-15-BUILD-KPI</t>
  </si>
  <si>
    <t xml:space="preserve">MIL-15-BUILD-GOV</t>
  </si>
  <si>
    <t xml:space="preserve">MIL-15-BUILD-ORG</t>
  </si>
  <si>
    <t xml:space="preserve">MIL-15-BUILD-RES</t>
  </si>
  <si>
    <t xml:space="preserve">MIL-15-BUILD-PROC</t>
  </si>
  <si>
    <t xml:space="preserve">MIL-15-BUILD-OUT1</t>
  </si>
  <si>
    <t xml:space="preserve">MIL-15-OPERATE-KPI</t>
  </si>
  <si>
    <t xml:space="preserve">MIL-15-OPERATE-GOV</t>
  </si>
  <si>
    <t xml:space="preserve">MIL-15-OPERATE-RES</t>
  </si>
  <si>
    <t xml:space="preserve">MIL-15-OPERATE-PROC</t>
  </si>
  <si>
    <t xml:space="preserve">MIL-15-OPERATE-OUTF</t>
  </si>
  <si>
    <t xml:space="preserve">MIL-16-DESIGN-ROLE</t>
  </si>
  <si>
    <t xml:space="preserve">MIL-16-DESIGN-KPI</t>
  </si>
  <si>
    <t xml:space="preserve">MIL-16-DESIGN-GOV</t>
  </si>
  <si>
    <t xml:space="preserve">MIL-16-DESIGN-ORG</t>
  </si>
  <si>
    <t xml:space="preserve">MIL-16-DESIGN-RES</t>
  </si>
  <si>
    <t xml:space="preserve">MIL-16-DESIGN-PROC</t>
  </si>
  <si>
    <t xml:space="preserve">MIL-16-BUILD-ROLE</t>
  </si>
  <si>
    <t xml:space="preserve">MIL-16-BUILD-KPI</t>
  </si>
  <si>
    <t xml:space="preserve">MIL-16-BUILD-GOV</t>
  </si>
  <si>
    <t xml:space="preserve">MIL-16-BUILD-ORG</t>
  </si>
  <si>
    <t xml:space="preserve">MIL-16-BUILD-RES</t>
  </si>
  <si>
    <t xml:space="preserve">MIL-16-BUILD-PROC</t>
  </si>
  <si>
    <t xml:space="preserve">MIL-16-BUILD-OUT1</t>
  </si>
  <si>
    <t xml:space="preserve">MIL-16-OPERATE-KPI</t>
  </si>
  <si>
    <t xml:space="preserve">MIL-16-OPERATE-GOV</t>
  </si>
  <si>
    <t xml:space="preserve">MIL-16-OPERATE-RES</t>
  </si>
  <si>
    <t xml:space="preserve">MIL-16-OPERATE-PROC</t>
  </si>
  <si>
    <t xml:space="preserve">MIL-16-OPERATE-OUTF</t>
  </si>
  <si>
    <t xml:space="preserve">MIL-17-DESIGN-ROLE</t>
  </si>
  <si>
    <t xml:space="preserve">MIL-17-DESIGN-KPI</t>
  </si>
  <si>
    <t xml:space="preserve">MIL-17-DESIGN-GOV</t>
  </si>
  <si>
    <t xml:space="preserve">MIL-17-DESIGN-ORG</t>
  </si>
  <si>
    <t xml:space="preserve">MIL-17-DESIGN-RES</t>
  </si>
  <si>
    <t xml:space="preserve">MIL-17-DESIGN-PROC</t>
  </si>
  <si>
    <t xml:space="preserve">MIL-17-BUILD-ROLE</t>
  </si>
  <si>
    <t xml:space="preserve">MIL-17-BUILD-KPI</t>
  </si>
  <si>
    <t xml:space="preserve">MIL-17-BUILD-GOV</t>
  </si>
  <si>
    <t xml:space="preserve">MIL-17-BUILD-ORG</t>
  </si>
  <si>
    <t xml:space="preserve">MIL-17-BUILD-RES</t>
  </si>
  <si>
    <t xml:space="preserve">MIL-17-BUILD-PROC</t>
  </si>
  <si>
    <t xml:space="preserve">MIL-17-BUILD-OUT1</t>
  </si>
  <si>
    <t xml:space="preserve">MIL-17-OPERATE-KPI</t>
  </si>
  <si>
    <t xml:space="preserve">MIL-17-OPERATE-GOV</t>
  </si>
  <si>
    <t xml:space="preserve">MIL-17-OPERATE-RES</t>
  </si>
  <si>
    <t xml:space="preserve">MIL-17-OPERATE-PROC</t>
  </si>
  <si>
    <t xml:space="preserve">MIL-17-OPERATE-OUTF</t>
  </si>
  <si>
    <t xml:space="preserve">MIL-18-DESIGN-ROLE</t>
  </si>
  <si>
    <t xml:space="preserve">MIL-18-DESIGN-KPI</t>
  </si>
  <si>
    <t xml:space="preserve">MIL-18-DESIGN-GOV</t>
  </si>
  <si>
    <t xml:space="preserve">MIL-18-DESIGN-ORG</t>
  </si>
  <si>
    <t xml:space="preserve">MIL-18-DESIGN-RES</t>
  </si>
  <si>
    <t xml:space="preserve">MIL-18-DESIGN-PROC</t>
  </si>
  <si>
    <t xml:space="preserve">MIL-18-BUILD-ROLE</t>
  </si>
  <si>
    <t xml:space="preserve">MIL-18-BUILD-KPI</t>
  </si>
  <si>
    <t xml:space="preserve">MIL-18-BUILD-GOV</t>
  </si>
  <si>
    <t xml:space="preserve">MIL-18-BUILD-ORG</t>
  </si>
  <si>
    <t xml:space="preserve">MIL-18-BUILD-RES</t>
  </si>
  <si>
    <t xml:space="preserve">MIL-18-BUILD-PROC</t>
  </si>
  <si>
    <t xml:space="preserve">MIL-18-BUILD-OUT1</t>
  </si>
  <si>
    <t xml:space="preserve">MIL-18-OPERATE-KPI</t>
  </si>
  <si>
    <t xml:space="preserve">MIL-18-OPERATE-GOV</t>
  </si>
  <si>
    <t xml:space="preserve">MIL-18-OPERATE-RES</t>
  </si>
  <si>
    <t xml:space="preserve">MIL-18-OPERATE-PROC</t>
  </si>
  <si>
    <t xml:space="preserve">MIL-18-OPERATE-OUTF</t>
  </si>
  <si>
    <t xml:space="preserve">MIL-19-DESIGN-ROLE</t>
  </si>
  <si>
    <t xml:space="preserve">MIL-19-DESIGN-KPI</t>
  </si>
  <si>
    <t xml:space="preserve">MIL-19-DESIGN-GOV</t>
  </si>
  <si>
    <t xml:space="preserve">MIL-19-DESIGN-ORG</t>
  </si>
  <si>
    <t xml:space="preserve">MIL-19-DESIGN-RES</t>
  </si>
  <si>
    <t xml:space="preserve">MIL-19-DESIGN-PROC</t>
  </si>
  <si>
    <t xml:space="preserve">MIL-19-BUILD-ROLE</t>
  </si>
  <si>
    <t xml:space="preserve">MIL-19-BUILD-KPI</t>
  </si>
  <si>
    <t xml:space="preserve">MIL-19-BUILD-GOV</t>
  </si>
  <si>
    <t xml:space="preserve">MIL-19-BUILD-ORG</t>
  </si>
  <si>
    <t xml:space="preserve">MIL-19-BUILD-RES</t>
  </si>
  <si>
    <t xml:space="preserve">MIL-19-BUILD-PROC</t>
  </si>
  <si>
    <t xml:space="preserve">MIL-19-BUILD-OUT1</t>
  </si>
  <si>
    <t xml:space="preserve">MIL-19-OPERATE-KPI</t>
  </si>
  <si>
    <t xml:space="preserve">MIL-19-OPERATE-GOV</t>
  </si>
  <si>
    <t xml:space="preserve">MIL-19-OPERATE-RES</t>
  </si>
  <si>
    <t xml:space="preserve">MIL-19-OPERATE-PROC</t>
  </si>
  <si>
    <t xml:space="preserve">MIL-19-OPERATE-OUTF</t>
  </si>
  <si>
    <t xml:space="preserve">MIL-20-DESIGN-ROLE</t>
  </si>
  <si>
    <t xml:space="preserve">MIL-20-DESIGN-KPI</t>
  </si>
  <si>
    <t xml:space="preserve">MIL-20-DESIGN-GOV</t>
  </si>
  <si>
    <t xml:space="preserve">MIL-20-DESIGN-ORG</t>
  </si>
  <si>
    <t xml:space="preserve">MIL-20-DESIGN-RES</t>
  </si>
  <si>
    <t xml:space="preserve">MIL-20-DESIGN-PROC</t>
  </si>
  <si>
    <t xml:space="preserve">MIL-20-BUILD-ROLE</t>
  </si>
  <si>
    <t xml:space="preserve">MIL-20-BUILD-KPI</t>
  </si>
  <si>
    <t xml:space="preserve">MIL-20-BUILD-GOV</t>
  </si>
  <si>
    <t xml:space="preserve">MIL-20-BUILD-ORG</t>
  </si>
  <si>
    <t xml:space="preserve">MIL-20-BUILD-RES</t>
  </si>
  <si>
    <t xml:space="preserve">MIL-20-BUILD-PROC</t>
  </si>
  <si>
    <t xml:space="preserve">MIL-20-BUILD-OUT1</t>
  </si>
  <si>
    <t xml:space="preserve">MIL-20-OPERATE-KPI</t>
  </si>
  <si>
    <t xml:space="preserve">MIL-20-OPERATE-GOV</t>
  </si>
  <si>
    <t xml:space="preserve">MIL-20-OPERATE-RES</t>
  </si>
  <si>
    <t xml:space="preserve">MIL-20-OPERATE-PROC</t>
  </si>
  <si>
    <t xml:space="preserve">MIL-20-OPERATE-OUTF</t>
  </si>
  <si>
    <t xml:space="preserve">MIL-21-DESIGN-ROLE</t>
  </si>
  <si>
    <t xml:space="preserve">MIL-21-DESIGN-KPI</t>
  </si>
  <si>
    <t xml:space="preserve">MIL-21-DESIGN-GOV</t>
  </si>
  <si>
    <t xml:space="preserve">MIL-21-DESIGN-ORG</t>
  </si>
  <si>
    <t xml:space="preserve">MIL-21-DESIGN-RES</t>
  </si>
  <si>
    <t xml:space="preserve">MIL-21-DESIGN-PROC</t>
  </si>
  <si>
    <t xml:space="preserve">MIL-21-BUILD-ROLE</t>
  </si>
  <si>
    <t xml:space="preserve">MIL-21-BUILD-KPI</t>
  </si>
  <si>
    <t xml:space="preserve">MIL-21-BUILD-GOV</t>
  </si>
  <si>
    <t xml:space="preserve">MIL-21-BUILD-ORG</t>
  </si>
  <si>
    <t xml:space="preserve">MIL-21-BUILD-RES</t>
  </si>
  <si>
    <t xml:space="preserve">MIL-21-BUILD-PROC</t>
  </si>
  <si>
    <t xml:space="preserve">MIL-21-BUILD-OUT1</t>
  </si>
  <si>
    <t xml:space="preserve">MIL-21-OPERATE-KPI</t>
  </si>
  <si>
    <t xml:space="preserve">MIL-21-OPERATE-GOV</t>
  </si>
  <si>
    <t xml:space="preserve">MIL-21-OPERATE-RES</t>
  </si>
  <si>
    <t xml:space="preserve">MIL-21-OPERATE-PROC</t>
  </si>
  <si>
    <t xml:space="preserve">MIL-21-OPERATE-OUTF</t>
  </si>
  <si>
    <t xml:space="preserve">درجة المرحلة</t>
  </si>
  <si>
    <t xml:space="preserve">درجة المرحلة المستهدفة لعام 2026</t>
  </si>
  <si>
    <t xml:space="preserve">التصنيف</t>
  </si>
  <si>
    <t xml:space="preserve">النضج النهائي المرجّح %</t>
  </si>
  <si>
    <t xml:space="preserve">التصنيف النهائي</t>
  </si>
  <si>
    <t xml:space="preserve">النضج النهائي المستهدف لعام 2026 %</t>
  </si>
  <si>
    <t xml:space="preserve">التصنيف النهائي المستهدف لعام 2026</t>
  </si>
  <si>
    <t xml:space="preserve">درجة التصميم</t>
  </si>
  <si>
    <t xml:space="preserve">درجة البناء المؤسسي</t>
  </si>
  <si>
    <t xml:space="preserve">درجة التشغيل</t>
  </si>
  <si>
    <t xml:space="preserve">«النضج النهائي المرجّح» = التصميم×٢٠٪ + البناء المؤسسي×٣٠٪ + التشغيل×٥٠٪ (الأوزان قابلة للتعديل في ورقة «المرجع» K9:K11).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</si>
</sst>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"/>
    <numFmt numFmtId="167" formatCode="0.0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552C"/>
      <name val="Cairo"/>
      <family val="0"/>
      <charset val="1"/>
    </font>
    <font>
      <sz val="10"/>
      <name val="Cairo"/>
      <family val="0"/>
      <charset val="1"/>
    </font>
    <font>
      <b val="true"/>
      <sz val="11"/>
      <color rgb="FFAA9464"/>
      <name val="Cairo"/>
      <family val="0"/>
      <charset val="1"/>
    </font>
    <font>
      <b val="true"/>
      <sz val="10"/>
      <color rgb="FFFFFFFF"/>
      <name val="Cairo"/>
      <family val="0"/>
      <charset val="1"/>
    </font>
    <font>
      <sz val="10"/>
      <color rgb="FF0000FF"/>
      <name val="Cairo"/>
      <family val="0"/>
      <charset val="1"/>
    </font>
    <font>
      <i val="true"/>
      <sz val="9"/>
      <color rgb="FF808080"/>
      <name val="Cairo"/>
      <family val="0"/>
      <charset val="1"/>
    </font>
    <font>
      <sz val="9"/>
      <color rgb="FFBFBFBF"/>
      <name val="Cairo"/>
      <family val="0"/>
      <charset val="1"/>
    </font>
    <font>
      <b val="true"/>
      <sz val="10"/>
      <name val="Cairo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552C"/>
        <bgColor rgb="FF003366"/>
      </patternFill>
    </fill>
    <fill>
      <patternFill patternType="solid">
        <fgColor rgb="FFAA9464"/>
        <bgColor rgb="FF8080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9E1"/>
        <bgColor rgb="FFF2F2F2"/>
      </patternFill>
    </fill>
    <fill>
      <patternFill patternType="solid">
        <fgColor rgb="FF7F6C3F"/>
        <bgColor rgb="FF808080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0055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A94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CE9E1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 patternType="solid">
          <fgColor rgb="FF7F6C3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C3F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1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A9464"/>
      <rgbColor rgb="FF003366"/>
      <rgbColor rgb="FF339966"/>
      <rgbColor rgb="FF00552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2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2" hidden="false" customHeight="true" outlineLevel="0" collapsed="false">
      <c r="A5" s="3" t="s">
        <v>3</v>
      </c>
    </row>
    <row r="6" customFormat="false" ht="12" hidden="false" customHeight="true" outlineLevel="0" collapsed="false">
      <c r="A6" s="3" t="s">
        <v>4</v>
      </c>
    </row>
    <row r="7" customFormat="false" ht="12" hidden="false" customHeight="true" outlineLevel="0" collapsed="false">
      <c r="A7" s="3" t="s">
        <v>5</v>
      </c>
    </row>
    <row r="8" customFormat="false" ht="12" hidden="false" customHeight="true" outlineLevel="0" collapsed="false">
      <c r="A8" s="3" t="s">
        <v>6</v>
      </c>
    </row>
    <row r="9" customFormat="false" ht="12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2" hidden="false" customHeight="true" outlineLevel="0" collapsed="false">
      <c r="A11" s="4" t="s">
        <v>8</v>
      </c>
    </row>
    <row r="12" customFormat="false" ht="12" hidden="false" customHeight="true" outlineLevel="0" collapsed="false">
      <c r="A12" s="3" t="s">
        <v>9</v>
      </c>
    </row>
    <row r="13" customFormat="false" ht="12" hidden="false" customHeight="true" outlineLevel="0" collapsed="false">
      <c r="A13" s="3" t="s">
        <v>10</v>
      </c>
    </row>
    <row r="14" customFormat="false" ht="12" hidden="false" customHeight="true" outlineLevel="0" collapsed="false">
      <c r="A14" s="3" t="s">
        <v>11</v>
      </c>
    </row>
    <row r="15" customFormat="false" ht="12" hidden="false" customHeight="true" outlineLevel="0" collapsed="false">
      <c r="A15" s="3" t="s">
        <v>12</v>
      </c>
    </row>
    <row r="16" customFormat="false" ht="12" hidden="false" customHeight="true" outlineLevel="0" collapsed="false">
      <c r="A16" s="3" t="s">
        <v>13</v>
      </c>
    </row>
    <row r="17" customFormat="false" ht="12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2" hidden="false" customHeight="true" outlineLevel="0" collapsed="false">
      <c r="A19" s="4" t="s">
        <v>15</v>
      </c>
    </row>
    <row r="20" customFormat="false" ht="12" hidden="false" customHeight="true" outlineLevel="0" collapsed="false">
      <c r="A20" s="3" t="s">
        <v>16</v>
      </c>
    </row>
    <row r="21" customFormat="false" ht="12" hidden="false" customHeight="true" outlineLevel="0" collapsed="false">
      <c r="A21" s="3" t="s">
        <v>17</v>
      </c>
    </row>
    <row r="22" customFormat="false" ht="12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2" hidden="false" customHeight="true" outlineLevel="0" collapsed="false">
      <c r="A24" s="3"/>
    </row>
    <row r="25" customFormat="false" ht="12" hidden="false" customHeight="true" outlineLevel="0" collapsed="false">
      <c r="A25" s="4" t="s">
        <v>20</v>
      </c>
    </row>
    <row r="26" customFormat="false" ht="12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2" hidden="false" customHeight="true" outlineLevel="0" collapsed="false">
      <c r="A28" s="3"/>
    </row>
    <row r="29" customFormat="false" ht="12" hidden="false" customHeight="true" outlineLevel="0" collapsed="false">
      <c r="A29" s="4" t="s">
        <v>23</v>
      </c>
    </row>
    <row r="30" customFormat="false" ht="12" hidden="false" customHeight="true" outlineLevel="0" collapsed="false">
      <c r="A30" s="3" t="s">
        <v>24</v>
      </c>
    </row>
    <row r="31" customFormat="false" ht="12" hidden="false" customHeight="true" outlineLevel="0" collapsed="false">
      <c r="A31" s="3" t="s">
        <v>25</v>
      </c>
    </row>
    <row r="32" customFormat="false" ht="12" hidden="false" customHeight="true" outlineLevel="0" collapsed="false">
      <c r="A32" s="3" t="s">
        <v>26</v>
      </c>
    </row>
    <row r="33" customFormat="false" ht="12" hidden="false" customHeight="true" outlineLevel="0" collapsed="false">
      <c r="A33" s="3" t="s">
        <v>27</v>
      </c>
    </row>
    <row r="34" customFormat="false" ht="15" hidden="false" customHeight="true" outlineLevel="0" collapsed="false">
      <c r="A34" s="3" t="s">
        <v>28</v>
      </c>
    </row>
    <row r="35" customFormat="false" ht="14.25" hidden="false" customHeight="true" outlineLevel="0" collapsed="false">
      <c r="A35" s="3"/>
    </row>
    <row r="36" customFormat="false" ht="12" hidden="false" customHeight="true" outlineLevel="0" collapsed="false">
      <c r="A36" s="4" t="s">
        <v>29</v>
      </c>
    </row>
    <row r="37" customFormat="false" ht="12" hidden="false" customHeight="true" outlineLevel="0" collapsed="false">
      <c r="A37" s="3" t="s">
        <v>30</v>
      </c>
    </row>
    <row r="38" customFormat="false" ht="12" hidden="false" customHeight="true" outlineLevel="0" collapsed="false">
      <c r="A38" s="3" t="s">
        <v>31</v>
      </c>
    </row>
    <row r="39" customFormat="false" ht="12" hidden="false" customHeight="true" outlineLevel="0" collapsed="false">
      <c r="A39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3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3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6" hidden="false" customHeight="true" outlineLevel="0" collapsed="false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J1" s="6" t="s">
        <v>41</v>
      </c>
      <c r="K1" s="6" t="s">
        <v>42</v>
      </c>
    </row>
    <row r="2" customFormat="false" ht="15" hidden="false" customHeight="true" outlineLevel="0" collapsed="false">
      <c r="A2" s="7" t="s">
        <v>43</v>
      </c>
      <c r="B2" s="8" t="s">
        <v>44</v>
      </c>
      <c r="C2" s="8" t="n">
        <v>1</v>
      </c>
      <c r="D2" s="7" t="s">
        <v>45</v>
      </c>
      <c r="E2" s="8" t="s">
        <v>46</v>
      </c>
      <c r="F2" s="8" t="n">
        <v>1</v>
      </c>
      <c r="G2" s="8" t="n">
        <v>25</v>
      </c>
      <c r="H2" s="8" t="n">
        <v>1</v>
      </c>
      <c r="J2" s="9" t="s">
        <v>47</v>
      </c>
      <c r="K2" s="10" t="n">
        <v>30</v>
      </c>
    </row>
    <row r="3" customFormat="false" ht="15" hidden="false" customHeight="true" outlineLevel="0" collapsed="false">
      <c r="A3" s="7" t="s">
        <v>43</v>
      </c>
      <c r="B3" s="8" t="s">
        <v>44</v>
      </c>
      <c r="C3" s="8" t="n">
        <v>1</v>
      </c>
      <c r="D3" s="7" t="s">
        <v>48</v>
      </c>
      <c r="E3" s="8" t="s">
        <v>49</v>
      </c>
      <c r="F3" s="8" t="n">
        <v>2</v>
      </c>
      <c r="G3" s="8" t="n">
        <v>15</v>
      </c>
      <c r="H3" s="8" t="n">
        <v>2</v>
      </c>
      <c r="J3" s="9" t="s">
        <v>50</v>
      </c>
      <c r="K3" s="10" t="n">
        <v>70</v>
      </c>
    </row>
    <row r="4" customFormat="false" ht="15" hidden="false" customHeight="true" outlineLevel="0" collapsed="false">
      <c r="A4" s="7" t="s">
        <v>43</v>
      </c>
      <c r="B4" s="8" t="s">
        <v>44</v>
      </c>
      <c r="C4" s="8" t="n">
        <v>1</v>
      </c>
      <c r="D4" s="7" t="s">
        <v>51</v>
      </c>
      <c r="E4" s="8" t="s">
        <v>52</v>
      </c>
      <c r="F4" s="8" t="n">
        <v>3</v>
      </c>
      <c r="G4" s="8" t="n">
        <v>15</v>
      </c>
      <c r="H4" s="8" t="n">
        <v>1</v>
      </c>
      <c r="J4" s="9" t="s">
        <v>53</v>
      </c>
    </row>
    <row r="5" customFormat="false" ht="15" hidden="false" customHeight="true" outlineLevel="0" collapsed="false">
      <c r="A5" s="7" t="s">
        <v>43</v>
      </c>
      <c r="B5" s="8" t="s">
        <v>44</v>
      </c>
      <c r="C5" s="8" t="n">
        <v>1</v>
      </c>
      <c r="D5" s="7" t="s">
        <v>54</v>
      </c>
      <c r="E5" s="8" t="s">
        <v>55</v>
      </c>
      <c r="F5" s="8" t="n">
        <v>4</v>
      </c>
      <c r="G5" s="8" t="n">
        <v>20</v>
      </c>
      <c r="H5" s="8" t="n">
        <v>1</v>
      </c>
    </row>
    <row r="6" customFormat="false" ht="15" hidden="false" customHeight="true" outlineLevel="0" collapsed="false">
      <c r="A6" s="7" t="s">
        <v>43</v>
      </c>
      <c r="B6" s="8" t="s">
        <v>44</v>
      </c>
      <c r="C6" s="8" t="n">
        <v>1</v>
      </c>
      <c r="D6" s="7" t="s">
        <v>56</v>
      </c>
      <c r="E6" s="8" t="s">
        <v>57</v>
      </c>
      <c r="F6" s="8" t="n">
        <v>5</v>
      </c>
      <c r="G6" s="8" t="n">
        <v>20</v>
      </c>
      <c r="H6" s="8" t="n">
        <v>1</v>
      </c>
      <c r="J6" s="11" t="s">
        <v>58</v>
      </c>
    </row>
    <row r="7" customFormat="false" ht="15" hidden="false" customHeight="true" outlineLevel="0" collapsed="false">
      <c r="A7" s="7" t="s">
        <v>43</v>
      </c>
      <c r="B7" s="8" t="s">
        <v>44</v>
      </c>
      <c r="C7" s="8" t="n">
        <v>1</v>
      </c>
      <c r="D7" s="7" t="s">
        <v>59</v>
      </c>
      <c r="E7" s="8" t="s">
        <v>60</v>
      </c>
      <c r="F7" s="8" t="n">
        <v>6</v>
      </c>
      <c r="G7" s="8" t="n">
        <v>5</v>
      </c>
      <c r="H7" s="8" t="n">
        <v>1</v>
      </c>
    </row>
    <row r="8" customFormat="false" ht="15" hidden="false" customHeight="true" outlineLevel="0" collapsed="false">
      <c r="A8" s="7" t="s">
        <v>61</v>
      </c>
      <c r="B8" s="8" t="s">
        <v>62</v>
      </c>
      <c r="C8" s="8" t="n">
        <v>2</v>
      </c>
      <c r="D8" s="7" t="s">
        <v>45</v>
      </c>
      <c r="E8" s="8" t="s">
        <v>46</v>
      </c>
      <c r="F8" s="8" t="n">
        <v>1</v>
      </c>
      <c r="G8" s="8" t="n">
        <v>15</v>
      </c>
      <c r="H8" s="8" t="n">
        <v>1</v>
      </c>
      <c r="J8" s="12" t="s">
        <v>63</v>
      </c>
      <c r="K8" s="12" t="s">
        <v>64</v>
      </c>
    </row>
    <row r="9" customFormat="false" ht="15" hidden="false" customHeight="true" outlineLevel="0" collapsed="false">
      <c r="A9" s="7" t="s">
        <v>61</v>
      </c>
      <c r="B9" s="8" t="s">
        <v>62</v>
      </c>
      <c r="C9" s="8" t="n">
        <v>2</v>
      </c>
      <c r="D9" s="7" t="s">
        <v>48</v>
      </c>
      <c r="E9" s="8" t="s">
        <v>49</v>
      </c>
      <c r="F9" s="8" t="n">
        <v>2</v>
      </c>
      <c r="G9" s="8" t="n">
        <v>15</v>
      </c>
      <c r="H9" s="8" t="n">
        <v>2</v>
      </c>
      <c r="J9" s="13" t="s">
        <v>43</v>
      </c>
      <c r="K9" s="10" t="n">
        <v>20</v>
      </c>
      <c r="L9" s="14" t="s">
        <v>44</v>
      </c>
    </row>
    <row r="10" customFormat="false" ht="15" hidden="false" customHeight="true" outlineLevel="0" collapsed="false">
      <c r="A10" s="7" t="s">
        <v>61</v>
      </c>
      <c r="B10" s="8" t="s">
        <v>62</v>
      </c>
      <c r="C10" s="8" t="n">
        <v>2</v>
      </c>
      <c r="D10" s="7" t="s">
        <v>51</v>
      </c>
      <c r="E10" s="8" t="s">
        <v>52</v>
      </c>
      <c r="F10" s="8" t="n">
        <v>3</v>
      </c>
      <c r="G10" s="8" t="n">
        <v>15</v>
      </c>
      <c r="H10" s="8" t="n">
        <v>3</v>
      </c>
      <c r="J10" s="13" t="s">
        <v>61</v>
      </c>
      <c r="K10" s="10" t="n">
        <v>30</v>
      </c>
      <c r="L10" s="14" t="s">
        <v>62</v>
      </c>
    </row>
    <row r="11" customFormat="false" ht="15" hidden="false" customHeight="true" outlineLevel="0" collapsed="false">
      <c r="A11" s="7" t="s">
        <v>61</v>
      </c>
      <c r="B11" s="8" t="s">
        <v>62</v>
      </c>
      <c r="C11" s="8" t="n">
        <v>2</v>
      </c>
      <c r="D11" s="7" t="s">
        <v>54</v>
      </c>
      <c r="E11" s="8" t="s">
        <v>55</v>
      </c>
      <c r="F11" s="8" t="n">
        <v>4</v>
      </c>
      <c r="G11" s="8" t="n">
        <v>20</v>
      </c>
      <c r="H11" s="8" t="n">
        <v>3</v>
      </c>
      <c r="J11" s="13" t="s">
        <v>65</v>
      </c>
      <c r="K11" s="10" t="n">
        <v>50</v>
      </c>
      <c r="L11" s="14" t="s">
        <v>66</v>
      </c>
    </row>
    <row r="12" customFormat="false" ht="15" hidden="false" customHeight="true" outlineLevel="0" collapsed="false">
      <c r="A12" s="7" t="s">
        <v>61</v>
      </c>
      <c r="B12" s="8" t="s">
        <v>62</v>
      </c>
      <c r="C12" s="8" t="n">
        <v>2</v>
      </c>
      <c r="D12" s="7" t="s">
        <v>56</v>
      </c>
      <c r="E12" s="8" t="s">
        <v>57</v>
      </c>
      <c r="F12" s="8" t="n">
        <v>5</v>
      </c>
      <c r="G12" s="8" t="n">
        <v>25</v>
      </c>
      <c r="H12" s="8" t="n">
        <v>4</v>
      </c>
      <c r="J12" s="11" t="s">
        <v>67</v>
      </c>
    </row>
    <row r="13" customFormat="false" ht="15" hidden="false" customHeight="true" outlineLevel="0" collapsed="false">
      <c r="A13" s="7" t="s">
        <v>61</v>
      </c>
      <c r="B13" s="8" t="s">
        <v>62</v>
      </c>
      <c r="C13" s="8" t="n">
        <v>2</v>
      </c>
      <c r="D13" s="7" t="s">
        <v>59</v>
      </c>
      <c r="E13" s="8" t="s">
        <v>60</v>
      </c>
      <c r="F13" s="8" t="n">
        <v>6</v>
      </c>
      <c r="G13" s="8" t="n">
        <v>5</v>
      </c>
      <c r="H13" s="8" t="n">
        <v>1</v>
      </c>
    </row>
    <row r="14" customFormat="false" ht="15" hidden="false" customHeight="true" outlineLevel="0" collapsed="false">
      <c r="A14" s="7" t="s">
        <v>61</v>
      </c>
      <c r="B14" s="8" t="s">
        <v>62</v>
      </c>
      <c r="C14" s="8" t="n">
        <v>2</v>
      </c>
      <c r="D14" s="7" t="s">
        <v>68</v>
      </c>
      <c r="E14" s="8" t="s">
        <v>69</v>
      </c>
      <c r="F14" s="8" t="n">
        <v>7</v>
      </c>
      <c r="G14" s="8" t="n">
        <v>5</v>
      </c>
      <c r="H14" s="8" t="n">
        <v>1</v>
      </c>
    </row>
    <row r="15" customFormat="false" ht="15" hidden="false" customHeight="true" outlineLevel="0" collapsed="false">
      <c r="A15" s="7" t="s">
        <v>65</v>
      </c>
      <c r="B15" s="8" t="s">
        <v>66</v>
      </c>
      <c r="C15" s="8" t="n">
        <v>3</v>
      </c>
      <c r="D15" s="7" t="s">
        <v>48</v>
      </c>
      <c r="E15" s="8" t="s">
        <v>49</v>
      </c>
      <c r="F15" s="8" t="n">
        <v>2</v>
      </c>
      <c r="G15" s="8" t="n">
        <v>25</v>
      </c>
      <c r="H15" s="8" t="n">
        <v>2</v>
      </c>
    </row>
    <row r="16" customFormat="false" ht="15" hidden="false" customHeight="true" outlineLevel="0" collapsed="false">
      <c r="A16" s="7" t="s">
        <v>65</v>
      </c>
      <c r="B16" s="8" t="s">
        <v>66</v>
      </c>
      <c r="C16" s="8" t="n">
        <v>3</v>
      </c>
      <c r="D16" s="7" t="s">
        <v>51</v>
      </c>
      <c r="E16" s="8" t="s">
        <v>52</v>
      </c>
      <c r="F16" s="8" t="n">
        <v>3</v>
      </c>
      <c r="G16" s="8" t="n">
        <v>15</v>
      </c>
      <c r="H16" s="8" t="n">
        <v>3</v>
      </c>
    </row>
    <row r="17" customFormat="false" ht="15" hidden="false" customHeight="true" outlineLevel="0" collapsed="false">
      <c r="A17" s="7" t="s">
        <v>65</v>
      </c>
      <c r="B17" s="8" t="s">
        <v>66</v>
      </c>
      <c r="C17" s="8" t="n">
        <v>3</v>
      </c>
      <c r="D17" s="7" t="s">
        <v>56</v>
      </c>
      <c r="E17" s="8" t="s">
        <v>57</v>
      </c>
      <c r="F17" s="8" t="n">
        <v>5</v>
      </c>
      <c r="G17" s="8" t="n">
        <v>15</v>
      </c>
      <c r="H17" s="8" t="n">
        <v>1</v>
      </c>
    </row>
    <row r="18" customFormat="false" ht="15" hidden="false" customHeight="true" outlineLevel="0" collapsed="false">
      <c r="A18" s="7" t="s">
        <v>65</v>
      </c>
      <c r="B18" s="8" t="s">
        <v>66</v>
      </c>
      <c r="C18" s="8" t="n">
        <v>3</v>
      </c>
      <c r="D18" s="7" t="s">
        <v>59</v>
      </c>
      <c r="E18" s="8" t="s">
        <v>60</v>
      </c>
      <c r="F18" s="8" t="n">
        <v>6</v>
      </c>
      <c r="G18" s="8" t="n">
        <v>15</v>
      </c>
      <c r="H18" s="8" t="n">
        <v>1</v>
      </c>
    </row>
    <row r="19" customFormat="false" ht="15" hidden="false" customHeight="true" outlineLevel="0" collapsed="false">
      <c r="A19" s="7" t="s">
        <v>65</v>
      </c>
      <c r="B19" s="8" t="s">
        <v>66</v>
      </c>
      <c r="C19" s="8" t="n">
        <v>3</v>
      </c>
      <c r="D19" s="7" t="s">
        <v>70</v>
      </c>
      <c r="E19" s="8" t="s">
        <v>71</v>
      </c>
      <c r="F19" s="8" t="n">
        <v>8</v>
      </c>
      <c r="G19" s="8" t="n">
        <v>30</v>
      </c>
      <c r="H19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80"/>
    <col collapsed="false" customWidth="true" hidden="false" outlineLevel="0" max="8" min="8" style="1" width="30"/>
  </cols>
  <sheetData>
    <row r="1" customFormat="false" ht="36" hidden="false" customHeight="true" outlineLevel="0" collapsed="false">
      <c r="A1" s="5" t="s">
        <v>72</v>
      </c>
      <c r="B1" s="5" t="s">
        <v>33</v>
      </c>
      <c r="C1" s="5" t="s">
        <v>34</v>
      </c>
      <c r="D1" s="5" t="s">
        <v>36</v>
      </c>
      <c r="E1" s="5" t="s">
        <v>37</v>
      </c>
      <c r="F1" s="5" t="s">
        <v>73</v>
      </c>
      <c r="G1" s="5" t="s">
        <v>74</v>
      </c>
      <c r="H1" s="15" t="s">
        <v>75</v>
      </c>
    </row>
    <row r="2" customFormat="false" ht="15" hidden="false" customHeight="true" outlineLevel="0" collapsed="false">
      <c r="A2" s="8" t="s">
        <v>76</v>
      </c>
      <c r="B2" s="7" t="s">
        <v>43</v>
      </c>
      <c r="C2" s="8" t="s">
        <v>44</v>
      </c>
      <c r="D2" s="7" t="s">
        <v>45</v>
      </c>
      <c r="E2" s="8" t="s">
        <v>46</v>
      </c>
      <c r="F2" s="8" t="n">
        <v>1</v>
      </c>
      <c r="G2" s="16" t="s">
        <v>77</v>
      </c>
      <c r="H2" s="17"/>
    </row>
    <row r="3" customFormat="false" ht="15" hidden="false" customHeight="true" outlineLevel="0" collapsed="false">
      <c r="A3" s="8" t="s">
        <v>78</v>
      </c>
      <c r="B3" s="7" t="s">
        <v>43</v>
      </c>
      <c r="C3" s="8" t="s">
        <v>44</v>
      </c>
      <c r="D3" s="7" t="s">
        <v>48</v>
      </c>
      <c r="E3" s="8" t="s">
        <v>49</v>
      </c>
      <c r="F3" s="8" t="n">
        <v>1</v>
      </c>
      <c r="G3" s="16" t="s">
        <v>79</v>
      </c>
      <c r="H3" s="17"/>
    </row>
    <row r="4" customFormat="false" ht="15" hidden="false" customHeight="true" outlineLevel="0" collapsed="false">
      <c r="A4" s="8" t="s">
        <v>80</v>
      </c>
      <c r="B4" s="7" t="s">
        <v>43</v>
      </c>
      <c r="C4" s="8" t="s">
        <v>44</v>
      </c>
      <c r="D4" s="7" t="s">
        <v>48</v>
      </c>
      <c r="E4" s="8" t="s">
        <v>49</v>
      </c>
      <c r="F4" s="8" t="n">
        <v>2</v>
      </c>
      <c r="G4" s="16" t="s">
        <v>81</v>
      </c>
      <c r="H4" s="17"/>
    </row>
    <row r="5" customFormat="false" ht="15" hidden="false" customHeight="true" outlineLevel="0" collapsed="false">
      <c r="A5" s="8" t="s">
        <v>82</v>
      </c>
      <c r="B5" s="7" t="s">
        <v>43</v>
      </c>
      <c r="C5" s="8" t="s">
        <v>44</v>
      </c>
      <c r="D5" s="7" t="s">
        <v>51</v>
      </c>
      <c r="E5" s="8" t="s">
        <v>52</v>
      </c>
      <c r="F5" s="8" t="n">
        <v>1</v>
      </c>
      <c r="G5" s="16" t="s">
        <v>83</v>
      </c>
      <c r="H5" s="17"/>
    </row>
    <row r="6" customFormat="false" ht="15" hidden="false" customHeight="true" outlineLevel="0" collapsed="false">
      <c r="A6" s="8" t="s">
        <v>84</v>
      </c>
      <c r="B6" s="7" t="s">
        <v>43</v>
      </c>
      <c r="C6" s="8" t="s">
        <v>44</v>
      </c>
      <c r="D6" s="7" t="s">
        <v>54</v>
      </c>
      <c r="E6" s="8" t="s">
        <v>55</v>
      </c>
      <c r="F6" s="8" t="n">
        <v>1</v>
      </c>
      <c r="G6" s="16" t="s">
        <v>85</v>
      </c>
      <c r="H6" s="17"/>
    </row>
    <row r="7" customFormat="false" ht="15" hidden="false" customHeight="true" outlineLevel="0" collapsed="false">
      <c r="A7" s="8" t="s">
        <v>86</v>
      </c>
      <c r="B7" s="7" t="s">
        <v>43</v>
      </c>
      <c r="C7" s="8" t="s">
        <v>44</v>
      </c>
      <c r="D7" s="7" t="s">
        <v>56</v>
      </c>
      <c r="E7" s="8" t="s">
        <v>57</v>
      </c>
      <c r="F7" s="8" t="n">
        <v>1</v>
      </c>
      <c r="G7" s="16" t="s">
        <v>87</v>
      </c>
      <c r="H7" s="17"/>
    </row>
    <row r="8" customFormat="false" ht="15" hidden="false" customHeight="true" outlineLevel="0" collapsed="false">
      <c r="A8" s="8" t="s">
        <v>88</v>
      </c>
      <c r="B8" s="7" t="s">
        <v>43</v>
      </c>
      <c r="C8" s="8" t="s">
        <v>44</v>
      </c>
      <c r="D8" s="7" t="s">
        <v>59</v>
      </c>
      <c r="E8" s="8" t="s">
        <v>60</v>
      </c>
      <c r="F8" s="8" t="n">
        <v>1</v>
      </c>
      <c r="G8" s="16" t="s">
        <v>89</v>
      </c>
      <c r="H8" s="17"/>
    </row>
    <row r="9" customFormat="false" ht="15" hidden="false" customHeight="true" outlineLevel="0" collapsed="false">
      <c r="A9" s="8" t="s">
        <v>90</v>
      </c>
      <c r="B9" s="7" t="s">
        <v>61</v>
      </c>
      <c r="C9" s="8" t="s">
        <v>62</v>
      </c>
      <c r="D9" s="7" t="s">
        <v>45</v>
      </c>
      <c r="E9" s="8" t="s">
        <v>46</v>
      </c>
      <c r="F9" s="8" t="n">
        <v>1</v>
      </c>
      <c r="G9" s="16" t="s">
        <v>91</v>
      </c>
      <c r="H9" s="17"/>
    </row>
    <row r="10" customFormat="false" ht="15" hidden="false" customHeight="true" outlineLevel="0" collapsed="false">
      <c r="A10" s="8" t="s">
        <v>92</v>
      </c>
      <c r="B10" s="7" t="s">
        <v>61</v>
      </c>
      <c r="C10" s="8" t="s">
        <v>62</v>
      </c>
      <c r="D10" s="7" t="s">
        <v>48</v>
      </c>
      <c r="E10" s="8" t="s">
        <v>49</v>
      </c>
      <c r="F10" s="8" t="n">
        <v>1</v>
      </c>
      <c r="G10" s="16" t="s">
        <v>93</v>
      </c>
      <c r="H10" s="17"/>
    </row>
    <row r="11" customFormat="false" ht="15" hidden="false" customHeight="true" outlineLevel="0" collapsed="false">
      <c r="A11" s="8" t="s">
        <v>94</v>
      </c>
      <c r="B11" s="7" t="s">
        <v>61</v>
      </c>
      <c r="C11" s="8" t="s">
        <v>62</v>
      </c>
      <c r="D11" s="7" t="s">
        <v>48</v>
      </c>
      <c r="E11" s="8" t="s">
        <v>49</v>
      </c>
      <c r="F11" s="8" t="n">
        <v>2</v>
      </c>
      <c r="G11" s="16" t="s">
        <v>95</v>
      </c>
      <c r="H11" s="17"/>
    </row>
    <row r="12" customFormat="false" ht="15" hidden="false" customHeight="true" outlineLevel="0" collapsed="false">
      <c r="A12" s="8" t="s">
        <v>96</v>
      </c>
      <c r="B12" s="7" t="s">
        <v>61</v>
      </c>
      <c r="C12" s="8" t="s">
        <v>62</v>
      </c>
      <c r="D12" s="7" t="s">
        <v>51</v>
      </c>
      <c r="E12" s="8" t="s">
        <v>52</v>
      </c>
      <c r="F12" s="8" t="n">
        <v>1</v>
      </c>
      <c r="G12" s="16" t="s">
        <v>97</v>
      </c>
      <c r="H12" s="17"/>
    </row>
    <row r="13" customFormat="false" ht="15" hidden="false" customHeight="true" outlineLevel="0" collapsed="false">
      <c r="A13" s="8" t="s">
        <v>98</v>
      </c>
      <c r="B13" s="7" t="s">
        <v>61</v>
      </c>
      <c r="C13" s="8" t="s">
        <v>62</v>
      </c>
      <c r="D13" s="7" t="s">
        <v>51</v>
      </c>
      <c r="E13" s="8" t="s">
        <v>52</v>
      </c>
      <c r="F13" s="8" t="n">
        <v>2</v>
      </c>
      <c r="G13" s="16" t="s">
        <v>99</v>
      </c>
      <c r="H13" s="17"/>
    </row>
    <row r="14" customFormat="false" ht="15" hidden="false" customHeight="true" outlineLevel="0" collapsed="false">
      <c r="A14" s="8" t="s">
        <v>100</v>
      </c>
      <c r="B14" s="7" t="s">
        <v>61</v>
      </c>
      <c r="C14" s="8" t="s">
        <v>62</v>
      </c>
      <c r="D14" s="7" t="s">
        <v>51</v>
      </c>
      <c r="E14" s="8" t="s">
        <v>52</v>
      </c>
      <c r="F14" s="8" t="n">
        <v>3</v>
      </c>
      <c r="G14" s="16" t="s">
        <v>101</v>
      </c>
      <c r="H14" s="17"/>
    </row>
    <row r="15" customFormat="false" ht="15" hidden="false" customHeight="true" outlineLevel="0" collapsed="false">
      <c r="A15" s="8" t="s">
        <v>102</v>
      </c>
      <c r="B15" s="7" t="s">
        <v>61</v>
      </c>
      <c r="C15" s="8" t="s">
        <v>62</v>
      </c>
      <c r="D15" s="7" t="s">
        <v>54</v>
      </c>
      <c r="E15" s="8" t="s">
        <v>55</v>
      </c>
      <c r="F15" s="8" t="n">
        <v>1</v>
      </c>
      <c r="G15" s="16" t="s">
        <v>103</v>
      </c>
      <c r="H15" s="17"/>
    </row>
    <row r="16" customFormat="false" ht="15" hidden="false" customHeight="true" outlineLevel="0" collapsed="false">
      <c r="A16" s="8" t="s">
        <v>104</v>
      </c>
      <c r="B16" s="7" t="s">
        <v>61</v>
      </c>
      <c r="C16" s="8" t="s">
        <v>62</v>
      </c>
      <c r="D16" s="7" t="s">
        <v>54</v>
      </c>
      <c r="E16" s="8" t="s">
        <v>55</v>
      </c>
      <c r="F16" s="8" t="n">
        <v>2</v>
      </c>
      <c r="G16" s="16" t="s">
        <v>105</v>
      </c>
      <c r="H16" s="17"/>
    </row>
    <row r="17" customFormat="false" ht="15" hidden="false" customHeight="true" outlineLevel="0" collapsed="false">
      <c r="A17" s="8" t="s">
        <v>106</v>
      </c>
      <c r="B17" s="7" t="s">
        <v>61</v>
      </c>
      <c r="C17" s="8" t="s">
        <v>62</v>
      </c>
      <c r="D17" s="7" t="s">
        <v>54</v>
      </c>
      <c r="E17" s="8" t="s">
        <v>55</v>
      </c>
      <c r="F17" s="8" t="n">
        <v>3</v>
      </c>
      <c r="G17" s="16" t="s">
        <v>107</v>
      </c>
      <c r="H17" s="17"/>
    </row>
    <row r="18" customFormat="false" ht="15" hidden="false" customHeight="true" outlineLevel="0" collapsed="false">
      <c r="A18" s="8" t="s">
        <v>108</v>
      </c>
      <c r="B18" s="7" t="s">
        <v>61</v>
      </c>
      <c r="C18" s="8" t="s">
        <v>62</v>
      </c>
      <c r="D18" s="7" t="s">
        <v>56</v>
      </c>
      <c r="E18" s="8" t="s">
        <v>57</v>
      </c>
      <c r="F18" s="8" t="n">
        <v>1</v>
      </c>
      <c r="G18" s="16" t="s">
        <v>109</v>
      </c>
      <c r="H18" s="17"/>
    </row>
    <row r="19" customFormat="false" ht="15" hidden="false" customHeight="true" outlineLevel="0" collapsed="false">
      <c r="A19" s="8" t="s">
        <v>110</v>
      </c>
      <c r="B19" s="7" t="s">
        <v>61</v>
      </c>
      <c r="C19" s="8" t="s">
        <v>62</v>
      </c>
      <c r="D19" s="7" t="s">
        <v>56</v>
      </c>
      <c r="E19" s="8" t="s">
        <v>57</v>
      </c>
      <c r="F19" s="8" t="n">
        <v>2</v>
      </c>
      <c r="G19" s="16" t="s">
        <v>111</v>
      </c>
      <c r="H19" s="17"/>
    </row>
    <row r="20" customFormat="false" ht="15" hidden="false" customHeight="true" outlineLevel="0" collapsed="false">
      <c r="A20" s="8" t="s">
        <v>112</v>
      </c>
      <c r="B20" s="7" t="s">
        <v>61</v>
      </c>
      <c r="C20" s="8" t="s">
        <v>62</v>
      </c>
      <c r="D20" s="7" t="s">
        <v>56</v>
      </c>
      <c r="E20" s="8" t="s">
        <v>57</v>
      </c>
      <c r="F20" s="8" t="n">
        <v>3</v>
      </c>
      <c r="G20" s="16" t="s">
        <v>113</v>
      </c>
      <c r="H20" s="17"/>
    </row>
    <row r="21" customFormat="false" ht="15" hidden="false" customHeight="true" outlineLevel="0" collapsed="false">
      <c r="A21" s="8" t="s">
        <v>114</v>
      </c>
      <c r="B21" s="7" t="s">
        <v>61</v>
      </c>
      <c r="C21" s="8" t="s">
        <v>62</v>
      </c>
      <c r="D21" s="7" t="s">
        <v>56</v>
      </c>
      <c r="E21" s="8" t="s">
        <v>57</v>
      </c>
      <c r="F21" s="8" t="n">
        <v>4</v>
      </c>
      <c r="G21" s="16" t="s">
        <v>115</v>
      </c>
      <c r="H21" s="17"/>
    </row>
    <row r="22" customFormat="false" ht="15" hidden="false" customHeight="true" outlineLevel="0" collapsed="false">
      <c r="A22" s="8" t="s">
        <v>116</v>
      </c>
      <c r="B22" s="7" t="s">
        <v>61</v>
      </c>
      <c r="C22" s="8" t="s">
        <v>62</v>
      </c>
      <c r="D22" s="7" t="s">
        <v>59</v>
      </c>
      <c r="E22" s="8" t="s">
        <v>60</v>
      </c>
      <c r="F22" s="8" t="n">
        <v>1</v>
      </c>
      <c r="G22" s="16" t="s">
        <v>117</v>
      </c>
      <c r="H22" s="17"/>
    </row>
    <row r="23" customFormat="false" ht="15" hidden="false" customHeight="true" outlineLevel="0" collapsed="false">
      <c r="A23" s="8" t="s">
        <v>118</v>
      </c>
      <c r="B23" s="7" t="s">
        <v>61</v>
      </c>
      <c r="C23" s="8" t="s">
        <v>62</v>
      </c>
      <c r="D23" s="7" t="s">
        <v>68</v>
      </c>
      <c r="E23" s="8" t="s">
        <v>69</v>
      </c>
      <c r="F23" s="8" t="n">
        <v>1</v>
      </c>
      <c r="G23" s="16" t="s">
        <v>119</v>
      </c>
      <c r="H23" s="17"/>
    </row>
    <row r="24" customFormat="false" ht="15" hidden="false" customHeight="true" outlineLevel="0" collapsed="false">
      <c r="A24" s="8" t="s">
        <v>120</v>
      </c>
      <c r="B24" s="7" t="s">
        <v>65</v>
      </c>
      <c r="C24" s="8" t="s">
        <v>66</v>
      </c>
      <c r="D24" s="7" t="s">
        <v>48</v>
      </c>
      <c r="E24" s="8" t="s">
        <v>49</v>
      </c>
      <c r="F24" s="8" t="n">
        <v>1</v>
      </c>
      <c r="G24" s="16" t="s">
        <v>121</v>
      </c>
      <c r="H24" s="17"/>
    </row>
    <row r="25" customFormat="false" ht="15" hidden="false" customHeight="true" outlineLevel="0" collapsed="false">
      <c r="A25" s="8" t="s">
        <v>122</v>
      </c>
      <c r="B25" s="7" t="s">
        <v>65</v>
      </c>
      <c r="C25" s="8" t="s">
        <v>66</v>
      </c>
      <c r="D25" s="7" t="s">
        <v>48</v>
      </c>
      <c r="E25" s="8" t="s">
        <v>49</v>
      </c>
      <c r="F25" s="8" t="n">
        <v>2</v>
      </c>
      <c r="G25" s="16" t="s">
        <v>123</v>
      </c>
      <c r="H25" s="17"/>
    </row>
    <row r="26" customFormat="false" ht="15" hidden="false" customHeight="true" outlineLevel="0" collapsed="false">
      <c r="A26" s="8" t="s">
        <v>124</v>
      </c>
      <c r="B26" s="7" t="s">
        <v>65</v>
      </c>
      <c r="C26" s="8" t="s">
        <v>66</v>
      </c>
      <c r="D26" s="7" t="s">
        <v>51</v>
      </c>
      <c r="E26" s="8" t="s">
        <v>52</v>
      </c>
      <c r="F26" s="8" t="n">
        <v>1</v>
      </c>
      <c r="G26" s="16" t="s">
        <v>125</v>
      </c>
      <c r="H26" s="17"/>
    </row>
    <row r="27" customFormat="false" ht="15" hidden="false" customHeight="true" outlineLevel="0" collapsed="false">
      <c r="A27" s="8" t="s">
        <v>126</v>
      </c>
      <c r="B27" s="7" t="s">
        <v>65</v>
      </c>
      <c r="C27" s="8" t="s">
        <v>66</v>
      </c>
      <c r="D27" s="7" t="s">
        <v>51</v>
      </c>
      <c r="E27" s="8" t="s">
        <v>52</v>
      </c>
      <c r="F27" s="8" t="n">
        <v>2</v>
      </c>
      <c r="G27" s="16" t="s">
        <v>127</v>
      </c>
      <c r="H27" s="17"/>
    </row>
    <row r="28" customFormat="false" ht="15" hidden="false" customHeight="true" outlineLevel="0" collapsed="false">
      <c r="A28" s="8" t="s">
        <v>128</v>
      </c>
      <c r="B28" s="7" t="s">
        <v>65</v>
      </c>
      <c r="C28" s="8" t="s">
        <v>66</v>
      </c>
      <c r="D28" s="7" t="s">
        <v>51</v>
      </c>
      <c r="E28" s="8" t="s">
        <v>52</v>
      </c>
      <c r="F28" s="8" t="n">
        <v>3</v>
      </c>
      <c r="G28" s="16" t="s">
        <v>129</v>
      </c>
      <c r="H28" s="17"/>
    </row>
    <row r="29" customFormat="false" ht="15" hidden="false" customHeight="true" outlineLevel="0" collapsed="false">
      <c r="A29" s="8" t="s">
        <v>130</v>
      </c>
      <c r="B29" s="7" t="s">
        <v>65</v>
      </c>
      <c r="C29" s="8" t="s">
        <v>66</v>
      </c>
      <c r="D29" s="7" t="s">
        <v>56</v>
      </c>
      <c r="E29" s="8" t="s">
        <v>57</v>
      </c>
      <c r="F29" s="8" t="n">
        <v>1</v>
      </c>
      <c r="G29" s="16" t="s">
        <v>131</v>
      </c>
      <c r="H29" s="17"/>
    </row>
    <row r="30" customFormat="false" ht="15" hidden="false" customHeight="true" outlineLevel="0" collapsed="false">
      <c r="A30" s="8" t="s">
        <v>132</v>
      </c>
      <c r="B30" s="7" t="s">
        <v>65</v>
      </c>
      <c r="C30" s="8" t="s">
        <v>66</v>
      </c>
      <c r="D30" s="7" t="s">
        <v>59</v>
      </c>
      <c r="E30" s="8" t="s">
        <v>60</v>
      </c>
      <c r="F30" s="8" t="n">
        <v>1</v>
      </c>
      <c r="G30" s="16" t="s">
        <v>133</v>
      </c>
      <c r="H30" s="17"/>
    </row>
    <row r="31" customFormat="false" ht="15" hidden="false" customHeight="true" outlineLevel="0" collapsed="false">
      <c r="A31" s="8" t="s">
        <v>134</v>
      </c>
      <c r="B31" s="7" t="s">
        <v>65</v>
      </c>
      <c r="C31" s="8" t="s">
        <v>66</v>
      </c>
      <c r="D31" s="7" t="s">
        <v>70</v>
      </c>
      <c r="E31" s="8" t="s">
        <v>71</v>
      </c>
      <c r="F31" s="8" t="n">
        <v>1</v>
      </c>
      <c r="G31" s="16" t="s">
        <v>135</v>
      </c>
      <c r="H31" s="17"/>
    </row>
  </sheetData>
  <autoFilter ref="A1:H31"/>
  <dataValidations count="1">
    <dataValidation allowBlank="true" errorStyle="stop" operator="between" showDropDown="false" showErrorMessage="false" showInputMessage="false" sqref="H2:H31" type="list">
      <formula1>"الإدارة العامة للتميز المؤسسي,الإدارة العامة للأداء,الإدارة العامة للشؤون الاستراتيجية,محافظ التنفيذ"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6"/>
    <col collapsed="false" customWidth="true" hidden="false" outlineLevel="0" max="4" min="4" style="1" width="28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6"/>
    <col collapsed="false" customWidth="true" hidden="false" outlineLevel="0" max="9" min="9" style="1" width="20"/>
  </cols>
  <sheetData>
    <row r="1" customFormat="false" ht="36" hidden="false" customHeight="true" outlineLevel="0" collapsed="false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</row>
    <row r="2" customFormat="false" ht="15" hidden="false" customHeight="true" outlineLevel="0" collapsed="false">
      <c r="A2" s="8" t="s">
        <v>145</v>
      </c>
      <c r="B2" s="8" t="s">
        <v>146</v>
      </c>
      <c r="C2" s="7" t="s">
        <v>147</v>
      </c>
      <c r="D2" s="7" t="s">
        <v>148</v>
      </c>
      <c r="E2" s="7" t="s">
        <v>149</v>
      </c>
      <c r="F2" s="18" t="str">
        <f aca="false">IF($E2="—",$D2,$E2)</f>
        <v>المكتب التنفيذي</v>
      </c>
      <c r="G2" s="7" t="s">
        <v>150</v>
      </c>
      <c r="H2" s="7" t="s">
        <v>151</v>
      </c>
      <c r="I2" s="19" t="n">
        <f aca="false">COUNTIF('المرتبطة بسمو الوزير'!$B$2:$B$700,$A2)</f>
        <v>30</v>
      </c>
    </row>
    <row r="3" customFormat="false" ht="15" hidden="false" customHeight="true" outlineLevel="0" collapsed="false">
      <c r="A3" s="8" t="s">
        <v>152</v>
      </c>
      <c r="B3" s="8" t="s">
        <v>146</v>
      </c>
      <c r="C3" s="7" t="s">
        <v>147</v>
      </c>
      <c r="D3" s="7" t="s">
        <v>153</v>
      </c>
      <c r="E3" s="7" t="s">
        <v>149</v>
      </c>
      <c r="F3" s="18" t="str">
        <f aca="false">IF($E3="—",$D3,$E3)</f>
        <v>إدارة المتابعة والتقارير</v>
      </c>
      <c r="G3" s="7" t="s">
        <v>150</v>
      </c>
      <c r="H3" s="7" t="s">
        <v>151</v>
      </c>
      <c r="I3" s="19" t="n">
        <f aca="false">COUNTIF('المرتبطة بسمو الوزير'!$B$2:$B$700,$A3)</f>
        <v>30</v>
      </c>
    </row>
    <row r="4" customFormat="false" ht="15" hidden="false" customHeight="true" outlineLevel="0" collapsed="false">
      <c r="A4" s="8" t="s">
        <v>154</v>
      </c>
      <c r="B4" s="8" t="s">
        <v>146</v>
      </c>
      <c r="C4" s="7" t="s">
        <v>147</v>
      </c>
      <c r="D4" s="7" t="s">
        <v>155</v>
      </c>
      <c r="E4" s="7" t="s">
        <v>149</v>
      </c>
      <c r="F4" s="18" t="str">
        <f aca="false">IF($E4="—",$D4,$E4)</f>
        <v>إدارة الحوكمة والمخاطر</v>
      </c>
      <c r="G4" s="7" t="s">
        <v>150</v>
      </c>
      <c r="H4" s="7" t="s">
        <v>151</v>
      </c>
      <c r="I4" s="19" t="n">
        <f aca="false">COUNTIF('المرتبطة بسمو الوزير'!$B$2:$B$700,$A4)</f>
        <v>30</v>
      </c>
    </row>
    <row r="5" customFormat="false" ht="15" hidden="false" customHeight="true" outlineLevel="0" collapsed="false">
      <c r="A5" s="8" t="s">
        <v>156</v>
      </c>
      <c r="B5" s="8" t="s">
        <v>146</v>
      </c>
      <c r="C5" s="7" t="s">
        <v>147</v>
      </c>
      <c r="D5" s="7" t="s">
        <v>157</v>
      </c>
      <c r="E5" s="7" t="s">
        <v>149</v>
      </c>
      <c r="F5" s="18" t="str">
        <f aca="false">IF($E5="—",$D5,$E5)</f>
        <v>إدارة الشؤون القانونية</v>
      </c>
      <c r="G5" s="7" t="s">
        <v>150</v>
      </c>
      <c r="H5" s="7" t="s">
        <v>151</v>
      </c>
      <c r="I5" s="19" t="n">
        <f aca="false">COUNTIF('المرتبطة بسمو الوزير'!$B$2:$B$700,$A5)</f>
        <v>30</v>
      </c>
    </row>
    <row r="6" customFormat="false" ht="15" hidden="false" customHeight="true" outlineLevel="0" collapsed="false">
      <c r="A6" s="8" t="s">
        <v>158</v>
      </c>
      <c r="B6" s="8" t="s">
        <v>146</v>
      </c>
      <c r="C6" s="7" t="s">
        <v>147</v>
      </c>
      <c r="D6" s="7" t="s">
        <v>159</v>
      </c>
      <c r="E6" s="7" t="s">
        <v>149</v>
      </c>
      <c r="F6" s="18" t="str">
        <f aca="false">IF($E6="—",$D6,$E6)</f>
        <v>إدارة التميز المؤسسي</v>
      </c>
      <c r="G6" s="7" t="s">
        <v>150</v>
      </c>
      <c r="H6" s="7" t="s">
        <v>151</v>
      </c>
      <c r="I6" s="19" t="n">
        <f aca="false">COUNTIF('المرتبطة بسمو الوزير'!$B$2:$B$700,$A6)</f>
        <v>30</v>
      </c>
    </row>
    <row r="7" customFormat="false" ht="15" hidden="false" customHeight="true" outlineLevel="0" collapsed="false">
      <c r="A7" s="8" t="s">
        <v>160</v>
      </c>
      <c r="B7" s="8" t="s">
        <v>161</v>
      </c>
      <c r="C7" s="7" t="s">
        <v>162</v>
      </c>
      <c r="D7" s="7" t="s">
        <v>163</v>
      </c>
      <c r="E7" s="7" t="s">
        <v>164</v>
      </c>
      <c r="F7" s="18" t="str">
        <f aca="false">IF($E7="—",$D7,$E7)</f>
        <v>الإدارة العامة للتخطيط والدراسات</v>
      </c>
      <c r="G7" s="7" t="s">
        <v>165</v>
      </c>
      <c r="H7" s="7" t="s">
        <v>162</v>
      </c>
      <c r="I7" s="19" t="n">
        <f aca="false">COUNTIF('الشؤون التنفيذية'!$B$2:$B$700,$A7)</f>
        <v>30</v>
      </c>
    </row>
    <row r="8" customFormat="false" ht="15" hidden="false" customHeight="true" outlineLevel="0" collapsed="false">
      <c r="A8" s="8" t="s">
        <v>166</v>
      </c>
      <c r="B8" s="8" t="s">
        <v>161</v>
      </c>
      <c r="C8" s="7" t="s">
        <v>162</v>
      </c>
      <c r="D8" s="7" t="s">
        <v>163</v>
      </c>
      <c r="E8" s="7" t="s">
        <v>167</v>
      </c>
      <c r="F8" s="18" t="str">
        <f aca="false">IF($E8="—",$D8,$E8)</f>
        <v>الإدارة العامة للجودة والتطوير</v>
      </c>
      <c r="G8" s="7" t="s">
        <v>165</v>
      </c>
      <c r="H8" s="7" t="s">
        <v>162</v>
      </c>
      <c r="I8" s="19" t="n">
        <f aca="false">COUNTIF('الشؤون التنفيذية'!$B$2:$B$700,$A8)</f>
        <v>30</v>
      </c>
    </row>
    <row r="9" customFormat="false" ht="15" hidden="false" customHeight="true" outlineLevel="0" collapsed="false">
      <c r="A9" s="8" t="s">
        <v>168</v>
      </c>
      <c r="B9" s="8" t="s">
        <v>161</v>
      </c>
      <c r="C9" s="7" t="s">
        <v>162</v>
      </c>
      <c r="D9" s="7" t="s">
        <v>163</v>
      </c>
      <c r="E9" s="7" t="s">
        <v>169</v>
      </c>
      <c r="F9" s="18" t="str">
        <f aca="false">IF($E9="—",$D9,$E9)</f>
        <v>الإدارة العامة للمشاريع</v>
      </c>
      <c r="G9" s="7" t="s">
        <v>165</v>
      </c>
      <c r="H9" s="7" t="s">
        <v>162</v>
      </c>
      <c r="I9" s="19" t="n">
        <f aca="false">COUNTIF('الشؤون التنفيذية'!$B$2:$B$700,$A9)</f>
        <v>30</v>
      </c>
    </row>
    <row r="10" customFormat="false" ht="15" hidden="false" customHeight="true" outlineLevel="0" collapsed="false">
      <c r="A10" s="8" t="s">
        <v>170</v>
      </c>
      <c r="B10" s="8" t="s">
        <v>161</v>
      </c>
      <c r="C10" s="7" t="s">
        <v>162</v>
      </c>
      <c r="D10" s="7" t="s">
        <v>163</v>
      </c>
      <c r="E10" s="7" t="s">
        <v>171</v>
      </c>
      <c r="F10" s="18" t="str">
        <f aca="false">IF($E10="—",$D10,$E10)</f>
        <v>الإدارة العامة للتشغيل والصيانة</v>
      </c>
      <c r="G10" s="7" t="s">
        <v>165</v>
      </c>
      <c r="H10" s="7" t="s">
        <v>162</v>
      </c>
      <c r="I10" s="19" t="n">
        <f aca="false">COUNTIF('الشؤون التنفيذية'!$B$2:$B$700,$A10)</f>
        <v>30</v>
      </c>
    </row>
    <row r="11" customFormat="false" ht="15" hidden="false" customHeight="true" outlineLevel="0" collapsed="false">
      <c r="A11" s="8" t="s">
        <v>172</v>
      </c>
      <c r="B11" s="8" t="s">
        <v>161</v>
      </c>
      <c r="C11" s="7" t="s">
        <v>162</v>
      </c>
      <c r="D11" s="7" t="s">
        <v>163</v>
      </c>
      <c r="E11" s="7" t="s">
        <v>173</v>
      </c>
      <c r="F11" s="18" t="str">
        <f aca="false">IF($E11="—",$D11,$E11)</f>
        <v>الإدارة العامة للسلامة والبيئة</v>
      </c>
      <c r="G11" s="7" t="s">
        <v>165</v>
      </c>
      <c r="H11" s="7" t="s">
        <v>162</v>
      </c>
      <c r="I11" s="19" t="n">
        <f aca="false">COUNTIF('الشؤون التنفيذية'!$B$2:$B$700,$A11)</f>
        <v>30</v>
      </c>
    </row>
    <row r="12" customFormat="false" ht="15" hidden="false" customHeight="true" outlineLevel="0" collapsed="false">
      <c r="A12" s="8" t="s">
        <v>174</v>
      </c>
      <c r="B12" s="8" t="s">
        <v>161</v>
      </c>
      <c r="C12" s="7" t="s">
        <v>162</v>
      </c>
      <c r="D12" s="7" t="s">
        <v>163</v>
      </c>
      <c r="E12" s="7" t="s">
        <v>175</v>
      </c>
      <c r="F12" s="18" t="str">
        <f aca="false">IF($E12="—",$D12,$E12)</f>
        <v>الإدارة العامة للأصول والمرافق</v>
      </c>
      <c r="G12" s="7" t="s">
        <v>165</v>
      </c>
      <c r="H12" s="7" t="s">
        <v>162</v>
      </c>
      <c r="I12" s="19" t="n">
        <f aca="false">COUNTIF('الشؤون التنفيذية'!$B$2:$B$700,$A12)</f>
        <v>30</v>
      </c>
    </row>
    <row r="13" customFormat="false" ht="15" hidden="false" customHeight="true" outlineLevel="0" collapsed="false">
      <c r="A13" s="8" t="s">
        <v>176</v>
      </c>
      <c r="B13" s="8" t="s">
        <v>161</v>
      </c>
      <c r="C13" s="7" t="s">
        <v>162</v>
      </c>
      <c r="D13" s="7" t="s">
        <v>163</v>
      </c>
      <c r="E13" s="7" t="s">
        <v>177</v>
      </c>
      <c r="F13" s="18" t="str">
        <f aca="false">IF($E13="—",$D13,$E13)</f>
        <v>الإدارة العامة للأمن والحماية</v>
      </c>
      <c r="G13" s="7" t="s">
        <v>165</v>
      </c>
      <c r="H13" s="7" t="s">
        <v>162</v>
      </c>
      <c r="I13" s="19" t="n">
        <f aca="false">COUNTIF('الشؤون التنفيذية'!$B$2:$B$700,$A13)</f>
        <v>30</v>
      </c>
    </row>
    <row r="14" customFormat="false" ht="15" hidden="false" customHeight="true" outlineLevel="0" collapsed="false">
      <c r="A14" s="8" t="s">
        <v>178</v>
      </c>
      <c r="B14" s="8" t="s">
        <v>161</v>
      </c>
      <c r="C14" s="7" t="s">
        <v>162</v>
      </c>
      <c r="D14" s="7" t="s">
        <v>179</v>
      </c>
      <c r="E14" s="7" t="s">
        <v>180</v>
      </c>
      <c r="F14" s="18" t="str">
        <f aca="false">IF($E14="—",$D14,$E14)</f>
        <v>الإدارة العامة للموارد البشرية</v>
      </c>
      <c r="G14" s="7" t="s">
        <v>165</v>
      </c>
      <c r="H14" s="7" t="s">
        <v>162</v>
      </c>
      <c r="I14" s="19" t="n">
        <f aca="false">COUNTIF('الشؤون التنفيذية'!$B$2:$B$700,$A14)</f>
        <v>30</v>
      </c>
    </row>
    <row r="15" customFormat="false" ht="15" hidden="false" customHeight="true" outlineLevel="0" collapsed="false">
      <c r="A15" s="8" t="s">
        <v>181</v>
      </c>
      <c r="B15" s="8" t="s">
        <v>161</v>
      </c>
      <c r="C15" s="7" t="s">
        <v>162</v>
      </c>
      <c r="D15" s="7" t="s">
        <v>179</v>
      </c>
      <c r="E15" s="7" t="s">
        <v>182</v>
      </c>
      <c r="F15" s="18" t="str">
        <f aca="false">IF($E15="—",$D15,$E15)</f>
        <v>الإدارة العامة للشؤون المالية</v>
      </c>
      <c r="G15" s="7" t="s">
        <v>165</v>
      </c>
      <c r="H15" s="7" t="s">
        <v>162</v>
      </c>
      <c r="I15" s="19" t="n">
        <f aca="false">COUNTIF('الشؤون التنفيذية'!$B$2:$B$700,$A15)</f>
        <v>30</v>
      </c>
    </row>
    <row r="16" customFormat="false" ht="15" hidden="false" customHeight="true" outlineLevel="0" collapsed="false">
      <c r="A16" s="8" t="s">
        <v>183</v>
      </c>
      <c r="B16" s="8" t="s">
        <v>161</v>
      </c>
      <c r="C16" s="7" t="s">
        <v>162</v>
      </c>
      <c r="D16" s="7" t="s">
        <v>179</v>
      </c>
      <c r="E16" s="7" t="s">
        <v>184</v>
      </c>
      <c r="F16" s="18" t="str">
        <f aca="false">IF($E16="—",$D16,$E16)</f>
        <v>الإدارة العامة لتقنية المعلومات</v>
      </c>
      <c r="G16" s="7" t="s">
        <v>165</v>
      </c>
      <c r="H16" s="7" t="s">
        <v>162</v>
      </c>
      <c r="I16" s="19" t="n">
        <f aca="false">COUNTIF('الشؤون التنفيذية'!$B$2:$B$700,$A16)</f>
        <v>30</v>
      </c>
    </row>
    <row r="17" customFormat="false" ht="15" hidden="false" customHeight="true" outlineLevel="0" collapsed="false">
      <c r="A17" s="8" t="s">
        <v>185</v>
      </c>
      <c r="B17" s="8" t="s">
        <v>161</v>
      </c>
      <c r="C17" s="7" t="s">
        <v>162</v>
      </c>
      <c r="D17" s="7" t="s">
        <v>186</v>
      </c>
      <c r="E17" s="7" t="s">
        <v>149</v>
      </c>
      <c r="F17" s="18" t="str">
        <f aca="false">IF($E17="—",$D17,$E17)</f>
        <v>وكالة الشؤون الاستراتيجية</v>
      </c>
      <c r="G17" s="7" t="s">
        <v>187</v>
      </c>
      <c r="H17" s="7" t="s">
        <v>162</v>
      </c>
      <c r="I17" s="19" t="n">
        <f aca="false">COUNTIF('الشؤون التنفيذية'!$B$2:$B$700,$A17)</f>
        <v>30</v>
      </c>
    </row>
    <row r="18" customFormat="false" ht="15" hidden="false" customHeight="true" outlineLevel="0" collapsed="false">
      <c r="A18" s="8" t="s">
        <v>188</v>
      </c>
      <c r="B18" s="8" t="s">
        <v>161</v>
      </c>
      <c r="C18" s="7" t="s">
        <v>162</v>
      </c>
      <c r="D18" s="7" t="s">
        <v>189</v>
      </c>
      <c r="E18" s="7" t="s">
        <v>149</v>
      </c>
      <c r="F18" s="18" t="str">
        <f aca="false">IF($E18="—",$D18,$E18)</f>
        <v>وكالة التحول الرقمي</v>
      </c>
      <c r="G18" s="7" t="s">
        <v>187</v>
      </c>
      <c r="H18" s="7" t="s">
        <v>162</v>
      </c>
      <c r="I18" s="19" t="n">
        <f aca="false">COUNTIF('الشؤون التنفيذية'!$B$2:$B$700,$A18)</f>
        <v>30</v>
      </c>
    </row>
    <row r="19" customFormat="false" ht="15" hidden="false" customHeight="true" outlineLevel="0" collapsed="false">
      <c r="A19" s="8" t="s">
        <v>190</v>
      </c>
      <c r="B19" s="8" t="s">
        <v>161</v>
      </c>
      <c r="C19" s="7" t="s">
        <v>162</v>
      </c>
      <c r="D19" s="7" t="s">
        <v>191</v>
      </c>
      <c r="E19" s="7" t="s">
        <v>149</v>
      </c>
      <c r="F19" s="18" t="str">
        <f aca="false">IF($E19="—",$D19,$E19)</f>
        <v>وكالة الاتصال المؤسسي</v>
      </c>
      <c r="G19" s="7" t="s">
        <v>187</v>
      </c>
      <c r="H19" s="7" t="s">
        <v>162</v>
      </c>
      <c r="I19" s="19" t="n">
        <f aca="false">COUNTIF('الشؤون التنفيذية'!$B$2:$B$700,$A19)</f>
        <v>30</v>
      </c>
    </row>
    <row r="20" customFormat="false" ht="15" hidden="false" customHeight="true" outlineLevel="0" collapsed="false">
      <c r="A20" s="8" t="s">
        <v>192</v>
      </c>
      <c r="B20" s="8" t="s">
        <v>161</v>
      </c>
      <c r="C20" s="7" t="s">
        <v>162</v>
      </c>
      <c r="D20" s="7" t="s">
        <v>193</v>
      </c>
      <c r="E20" s="7" t="s">
        <v>149</v>
      </c>
      <c r="F20" s="18" t="str">
        <f aca="false">IF($E20="—",$D20,$E20)</f>
        <v>وكالة الرقابة والالتزام</v>
      </c>
      <c r="G20" s="7" t="s">
        <v>187</v>
      </c>
      <c r="H20" s="7" t="s">
        <v>162</v>
      </c>
      <c r="I20" s="19" t="n">
        <f aca="false">COUNTIF('الشؤون التنفيذية'!$B$2:$B$700,$A20)</f>
        <v>30</v>
      </c>
    </row>
    <row r="21" customFormat="false" ht="15" hidden="false" customHeight="true" outlineLevel="0" collapsed="false">
      <c r="A21" s="8" t="s">
        <v>194</v>
      </c>
      <c r="B21" s="8" t="s">
        <v>195</v>
      </c>
      <c r="C21" s="7" t="s">
        <v>196</v>
      </c>
      <c r="D21" s="7" t="s">
        <v>197</v>
      </c>
      <c r="E21" s="7" t="s">
        <v>149</v>
      </c>
      <c r="F21" s="18" t="str">
        <f aca="false">IF($E21="—",$D21,$E21)</f>
        <v>هيئة الأركان</v>
      </c>
      <c r="G21" s="7" t="s">
        <v>150</v>
      </c>
      <c r="H21" s="7" t="s">
        <v>196</v>
      </c>
      <c r="I21" s="19" t="n">
        <f aca="false">COUNTIF('الجهاز العسكري'!$B$2:$B$700,$A21)</f>
        <v>30</v>
      </c>
    </row>
    <row r="22" customFormat="false" ht="15" hidden="false" customHeight="true" outlineLevel="0" collapsed="false">
      <c r="A22" s="8" t="s">
        <v>198</v>
      </c>
      <c r="B22" s="8" t="s">
        <v>195</v>
      </c>
      <c r="C22" s="7" t="s">
        <v>196</v>
      </c>
      <c r="D22" s="7" t="s">
        <v>199</v>
      </c>
      <c r="E22" s="7" t="s">
        <v>149</v>
      </c>
      <c r="F22" s="18" t="str">
        <f aca="false">IF($E22="—",$D22,$E22)</f>
        <v>قيادة القوات البرية</v>
      </c>
      <c r="G22" s="7" t="s">
        <v>150</v>
      </c>
      <c r="H22" s="7" t="s">
        <v>196</v>
      </c>
      <c r="I22" s="19" t="n">
        <f aca="false">COUNTIF('الجهاز العسكري'!$B$2:$B$700,$A22)</f>
        <v>30</v>
      </c>
    </row>
    <row r="23" customFormat="false" ht="15" hidden="false" customHeight="true" outlineLevel="0" collapsed="false">
      <c r="A23" s="8" t="s">
        <v>200</v>
      </c>
      <c r="B23" s="8" t="s">
        <v>195</v>
      </c>
      <c r="C23" s="7" t="s">
        <v>196</v>
      </c>
      <c r="D23" s="7" t="s">
        <v>201</v>
      </c>
      <c r="E23" s="7" t="s">
        <v>149</v>
      </c>
      <c r="F23" s="18" t="str">
        <f aca="false">IF($E23="—",$D23,$E23)</f>
        <v>قيادة القوات الجوية</v>
      </c>
      <c r="G23" s="7" t="s">
        <v>150</v>
      </c>
      <c r="H23" s="7" t="s">
        <v>196</v>
      </c>
      <c r="I23" s="19" t="n">
        <f aca="false">COUNTIF('الجهاز العسكري'!$B$2:$B$700,$A23)</f>
        <v>30</v>
      </c>
    </row>
    <row r="24" customFormat="false" ht="15" hidden="false" customHeight="true" outlineLevel="0" collapsed="false">
      <c r="A24" s="8" t="s">
        <v>202</v>
      </c>
      <c r="B24" s="8" t="s">
        <v>195</v>
      </c>
      <c r="C24" s="7" t="s">
        <v>196</v>
      </c>
      <c r="D24" s="7" t="s">
        <v>203</v>
      </c>
      <c r="E24" s="7" t="s">
        <v>149</v>
      </c>
      <c r="F24" s="18" t="str">
        <f aca="false">IF($E24="—",$D24,$E24)</f>
        <v>قيادة القوات البحرية</v>
      </c>
      <c r="G24" s="7" t="s">
        <v>150</v>
      </c>
      <c r="H24" s="7" t="s">
        <v>196</v>
      </c>
      <c r="I24" s="19" t="n">
        <f aca="false">COUNTIF('الجهاز العسكري'!$B$2:$B$700,$A24)</f>
        <v>30</v>
      </c>
    </row>
    <row r="25" customFormat="false" ht="15" hidden="false" customHeight="true" outlineLevel="0" collapsed="false">
      <c r="A25" s="8" t="s">
        <v>204</v>
      </c>
      <c r="B25" s="8" t="s">
        <v>195</v>
      </c>
      <c r="C25" s="7" t="s">
        <v>196</v>
      </c>
      <c r="D25" s="7" t="s">
        <v>205</v>
      </c>
      <c r="E25" s="7" t="s">
        <v>149</v>
      </c>
      <c r="F25" s="18" t="str">
        <f aca="false">IF($E25="—",$D25,$E25)</f>
        <v>قيادة قوات الدفاع الجوي</v>
      </c>
      <c r="G25" s="7" t="s">
        <v>150</v>
      </c>
      <c r="H25" s="7" t="s">
        <v>196</v>
      </c>
      <c r="I25" s="19" t="n">
        <f aca="false">COUNTIF('الجهاز العسكري'!$B$2:$B$700,$A25)</f>
        <v>30</v>
      </c>
    </row>
    <row r="26" customFormat="false" ht="15" hidden="false" customHeight="true" outlineLevel="0" collapsed="false">
      <c r="A26" s="8" t="s">
        <v>206</v>
      </c>
      <c r="B26" s="8" t="s">
        <v>195</v>
      </c>
      <c r="C26" s="7" t="s">
        <v>196</v>
      </c>
      <c r="D26" s="7" t="s">
        <v>207</v>
      </c>
      <c r="E26" s="7" t="s">
        <v>149</v>
      </c>
      <c r="F26" s="18" t="str">
        <f aca="false">IF($E26="—",$D26,$E26)</f>
        <v>قيادة القوات الاستراتيجية</v>
      </c>
      <c r="G26" s="7" t="s">
        <v>150</v>
      </c>
      <c r="H26" s="7" t="s">
        <v>196</v>
      </c>
      <c r="I26" s="19" t="n">
        <f aca="false">COUNTIF('الجهاز العسكري'!$B$2:$B$700,$A26)</f>
        <v>30</v>
      </c>
    </row>
    <row r="27" customFormat="false" ht="15" hidden="false" customHeight="true" outlineLevel="0" collapsed="false">
      <c r="A27" s="8" t="s">
        <v>208</v>
      </c>
      <c r="B27" s="8" t="s">
        <v>195</v>
      </c>
      <c r="C27" s="7" t="s">
        <v>196</v>
      </c>
      <c r="D27" s="7" t="s">
        <v>209</v>
      </c>
      <c r="E27" s="7" t="s">
        <v>149</v>
      </c>
      <c r="F27" s="18" t="str">
        <f aca="false">IF($E27="—",$D27,$E27)</f>
        <v>الإدارة العامة للاستخبارات العسكرية</v>
      </c>
      <c r="G27" s="7" t="s">
        <v>150</v>
      </c>
      <c r="H27" s="7" t="s">
        <v>196</v>
      </c>
      <c r="I27" s="19" t="n">
        <f aca="false">COUNTIF('الجهاز العسكري'!$B$2:$B$700,$A27)</f>
        <v>30</v>
      </c>
    </row>
    <row r="28" customFormat="false" ht="15" hidden="false" customHeight="true" outlineLevel="0" collapsed="false">
      <c r="A28" s="8" t="s">
        <v>210</v>
      </c>
      <c r="B28" s="8" t="s">
        <v>195</v>
      </c>
      <c r="C28" s="7" t="s">
        <v>196</v>
      </c>
      <c r="D28" s="7" t="s">
        <v>211</v>
      </c>
      <c r="E28" s="7" t="s">
        <v>149</v>
      </c>
      <c r="F28" s="18" t="str">
        <f aca="false">IF($E28="—",$D28,$E28)</f>
        <v>الإدارة العامة للعمليات المشتركة</v>
      </c>
      <c r="G28" s="7" t="s">
        <v>150</v>
      </c>
      <c r="H28" s="7" t="s">
        <v>196</v>
      </c>
      <c r="I28" s="19" t="n">
        <f aca="false">COUNTIF('الجهاز العسكري'!$B$2:$B$700,$A28)</f>
        <v>30</v>
      </c>
    </row>
    <row r="29" customFormat="false" ht="15" hidden="false" customHeight="true" outlineLevel="0" collapsed="false">
      <c r="A29" s="8" t="s">
        <v>212</v>
      </c>
      <c r="B29" s="8" t="s">
        <v>195</v>
      </c>
      <c r="C29" s="7" t="s">
        <v>196</v>
      </c>
      <c r="D29" s="7" t="s">
        <v>213</v>
      </c>
      <c r="E29" s="7" t="s">
        <v>149</v>
      </c>
      <c r="F29" s="18" t="str">
        <f aca="false">IF($E29="—",$D29,$E29)</f>
        <v>الإدارة العامة للتخطيط والتنظيم العسكري</v>
      </c>
      <c r="G29" s="7" t="s">
        <v>150</v>
      </c>
      <c r="H29" s="7" t="s">
        <v>196</v>
      </c>
      <c r="I29" s="19" t="n">
        <f aca="false">COUNTIF('الجهاز العسكري'!$B$2:$B$700,$A29)</f>
        <v>30</v>
      </c>
    </row>
    <row r="30" customFormat="false" ht="15" hidden="false" customHeight="true" outlineLevel="0" collapsed="false">
      <c r="A30" s="8" t="s">
        <v>214</v>
      </c>
      <c r="B30" s="8" t="s">
        <v>195</v>
      </c>
      <c r="C30" s="7" t="s">
        <v>196</v>
      </c>
      <c r="D30" s="7" t="s">
        <v>215</v>
      </c>
      <c r="E30" s="7" t="s">
        <v>149</v>
      </c>
      <c r="F30" s="18" t="str">
        <f aca="false">IF($E30="—",$D30,$E30)</f>
        <v>الإدارة العامة للإمداد والتموين</v>
      </c>
      <c r="G30" s="7" t="s">
        <v>150</v>
      </c>
      <c r="H30" s="7" t="s">
        <v>196</v>
      </c>
      <c r="I30" s="19" t="n">
        <f aca="false">COUNTIF('الجهاز العسكري'!$B$2:$B$700,$A30)</f>
        <v>30</v>
      </c>
    </row>
    <row r="31" customFormat="false" ht="15" hidden="false" customHeight="true" outlineLevel="0" collapsed="false">
      <c r="A31" s="8" t="s">
        <v>216</v>
      </c>
      <c r="B31" s="8" t="s">
        <v>195</v>
      </c>
      <c r="C31" s="7" t="s">
        <v>196</v>
      </c>
      <c r="D31" s="7" t="s">
        <v>217</v>
      </c>
      <c r="E31" s="7" t="s">
        <v>149</v>
      </c>
      <c r="F31" s="18" t="str">
        <f aca="false">IF($E31="—",$D31,$E31)</f>
        <v>الإدارة العامة للاتصالات وتقنية المعلومات العسكرية</v>
      </c>
      <c r="G31" s="7" t="s">
        <v>150</v>
      </c>
      <c r="H31" s="7" t="s">
        <v>196</v>
      </c>
      <c r="I31" s="19" t="n">
        <f aca="false">COUNTIF('الجهاز العسكري'!$B$2:$B$700,$A31)</f>
        <v>30</v>
      </c>
    </row>
    <row r="32" customFormat="false" ht="15" hidden="false" customHeight="true" outlineLevel="0" collapsed="false">
      <c r="A32" s="8" t="s">
        <v>218</v>
      </c>
      <c r="B32" s="8" t="s">
        <v>195</v>
      </c>
      <c r="C32" s="7" t="s">
        <v>196</v>
      </c>
      <c r="D32" s="7" t="s">
        <v>219</v>
      </c>
      <c r="E32" s="7" t="s">
        <v>149</v>
      </c>
      <c r="F32" s="18" t="str">
        <f aca="false">IF($E32="—",$D32,$E32)</f>
        <v>الإدارة العامة للشؤون الهندسية العسكرية</v>
      </c>
      <c r="G32" s="7" t="s">
        <v>150</v>
      </c>
      <c r="H32" s="7" t="s">
        <v>196</v>
      </c>
      <c r="I32" s="19" t="n">
        <f aca="false">COUNTIF('الجهاز العسكري'!$B$2:$B$700,$A32)</f>
        <v>30</v>
      </c>
    </row>
    <row r="33" customFormat="false" ht="15" hidden="false" customHeight="true" outlineLevel="0" collapsed="false">
      <c r="A33" s="8" t="s">
        <v>220</v>
      </c>
      <c r="B33" s="8" t="s">
        <v>195</v>
      </c>
      <c r="C33" s="7" t="s">
        <v>196</v>
      </c>
      <c r="D33" s="7" t="s">
        <v>221</v>
      </c>
      <c r="E33" s="7" t="s">
        <v>149</v>
      </c>
      <c r="F33" s="18" t="str">
        <f aca="false">IF($E33="—",$D33,$E33)</f>
        <v>الإدارة العامة للخدمات الطبية العسكرية</v>
      </c>
      <c r="G33" s="7" t="s">
        <v>150</v>
      </c>
      <c r="H33" s="7" t="s">
        <v>196</v>
      </c>
      <c r="I33" s="19" t="n">
        <f aca="false">COUNTIF('الجهاز العسكري'!$B$2:$B$700,$A33)</f>
        <v>30</v>
      </c>
    </row>
    <row r="34" customFormat="false" ht="15" hidden="false" customHeight="true" outlineLevel="0" collapsed="false">
      <c r="A34" s="8" t="s">
        <v>222</v>
      </c>
      <c r="B34" s="8" t="s">
        <v>195</v>
      </c>
      <c r="C34" s="7" t="s">
        <v>196</v>
      </c>
      <c r="D34" s="7" t="s">
        <v>223</v>
      </c>
      <c r="E34" s="7" t="s">
        <v>149</v>
      </c>
      <c r="F34" s="18" t="str">
        <f aca="false">IF($E34="—",$D34,$E34)</f>
        <v>الإدارة العامة للقوى البشرية العسكرية</v>
      </c>
      <c r="G34" s="7" t="s">
        <v>150</v>
      </c>
      <c r="H34" s="7" t="s">
        <v>196</v>
      </c>
      <c r="I34" s="19" t="n">
        <f aca="false">COUNTIF('الجهاز العسكري'!$B$2:$B$700,$A34)</f>
        <v>30</v>
      </c>
    </row>
    <row r="35" customFormat="false" ht="15" hidden="false" customHeight="true" outlineLevel="0" collapsed="false">
      <c r="A35" s="8" t="s">
        <v>224</v>
      </c>
      <c r="B35" s="8" t="s">
        <v>195</v>
      </c>
      <c r="C35" s="7" t="s">
        <v>196</v>
      </c>
      <c r="D35" s="7" t="s">
        <v>225</v>
      </c>
      <c r="E35" s="7" t="s">
        <v>149</v>
      </c>
      <c r="F35" s="18" t="str">
        <f aca="false">IF($E35="—",$D35,$E35)</f>
        <v>الإدارة العامة للتدريب والتأهيل العسكري</v>
      </c>
      <c r="G35" s="7" t="s">
        <v>150</v>
      </c>
      <c r="H35" s="7" t="s">
        <v>196</v>
      </c>
      <c r="I35" s="19" t="n">
        <f aca="false">COUNTIF('الجهاز العسكري'!$B$2:$B$700,$A35)</f>
        <v>30</v>
      </c>
    </row>
    <row r="36" customFormat="false" ht="15" hidden="false" customHeight="true" outlineLevel="0" collapsed="false">
      <c r="A36" s="8" t="s">
        <v>226</v>
      </c>
      <c r="B36" s="8" t="s">
        <v>195</v>
      </c>
      <c r="C36" s="7" t="s">
        <v>196</v>
      </c>
      <c r="D36" s="7" t="s">
        <v>227</v>
      </c>
      <c r="E36" s="7" t="s">
        <v>149</v>
      </c>
      <c r="F36" s="18" t="str">
        <f aca="false">IF($E36="—",$D36,$E36)</f>
        <v>الإدارة العامة للتسليح والعتاد</v>
      </c>
      <c r="G36" s="7" t="s">
        <v>150</v>
      </c>
      <c r="H36" s="7" t="s">
        <v>196</v>
      </c>
      <c r="I36" s="19" t="n">
        <f aca="false">COUNTIF('الجهاز العسكري'!$B$2:$B$700,$A36)</f>
        <v>30</v>
      </c>
    </row>
    <row r="37" customFormat="false" ht="15" hidden="false" customHeight="true" outlineLevel="0" collapsed="false">
      <c r="A37" s="8" t="s">
        <v>228</v>
      </c>
      <c r="B37" s="8" t="s">
        <v>195</v>
      </c>
      <c r="C37" s="7" t="s">
        <v>196</v>
      </c>
      <c r="D37" s="7" t="s">
        <v>229</v>
      </c>
      <c r="E37" s="7" t="s">
        <v>149</v>
      </c>
      <c r="F37" s="18" t="str">
        <f aca="false">IF($E37="—",$D37,$E37)</f>
        <v>الإدارة العامة للقضاء العسكري</v>
      </c>
      <c r="G37" s="7" t="s">
        <v>150</v>
      </c>
      <c r="H37" s="7" t="s">
        <v>196</v>
      </c>
      <c r="I37" s="19" t="n">
        <f aca="false">COUNTIF('الجهاز العسكري'!$B$2:$B$700,$A37)</f>
        <v>30</v>
      </c>
    </row>
    <row r="38" customFormat="false" ht="15" hidden="false" customHeight="true" outlineLevel="0" collapsed="false">
      <c r="A38" s="8" t="s">
        <v>230</v>
      </c>
      <c r="B38" s="8" t="s">
        <v>195</v>
      </c>
      <c r="C38" s="7" t="s">
        <v>196</v>
      </c>
      <c r="D38" s="7" t="s">
        <v>231</v>
      </c>
      <c r="E38" s="7" t="s">
        <v>149</v>
      </c>
      <c r="F38" s="18" t="str">
        <f aca="false">IF($E38="—",$D38,$E38)</f>
        <v>الإدارة العامة للأمن العسكري</v>
      </c>
      <c r="G38" s="7" t="s">
        <v>150</v>
      </c>
      <c r="H38" s="7" t="s">
        <v>196</v>
      </c>
      <c r="I38" s="19" t="n">
        <f aca="false">COUNTIF('الجهاز العسكري'!$B$2:$B$700,$A38)</f>
        <v>30</v>
      </c>
    </row>
    <row r="39" customFormat="false" ht="15" hidden="false" customHeight="true" outlineLevel="0" collapsed="false">
      <c r="A39" s="8" t="s">
        <v>232</v>
      </c>
      <c r="B39" s="8" t="s">
        <v>195</v>
      </c>
      <c r="C39" s="7" t="s">
        <v>196</v>
      </c>
      <c r="D39" s="7" t="s">
        <v>233</v>
      </c>
      <c r="E39" s="7" t="s">
        <v>149</v>
      </c>
      <c r="F39" s="18" t="str">
        <f aca="false">IF($E39="—",$D39,$E39)</f>
        <v>الإدارة العامة للمالية والميزانية العسكرية</v>
      </c>
      <c r="G39" s="7" t="s">
        <v>150</v>
      </c>
      <c r="H39" s="7" t="s">
        <v>196</v>
      </c>
      <c r="I39" s="19" t="n">
        <f aca="false">COUNTIF('الجهاز العسكري'!$B$2:$B$700,$A39)</f>
        <v>30</v>
      </c>
    </row>
    <row r="40" customFormat="false" ht="15" hidden="false" customHeight="true" outlineLevel="0" collapsed="false">
      <c r="A40" s="8" t="s">
        <v>234</v>
      </c>
      <c r="B40" s="8" t="s">
        <v>195</v>
      </c>
      <c r="C40" s="7" t="s">
        <v>196</v>
      </c>
      <c r="D40" s="7" t="s">
        <v>235</v>
      </c>
      <c r="E40" s="7" t="s">
        <v>149</v>
      </c>
      <c r="F40" s="18" t="str">
        <f aca="false">IF($E40="—",$D40,$E40)</f>
        <v>الإدارة العامة للعلاقات العامة والإعلام العسكري</v>
      </c>
      <c r="G40" s="7" t="s">
        <v>150</v>
      </c>
      <c r="H40" s="7" t="s">
        <v>196</v>
      </c>
      <c r="I40" s="19" t="n">
        <f aca="false">COUNTIF('الجهاز العسكري'!$B$2:$B$700,$A40)</f>
        <v>30</v>
      </c>
    </row>
    <row r="41" customFormat="false" ht="15" hidden="false" customHeight="true" outlineLevel="0" collapsed="false">
      <c r="A41" s="8" t="s">
        <v>236</v>
      </c>
      <c r="B41" s="8" t="s">
        <v>195</v>
      </c>
      <c r="C41" s="7" t="s">
        <v>196</v>
      </c>
      <c r="D41" s="7" t="s">
        <v>237</v>
      </c>
      <c r="E41" s="7" t="s">
        <v>149</v>
      </c>
      <c r="F41" s="18" t="str">
        <f aca="false">IF($E41="—",$D41,$E41)</f>
        <v>الإدارة العامة للمراسم والتشريفات العسكرية</v>
      </c>
      <c r="G41" s="7" t="s">
        <v>150</v>
      </c>
      <c r="H41" s="7" t="s">
        <v>196</v>
      </c>
      <c r="I41" s="19" t="n">
        <f aca="false">COUNTIF('الجهاز العسكري'!$B$2:$B$700,$A41)</f>
        <v>30</v>
      </c>
    </row>
  </sheetData>
  <autoFilter ref="A1:I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O2" activeCellId="0" sqref="O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3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26"/>
    <col collapsed="false" customWidth="true" hidden="false" outlineLevel="0" max="11" min="11" style="1" width="16"/>
    <col collapsed="false" customWidth="true" hidden="false" outlineLevel="0" max="12" min="12" style="1" width="62"/>
    <col collapsed="false" customWidth="true" hidden="false" outlineLevel="0" max="13" min="13" style="1" width="17"/>
    <col collapsed="false" customWidth="true" hidden="false" outlineLevel="0" max="14" min="14" style="1" width="18"/>
    <col collapsed="false" customWidth="true" hidden="false" outlineLevel="0" max="15" min="15" style="1" width="42"/>
  </cols>
  <sheetData>
    <row r="1" customFormat="false" ht="36" hidden="false" customHeight="true" outlineLevel="0" collapsed="false">
      <c r="A1" s="5" t="s">
        <v>238</v>
      </c>
      <c r="B1" s="5" t="s">
        <v>136</v>
      </c>
      <c r="C1" s="5" t="s">
        <v>137</v>
      </c>
      <c r="D1" s="5" t="s">
        <v>239</v>
      </c>
      <c r="E1" s="5" t="s">
        <v>139</v>
      </c>
      <c r="F1" s="5" t="s">
        <v>140</v>
      </c>
      <c r="G1" s="5" t="s">
        <v>34</v>
      </c>
      <c r="H1" s="5" t="s">
        <v>33</v>
      </c>
      <c r="I1" s="5" t="s">
        <v>37</v>
      </c>
      <c r="J1" s="5" t="s">
        <v>36</v>
      </c>
      <c r="K1" s="5" t="s">
        <v>72</v>
      </c>
      <c r="L1" s="5" t="s">
        <v>74</v>
      </c>
      <c r="M1" s="15" t="s">
        <v>240</v>
      </c>
      <c r="N1" s="15" t="s">
        <v>241</v>
      </c>
      <c r="O1" s="5" t="s">
        <v>242</v>
      </c>
      <c r="P1" s="15" t="s">
        <v>243</v>
      </c>
    </row>
    <row r="2" customFormat="false" ht="15" hidden="false" customHeight="true" outlineLevel="0" collapsed="false">
      <c r="A2" s="20" t="s">
        <v>244</v>
      </c>
      <c r="B2" s="20" t="s">
        <v>145</v>
      </c>
      <c r="C2" s="19" t="str">
        <f aca="false">IFERROR(INDEX('قائمة الوحدات'!$B$2:$B$41,MATCH($B2,'قائمة الوحدات'!$A$2:$A$41,0)),"")</f>
        <v>TOP</v>
      </c>
      <c r="D2" s="18" t="str">
        <f aca="false">IFERROR(INDEX('قائمة الوحدات'!$C$2:$C$41,MATCH($B2,'قائمة الوحدات'!$A$2:$A$41,0)),"")</f>
        <v>المرتبطة بسمو الوزير</v>
      </c>
      <c r="E2" s="18" t="str">
        <f aca="false">IFERROR(INDEX('قائمة الوحدات'!$D$2:$D$41,MATCH($B2,'قائمة الوحدات'!$A$2:$A$41,0)),"")</f>
        <v>المكتب التنفيذي</v>
      </c>
      <c r="F2" s="18" t="str">
        <f aca="false">IFERROR(INDEX('قائمة الوحدات'!$F$2:$F$41,MATCH($B2,'قائمة الوحدات'!$A$2:$A$41,0)),"")</f>
        <v>المكتب التنفيذي</v>
      </c>
      <c r="G2" s="20" t="s">
        <v>44</v>
      </c>
      <c r="H2" s="18" t="str">
        <f aca="false">IFERROR(INDEX(المرجع!$A$2:$A$19,MATCH($G2,المرجع!$B$2:$B$19,0)),"")</f>
        <v>التصميم</v>
      </c>
      <c r="I2" s="20" t="s">
        <v>46</v>
      </c>
      <c r="J2" s="18" t="str">
        <f aca="false">IFERROR(INDEX(المرجع!$D$2:$D$19,MATCH($I2,المرجع!$E$2:$E$19,0)),"")</f>
        <v>الدور</v>
      </c>
      <c r="K2" s="20" t="s">
        <v>76</v>
      </c>
      <c r="L2" s="21" t="str">
        <f aca="false">IFERROR(INDEX('نقاط التحقق'!$G$2:$G$31,MATCH($K2,'نقاط التحقق'!$A$2:$A$31,0))&amp;"","")</f>
        <v>دور مفصل للوحدة التنظيمية</v>
      </c>
      <c r="M2" s="17" t="n">
        <v>50</v>
      </c>
      <c r="N2" s="17" t="n">
        <v>90</v>
      </c>
      <c r="O2" s="19" t="str">
        <f aca="false">IF($M2="","غير مقيّمة",IF($M2&gt;المرجع!$K$3,"مستوفاة بشكل متقدم",IF($M2&lt;=المرجع!$K$2,"مستوفاة بشكل أولي","مستوفاة بشكل جزئي")))</f>
        <v>مستوفاة بشكل جزئي</v>
      </c>
      <c r="P2" s="22" t="s">
        <v>245</v>
      </c>
    </row>
    <row r="3" customFormat="false" ht="15" hidden="false" customHeight="true" outlineLevel="0" collapsed="false">
      <c r="A3" s="20" t="s">
        <v>246</v>
      </c>
      <c r="B3" s="20" t="s">
        <v>145</v>
      </c>
      <c r="C3" s="19" t="str">
        <f aca="false">IFERROR(INDEX('قائمة الوحدات'!$B$2:$B$41,MATCH($B3,'قائمة الوحدات'!$A$2:$A$41,0)),"")</f>
        <v>TOP</v>
      </c>
      <c r="D3" s="18" t="str">
        <f aca="false">IFERROR(INDEX('قائمة الوحدات'!$C$2:$C$41,MATCH($B3,'قائمة الوحدات'!$A$2:$A$41,0)),"")</f>
        <v>المرتبطة بسمو الوزير</v>
      </c>
      <c r="E3" s="18" t="str">
        <f aca="false">IFERROR(INDEX('قائمة الوحدات'!$D$2:$D$41,MATCH($B3,'قائمة الوحدات'!$A$2:$A$41,0)),"")</f>
        <v>المكتب التنفيذي</v>
      </c>
      <c r="F3" s="18" t="str">
        <f aca="false">IFERROR(INDEX('قائمة الوحدات'!$F$2:$F$41,MATCH($B3,'قائمة الوحدات'!$A$2:$A$41,0)),"")</f>
        <v>المكتب التنفيذي</v>
      </c>
      <c r="G3" s="20" t="s">
        <v>44</v>
      </c>
      <c r="H3" s="18" t="str">
        <f aca="false">IFERROR(INDEX(المرجع!$A$2:$A$19,MATCH($G3,المرجع!$B$2:$B$19,0)),"")</f>
        <v>التصميم</v>
      </c>
      <c r="I3" s="20" t="s">
        <v>49</v>
      </c>
      <c r="J3" s="18" t="str">
        <f aca="false">IFERROR(INDEX(المرجع!$D$2:$D$19,MATCH($I3,المرجع!$E$2:$E$19,0)),"")</f>
        <v>الأهداف ومؤشرات الأداء</v>
      </c>
      <c r="K3" s="20" t="s">
        <v>78</v>
      </c>
      <c r="L3" s="21" t="str">
        <f aca="false">IFERROR(INDEX('نقاط التحقق'!$G$2:$G$31,MATCH($K3,'نقاط التحقق'!$A$2:$A$31,0))&amp;"","")</f>
        <v>أهداف محددة للوحدة التنظيمية وربطها بمؤشرات أداء لقياسها</v>
      </c>
      <c r="M3" s="17" t="n">
        <v>85</v>
      </c>
      <c r="N3" s="17" t="n">
        <v>85</v>
      </c>
      <c r="O3" s="19" t="str">
        <f aca="false">IF($M3="","غير مقيّمة",IF($M3&gt;المرجع!$K$3,"مستوفاة بشكل متقدم",IF($M3&lt;=المرجع!$K$2,"مستوفاة بشكل أولي","مستوفاة بشكل جزئي")))</f>
        <v>مستوفاة بشكل متقدم</v>
      </c>
      <c r="P3" s="22" t="s">
        <v>245</v>
      </c>
    </row>
    <row r="4" customFormat="false" ht="15" hidden="false" customHeight="true" outlineLevel="0" collapsed="false">
      <c r="A4" s="20" t="s">
        <v>247</v>
      </c>
      <c r="B4" s="20" t="s">
        <v>145</v>
      </c>
      <c r="C4" s="19" t="str">
        <f aca="false">IFERROR(INDEX('قائمة الوحدات'!$B$2:$B$41,MATCH($B4,'قائمة الوحدات'!$A$2:$A$41,0)),"")</f>
        <v>TOP</v>
      </c>
      <c r="D4" s="18" t="str">
        <f aca="false">IFERROR(INDEX('قائمة الوحدات'!$C$2:$C$41,MATCH($B4,'قائمة الوحدات'!$A$2:$A$41,0)),"")</f>
        <v>المرتبطة بسمو الوزير</v>
      </c>
      <c r="E4" s="18" t="str">
        <f aca="false">IFERROR(INDEX('قائمة الوحدات'!$D$2:$D$41,MATCH($B4,'قائمة الوحدات'!$A$2:$A$41,0)),"")</f>
        <v>المكتب التنفيذي</v>
      </c>
      <c r="F4" s="18" t="str">
        <f aca="false">IFERROR(INDEX('قائمة الوحدات'!$F$2:$F$41,MATCH($B4,'قائمة الوحدات'!$A$2:$A$41,0)),"")</f>
        <v>المكتب التنفيذي</v>
      </c>
      <c r="G4" s="20" t="s">
        <v>44</v>
      </c>
      <c r="H4" s="18" t="str">
        <f aca="false">IFERROR(INDEX(المرجع!$A$2:$A$19,MATCH($G4,المرجع!$B$2:$B$19,0)),"")</f>
        <v>التصميم</v>
      </c>
      <c r="I4" s="20" t="s">
        <v>49</v>
      </c>
      <c r="J4" s="18" t="str">
        <f aca="false">IFERROR(INDEX(المرجع!$D$2:$D$19,MATCH($I4,المرجع!$E$2:$E$19,0)),"")</f>
        <v>الأهداف ومؤشرات الأداء</v>
      </c>
      <c r="K4" s="20" t="s">
        <v>80</v>
      </c>
      <c r="L4" s="21" t="str">
        <f aca="false">IFERROR(INDEX('نقاط التحقق'!$G$2:$G$31,MATCH($K4,'نقاط التحقق'!$A$2:$A$31,0))&amp;"","")</f>
        <v>مؤشرات أداء الوحدة التنظيمية</v>
      </c>
      <c r="M4" s="17" t="n">
        <v>60</v>
      </c>
      <c r="N4" s="17" t="n">
        <v>95</v>
      </c>
      <c r="O4" s="19" t="str">
        <f aca="false">IF($M4="","غير مقيّمة",IF($M4&gt;المرجع!$K$3,"مستوفاة بشكل متقدم",IF($M4&lt;=المرجع!$K$2,"مستوفاة بشكل أولي","مستوفاة بشكل جزئي")))</f>
        <v>مستوفاة بشكل جزئي</v>
      </c>
      <c r="P4" s="22" t="s">
        <v>245</v>
      </c>
    </row>
    <row r="5" customFormat="false" ht="15" hidden="false" customHeight="true" outlineLevel="0" collapsed="false">
      <c r="A5" s="20" t="s">
        <v>248</v>
      </c>
      <c r="B5" s="20" t="s">
        <v>145</v>
      </c>
      <c r="C5" s="19" t="str">
        <f aca="false">IFERROR(INDEX('قائمة الوحدات'!$B$2:$B$41,MATCH($B5,'قائمة الوحدات'!$A$2:$A$41,0)),"")</f>
        <v>TOP</v>
      </c>
      <c r="D5" s="18" t="str">
        <f aca="false">IFERROR(INDEX('قائمة الوحدات'!$C$2:$C$41,MATCH($B5,'قائمة الوحدات'!$A$2:$A$41,0)),"")</f>
        <v>المرتبطة بسمو الوزير</v>
      </c>
      <c r="E5" s="18" t="str">
        <f aca="false">IFERROR(INDEX('قائمة الوحدات'!$D$2:$D$41,MATCH($B5,'قائمة الوحدات'!$A$2:$A$41,0)),"")</f>
        <v>المكتب التنفيذي</v>
      </c>
      <c r="F5" s="18" t="str">
        <f aca="false">IFERROR(INDEX('قائمة الوحدات'!$F$2:$F$41,MATCH($B5,'قائمة الوحدات'!$A$2:$A$41,0)),"")</f>
        <v>المكتب التنفيذي</v>
      </c>
      <c r="G5" s="20" t="s">
        <v>44</v>
      </c>
      <c r="H5" s="18" t="str">
        <f aca="false">IFERROR(INDEX(المرجع!$A$2:$A$19,MATCH($G5,المرجع!$B$2:$B$19,0)),"")</f>
        <v>التصميم</v>
      </c>
      <c r="I5" s="20" t="s">
        <v>52</v>
      </c>
      <c r="J5" s="18" t="str">
        <f aca="false">IFERROR(INDEX(المرجع!$D$2:$D$19,MATCH($I5,المرجع!$E$2:$E$19,0)),"")</f>
        <v>الحوكمة</v>
      </c>
      <c r="K5" s="20" t="s">
        <v>82</v>
      </c>
      <c r="L5" s="21" t="str">
        <f aca="false">IFERROR(INDEX('نقاط التحقق'!$G$2:$G$31,MATCH($K5,'نقاط التحقق'!$A$2:$A$31,0))&amp;"","")</f>
        <v>تفصيل القرارات ومصفوفة الصلاحيات واللجان ذات العلاقة لاعتماد مخرجات الوحدة التنظيمية</v>
      </c>
      <c r="M5" s="17" t="n">
        <v>87</v>
      </c>
      <c r="N5" s="17" t="n">
        <v>100</v>
      </c>
      <c r="O5" s="19" t="str">
        <f aca="false">IF($M5="","غير مقيّمة",IF($M5&gt;المرجع!$K$3,"مستوفاة بشكل متقدم",IF($M5&lt;=المرجع!$K$2,"مستوفاة بشكل أولي","مستوفاة بشكل جزئي")))</f>
        <v>مستوفاة بشكل متقدم</v>
      </c>
      <c r="P5" s="22" t="s">
        <v>245</v>
      </c>
    </row>
    <row r="6" customFormat="false" ht="15" hidden="false" customHeight="true" outlineLevel="0" collapsed="false">
      <c r="A6" s="20" t="s">
        <v>249</v>
      </c>
      <c r="B6" s="20" t="s">
        <v>145</v>
      </c>
      <c r="C6" s="19" t="str">
        <f aca="false">IFERROR(INDEX('قائمة الوحدات'!$B$2:$B$41,MATCH($B6,'قائمة الوحدات'!$A$2:$A$41,0)),"")</f>
        <v>TOP</v>
      </c>
      <c r="D6" s="18" t="str">
        <f aca="false">IFERROR(INDEX('قائمة الوحدات'!$C$2:$C$41,MATCH($B6,'قائمة الوحدات'!$A$2:$A$41,0)),"")</f>
        <v>المرتبطة بسمو الوزير</v>
      </c>
      <c r="E6" s="18" t="str">
        <f aca="false">IFERROR(INDEX('قائمة الوحدات'!$D$2:$D$41,MATCH($B6,'قائمة الوحدات'!$A$2:$A$41,0)),"")</f>
        <v>المكتب التنفيذي</v>
      </c>
      <c r="F6" s="18" t="str">
        <f aca="false">IFERROR(INDEX('قائمة الوحدات'!$F$2:$F$41,MATCH($B6,'قائمة الوحدات'!$A$2:$A$41,0)),"")</f>
        <v>المكتب التنفيذي</v>
      </c>
      <c r="G6" s="20" t="s">
        <v>44</v>
      </c>
      <c r="H6" s="18" t="str">
        <f aca="false">IFERROR(INDEX(المرجع!$A$2:$A$19,MATCH($G6,المرجع!$B$2:$B$19,0)),"")</f>
        <v>التصميم</v>
      </c>
      <c r="I6" s="20" t="s">
        <v>55</v>
      </c>
      <c r="J6" s="18" t="str">
        <f aca="false">IFERROR(INDEX(المرجع!$D$2:$D$19,MATCH($I6,المرجع!$E$2:$E$19,0)),"")</f>
        <v>التنظيم</v>
      </c>
      <c r="K6" s="20" t="s">
        <v>84</v>
      </c>
      <c r="L6" s="21" t="str">
        <f aca="false">IFERROR(INDEX('نقاط التحقق'!$G$2:$G$31,MATCH($K6,'نقاط التحقق'!$A$2:$A$31,0))&amp;"","")</f>
        <v>تطوير الأدوار والمسؤوليات للوحدة التنظيمية وتفصيل الهيكل التنظيمي</v>
      </c>
      <c r="M6" s="17" t="n">
        <v>82</v>
      </c>
      <c r="N6" s="17" t="n">
        <v>82</v>
      </c>
      <c r="O6" s="19" t="str">
        <f aca="false">IF($M6="","غير مقيّمة",IF($M6&gt;المرجع!$K$3,"مستوفاة بشكل متقدم",IF($M6&lt;=المرجع!$K$2,"مستوفاة بشكل أولي","مستوفاة بشكل جزئي")))</f>
        <v>مستوفاة بشكل متقدم</v>
      </c>
      <c r="P6" s="22" t="s">
        <v>245</v>
      </c>
    </row>
    <row r="7" customFormat="false" ht="15" hidden="false" customHeight="true" outlineLevel="0" collapsed="false">
      <c r="A7" s="20" t="s">
        <v>250</v>
      </c>
      <c r="B7" s="20" t="s">
        <v>145</v>
      </c>
      <c r="C7" s="19" t="str">
        <f aca="false">IFERROR(INDEX('قائمة الوحدات'!$B$2:$B$41,MATCH($B7,'قائمة الوحدات'!$A$2:$A$41,0)),"")</f>
        <v>TOP</v>
      </c>
      <c r="D7" s="18" t="str">
        <f aca="false">IFERROR(INDEX('قائمة الوحدات'!$C$2:$C$41,MATCH($B7,'قائمة الوحدات'!$A$2:$A$41,0)),"")</f>
        <v>المرتبطة بسمو الوزير</v>
      </c>
      <c r="E7" s="18" t="str">
        <f aca="false">IFERROR(INDEX('قائمة الوحدات'!$D$2:$D$41,MATCH($B7,'قائمة الوحدات'!$A$2:$A$41,0)),"")</f>
        <v>المكتب التنفيذي</v>
      </c>
      <c r="F7" s="18" t="str">
        <f aca="false">IFERROR(INDEX('قائمة الوحدات'!$F$2:$F$41,MATCH($B7,'قائمة الوحدات'!$A$2:$A$41,0)),"")</f>
        <v>المكتب التنفيذي</v>
      </c>
      <c r="G7" s="20" t="s">
        <v>44</v>
      </c>
      <c r="H7" s="18" t="str">
        <f aca="false">IFERROR(INDEX(المرجع!$A$2:$A$19,MATCH($G7,المرجع!$B$2:$B$19,0)),"")</f>
        <v>التصميم</v>
      </c>
      <c r="I7" s="20" t="s">
        <v>57</v>
      </c>
      <c r="J7" s="18" t="str">
        <f aca="false">IFERROR(INDEX(المرجع!$D$2:$D$19,MATCH($I7,المرجع!$E$2:$E$19,0)),"")</f>
        <v>الموارد</v>
      </c>
      <c r="K7" s="20" t="s">
        <v>86</v>
      </c>
      <c r="L7" s="21" t="str">
        <f aca="false">IFERROR(INDEX('نقاط التحقق'!$G$2:$G$31,MATCH($K7,'نقاط التحقق'!$A$2:$A$31,0))&amp;"","")</f>
        <v>تفصيل احتياج الموارد البشرية للوحدة التنظيمية</v>
      </c>
      <c r="M7" s="17" t="n">
        <v>96</v>
      </c>
      <c r="N7" s="17" t="n">
        <v>96</v>
      </c>
      <c r="O7" s="19" t="str">
        <f aca="false">IF($M7="","غير مقيّمة",IF($M7&gt;المرجع!$K$3,"مستوفاة بشكل متقدم",IF($M7&lt;=المرجع!$K$2,"مستوفاة بشكل أولي","مستوفاة بشكل جزئي")))</f>
        <v>مستوفاة بشكل متقدم</v>
      </c>
      <c r="P7" s="22" t="s">
        <v>245</v>
      </c>
    </row>
    <row r="8" customFormat="false" ht="15" hidden="false" customHeight="true" outlineLevel="0" collapsed="false">
      <c r="A8" s="20" t="s">
        <v>251</v>
      </c>
      <c r="B8" s="20" t="s">
        <v>145</v>
      </c>
      <c r="C8" s="19" t="str">
        <f aca="false">IFERROR(INDEX('قائمة الوحدات'!$B$2:$B$41,MATCH($B8,'قائمة الوحدات'!$A$2:$A$41,0)),"")</f>
        <v>TOP</v>
      </c>
      <c r="D8" s="18" t="str">
        <f aca="false">IFERROR(INDEX('قائمة الوحدات'!$C$2:$C$41,MATCH($B8,'قائمة الوحدات'!$A$2:$A$41,0)),"")</f>
        <v>المرتبطة بسمو الوزير</v>
      </c>
      <c r="E8" s="18" t="str">
        <f aca="false">IFERROR(INDEX('قائمة الوحدات'!$D$2:$D$41,MATCH($B8,'قائمة الوحدات'!$A$2:$A$41,0)),"")</f>
        <v>المكتب التنفيذي</v>
      </c>
      <c r="F8" s="18" t="str">
        <f aca="false">IFERROR(INDEX('قائمة الوحدات'!$F$2:$F$41,MATCH($B8,'قائمة الوحدات'!$A$2:$A$41,0)),"")</f>
        <v>المكتب التنفيذي</v>
      </c>
      <c r="G8" s="20" t="s">
        <v>44</v>
      </c>
      <c r="H8" s="18" t="str">
        <f aca="false">IFERROR(INDEX(المرجع!$A$2:$A$19,MATCH($G8,المرجع!$B$2:$B$19,0)),"")</f>
        <v>التصميم</v>
      </c>
      <c r="I8" s="20" t="s">
        <v>60</v>
      </c>
      <c r="J8" s="18" t="str">
        <f aca="false">IFERROR(INDEX(المرجع!$D$2:$D$19,MATCH($I8,المرجع!$E$2:$E$19,0)),"")</f>
        <v>الإجراءات</v>
      </c>
      <c r="K8" s="20" t="s">
        <v>88</v>
      </c>
      <c r="L8" s="21" t="str">
        <f aca="false">IFERROR(INDEX('نقاط التحقق'!$G$2:$G$31,MATCH($K8,'نقاط التحقق'!$A$2:$A$31,0))&amp;"","")</f>
        <v>تفصيل المخرجات إلى إجراءات عالية المستوى</v>
      </c>
      <c r="M8" s="17" t="n">
        <v>75</v>
      </c>
      <c r="N8" s="17" t="n">
        <v>100</v>
      </c>
      <c r="O8" s="19" t="str">
        <f aca="false">IF($M8="","غير مقيّمة",IF($M8&gt;المرجع!$K$3,"مستوفاة بشكل متقدم",IF($M8&lt;=المرجع!$K$2,"مستوفاة بشكل أولي","مستوفاة بشكل جزئي")))</f>
        <v>مستوفاة بشكل متقدم</v>
      </c>
      <c r="P8" s="22" t="s">
        <v>245</v>
      </c>
    </row>
    <row r="9" customFormat="false" ht="15" hidden="false" customHeight="true" outlineLevel="0" collapsed="false">
      <c r="A9" s="20" t="s">
        <v>252</v>
      </c>
      <c r="B9" s="20" t="s">
        <v>145</v>
      </c>
      <c r="C9" s="19" t="str">
        <f aca="false">IFERROR(INDEX('قائمة الوحدات'!$B$2:$B$41,MATCH($B9,'قائمة الوحدات'!$A$2:$A$41,0)),"")</f>
        <v>TOP</v>
      </c>
      <c r="D9" s="18" t="str">
        <f aca="false">IFERROR(INDEX('قائمة الوحدات'!$C$2:$C$41,MATCH($B9,'قائمة الوحدات'!$A$2:$A$41,0)),"")</f>
        <v>المرتبطة بسمو الوزير</v>
      </c>
      <c r="E9" s="18" t="str">
        <f aca="false">IFERROR(INDEX('قائمة الوحدات'!$D$2:$D$41,MATCH($B9,'قائمة الوحدات'!$A$2:$A$41,0)),"")</f>
        <v>المكتب التنفيذي</v>
      </c>
      <c r="F9" s="18" t="str">
        <f aca="false">IFERROR(INDEX('قائمة الوحدات'!$F$2:$F$41,MATCH($B9,'قائمة الوحدات'!$A$2:$A$41,0)),"")</f>
        <v>المكتب التنفيذي</v>
      </c>
      <c r="G9" s="20" t="s">
        <v>62</v>
      </c>
      <c r="H9" s="18" t="str">
        <f aca="false">IFERROR(INDEX(المرجع!$A$2:$A$19,MATCH($G9,المرجع!$B$2:$B$19,0)),"")</f>
        <v>البناء المؤسسي</v>
      </c>
      <c r="I9" s="20" t="s">
        <v>46</v>
      </c>
      <c r="J9" s="18" t="str">
        <f aca="false">IFERROR(INDEX(المرجع!$D$2:$D$19,MATCH($I9,المرجع!$E$2:$E$19,0)),"")</f>
        <v>الدور</v>
      </c>
      <c r="K9" s="20" t="s">
        <v>90</v>
      </c>
      <c r="L9" s="21" t="str">
        <f aca="false">IFERROR(INDEX('نقاط التحقق'!$G$2:$G$31,MATCH($K9,'نقاط التحقق'!$A$2:$A$31,0))&amp;"","")</f>
        <v>دور معتمد للوحدة التنظيمية</v>
      </c>
      <c r="M9" s="17" t="n">
        <v>55</v>
      </c>
      <c r="N9" s="17" t="n">
        <v>100</v>
      </c>
      <c r="O9" s="19" t="str">
        <f aca="false">IF($M9="","غير مقيّمة",IF($M9&gt;المرجع!$K$3,"مستوفاة بشكل متقدم",IF($M9&lt;=المرجع!$K$2,"مستوفاة بشكل أولي","مستوفاة بشكل جزئي")))</f>
        <v>مستوفاة بشكل جزئي</v>
      </c>
      <c r="P9" s="22" t="s">
        <v>245</v>
      </c>
    </row>
    <row r="10" customFormat="false" ht="15" hidden="false" customHeight="true" outlineLevel="0" collapsed="false">
      <c r="A10" s="20" t="s">
        <v>253</v>
      </c>
      <c r="B10" s="20" t="s">
        <v>145</v>
      </c>
      <c r="C10" s="19" t="str">
        <f aca="false">IFERROR(INDEX('قائمة الوحدات'!$B$2:$B$41,MATCH($B10,'قائمة الوحدات'!$A$2:$A$41,0)),"")</f>
        <v>TOP</v>
      </c>
      <c r="D10" s="18" t="str">
        <f aca="false">IFERROR(INDEX('قائمة الوحدات'!$C$2:$C$41,MATCH($B10,'قائمة الوحدات'!$A$2:$A$41,0)),"")</f>
        <v>المرتبطة بسمو الوزير</v>
      </c>
      <c r="E10" s="18" t="str">
        <f aca="false">IFERROR(INDEX('قائمة الوحدات'!$D$2:$D$41,MATCH($B10,'قائمة الوحدات'!$A$2:$A$41,0)),"")</f>
        <v>المكتب التنفيذي</v>
      </c>
      <c r="F10" s="18" t="str">
        <f aca="false">IFERROR(INDEX('قائمة الوحدات'!$F$2:$F$41,MATCH($B10,'قائمة الوحدات'!$A$2:$A$41,0)),"")</f>
        <v>المكتب التنفيذي</v>
      </c>
      <c r="G10" s="20" t="s">
        <v>62</v>
      </c>
      <c r="H10" s="18" t="str">
        <f aca="false">IFERROR(INDEX(المرجع!$A$2:$A$19,MATCH($G10,المرجع!$B$2:$B$19,0)),"")</f>
        <v>البناء المؤسسي</v>
      </c>
      <c r="I10" s="20" t="s">
        <v>49</v>
      </c>
      <c r="J10" s="18" t="str">
        <f aca="false">IFERROR(INDEX(المرجع!$D$2:$D$19,MATCH($I10,المرجع!$E$2:$E$19,0)),"")</f>
        <v>الأهداف ومؤشرات الأداء</v>
      </c>
      <c r="K10" s="20" t="s">
        <v>92</v>
      </c>
      <c r="L10" s="21" t="str">
        <f aca="false">IFERROR(INDEX('نقاط التحقق'!$G$2:$G$31,MATCH($K10,'نقاط التحقق'!$A$2:$A$31,0))&amp;"","")</f>
        <v>أهداف تشغيلية معتمدة من صاحب الصلاحية</v>
      </c>
      <c r="M10" s="17" t="n">
        <v>70</v>
      </c>
      <c r="N10" s="17" t="n">
        <v>80</v>
      </c>
      <c r="O10" s="19" t="str">
        <f aca="false">IF($M10="","غير مقيّمة",IF($M10&gt;المرجع!$K$3,"مستوفاة بشكل متقدم",IF($M10&lt;=المرجع!$K$2,"مستوفاة بشكل أولي","مستوفاة بشكل جزئي")))</f>
        <v>مستوفاة بشكل جزئي</v>
      </c>
      <c r="P10" s="22" t="s">
        <v>245</v>
      </c>
    </row>
    <row r="11" customFormat="false" ht="15" hidden="false" customHeight="true" outlineLevel="0" collapsed="false">
      <c r="A11" s="20" t="s">
        <v>254</v>
      </c>
      <c r="B11" s="20" t="s">
        <v>145</v>
      </c>
      <c r="C11" s="19" t="str">
        <f aca="false">IFERROR(INDEX('قائمة الوحدات'!$B$2:$B$41,MATCH($B11,'قائمة الوحدات'!$A$2:$A$41,0)),"")</f>
        <v>TOP</v>
      </c>
      <c r="D11" s="18" t="str">
        <f aca="false">IFERROR(INDEX('قائمة الوحدات'!$C$2:$C$41,MATCH($B11,'قائمة الوحدات'!$A$2:$A$41,0)),"")</f>
        <v>المرتبطة بسمو الوزير</v>
      </c>
      <c r="E11" s="18" t="str">
        <f aca="false">IFERROR(INDEX('قائمة الوحدات'!$D$2:$D$41,MATCH($B11,'قائمة الوحدات'!$A$2:$A$41,0)),"")</f>
        <v>المكتب التنفيذي</v>
      </c>
      <c r="F11" s="18" t="str">
        <f aca="false">IFERROR(INDEX('قائمة الوحدات'!$F$2:$F$41,MATCH($B11,'قائمة الوحدات'!$A$2:$A$41,0)),"")</f>
        <v>المكتب التنفيذي</v>
      </c>
      <c r="G11" s="20" t="s">
        <v>62</v>
      </c>
      <c r="H11" s="18" t="str">
        <f aca="false">IFERROR(INDEX(المرجع!$A$2:$A$19,MATCH($G11,المرجع!$B$2:$B$19,0)),"")</f>
        <v>البناء المؤسسي</v>
      </c>
      <c r="I11" s="20" t="s">
        <v>49</v>
      </c>
      <c r="J11" s="18" t="str">
        <f aca="false">IFERROR(INDEX(المرجع!$D$2:$D$19,MATCH($I11,المرجع!$E$2:$E$19,0)),"")</f>
        <v>الأهداف ومؤشرات الأداء</v>
      </c>
      <c r="K11" s="20" t="s">
        <v>94</v>
      </c>
      <c r="L11" s="21" t="str">
        <f aca="false">IFERROR(INDEX('نقاط التحقق'!$G$2:$G$31,MATCH($K11,'نقاط التحقق'!$A$2:$A$31,0))&amp;"","")</f>
        <v>نشر الأهداف التشغيلية على موظفي الوحدة التنظيمية</v>
      </c>
      <c r="M11" s="17" t="n">
        <v>80</v>
      </c>
      <c r="N11" s="17" t="n">
        <v>90</v>
      </c>
      <c r="O11" s="19" t="str">
        <f aca="false">IF($M11="","غير مقيّمة",IF($M11&gt;المرجع!$K$3,"مستوفاة بشكل متقدم",IF($M11&lt;=المرجع!$K$2,"مستوفاة بشكل أولي","مستوفاة بشكل جزئي")))</f>
        <v>مستوفاة بشكل متقدم</v>
      </c>
      <c r="P11" s="22" t="s">
        <v>245</v>
      </c>
    </row>
    <row r="12" customFormat="false" ht="15" hidden="false" customHeight="true" outlineLevel="0" collapsed="false">
      <c r="A12" s="20" t="s">
        <v>255</v>
      </c>
      <c r="B12" s="20" t="s">
        <v>145</v>
      </c>
      <c r="C12" s="19" t="str">
        <f aca="false">IFERROR(INDEX('قائمة الوحدات'!$B$2:$B$41,MATCH($B12,'قائمة الوحدات'!$A$2:$A$41,0)),"")</f>
        <v>TOP</v>
      </c>
      <c r="D12" s="18" t="str">
        <f aca="false">IFERROR(INDEX('قائمة الوحدات'!$C$2:$C$41,MATCH($B12,'قائمة الوحدات'!$A$2:$A$41,0)),"")</f>
        <v>المرتبطة بسمو الوزير</v>
      </c>
      <c r="E12" s="18" t="str">
        <f aca="false">IFERROR(INDEX('قائمة الوحدات'!$D$2:$D$41,MATCH($B12,'قائمة الوحدات'!$A$2:$A$41,0)),"")</f>
        <v>المكتب التنفيذي</v>
      </c>
      <c r="F12" s="18" t="str">
        <f aca="false">IFERROR(INDEX('قائمة الوحدات'!$F$2:$F$41,MATCH($B12,'قائمة الوحدات'!$A$2:$A$41,0)),"")</f>
        <v>المكتب التنفيذي</v>
      </c>
      <c r="G12" s="20" t="s">
        <v>62</v>
      </c>
      <c r="H12" s="18" t="str">
        <f aca="false">IFERROR(INDEX(المرجع!$A$2:$A$19,MATCH($G12,المرجع!$B$2:$B$19,0)),"")</f>
        <v>البناء المؤسسي</v>
      </c>
      <c r="I12" s="20" t="s">
        <v>52</v>
      </c>
      <c r="J12" s="18" t="str">
        <f aca="false">IFERROR(INDEX(المرجع!$D$2:$D$19,MATCH($I12,المرجع!$E$2:$E$19,0)),"")</f>
        <v>الحوكمة</v>
      </c>
      <c r="K12" s="20" t="s">
        <v>96</v>
      </c>
      <c r="L12" s="21" t="str">
        <f aca="false">IFERROR(INDEX('نقاط التحقق'!$G$2:$G$31,MATCH($K12,'نقاط التحقق'!$A$2:$A$31,0))&amp;"","")</f>
        <v>مصفوفة صلاحيات معتمدة ومعممة على أصحاب المصلحة</v>
      </c>
      <c r="M12" s="17" t="n">
        <v>90</v>
      </c>
      <c r="N12" s="17" t="n">
        <v>100</v>
      </c>
      <c r="O12" s="19" t="str">
        <f aca="false">IF($M12="","غير مقيّمة",IF($M12&gt;المرجع!$K$3,"مستوفاة بشكل متقدم",IF($M12&lt;=المرجع!$K$2,"مستوفاة بشكل أولي","مستوفاة بشكل جزئي")))</f>
        <v>مستوفاة بشكل متقدم</v>
      </c>
      <c r="P12" s="22" t="s">
        <v>245</v>
      </c>
    </row>
    <row r="13" customFormat="false" ht="15" hidden="false" customHeight="true" outlineLevel="0" collapsed="false">
      <c r="A13" s="20" t="s">
        <v>256</v>
      </c>
      <c r="B13" s="20" t="s">
        <v>145</v>
      </c>
      <c r="C13" s="19" t="str">
        <f aca="false">IFERROR(INDEX('قائمة الوحدات'!$B$2:$B$41,MATCH($B13,'قائمة الوحدات'!$A$2:$A$41,0)),"")</f>
        <v>TOP</v>
      </c>
      <c r="D13" s="18" t="str">
        <f aca="false">IFERROR(INDEX('قائمة الوحدات'!$C$2:$C$41,MATCH($B13,'قائمة الوحدات'!$A$2:$A$41,0)),"")</f>
        <v>المرتبطة بسمو الوزير</v>
      </c>
      <c r="E13" s="18" t="str">
        <f aca="false">IFERROR(INDEX('قائمة الوحدات'!$D$2:$D$41,MATCH($B13,'قائمة الوحدات'!$A$2:$A$41,0)),"")</f>
        <v>المكتب التنفيذي</v>
      </c>
      <c r="F13" s="18" t="str">
        <f aca="false">IFERROR(INDEX('قائمة الوحدات'!$F$2:$F$41,MATCH($B13,'قائمة الوحدات'!$A$2:$A$41,0)),"")</f>
        <v>المكتب التنفيذي</v>
      </c>
      <c r="G13" s="20" t="s">
        <v>62</v>
      </c>
      <c r="H13" s="18" t="str">
        <f aca="false">IFERROR(INDEX(المرجع!$A$2:$A$19,MATCH($G13,المرجع!$B$2:$B$19,0)),"")</f>
        <v>البناء المؤسسي</v>
      </c>
      <c r="I13" s="20" t="s">
        <v>52</v>
      </c>
      <c r="J13" s="18" t="str">
        <f aca="false">IFERROR(INDEX(المرجع!$D$2:$D$19,MATCH($I13,المرجع!$E$2:$E$19,0)),"")</f>
        <v>الحوكمة</v>
      </c>
      <c r="K13" s="20" t="s">
        <v>98</v>
      </c>
      <c r="L13" s="21" t="str">
        <f aca="false">IFERROR(INDEX('نقاط التحقق'!$G$2:$G$31,MATCH($K13,'نقاط التحقق'!$A$2:$A$31,0))&amp;"","")</f>
        <v>سياسات معتمدة للتي تملكها الوحدة التنظيمية</v>
      </c>
      <c r="M13" s="17" t="n">
        <v>60</v>
      </c>
      <c r="N13" s="17" t="n">
        <v>80</v>
      </c>
      <c r="O13" s="19" t="str">
        <f aca="false">IF($M13="","غير مقيّمة",IF($M13&gt;المرجع!$K$3,"مستوفاة بشكل متقدم",IF($M13&lt;=المرجع!$K$2,"مستوفاة بشكل أولي","مستوفاة بشكل جزئي")))</f>
        <v>مستوفاة بشكل جزئي</v>
      </c>
      <c r="P13" s="22" t="s">
        <v>245</v>
      </c>
    </row>
    <row r="14" customFormat="false" ht="15" hidden="false" customHeight="true" outlineLevel="0" collapsed="false">
      <c r="A14" s="20" t="s">
        <v>257</v>
      </c>
      <c r="B14" s="20" t="s">
        <v>145</v>
      </c>
      <c r="C14" s="19" t="str">
        <f aca="false">IFERROR(INDEX('قائمة الوحدات'!$B$2:$B$41,MATCH($B14,'قائمة الوحدات'!$A$2:$A$41,0)),"")</f>
        <v>TOP</v>
      </c>
      <c r="D14" s="18" t="str">
        <f aca="false">IFERROR(INDEX('قائمة الوحدات'!$C$2:$C$41,MATCH($B14,'قائمة الوحدات'!$A$2:$A$41,0)),"")</f>
        <v>المرتبطة بسمو الوزير</v>
      </c>
      <c r="E14" s="18" t="str">
        <f aca="false">IFERROR(INDEX('قائمة الوحدات'!$D$2:$D$41,MATCH($B14,'قائمة الوحدات'!$A$2:$A$41,0)),"")</f>
        <v>المكتب التنفيذي</v>
      </c>
      <c r="F14" s="18" t="str">
        <f aca="false">IFERROR(INDEX('قائمة الوحدات'!$F$2:$F$41,MATCH($B14,'قائمة الوحدات'!$A$2:$A$41,0)),"")</f>
        <v>المكتب التنفيذي</v>
      </c>
      <c r="G14" s="20" t="s">
        <v>62</v>
      </c>
      <c r="H14" s="18" t="str">
        <f aca="false">IFERROR(INDEX(المرجع!$A$2:$A$19,MATCH($G14,المرجع!$B$2:$B$19,0)),"")</f>
        <v>البناء المؤسسي</v>
      </c>
      <c r="I14" s="20" t="s">
        <v>52</v>
      </c>
      <c r="J14" s="18" t="str">
        <f aca="false">IFERROR(INDEX(المرجع!$D$2:$D$19,MATCH($I14,المرجع!$E$2:$E$19,0)),"")</f>
        <v>الحوكمة</v>
      </c>
      <c r="K14" s="20" t="s">
        <v>100</v>
      </c>
      <c r="L14" s="21" t="str">
        <f aca="false">IFERROR(INDEX('نقاط التحقق'!$G$2:$G$31,MATCH($K14,'نقاط التحقق'!$A$2:$A$31,0))&amp;"","")</f>
        <v>قرار تشكيل معتمد للجان ذات العلاقة</v>
      </c>
      <c r="M14" s="17" t="n">
        <v>85</v>
      </c>
      <c r="N14" s="17" t="n">
        <v>100</v>
      </c>
      <c r="O14" s="19" t="str">
        <f aca="false">IF($M14="","غير مقيّمة",IF($M14&gt;المرجع!$K$3,"مستوفاة بشكل متقدم",IF($M14&lt;=المرجع!$K$2,"مستوفاة بشكل أولي","مستوفاة بشكل جزئي")))</f>
        <v>مستوفاة بشكل متقدم</v>
      </c>
      <c r="P14" s="22" t="s">
        <v>245</v>
      </c>
    </row>
    <row r="15" customFormat="false" ht="15" hidden="false" customHeight="true" outlineLevel="0" collapsed="false">
      <c r="A15" s="20" t="s">
        <v>258</v>
      </c>
      <c r="B15" s="20" t="s">
        <v>145</v>
      </c>
      <c r="C15" s="19" t="str">
        <f aca="false">IFERROR(INDEX('قائمة الوحدات'!$B$2:$B$41,MATCH($B15,'قائمة الوحدات'!$A$2:$A$41,0)),"")</f>
        <v>TOP</v>
      </c>
      <c r="D15" s="18" t="str">
        <f aca="false">IFERROR(INDEX('قائمة الوحدات'!$C$2:$C$41,MATCH($B15,'قائمة الوحدات'!$A$2:$A$41,0)),"")</f>
        <v>المرتبطة بسمو الوزير</v>
      </c>
      <c r="E15" s="18" t="str">
        <f aca="false">IFERROR(INDEX('قائمة الوحدات'!$D$2:$D$41,MATCH($B15,'قائمة الوحدات'!$A$2:$A$41,0)),"")</f>
        <v>المكتب التنفيذي</v>
      </c>
      <c r="F15" s="18" t="str">
        <f aca="false">IFERROR(INDEX('قائمة الوحدات'!$F$2:$F$41,MATCH($B15,'قائمة الوحدات'!$A$2:$A$41,0)),"")</f>
        <v>المكتب التنفيذي</v>
      </c>
      <c r="G15" s="20" t="s">
        <v>62</v>
      </c>
      <c r="H15" s="18" t="str">
        <f aca="false">IFERROR(INDEX(المرجع!$A$2:$A$19,MATCH($G15,المرجع!$B$2:$B$19,0)),"")</f>
        <v>البناء المؤسسي</v>
      </c>
      <c r="I15" s="20" t="s">
        <v>55</v>
      </c>
      <c r="J15" s="18" t="str">
        <f aca="false">IFERROR(INDEX(المرجع!$D$2:$D$19,MATCH($I15,المرجع!$E$2:$E$19,0)),"")</f>
        <v>التنظيم</v>
      </c>
      <c r="K15" s="20" t="s">
        <v>102</v>
      </c>
      <c r="L15" s="21" t="str">
        <f aca="false">IFERROR(INDEX('نقاط التحقق'!$G$2:$G$31,MATCH($K15,'نقاط التحقق'!$A$2:$A$31,0))&amp;"","")</f>
        <v>هيكل تنظيمي معتمد من صاحب الصلاحية</v>
      </c>
      <c r="M15" s="17" t="n">
        <v>75</v>
      </c>
      <c r="N15" s="17" t="n">
        <v>85</v>
      </c>
      <c r="O15" s="19" t="str">
        <f aca="false">IF($M15="","غير مقيّمة",IF($M15&gt;المرجع!$K$3,"مستوفاة بشكل متقدم",IF($M15&lt;=المرجع!$K$2,"مستوفاة بشكل أولي","مستوفاة بشكل جزئي")))</f>
        <v>مستوفاة بشكل متقدم</v>
      </c>
      <c r="P15" s="22" t="s">
        <v>245</v>
      </c>
    </row>
    <row r="16" customFormat="false" ht="15" hidden="false" customHeight="true" outlineLevel="0" collapsed="false">
      <c r="A16" s="20" t="s">
        <v>259</v>
      </c>
      <c r="B16" s="20" t="s">
        <v>145</v>
      </c>
      <c r="C16" s="19" t="str">
        <f aca="false">IFERROR(INDEX('قائمة الوحدات'!$B$2:$B$41,MATCH($B16,'قائمة الوحدات'!$A$2:$A$41,0)),"")</f>
        <v>TOP</v>
      </c>
      <c r="D16" s="18" t="str">
        <f aca="false">IFERROR(INDEX('قائمة الوحدات'!$C$2:$C$41,MATCH($B16,'قائمة الوحدات'!$A$2:$A$41,0)),"")</f>
        <v>المرتبطة بسمو الوزير</v>
      </c>
      <c r="E16" s="18" t="str">
        <f aca="false">IFERROR(INDEX('قائمة الوحدات'!$D$2:$D$41,MATCH($B16,'قائمة الوحدات'!$A$2:$A$41,0)),"")</f>
        <v>المكتب التنفيذي</v>
      </c>
      <c r="F16" s="18" t="str">
        <f aca="false">IFERROR(INDEX('قائمة الوحدات'!$F$2:$F$41,MATCH($B16,'قائمة الوحدات'!$A$2:$A$41,0)),"")</f>
        <v>المكتب التنفيذي</v>
      </c>
      <c r="G16" s="20" t="s">
        <v>62</v>
      </c>
      <c r="H16" s="18" t="str">
        <f aca="false">IFERROR(INDEX(المرجع!$A$2:$A$19,MATCH($G16,المرجع!$B$2:$B$19,0)),"")</f>
        <v>البناء المؤسسي</v>
      </c>
      <c r="I16" s="20" t="s">
        <v>55</v>
      </c>
      <c r="J16" s="18" t="str">
        <f aca="false">IFERROR(INDEX(المرجع!$D$2:$D$19,MATCH($I16,المرجع!$E$2:$E$19,0)),"")</f>
        <v>التنظيم</v>
      </c>
      <c r="K16" s="20" t="s">
        <v>104</v>
      </c>
      <c r="L16" s="21" t="str">
        <f aca="false">IFERROR(INDEX('نقاط التحقق'!$G$2:$G$31,MATCH($K16,'نقاط التحقق'!$A$2:$A$31,0))&amp;"","")</f>
        <v>هيكل تنظيمي منشأ على نظام القوى العاملة</v>
      </c>
      <c r="M16" s="17" t="n">
        <v>75</v>
      </c>
      <c r="N16" s="17" t="n">
        <v>80</v>
      </c>
      <c r="O16" s="19" t="str">
        <f aca="false">IF($M16="","غير مقيّمة",IF($M16&gt;المرجع!$K$3,"مستوفاة بشكل متقدم",IF($M16&lt;=المرجع!$K$2,"مستوفاة بشكل أولي","مستوفاة بشكل جزئي")))</f>
        <v>مستوفاة بشكل متقدم</v>
      </c>
      <c r="P16" s="22" t="s">
        <v>245</v>
      </c>
    </row>
    <row r="17" customFormat="false" ht="15" hidden="false" customHeight="true" outlineLevel="0" collapsed="false">
      <c r="A17" s="20" t="s">
        <v>260</v>
      </c>
      <c r="B17" s="20" t="s">
        <v>145</v>
      </c>
      <c r="C17" s="19" t="str">
        <f aca="false">IFERROR(INDEX('قائمة الوحدات'!$B$2:$B$41,MATCH($B17,'قائمة الوحدات'!$A$2:$A$41,0)),"")</f>
        <v>TOP</v>
      </c>
      <c r="D17" s="18" t="str">
        <f aca="false">IFERROR(INDEX('قائمة الوحدات'!$C$2:$C$41,MATCH($B17,'قائمة الوحدات'!$A$2:$A$41,0)),"")</f>
        <v>المرتبطة بسمو الوزير</v>
      </c>
      <c r="E17" s="18" t="str">
        <f aca="false">IFERROR(INDEX('قائمة الوحدات'!$D$2:$D$41,MATCH($B17,'قائمة الوحدات'!$A$2:$A$41,0)),"")</f>
        <v>المكتب التنفيذي</v>
      </c>
      <c r="F17" s="18" t="str">
        <f aca="false">IFERROR(INDEX('قائمة الوحدات'!$F$2:$F$41,MATCH($B17,'قائمة الوحدات'!$A$2:$A$41,0)),"")</f>
        <v>المكتب التنفيذي</v>
      </c>
      <c r="G17" s="20" t="s">
        <v>62</v>
      </c>
      <c r="H17" s="18" t="str">
        <f aca="false">IFERROR(INDEX(المرجع!$A$2:$A$19,MATCH($G17,المرجع!$B$2:$B$19,0)),"")</f>
        <v>البناء المؤسسي</v>
      </c>
      <c r="I17" s="20" t="s">
        <v>55</v>
      </c>
      <c r="J17" s="18" t="str">
        <f aca="false">IFERROR(INDEX(المرجع!$D$2:$D$19,MATCH($I17,المرجع!$E$2:$E$19,0)),"")</f>
        <v>التنظيم</v>
      </c>
      <c r="K17" s="20" t="s">
        <v>106</v>
      </c>
      <c r="L17" s="21" t="str">
        <f aca="false">IFERROR(INDEX('نقاط التحقق'!$G$2:$G$31,MATCH($K17,'نقاط التحقق'!$A$2:$A$31,0))&amp;"","")</f>
        <v>الموظفون المحددون مسكّنون على الهيكل التنظيمي المستهدف</v>
      </c>
      <c r="M17" s="17" t="n">
        <v>80</v>
      </c>
      <c r="N17" s="17" t="n">
        <v>80</v>
      </c>
      <c r="O17" s="19" t="str">
        <f aca="false">IF($M17="","غير مقيّمة",IF($M17&gt;المرجع!$K$3,"مستوفاة بشكل متقدم",IF($M17&lt;=المرجع!$K$2,"مستوفاة بشكل أولي","مستوفاة بشكل جزئي")))</f>
        <v>مستوفاة بشكل متقدم</v>
      </c>
      <c r="P17" s="22" t="s">
        <v>245</v>
      </c>
    </row>
    <row r="18" customFormat="false" ht="15" hidden="false" customHeight="true" outlineLevel="0" collapsed="false">
      <c r="A18" s="20" t="s">
        <v>261</v>
      </c>
      <c r="B18" s="20" t="s">
        <v>145</v>
      </c>
      <c r="C18" s="19" t="str">
        <f aca="false">IFERROR(INDEX('قائمة الوحدات'!$B$2:$B$41,MATCH($B18,'قائمة الوحدات'!$A$2:$A$41,0)),"")</f>
        <v>TOP</v>
      </c>
      <c r="D18" s="18" t="str">
        <f aca="false">IFERROR(INDEX('قائمة الوحدات'!$C$2:$C$41,MATCH($B18,'قائمة الوحدات'!$A$2:$A$41,0)),"")</f>
        <v>المرتبطة بسمو الوزير</v>
      </c>
      <c r="E18" s="18" t="str">
        <f aca="false">IFERROR(INDEX('قائمة الوحدات'!$D$2:$D$41,MATCH($B18,'قائمة الوحدات'!$A$2:$A$41,0)),"")</f>
        <v>المكتب التنفيذي</v>
      </c>
      <c r="F18" s="18" t="str">
        <f aca="false">IFERROR(INDEX('قائمة الوحدات'!$F$2:$F$41,MATCH($B18,'قائمة الوحدات'!$A$2:$A$41,0)),"")</f>
        <v>المكتب التنفيذي</v>
      </c>
      <c r="G18" s="20" t="s">
        <v>62</v>
      </c>
      <c r="H18" s="18" t="str">
        <f aca="false">IFERROR(INDEX(المرجع!$A$2:$A$19,MATCH($G18,المرجع!$B$2:$B$19,0)),"")</f>
        <v>البناء المؤسسي</v>
      </c>
      <c r="I18" s="20" t="s">
        <v>57</v>
      </c>
      <c r="J18" s="18" t="str">
        <f aca="false">IFERROR(INDEX(المرجع!$D$2:$D$19,MATCH($I18,المرجع!$E$2:$E$19,0)),"")</f>
        <v>الموارد</v>
      </c>
      <c r="K18" s="20" t="s">
        <v>108</v>
      </c>
      <c r="L18" s="21" t="str">
        <f aca="false">IFERROR(INDEX('نقاط التحقق'!$G$2:$G$31,MATCH($K18,'نقاط التحقق'!$A$2:$A$31,0))&amp;"","")</f>
        <v>مدير الوحدة التنظيمية والموظفون الرئيسيون معينون/ملحقون</v>
      </c>
      <c r="M18" s="17" t="n">
        <v>70</v>
      </c>
      <c r="N18" s="17" t="n">
        <v>95</v>
      </c>
      <c r="O18" s="19" t="str">
        <f aca="false">IF($M18="","غير مقيّمة",IF($M18&gt;المرجع!$K$3,"مستوفاة بشكل متقدم",IF($M18&lt;=المرجع!$K$2,"مستوفاة بشكل أولي","مستوفاة بشكل جزئي")))</f>
        <v>مستوفاة بشكل جزئي</v>
      </c>
      <c r="P18" s="22" t="s">
        <v>245</v>
      </c>
    </row>
    <row r="19" customFormat="false" ht="15" hidden="false" customHeight="true" outlineLevel="0" collapsed="false">
      <c r="A19" s="20" t="s">
        <v>262</v>
      </c>
      <c r="B19" s="20" t="s">
        <v>145</v>
      </c>
      <c r="C19" s="19" t="str">
        <f aca="false">IFERROR(INDEX('قائمة الوحدات'!$B$2:$B$41,MATCH($B19,'قائمة الوحدات'!$A$2:$A$41,0)),"")</f>
        <v>TOP</v>
      </c>
      <c r="D19" s="18" t="str">
        <f aca="false">IFERROR(INDEX('قائمة الوحدات'!$C$2:$C$41,MATCH($B19,'قائمة الوحدات'!$A$2:$A$41,0)),"")</f>
        <v>المرتبطة بسمو الوزير</v>
      </c>
      <c r="E19" s="18" t="str">
        <f aca="false">IFERROR(INDEX('قائمة الوحدات'!$D$2:$D$41,MATCH($B19,'قائمة الوحدات'!$A$2:$A$41,0)),"")</f>
        <v>المكتب التنفيذي</v>
      </c>
      <c r="F19" s="18" t="str">
        <f aca="false">IFERROR(INDEX('قائمة الوحدات'!$F$2:$F$41,MATCH($B19,'قائمة الوحدات'!$A$2:$A$41,0)),"")</f>
        <v>المكتب التنفيذي</v>
      </c>
      <c r="G19" s="20" t="s">
        <v>62</v>
      </c>
      <c r="H19" s="18" t="str">
        <f aca="false">IFERROR(INDEX(المرجع!$A$2:$A$19,MATCH($G19,المرجع!$B$2:$B$19,0)),"")</f>
        <v>البناء المؤسسي</v>
      </c>
      <c r="I19" s="20" t="s">
        <v>57</v>
      </c>
      <c r="J19" s="18" t="str">
        <f aca="false">IFERROR(INDEX(المرجع!$D$2:$D$19,MATCH($I19,المرجع!$E$2:$E$19,0)),"")</f>
        <v>الموارد</v>
      </c>
      <c r="K19" s="20" t="s">
        <v>110</v>
      </c>
      <c r="L19" s="21" t="str">
        <f aca="false">IFERROR(INDEX('نقاط التحقق'!$G$2:$G$31,MATCH($K19,'نقاط التحقق'!$A$2:$A$31,0))&amp;"","")</f>
        <v>خطة توظيف وتدريب مستكملة</v>
      </c>
      <c r="M19" s="17" t="n">
        <v>65</v>
      </c>
      <c r="N19" s="17" t="n">
        <v>95</v>
      </c>
      <c r="O19" s="19" t="str">
        <f aca="false">IF($M19="","غير مقيّمة",IF($M19&gt;المرجع!$K$3,"مستوفاة بشكل متقدم",IF($M19&lt;=المرجع!$K$2,"مستوفاة بشكل أولي","مستوفاة بشكل جزئي")))</f>
        <v>مستوفاة بشكل جزئي</v>
      </c>
      <c r="P19" s="22" t="s">
        <v>245</v>
      </c>
    </row>
    <row r="20" customFormat="false" ht="15" hidden="false" customHeight="true" outlineLevel="0" collapsed="false">
      <c r="A20" s="20" t="s">
        <v>263</v>
      </c>
      <c r="B20" s="20" t="s">
        <v>145</v>
      </c>
      <c r="C20" s="19" t="str">
        <f aca="false">IFERROR(INDEX('قائمة الوحدات'!$B$2:$B$41,MATCH($B20,'قائمة الوحدات'!$A$2:$A$41,0)),"")</f>
        <v>TOP</v>
      </c>
      <c r="D20" s="18" t="str">
        <f aca="false">IFERROR(INDEX('قائمة الوحدات'!$C$2:$C$41,MATCH($B20,'قائمة الوحدات'!$A$2:$A$41,0)),"")</f>
        <v>المرتبطة بسمو الوزير</v>
      </c>
      <c r="E20" s="18" t="str">
        <f aca="false">IFERROR(INDEX('قائمة الوحدات'!$D$2:$D$41,MATCH($B20,'قائمة الوحدات'!$A$2:$A$41,0)),"")</f>
        <v>المكتب التنفيذي</v>
      </c>
      <c r="F20" s="18" t="str">
        <f aca="false">IFERROR(INDEX('قائمة الوحدات'!$F$2:$F$41,MATCH($B20,'قائمة الوحدات'!$A$2:$A$41,0)),"")</f>
        <v>المكتب التنفيذي</v>
      </c>
      <c r="G20" s="20" t="s">
        <v>62</v>
      </c>
      <c r="H20" s="18" t="str">
        <f aca="false">IFERROR(INDEX(المرجع!$A$2:$A$19,MATCH($G20,المرجع!$B$2:$B$19,0)),"")</f>
        <v>البناء المؤسسي</v>
      </c>
      <c r="I20" s="20" t="s">
        <v>57</v>
      </c>
      <c r="J20" s="18" t="str">
        <f aca="false">IFERROR(INDEX(المرجع!$D$2:$D$19,MATCH($I20,المرجع!$E$2:$E$19,0)),"")</f>
        <v>الموارد</v>
      </c>
      <c r="K20" s="20" t="s">
        <v>112</v>
      </c>
      <c r="L20" s="21" t="str">
        <f aca="false">IFERROR(INDEX('نقاط التحقق'!$G$2:$G$31,MATCH($K20,'نقاط التحقق'!$A$2:$A$31,0))&amp;"","")</f>
        <v>وجود مساحات مكتبية كافية</v>
      </c>
      <c r="M20" s="17" t="n">
        <v>45</v>
      </c>
      <c r="N20" s="17" t="n">
        <v>80</v>
      </c>
      <c r="O20" s="19" t="str">
        <f aca="false">IF($M20="","غير مقيّمة",IF($M20&gt;المرجع!$K$3,"مستوفاة بشكل متقدم",IF($M20&lt;=المرجع!$K$2,"مستوفاة بشكل أولي","مستوفاة بشكل جزئي")))</f>
        <v>مستوفاة بشكل جزئي</v>
      </c>
      <c r="P20" s="22" t="s">
        <v>245</v>
      </c>
    </row>
    <row r="21" customFormat="false" ht="15" hidden="false" customHeight="true" outlineLevel="0" collapsed="false">
      <c r="A21" s="20" t="s">
        <v>264</v>
      </c>
      <c r="B21" s="20" t="s">
        <v>145</v>
      </c>
      <c r="C21" s="19" t="str">
        <f aca="false">IFERROR(INDEX('قائمة الوحدات'!$B$2:$B$41,MATCH($B21,'قائمة الوحدات'!$A$2:$A$41,0)),"")</f>
        <v>TOP</v>
      </c>
      <c r="D21" s="18" t="str">
        <f aca="false">IFERROR(INDEX('قائمة الوحدات'!$C$2:$C$41,MATCH($B21,'قائمة الوحدات'!$A$2:$A$41,0)),"")</f>
        <v>المرتبطة بسمو الوزير</v>
      </c>
      <c r="E21" s="18" t="str">
        <f aca="false">IFERROR(INDEX('قائمة الوحدات'!$D$2:$D$41,MATCH($B21,'قائمة الوحدات'!$A$2:$A$41,0)),"")</f>
        <v>المكتب التنفيذي</v>
      </c>
      <c r="F21" s="18" t="str">
        <f aca="false">IFERROR(INDEX('قائمة الوحدات'!$F$2:$F$41,MATCH($B21,'قائمة الوحدات'!$A$2:$A$41,0)),"")</f>
        <v>المكتب التنفيذي</v>
      </c>
      <c r="G21" s="20" t="s">
        <v>62</v>
      </c>
      <c r="H21" s="18" t="str">
        <f aca="false">IFERROR(INDEX(المرجع!$A$2:$A$19,MATCH($G21,المرجع!$B$2:$B$19,0)),"")</f>
        <v>البناء المؤسسي</v>
      </c>
      <c r="I21" s="20" t="s">
        <v>57</v>
      </c>
      <c r="J21" s="18" t="str">
        <f aca="false">IFERROR(INDEX(المرجع!$D$2:$D$19,MATCH($I21,المرجع!$E$2:$E$19,0)),"")</f>
        <v>الموارد</v>
      </c>
      <c r="K21" s="20" t="s">
        <v>114</v>
      </c>
      <c r="L21" s="21" t="str">
        <f aca="false">IFERROR(INDEX('نقاط التحقق'!$G$2:$G$31,MATCH($K21,'نقاط التحقق'!$A$2:$A$31,0))&amp;"","")</f>
        <v>وجود الاحتياجات التقنية الأساسية</v>
      </c>
      <c r="M21" s="17" t="n">
        <v>45</v>
      </c>
      <c r="N21" s="17" t="n">
        <v>85</v>
      </c>
      <c r="O21" s="19" t="str">
        <f aca="false">IF($M21="","غير مقيّمة",IF($M21&gt;المرجع!$K$3,"مستوفاة بشكل متقدم",IF($M21&lt;=المرجع!$K$2,"مستوفاة بشكل أولي","مستوفاة بشكل جزئي")))</f>
        <v>مستوفاة بشكل جزئي</v>
      </c>
      <c r="P21" s="22" t="s">
        <v>245</v>
      </c>
    </row>
    <row r="22" customFormat="false" ht="15" hidden="false" customHeight="true" outlineLevel="0" collapsed="false">
      <c r="A22" s="20" t="s">
        <v>265</v>
      </c>
      <c r="B22" s="20" t="s">
        <v>145</v>
      </c>
      <c r="C22" s="19" t="str">
        <f aca="false">IFERROR(INDEX('قائمة الوحدات'!$B$2:$B$41,MATCH($B22,'قائمة الوحدات'!$A$2:$A$41,0)),"")</f>
        <v>TOP</v>
      </c>
      <c r="D22" s="18" t="str">
        <f aca="false">IFERROR(INDEX('قائمة الوحدات'!$C$2:$C$41,MATCH($B22,'قائمة الوحدات'!$A$2:$A$41,0)),"")</f>
        <v>المرتبطة بسمو الوزير</v>
      </c>
      <c r="E22" s="18" t="str">
        <f aca="false">IFERROR(INDEX('قائمة الوحدات'!$D$2:$D$41,MATCH($B22,'قائمة الوحدات'!$A$2:$A$41,0)),"")</f>
        <v>المكتب التنفيذي</v>
      </c>
      <c r="F22" s="18" t="str">
        <f aca="false">IFERROR(INDEX('قائمة الوحدات'!$F$2:$F$41,MATCH($B22,'قائمة الوحدات'!$A$2:$A$41,0)),"")</f>
        <v>المكتب التنفيذي</v>
      </c>
      <c r="G22" s="20" t="s">
        <v>62</v>
      </c>
      <c r="H22" s="18" t="str">
        <f aca="false">IFERROR(INDEX(المرجع!$A$2:$A$19,MATCH($G22,المرجع!$B$2:$B$19,0)),"")</f>
        <v>البناء المؤسسي</v>
      </c>
      <c r="I22" s="20" t="s">
        <v>60</v>
      </c>
      <c r="J22" s="18" t="str">
        <f aca="false">IFERROR(INDEX(المرجع!$D$2:$D$19,MATCH($I22,المرجع!$E$2:$E$19,0)),"")</f>
        <v>الإجراءات</v>
      </c>
      <c r="K22" s="20" t="s">
        <v>116</v>
      </c>
      <c r="L22" s="21" t="str">
        <f aca="false">IFERROR(INDEX('نقاط التحقق'!$G$2:$G$31,MATCH($K22,'نقاط التحقق'!$A$2:$A$31,0))&amp;"","")</f>
        <v>إجراءات معتمدة للوحدة التنظيمية</v>
      </c>
      <c r="M22" s="17" t="n">
        <v>84</v>
      </c>
      <c r="N22" s="17" t="n">
        <v>84</v>
      </c>
      <c r="O22" s="19" t="str">
        <f aca="false">IF($M22="","غير مقيّمة",IF($M22&gt;المرجع!$K$3,"مستوفاة بشكل متقدم",IF($M22&lt;=المرجع!$K$2,"مستوفاة بشكل أولي","مستوفاة بشكل جزئي")))</f>
        <v>مستوفاة بشكل متقدم</v>
      </c>
      <c r="P22" s="22" t="s">
        <v>245</v>
      </c>
    </row>
    <row r="23" customFormat="false" ht="15" hidden="false" customHeight="true" outlineLevel="0" collapsed="false">
      <c r="A23" s="20" t="s">
        <v>266</v>
      </c>
      <c r="B23" s="20" t="s">
        <v>145</v>
      </c>
      <c r="C23" s="19" t="str">
        <f aca="false">IFERROR(INDEX('قائمة الوحدات'!$B$2:$B$41,MATCH($B23,'قائمة الوحدات'!$A$2:$A$41,0)),"")</f>
        <v>TOP</v>
      </c>
      <c r="D23" s="18" t="str">
        <f aca="false">IFERROR(INDEX('قائمة الوحدات'!$C$2:$C$41,MATCH($B23,'قائمة الوحدات'!$A$2:$A$41,0)),"")</f>
        <v>المرتبطة بسمو الوزير</v>
      </c>
      <c r="E23" s="18" t="str">
        <f aca="false">IFERROR(INDEX('قائمة الوحدات'!$D$2:$D$41,MATCH($B23,'قائمة الوحدات'!$A$2:$A$41,0)),"")</f>
        <v>المكتب التنفيذي</v>
      </c>
      <c r="F23" s="18" t="str">
        <f aca="false">IFERROR(INDEX('قائمة الوحدات'!$F$2:$F$41,MATCH($B23,'قائمة الوحدات'!$A$2:$A$41,0)),"")</f>
        <v>المكتب التنفيذي</v>
      </c>
      <c r="G23" s="20" t="s">
        <v>62</v>
      </c>
      <c r="H23" s="18" t="str">
        <f aca="false">IFERROR(INDEX(المرجع!$A$2:$A$19,MATCH($G23,المرجع!$B$2:$B$19,0)),"")</f>
        <v>البناء المؤسسي</v>
      </c>
      <c r="I23" s="20" t="s">
        <v>69</v>
      </c>
      <c r="J23" s="18" t="str">
        <f aca="false">IFERROR(INDEX(المرجع!$D$2:$D$19,MATCH($I23,المرجع!$E$2:$E$19,0)),"")</f>
        <v>إنتاج المخرج الأول</v>
      </c>
      <c r="K23" s="20" t="s">
        <v>118</v>
      </c>
      <c r="L23" s="21" t="str">
        <f aca="false">IFERROR(INDEX('نقاط التحقق'!$G$2:$G$31,MATCH($K23,'نقاط التحقق'!$A$2:$A$31,0))&amp;"","")</f>
        <v>إنتاج المخرج الأول من قبل الوحدة التنظيمية</v>
      </c>
      <c r="M23" s="17" t="n">
        <v>81</v>
      </c>
      <c r="N23" s="17" t="n">
        <v>100</v>
      </c>
      <c r="O23" s="19" t="str">
        <f aca="false">IF($M23="","غير مقيّمة",IF($M23&gt;المرجع!$K$3,"مستوفاة بشكل متقدم",IF($M23&lt;=المرجع!$K$2,"مستوفاة بشكل أولي","مستوفاة بشكل جزئي")))</f>
        <v>مستوفاة بشكل متقدم</v>
      </c>
      <c r="P23" s="22" t="s">
        <v>245</v>
      </c>
    </row>
    <row r="24" customFormat="false" ht="15" hidden="false" customHeight="true" outlineLevel="0" collapsed="false">
      <c r="A24" s="20" t="s">
        <v>267</v>
      </c>
      <c r="B24" s="20" t="s">
        <v>145</v>
      </c>
      <c r="C24" s="19" t="str">
        <f aca="false">IFERROR(INDEX('قائمة الوحدات'!$B$2:$B$41,MATCH($B24,'قائمة الوحدات'!$A$2:$A$41,0)),"")</f>
        <v>TOP</v>
      </c>
      <c r="D24" s="18" t="str">
        <f aca="false">IFERROR(INDEX('قائمة الوحدات'!$C$2:$C$41,MATCH($B24,'قائمة الوحدات'!$A$2:$A$41,0)),"")</f>
        <v>المرتبطة بسمو الوزير</v>
      </c>
      <c r="E24" s="18" t="str">
        <f aca="false">IFERROR(INDEX('قائمة الوحدات'!$D$2:$D$41,MATCH($B24,'قائمة الوحدات'!$A$2:$A$41,0)),"")</f>
        <v>المكتب التنفيذي</v>
      </c>
      <c r="F24" s="18" t="str">
        <f aca="false">IFERROR(INDEX('قائمة الوحدات'!$F$2:$F$41,MATCH($B24,'قائمة الوحدات'!$A$2:$A$41,0)),"")</f>
        <v>المكتب التنفيذي</v>
      </c>
      <c r="G24" s="20" t="s">
        <v>66</v>
      </c>
      <c r="H24" s="18" t="str">
        <f aca="false">IFERROR(INDEX(المرجع!$A$2:$A$19,MATCH($G24,المرجع!$B$2:$B$19,0)),"")</f>
        <v>التشغيل</v>
      </c>
      <c r="I24" s="20" t="s">
        <v>49</v>
      </c>
      <c r="J24" s="18" t="str">
        <f aca="false">IFERROR(INDEX(المرجع!$D$2:$D$19,MATCH($I24,المرجع!$E$2:$E$19,0)),"")</f>
        <v>الأهداف ومؤشرات الأداء</v>
      </c>
      <c r="K24" s="20" t="s">
        <v>120</v>
      </c>
      <c r="L24" s="21" t="str">
        <f aca="false">IFERROR(INDEX('نقاط التحقق'!$G$2:$G$31,MATCH($K24,'نقاط التحقق'!$A$2:$A$31,0))&amp;"","")</f>
        <v>تحرك مؤشرات الأداء التشغيلي للوحدة التنظيمية بشكل إيجابي</v>
      </c>
      <c r="M24" s="17" t="n">
        <v>50</v>
      </c>
      <c r="N24" s="17" t="n">
        <v>95</v>
      </c>
      <c r="O24" s="19" t="str">
        <f aca="false">IF($M24="","غير مقيّمة",IF($M24&gt;المرجع!$K$3,"مستوفاة بشكل متقدم",IF($M24&lt;=المرجع!$K$2,"مستوفاة بشكل أولي","مستوفاة بشكل جزئي")))</f>
        <v>مستوفاة بشكل جزئي</v>
      </c>
      <c r="P24" s="22" t="s">
        <v>245</v>
      </c>
    </row>
    <row r="25" customFormat="false" ht="15" hidden="false" customHeight="true" outlineLevel="0" collapsed="false">
      <c r="A25" s="20" t="s">
        <v>268</v>
      </c>
      <c r="B25" s="20" t="s">
        <v>145</v>
      </c>
      <c r="C25" s="19" t="str">
        <f aca="false">IFERROR(INDEX('قائمة الوحدات'!$B$2:$B$41,MATCH($B25,'قائمة الوحدات'!$A$2:$A$41,0)),"")</f>
        <v>TOP</v>
      </c>
      <c r="D25" s="18" t="str">
        <f aca="false">IFERROR(INDEX('قائمة الوحدات'!$C$2:$C$41,MATCH($B25,'قائمة الوحدات'!$A$2:$A$41,0)),"")</f>
        <v>المرتبطة بسمو الوزير</v>
      </c>
      <c r="E25" s="18" t="str">
        <f aca="false">IFERROR(INDEX('قائمة الوحدات'!$D$2:$D$41,MATCH($B25,'قائمة الوحدات'!$A$2:$A$41,0)),"")</f>
        <v>المكتب التنفيذي</v>
      </c>
      <c r="F25" s="18" t="str">
        <f aca="false">IFERROR(INDEX('قائمة الوحدات'!$F$2:$F$41,MATCH($B25,'قائمة الوحدات'!$A$2:$A$41,0)),"")</f>
        <v>المكتب التنفيذي</v>
      </c>
      <c r="G25" s="20" t="s">
        <v>66</v>
      </c>
      <c r="H25" s="18" t="str">
        <f aca="false">IFERROR(INDEX(المرجع!$A$2:$A$19,MATCH($G25,المرجع!$B$2:$B$19,0)),"")</f>
        <v>التشغيل</v>
      </c>
      <c r="I25" s="20" t="s">
        <v>49</v>
      </c>
      <c r="J25" s="18" t="str">
        <f aca="false">IFERROR(INDEX(المرجع!$D$2:$D$19,MATCH($I25,المرجع!$E$2:$E$19,0)),"")</f>
        <v>الأهداف ومؤشرات الأداء</v>
      </c>
      <c r="K25" s="20" t="s">
        <v>122</v>
      </c>
      <c r="L25" s="21" t="str">
        <f aca="false">IFERROR(INDEX('نقاط التحقق'!$G$2:$G$31,MATCH($K25,'نقاط التحقق'!$A$2:$A$31,0))&amp;"","")</f>
        <v>خطة سنوية معتمدة للوحدة التنظيمية</v>
      </c>
      <c r="M25" s="17" t="n">
        <v>35</v>
      </c>
      <c r="N25" s="17" t="n">
        <v>80</v>
      </c>
      <c r="O25" s="19" t="str">
        <f aca="false">IF($M25="","غير مقيّمة",IF($M25&gt;المرجع!$K$3,"مستوفاة بشكل متقدم",IF($M25&lt;=المرجع!$K$2,"مستوفاة بشكل أولي","مستوفاة بشكل جزئي")))</f>
        <v>مستوفاة بشكل جزئي</v>
      </c>
      <c r="P25" s="22" t="s">
        <v>245</v>
      </c>
    </row>
    <row r="26" customFormat="false" ht="15" hidden="false" customHeight="true" outlineLevel="0" collapsed="false">
      <c r="A26" s="20" t="s">
        <v>269</v>
      </c>
      <c r="B26" s="20" t="s">
        <v>145</v>
      </c>
      <c r="C26" s="19" t="str">
        <f aca="false">IFERROR(INDEX('قائمة الوحدات'!$B$2:$B$41,MATCH($B26,'قائمة الوحدات'!$A$2:$A$41,0)),"")</f>
        <v>TOP</v>
      </c>
      <c r="D26" s="18" t="str">
        <f aca="false">IFERROR(INDEX('قائمة الوحدات'!$C$2:$C$41,MATCH($B26,'قائمة الوحدات'!$A$2:$A$41,0)),"")</f>
        <v>المرتبطة بسمو الوزير</v>
      </c>
      <c r="E26" s="18" t="str">
        <f aca="false">IFERROR(INDEX('قائمة الوحدات'!$D$2:$D$41,MATCH($B26,'قائمة الوحدات'!$A$2:$A$41,0)),"")</f>
        <v>المكتب التنفيذي</v>
      </c>
      <c r="F26" s="18" t="str">
        <f aca="false">IFERROR(INDEX('قائمة الوحدات'!$F$2:$F$41,MATCH($B26,'قائمة الوحدات'!$A$2:$A$41,0)),"")</f>
        <v>المكتب التنفيذي</v>
      </c>
      <c r="G26" s="20" t="s">
        <v>66</v>
      </c>
      <c r="H26" s="18" t="str">
        <f aca="false">IFERROR(INDEX(المرجع!$A$2:$A$19,MATCH($G26,المرجع!$B$2:$B$19,0)),"")</f>
        <v>التشغيل</v>
      </c>
      <c r="I26" s="20" t="s">
        <v>52</v>
      </c>
      <c r="J26" s="18" t="str">
        <f aca="false">IFERROR(INDEX(المرجع!$D$2:$D$19,MATCH($I26,المرجع!$E$2:$E$19,0)),"")</f>
        <v>الحوكمة</v>
      </c>
      <c r="K26" s="20" t="s">
        <v>124</v>
      </c>
      <c r="L26" s="21" t="str">
        <f aca="false">IFERROR(INDEX('نقاط التحقق'!$G$2:$G$31,MATCH($K26,'نقاط التحقق'!$A$2:$A$31,0))&amp;"","")</f>
        <v>محاضر لجان موثقة</v>
      </c>
      <c r="M26" s="17" t="n">
        <v>45</v>
      </c>
      <c r="N26" s="17" t="n">
        <v>100</v>
      </c>
      <c r="O26" s="19" t="str">
        <f aca="false">IF($M26="","غير مقيّمة",IF($M26&gt;المرجع!$K$3,"مستوفاة بشكل متقدم",IF($M26&lt;=المرجع!$K$2,"مستوفاة بشكل أولي","مستوفاة بشكل جزئي")))</f>
        <v>مستوفاة بشكل جزئي</v>
      </c>
      <c r="P26" s="22" t="s">
        <v>245</v>
      </c>
    </row>
    <row r="27" customFormat="false" ht="15" hidden="false" customHeight="true" outlineLevel="0" collapsed="false">
      <c r="A27" s="20" t="s">
        <v>270</v>
      </c>
      <c r="B27" s="20" t="s">
        <v>145</v>
      </c>
      <c r="C27" s="19" t="str">
        <f aca="false">IFERROR(INDEX('قائمة الوحدات'!$B$2:$B$41,MATCH($B27,'قائمة الوحدات'!$A$2:$A$41,0)),"")</f>
        <v>TOP</v>
      </c>
      <c r="D27" s="18" t="str">
        <f aca="false">IFERROR(INDEX('قائمة الوحدات'!$C$2:$C$41,MATCH($B27,'قائمة الوحدات'!$A$2:$A$41,0)),"")</f>
        <v>المرتبطة بسمو الوزير</v>
      </c>
      <c r="E27" s="18" t="str">
        <f aca="false">IFERROR(INDEX('قائمة الوحدات'!$D$2:$D$41,MATCH($B27,'قائمة الوحدات'!$A$2:$A$41,0)),"")</f>
        <v>المكتب التنفيذي</v>
      </c>
      <c r="F27" s="18" t="str">
        <f aca="false">IFERROR(INDEX('قائمة الوحدات'!$F$2:$F$41,MATCH($B27,'قائمة الوحدات'!$A$2:$A$41,0)),"")</f>
        <v>المكتب التنفيذي</v>
      </c>
      <c r="G27" s="20" t="s">
        <v>66</v>
      </c>
      <c r="H27" s="18" t="str">
        <f aca="false">IFERROR(INDEX(المرجع!$A$2:$A$19,MATCH($G27,المرجع!$B$2:$B$19,0)),"")</f>
        <v>التشغيل</v>
      </c>
      <c r="I27" s="20" t="s">
        <v>52</v>
      </c>
      <c r="J27" s="18" t="str">
        <f aca="false">IFERROR(INDEX(المرجع!$D$2:$D$19,MATCH($I27,المرجع!$E$2:$E$19,0)),"")</f>
        <v>الحوكمة</v>
      </c>
      <c r="K27" s="20" t="s">
        <v>126</v>
      </c>
      <c r="L27" s="21" t="str">
        <f aca="false">IFERROR(INDEX('نقاط التحقق'!$G$2:$G$31,MATCH($K27,'نقاط التحقق'!$A$2:$A$31,0))&amp;"","")</f>
        <v>نشر السياسات التي تملكها الوحدة التنظيمية</v>
      </c>
      <c r="M27" s="17" t="n">
        <v>40</v>
      </c>
      <c r="N27" s="17" t="n">
        <v>100</v>
      </c>
      <c r="O27" s="19" t="str">
        <f aca="false">IF($M27="","غير مقيّمة",IF($M27&gt;المرجع!$K$3,"مستوفاة بشكل متقدم",IF($M27&lt;=المرجع!$K$2,"مستوفاة بشكل أولي","مستوفاة بشكل جزئي")))</f>
        <v>مستوفاة بشكل جزئي</v>
      </c>
      <c r="P27" s="22" t="s">
        <v>245</v>
      </c>
    </row>
    <row r="28" customFormat="false" ht="15" hidden="false" customHeight="true" outlineLevel="0" collapsed="false">
      <c r="A28" s="20" t="s">
        <v>271</v>
      </c>
      <c r="B28" s="20" t="s">
        <v>145</v>
      </c>
      <c r="C28" s="19" t="str">
        <f aca="false">IFERROR(INDEX('قائمة الوحدات'!$B$2:$B$41,MATCH($B28,'قائمة الوحدات'!$A$2:$A$41,0)),"")</f>
        <v>TOP</v>
      </c>
      <c r="D28" s="18" t="str">
        <f aca="false">IFERROR(INDEX('قائمة الوحدات'!$C$2:$C$41,MATCH($B28,'قائمة الوحدات'!$A$2:$A$41,0)),"")</f>
        <v>المرتبطة بسمو الوزير</v>
      </c>
      <c r="E28" s="18" t="str">
        <f aca="false">IFERROR(INDEX('قائمة الوحدات'!$D$2:$D$41,MATCH($B28,'قائمة الوحدات'!$A$2:$A$41,0)),"")</f>
        <v>المكتب التنفيذي</v>
      </c>
      <c r="F28" s="18" t="str">
        <f aca="false">IFERROR(INDEX('قائمة الوحدات'!$F$2:$F$41,MATCH($B28,'قائمة الوحدات'!$A$2:$A$41,0)),"")</f>
        <v>المكتب التنفيذي</v>
      </c>
      <c r="G28" s="20" t="s">
        <v>66</v>
      </c>
      <c r="H28" s="18" t="str">
        <f aca="false">IFERROR(INDEX(المرجع!$A$2:$A$19,MATCH($G28,المرجع!$B$2:$B$19,0)),"")</f>
        <v>التشغيل</v>
      </c>
      <c r="I28" s="20" t="s">
        <v>52</v>
      </c>
      <c r="J28" s="18" t="str">
        <f aca="false">IFERROR(INDEX(المرجع!$D$2:$D$19,MATCH($I28,المرجع!$E$2:$E$19,0)),"")</f>
        <v>الحوكمة</v>
      </c>
      <c r="K28" s="20" t="s">
        <v>128</v>
      </c>
      <c r="L28" s="21" t="str">
        <f aca="false">IFERROR(INDEX('نقاط التحقق'!$G$2:$G$31,MATCH($K28,'نقاط التحقق'!$A$2:$A$31,0))&amp;"","")</f>
        <v>اتخاذ القرارات في نطاق الصلاحيات (وجود شواهد)</v>
      </c>
      <c r="M28" s="17" t="n">
        <v>25</v>
      </c>
      <c r="N28" s="17" t="n">
        <v>80</v>
      </c>
      <c r="O28" s="19" t="str">
        <f aca="false">IF($M28="","غير مقيّمة",IF($M28&gt;المرجع!$K$3,"مستوفاة بشكل متقدم",IF($M28&lt;=المرجع!$K$2,"مستوفاة بشكل أولي","مستوفاة بشكل جزئي")))</f>
        <v>مستوفاة بشكل أولي</v>
      </c>
      <c r="P28" s="22" t="s">
        <v>245</v>
      </c>
    </row>
    <row r="29" customFormat="false" ht="15" hidden="false" customHeight="true" outlineLevel="0" collapsed="false">
      <c r="A29" s="20" t="s">
        <v>272</v>
      </c>
      <c r="B29" s="20" t="s">
        <v>145</v>
      </c>
      <c r="C29" s="19" t="str">
        <f aca="false">IFERROR(INDEX('قائمة الوحدات'!$B$2:$B$41,MATCH($B29,'قائمة الوحدات'!$A$2:$A$41,0)),"")</f>
        <v>TOP</v>
      </c>
      <c r="D29" s="18" t="str">
        <f aca="false">IFERROR(INDEX('قائمة الوحدات'!$C$2:$C$41,MATCH($B29,'قائمة الوحدات'!$A$2:$A$41,0)),"")</f>
        <v>المرتبطة بسمو الوزير</v>
      </c>
      <c r="E29" s="18" t="str">
        <f aca="false">IFERROR(INDEX('قائمة الوحدات'!$D$2:$D$41,MATCH($B29,'قائمة الوحدات'!$A$2:$A$41,0)),"")</f>
        <v>المكتب التنفيذي</v>
      </c>
      <c r="F29" s="18" t="str">
        <f aca="false">IFERROR(INDEX('قائمة الوحدات'!$F$2:$F$41,MATCH($B29,'قائمة الوحدات'!$A$2:$A$41,0)),"")</f>
        <v>المكتب التنفيذي</v>
      </c>
      <c r="G29" s="20" t="s">
        <v>66</v>
      </c>
      <c r="H29" s="18" t="str">
        <f aca="false">IFERROR(INDEX(المرجع!$A$2:$A$19,MATCH($G29,المرجع!$B$2:$B$19,0)),"")</f>
        <v>التشغيل</v>
      </c>
      <c r="I29" s="20" t="s">
        <v>57</v>
      </c>
      <c r="J29" s="18" t="str">
        <f aca="false">IFERROR(INDEX(المرجع!$D$2:$D$19,MATCH($I29,المرجع!$E$2:$E$19,0)),"")</f>
        <v>الموارد</v>
      </c>
      <c r="K29" s="20" t="s">
        <v>130</v>
      </c>
      <c r="L29" s="21" t="str">
        <f aca="false">IFERROR(INDEX('نقاط التحقق'!$G$2:$G$31,MATCH($K29,'نقاط التحقق'!$A$2:$A$31,0))&amp;"","")</f>
        <v>موارد مستكملة للحد الأدنى الذي يغطي كافة محاور سلسلة القيمة</v>
      </c>
      <c r="M29" s="17" t="n">
        <v>57</v>
      </c>
      <c r="N29" s="17" t="n">
        <v>85</v>
      </c>
      <c r="O29" s="19" t="str">
        <f aca="false">IF($M29="","غير مقيّمة",IF($M29&gt;المرجع!$K$3,"مستوفاة بشكل متقدم",IF($M29&lt;=المرجع!$K$2,"مستوفاة بشكل أولي","مستوفاة بشكل جزئي")))</f>
        <v>مستوفاة بشكل جزئي</v>
      </c>
      <c r="P29" s="22" t="s">
        <v>245</v>
      </c>
    </row>
    <row r="30" customFormat="false" ht="15" hidden="false" customHeight="true" outlineLevel="0" collapsed="false">
      <c r="A30" s="20" t="s">
        <v>273</v>
      </c>
      <c r="B30" s="20" t="s">
        <v>145</v>
      </c>
      <c r="C30" s="19" t="str">
        <f aca="false">IFERROR(INDEX('قائمة الوحدات'!$B$2:$B$41,MATCH($B30,'قائمة الوحدات'!$A$2:$A$41,0)),"")</f>
        <v>TOP</v>
      </c>
      <c r="D30" s="18" t="str">
        <f aca="false">IFERROR(INDEX('قائمة الوحدات'!$C$2:$C$41,MATCH($B30,'قائمة الوحدات'!$A$2:$A$41,0)),"")</f>
        <v>المرتبطة بسمو الوزير</v>
      </c>
      <c r="E30" s="18" t="str">
        <f aca="false">IFERROR(INDEX('قائمة الوحدات'!$D$2:$D$41,MATCH($B30,'قائمة الوحدات'!$A$2:$A$41,0)),"")</f>
        <v>المكتب التنفيذي</v>
      </c>
      <c r="F30" s="18" t="str">
        <f aca="false">IFERROR(INDEX('قائمة الوحدات'!$F$2:$F$41,MATCH($B30,'قائمة الوحدات'!$A$2:$A$41,0)),"")</f>
        <v>المكتب التنفيذي</v>
      </c>
      <c r="G30" s="20" t="s">
        <v>66</v>
      </c>
      <c r="H30" s="18" t="str">
        <f aca="false">IFERROR(INDEX(المرجع!$A$2:$A$19,MATCH($G30,المرجع!$B$2:$B$19,0)),"")</f>
        <v>التشغيل</v>
      </c>
      <c r="I30" s="20" t="s">
        <v>60</v>
      </c>
      <c r="J30" s="18" t="str">
        <f aca="false">IFERROR(INDEX(المرجع!$D$2:$D$19,MATCH($I30,المرجع!$E$2:$E$19,0)),"")</f>
        <v>الإجراءات</v>
      </c>
      <c r="K30" s="20" t="s">
        <v>132</v>
      </c>
      <c r="L30" s="21" t="str">
        <f aca="false">IFERROR(INDEX('نقاط التحقق'!$G$2:$G$31,MATCH($K30,'نقاط التحقق'!$A$2:$A$31,0))&amp;"","")</f>
        <v>تحقيق تقييم "مطبق بشكل كامل" من منهجية تقييم فعالية الإجراءات</v>
      </c>
      <c r="M30" s="17" t="n">
        <v>32</v>
      </c>
      <c r="N30" s="17" t="n">
        <v>100</v>
      </c>
      <c r="O30" s="19" t="str">
        <f aca="false">IF($M30="","غير مقيّمة",IF($M30&gt;المرجع!$K$3,"مستوفاة بشكل متقدم",IF($M30&lt;=المرجع!$K$2,"مستوفاة بشكل أولي","مستوفاة بشكل جزئي")))</f>
        <v>مستوفاة بشكل جزئي</v>
      </c>
      <c r="P30" s="22" t="s">
        <v>245</v>
      </c>
    </row>
    <row r="31" customFormat="false" ht="15" hidden="false" customHeight="true" outlineLevel="0" collapsed="false">
      <c r="A31" s="20" t="s">
        <v>274</v>
      </c>
      <c r="B31" s="20" t="s">
        <v>145</v>
      </c>
      <c r="C31" s="19" t="str">
        <f aca="false">IFERROR(INDEX('قائمة الوحدات'!$B$2:$B$41,MATCH($B31,'قائمة الوحدات'!$A$2:$A$41,0)),"")</f>
        <v>TOP</v>
      </c>
      <c r="D31" s="18" t="str">
        <f aca="false">IFERROR(INDEX('قائمة الوحدات'!$C$2:$C$41,MATCH($B31,'قائمة الوحدات'!$A$2:$A$41,0)),"")</f>
        <v>المرتبطة بسمو الوزير</v>
      </c>
      <c r="E31" s="18" t="str">
        <f aca="false">IFERROR(INDEX('قائمة الوحدات'!$D$2:$D$41,MATCH($B31,'قائمة الوحدات'!$A$2:$A$41,0)),"")</f>
        <v>المكتب التنفيذي</v>
      </c>
      <c r="F31" s="18" t="str">
        <f aca="false">IFERROR(INDEX('قائمة الوحدات'!$F$2:$F$41,MATCH($B31,'قائمة الوحدات'!$A$2:$A$41,0)),"")</f>
        <v>المكتب التنفيذي</v>
      </c>
      <c r="G31" s="20" t="s">
        <v>66</v>
      </c>
      <c r="H31" s="18" t="str">
        <f aca="false">IFERROR(INDEX(المرجع!$A$2:$A$19,MATCH($G31,المرجع!$B$2:$B$19,0)),"")</f>
        <v>التشغيل</v>
      </c>
      <c r="I31" s="20" t="s">
        <v>71</v>
      </c>
      <c r="J31" s="18" t="str">
        <f aca="false">IFERROR(INDEX(المرجع!$D$2:$D$19,MATCH($I31,المرجع!$E$2:$E$19,0)),"")</f>
        <v>اكتمال المخرجات المستهدفة</v>
      </c>
      <c r="K31" s="20" t="s">
        <v>134</v>
      </c>
      <c r="L31" s="21" t="str">
        <f aca="false">IFERROR(INDEX('نقاط التحقق'!$G$2:$G$31,MATCH($K31,'نقاط التحقق'!$A$2:$A$31,0))&amp;"","")</f>
        <v>اكتمال مخرجات النموذج التشغيلي المستهدف للوحدة التنظيمية</v>
      </c>
      <c r="M31" s="17" t="n">
        <v>53</v>
      </c>
      <c r="N31" s="17" t="n">
        <v>100</v>
      </c>
      <c r="O31" s="19" t="str">
        <f aca="false">IF($M31="","غير مقيّمة",IF($M31&gt;المرجع!$K$3,"مستوفاة بشكل متقدم",IF($M31&lt;=المرجع!$K$2,"مستوفاة بشكل أولي","مستوفاة بشكل جزئي")))</f>
        <v>مستوفاة بشكل جزئي</v>
      </c>
      <c r="P31" s="22" t="s">
        <v>245</v>
      </c>
    </row>
    <row r="32" customFormat="false" ht="15" hidden="false" customHeight="true" outlineLevel="0" collapsed="false">
      <c r="A32" s="20" t="s">
        <v>275</v>
      </c>
      <c r="B32" s="20" t="s">
        <v>152</v>
      </c>
      <c r="C32" s="19" t="str">
        <f aca="false">IFERROR(INDEX('قائمة الوحدات'!$B$2:$B$41,MATCH($B32,'قائمة الوحدات'!$A$2:$A$41,0)),"")</f>
        <v>TOP</v>
      </c>
      <c r="D32" s="18" t="str">
        <f aca="false">IFERROR(INDEX('قائمة الوحدات'!$C$2:$C$41,MATCH($B32,'قائمة الوحدات'!$A$2:$A$41,0)),"")</f>
        <v>المرتبطة بسمو الوزير</v>
      </c>
      <c r="E32" s="18" t="str">
        <f aca="false">IFERROR(INDEX('قائمة الوحدات'!$D$2:$D$41,MATCH($B32,'قائمة الوحدات'!$A$2:$A$41,0)),"")</f>
        <v>إدارة المتابعة والتقارير</v>
      </c>
      <c r="F32" s="18" t="str">
        <f aca="false">IFERROR(INDEX('قائمة الوحدات'!$F$2:$F$41,MATCH($B32,'قائمة الوحدات'!$A$2:$A$41,0)),"")</f>
        <v>إدارة المتابعة والتقارير</v>
      </c>
      <c r="G32" s="20" t="s">
        <v>44</v>
      </c>
      <c r="H32" s="18" t="str">
        <f aca="false">IFERROR(INDEX(المرجع!$A$2:$A$19,MATCH($G32,المرجع!$B$2:$B$19,0)),"")</f>
        <v>التصميم</v>
      </c>
      <c r="I32" s="20" t="s">
        <v>46</v>
      </c>
      <c r="J32" s="18" t="str">
        <f aca="false">IFERROR(INDEX(المرجع!$D$2:$D$19,MATCH($I32,المرجع!$E$2:$E$19,0)),"")</f>
        <v>الدور</v>
      </c>
      <c r="K32" s="20" t="s">
        <v>76</v>
      </c>
      <c r="L32" s="21" t="str">
        <f aca="false">IFERROR(INDEX('نقاط التحقق'!$G$2:$G$31,MATCH($K32,'نقاط التحقق'!$A$2:$A$31,0))&amp;"","")</f>
        <v>دور مفصل للوحدة التنظيمية</v>
      </c>
      <c r="M32" s="17" t="n">
        <v>76</v>
      </c>
      <c r="N32" s="17" t="n">
        <v>100</v>
      </c>
      <c r="O32" s="19" t="str">
        <f aca="false">IF($M32="","غير مقيّمة",IF($M32&gt;المرجع!$K$3,"مستوفاة بشكل متقدم",IF($M32&lt;=المرجع!$K$2,"مستوفاة بشكل أولي","مستوفاة بشكل جزئي")))</f>
        <v>مستوفاة بشكل متقدم</v>
      </c>
      <c r="P32" s="22" t="s">
        <v>245</v>
      </c>
    </row>
    <row r="33" customFormat="false" ht="15" hidden="false" customHeight="true" outlineLevel="0" collapsed="false">
      <c r="A33" s="20" t="s">
        <v>276</v>
      </c>
      <c r="B33" s="20" t="s">
        <v>152</v>
      </c>
      <c r="C33" s="19" t="str">
        <f aca="false">IFERROR(INDEX('قائمة الوحدات'!$B$2:$B$41,MATCH($B33,'قائمة الوحدات'!$A$2:$A$41,0)),"")</f>
        <v>TOP</v>
      </c>
      <c r="D33" s="18" t="str">
        <f aca="false">IFERROR(INDEX('قائمة الوحدات'!$C$2:$C$41,MATCH($B33,'قائمة الوحدات'!$A$2:$A$41,0)),"")</f>
        <v>المرتبطة بسمو الوزير</v>
      </c>
      <c r="E33" s="18" t="str">
        <f aca="false">IFERROR(INDEX('قائمة الوحدات'!$D$2:$D$41,MATCH($B33,'قائمة الوحدات'!$A$2:$A$41,0)),"")</f>
        <v>إدارة المتابعة والتقارير</v>
      </c>
      <c r="F33" s="18" t="str">
        <f aca="false">IFERROR(INDEX('قائمة الوحدات'!$F$2:$F$41,MATCH($B33,'قائمة الوحدات'!$A$2:$A$41,0)),"")</f>
        <v>إدارة المتابعة والتقارير</v>
      </c>
      <c r="G33" s="20" t="s">
        <v>44</v>
      </c>
      <c r="H33" s="18" t="str">
        <f aca="false">IFERROR(INDEX(المرجع!$A$2:$A$19,MATCH($G33,المرجع!$B$2:$B$19,0)),"")</f>
        <v>التصميم</v>
      </c>
      <c r="I33" s="20" t="s">
        <v>49</v>
      </c>
      <c r="J33" s="18" t="str">
        <f aca="false">IFERROR(INDEX(المرجع!$D$2:$D$19,MATCH($I33,المرجع!$E$2:$E$19,0)),"")</f>
        <v>الأهداف ومؤشرات الأداء</v>
      </c>
      <c r="K33" s="20" t="s">
        <v>78</v>
      </c>
      <c r="L33" s="21" t="str">
        <f aca="false">IFERROR(INDEX('نقاط التحقق'!$G$2:$G$31,MATCH($K33,'نقاط التحقق'!$A$2:$A$31,0))&amp;"","")</f>
        <v>أهداف محددة للوحدة التنظيمية وربطها بمؤشرات أداء لقياسها</v>
      </c>
      <c r="M33" s="17" t="n">
        <v>70</v>
      </c>
      <c r="N33" s="17" t="n">
        <v>80</v>
      </c>
      <c r="O33" s="19" t="str">
        <f aca="false">IF($M33="","غير مقيّمة",IF($M33&gt;المرجع!$K$3,"مستوفاة بشكل متقدم",IF($M33&lt;=المرجع!$K$2,"مستوفاة بشكل أولي","مستوفاة بشكل جزئي")))</f>
        <v>مستوفاة بشكل جزئي</v>
      </c>
      <c r="P33" s="22" t="s">
        <v>245</v>
      </c>
    </row>
    <row r="34" customFormat="false" ht="15" hidden="false" customHeight="true" outlineLevel="0" collapsed="false">
      <c r="A34" s="20" t="s">
        <v>277</v>
      </c>
      <c r="B34" s="20" t="s">
        <v>152</v>
      </c>
      <c r="C34" s="19" t="str">
        <f aca="false">IFERROR(INDEX('قائمة الوحدات'!$B$2:$B$41,MATCH($B34,'قائمة الوحدات'!$A$2:$A$41,0)),"")</f>
        <v>TOP</v>
      </c>
      <c r="D34" s="18" t="str">
        <f aca="false">IFERROR(INDEX('قائمة الوحدات'!$C$2:$C$41,MATCH($B34,'قائمة الوحدات'!$A$2:$A$41,0)),"")</f>
        <v>المرتبطة بسمو الوزير</v>
      </c>
      <c r="E34" s="18" t="str">
        <f aca="false">IFERROR(INDEX('قائمة الوحدات'!$D$2:$D$41,MATCH($B34,'قائمة الوحدات'!$A$2:$A$41,0)),"")</f>
        <v>إدارة المتابعة والتقارير</v>
      </c>
      <c r="F34" s="18" t="str">
        <f aca="false">IFERROR(INDEX('قائمة الوحدات'!$F$2:$F$41,MATCH($B34,'قائمة الوحدات'!$A$2:$A$41,0)),"")</f>
        <v>إدارة المتابعة والتقارير</v>
      </c>
      <c r="G34" s="20" t="s">
        <v>44</v>
      </c>
      <c r="H34" s="18" t="str">
        <f aca="false">IFERROR(INDEX(المرجع!$A$2:$A$19,MATCH($G34,المرجع!$B$2:$B$19,0)),"")</f>
        <v>التصميم</v>
      </c>
      <c r="I34" s="20" t="s">
        <v>49</v>
      </c>
      <c r="J34" s="18" t="str">
        <f aca="false">IFERROR(INDEX(المرجع!$D$2:$D$19,MATCH($I34,المرجع!$E$2:$E$19,0)),"")</f>
        <v>الأهداف ومؤشرات الأداء</v>
      </c>
      <c r="K34" s="20" t="s">
        <v>80</v>
      </c>
      <c r="L34" s="21" t="str">
        <f aca="false">IFERROR(INDEX('نقاط التحقق'!$G$2:$G$31,MATCH($K34,'نقاط التحقق'!$A$2:$A$31,0))&amp;"","")</f>
        <v>مؤشرات أداء الوحدة التنظيمية</v>
      </c>
      <c r="M34" s="17" t="n">
        <v>75</v>
      </c>
      <c r="N34" s="17" t="n">
        <v>100</v>
      </c>
      <c r="O34" s="19" t="str">
        <f aca="false">IF($M34="","غير مقيّمة",IF($M34&gt;المرجع!$K$3,"مستوفاة بشكل متقدم",IF($M34&lt;=المرجع!$K$2,"مستوفاة بشكل أولي","مستوفاة بشكل جزئي")))</f>
        <v>مستوفاة بشكل متقدم</v>
      </c>
      <c r="P34" s="22" t="s">
        <v>245</v>
      </c>
    </row>
    <row r="35" customFormat="false" ht="15" hidden="false" customHeight="true" outlineLevel="0" collapsed="false">
      <c r="A35" s="20" t="s">
        <v>278</v>
      </c>
      <c r="B35" s="20" t="s">
        <v>152</v>
      </c>
      <c r="C35" s="19" t="str">
        <f aca="false">IFERROR(INDEX('قائمة الوحدات'!$B$2:$B$41,MATCH($B35,'قائمة الوحدات'!$A$2:$A$41,0)),"")</f>
        <v>TOP</v>
      </c>
      <c r="D35" s="18" t="str">
        <f aca="false">IFERROR(INDEX('قائمة الوحدات'!$C$2:$C$41,MATCH($B35,'قائمة الوحدات'!$A$2:$A$41,0)),"")</f>
        <v>المرتبطة بسمو الوزير</v>
      </c>
      <c r="E35" s="18" t="str">
        <f aca="false">IFERROR(INDEX('قائمة الوحدات'!$D$2:$D$41,MATCH($B35,'قائمة الوحدات'!$A$2:$A$41,0)),"")</f>
        <v>إدارة المتابعة والتقارير</v>
      </c>
      <c r="F35" s="18" t="str">
        <f aca="false">IFERROR(INDEX('قائمة الوحدات'!$F$2:$F$41,MATCH($B35,'قائمة الوحدات'!$A$2:$A$41,0)),"")</f>
        <v>إدارة المتابعة والتقارير</v>
      </c>
      <c r="G35" s="20" t="s">
        <v>44</v>
      </c>
      <c r="H35" s="18" t="str">
        <f aca="false">IFERROR(INDEX(المرجع!$A$2:$A$19,MATCH($G35,المرجع!$B$2:$B$19,0)),"")</f>
        <v>التصميم</v>
      </c>
      <c r="I35" s="20" t="s">
        <v>52</v>
      </c>
      <c r="J35" s="18" t="str">
        <f aca="false">IFERROR(INDEX(المرجع!$D$2:$D$19,MATCH($I35,المرجع!$E$2:$E$19,0)),"")</f>
        <v>الحوكمة</v>
      </c>
      <c r="K35" s="20" t="s">
        <v>82</v>
      </c>
      <c r="L35" s="21" t="str">
        <f aca="false">IFERROR(INDEX('نقاط التحقق'!$G$2:$G$31,MATCH($K35,'نقاط التحقق'!$A$2:$A$31,0))&amp;"","")</f>
        <v>تفصيل القرارات ومصفوفة الصلاحيات واللجان ذات العلاقة لاعتماد مخرجات الوحدة التنظيمية</v>
      </c>
      <c r="M35" s="17" t="n">
        <v>87</v>
      </c>
      <c r="N35" s="17" t="n">
        <v>100</v>
      </c>
      <c r="O35" s="19" t="str">
        <f aca="false">IF($M35="","غير مقيّمة",IF($M35&gt;المرجع!$K$3,"مستوفاة بشكل متقدم",IF($M35&lt;=المرجع!$K$2,"مستوفاة بشكل أولي","مستوفاة بشكل جزئي")))</f>
        <v>مستوفاة بشكل متقدم</v>
      </c>
      <c r="P35" s="22" t="s">
        <v>245</v>
      </c>
    </row>
    <row r="36" customFormat="false" ht="15" hidden="false" customHeight="true" outlineLevel="0" collapsed="false">
      <c r="A36" s="20" t="s">
        <v>279</v>
      </c>
      <c r="B36" s="20" t="s">
        <v>152</v>
      </c>
      <c r="C36" s="19" t="str">
        <f aca="false">IFERROR(INDEX('قائمة الوحدات'!$B$2:$B$41,MATCH($B36,'قائمة الوحدات'!$A$2:$A$41,0)),"")</f>
        <v>TOP</v>
      </c>
      <c r="D36" s="18" t="str">
        <f aca="false">IFERROR(INDEX('قائمة الوحدات'!$C$2:$C$41,MATCH($B36,'قائمة الوحدات'!$A$2:$A$41,0)),"")</f>
        <v>المرتبطة بسمو الوزير</v>
      </c>
      <c r="E36" s="18" t="str">
        <f aca="false">IFERROR(INDEX('قائمة الوحدات'!$D$2:$D$41,MATCH($B36,'قائمة الوحدات'!$A$2:$A$41,0)),"")</f>
        <v>إدارة المتابعة والتقارير</v>
      </c>
      <c r="F36" s="18" t="str">
        <f aca="false">IFERROR(INDEX('قائمة الوحدات'!$F$2:$F$41,MATCH($B36,'قائمة الوحدات'!$A$2:$A$41,0)),"")</f>
        <v>إدارة المتابعة والتقارير</v>
      </c>
      <c r="G36" s="20" t="s">
        <v>44</v>
      </c>
      <c r="H36" s="18" t="str">
        <f aca="false">IFERROR(INDEX(المرجع!$A$2:$A$19,MATCH($G36,المرجع!$B$2:$B$19,0)),"")</f>
        <v>التصميم</v>
      </c>
      <c r="I36" s="20" t="s">
        <v>55</v>
      </c>
      <c r="J36" s="18" t="str">
        <f aca="false">IFERROR(INDEX(المرجع!$D$2:$D$19,MATCH($I36,المرجع!$E$2:$E$19,0)),"")</f>
        <v>التنظيم</v>
      </c>
      <c r="K36" s="20" t="s">
        <v>84</v>
      </c>
      <c r="L36" s="21" t="str">
        <f aca="false">IFERROR(INDEX('نقاط التحقق'!$G$2:$G$31,MATCH($K36,'نقاط التحقق'!$A$2:$A$31,0))&amp;"","")</f>
        <v>تطوير الأدوار والمسؤوليات للوحدة التنظيمية وتفصيل الهيكل التنظيمي</v>
      </c>
      <c r="M36" s="17" t="n">
        <v>71</v>
      </c>
      <c r="N36" s="17" t="n">
        <v>95</v>
      </c>
      <c r="O36" s="19" t="str">
        <f aca="false">IF($M36="","غير مقيّمة",IF($M36&gt;المرجع!$K$3,"مستوفاة بشكل متقدم",IF($M36&lt;=المرجع!$K$2,"مستوفاة بشكل أولي","مستوفاة بشكل جزئي")))</f>
        <v>مستوفاة بشكل متقدم</v>
      </c>
      <c r="P36" s="22" t="s">
        <v>245</v>
      </c>
    </row>
    <row r="37" customFormat="false" ht="15" hidden="false" customHeight="true" outlineLevel="0" collapsed="false">
      <c r="A37" s="20" t="s">
        <v>280</v>
      </c>
      <c r="B37" s="20" t="s">
        <v>152</v>
      </c>
      <c r="C37" s="19" t="str">
        <f aca="false">IFERROR(INDEX('قائمة الوحدات'!$B$2:$B$41,MATCH($B37,'قائمة الوحدات'!$A$2:$A$41,0)),"")</f>
        <v>TOP</v>
      </c>
      <c r="D37" s="18" t="str">
        <f aca="false">IFERROR(INDEX('قائمة الوحدات'!$C$2:$C$41,MATCH($B37,'قائمة الوحدات'!$A$2:$A$41,0)),"")</f>
        <v>المرتبطة بسمو الوزير</v>
      </c>
      <c r="E37" s="18" t="str">
        <f aca="false">IFERROR(INDEX('قائمة الوحدات'!$D$2:$D$41,MATCH($B37,'قائمة الوحدات'!$A$2:$A$41,0)),"")</f>
        <v>إدارة المتابعة والتقارير</v>
      </c>
      <c r="F37" s="18" t="str">
        <f aca="false">IFERROR(INDEX('قائمة الوحدات'!$F$2:$F$41,MATCH($B37,'قائمة الوحدات'!$A$2:$A$41,0)),"")</f>
        <v>إدارة المتابعة والتقارير</v>
      </c>
      <c r="G37" s="20" t="s">
        <v>44</v>
      </c>
      <c r="H37" s="18" t="str">
        <f aca="false">IFERROR(INDEX(المرجع!$A$2:$A$19,MATCH($G37,المرجع!$B$2:$B$19,0)),"")</f>
        <v>التصميم</v>
      </c>
      <c r="I37" s="20" t="s">
        <v>57</v>
      </c>
      <c r="J37" s="18" t="str">
        <f aca="false">IFERROR(INDEX(المرجع!$D$2:$D$19,MATCH($I37,المرجع!$E$2:$E$19,0)),"")</f>
        <v>الموارد</v>
      </c>
      <c r="K37" s="20" t="s">
        <v>86</v>
      </c>
      <c r="L37" s="21" t="str">
        <f aca="false">IFERROR(INDEX('نقاط التحقق'!$G$2:$G$31,MATCH($K37,'نقاط التحقق'!$A$2:$A$31,0))&amp;"","")</f>
        <v>تفصيل احتياج الموارد البشرية للوحدة التنظيمية</v>
      </c>
      <c r="M37" s="17" t="n">
        <v>96</v>
      </c>
      <c r="N37" s="17" t="n">
        <v>96</v>
      </c>
      <c r="O37" s="19" t="str">
        <f aca="false">IF($M37="","غير مقيّمة",IF($M37&gt;المرجع!$K$3,"مستوفاة بشكل متقدم",IF($M37&lt;=المرجع!$K$2,"مستوفاة بشكل أولي","مستوفاة بشكل جزئي")))</f>
        <v>مستوفاة بشكل متقدم</v>
      </c>
      <c r="P37" s="22" t="s">
        <v>245</v>
      </c>
    </row>
    <row r="38" customFormat="false" ht="15" hidden="false" customHeight="true" outlineLevel="0" collapsed="false">
      <c r="A38" s="20" t="s">
        <v>281</v>
      </c>
      <c r="B38" s="20" t="s">
        <v>152</v>
      </c>
      <c r="C38" s="19" t="str">
        <f aca="false">IFERROR(INDEX('قائمة الوحدات'!$B$2:$B$41,MATCH($B38,'قائمة الوحدات'!$A$2:$A$41,0)),"")</f>
        <v>TOP</v>
      </c>
      <c r="D38" s="18" t="str">
        <f aca="false">IFERROR(INDEX('قائمة الوحدات'!$C$2:$C$41,MATCH($B38,'قائمة الوحدات'!$A$2:$A$41,0)),"")</f>
        <v>المرتبطة بسمو الوزير</v>
      </c>
      <c r="E38" s="18" t="str">
        <f aca="false">IFERROR(INDEX('قائمة الوحدات'!$D$2:$D$41,MATCH($B38,'قائمة الوحدات'!$A$2:$A$41,0)),"")</f>
        <v>إدارة المتابعة والتقارير</v>
      </c>
      <c r="F38" s="18" t="str">
        <f aca="false">IFERROR(INDEX('قائمة الوحدات'!$F$2:$F$41,MATCH($B38,'قائمة الوحدات'!$A$2:$A$41,0)),"")</f>
        <v>إدارة المتابعة والتقارير</v>
      </c>
      <c r="G38" s="20" t="s">
        <v>44</v>
      </c>
      <c r="H38" s="18" t="str">
        <f aca="false">IFERROR(INDEX(المرجع!$A$2:$A$19,MATCH($G38,المرجع!$B$2:$B$19,0)),"")</f>
        <v>التصميم</v>
      </c>
      <c r="I38" s="20" t="s">
        <v>60</v>
      </c>
      <c r="J38" s="18" t="str">
        <f aca="false">IFERROR(INDEX(المرجع!$D$2:$D$19,MATCH($I38,المرجع!$E$2:$E$19,0)),"")</f>
        <v>الإجراءات</v>
      </c>
      <c r="K38" s="20" t="s">
        <v>88</v>
      </c>
      <c r="L38" s="21" t="str">
        <f aca="false">IFERROR(INDEX('نقاط التحقق'!$G$2:$G$31,MATCH($K38,'نقاط التحقق'!$A$2:$A$31,0))&amp;"","")</f>
        <v>تفصيل المخرجات إلى إجراءات عالية المستوى</v>
      </c>
      <c r="M38" s="17" t="n">
        <v>68</v>
      </c>
      <c r="N38" s="17" t="n">
        <v>85</v>
      </c>
      <c r="O38" s="19" t="str">
        <f aca="false">IF($M38="","غير مقيّمة",IF($M38&gt;المرجع!$K$3,"مستوفاة بشكل متقدم",IF($M38&lt;=المرجع!$K$2,"مستوفاة بشكل أولي","مستوفاة بشكل جزئي")))</f>
        <v>مستوفاة بشكل جزئي</v>
      </c>
      <c r="P38" s="22" t="s">
        <v>245</v>
      </c>
    </row>
    <row r="39" customFormat="false" ht="15" hidden="false" customHeight="true" outlineLevel="0" collapsed="false">
      <c r="A39" s="20" t="s">
        <v>282</v>
      </c>
      <c r="B39" s="20" t="s">
        <v>152</v>
      </c>
      <c r="C39" s="19" t="str">
        <f aca="false">IFERROR(INDEX('قائمة الوحدات'!$B$2:$B$41,MATCH($B39,'قائمة الوحدات'!$A$2:$A$41,0)),"")</f>
        <v>TOP</v>
      </c>
      <c r="D39" s="18" t="str">
        <f aca="false">IFERROR(INDEX('قائمة الوحدات'!$C$2:$C$41,MATCH($B39,'قائمة الوحدات'!$A$2:$A$41,0)),"")</f>
        <v>المرتبطة بسمو الوزير</v>
      </c>
      <c r="E39" s="18" t="str">
        <f aca="false">IFERROR(INDEX('قائمة الوحدات'!$D$2:$D$41,MATCH($B39,'قائمة الوحدات'!$A$2:$A$41,0)),"")</f>
        <v>إدارة المتابعة والتقارير</v>
      </c>
      <c r="F39" s="18" t="str">
        <f aca="false">IFERROR(INDEX('قائمة الوحدات'!$F$2:$F$41,MATCH($B39,'قائمة الوحدات'!$A$2:$A$41,0)),"")</f>
        <v>إدارة المتابعة والتقارير</v>
      </c>
      <c r="G39" s="20" t="s">
        <v>62</v>
      </c>
      <c r="H39" s="18" t="str">
        <f aca="false">IFERROR(INDEX(المرجع!$A$2:$A$19,MATCH($G39,المرجع!$B$2:$B$19,0)),"")</f>
        <v>البناء المؤسسي</v>
      </c>
      <c r="I39" s="20" t="s">
        <v>46</v>
      </c>
      <c r="J39" s="18" t="str">
        <f aca="false">IFERROR(INDEX(المرجع!$D$2:$D$19,MATCH($I39,المرجع!$E$2:$E$19,0)),"")</f>
        <v>الدور</v>
      </c>
      <c r="K39" s="20" t="s">
        <v>90</v>
      </c>
      <c r="L39" s="21" t="str">
        <f aca="false">IFERROR(INDEX('نقاط التحقق'!$G$2:$G$31,MATCH($K39,'نقاط التحقق'!$A$2:$A$31,0))&amp;"","")</f>
        <v>دور معتمد للوحدة التنظيمية</v>
      </c>
      <c r="M39" s="17" t="n">
        <v>86</v>
      </c>
      <c r="N39" s="17" t="n">
        <v>86</v>
      </c>
      <c r="O39" s="19" t="str">
        <f aca="false">IF($M39="","غير مقيّمة",IF($M39&gt;المرجع!$K$3,"مستوفاة بشكل متقدم",IF($M39&lt;=المرجع!$K$2,"مستوفاة بشكل أولي","مستوفاة بشكل جزئي")))</f>
        <v>مستوفاة بشكل متقدم</v>
      </c>
      <c r="P39" s="22" t="s">
        <v>245</v>
      </c>
    </row>
    <row r="40" customFormat="false" ht="15" hidden="false" customHeight="true" outlineLevel="0" collapsed="false">
      <c r="A40" s="20" t="s">
        <v>283</v>
      </c>
      <c r="B40" s="20" t="s">
        <v>152</v>
      </c>
      <c r="C40" s="19" t="str">
        <f aca="false">IFERROR(INDEX('قائمة الوحدات'!$B$2:$B$41,MATCH($B40,'قائمة الوحدات'!$A$2:$A$41,0)),"")</f>
        <v>TOP</v>
      </c>
      <c r="D40" s="18" t="str">
        <f aca="false">IFERROR(INDEX('قائمة الوحدات'!$C$2:$C$41,MATCH($B40,'قائمة الوحدات'!$A$2:$A$41,0)),"")</f>
        <v>المرتبطة بسمو الوزير</v>
      </c>
      <c r="E40" s="18" t="str">
        <f aca="false">IFERROR(INDEX('قائمة الوحدات'!$D$2:$D$41,MATCH($B40,'قائمة الوحدات'!$A$2:$A$41,0)),"")</f>
        <v>إدارة المتابعة والتقارير</v>
      </c>
      <c r="F40" s="18" t="str">
        <f aca="false">IFERROR(INDEX('قائمة الوحدات'!$F$2:$F$41,MATCH($B40,'قائمة الوحدات'!$A$2:$A$41,0)),"")</f>
        <v>إدارة المتابعة والتقارير</v>
      </c>
      <c r="G40" s="20" t="s">
        <v>62</v>
      </c>
      <c r="H40" s="18" t="str">
        <f aca="false">IFERROR(INDEX(المرجع!$A$2:$A$19,MATCH($G40,المرجع!$B$2:$B$19,0)),"")</f>
        <v>البناء المؤسسي</v>
      </c>
      <c r="I40" s="20" t="s">
        <v>49</v>
      </c>
      <c r="J40" s="18" t="str">
        <f aca="false">IFERROR(INDEX(المرجع!$D$2:$D$19,MATCH($I40,المرجع!$E$2:$E$19,0)),"")</f>
        <v>الأهداف ومؤشرات الأداء</v>
      </c>
      <c r="K40" s="20" t="s">
        <v>92</v>
      </c>
      <c r="L40" s="21" t="str">
        <f aca="false">IFERROR(INDEX('نقاط التحقق'!$G$2:$G$31,MATCH($K40,'نقاط التحقق'!$A$2:$A$31,0))&amp;"","")</f>
        <v>أهداف تشغيلية معتمدة من صاحب الصلاحية</v>
      </c>
      <c r="M40" s="17" t="n">
        <v>45</v>
      </c>
      <c r="N40" s="17" t="n">
        <v>100</v>
      </c>
      <c r="O40" s="19" t="str">
        <f aca="false">IF($M40="","غير مقيّمة",IF($M40&gt;المرجع!$K$3,"مستوفاة بشكل متقدم",IF($M40&lt;=المرجع!$K$2,"مستوفاة بشكل أولي","مستوفاة بشكل جزئي")))</f>
        <v>مستوفاة بشكل جزئي</v>
      </c>
      <c r="P40" s="22" t="s">
        <v>245</v>
      </c>
    </row>
    <row r="41" customFormat="false" ht="15" hidden="false" customHeight="true" outlineLevel="0" collapsed="false">
      <c r="A41" s="20" t="s">
        <v>284</v>
      </c>
      <c r="B41" s="20" t="s">
        <v>152</v>
      </c>
      <c r="C41" s="19" t="str">
        <f aca="false">IFERROR(INDEX('قائمة الوحدات'!$B$2:$B$41,MATCH($B41,'قائمة الوحدات'!$A$2:$A$41,0)),"")</f>
        <v>TOP</v>
      </c>
      <c r="D41" s="18" t="str">
        <f aca="false">IFERROR(INDEX('قائمة الوحدات'!$C$2:$C$41,MATCH($B41,'قائمة الوحدات'!$A$2:$A$41,0)),"")</f>
        <v>المرتبطة بسمو الوزير</v>
      </c>
      <c r="E41" s="18" t="str">
        <f aca="false">IFERROR(INDEX('قائمة الوحدات'!$D$2:$D$41,MATCH($B41,'قائمة الوحدات'!$A$2:$A$41,0)),"")</f>
        <v>إدارة المتابعة والتقارير</v>
      </c>
      <c r="F41" s="18" t="str">
        <f aca="false">IFERROR(INDEX('قائمة الوحدات'!$F$2:$F$41,MATCH($B41,'قائمة الوحدات'!$A$2:$A$41,0)),"")</f>
        <v>إدارة المتابعة والتقارير</v>
      </c>
      <c r="G41" s="20" t="s">
        <v>62</v>
      </c>
      <c r="H41" s="18" t="str">
        <f aca="false">IFERROR(INDEX(المرجع!$A$2:$A$19,MATCH($G41,المرجع!$B$2:$B$19,0)),"")</f>
        <v>البناء المؤسسي</v>
      </c>
      <c r="I41" s="20" t="s">
        <v>49</v>
      </c>
      <c r="J41" s="18" t="str">
        <f aca="false">IFERROR(INDEX(المرجع!$D$2:$D$19,MATCH($I41,المرجع!$E$2:$E$19,0)),"")</f>
        <v>الأهداف ومؤشرات الأداء</v>
      </c>
      <c r="K41" s="20" t="s">
        <v>94</v>
      </c>
      <c r="L41" s="21" t="str">
        <f aca="false">IFERROR(INDEX('نقاط التحقق'!$G$2:$G$31,MATCH($K41,'نقاط التحقق'!$A$2:$A$31,0))&amp;"","")</f>
        <v>نشر الأهداف التشغيلية على موظفي الوحدة التنظيمية</v>
      </c>
      <c r="M41" s="17" t="n">
        <v>50</v>
      </c>
      <c r="N41" s="17" t="n">
        <v>100</v>
      </c>
      <c r="O41" s="19" t="str">
        <f aca="false">IF($M41="","غير مقيّمة",IF($M41&gt;المرجع!$K$3,"مستوفاة بشكل متقدم",IF($M41&lt;=المرجع!$K$2,"مستوفاة بشكل أولي","مستوفاة بشكل جزئي")))</f>
        <v>مستوفاة بشكل جزئي</v>
      </c>
      <c r="P41" s="22" t="s">
        <v>245</v>
      </c>
    </row>
    <row r="42" customFormat="false" ht="15" hidden="false" customHeight="true" outlineLevel="0" collapsed="false">
      <c r="A42" s="20" t="s">
        <v>285</v>
      </c>
      <c r="B42" s="20" t="s">
        <v>152</v>
      </c>
      <c r="C42" s="19" t="str">
        <f aca="false">IFERROR(INDEX('قائمة الوحدات'!$B$2:$B$41,MATCH($B42,'قائمة الوحدات'!$A$2:$A$41,0)),"")</f>
        <v>TOP</v>
      </c>
      <c r="D42" s="18" t="str">
        <f aca="false">IFERROR(INDEX('قائمة الوحدات'!$C$2:$C$41,MATCH($B42,'قائمة الوحدات'!$A$2:$A$41,0)),"")</f>
        <v>المرتبطة بسمو الوزير</v>
      </c>
      <c r="E42" s="18" t="str">
        <f aca="false">IFERROR(INDEX('قائمة الوحدات'!$D$2:$D$41,MATCH($B42,'قائمة الوحدات'!$A$2:$A$41,0)),"")</f>
        <v>إدارة المتابعة والتقارير</v>
      </c>
      <c r="F42" s="18" t="str">
        <f aca="false">IFERROR(INDEX('قائمة الوحدات'!$F$2:$F$41,MATCH($B42,'قائمة الوحدات'!$A$2:$A$41,0)),"")</f>
        <v>إدارة المتابعة والتقارير</v>
      </c>
      <c r="G42" s="20" t="s">
        <v>62</v>
      </c>
      <c r="H42" s="18" t="str">
        <f aca="false">IFERROR(INDEX(المرجع!$A$2:$A$19,MATCH($G42,المرجع!$B$2:$B$19,0)),"")</f>
        <v>البناء المؤسسي</v>
      </c>
      <c r="I42" s="20" t="s">
        <v>52</v>
      </c>
      <c r="J42" s="18" t="str">
        <f aca="false">IFERROR(INDEX(المرجع!$D$2:$D$19,MATCH($I42,المرجع!$E$2:$E$19,0)),"")</f>
        <v>الحوكمة</v>
      </c>
      <c r="K42" s="20" t="s">
        <v>96</v>
      </c>
      <c r="L42" s="21" t="str">
        <f aca="false">IFERROR(INDEX('نقاط التحقق'!$G$2:$G$31,MATCH($K42,'نقاط التحقق'!$A$2:$A$31,0))&amp;"","")</f>
        <v>مصفوفة صلاحيات معتمدة ومعممة على أصحاب المصلحة</v>
      </c>
      <c r="M42" s="17" t="n">
        <v>60</v>
      </c>
      <c r="N42" s="17" t="n">
        <v>85</v>
      </c>
      <c r="O42" s="19" t="str">
        <f aca="false">IF($M42="","غير مقيّمة",IF($M42&gt;المرجع!$K$3,"مستوفاة بشكل متقدم",IF($M42&lt;=المرجع!$K$2,"مستوفاة بشكل أولي","مستوفاة بشكل جزئي")))</f>
        <v>مستوفاة بشكل جزئي</v>
      </c>
      <c r="P42" s="22" t="s">
        <v>245</v>
      </c>
    </row>
    <row r="43" customFormat="false" ht="15" hidden="false" customHeight="true" outlineLevel="0" collapsed="false">
      <c r="A43" s="20" t="s">
        <v>286</v>
      </c>
      <c r="B43" s="20" t="s">
        <v>152</v>
      </c>
      <c r="C43" s="19" t="str">
        <f aca="false">IFERROR(INDEX('قائمة الوحدات'!$B$2:$B$41,MATCH($B43,'قائمة الوحدات'!$A$2:$A$41,0)),"")</f>
        <v>TOP</v>
      </c>
      <c r="D43" s="18" t="str">
        <f aca="false">IFERROR(INDEX('قائمة الوحدات'!$C$2:$C$41,MATCH($B43,'قائمة الوحدات'!$A$2:$A$41,0)),"")</f>
        <v>المرتبطة بسمو الوزير</v>
      </c>
      <c r="E43" s="18" t="str">
        <f aca="false">IFERROR(INDEX('قائمة الوحدات'!$D$2:$D$41,MATCH($B43,'قائمة الوحدات'!$A$2:$A$41,0)),"")</f>
        <v>إدارة المتابعة والتقارير</v>
      </c>
      <c r="F43" s="18" t="str">
        <f aca="false">IFERROR(INDEX('قائمة الوحدات'!$F$2:$F$41,MATCH($B43,'قائمة الوحدات'!$A$2:$A$41,0)),"")</f>
        <v>إدارة المتابعة والتقارير</v>
      </c>
      <c r="G43" s="20" t="s">
        <v>62</v>
      </c>
      <c r="H43" s="18" t="str">
        <f aca="false">IFERROR(INDEX(المرجع!$A$2:$A$19,MATCH($G43,المرجع!$B$2:$B$19,0)),"")</f>
        <v>البناء المؤسسي</v>
      </c>
      <c r="I43" s="20" t="s">
        <v>52</v>
      </c>
      <c r="J43" s="18" t="str">
        <f aca="false">IFERROR(INDEX(المرجع!$D$2:$D$19,MATCH($I43,المرجع!$E$2:$E$19,0)),"")</f>
        <v>الحوكمة</v>
      </c>
      <c r="K43" s="20" t="s">
        <v>98</v>
      </c>
      <c r="L43" s="21" t="str">
        <f aca="false">IFERROR(INDEX('نقاط التحقق'!$G$2:$G$31,MATCH($K43,'نقاط التحقق'!$A$2:$A$31,0))&amp;"","")</f>
        <v>سياسات معتمدة للتي تملكها الوحدة التنظيمية</v>
      </c>
      <c r="M43" s="17" t="n">
        <v>75</v>
      </c>
      <c r="N43" s="17" t="n">
        <v>90</v>
      </c>
      <c r="O43" s="19" t="str">
        <f aca="false">IF($M43="","غير مقيّمة",IF($M43&gt;المرجع!$K$3,"مستوفاة بشكل متقدم",IF($M43&lt;=المرجع!$K$2,"مستوفاة بشكل أولي","مستوفاة بشكل جزئي")))</f>
        <v>مستوفاة بشكل متقدم</v>
      </c>
      <c r="P43" s="22" t="s">
        <v>245</v>
      </c>
    </row>
    <row r="44" customFormat="false" ht="15" hidden="false" customHeight="true" outlineLevel="0" collapsed="false">
      <c r="A44" s="20" t="s">
        <v>287</v>
      </c>
      <c r="B44" s="20" t="s">
        <v>152</v>
      </c>
      <c r="C44" s="19" t="str">
        <f aca="false">IFERROR(INDEX('قائمة الوحدات'!$B$2:$B$41,MATCH($B44,'قائمة الوحدات'!$A$2:$A$41,0)),"")</f>
        <v>TOP</v>
      </c>
      <c r="D44" s="18" t="str">
        <f aca="false">IFERROR(INDEX('قائمة الوحدات'!$C$2:$C$41,MATCH($B44,'قائمة الوحدات'!$A$2:$A$41,0)),"")</f>
        <v>المرتبطة بسمو الوزير</v>
      </c>
      <c r="E44" s="18" t="str">
        <f aca="false">IFERROR(INDEX('قائمة الوحدات'!$D$2:$D$41,MATCH($B44,'قائمة الوحدات'!$A$2:$A$41,0)),"")</f>
        <v>إدارة المتابعة والتقارير</v>
      </c>
      <c r="F44" s="18" t="str">
        <f aca="false">IFERROR(INDEX('قائمة الوحدات'!$F$2:$F$41,MATCH($B44,'قائمة الوحدات'!$A$2:$A$41,0)),"")</f>
        <v>إدارة المتابعة والتقارير</v>
      </c>
      <c r="G44" s="20" t="s">
        <v>62</v>
      </c>
      <c r="H44" s="18" t="str">
        <f aca="false">IFERROR(INDEX(المرجع!$A$2:$A$19,MATCH($G44,المرجع!$B$2:$B$19,0)),"")</f>
        <v>البناء المؤسسي</v>
      </c>
      <c r="I44" s="20" t="s">
        <v>52</v>
      </c>
      <c r="J44" s="18" t="str">
        <f aca="false">IFERROR(INDEX(المرجع!$D$2:$D$19,MATCH($I44,المرجع!$E$2:$E$19,0)),"")</f>
        <v>الحوكمة</v>
      </c>
      <c r="K44" s="20" t="s">
        <v>100</v>
      </c>
      <c r="L44" s="21" t="str">
        <f aca="false">IFERROR(INDEX('نقاط التحقق'!$G$2:$G$31,MATCH($K44,'نقاط التحقق'!$A$2:$A$31,0))&amp;"","")</f>
        <v>قرار تشكيل معتمد للجان ذات العلاقة</v>
      </c>
      <c r="M44" s="17" t="n">
        <v>60</v>
      </c>
      <c r="N44" s="17" t="n">
        <v>95</v>
      </c>
      <c r="O44" s="19" t="str">
        <f aca="false">IF($M44="","غير مقيّمة",IF($M44&gt;المرجع!$K$3,"مستوفاة بشكل متقدم",IF($M44&lt;=المرجع!$K$2,"مستوفاة بشكل أولي","مستوفاة بشكل جزئي")))</f>
        <v>مستوفاة بشكل جزئي</v>
      </c>
      <c r="P44" s="22" t="s">
        <v>245</v>
      </c>
    </row>
    <row r="45" customFormat="false" ht="15" hidden="false" customHeight="true" outlineLevel="0" collapsed="false">
      <c r="A45" s="20" t="s">
        <v>288</v>
      </c>
      <c r="B45" s="20" t="s">
        <v>152</v>
      </c>
      <c r="C45" s="19" t="str">
        <f aca="false">IFERROR(INDEX('قائمة الوحدات'!$B$2:$B$41,MATCH($B45,'قائمة الوحدات'!$A$2:$A$41,0)),"")</f>
        <v>TOP</v>
      </c>
      <c r="D45" s="18" t="str">
        <f aca="false">IFERROR(INDEX('قائمة الوحدات'!$C$2:$C$41,MATCH($B45,'قائمة الوحدات'!$A$2:$A$41,0)),"")</f>
        <v>المرتبطة بسمو الوزير</v>
      </c>
      <c r="E45" s="18" t="str">
        <f aca="false">IFERROR(INDEX('قائمة الوحدات'!$D$2:$D$41,MATCH($B45,'قائمة الوحدات'!$A$2:$A$41,0)),"")</f>
        <v>إدارة المتابعة والتقارير</v>
      </c>
      <c r="F45" s="18" t="str">
        <f aca="false">IFERROR(INDEX('قائمة الوحدات'!$F$2:$F$41,MATCH($B45,'قائمة الوحدات'!$A$2:$A$41,0)),"")</f>
        <v>إدارة المتابعة والتقارير</v>
      </c>
      <c r="G45" s="20" t="s">
        <v>62</v>
      </c>
      <c r="H45" s="18" t="str">
        <f aca="false">IFERROR(INDEX(المرجع!$A$2:$A$19,MATCH($G45,المرجع!$B$2:$B$19,0)),"")</f>
        <v>البناء المؤسسي</v>
      </c>
      <c r="I45" s="20" t="s">
        <v>55</v>
      </c>
      <c r="J45" s="18" t="str">
        <f aca="false">IFERROR(INDEX(المرجع!$D$2:$D$19,MATCH($I45,المرجع!$E$2:$E$19,0)),"")</f>
        <v>التنظيم</v>
      </c>
      <c r="K45" s="20" t="s">
        <v>102</v>
      </c>
      <c r="L45" s="21" t="str">
        <f aca="false">IFERROR(INDEX('نقاط التحقق'!$G$2:$G$31,MATCH($K45,'نقاط التحقق'!$A$2:$A$31,0))&amp;"","")</f>
        <v>هيكل تنظيمي معتمد من صاحب الصلاحية</v>
      </c>
      <c r="M45" s="17" t="n">
        <v>55</v>
      </c>
      <c r="N45" s="17" t="n">
        <v>85</v>
      </c>
      <c r="O45" s="19" t="str">
        <f aca="false">IF($M45="","غير مقيّمة",IF($M45&gt;المرجع!$K$3,"مستوفاة بشكل متقدم",IF($M45&lt;=المرجع!$K$2,"مستوفاة بشكل أولي","مستوفاة بشكل جزئي")))</f>
        <v>مستوفاة بشكل جزئي</v>
      </c>
      <c r="P45" s="22" t="s">
        <v>245</v>
      </c>
    </row>
    <row r="46" customFormat="false" ht="15" hidden="false" customHeight="true" outlineLevel="0" collapsed="false">
      <c r="A46" s="20" t="s">
        <v>289</v>
      </c>
      <c r="B46" s="20" t="s">
        <v>152</v>
      </c>
      <c r="C46" s="19" t="str">
        <f aca="false">IFERROR(INDEX('قائمة الوحدات'!$B$2:$B$41,MATCH($B46,'قائمة الوحدات'!$A$2:$A$41,0)),"")</f>
        <v>TOP</v>
      </c>
      <c r="D46" s="18" t="str">
        <f aca="false">IFERROR(INDEX('قائمة الوحدات'!$C$2:$C$41,MATCH($B46,'قائمة الوحدات'!$A$2:$A$41,0)),"")</f>
        <v>المرتبطة بسمو الوزير</v>
      </c>
      <c r="E46" s="18" t="str">
        <f aca="false">IFERROR(INDEX('قائمة الوحدات'!$D$2:$D$41,MATCH($B46,'قائمة الوحدات'!$A$2:$A$41,0)),"")</f>
        <v>إدارة المتابعة والتقارير</v>
      </c>
      <c r="F46" s="18" t="str">
        <f aca="false">IFERROR(INDEX('قائمة الوحدات'!$F$2:$F$41,MATCH($B46,'قائمة الوحدات'!$A$2:$A$41,0)),"")</f>
        <v>إدارة المتابعة والتقارير</v>
      </c>
      <c r="G46" s="20" t="s">
        <v>62</v>
      </c>
      <c r="H46" s="18" t="str">
        <f aca="false">IFERROR(INDEX(المرجع!$A$2:$A$19,MATCH($G46,المرجع!$B$2:$B$19,0)),"")</f>
        <v>البناء المؤسسي</v>
      </c>
      <c r="I46" s="20" t="s">
        <v>55</v>
      </c>
      <c r="J46" s="18" t="str">
        <f aca="false">IFERROR(INDEX(المرجع!$D$2:$D$19,MATCH($I46,المرجع!$E$2:$E$19,0)),"")</f>
        <v>التنظيم</v>
      </c>
      <c r="K46" s="20" t="s">
        <v>104</v>
      </c>
      <c r="L46" s="21" t="str">
        <f aca="false">IFERROR(INDEX('نقاط التحقق'!$G$2:$G$31,MATCH($K46,'نقاط التحقق'!$A$2:$A$31,0))&amp;"","")</f>
        <v>هيكل تنظيمي منشأ على نظام القوى العاملة</v>
      </c>
      <c r="M46" s="17" t="n">
        <v>50</v>
      </c>
      <c r="N46" s="17" t="n">
        <v>100</v>
      </c>
      <c r="O46" s="19" t="str">
        <f aca="false">IF($M46="","غير مقيّمة",IF($M46&gt;المرجع!$K$3,"مستوفاة بشكل متقدم",IF($M46&lt;=المرجع!$K$2,"مستوفاة بشكل أولي","مستوفاة بشكل جزئي")))</f>
        <v>مستوفاة بشكل جزئي</v>
      </c>
      <c r="P46" s="22" t="s">
        <v>245</v>
      </c>
    </row>
    <row r="47" customFormat="false" ht="15" hidden="false" customHeight="true" outlineLevel="0" collapsed="false">
      <c r="A47" s="20" t="s">
        <v>290</v>
      </c>
      <c r="B47" s="20" t="s">
        <v>152</v>
      </c>
      <c r="C47" s="19" t="str">
        <f aca="false">IFERROR(INDEX('قائمة الوحدات'!$B$2:$B$41,MATCH($B47,'قائمة الوحدات'!$A$2:$A$41,0)),"")</f>
        <v>TOP</v>
      </c>
      <c r="D47" s="18" t="str">
        <f aca="false">IFERROR(INDEX('قائمة الوحدات'!$C$2:$C$41,MATCH($B47,'قائمة الوحدات'!$A$2:$A$41,0)),"")</f>
        <v>المرتبطة بسمو الوزير</v>
      </c>
      <c r="E47" s="18" t="str">
        <f aca="false">IFERROR(INDEX('قائمة الوحدات'!$D$2:$D$41,MATCH($B47,'قائمة الوحدات'!$A$2:$A$41,0)),"")</f>
        <v>إدارة المتابعة والتقارير</v>
      </c>
      <c r="F47" s="18" t="str">
        <f aca="false">IFERROR(INDEX('قائمة الوحدات'!$F$2:$F$41,MATCH($B47,'قائمة الوحدات'!$A$2:$A$41,0)),"")</f>
        <v>إدارة المتابعة والتقارير</v>
      </c>
      <c r="G47" s="20" t="s">
        <v>62</v>
      </c>
      <c r="H47" s="18" t="str">
        <f aca="false">IFERROR(INDEX(المرجع!$A$2:$A$19,MATCH($G47,المرجع!$B$2:$B$19,0)),"")</f>
        <v>البناء المؤسسي</v>
      </c>
      <c r="I47" s="20" t="s">
        <v>55</v>
      </c>
      <c r="J47" s="18" t="str">
        <f aca="false">IFERROR(INDEX(المرجع!$D$2:$D$19,MATCH($I47,المرجع!$E$2:$E$19,0)),"")</f>
        <v>التنظيم</v>
      </c>
      <c r="K47" s="20" t="s">
        <v>106</v>
      </c>
      <c r="L47" s="21" t="str">
        <f aca="false">IFERROR(INDEX('نقاط التحقق'!$G$2:$G$31,MATCH($K47,'نقاط التحقق'!$A$2:$A$31,0))&amp;"","")</f>
        <v>الموظفون المحددون مسكّنون على الهيكل التنظيمي المستهدف</v>
      </c>
      <c r="M47" s="17" t="n">
        <v>35</v>
      </c>
      <c r="N47" s="17" t="n">
        <v>80</v>
      </c>
      <c r="O47" s="19" t="str">
        <f aca="false">IF($M47="","غير مقيّمة",IF($M47&gt;المرجع!$K$3,"مستوفاة بشكل متقدم",IF($M47&lt;=المرجع!$K$2,"مستوفاة بشكل أولي","مستوفاة بشكل جزئي")))</f>
        <v>مستوفاة بشكل جزئي</v>
      </c>
      <c r="P47" s="22" t="s">
        <v>245</v>
      </c>
    </row>
    <row r="48" customFormat="false" ht="15" hidden="false" customHeight="true" outlineLevel="0" collapsed="false">
      <c r="A48" s="20" t="s">
        <v>291</v>
      </c>
      <c r="B48" s="20" t="s">
        <v>152</v>
      </c>
      <c r="C48" s="19" t="str">
        <f aca="false">IFERROR(INDEX('قائمة الوحدات'!$B$2:$B$41,MATCH($B48,'قائمة الوحدات'!$A$2:$A$41,0)),"")</f>
        <v>TOP</v>
      </c>
      <c r="D48" s="18" t="str">
        <f aca="false">IFERROR(INDEX('قائمة الوحدات'!$C$2:$C$41,MATCH($B48,'قائمة الوحدات'!$A$2:$A$41,0)),"")</f>
        <v>المرتبطة بسمو الوزير</v>
      </c>
      <c r="E48" s="18" t="str">
        <f aca="false">IFERROR(INDEX('قائمة الوحدات'!$D$2:$D$41,MATCH($B48,'قائمة الوحدات'!$A$2:$A$41,0)),"")</f>
        <v>إدارة المتابعة والتقارير</v>
      </c>
      <c r="F48" s="18" t="str">
        <f aca="false">IFERROR(INDEX('قائمة الوحدات'!$F$2:$F$41,MATCH($B48,'قائمة الوحدات'!$A$2:$A$41,0)),"")</f>
        <v>إدارة المتابعة والتقارير</v>
      </c>
      <c r="G48" s="20" t="s">
        <v>62</v>
      </c>
      <c r="H48" s="18" t="str">
        <f aca="false">IFERROR(INDEX(المرجع!$A$2:$A$19,MATCH($G48,المرجع!$B$2:$B$19,0)),"")</f>
        <v>البناء المؤسسي</v>
      </c>
      <c r="I48" s="20" t="s">
        <v>57</v>
      </c>
      <c r="J48" s="18" t="str">
        <f aca="false">IFERROR(INDEX(المرجع!$D$2:$D$19,MATCH($I48,المرجع!$E$2:$E$19,0)),"")</f>
        <v>الموارد</v>
      </c>
      <c r="K48" s="20" t="s">
        <v>108</v>
      </c>
      <c r="L48" s="21" t="str">
        <f aca="false">IFERROR(INDEX('نقاط التحقق'!$G$2:$G$31,MATCH($K48,'نقاط التحقق'!$A$2:$A$31,0))&amp;"","")</f>
        <v>مدير الوحدة التنظيمية والموظفون الرئيسيون معينون/ملحقون</v>
      </c>
      <c r="M48" s="17" t="n">
        <v>90</v>
      </c>
      <c r="N48" s="17" t="n">
        <v>100</v>
      </c>
      <c r="O48" s="19" t="str">
        <f aca="false">IF($M48="","غير مقيّمة",IF($M48&gt;المرجع!$K$3,"مستوفاة بشكل متقدم",IF($M48&lt;=المرجع!$K$2,"مستوفاة بشكل أولي","مستوفاة بشكل جزئي")))</f>
        <v>مستوفاة بشكل متقدم</v>
      </c>
      <c r="P48" s="22" t="s">
        <v>245</v>
      </c>
    </row>
    <row r="49" customFormat="false" ht="15" hidden="false" customHeight="true" outlineLevel="0" collapsed="false">
      <c r="A49" s="20" t="s">
        <v>292</v>
      </c>
      <c r="B49" s="20" t="s">
        <v>152</v>
      </c>
      <c r="C49" s="19" t="str">
        <f aca="false">IFERROR(INDEX('قائمة الوحدات'!$B$2:$B$41,MATCH($B49,'قائمة الوحدات'!$A$2:$A$41,0)),"")</f>
        <v>TOP</v>
      </c>
      <c r="D49" s="18" t="str">
        <f aca="false">IFERROR(INDEX('قائمة الوحدات'!$C$2:$C$41,MATCH($B49,'قائمة الوحدات'!$A$2:$A$41,0)),"")</f>
        <v>المرتبطة بسمو الوزير</v>
      </c>
      <c r="E49" s="18" t="str">
        <f aca="false">IFERROR(INDEX('قائمة الوحدات'!$D$2:$D$41,MATCH($B49,'قائمة الوحدات'!$A$2:$A$41,0)),"")</f>
        <v>إدارة المتابعة والتقارير</v>
      </c>
      <c r="F49" s="18" t="str">
        <f aca="false">IFERROR(INDEX('قائمة الوحدات'!$F$2:$F$41,MATCH($B49,'قائمة الوحدات'!$A$2:$A$41,0)),"")</f>
        <v>إدارة المتابعة والتقارير</v>
      </c>
      <c r="G49" s="20" t="s">
        <v>62</v>
      </c>
      <c r="H49" s="18" t="str">
        <f aca="false">IFERROR(INDEX(المرجع!$A$2:$A$19,MATCH($G49,المرجع!$B$2:$B$19,0)),"")</f>
        <v>البناء المؤسسي</v>
      </c>
      <c r="I49" s="20" t="s">
        <v>57</v>
      </c>
      <c r="J49" s="18" t="str">
        <f aca="false">IFERROR(INDEX(المرجع!$D$2:$D$19,MATCH($I49,المرجع!$E$2:$E$19,0)),"")</f>
        <v>الموارد</v>
      </c>
      <c r="K49" s="20" t="s">
        <v>110</v>
      </c>
      <c r="L49" s="21" t="str">
        <f aca="false">IFERROR(INDEX('نقاط التحقق'!$G$2:$G$31,MATCH($K49,'نقاط التحقق'!$A$2:$A$31,0))&amp;"","")</f>
        <v>خطة توظيف وتدريب مستكملة</v>
      </c>
      <c r="M49" s="17" t="n">
        <v>90</v>
      </c>
      <c r="N49" s="17" t="n">
        <v>90</v>
      </c>
      <c r="O49" s="19" t="str">
        <f aca="false">IF($M49="","غير مقيّمة",IF($M49&gt;المرجع!$K$3,"مستوفاة بشكل متقدم",IF($M49&lt;=المرجع!$K$2,"مستوفاة بشكل أولي","مستوفاة بشكل جزئي")))</f>
        <v>مستوفاة بشكل متقدم</v>
      </c>
      <c r="P49" s="22" t="s">
        <v>245</v>
      </c>
    </row>
    <row r="50" customFormat="false" ht="15" hidden="false" customHeight="true" outlineLevel="0" collapsed="false">
      <c r="A50" s="20" t="s">
        <v>293</v>
      </c>
      <c r="B50" s="20" t="s">
        <v>152</v>
      </c>
      <c r="C50" s="19" t="str">
        <f aca="false">IFERROR(INDEX('قائمة الوحدات'!$B$2:$B$41,MATCH($B50,'قائمة الوحدات'!$A$2:$A$41,0)),"")</f>
        <v>TOP</v>
      </c>
      <c r="D50" s="18" t="str">
        <f aca="false">IFERROR(INDEX('قائمة الوحدات'!$C$2:$C$41,MATCH($B50,'قائمة الوحدات'!$A$2:$A$41,0)),"")</f>
        <v>المرتبطة بسمو الوزير</v>
      </c>
      <c r="E50" s="18" t="str">
        <f aca="false">IFERROR(INDEX('قائمة الوحدات'!$D$2:$D$41,MATCH($B50,'قائمة الوحدات'!$A$2:$A$41,0)),"")</f>
        <v>إدارة المتابعة والتقارير</v>
      </c>
      <c r="F50" s="18" t="str">
        <f aca="false">IFERROR(INDEX('قائمة الوحدات'!$F$2:$F$41,MATCH($B50,'قائمة الوحدات'!$A$2:$A$41,0)),"")</f>
        <v>إدارة المتابعة والتقارير</v>
      </c>
      <c r="G50" s="20" t="s">
        <v>62</v>
      </c>
      <c r="H50" s="18" t="str">
        <f aca="false">IFERROR(INDEX(المرجع!$A$2:$A$19,MATCH($G50,المرجع!$B$2:$B$19,0)),"")</f>
        <v>البناء المؤسسي</v>
      </c>
      <c r="I50" s="20" t="s">
        <v>57</v>
      </c>
      <c r="J50" s="18" t="str">
        <f aca="false">IFERROR(INDEX(المرجع!$D$2:$D$19,MATCH($I50,المرجع!$E$2:$E$19,0)),"")</f>
        <v>الموارد</v>
      </c>
      <c r="K50" s="20" t="s">
        <v>112</v>
      </c>
      <c r="L50" s="21" t="str">
        <f aca="false">IFERROR(INDEX('نقاط التحقق'!$G$2:$G$31,MATCH($K50,'نقاط التحقق'!$A$2:$A$31,0))&amp;"","")</f>
        <v>وجود مساحات مكتبية كافية</v>
      </c>
      <c r="M50" s="17" t="n">
        <v>75</v>
      </c>
      <c r="N50" s="17" t="n">
        <v>100</v>
      </c>
      <c r="O50" s="19" t="str">
        <f aca="false">IF($M50="","غير مقيّمة",IF($M50&gt;المرجع!$K$3,"مستوفاة بشكل متقدم",IF($M50&lt;=المرجع!$K$2,"مستوفاة بشكل أولي","مستوفاة بشكل جزئي")))</f>
        <v>مستوفاة بشكل متقدم</v>
      </c>
      <c r="P50" s="22" t="s">
        <v>245</v>
      </c>
    </row>
    <row r="51" customFormat="false" ht="15" hidden="false" customHeight="true" outlineLevel="0" collapsed="false">
      <c r="A51" s="20" t="s">
        <v>294</v>
      </c>
      <c r="B51" s="20" t="s">
        <v>152</v>
      </c>
      <c r="C51" s="19" t="str">
        <f aca="false">IFERROR(INDEX('قائمة الوحدات'!$B$2:$B$41,MATCH($B51,'قائمة الوحدات'!$A$2:$A$41,0)),"")</f>
        <v>TOP</v>
      </c>
      <c r="D51" s="18" t="str">
        <f aca="false">IFERROR(INDEX('قائمة الوحدات'!$C$2:$C$41,MATCH($B51,'قائمة الوحدات'!$A$2:$A$41,0)),"")</f>
        <v>المرتبطة بسمو الوزير</v>
      </c>
      <c r="E51" s="18" t="str">
        <f aca="false">IFERROR(INDEX('قائمة الوحدات'!$D$2:$D$41,MATCH($B51,'قائمة الوحدات'!$A$2:$A$41,0)),"")</f>
        <v>إدارة المتابعة والتقارير</v>
      </c>
      <c r="F51" s="18" t="str">
        <f aca="false">IFERROR(INDEX('قائمة الوحدات'!$F$2:$F$41,MATCH($B51,'قائمة الوحدات'!$A$2:$A$41,0)),"")</f>
        <v>إدارة المتابعة والتقارير</v>
      </c>
      <c r="G51" s="20" t="s">
        <v>62</v>
      </c>
      <c r="H51" s="18" t="str">
        <f aca="false">IFERROR(INDEX(المرجع!$A$2:$A$19,MATCH($G51,المرجع!$B$2:$B$19,0)),"")</f>
        <v>البناء المؤسسي</v>
      </c>
      <c r="I51" s="20" t="s">
        <v>57</v>
      </c>
      <c r="J51" s="18" t="str">
        <f aca="false">IFERROR(INDEX(المرجع!$D$2:$D$19,MATCH($I51,المرجع!$E$2:$E$19,0)),"")</f>
        <v>الموارد</v>
      </c>
      <c r="K51" s="20" t="s">
        <v>114</v>
      </c>
      <c r="L51" s="21" t="str">
        <f aca="false">IFERROR(INDEX('نقاط التحقق'!$G$2:$G$31,MATCH($K51,'نقاط التحقق'!$A$2:$A$31,0))&amp;"","")</f>
        <v>وجود الاحتياجات التقنية الأساسية</v>
      </c>
      <c r="M51" s="17" t="n">
        <v>70</v>
      </c>
      <c r="N51" s="17" t="n">
        <v>100</v>
      </c>
      <c r="O51" s="19" t="str">
        <f aca="false">IF($M51="","غير مقيّمة",IF($M51&gt;المرجع!$K$3,"مستوفاة بشكل متقدم",IF($M51&lt;=المرجع!$K$2,"مستوفاة بشكل أولي","مستوفاة بشكل جزئي")))</f>
        <v>مستوفاة بشكل جزئي</v>
      </c>
      <c r="P51" s="22" t="s">
        <v>245</v>
      </c>
    </row>
    <row r="52" customFormat="false" ht="15" hidden="false" customHeight="true" outlineLevel="0" collapsed="false">
      <c r="A52" s="20" t="s">
        <v>295</v>
      </c>
      <c r="B52" s="20" t="s">
        <v>152</v>
      </c>
      <c r="C52" s="19" t="str">
        <f aca="false">IFERROR(INDEX('قائمة الوحدات'!$B$2:$B$41,MATCH($B52,'قائمة الوحدات'!$A$2:$A$41,0)),"")</f>
        <v>TOP</v>
      </c>
      <c r="D52" s="18" t="str">
        <f aca="false">IFERROR(INDEX('قائمة الوحدات'!$C$2:$C$41,MATCH($B52,'قائمة الوحدات'!$A$2:$A$41,0)),"")</f>
        <v>المرتبطة بسمو الوزير</v>
      </c>
      <c r="E52" s="18" t="str">
        <f aca="false">IFERROR(INDEX('قائمة الوحدات'!$D$2:$D$41,MATCH($B52,'قائمة الوحدات'!$A$2:$A$41,0)),"")</f>
        <v>إدارة المتابعة والتقارير</v>
      </c>
      <c r="F52" s="18" t="str">
        <f aca="false">IFERROR(INDEX('قائمة الوحدات'!$F$2:$F$41,MATCH($B52,'قائمة الوحدات'!$A$2:$A$41,0)),"")</f>
        <v>إدارة المتابعة والتقارير</v>
      </c>
      <c r="G52" s="20" t="s">
        <v>62</v>
      </c>
      <c r="H52" s="18" t="str">
        <f aca="false">IFERROR(INDEX(المرجع!$A$2:$A$19,MATCH($G52,المرجع!$B$2:$B$19,0)),"")</f>
        <v>البناء المؤسسي</v>
      </c>
      <c r="I52" s="20" t="s">
        <v>60</v>
      </c>
      <c r="J52" s="18" t="str">
        <f aca="false">IFERROR(INDEX(المرجع!$D$2:$D$19,MATCH($I52,المرجع!$E$2:$E$19,0)),"")</f>
        <v>الإجراءات</v>
      </c>
      <c r="K52" s="20" t="s">
        <v>116</v>
      </c>
      <c r="L52" s="21" t="str">
        <f aca="false">IFERROR(INDEX('نقاط التحقق'!$G$2:$G$31,MATCH($K52,'نقاط التحقق'!$A$2:$A$31,0))&amp;"","")</f>
        <v>إجراءات معتمدة للوحدة التنظيمية</v>
      </c>
      <c r="M52" s="17" t="n">
        <v>48</v>
      </c>
      <c r="N52" s="17" t="n">
        <v>100</v>
      </c>
      <c r="O52" s="19" t="str">
        <f aca="false">IF($M52="","غير مقيّمة",IF($M52&gt;المرجع!$K$3,"مستوفاة بشكل متقدم",IF($M52&lt;=المرجع!$K$2,"مستوفاة بشكل أولي","مستوفاة بشكل جزئي")))</f>
        <v>مستوفاة بشكل جزئي</v>
      </c>
      <c r="P52" s="22" t="s">
        <v>245</v>
      </c>
    </row>
    <row r="53" customFormat="false" ht="15" hidden="false" customHeight="true" outlineLevel="0" collapsed="false">
      <c r="A53" s="20" t="s">
        <v>296</v>
      </c>
      <c r="B53" s="20" t="s">
        <v>152</v>
      </c>
      <c r="C53" s="19" t="str">
        <f aca="false">IFERROR(INDEX('قائمة الوحدات'!$B$2:$B$41,MATCH($B53,'قائمة الوحدات'!$A$2:$A$41,0)),"")</f>
        <v>TOP</v>
      </c>
      <c r="D53" s="18" t="str">
        <f aca="false">IFERROR(INDEX('قائمة الوحدات'!$C$2:$C$41,MATCH($B53,'قائمة الوحدات'!$A$2:$A$41,0)),"")</f>
        <v>المرتبطة بسمو الوزير</v>
      </c>
      <c r="E53" s="18" t="str">
        <f aca="false">IFERROR(INDEX('قائمة الوحدات'!$D$2:$D$41,MATCH($B53,'قائمة الوحدات'!$A$2:$A$41,0)),"")</f>
        <v>إدارة المتابعة والتقارير</v>
      </c>
      <c r="F53" s="18" t="str">
        <f aca="false">IFERROR(INDEX('قائمة الوحدات'!$F$2:$F$41,MATCH($B53,'قائمة الوحدات'!$A$2:$A$41,0)),"")</f>
        <v>إدارة المتابعة والتقارير</v>
      </c>
      <c r="G53" s="20" t="s">
        <v>62</v>
      </c>
      <c r="H53" s="18" t="str">
        <f aca="false">IFERROR(INDEX(المرجع!$A$2:$A$19,MATCH($G53,المرجع!$B$2:$B$19,0)),"")</f>
        <v>البناء المؤسسي</v>
      </c>
      <c r="I53" s="20" t="s">
        <v>69</v>
      </c>
      <c r="J53" s="18" t="str">
        <f aca="false">IFERROR(INDEX(المرجع!$D$2:$D$19,MATCH($I53,المرجع!$E$2:$E$19,0)),"")</f>
        <v>إنتاج المخرج الأول</v>
      </c>
      <c r="K53" s="20" t="s">
        <v>118</v>
      </c>
      <c r="L53" s="21" t="str">
        <f aca="false">IFERROR(INDEX('نقاط التحقق'!$G$2:$G$31,MATCH($K53,'نقاط التحقق'!$A$2:$A$31,0))&amp;"","")</f>
        <v>إنتاج المخرج الأول من قبل الوحدة التنظيمية</v>
      </c>
      <c r="M53" s="17" t="n">
        <v>52</v>
      </c>
      <c r="N53" s="17" t="n">
        <v>85</v>
      </c>
      <c r="O53" s="19" t="str">
        <f aca="false">IF($M53="","غير مقيّمة",IF($M53&gt;المرجع!$K$3,"مستوفاة بشكل متقدم",IF($M53&lt;=المرجع!$K$2,"مستوفاة بشكل أولي","مستوفاة بشكل جزئي")))</f>
        <v>مستوفاة بشكل جزئي</v>
      </c>
      <c r="P53" s="22" t="s">
        <v>245</v>
      </c>
    </row>
    <row r="54" customFormat="false" ht="15" hidden="false" customHeight="true" outlineLevel="0" collapsed="false">
      <c r="A54" s="20" t="s">
        <v>297</v>
      </c>
      <c r="B54" s="20" t="s">
        <v>152</v>
      </c>
      <c r="C54" s="19" t="str">
        <f aca="false">IFERROR(INDEX('قائمة الوحدات'!$B$2:$B$41,MATCH($B54,'قائمة الوحدات'!$A$2:$A$41,0)),"")</f>
        <v>TOP</v>
      </c>
      <c r="D54" s="18" t="str">
        <f aca="false">IFERROR(INDEX('قائمة الوحدات'!$C$2:$C$41,MATCH($B54,'قائمة الوحدات'!$A$2:$A$41,0)),"")</f>
        <v>المرتبطة بسمو الوزير</v>
      </c>
      <c r="E54" s="18" t="str">
        <f aca="false">IFERROR(INDEX('قائمة الوحدات'!$D$2:$D$41,MATCH($B54,'قائمة الوحدات'!$A$2:$A$41,0)),"")</f>
        <v>إدارة المتابعة والتقارير</v>
      </c>
      <c r="F54" s="18" t="str">
        <f aca="false">IFERROR(INDEX('قائمة الوحدات'!$F$2:$F$41,MATCH($B54,'قائمة الوحدات'!$A$2:$A$41,0)),"")</f>
        <v>إدارة المتابعة والتقارير</v>
      </c>
      <c r="G54" s="20" t="s">
        <v>66</v>
      </c>
      <c r="H54" s="18" t="str">
        <f aca="false">IFERROR(INDEX(المرجع!$A$2:$A$19,MATCH($G54,المرجع!$B$2:$B$19,0)),"")</f>
        <v>التشغيل</v>
      </c>
      <c r="I54" s="20" t="s">
        <v>49</v>
      </c>
      <c r="J54" s="18" t="str">
        <f aca="false">IFERROR(INDEX(المرجع!$D$2:$D$19,MATCH($I54,المرجع!$E$2:$E$19,0)),"")</f>
        <v>الأهداف ومؤشرات الأداء</v>
      </c>
      <c r="K54" s="20" t="s">
        <v>120</v>
      </c>
      <c r="L54" s="21" t="str">
        <f aca="false">IFERROR(INDEX('نقاط التحقق'!$G$2:$G$31,MATCH($K54,'نقاط التحقق'!$A$2:$A$31,0))&amp;"","")</f>
        <v>تحرك مؤشرات الأداء التشغيلي للوحدة التنظيمية بشكل إيجابي</v>
      </c>
      <c r="M54" s="17" t="n">
        <v>55</v>
      </c>
      <c r="N54" s="17" t="n">
        <v>80</v>
      </c>
      <c r="O54" s="19" t="str">
        <f aca="false">IF($M54="","غير مقيّمة",IF($M54&gt;المرجع!$K$3,"مستوفاة بشكل متقدم",IF($M54&lt;=المرجع!$K$2,"مستوفاة بشكل أولي","مستوفاة بشكل جزئي")))</f>
        <v>مستوفاة بشكل جزئي</v>
      </c>
      <c r="P54" s="22" t="s">
        <v>245</v>
      </c>
    </row>
    <row r="55" customFormat="false" ht="15" hidden="false" customHeight="true" outlineLevel="0" collapsed="false">
      <c r="A55" s="20" t="s">
        <v>298</v>
      </c>
      <c r="B55" s="20" t="s">
        <v>152</v>
      </c>
      <c r="C55" s="19" t="str">
        <f aca="false">IFERROR(INDEX('قائمة الوحدات'!$B$2:$B$41,MATCH($B55,'قائمة الوحدات'!$A$2:$A$41,0)),"")</f>
        <v>TOP</v>
      </c>
      <c r="D55" s="18" t="str">
        <f aca="false">IFERROR(INDEX('قائمة الوحدات'!$C$2:$C$41,MATCH($B55,'قائمة الوحدات'!$A$2:$A$41,0)),"")</f>
        <v>المرتبطة بسمو الوزير</v>
      </c>
      <c r="E55" s="18" t="str">
        <f aca="false">IFERROR(INDEX('قائمة الوحدات'!$D$2:$D$41,MATCH($B55,'قائمة الوحدات'!$A$2:$A$41,0)),"")</f>
        <v>إدارة المتابعة والتقارير</v>
      </c>
      <c r="F55" s="18" t="str">
        <f aca="false">IFERROR(INDEX('قائمة الوحدات'!$F$2:$F$41,MATCH($B55,'قائمة الوحدات'!$A$2:$A$41,0)),"")</f>
        <v>إدارة المتابعة والتقارير</v>
      </c>
      <c r="G55" s="20" t="s">
        <v>66</v>
      </c>
      <c r="H55" s="18" t="str">
        <f aca="false">IFERROR(INDEX(المرجع!$A$2:$A$19,MATCH($G55,المرجع!$B$2:$B$19,0)),"")</f>
        <v>التشغيل</v>
      </c>
      <c r="I55" s="20" t="s">
        <v>49</v>
      </c>
      <c r="J55" s="18" t="str">
        <f aca="false">IFERROR(INDEX(المرجع!$D$2:$D$19,MATCH($I55,المرجع!$E$2:$E$19,0)),"")</f>
        <v>الأهداف ومؤشرات الأداء</v>
      </c>
      <c r="K55" s="20" t="s">
        <v>122</v>
      </c>
      <c r="L55" s="21" t="str">
        <f aca="false">IFERROR(INDEX('نقاط التحقق'!$G$2:$G$31,MATCH($K55,'نقاط التحقق'!$A$2:$A$31,0))&amp;"","")</f>
        <v>خطة سنوية معتمدة للوحدة التنظيمية</v>
      </c>
      <c r="M55" s="17" t="n">
        <v>45</v>
      </c>
      <c r="N55" s="17" t="n">
        <v>100</v>
      </c>
      <c r="O55" s="19" t="str">
        <f aca="false">IF($M55="","غير مقيّمة",IF($M55&gt;المرجع!$K$3,"مستوفاة بشكل متقدم",IF($M55&lt;=المرجع!$K$2,"مستوفاة بشكل أولي","مستوفاة بشكل جزئي")))</f>
        <v>مستوفاة بشكل جزئي</v>
      </c>
      <c r="P55" s="22" t="s">
        <v>245</v>
      </c>
    </row>
    <row r="56" customFormat="false" ht="15" hidden="false" customHeight="true" outlineLevel="0" collapsed="false">
      <c r="A56" s="20" t="s">
        <v>299</v>
      </c>
      <c r="B56" s="20" t="s">
        <v>152</v>
      </c>
      <c r="C56" s="19" t="str">
        <f aca="false">IFERROR(INDEX('قائمة الوحدات'!$B$2:$B$41,MATCH($B56,'قائمة الوحدات'!$A$2:$A$41,0)),"")</f>
        <v>TOP</v>
      </c>
      <c r="D56" s="18" t="str">
        <f aca="false">IFERROR(INDEX('قائمة الوحدات'!$C$2:$C$41,MATCH($B56,'قائمة الوحدات'!$A$2:$A$41,0)),"")</f>
        <v>المرتبطة بسمو الوزير</v>
      </c>
      <c r="E56" s="18" t="str">
        <f aca="false">IFERROR(INDEX('قائمة الوحدات'!$D$2:$D$41,MATCH($B56,'قائمة الوحدات'!$A$2:$A$41,0)),"")</f>
        <v>إدارة المتابعة والتقارير</v>
      </c>
      <c r="F56" s="18" t="str">
        <f aca="false">IFERROR(INDEX('قائمة الوحدات'!$F$2:$F$41,MATCH($B56,'قائمة الوحدات'!$A$2:$A$41,0)),"")</f>
        <v>إدارة المتابعة والتقارير</v>
      </c>
      <c r="G56" s="20" t="s">
        <v>66</v>
      </c>
      <c r="H56" s="18" t="str">
        <f aca="false">IFERROR(INDEX(المرجع!$A$2:$A$19,MATCH($G56,المرجع!$B$2:$B$19,0)),"")</f>
        <v>التشغيل</v>
      </c>
      <c r="I56" s="20" t="s">
        <v>52</v>
      </c>
      <c r="J56" s="18" t="str">
        <f aca="false">IFERROR(INDEX(المرجع!$D$2:$D$19,MATCH($I56,المرجع!$E$2:$E$19,0)),"")</f>
        <v>الحوكمة</v>
      </c>
      <c r="K56" s="20" t="s">
        <v>124</v>
      </c>
      <c r="L56" s="21" t="str">
        <f aca="false">IFERROR(INDEX('نقاط التحقق'!$G$2:$G$31,MATCH($K56,'نقاط التحقق'!$A$2:$A$31,0))&amp;"","")</f>
        <v>محاضر لجان موثقة</v>
      </c>
      <c r="M56" s="17" t="n">
        <v>30</v>
      </c>
      <c r="N56" s="17" t="n">
        <v>100</v>
      </c>
      <c r="O56" s="19" t="str">
        <f aca="false">IF($M56="","غير مقيّمة",IF($M56&gt;المرجع!$K$3,"مستوفاة بشكل متقدم",IF($M56&lt;=المرجع!$K$2,"مستوفاة بشكل أولي","مستوفاة بشكل جزئي")))</f>
        <v>مستوفاة بشكل أولي</v>
      </c>
      <c r="P56" s="22" t="s">
        <v>245</v>
      </c>
    </row>
    <row r="57" customFormat="false" ht="15" hidden="false" customHeight="true" outlineLevel="0" collapsed="false">
      <c r="A57" s="20" t="s">
        <v>300</v>
      </c>
      <c r="B57" s="20" t="s">
        <v>152</v>
      </c>
      <c r="C57" s="19" t="str">
        <f aca="false">IFERROR(INDEX('قائمة الوحدات'!$B$2:$B$41,MATCH($B57,'قائمة الوحدات'!$A$2:$A$41,0)),"")</f>
        <v>TOP</v>
      </c>
      <c r="D57" s="18" t="str">
        <f aca="false">IFERROR(INDEX('قائمة الوحدات'!$C$2:$C$41,MATCH($B57,'قائمة الوحدات'!$A$2:$A$41,0)),"")</f>
        <v>المرتبطة بسمو الوزير</v>
      </c>
      <c r="E57" s="18" t="str">
        <f aca="false">IFERROR(INDEX('قائمة الوحدات'!$D$2:$D$41,MATCH($B57,'قائمة الوحدات'!$A$2:$A$41,0)),"")</f>
        <v>إدارة المتابعة والتقارير</v>
      </c>
      <c r="F57" s="18" t="str">
        <f aca="false">IFERROR(INDEX('قائمة الوحدات'!$F$2:$F$41,MATCH($B57,'قائمة الوحدات'!$A$2:$A$41,0)),"")</f>
        <v>إدارة المتابعة والتقارير</v>
      </c>
      <c r="G57" s="20" t="s">
        <v>66</v>
      </c>
      <c r="H57" s="18" t="str">
        <f aca="false">IFERROR(INDEX(المرجع!$A$2:$A$19,MATCH($G57,المرجع!$B$2:$B$19,0)),"")</f>
        <v>التشغيل</v>
      </c>
      <c r="I57" s="20" t="s">
        <v>52</v>
      </c>
      <c r="J57" s="18" t="str">
        <f aca="false">IFERROR(INDEX(المرجع!$D$2:$D$19,MATCH($I57,المرجع!$E$2:$E$19,0)),"")</f>
        <v>الحوكمة</v>
      </c>
      <c r="K57" s="20" t="s">
        <v>126</v>
      </c>
      <c r="L57" s="21" t="str">
        <f aca="false">IFERROR(INDEX('نقاط التحقق'!$G$2:$G$31,MATCH($K57,'نقاط التحقق'!$A$2:$A$31,0))&amp;"","")</f>
        <v>نشر السياسات التي تملكها الوحدة التنظيمية</v>
      </c>
      <c r="M57" s="17" t="n">
        <v>15</v>
      </c>
      <c r="N57" s="17" t="n">
        <v>100</v>
      </c>
      <c r="O57" s="19" t="str">
        <f aca="false">IF($M57="","غير مقيّمة",IF($M57&gt;المرجع!$K$3,"مستوفاة بشكل متقدم",IF($M57&lt;=المرجع!$K$2,"مستوفاة بشكل أولي","مستوفاة بشكل جزئي")))</f>
        <v>مستوفاة بشكل أولي</v>
      </c>
      <c r="P57" s="22" t="s">
        <v>245</v>
      </c>
    </row>
    <row r="58" customFormat="false" ht="15" hidden="false" customHeight="true" outlineLevel="0" collapsed="false">
      <c r="A58" s="20" t="s">
        <v>301</v>
      </c>
      <c r="B58" s="20" t="s">
        <v>152</v>
      </c>
      <c r="C58" s="19" t="str">
        <f aca="false">IFERROR(INDEX('قائمة الوحدات'!$B$2:$B$41,MATCH($B58,'قائمة الوحدات'!$A$2:$A$41,0)),"")</f>
        <v>TOP</v>
      </c>
      <c r="D58" s="18" t="str">
        <f aca="false">IFERROR(INDEX('قائمة الوحدات'!$C$2:$C$41,MATCH($B58,'قائمة الوحدات'!$A$2:$A$41,0)),"")</f>
        <v>المرتبطة بسمو الوزير</v>
      </c>
      <c r="E58" s="18" t="str">
        <f aca="false">IFERROR(INDEX('قائمة الوحدات'!$D$2:$D$41,MATCH($B58,'قائمة الوحدات'!$A$2:$A$41,0)),"")</f>
        <v>إدارة المتابعة والتقارير</v>
      </c>
      <c r="F58" s="18" t="str">
        <f aca="false">IFERROR(INDEX('قائمة الوحدات'!$F$2:$F$41,MATCH($B58,'قائمة الوحدات'!$A$2:$A$41,0)),"")</f>
        <v>إدارة المتابعة والتقارير</v>
      </c>
      <c r="G58" s="20" t="s">
        <v>66</v>
      </c>
      <c r="H58" s="18" t="str">
        <f aca="false">IFERROR(INDEX(المرجع!$A$2:$A$19,MATCH($G58,المرجع!$B$2:$B$19,0)),"")</f>
        <v>التشغيل</v>
      </c>
      <c r="I58" s="20" t="s">
        <v>52</v>
      </c>
      <c r="J58" s="18" t="str">
        <f aca="false">IFERROR(INDEX(المرجع!$D$2:$D$19,MATCH($I58,المرجع!$E$2:$E$19,0)),"")</f>
        <v>الحوكمة</v>
      </c>
      <c r="K58" s="20" t="s">
        <v>128</v>
      </c>
      <c r="L58" s="21" t="str">
        <f aca="false">IFERROR(INDEX('نقاط التحقق'!$G$2:$G$31,MATCH($K58,'نقاط التحقق'!$A$2:$A$31,0))&amp;"","")</f>
        <v>اتخاذ القرارات في نطاق الصلاحيات (وجود شواهد)</v>
      </c>
      <c r="M58" s="17" t="n">
        <v>30</v>
      </c>
      <c r="N58" s="17" t="n">
        <v>85</v>
      </c>
      <c r="O58" s="19" t="str">
        <f aca="false">IF($M58="","غير مقيّمة",IF($M58&gt;المرجع!$K$3,"مستوفاة بشكل متقدم",IF($M58&lt;=المرجع!$K$2,"مستوفاة بشكل أولي","مستوفاة بشكل جزئي")))</f>
        <v>مستوفاة بشكل أولي</v>
      </c>
      <c r="P58" s="22" t="s">
        <v>245</v>
      </c>
    </row>
    <row r="59" customFormat="false" ht="15" hidden="false" customHeight="true" outlineLevel="0" collapsed="false">
      <c r="A59" s="20" t="s">
        <v>302</v>
      </c>
      <c r="B59" s="20" t="s">
        <v>152</v>
      </c>
      <c r="C59" s="19" t="str">
        <f aca="false">IFERROR(INDEX('قائمة الوحدات'!$B$2:$B$41,MATCH($B59,'قائمة الوحدات'!$A$2:$A$41,0)),"")</f>
        <v>TOP</v>
      </c>
      <c r="D59" s="18" t="str">
        <f aca="false">IFERROR(INDEX('قائمة الوحدات'!$C$2:$C$41,MATCH($B59,'قائمة الوحدات'!$A$2:$A$41,0)),"")</f>
        <v>المرتبطة بسمو الوزير</v>
      </c>
      <c r="E59" s="18" t="str">
        <f aca="false">IFERROR(INDEX('قائمة الوحدات'!$D$2:$D$41,MATCH($B59,'قائمة الوحدات'!$A$2:$A$41,0)),"")</f>
        <v>إدارة المتابعة والتقارير</v>
      </c>
      <c r="F59" s="18" t="str">
        <f aca="false">IFERROR(INDEX('قائمة الوحدات'!$F$2:$F$41,MATCH($B59,'قائمة الوحدات'!$A$2:$A$41,0)),"")</f>
        <v>إدارة المتابعة والتقارير</v>
      </c>
      <c r="G59" s="20" t="s">
        <v>66</v>
      </c>
      <c r="H59" s="18" t="str">
        <f aca="false">IFERROR(INDEX(المرجع!$A$2:$A$19,MATCH($G59,المرجع!$B$2:$B$19,0)),"")</f>
        <v>التشغيل</v>
      </c>
      <c r="I59" s="20" t="s">
        <v>57</v>
      </c>
      <c r="J59" s="18" t="str">
        <f aca="false">IFERROR(INDEX(المرجع!$D$2:$D$19,MATCH($I59,المرجع!$E$2:$E$19,0)),"")</f>
        <v>الموارد</v>
      </c>
      <c r="K59" s="20" t="s">
        <v>130</v>
      </c>
      <c r="L59" s="21" t="str">
        <f aca="false">IFERROR(INDEX('نقاط التحقق'!$G$2:$G$31,MATCH($K59,'نقاط التحقق'!$A$2:$A$31,0))&amp;"","")</f>
        <v>موارد مستكملة للحد الأدنى الذي يغطي كافة محاور سلسلة القيمة</v>
      </c>
      <c r="M59" s="17" t="n">
        <v>56</v>
      </c>
      <c r="N59" s="17" t="n">
        <v>90</v>
      </c>
      <c r="O59" s="19" t="str">
        <f aca="false">IF($M59="","غير مقيّمة",IF($M59&gt;المرجع!$K$3,"مستوفاة بشكل متقدم",IF($M59&lt;=المرجع!$K$2,"مستوفاة بشكل أولي","مستوفاة بشكل جزئي")))</f>
        <v>مستوفاة بشكل جزئي</v>
      </c>
      <c r="P59" s="22" t="s">
        <v>245</v>
      </c>
    </row>
    <row r="60" customFormat="false" ht="15" hidden="false" customHeight="true" outlineLevel="0" collapsed="false">
      <c r="A60" s="20" t="s">
        <v>303</v>
      </c>
      <c r="B60" s="20" t="s">
        <v>152</v>
      </c>
      <c r="C60" s="19" t="str">
        <f aca="false">IFERROR(INDEX('قائمة الوحدات'!$B$2:$B$41,MATCH($B60,'قائمة الوحدات'!$A$2:$A$41,0)),"")</f>
        <v>TOP</v>
      </c>
      <c r="D60" s="18" t="str">
        <f aca="false">IFERROR(INDEX('قائمة الوحدات'!$C$2:$C$41,MATCH($B60,'قائمة الوحدات'!$A$2:$A$41,0)),"")</f>
        <v>المرتبطة بسمو الوزير</v>
      </c>
      <c r="E60" s="18" t="str">
        <f aca="false">IFERROR(INDEX('قائمة الوحدات'!$D$2:$D$41,MATCH($B60,'قائمة الوحدات'!$A$2:$A$41,0)),"")</f>
        <v>إدارة المتابعة والتقارير</v>
      </c>
      <c r="F60" s="18" t="str">
        <f aca="false">IFERROR(INDEX('قائمة الوحدات'!$F$2:$F$41,MATCH($B60,'قائمة الوحدات'!$A$2:$A$41,0)),"")</f>
        <v>إدارة المتابعة والتقارير</v>
      </c>
      <c r="G60" s="20" t="s">
        <v>66</v>
      </c>
      <c r="H60" s="18" t="str">
        <f aca="false">IFERROR(INDEX(المرجع!$A$2:$A$19,MATCH($G60,المرجع!$B$2:$B$19,0)),"")</f>
        <v>التشغيل</v>
      </c>
      <c r="I60" s="20" t="s">
        <v>60</v>
      </c>
      <c r="J60" s="18" t="str">
        <f aca="false">IFERROR(INDEX(المرجع!$D$2:$D$19,MATCH($I60,المرجع!$E$2:$E$19,0)),"")</f>
        <v>الإجراءات</v>
      </c>
      <c r="K60" s="20" t="s">
        <v>132</v>
      </c>
      <c r="L60" s="21" t="str">
        <f aca="false">IFERROR(INDEX('نقاط التحقق'!$G$2:$G$31,MATCH($K60,'نقاط التحقق'!$A$2:$A$31,0))&amp;"","")</f>
        <v>تحقيق تقييم "مطبق بشكل كامل" من منهجية تقييم فعالية الإجراءات</v>
      </c>
      <c r="M60" s="17" t="n">
        <v>47</v>
      </c>
      <c r="N60" s="17" t="n">
        <v>80</v>
      </c>
      <c r="O60" s="19" t="str">
        <f aca="false">IF($M60="","غير مقيّمة",IF($M60&gt;المرجع!$K$3,"مستوفاة بشكل متقدم",IF($M60&lt;=المرجع!$K$2,"مستوفاة بشكل أولي","مستوفاة بشكل جزئي")))</f>
        <v>مستوفاة بشكل جزئي</v>
      </c>
      <c r="P60" s="22" t="s">
        <v>245</v>
      </c>
    </row>
    <row r="61" customFormat="false" ht="15" hidden="false" customHeight="true" outlineLevel="0" collapsed="false">
      <c r="A61" s="20" t="s">
        <v>304</v>
      </c>
      <c r="B61" s="20" t="s">
        <v>152</v>
      </c>
      <c r="C61" s="19" t="str">
        <f aca="false">IFERROR(INDEX('قائمة الوحدات'!$B$2:$B$41,MATCH($B61,'قائمة الوحدات'!$A$2:$A$41,0)),"")</f>
        <v>TOP</v>
      </c>
      <c r="D61" s="18" t="str">
        <f aca="false">IFERROR(INDEX('قائمة الوحدات'!$C$2:$C$41,MATCH($B61,'قائمة الوحدات'!$A$2:$A$41,0)),"")</f>
        <v>المرتبطة بسمو الوزير</v>
      </c>
      <c r="E61" s="18" t="str">
        <f aca="false">IFERROR(INDEX('قائمة الوحدات'!$D$2:$D$41,MATCH($B61,'قائمة الوحدات'!$A$2:$A$41,0)),"")</f>
        <v>إدارة المتابعة والتقارير</v>
      </c>
      <c r="F61" s="18" t="str">
        <f aca="false">IFERROR(INDEX('قائمة الوحدات'!$F$2:$F$41,MATCH($B61,'قائمة الوحدات'!$A$2:$A$41,0)),"")</f>
        <v>إدارة المتابعة والتقارير</v>
      </c>
      <c r="G61" s="20" t="s">
        <v>66</v>
      </c>
      <c r="H61" s="18" t="str">
        <f aca="false">IFERROR(INDEX(المرجع!$A$2:$A$19,MATCH($G61,المرجع!$B$2:$B$19,0)),"")</f>
        <v>التشغيل</v>
      </c>
      <c r="I61" s="20" t="s">
        <v>71</v>
      </c>
      <c r="J61" s="18" t="str">
        <f aca="false">IFERROR(INDEX(المرجع!$D$2:$D$19,MATCH($I61,المرجع!$E$2:$E$19,0)),"")</f>
        <v>اكتمال المخرجات المستهدفة</v>
      </c>
      <c r="K61" s="20" t="s">
        <v>134</v>
      </c>
      <c r="L61" s="21" t="str">
        <f aca="false">IFERROR(INDEX('نقاط التحقق'!$G$2:$G$31,MATCH($K61,'نقاط التحقق'!$A$2:$A$31,0))&amp;"","")</f>
        <v>اكتمال مخرجات النموذج التشغيلي المستهدف للوحدة التنظيمية</v>
      </c>
      <c r="M61" s="17" t="n">
        <v>59</v>
      </c>
      <c r="N61" s="17" t="n">
        <v>100</v>
      </c>
      <c r="O61" s="19" t="str">
        <f aca="false">IF($M61="","غير مقيّمة",IF($M61&gt;المرجع!$K$3,"مستوفاة بشكل متقدم",IF($M61&lt;=المرجع!$K$2,"مستوفاة بشكل أولي","مستوفاة بشكل جزئي")))</f>
        <v>مستوفاة بشكل جزئي</v>
      </c>
      <c r="P61" s="22" t="s">
        <v>245</v>
      </c>
    </row>
    <row r="62" customFormat="false" ht="15" hidden="false" customHeight="true" outlineLevel="0" collapsed="false">
      <c r="A62" s="20" t="s">
        <v>305</v>
      </c>
      <c r="B62" s="20" t="s">
        <v>154</v>
      </c>
      <c r="C62" s="19" t="str">
        <f aca="false">IFERROR(INDEX('قائمة الوحدات'!$B$2:$B$41,MATCH($B62,'قائمة الوحدات'!$A$2:$A$41,0)),"")</f>
        <v>TOP</v>
      </c>
      <c r="D62" s="18" t="str">
        <f aca="false">IFERROR(INDEX('قائمة الوحدات'!$C$2:$C$41,MATCH($B62,'قائمة الوحدات'!$A$2:$A$41,0)),"")</f>
        <v>المرتبطة بسمو الوزير</v>
      </c>
      <c r="E62" s="18" t="str">
        <f aca="false">IFERROR(INDEX('قائمة الوحدات'!$D$2:$D$41,MATCH($B62,'قائمة الوحدات'!$A$2:$A$41,0)),"")</f>
        <v>إدارة الحوكمة والمخاطر</v>
      </c>
      <c r="F62" s="18" t="str">
        <f aca="false">IFERROR(INDEX('قائمة الوحدات'!$F$2:$F$41,MATCH($B62,'قائمة الوحدات'!$A$2:$A$41,0)),"")</f>
        <v>إدارة الحوكمة والمخاطر</v>
      </c>
      <c r="G62" s="20" t="s">
        <v>44</v>
      </c>
      <c r="H62" s="18" t="str">
        <f aca="false">IFERROR(INDEX(المرجع!$A$2:$A$19,MATCH($G62,المرجع!$B$2:$B$19,0)),"")</f>
        <v>التصميم</v>
      </c>
      <c r="I62" s="20" t="s">
        <v>46</v>
      </c>
      <c r="J62" s="18" t="str">
        <f aca="false">IFERROR(INDEX(المرجع!$D$2:$D$19,MATCH($I62,المرجع!$E$2:$E$19,0)),"")</f>
        <v>الدور</v>
      </c>
      <c r="K62" s="20" t="s">
        <v>76</v>
      </c>
      <c r="L62" s="21" t="str">
        <f aca="false">IFERROR(INDEX('نقاط التحقق'!$G$2:$G$31,MATCH($K62,'نقاط التحقق'!$A$2:$A$31,0))&amp;"","")</f>
        <v>دور مفصل للوحدة التنظيمية</v>
      </c>
      <c r="M62" s="17" t="n">
        <v>74</v>
      </c>
      <c r="N62" s="17" t="n">
        <v>100</v>
      </c>
      <c r="O62" s="19" t="str">
        <f aca="false">IF($M62="","غير مقيّمة",IF($M62&gt;المرجع!$K$3,"مستوفاة بشكل متقدم",IF($M62&lt;=المرجع!$K$2,"مستوفاة بشكل أولي","مستوفاة بشكل جزئي")))</f>
        <v>مستوفاة بشكل متقدم</v>
      </c>
      <c r="P62" s="22" t="s">
        <v>245</v>
      </c>
    </row>
    <row r="63" customFormat="false" ht="15" hidden="false" customHeight="true" outlineLevel="0" collapsed="false">
      <c r="A63" s="20" t="s">
        <v>306</v>
      </c>
      <c r="B63" s="20" t="s">
        <v>154</v>
      </c>
      <c r="C63" s="19" t="str">
        <f aca="false">IFERROR(INDEX('قائمة الوحدات'!$B$2:$B$41,MATCH($B63,'قائمة الوحدات'!$A$2:$A$41,0)),"")</f>
        <v>TOP</v>
      </c>
      <c r="D63" s="18" t="str">
        <f aca="false">IFERROR(INDEX('قائمة الوحدات'!$C$2:$C$41,MATCH($B63,'قائمة الوحدات'!$A$2:$A$41,0)),"")</f>
        <v>المرتبطة بسمو الوزير</v>
      </c>
      <c r="E63" s="18" t="str">
        <f aca="false">IFERROR(INDEX('قائمة الوحدات'!$D$2:$D$41,MATCH($B63,'قائمة الوحدات'!$A$2:$A$41,0)),"")</f>
        <v>إدارة الحوكمة والمخاطر</v>
      </c>
      <c r="F63" s="18" t="str">
        <f aca="false">IFERROR(INDEX('قائمة الوحدات'!$F$2:$F$41,MATCH($B63,'قائمة الوحدات'!$A$2:$A$41,0)),"")</f>
        <v>إدارة الحوكمة والمخاطر</v>
      </c>
      <c r="G63" s="20" t="s">
        <v>44</v>
      </c>
      <c r="H63" s="18" t="str">
        <f aca="false">IFERROR(INDEX(المرجع!$A$2:$A$19,MATCH($G63,المرجع!$B$2:$B$19,0)),"")</f>
        <v>التصميم</v>
      </c>
      <c r="I63" s="20" t="s">
        <v>49</v>
      </c>
      <c r="J63" s="18" t="str">
        <f aca="false">IFERROR(INDEX(المرجع!$D$2:$D$19,MATCH($I63,المرجع!$E$2:$E$19,0)),"")</f>
        <v>الأهداف ومؤشرات الأداء</v>
      </c>
      <c r="K63" s="20" t="s">
        <v>78</v>
      </c>
      <c r="L63" s="21" t="str">
        <f aca="false">IFERROR(INDEX('نقاط التحقق'!$G$2:$G$31,MATCH($K63,'نقاط التحقق'!$A$2:$A$31,0))&amp;"","")</f>
        <v>أهداف محددة للوحدة التنظيمية وربطها بمؤشرات أداء لقياسها</v>
      </c>
      <c r="M63" s="17" t="n">
        <v>90</v>
      </c>
      <c r="N63" s="17" t="n">
        <v>90</v>
      </c>
      <c r="O63" s="19" t="str">
        <f aca="false">IF($M63="","غير مقيّمة",IF($M63&gt;المرجع!$K$3,"مستوفاة بشكل متقدم",IF($M63&lt;=المرجع!$K$2,"مستوفاة بشكل أولي","مستوفاة بشكل جزئي")))</f>
        <v>مستوفاة بشكل متقدم</v>
      </c>
      <c r="P63" s="22" t="s">
        <v>245</v>
      </c>
    </row>
    <row r="64" customFormat="false" ht="15" hidden="false" customHeight="true" outlineLevel="0" collapsed="false">
      <c r="A64" s="20" t="s">
        <v>307</v>
      </c>
      <c r="B64" s="20" t="s">
        <v>154</v>
      </c>
      <c r="C64" s="19" t="str">
        <f aca="false">IFERROR(INDEX('قائمة الوحدات'!$B$2:$B$41,MATCH($B64,'قائمة الوحدات'!$A$2:$A$41,0)),"")</f>
        <v>TOP</v>
      </c>
      <c r="D64" s="18" t="str">
        <f aca="false">IFERROR(INDEX('قائمة الوحدات'!$C$2:$C$41,MATCH($B64,'قائمة الوحدات'!$A$2:$A$41,0)),"")</f>
        <v>المرتبطة بسمو الوزير</v>
      </c>
      <c r="E64" s="18" t="str">
        <f aca="false">IFERROR(INDEX('قائمة الوحدات'!$D$2:$D$41,MATCH($B64,'قائمة الوحدات'!$A$2:$A$41,0)),"")</f>
        <v>إدارة الحوكمة والمخاطر</v>
      </c>
      <c r="F64" s="18" t="str">
        <f aca="false">IFERROR(INDEX('قائمة الوحدات'!$F$2:$F$41,MATCH($B64,'قائمة الوحدات'!$A$2:$A$41,0)),"")</f>
        <v>إدارة الحوكمة والمخاطر</v>
      </c>
      <c r="G64" s="20" t="s">
        <v>44</v>
      </c>
      <c r="H64" s="18" t="str">
        <f aca="false">IFERROR(INDEX(المرجع!$A$2:$A$19,MATCH($G64,المرجع!$B$2:$B$19,0)),"")</f>
        <v>التصميم</v>
      </c>
      <c r="I64" s="20" t="s">
        <v>49</v>
      </c>
      <c r="J64" s="18" t="str">
        <f aca="false">IFERROR(INDEX(المرجع!$D$2:$D$19,MATCH($I64,المرجع!$E$2:$E$19,0)),"")</f>
        <v>الأهداف ومؤشرات الأداء</v>
      </c>
      <c r="K64" s="20" t="s">
        <v>80</v>
      </c>
      <c r="L64" s="21" t="str">
        <f aca="false">IFERROR(INDEX('نقاط التحقق'!$G$2:$G$31,MATCH($K64,'نقاط التحقق'!$A$2:$A$31,0))&amp;"","")</f>
        <v>مؤشرات أداء الوحدة التنظيمية</v>
      </c>
      <c r="M64" s="17" t="n">
        <v>70</v>
      </c>
      <c r="N64" s="17" t="n">
        <v>100</v>
      </c>
      <c r="O64" s="19" t="str">
        <f aca="false">IF($M64="","غير مقيّمة",IF($M64&gt;المرجع!$K$3,"مستوفاة بشكل متقدم",IF($M64&lt;=المرجع!$K$2,"مستوفاة بشكل أولي","مستوفاة بشكل جزئي")))</f>
        <v>مستوفاة بشكل جزئي</v>
      </c>
      <c r="P64" s="22" t="s">
        <v>245</v>
      </c>
    </row>
    <row r="65" customFormat="false" ht="15" hidden="false" customHeight="true" outlineLevel="0" collapsed="false">
      <c r="A65" s="20" t="s">
        <v>308</v>
      </c>
      <c r="B65" s="20" t="s">
        <v>154</v>
      </c>
      <c r="C65" s="19" t="str">
        <f aca="false">IFERROR(INDEX('قائمة الوحدات'!$B$2:$B$41,MATCH($B65,'قائمة الوحدات'!$A$2:$A$41,0)),"")</f>
        <v>TOP</v>
      </c>
      <c r="D65" s="18" t="str">
        <f aca="false">IFERROR(INDEX('قائمة الوحدات'!$C$2:$C$41,MATCH($B65,'قائمة الوحدات'!$A$2:$A$41,0)),"")</f>
        <v>المرتبطة بسمو الوزير</v>
      </c>
      <c r="E65" s="18" t="str">
        <f aca="false">IFERROR(INDEX('قائمة الوحدات'!$D$2:$D$41,MATCH($B65,'قائمة الوحدات'!$A$2:$A$41,0)),"")</f>
        <v>إدارة الحوكمة والمخاطر</v>
      </c>
      <c r="F65" s="18" t="str">
        <f aca="false">IFERROR(INDEX('قائمة الوحدات'!$F$2:$F$41,MATCH($B65,'قائمة الوحدات'!$A$2:$A$41,0)),"")</f>
        <v>إدارة الحوكمة والمخاطر</v>
      </c>
      <c r="G65" s="20" t="s">
        <v>44</v>
      </c>
      <c r="H65" s="18" t="str">
        <f aca="false">IFERROR(INDEX(المرجع!$A$2:$A$19,MATCH($G65,المرجع!$B$2:$B$19,0)),"")</f>
        <v>التصميم</v>
      </c>
      <c r="I65" s="20" t="s">
        <v>52</v>
      </c>
      <c r="J65" s="18" t="str">
        <f aca="false">IFERROR(INDEX(المرجع!$D$2:$D$19,MATCH($I65,المرجع!$E$2:$E$19,0)),"")</f>
        <v>الحوكمة</v>
      </c>
      <c r="K65" s="20" t="s">
        <v>82</v>
      </c>
      <c r="L65" s="21" t="str">
        <f aca="false">IFERROR(INDEX('نقاط التحقق'!$G$2:$G$31,MATCH($K65,'نقاط التحقق'!$A$2:$A$31,0))&amp;"","")</f>
        <v>تفصيل القرارات ومصفوفة الصلاحيات واللجان ذات العلاقة لاعتماد مخرجات الوحدة التنظيمية</v>
      </c>
      <c r="M65" s="17" t="n">
        <v>81</v>
      </c>
      <c r="N65" s="17" t="n">
        <v>81</v>
      </c>
      <c r="O65" s="19" t="str">
        <f aca="false">IF($M65="","غير مقيّمة",IF($M65&gt;المرجع!$K$3,"مستوفاة بشكل متقدم",IF($M65&lt;=المرجع!$K$2,"مستوفاة بشكل أولي","مستوفاة بشكل جزئي")))</f>
        <v>مستوفاة بشكل متقدم</v>
      </c>
      <c r="P65" s="22" t="s">
        <v>245</v>
      </c>
    </row>
    <row r="66" customFormat="false" ht="15" hidden="false" customHeight="true" outlineLevel="0" collapsed="false">
      <c r="A66" s="20" t="s">
        <v>309</v>
      </c>
      <c r="B66" s="20" t="s">
        <v>154</v>
      </c>
      <c r="C66" s="19" t="str">
        <f aca="false">IFERROR(INDEX('قائمة الوحدات'!$B$2:$B$41,MATCH($B66,'قائمة الوحدات'!$A$2:$A$41,0)),"")</f>
        <v>TOP</v>
      </c>
      <c r="D66" s="18" t="str">
        <f aca="false">IFERROR(INDEX('قائمة الوحدات'!$C$2:$C$41,MATCH($B66,'قائمة الوحدات'!$A$2:$A$41,0)),"")</f>
        <v>المرتبطة بسمو الوزير</v>
      </c>
      <c r="E66" s="18" t="str">
        <f aca="false">IFERROR(INDEX('قائمة الوحدات'!$D$2:$D$41,MATCH($B66,'قائمة الوحدات'!$A$2:$A$41,0)),"")</f>
        <v>إدارة الحوكمة والمخاطر</v>
      </c>
      <c r="F66" s="18" t="str">
        <f aca="false">IFERROR(INDEX('قائمة الوحدات'!$F$2:$F$41,MATCH($B66,'قائمة الوحدات'!$A$2:$A$41,0)),"")</f>
        <v>إدارة الحوكمة والمخاطر</v>
      </c>
      <c r="G66" s="20" t="s">
        <v>44</v>
      </c>
      <c r="H66" s="18" t="str">
        <f aca="false">IFERROR(INDEX(المرجع!$A$2:$A$19,MATCH($G66,المرجع!$B$2:$B$19,0)),"")</f>
        <v>التصميم</v>
      </c>
      <c r="I66" s="20" t="s">
        <v>55</v>
      </c>
      <c r="J66" s="18" t="str">
        <f aca="false">IFERROR(INDEX(المرجع!$D$2:$D$19,MATCH($I66,المرجع!$E$2:$E$19,0)),"")</f>
        <v>التنظيم</v>
      </c>
      <c r="K66" s="20" t="s">
        <v>84</v>
      </c>
      <c r="L66" s="21" t="str">
        <f aca="false">IFERROR(INDEX('نقاط التحقق'!$G$2:$G$31,MATCH($K66,'نقاط التحقق'!$A$2:$A$31,0))&amp;"","")</f>
        <v>تطوير الأدوار والمسؤوليات للوحدة التنظيمية وتفصيل الهيكل التنظيمي</v>
      </c>
      <c r="M66" s="17" t="n">
        <v>83</v>
      </c>
      <c r="N66" s="17" t="n">
        <v>100</v>
      </c>
      <c r="O66" s="19" t="str">
        <f aca="false">IF($M66="","غير مقيّمة",IF($M66&gt;المرجع!$K$3,"مستوفاة بشكل متقدم",IF($M66&lt;=المرجع!$K$2,"مستوفاة بشكل أولي","مستوفاة بشكل جزئي")))</f>
        <v>مستوفاة بشكل متقدم</v>
      </c>
      <c r="P66" s="22" t="s">
        <v>245</v>
      </c>
    </row>
    <row r="67" customFormat="false" ht="15" hidden="false" customHeight="true" outlineLevel="0" collapsed="false">
      <c r="A67" s="20" t="s">
        <v>310</v>
      </c>
      <c r="B67" s="20" t="s">
        <v>154</v>
      </c>
      <c r="C67" s="19" t="str">
        <f aca="false">IFERROR(INDEX('قائمة الوحدات'!$B$2:$B$41,MATCH($B67,'قائمة الوحدات'!$A$2:$A$41,0)),"")</f>
        <v>TOP</v>
      </c>
      <c r="D67" s="18" t="str">
        <f aca="false">IFERROR(INDEX('قائمة الوحدات'!$C$2:$C$41,MATCH($B67,'قائمة الوحدات'!$A$2:$A$41,0)),"")</f>
        <v>المرتبطة بسمو الوزير</v>
      </c>
      <c r="E67" s="18" t="str">
        <f aca="false">IFERROR(INDEX('قائمة الوحدات'!$D$2:$D$41,MATCH($B67,'قائمة الوحدات'!$A$2:$A$41,0)),"")</f>
        <v>إدارة الحوكمة والمخاطر</v>
      </c>
      <c r="F67" s="18" t="str">
        <f aca="false">IFERROR(INDEX('قائمة الوحدات'!$F$2:$F$41,MATCH($B67,'قائمة الوحدات'!$A$2:$A$41,0)),"")</f>
        <v>إدارة الحوكمة والمخاطر</v>
      </c>
      <c r="G67" s="20" t="s">
        <v>44</v>
      </c>
      <c r="H67" s="18" t="str">
        <f aca="false">IFERROR(INDEX(المرجع!$A$2:$A$19,MATCH($G67,المرجع!$B$2:$B$19,0)),"")</f>
        <v>التصميم</v>
      </c>
      <c r="I67" s="20" t="s">
        <v>57</v>
      </c>
      <c r="J67" s="18" t="str">
        <f aca="false">IFERROR(INDEX(المرجع!$D$2:$D$19,MATCH($I67,المرجع!$E$2:$E$19,0)),"")</f>
        <v>الموارد</v>
      </c>
      <c r="K67" s="20" t="s">
        <v>86</v>
      </c>
      <c r="L67" s="21" t="str">
        <f aca="false">IFERROR(INDEX('نقاط التحقق'!$G$2:$G$31,MATCH($K67,'نقاط التحقق'!$A$2:$A$31,0))&amp;"","")</f>
        <v>تفصيل احتياج الموارد البشرية للوحدة التنظيمية</v>
      </c>
      <c r="M67" s="17" t="n">
        <v>89</v>
      </c>
      <c r="N67" s="17" t="n">
        <v>89</v>
      </c>
      <c r="O67" s="19" t="str">
        <f aca="false">IF($M67="","غير مقيّمة",IF($M67&gt;المرجع!$K$3,"مستوفاة بشكل متقدم",IF($M67&lt;=المرجع!$K$2,"مستوفاة بشكل أولي","مستوفاة بشكل جزئي")))</f>
        <v>مستوفاة بشكل متقدم</v>
      </c>
      <c r="P67" s="22" t="s">
        <v>245</v>
      </c>
    </row>
    <row r="68" customFormat="false" ht="15" hidden="false" customHeight="true" outlineLevel="0" collapsed="false">
      <c r="A68" s="20" t="s">
        <v>311</v>
      </c>
      <c r="B68" s="20" t="s">
        <v>154</v>
      </c>
      <c r="C68" s="19" t="str">
        <f aca="false">IFERROR(INDEX('قائمة الوحدات'!$B$2:$B$41,MATCH($B68,'قائمة الوحدات'!$A$2:$A$41,0)),"")</f>
        <v>TOP</v>
      </c>
      <c r="D68" s="18" t="str">
        <f aca="false">IFERROR(INDEX('قائمة الوحدات'!$C$2:$C$41,MATCH($B68,'قائمة الوحدات'!$A$2:$A$41,0)),"")</f>
        <v>المرتبطة بسمو الوزير</v>
      </c>
      <c r="E68" s="18" t="str">
        <f aca="false">IFERROR(INDEX('قائمة الوحدات'!$D$2:$D$41,MATCH($B68,'قائمة الوحدات'!$A$2:$A$41,0)),"")</f>
        <v>إدارة الحوكمة والمخاطر</v>
      </c>
      <c r="F68" s="18" t="str">
        <f aca="false">IFERROR(INDEX('قائمة الوحدات'!$F$2:$F$41,MATCH($B68,'قائمة الوحدات'!$A$2:$A$41,0)),"")</f>
        <v>إدارة الحوكمة والمخاطر</v>
      </c>
      <c r="G68" s="20" t="s">
        <v>44</v>
      </c>
      <c r="H68" s="18" t="str">
        <f aca="false">IFERROR(INDEX(المرجع!$A$2:$A$19,MATCH($G68,المرجع!$B$2:$B$19,0)),"")</f>
        <v>التصميم</v>
      </c>
      <c r="I68" s="20" t="s">
        <v>60</v>
      </c>
      <c r="J68" s="18" t="str">
        <f aca="false">IFERROR(INDEX(المرجع!$D$2:$D$19,MATCH($I68,المرجع!$E$2:$E$19,0)),"")</f>
        <v>الإجراءات</v>
      </c>
      <c r="K68" s="20" t="s">
        <v>88</v>
      </c>
      <c r="L68" s="21" t="str">
        <f aca="false">IFERROR(INDEX('نقاط التحقق'!$G$2:$G$31,MATCH($K68,'نقاط التحقق'!$A$2:$A$31,0))&amp;"","")</f>
        <v>تفصيل المخرجات إلى إجراءات عالية المستوى</v>
      </c>
      <c r="M68" s="17" t="n">
        <v>68</v>
      </c>
      <c r="N68" s="17" t="n">
        <v>95</v>
      </c>
      <c r="O68" s="19" t="str">
        <f aca="false">IF($M68="","غير مقيّمة",IF($M68&gt;المرجع!$K$3,"مستوفاة بشكل متقدم",IF($M68&lt;=المرجع!$K$2,"مستوفاة بشكل أولي","مستوفاة بشكل جزئي")))</f>
        <v>مستوفاة بشكل جزئي</v>
      </c>
      <c r="P68" s="22" t="s">
        <v>245</v>
      </c>
    </row>
    <row r="69" customFormat="false" ht="15" hidden="false" customHeight="true" outlineLevel="0" collapsed="false">
      <c r="A69" s="20" t="s">
        <v>312</v>
      </c>
      <c r="B69" s="20" t="s">
        <v>154</v>
      </c>
      <c r="C69" s="19" t="str">
        <f aca="false">IFERROR(INDEX('قائمة الوحدات'!$B$2:$B$41,MATCH($B69,'قائمة الوحدات'!$A$2:$A$41,0)),"")</f>
        <v>TOP</v>
      </c>
      <c r="D69" s="18" t="str">
        <f aca="false">IFERROR(INDEX('قائمة الوحدات'!$C$2:$C$41,MATCH($B69,'قائمة الوحدات'!$A$2:$A$41,0)),"")</f>
        <v>المرتبطة بسمو الوزير</v>
      </c>
      <c r="E69" s="18" t="str">
        <f aca="false">IFERROR(INDEX('قائمة الوحدات'!$D$2:$D$41,MATCH($B69,'قائمة الوحدات'!$A$2:$A$41,0)),"")</f>
        <v>إدارة الحوكمة والمخاطر</v>
      </c>
      <c r="F69" s="18" t="str">
        <f aca="false">IFERROR(INDEX('قائمة الوحدات'!$F$2:$F$41,MATCH($B69,'قائمة الوحدات'!$A$2:$A$41,0)),"")</f>
        <v>إدارة الحوكمة والمخاطر</v>
      </c>
      <c r="G69" s="20" t="s">
        <v>62</v>
      </c>
      <c r="H69" s="18" t="str">
        <f aca="false">IFERROR(INDEX(المرجع!$A$2:$A$19,MATCH($G69,المرجع!$B$2:$B$19,0)),"")</f>
        <v>البناء المؤسسي</v>
      </c>
      <c r="I69" s="20" t="s">
        <v>46</v>
      </c>
      <c r="J69" s="18" t="str">
        <f aca="false">IFERROR(INDEX(المرجع!$D$2:$D$19,MATCH($I69,المرجع!$E$2:$E$19,0)),"")</f>
        <v>الدور</v>
      </c>
      <c r="K69" s="20" t="s">
        <v>90</v>
      </c>
      <c r="L69" s="21" t="str">
        <f aca="false">IFERROR(INDEX('نقاط التحقق'!$G$2:$G$31,MATCH($K69,'نقاط التحقق'!$A$2:$A$31,0))&amp;"","")</f>
        <v>دور معتمد للوحدة التنظيمية</v>
      </c>
      <c r="M69" s="17" t="n">
        <v>56</v>
      </c>
      <c r="N69" s="17" t="n">
        <v>100</v>
      </c>
      <c r="O69" s="19" t="str">
        <f aca="false">IF($M69="","غير مقيّمة",IF($M69&gt;المرجع!$K$3,"مستوفاة بشكل متقدم",IF($M69&lt;=المرجع!$K$2,"مستوفاة بشكل أولي","مستوفاة بشكل جزئي")))</f>
        <v>مستوفاة بشكل جزئي</v>
      </c>
      <c r="P69" s="22" t="s">
        <v>245</v>
      </c>
    </row>
    <row r="70" customFormat="false" ht="15" hidden="false" customHeight="true" outlineLevel="0" collapsed="false">
      <c r="A70" s="20" t="s">
        <v>313</v>
      </c>
      <c r="B70" s="20" t="s">
        <v>154</v>
      </c>
      <c r="C70" s="19" t="str">
        <f aca="false">IFERROR(INDEX('قائمة الوحدات'!$B$2:$B$41,MATCH($B70,'قائمة الوحدات'!$A$2:$A$41,0)),"")</f>
        <v>TOP</v>
      </c>
      <c r="D70" s="18" t="str">
        <f aca="false">IFERROR(INDEX('قائمة الوحدات'!$C$2:$C$41,MATCH($B70,'قائمة الوحدات'!$A$2:$A$41,0)),"")</f>
        <v>المرتبطة بسمو الوزير</v>
      </c>
      <c r="E70" s="18" t="str">
        <f aca="false">IFERROR(INDEX('قائمة الوحدات'!$D$2:$D$41,MATCH($B70,'قائمة الوحدات'!$A$2:$A$41,0)),"")</f>
        <v>إدارة الحوكمة والمخاطر</v>
      </c>
      <c r="F70" s="18" t="str">
        <f aca="false">IFERROR(INDEX('قائمة الوحدات'!$F$2:$F$41,MATCH($B70,'قائمة الوحدات'!$A$2:$A$41,0)),"")</f>
        <v>إدارة الحوكمة والمخاطر</v>
      </c>
      <c r="G70" s="20" t="s">
        <v>62</v>
      </c>
      <c r="H70" s="18" t="str">
        <f aca="false">IFERROR(INDEX(المرجع!$A$2:$A$19,MATCH($G70,المرجع!$B$2:$B$19,0)),"")</f>
        <v>البناء المؤسسي</v>
      </c>
      <c r="I70" s="20" t="s">
        <v>49</v>
      </c>
      <c r="J70" s="18" t="str">
        <f aca="false">IFERROR(INDEX(المرجع!$D$2:$D$19,MATCH($I70,المرجع!$E$2:$E$19,0)),"")</f>
        <v>الأهداف ومؤشرات الأداء</v>
      </c>
      <c r="K70" s="20" t="s">
        <v>92</v>
      </c>
      <c r="L70" s="21" t="str">
        <f aca="false">IFERROR(INDEX('نقاط التحقق'!$G$2:$G$31,MATCH($K70,'نقاط التحقق'!$A$2:$A$31,0))&amp;"","")</f>
        <v>أهداف تشغيلية معتمدة من صاحب الصلاحية</v>
      </c>
      <c r="M70" s="17" t="n">
        <v>85</v>
      </c>
      <c r="N70" s="17" t="n">
        <v>100</v>
      </c>
      <c r="O70" s="19" t="str">
        <f aca="false">IF($M70="","غير مقيّمة",IF($M70&gt;المرجع!$K$3,"مستوفاة بشكل متقدم",IF($M70&lt;=المرجع!$K$2,"مستوفاة بشكل أولي","مستوفاة بشكل جزئي")))</f>
        <v>مستوفاة بشكل متقدم</v>
      </c>
      <c r="P70" s="22" t="s">
        <v>245</v>
      </c>
    </row>
    <row r="71" customFormat="false" ht="15" hidden="false" customHeight="true" outlineLevel="0" collapsed="false">
      <c r="A71" s="20" t="s">
        <v>314</v>
      </c>
      <c r="B71" s="20" t="s">
        <v>154</v>
      </c>
      <c r="C71" s="19" t="str">
        <f aca="false">IFERROR(INDEX('قائمة الوحدات'!$B$2:$B$41,MATCH($B71,'قائمة الوحدات'!$A$2:$A$41,0)),"")</f>
        <v>TOP</v>
      </c>
      <c r="D71" s="18" t="str">
        <f aca="false">IFERROR(INDEX('قائمة الوحدات'!$C$2:$C$41,MATCH($B71,'قائمة الوحدات'!$A$2:$A$41,0)),"")</f>
        <v>المرتبطة بسمو الوزير</v>
      </c>
      <c r="E71" s="18" t="str">
        <f aca="false">IFERROR(INDEX('قائمة الوحدات'!$D$2:$D$41,MATCH($B71,'قائمة الوحدات'!$A$2:$A$41,0)),"")</f>
        <v>إدارة الحوكمة والمخاطر</v>
      </c>
      <c r="F71" s="18" t="str">
        <f aca="false">IFERROR(INDEX('قائمة الوحدات'!$F$2:$F$41,MATCH($B71,'قائمة الوحدات'!$A$2:$A$41,0)),"")</f>
        <v>إدارة الحوكمة والمخاطر</v>
      </c>
      <c r="G71" s="20" t="s">
        <v>62</v>
      </c>
      <c r="H71" s="18" t="str">
        <f aca="false">IFERROR(INDEX(المرجع!$A$2:$A$19,MATCH($G71,المرجع!$B$2:$B$19,0)),"")</f>
        <v>البناء المؤسسي</v>
      </c>
      <c r="I71" s="20" t="s">
        <v>49</v>
      </c>
      <c r="J71" s="18" t="str">
        <f aca="false">IFERROR(INDEX(المرجع!$D$2:$D$19,MATCH($I71,المرجع!$E$2:$E$19,0)),"")</f>
        <v>الأهداف ومؤشرات الأداء</v>
      </c>
      <c r="K71" s="20" t="s">
        <v>94</v>
      </c>
      <c r="L71" s="21" t="str">
        <f aca="false">IFERROR(INDEX('نقاط التحقق'!$G$2:$G$31,MATCH($K71,'نقاط التحقق'!$A$2:$A$31,0))&amp;"","")</f>
        <v>نشر الأهداف التشغيلية على موظفي الوحدة التنظيمية</v>
      </c>
      <c r="M71" s="17" t="n">
        <v>70</v>
      </c>
      <c r="N71" s="17" t="n">
        <v>95</v>
      </c>
      <c r="O71" s="19" t="str">
        <f aca="false">IF($M71="","غير مقيّمة",IF($M71&gt;المرجع!$K$3,"مستوفاة بشكل متقدم",IF($M71&lt;=المرجع!$K$2,"مستوفاة بشكل أولي","مستوفاة بشكل جزئي")))</f>
        <v>مستوفاة بشكل جزئي</v>
      </c>
      <c r="P71" s="22" t="s">
        <v>245</v>
      </c>
    </row>
    <row r="72" customFormat="false" ht="15" hidden="false" customHeight="true" outlineLevel="0" collapsed="false">
      <c r="A72" s="20" t="s">
        <v>315</v>
      </c>
      <c r="B72" s="20" t="s">
        <v>154</v>
      </c>
      <c r="C72" s="19" t="str">
        <f aca="false">IFERROR(INDEX('قائمة الوحدات'!$B$2:$B$41,MATCH($B72,'قائمة الوحدات'!$A$2:$A$41,0)),"")</f>
        <v>TOP</v>
      </c>
      <c r="D72" s="18" t="str">
        <f aca="false">IFERROR(INDEX('قائمة الوحدات'!$C$2:$C$41,MATCH($B72,'قائمة الوحدات'!$A$2:$A$41,0)),"")</f>
        <v>المرتبطة بسمو الوزير</v>
      </c>
      <c r="E72" s="18" t="str">
        <f aca="false">IFERROR(INDEX('قائمة الوحدات'!$D$2:$D$41,MATCH($B72,'قائمة الوحدات'!$A$2:$A$41,0)),"")</f>
        <v>إدارة الحوكمة والمخاطر</v>
      </c>
      <c r="F72" s="18" t="str">
        <f aca="false">IFERROR(INDEX('قائمة الوحدات'!$F$2:$F$41,MATCH($B72,'قائمة الوحدات'!$A$2:$A$41,0)),"")</f>
        <v>إدارة الحوكمة والمخاطر</v>
      </c>
      <c r="G72" s="20" t="s">
        <v>62</v>
      </c>
      <c r="H72" s="18" t="str">
        <f aca="false">IFERROR(INDEX(المرجع!$A$2:$A$19,MATCH($G72,المرجع!$B$2:$B$19,0)),"")</f>
        <v>البناء المؤسسي</v>
      </c>
      <c r="I72" s="20" t="s">
        <v>52</v>
      </c>
      <c r="J72" s="18" t="str">
        <f aca="false">IFERROR(INDEX(المرجع!$D$2:$D$19,MATCH($I72,المرجع!$E$2:$E$19,0)),"")</f>
        <v>الحوكمة</v>
      </c>
      <c r="K72" s="20" t="s">
        <v>96</v>
      </c>
      <c r="L72" s="21" t="str">
        <f aca="false">IFERROR(INDEX('نقاط التحقق'!$G$2:$G$31,MATCH($K72,'نقاط التحقق'!$A$2:$A$31,0))&amp;"","")</f>
        <v>مصفوفة صلاحيات معتمدة ومعممة على أصحاب المصلحة</v>
      </c>
      <c r="M72" s="17" t="n">
        <v>65</v>
      </c>
      <c r="N72" s="17" t="n">
        <v>100</v>
      </c>
      <c r="O72" s="19" t="str">
        <f aca="false">IF($M72="","غير مقيّمة",IF($M72&gt;المرجع!$K$3,"مستوفاة بشكل متقدم",IF($M72&lt;=المرجع!$K$2,"مستوفاة بشكل أولي","مستوفاة بشكل جزئي")))</f>
        <v>مستوفاة بشكل جزئي</v>
      </c>
      <c r="P72" s="22" t="s">
        <v>245</v>
      </c>
    </row>
    <row r="73" customFormat="false" ht="15" hidden="false" customHeight="true" outlineLevel="0" collapsed="false">
      <c r="A73" s="20" t="s">
        <v>316</v>
      </c>
      <c r="B73" s="20" t="s">
        <v>154</v>
      </c>
      <c r="C73" s="19" t="str">
        <f aca="false">IFERROR(INDEX('قائمة الوحدات'!$B$2:$B$41,MATCH($B73,'قائمة الوحدات'!$A$2:$A$41,0)),"")</f>
        <v>TOP</v>
      </c>
      <c r="D73" s="18" t="str">
        <f aca="false">IFERROR(INDEX('قائمة الوحدات'!$C$2:$C$41,MATCH($B73,'قائمة الوحدات'!$A$2:$A$41,0)),"")</f>
        <v>المرتبطة بسمو الوزير</v>
      </c>
      <c r="E73" s="18" t="str">
        <f aca="false">IFERROR(INDEX('قائمة الوحدات'!$D$2:$D$41,MATCH($B73,'قائمة الوحدات'!$A$2:$A$41,0)),"")</f>
        <v>إدارة الحوكمة والمخاطر</v>
      </c>
      <c r="F73" s="18" t="str">
        <f aca="false">IFERROR(INDEX('قائمة الوحدات'!$F$2:$F$41,MATCH($B73,'قائمة الوحدات'!$A$2:$A$41,0)),"")</f>
        <v>إدارة الحوكمة والمخاطر</v>
      </c>
      <c r="G73" s="20" t="s">
        <v>62</v>
      </c>
      <c r="H73" s="18" t="str">
        <f aca="false">IFERROR(INDEX(المرجع!$A$2:$A$19,MATCH($G73,المرجع!$B$2:$B$19,0)),"")</f>
        <v>البناء المؤسسي</v>
      </c>
      <c r="I73" s="20" t="s">
        <v>52</v>
      </c>
      <c r="J73" s="18" t="str">
        <f aca="false">IFERROR(INDEX(المرجع!$D$2:$D$19,MATCH($I73,المرجع!$E$2:$E$19,0)),"")</f>
        <v>الحوكمة</v>
      </c>
      <c r="K73" s="20" t="s">
        <v>98</v>
      </c>
      <c r="L73" s="21" t="str">
        <f aca="false">IFERROR(INDEX('نقاط التحقق'!$G$2:$G$31,MATCH($K73,'نقاط التحقق'!$A$2:$A$31,0))&amp;"","")</f>
        <v>سياسات معتمدة للتي تملكها الوحدة التنظيمية</v>
      </c>
      <c r="M73" s="17" t="n">
        <v>60</v>
      </c>
      <c r="N73" s="17" t="n">
        <v>90</v>
      </c>
      <c r="O73" s="19" t="str">
        <f aca="false">IF($M73="","غير مقيّمة",IF($M73&gt;المرجع!$K$3,"مستوفاة بشكل متقدم",IF($M73&lt;=المرجع!$K$2,"مستوفاة بشكل أولي","مستوفاة بشكل جزئي")))</f>
        <v>مستوفاة بشكل جزئي</v>
      </c>
      <c r="P73" s="22" t="s">
        <v>245</v>
      </c>
    </row>
    <row r="74" customFormat="false" ht="15" hidden="false" customHeight="true" outlineLevel="0" collapsed="false">
      <c r="A74" s="20" t="s">
        <v>317</v>
      </c>
      <c r="B74" s="20" t="s">
        <v>154</v>
      </c>
      <c r="C74" s="19" t="str">
        <f aca="false">IFERROR(INDEX('قائمة الوحدات'!$B$2:$B$41,MATCH($B74,'قائمة الوحدات'!$A$2:$A$41,0)),"")</f>
        <v>TOP</v>
      </c>
      <c r="D74" s="18" t="str">
        <f aca="false">IFERROR(INDEX('قائمة الوحدات'!$C$2:$C$41,MATCH($B74,'قائمة الوحدات'!$A$2:$A$41,0)),"")</f>
        <v>المرتبطة بسمو الوزير</v>
      </c>
      <c r="E74" s="18" t="str">
        <f aca="false">IFERROR(INDEX('قائمة الوحدات'!$D$2:$D$41,MATCH($B74,'قائمة الوحدات'!$A$2:$A$41,0)),"")</f>
        <v>إدارة الحوكمة والمخاطر</v>
      </c>
      <c r="F74" s="18" t="str">
        <f aca="false">IFERROR(INDEX('قائمة الوحدات'!$F$2:$F$41,MATCH($B74,'قائمة الوحدات'!$A$2:$A$41,0)),"")</f>
        <v>إدارة الحوكمة والمخاطر</v>
      </c>
      <c r="G74" s="20" t="s">
        <v>62</v>
      </c>
      <c r="H74" s="18" t="str">
        <f aca="false">IFERROR(INDEX(المرجع!$A$2:$A$19,MATCH($G74,المرجع!$B$2:$B$19,0)),"")</f>
        <v>البناء المؤسسي</v>
      </c>
      <c r="I74" s="20" t="s">
        <v>52</v>
      </c>
      <c r="J74" s="18" t="str">
        <f aca="false">IFERROR(INDEX(المرجع!$D$2:$D$19,MATCH($I74,المرجع!$E$2:$E$19,0)),"")</f>
        <v>الحوكمة</v>
      </c>
      <c r="K74" s="20" t="s">
        <v>100</v>
      </c>
      <c r="L74" s="21" t="str">
        <f aca="false">IFERROR(INDEX('نقاط التحقق'!$G$2:$G$31,MATCH($K74,'نقاط التحقق'!$A$2:$A$31,0))&amp;"","")</f>
        <v>قرار تشكيل معتمد للجان ذات العلاقة</v>
      </c>
      <c r="M74" s="17" t="n">
        <v>70</v>
      </c>
      <c r="N74" s="17" t="n">
        <v>95</v>
      </c>
      <c r="O74" s="19" t="str">
        <f aca="false">IF($M74="","غير مقيّمة",IF($M74&gt;المرجع!$K$3,"مستوفاة بشكل متقدم",IF($M74&lt;=المرجع!$K$2,"مستوفاة بشكل أولي","مستوفاة بشكل جزئي")))</f>
        <v>مستوفاة بشكل جزئي</v>
      </c>
      <c r="P74" s="22" t="s">
        <v>245</v>
      </c>
    </row>
    <row r="75" customFormat="false" ht="15" hidden="false" customHeight="true" outlineLevel="0" collapsed="false">
      <c r="A75" s="20" t="s">
        <v>318</v>
      </c>
      <c r="B75" s="20" t="s">
        <v>154</v>
      </c>
      <c r="C75" s="19" t="str">
        <f aca="false">IFERROR(INDEX('قائمة الوحدات'!$B$2:$B$41,MATCH($B75,'قائمة الوحدات'!$A$2:$A$41,0)),"")</f>
        <v>TOP</v>
      </c>
      <c r="D75" s="18" t="str">
        <f aca="false">IFERROR(INDEX('قائمة الوحدات'!$C$2:$C$41,MATCH($B75,'قائمة الوحدات'!$A$2:$A$41,0)),"")</f>
        <v>المرتبطة بسمو الوزير</v>
      </c>
      <c r="E75" s="18" t="str">
        <f aca="false">IFERROR(INDEX('قائمة الوحدات'!$D$2:$D$41,MATCH($B75,'قائمة الوحدات'!$A$2:$A$41,0)),"")</f>
        <v>إدارة الحوكمة والمخاطر</v>
      </c>
      <c r="F75" s="18" t="str">
        <f aca="false">IFERROR(INDEX('قائمة الوحدات'!$F$2:$F$41,MATCH($B75,'قائمة الوحدات'!$A$2:$A$41,0)),"")</f>
        <v>إدارة الحوكمة والمخاطر</v>
      </c>
      <c r="G75" s="20" t="s">
        <v>62</v>
      </c>
      <c r="H75" s="18" t="str">
        <f aca="false">IFERROR(INDEX(المرجع!$A$2:$A$19,MATCH($G75,المرجع!$B$2:$B$19,0)),"")</f>
        <v>البناء المؤسسي</v>
      </c>
      <c r="I75" s="20" t="s">
        <v>55</v>
      </c>
      <c r="J75" s="18" t="str">
        <f aca="false">IFERROR(INDEX(المرجع!$D$2:$D$19,MATCH($I75,المرجع!$E$2:$E$19,0)),"")</f>
        <v>التنظيم</v>
      </c>
      <c r="K75" s="20" t="s">
        <v>102</v>
      </c>
      <c r="L75" s="21" t="str">
        <f aca="false">IFERROR(INDEX('نقاط التحقق'!$G$2:$G$31,MATCH($K75,'نقاط التحقق'!$A$2:$A$31,0))&amp;"","")</f>
        <v>هيكل تنظيمي معتمد من صاحب الصلاحية</v>
      </c>
      <c r="M75" s="17" t="n">
        <v>30</v>
      </c>
      <c r="N75" s="17" t="n">
        <v>100</v>
      </c>
      <c r="O75" s="19" t="str">
        <f aca="false">IF($M75="","غير مقيّمة",IF($M75&gt;المرجع!$K$3,"مستوفاة بشكل متقدم",IF($M75&lt;=المرجع!$K$2,"مستوفاة بشكل أولي","مستوفاة بشكل جزئي")))</f>
        <v>مستوفاة بشكل أولي</v>
      </c>
      <c r="P75" s="22" t="s">
        <v>245</v>
      </c>
    </row>
    <row r="76" customFormat="false" ht="15" hidden="false" customHeight="true" outlineLevel="0" collapsed="false">
      <c r="A76" s="20" t="s">
        <v>319</v>
      </c>
      <c r="B76" s="20" t="s">
        <v>154</v>
      </c>
      <c r="C76" s="19" t="str">
        <f aca="false">IFERROR(INDEX('قائمة الوحدات'!$B$2:$B$41,MATCH($B76,'قائمة الوحدات'!$A$2:$A$41,0)),"")</f>
        <v>TOP</v>
      </c>
      <c r="D76" s="18" t="str">
        <f aca="false">IFERROR(INDEX('قائمة الوحدات'!$C$2:$C$41,MATCH($B76,'قائمة الوحدات'!$A$2:$A$41,0)),"")</f>
        <v>المرتبطة بسمو الوزير</v>
      </c>
      <c r="E76" s="18" t="str">
        <f aca="false">IFERROR(INDEX('قائمة الوحدات'!$D$2:$D$41,MATCH($B76,'قائمة الوحدات'!$A$2:$A$41,0)),"")</f>
        <v>إدارة الحوكمة والمخاطر</v>
      </c>
      <c r="F76" s="18" t="str">
        <f aca="false">IFERROR(INDEX('قائمة الوحدات'!$F$2:$F$41,MATCH($B76,'قائمة الوحدات'!$A$2:$A$41,0)),"")</f>
        <v>إدارة الحوكمة والمخاطر</v>
      </c>
      <c r="G76" s="20" t="s">
        <v>62</v>
      </c>
      <c r="H76" s="18" t="str">
        <f aca="false">IFERROR(INDEX(المرجع!$A$2:$A$19,MATCH($G76,المرجع!$B$2:$B$19,0)),"")</f>
        <v>البناء المؤسسي</v>
      </c>
      <c r="I76" s="20" t="s">
        <v>55</v>
      </c>
      <c r="J76" s="18" t="str">
        <f aca="false">IFERROR(INDEX(المرجع!$D$2:$D$19,MATCH($I76,المرجع!$E$2:$E$19,0)),"")</f>
        <v>التنظيم</v>
      </c>
      <c r="K76" s="20" t="s">
        <v>104</v>
      </c>
      <c r="L76" s="21" t="str">
        <f aca="false">IFERROR(INDEX('نقاط التحقق'!$G$2:$G$31,MATCH($K76,'نقاط التحقق'!$A$2:$A$31,0))&amp;"","")</f>
        <v>هيكل تنظيمي منشأ على نظام القوى العاملة</v>
      </c>
      <c r="M76" s="17" t="n">
        <v>45</v>
      </c>
      <c r="N76" s="17" t="n">
        <v>95</v>
      </c>
      <c r="O76" s="19" t="str">
        <f aca="false">IF($M76="","غير مقيّمة",IF($M76&gt;المرجع!$K$3,"مستوفاة بشكل متقدم",IF($M76&lt;=المرجع!$K$2,"مستوفاة بشكل أولي","مستوفاة بشكل جزئي")))</f>
        <v>مستوفاة بشكل جزئي</v>
      </c>
      <c r="P76" s="22" t="s">
        <v>245</v>
      </c>
    </row>
    <row r="77" customFormat="false" ht="15" hidden="false" customHeight="true" outlineLevel="0" collapsed="false">
      <c r="A77" s="20" t="s">
        <v>320</v>
      </c>
      <c r="B77" s="20" t="s">
        <v>154</v>
      </c>
      <c r="C77" s="19" t="str">
        <f aca="false">IFERROR(INDEX('قائمة الوحدات'!$B$2:$B$41,MATCH($B77,'قائمة الوحدات'!$A$2:$A$41,0)),"")</f>
        <v>TOP</v>
      </c>
      <c r="D77" s="18" t="str">
        <f aca="false">IFERROR(INDEX('قائمة الوحدات'!$C$2:$C$41,MATCH($B77,'قائمة الوحدات'!$A$2:$A$41,0)),"")</f>
        <v>المرتبطة بسمو الوزير</v>
      </c>
      <c r="E77" s="18" t="str">
        <f aca="false">IFERROR(INDEX('قائمة الوحدات'!$D$2:$D$41,MATCH($B77,'قائمة الوحدات'!$A$2:$A$41,0)),"")</f>
        <v>إدارة الحوكمة والمخاطر</v>
      </c>
      <c r="F77" s="18" t="str">
        <f aca="false">IFERROR(INDEX('قائمة الوحدات'!$F$2:$F$41,MATCH($B77,'قائمة الوحدات'!$A$2:$A$41,0)),"")</f>
        <v>إدارة الحوكمة والمخاطر</v>
      </c>
      <c r="G77" s="20" t="s">
        <v>62</v>
      </c>
      <c r="H77" s="18" t="str">
        <f aca="false">IFERROR(INDEX(المرجع!$A$2:$A$19,MATCH($G77,المرجع!$B$2:$B$19,0)),"")</f>
        <v>البناء المؤسسي</v>
      </c>
      <c r="I77" s="20" t="s">
        <v>55</v>
      </c>
      <c r="J77" s="18" t="str">
        <f aca="false">IFERROR(INDEX(المرجع!$D$2:$D$19,MATCH($I77,المرجع!$E$2:$E$19,0)),"")</f>
        <v>التنظيم</v>
      </c>
      <c r="K77" s="20" t="s">
        <v>106</v>
      </c>
      <c r="L77" s="21" t="str">
        <f aca="false">IFERROR(INDEX('نقاط التحقق'!$G$2:$G$31,MATCH($K77,'نقاط التحقق'!$A$2:$A$31,0))&amp;"","")</f>
        <v>الموظفون المحددون مسكّنون على الهيكل التنظيمي المستهدف</v>
      </c>
      <c r="M77" s="17" t="n">
        <v>50</v>
      </c>
      <c r="N77" s="17" t="n">
        <v>90</v>
      </c>
      <c r="O77" s="19" t="str">
        <f aca="false">IF($M77="","غير مقيّمة",IF($M77&gt;المرجع!$K$3,"مستوفاة بشكل متقدم",IF($M77&lt;=المرجع!$K$2,"مستوفاة بشكل أولي","مستوفاة بشكل جزئي")))</f>
        <v>مستوفاة بشكل جزئي</v>
      </c>
      <c r="P77" s="22" t="s">
        <v>245</v>
      </c>
    </row>
    <row r="78" customFormat="false" ht="15" hidden="false" customHeight="true" outlineLevel="0" collapsed="false">
      <c r="A78" s="20" t="s">
        <v>321</v>
      </c>
      <c r="B78" s="20" t="s">
        <v>154</v>
      </c>
      <c r="C78" s="19" t="str">
        <f aca="false">IFERROR(INDEX('قائمة الوحدات'!$B$2:$B$41,MATCH($B78,'قائمة الوحدات'!$A$2:$A$41,0)),"")</f>
        <v>TOP</v>
      </c>
      <c r="D78" s="18" t="str">
        <f aca="false">IFERROR(INDEX('قائمة الوحدات'!$C$2:$C$41,MATCH($B78,'قائمة الوحدات'!$A$2:$A$41,0)),"")</f>
        <v>المرتبطة بسمو الوزير</v>
      </c>
      <c r="E78" s="18" t="str">
        <f aca="false">IFERROR(INDEX('قائمة الوحدات'!$D$2:$D$41,MATCH($B78,'قائمة الوحدات'!$A$2:$A$41,0)),"")</f>
        <v>إدارة الحوكمة والمخاطر</v>
      </c>
      <c r="F78" s="18" t="str">
        <f aca="false">IFERROR(INDEX('قائمة الوحدات'!$F$2:$F$41,MATCH($B78,'قائمة الوحدات'!$A$2:$A$41,0)),"")</f>
        <v>إدارة الحوكمة والمخاطر</v>
      </c>
      <c r="G78" s="20" t="s">
        <v>62</v>
      </c>
      <c r="H78" s="18" t="str">
        <f aca="false">IFERROR(INDEX(المرجع!$A$2:$A$19,MATCH($G78,المرجع!$B$2:$B$19,0)),"")</f>
        <v>البناء المؤسسي</v>
      </c>
      <c r="I78" s="20" t="s">
        <v>57</v>
      </c>
      <c r="J78" s="18" t="str">
        <f aca="false">IFERROR(INDEX(المرجع!$D$2:$D$19,MATCH($I78,المرجع!$E$2:$E$19,0)),"")</f>
        <v>الموارد</v>
      </c>
      <c r="K78" s="20" t="s">
        <v>108</v>
      </c>
      <c r="L78" s="21" t="str">
        <f aca="false">IFERROR(INDEX('نقاط التحقق'!$G$2:$G$31,MATCH($K78,'نقاط التحقق'!$A$2:$A$31,0))&amp;"","")</f>
        <v>مدير الوحدة التنظيمية والموظفون الرئيسيون معينون/ملحقون</v>
      </c>
      <c r="M78" s="17" t="n">
        <v>65</v>
      </c>
      <c r="N78" s="17" t="n">
        <v>90</v>
      </c>
      <c r="O78" s="19" t="str">
        <f aca="false">IF($M78="","غير مقيّمة",IF($M78&gt;المرجع!$K$3,"مستوفاة بشكل متقدم",IF($M78&lt;=المرجع!$K$2,"مستوفاة بشكل أولي","مستوفاة بشكل جزئي")))</f>
        <v>مستوفاة بشكل جزئي</v>
      </c>
      <c r="P78" s="22" t="s">
        <v>245</v>
      </c>
    </row>
    <row r="79" customFormat="false" ht="15" hidden="false" customHeight="true" outlineLevel="0" collapsed="false">
      <c r="A79" s="20" t="s">
        <v>322</v>
      </c>
      <c r="B79" s="20" t="s">
        <v>154</v>
      </c>
      <c r="C79" s="19" t="str">
        <f aca="false">IFERROR(INDEX('قائمة الوحدات'!$B$2:$B$41,MATCH($B79,'قائمة الوحدات'!$A$2:$A$41,0)),"")</f>
        <v>TOP</v>
      </c>
      <c r="D79" s="18" t="str">
        <f aca="false">IFERROR(INDEX('قائمة الوحدات'!$C$2:$C$41,MATCH($B79,'قائمة الوحدات'!$A$2:$A$41,0)),"")</f>
        <v>المرتبطة بسمو الوزير</v>
      </c>
      <c r="E79" s="18" t="str">
        <f aca="false">IFERROR(INDEX('قائمة الوحدات'!$D$2:$D$41,MATCH($B79,'قائمة الوحدات'!$A$2:$A$41,0)),"")</f>
        <v>إدارة الحوكمة والمخاطر</v>
      </c>
      <c r="F79" s="18" t="str">
        <f aca="false">IFERROR(INDEX('قائمة الوحدات'!$F$2:$F$41,MATCH($B79,'قائمة الوحدات'!$A$2:$A$41,0)),"")</f>
        <v>إدارة الحوكمة والمخاطر</v>
      </c>
      <c r="G79" s="20" t="s">
        <v>62</v>
      </c>
      <c r="H79" s="18" t="str">
        <f aca="false">IFERROR(INDEX(المرجع!$A$2:$A$19,MATCH($G79,المرجع!$B$2:$B$19,0)),"")</f>
        <v>البناء المؤسسي</v>
      </c>
      <c r="I79" s="20" t="s">
        <v>57</v>
      </c>
      <c r="J79" s="18" t="str">
        <f aca="false">IFERROR(INDEX(المرجع!$D$2:$D$19,MATCH($I79,المرجع!$E$2:$E$19,0)),"")</f>
        <v>الموارد</v>
      </c>
      <c r="K79" s="20" t="s">
        <v>110</v>
      </c>
      <c r="L79" s="21" t="str">
        <f aca="false">IFERROR(INDEX('نقاط التحقق'!$G$2:$G$31,MATCH($K79,'نقاط التحقق'!$A$2:$A$31,0))&amp;"","")</f>
        <v>خطة توظيف وتدريب مستكملة</v>
      </c>
      <c r="M79" s="17" t="n">
        <v>50</v>
      </c>
      <c r="N79" s="17" t="n">
        <v>85</v>
      </c>
      <c r="O79" s="19" t="str">
        <f aca="false">IF($M79="","غير مقيّمة",IF($M79&gt;المرجع!$K$3,"مستوفاة بشكل متقدم",IF($M79&lt;=المرجع!$K$2,"مستوفاة بشكل أولي","مستوفاة بشكل جزئي")))</f>
        <v>مستوفاة بشكل جزئي</v>
      </c>
      <c r="P79" s="22" t="s">
        <v>245</v>
      </c>
    </row>
    <row r="80" customFormat="false" ht="15" hidden="false" customHeight="true" outlineLevel="0" collapsed="false">
      <c r="A80" s="20" t="s">
        <v>323</v>
      </c>
      <c r="B80" s="20" t="s">
        <v>154</v>
      </c>
      <c r="C80" s="19" t="str">
        <f aca="false">IFERROR(INDEX('قائمة الوحدات'!$B$2:$B$41,MATCH($B80,'قائمة الوحدات'!$A$2:$A$41,0)),"")</f>
        <v>TOP</v>
      </c>
      <c r="D80" s="18" t="str">
        <f aca="false">IFERROR(INDEX('قائمة الوحدات'!$C$2:$C$41,MATCH($B80,'قائمة الوحدات'!$A$2:$A$41,0)),"")</f>
        <v>المرتبطة بسمو الوزير</v>
      </c>
      <c r="E80" s="18" t="str">
        <f aca="false">IFERROR(INDEX('قائمة الوحدات'!$D$2:$D$41,MATCH($B80,'قائمة الوحدات'!$A$2:$A$41,0)),"")</f>
        <v>إدارة الحوكمة والمخاطر</v>
      </c>
      <c r="F80" s="18" t="str">
        <f aca="false">IFERROR(INDEX('قائمة الوحدات'!$F$2:$F$41,MATCH($B80,'قائمة الوحدات'!$A$2:$A$41,0)),"")</f>
        <v>إدارة الحوكمة والمخاطر</v>
      </c>
      <c r="G80" s="20" t="s">
        <v>62</v>
      </c>
      <c r="H80" s="18" t="str">
        <f aca="false">IFERROR(INDEX(المرجع!$A$2:$A$19,MATCH($G80,المرجع!$B$2:$B$19,0)),"")</f>
        <v>البناء المؤسسي</v>
      </c>
      <c r="I80" s="20" t="s">
        <v>57</v>
      </c>
      <c r="J80" s="18" t="str">
        <f aca="false">IFERROR(INDEX(المرجع!$D$2:$D$19,MATCH($I80,المرجع!$E$2:$E$19,0)),"")</f>
        <v>الموارد</v>
      </c>
      <c r="K80" s="20" t="s">
        <v>112</v>
      </c>
      <c r="L80" s="21" t="str">
        <f aca="false">IFERROR(INDEX('نقاط التحقق'!$G$2:$G$31,MATCH($K80,'نقاط التحقق'!$A$2:$A$31,0))&amp;"","")</f>
        <v>وجود مساحات مكتبية كافية</v>
      </c>
      <c r="M80" s="17" t="n">
        <v>55</v>
      </c>
      <c r="N80" s="17" t="n">
        <v>100</v>
      </c>
      <c r="O80" s="19" t="str">
        <f aca="false">IF($M80="","غير مقيّمة",IF($M80&gt;المرجع!$K$3,"مستوفاة بشكل متقدم",IF($M80&lt;=المرجع!$K$2,"مستوفاة بشكل أولي","مستوفاة بشكل جزئي")))</f>
        <v>مستوفاة بشكل جزئي</v>
      </c>
      <c r="P80" s="22" t="s">
        <v>245</v>
      </c>
    </row>
    <row r="81" customFormat="false" ht="15" hidden="false" customHeight="true" outlineLevel="0" collapsed="false">
      <c r="A81" s="20" t="s">
        <v>324</v>
      </c>
      <c r="B81" s="20" t="s">
        <v>154</v>
      </c>
      <c r="C81" s="19" t="str">
        <f aca="false">IFERROR(INDEX('قائمة الوحدات'!$B$2:$B$41,MATCH($B81,'قائمة الوحدات'!$A$2:$A$41,0)),"")</f>
        <v>TOP</v>
      </c>
      <c r="D81" s="18" t="str">
        <f aca="false">IFERROR(INDEX('قائمة الوحدات'!$C$2:$C$41,MATCH($B81,'قائمة الوحدات'!$A$2:$A$41,0)),"")</f>
        <v>المرتبطة بسمو الوزير</v>
      </c>
      <c r="E81" s="18" t="str">
        <f aca="false">IFERROR(INDEX('قائمة الوحدات'!$D$2:$D$41,MATCH($B81,'قائمة الوحدات'!$A$2:$A$41,0)),"")</f>
        <v>إدارة الحوكمة والمخاطر</v>
      </c>
      <c r="F81" s="18" t="str">
        <f aca="false">IFERROR(INDEX('قائمة الوحدات'!$F$2:$F$41,MATCH($B81,'قائمة الوحدات'!$A$2:$A$41,0)),"")</f>
        <v>إدارة الحوكمة والمخاطر</v>
      </c>
      <c r="G81" s="20" t="s">
        <v>62</v>
      </c>
      <c r="H81" s="18" t="str">
        <f aca="false">IFERROR(INDEX(المرجع!$A$2:$A$19,MATCH($G81,المرجع!$B$2:$B$19,0)),"")</f>
        <v>البناء المؤسسي</v>
      </c>
      <c r="I81" s="20" t="s">
        <v>57</v>
      </c>
      <c r="J81" s="18" t="str">
        <f aca="false">IFERROR(INDEX(المرجع!$D$2:$D$19,MATCH($I81,المرجع!$E$2:$E$19,0)),"")</f>
        <v>الموارد</v>
      </c>
      <c r="K81" s="20" t="s">
        <v>114</v>
      </c>
      <c r="L81" s="21" t="str">
        <f aca="false">IFERROR(INDEX('نقاط التحقق'!$G$2:$G$31,MATCH($K81,'نقاط التحقق'!$A$2:$A$31,0))&amp;"","")</f>
        <v>وجود الاحتياجات التقنية الأساسية</v>
      </c>
      <c r="M81" s="17" t="n">
        <v>55</v>
      </c>
      <c r="N81" s="17" t="n">
        <v>85</v>
      </c>
      <c r="O81" s="19" t="str">
        <f aca="false">IF($M81="","غير مقيّمة",IF($M81&gt;المرجع!$K$3,"مستوفاة بشكل متقدم",IF($M81&lt;=المرجع!$K$2,"مستوفاة بشكل أولي","مستوفاة بشكل جزئي")))</f>
        <v>مستوفاة بشكل جزئي</v>
      </c>
      <c r="P81" s="22" t="s">
        <v>245</v>
      </c>
    </row>
    <row r="82" customFormat="false" ht="15" hidden="false" customHeight="true" outlineLevel="0" collapsed="false">
      <c r="A82" s="20" t="s">
        <v>325</v>
      </c>
      <c r="B82" s="20" t="s">
        <v>154</v>
      </c>
      <c r="C82" s="19" t="str">
        <f aca="false">IFERROR(INDEX('قائمة الوحدات'!$B$2:$B$41,MATCH($B82,'قائمة الوحدات'!$A$2:$A$41,0)),"")</f>
        <v>TOP</v>
      </c>
      <c r="D82" s="18" t="str">
        <f aca="false">IFERROR(INDEX('قائمة الوحدات'!$C$2:$C$41,MATCH($B82,'قائمة الوحدات'!$A$2:$A$41,0)),"")</f>
        <v>المرتبطة بسمو الوزير</v>
      </c>
      <c r="E82" s="18" t="str">
        <f aca="false">IFERROR(INDEX('قائمة الوحدات'!$D$2:$D$41,MATCH($B82,'قائمة الوحدات'!$A$2:$A$41,0)),"")</f>
        <v>إدارة الحوكمة والمخاطر</v>
      </c>
      <c r="F82" s="18" t="str">
        <f aca="false">IFERROR(INDEX('قائمة الوحدات'!$F$2:$F$41,MATCH($B82,'قائمة الوحدات'!$A$2:$A$41,0)),"")</f>
        <v>إدارة الحوكمة والمخاطر</v>
      </c>
      <c r="G82" s="20" t="s">
        <v>62</v>
      </c>
      <c r="H82" s="18" t="str">
        <f aca="false">IFERROR(INDEX(المرجع!$A$2:$A$19,MATCH($G82,المرجع!$B$2:$B$19,0)),"")</f>
        <v>البناء المؤسسي</v>
      </c>
      <c r="I82" s="20" t="s">
        <v>60</v>
      </c>
      <c r="J82" s="18" t="str">
        <f aca="false">IFERROR(INDEX(المرجع!$D$2:$D$19,MATCH($I82,المرجع!$E$2:$E$19,0)),"")</f>
        <v>الإجراءات</v>
      </c>
      <c r="K82" s="20" t="s">
        <v>116</v>
      </c>
      <c r="L82" s="21" t="str">
        <f aca="false">IFERROR(INDEX('نقاط التحقق'!$G$2:$G$31,MATCH($K82,'نقاط التحقق'!$A$2:$A$31,0))&amp;"","")</f>
        <v>إجراءات معتمدة للوحدة التنظيمية</v>
      </c>
      <c r="M82" s="17" t="n">
        <v>53</v>
      </c>
      <c r="N82" s="17" t="n">
        <v>100</v>
      </c>
      <c r="O82" s="19" t="str">
        <f aca="false">IF($M82="","غير مقيّمة",IF($M82&gt;المرجع!$K$3,"مستوفاة بشكل متقدم",IF($M82&lt;=المرجع!$K$2,"مستوفاة بشكل أولي","مستوفاة بشكل جزئي")))</f>
        <v>مستوفاة بشكل جزئي</v>
      </c>
      <c r="P82" s="22" t="s">
        <v>245</v>
      </c>
    </row>
    <row r="83" customFormat="false" ht="15" hidden="false" customHeight="true" outlineLevel="0" collapsed="false">
      <c r="A83" s="20" t="s">
        <v>326</v>
      </c>
      <c r="B83" s="20" t="s">
        <v>154</v>
      </c>
      <c r="C83" s="19" t="str">
        <f aca="false">IFERROR(INDEX('قائمة الوحدات'!$B$2:$B$41,MATCH($B83,'قائمة الوحدات'!$A$2:$A$41,0)),"")</f>
        <v>TOP</v>
      </c>
      <c r="D83" s="18" t="str">
        <f aca="false">IFERROR(INDEX('قائمة الوحدات'!$C$2:$C$41,MATCH($B83,'قائمة الوحدات'!$A$2:$A$41,0)),"")</f>
        <v>المرتبطة بسمو الوزير</v>
      </c>
      <c r="E83" s="18" t="str">
        <f aca="false">IFERROR(INDEX('قائمة الوحدات'!$D$2:$D$41,MATCH($B83,'قائمة الوحدات'!$A$2:$A$41,0)),"")</f>
        <v>إدارة الحوكمة والمخاطر</v>
      </c>
      <c r="F83" s="18" t="str">
        <f aca="false">IFERROR(INDEX('قائمة الوحدات'!$F$2:$F$41,MATCH($B83,'قائمة الوحدات'!$A$2:$A$41,0)),"")</f>
        <v>إدارة الحوكمة والمخاطر</v>
      </c>
      <c r="G83" s="20" t="s">
        <v>62</v>
      </c>
      <c r="H83" s="18" t="str">
        <f aca="false">IFERROR(INDEX(المرجع!$A$2:$A$19,MATCH($G83,المرجع!$B$2:$B$19,0)),"")</f>
        <v>البناء المؤسسي</v>
      </c>
      <c r="I83" s="20" t="s">
        <v>69</v>
      </c>
      <c r="J83" s="18" t="str">
        <f aca="false">IFERROR(INDEX(المرجع!$D$2:$D$19,MATCH($I83,المرجع!$E$2:$E$19,0)),"")</f>
        <v>إنتاج المخرج الأول</v>
      </c>
      <c r="K83" s="20" t="s">
        <v>118</v>
      </c>
      <c r="L83" s="21" t="str">
        <f aca="false">IFERROR(INDEX('نقاط التحقق'!$G$2:$G$31,MATCH($K83,'نقاط التحقق'!$A$2:$A$31,0))&amp;"","")</f>
        <v>إنتاج المخرج الأول من قبل الوحدة التنظيمية</v>
      </c>
      <c r="M83" s="17" t="n">
        <v>68</v>
      </c>
      <c r="N83" s="17" t="n">
        <v>100</v>
      </c>
      <c r="O83" s="19" t="str">
        <f aca="false">IF($M83="","غير مقيّمة",IF($M83&gt;المرجع!$K$3,"مستوفاة بشكل متقدم",IF($M83&lt;=المرجع!$K$2,"مستوفاة بشكل أولي","مستوفاة بشكل جزئي")))</f>
        <v>مستوفاة بشكل جزئي</v>
      </c>
      <c r="P83" s="22" t="s">
        <v>245</v>
      </c>
    </row>
    <row r="84" customFormat="false" ht="15" hidden="false" customHeight="true" outlineLevel="0" collapsed="false">
      <c r="A84" s="20" t="s">
        <v>327</v>
      </c>
      <c r="B84" s="20" t="s">
        <v>154</v>
      </c>
      <c r="C84" s="19" t="str">
        <f aca="false">IFERROR(INDEX('قائمة الوحدات'!$B$2:$B$41,MATCH($B84,'قائمة الوحدات'!$A$2:$A$41,0)),"")</f>
        <v>TOP</v>
      </c>
      <c r="D84" s="18" t="str">
        <f aca="false">IFERROR(INDEX('قائمة الوحدات'!$C$2:$C$41,MATCH($B84,'قائمة الوحدات'!$A$2:$A$41,0)),"")</f>
        <v>المرتبطة بسمو الوزير</v>
      </c>
      <c r="E84" s="18" t="str">
        <f aca="false">IFERROR(INDEX('قائمة الوحدات'!$D$2:$D$41,MATCH($B84,'قائمة الوحدات'!$A$2:$A$41,0)),"")</f>
        <v>إدارة الحوكمة والمخاطر</v>
      </c>
      <c r="F84" s="18" t="str">
        <f aca="false">IFERROR(INDEX('قائمة الوحدات'!$F$2:$F$41,MATCH($B84,'قائمة الوحدات'!$A$2:$A$41,0)),"")</f>
        <v>إدارة الحوكمة والمخاطر</v>
      </c>
      <c r="G84" s="20" t="s">
        <v>66</v>
      </c>
      <c r="H84" s="18" t="str">
        <f aca="false">IFERROR(INDEX(المرجع!$A$2:$A$19,MATCH($G84,المرجع!$B$2:$B$19,0)),"")</f>
        <v>التشغيل</v>
      </c>
      <c r="I84" s="20" t="s">
        <v>49</v>
      </c>
      <c r="J84" s="18" t="str">
        <f aca="false">IFERROR(INDEX(المرجع!$D$2:$D$19,MATCH($I84,المرجع!$E$2:$E$19,0)),"")</f>
        <v>الأهداف ومؤشرات الأداء</v>
      </c>
      <c r="K84" s="20" t="s">
        <v>120</v>
      </c>
      <c r="L84" s="21" t="str">
        <f aca="false">IFERROR(INDEX('نقاط التحقق'!$G$2:$G$31,MATCH($K84,'نقاط التحقق'!$A$2:$A$31,0))&amp;"","")</f>
        <v>تحرك مؤشرات الأداء التشغيلي للوحدة التنظيمية بشكل إيجابي</v>
      </c>
      <c r="M84" s="17" t="n">
        <v>20</v>
      </c>
      <c r="N84" s="17" t="n">
        <v>85</v>
      </c>
      <c r="O84" s="19" t="str">
        <f aca="false">IF($M84="","غير مقيّمة",IF($M84&gt;المرجع!$K$3,"مستوفاة بشكل متقدم",IF($M84&lt;=المرجع!$K$2,"مستوفاة بشكل أولي","مستوفاة بشكل جزئي")))</f>
        <v>مستوفاة بشكل أولي</v>
      </c>
      <c r="P84" s="22" t="s">
        <v>245</v>
      </c>
    </row>
    <row r="85" customFormat="false" ht="15" hidden="false" customHeight="true" outlineLevel="0" collapsed="false">
      <c r="A85" s="20" t="s">
        <v>328</v>
      </c>
      <c r="B85" s="20" t="s">
        <v>154</v>
      </c>
      <c r="C85" s="19" t="str">
        <f aca="false">IFERROR(INDEX('قائمة الوحدات'!$B$2:$B$41,MATCH($B85,'قائمة الوحدات'!$A$2:$A$41,0)),"")</f>
        <v>TOP</v>
      </c>
      <c r="D85" s="18" t="str">
        <f aca="false">IFERROR(INDEX('قائمة الوحدات'!$C$2:$C$41,MATCH($B85,'قائمة الوحدات'!$A$2:$A$41,0)),"")</f>
        <v>المرتبطة بسمو الوزير</v>
      </c>
      <c r="E85" s="18" t="str">
        <f aca="false">IFERROR(INDEX('قائمة الوحدات'!$D$2:$D$41,MATCH($B85,'قائمة الوحدات'!$A$2:$A$41,0)),"")</f>
        <v>إدارة الحوكمة والمخاطر</v>
      </c>
      <c r="F85" s="18" t="str">
        <f aca="false">IFERROR(INDEX('قائمة الوحدات'!$F$2:$F$41,MATCH($B85,'قائمة الوحدات'!$A$2:$A$41,0)),"")</f>
        <v>إدارة الحوكمة والمخاطر</v>
      </c>
      <c r="G85" s="20" t="s">
        <v>66</v>
      </c>
      <c r="H85" s="18" t="str">
        <f aca="false">IFERROR(INDEX(المرجع!$A$2:$A$19,MATCH($G85,المرجع!$B$2:$B$19,0)),"")</f>
        <v>التشغيل</v>
      </c>
      <c r="I85" s="20" t="s">
        <v>49</v>
      </c>
      <c r="J85" s="18" t="str">
        <f aca="false">IFERROR(INDEX(المرجع!$D$2:$D$19,MATCH($I85,المرجع!$E$2:$E$19,0)),"")</f>
        <v>الأهداف ومؤشرات الأداء</v>
      </c>
      <c r="K85" s="20" t="s">
        <v>122</v>
      </c>
      <c r="L85" s="21" t="str">
        <f aca="false">IFERROR(INDEX('نقاط التحقق'!$G$2:$G$31,MATCH($K85,'نقاط التحقق'!$A$2:$A$31,0))&amp;"","")</f>
        <v>خطة سنوية معتمدة للوحدة التنظيمية</v>
      </c>
      <c r="M85" s="17" t="n">
        <v>30</v>
      </c>
      <c r="N85" s="17" t="n">
        <v>80</v>
      </c>
      <c r="O85" s="19" t="str">
        <f aca="false">IF($M85="","غير مقيّمة",IF($M85&gt;المرجع!$K$3,"مستوفاة بشكل متقدم",IF($M85&lt;=المرجع!$K$2,"مستوفاة بشكل أولي","مستوفاة بشكل جزئي")))</f>
        <v>مستوفاة بشكل أولي</v>
      </c>
      <c r="P85" s="22" t="s">
        <v>245</v>
      </c>
    </row>
    <row r="86" customFormat="false" ht="15" hidden="false" customHeight="true" outlineLevel="0" collapsed="false">
      <c r="A86" s="20" t="s">
        <v>329</v>
      </c>
      <c r="B86" s="20" t="s">
        <v>154</v>
      </c>
      <c r="C86" s="19" t="str">
        <f aca="false">IFERROR(INDEX('قائمة الوحدات'!$B$2:$B$41,MATCH($B86,'قائمة الوحدات'!$A$2:$A$41,0)),"")</f>
        <v>TOP</v>
      </c>
      <c r="D86" s="18" t="str">
        <f aca="false">IFERROR(INDEX('قائمة الوحدات'!$C$2:$C$41,MATCH($B86,'قائمة الوحدات'!$A$2:$A$41,0)),"")</f>
        <v>المرتبطة بسمو الوزير</v>
      </c>
      <c r="E86" s="18" t="str">
        <f aca="false">IFERROR(INDEX('قائمة الوحدات'!$D$2:$D$41,MATCH($B86,'قائمة الوحدات'!$A$2:$A$41,0)),"")</f>
        <v>إدارة الحوكمة والمخاطر</v>
      </c>
      <c r="F86" s="18" t="str">
        <f aca="false">IFERROR(INDEX('قائمة الوحدات'!$F$2:$F$41,MATCH($B86,'قائمة الوحدات'!$A$2:$A$41,0)),"")</f>
        <v>إدارة الحوكمة والمخاطر</v>
      </c>
      <c r="G86" s="20" t="s">
        <v>66</v>
      </c>
      <c r="H86" s="18" t="str">
        <f aca="false">IFERROR(INDEX(المرجع!$A$2:$A$19,MATCH($G86,المرجع!$B$2:$B$19,0)),"")</f>
        <v>التشغيل</v>
      </c>
      <c r="I86" s="20" t="s">
        <v>52</v>
      </c>
      <c r="J86" s="18" t="str">
        <f aca="false">IFERROR(INDEX(المرجع!$D$2:$D$19,MATCH($I86,المرجع!$E$2:$E$19,0)),"")</f>
        <v>الحوكمة</v>
      </c>
      <c r="K86" s="20" t="s">
        <v>124</v>
      </c>
      <c r="L86" s="21" t="str">
        <f aca="false">IFERROR(INDEX('نقاط التحقق'!$G$2:$G$31,MATCH($K86,'نقاط التحقق'!$A$2:$A$31,0))&amp;"","")</f>
        <v>محاضر لجان موثقة</v>
      </c>
      <c r="M86" s="17" t="n">
        <v>45</v>
      </c>
      <c r="N86" s="17" t="n">
        <v>100</v>
      </c>
      <c r="O86" s="19" t="str">
        <f aca="false">IF($M86="","غير مقيّمة",IF($M86&gt;المرجع!$K$3,"مستوفاة بشكل متقدم",IF($M86&lt;=المرجع!$K$2,"مستوفاة بشكل أولي","مستوفاة بشكل جزئي")))</f>
        <v>مستوفاة بشكل جزئي</v>
      </c>
      <c r="P86" s="22" t="s">
        <v>245</v>
      </c>
    </row>
    <row r="87" customFormat="false" ht="15" hidden="false" customHeight="true" outlineLevel="0" collapsed="false">
      <c r="A87" s="20" t="s">
        <v>330</v>
      </c>
      <c r="B87" s="20" t="s">
        <v>154</v>
      </c>
      <c r="C87" s="19" t="str">
        <f aca="false">IFERROR(INDEX('قائمة الوحدات'!$B$2:$B$41,MATCH($B87,'قائمة الوحدات'!$A$2:$A$41,0)),"")</f>
        <v>TOP</v>
      </c>
      <c r="D87" s="18" t="str">
        <f aca="false">IFERROR(INDEX('قائمة الوحدات'!$C$2:$C$41,MATCH($B87,'قائمة الوحدات'!$A$2:$A$41,0)),"")</f>
        <v>المرتبطة بسمو الوزير</v>
      </c>
      <c r="E87" s="18" t="str">
        <f aca="false">IFERROR(INDEX('قائمة الوحدات'!$D$2:$D$41,MATCH($B87,'قائمة الوحدات'!$A$2:$A$41,0)),"")</f>
        <v>إدارة الحوكمة والمخاطر</v>
      </c>
      <c r="F87" s="18" t="str">
        <f aca="false">IFERROR(INDEX('قائمة الوحدات'!$F$2:$F$41,MATCH($B87,'قائمة الوحدات'!$A$2:$A$41,0)),"")</f>
        <v>إدارة الحوكمة والمخاطر</v>
      </c>
      <c r="G87" s="20" t="s">
        <v>66</v>
      </c>
      <c r="H87" s="18" t="str">
        <f aca="false">IFERROR(INDEX(المرجع!$A$2:$A$19,MATCH($G87,المرجع!$B$2:$B$19,0)),"")</f>
        <v>التشغيل</v>
      </c>
      <c r="I87" s="20" t="s">
        <v>52</v>
      </c>
      <c r="J87" s="18" t="str">
        <f aca="false">IFERROR(INDEX(المرجع!$D$2:$D$19,MATCH($I87,المرجع!$E$2:$E$19,0)),"")</f>
        <v>الحوكمة</v>
      </c>
      <c r="K87" s="20" t="s">
        <v>126</v>
      </c>
      <c r="L87" s="21" t="str">
        <f aca="false">IFERROR(INDEX('نقاط التحقق'!$G$2:$G$31,MATCH($K87,'نقاط التحقق'!$A$2:$A$31,0))&amp;"","")</f>
        <v>نشر السياسات التي تملكها الوحدة التنظيمية</v>
      </c>
      <c r="M87" s="17" t="n">
        <v>35</v>
      </c>
      <c r="N87" s="17" t="n">
        <v>90</v>
      </c>
      <c r="O87" s="19" t="str">
        <f aca="false">IF($M87="","غير مقيّمة",IF($M87&gt;المرجع!$K$3,"مستوفاة بشكل متقدم",IF($M87&lt;=المرجع!$K$2,"مستوفاة بشكل أولي","مستوفاة بشكل جزئي")))</f>
        <v>مستوفاة بشكل جزئي</v>
      </c>
      <c r="P87" s="22" t="s">
        <v>245</v>
      </c>
    </row>
    <row r="88" customFormat="false" ht="15" hidden="false" customHeight="true" outlineLevel="0" collapsed="false">
      <c r="A88" s="20" t="s">
        <v>331</v>
      </c>
      <c r="B88" s="20" t="s">
        <v>154</v>
      </c>
      <c r="C88" s="19" t="str">
        <f aca="false">IFERROR(INDEX('قائمة الوحدات'!$B$2:$B$41,MATCH($B88,'قائمة الوحدات'!$A$2:$A$41,0)),"")</f>
        <v>TOP</v>
      </c>
      <c r="D88" s="18" t="str">
        <f aca="false">IFERROR(INDEX('قائمة الوحدات'!$C$2:$C$41,MATCH($B88,'قائمة الوحدات'!$A$2:$A$41,0)),"")</f>
        <v>المرتبطة بسمو الوزير</v>
      </c>
      <c r="E88" s="18" t="str">
        <f aca="false">IFERROR(INDEX('قائمة الوحدات'!$D$2:$D$41,MATCH($B88,'قائمة الوحدات'!$A$2:$A$41,0)),"")</f>
        <v>إدارة الحوكمة والمخاطر</v>
      </c>
      <c r="F88" s="18" t="str">
        <f aca="false">IFERROR(INDEX('قائمة الوحدات'!$F$2:$F$41,MATCH($B88,'قائمة الوحدات'!$A$2:$A$41,0)),"")</f>
        <v>إدارة الحوكمة والمخاطر</v>
      </c>
      <c r="G88" s="20" t="s">
        <v>66</v>
      </c>
      <c r="H88" s="18" t="str">
        <f aca="false">IFERROR(INDEX(المرجع!$A$2:$A$19,MATCH($G88,المرجع!$B$2:$B$19,0)),"")</f>
        <v>التشغيل</v>
      </c>
      <c r="I88" s="20" t="s">
        <v>52</v>
      </c>
      <c r="J88" s="18" t="str">
        <f aca="false">IFERROR(INDEX(المرجع!$D$2:$D$19,MATCH($I88,المرجع!$E$2:$E$19,0)),"")</f>
        <v>الحوكمة</v>
      </c>
      <c r="K88" s="20" t="s">
        <v>128</v>
      </c>
      <c r="L88" s="21" t="str">
        <f aca="false">IFERROR(INDEX('نقاط التحقق'!$G$2:$G$31,MATCH($K88,'نقاط التحقق'!$A$2:$A$31,0))&amp;"","")</f>
        <v>اتخاذ القرارات في نطاق الصلاحيات (وجود شواهد)</v>
      </c>
      <c r="M88" s="17" t="n">
        <v>40</v>
      </c>
      <c r="N88" s="17" t="n">
        <v>100</v>
      </c>
      <c r="O88" s="19" t="str">
        <f aca="false">IF($M88="","غير مقيّمة",IF($M88&gt;المرجع!$K$3,"مستوفاة بشكل متقدم",IF($M88&lt;=المرجع!$K$2,"مستوفاة بشكل أولي","مستوفاة بشكل جزئي")))</f>
        <v>مستوفاة بشكل جزئي</v>
      </c>
      <c r="P88" s="22" t="s">
        <v>245</v>
      </c>
    </row>
    <row r="89" customFormat="false" ht="15" hidden="false" customHeight="true" outlineLevel="0" collapsed="false">
      <c r="A89" s="20" t="s">
        <v>332</v>
      </c>
      <c r="B89" s="20" t="s">
        <v>154</v>
      </c>
      <c r="C89" s="19" t="str">
        <f aca="false">IFERROR(INDEX('قائمة الوحدات'!$B$2:$B$41,MATCH($B89,'قائمة الوحدات'!$A$2:$A$41,0)),"")</f>
        <v>TOP</v>
      </c>
      <c r="D89" s="18" t="str">
        <f aca="false">IFERROR(INDEX('قائمة الوحدات'!$C$2:$C$41,MATCH($B89,'قائمة الوحدات'!$A$2:$A$41,0)),"")</f>
        <v>المرتبطة بسمو الوزير</v>
      </c>
      <c r="E89" s="18" t="str">
        <f aca="false">IFERROR(INDEX('قائمة الوحدات'!$D$2:$D$41,MATCH($B89,'قائمة الوحدات'!$A$2:$A$41,0)),"")</f>
        <v>إدارة الحوكمة والمخاطر</v>
      </c>
      <c r="F89" s="18" t="str">
        <f aca="false">IFERROR(INDEX('قائمة الوحدات'!$F$2:$F$41,MATCH($B89,'قائمة الوحدات'!$A$2:$A$41,0)),"")</f>
        <v>إدارة الحوكمة والمخاطر</v>
      </c>
      <c r="G89" s="20" t="s">
        <v>66</v>
      </c>
      <c r="H89" s="18" t="str">
        <f aca="false">IFERROR(INDEX(المرجع!$A$2:$A$19,MATCH($G89,المرجع!$B$2:$B$19,0)),"")</f>
        <v>التشغيل</v>
      </c>
      <c r="I89" s="20" t="s">
        <v>57</v>
      </c>
      <c r="J89" s="18" t="str">
        <f aca="false">IFERROR(INDEX(المرجع!$D$2:$D$19,MATCH($I89,المرجع!$E$2:$E$19,0)),"")</f>
        <v>الموارد</v>
      </c>
      <c r="K89" s="20" t="s">
        <v>130</v>
      </c>
      <c r="L89" s="21" t="str">
        <f aca="false">IFERROR(INDEX('نقاط التحقق'!$G$2:$G$31,MATCH($K89,'نقاط التحقق'!$A$2:$A$31,0))&amp;"","")</f>
        <v>موارد مستكملة للحد الأدنى الذي يغطي كافة محاور سلسلة القيمة</v>
      </c>
      <c r="M89" s="17" t="n">
        <v>32</v>
      </c>
      <c r="N89" s="17" t="n">
        <v>95</v>
      </c>
      <c r="O89" s="19" t="str">
        <f aca="false">IF($M89="","غير مقيّمة",IF($M89&gt;المرجع!$K$3,"مستوفاة بشكل متقدم",IF($M89&lt;=المرجع!$K$2,"مستوفاة بشكل أولي","مستوفاة بشكل جزئي")))</f>
        <v>مستوفاة بشكل جزئي</v>
      </c>
      <c r="P89" s="22" t="s">
        <v>245</v>
      </c>
    </row>
    <row r="90" customFormat="false" ht="15" hidden="false" customHeight="true" outlineLevel="0" collapsed="false">
      <c r="A90" s="20" t="s">
        <v>333</v>
      </c>
      <c r="B90" s="20" t="s">
        <v>154</v>
      </c>
      <c r="C90" s="19" t="str">
        <f aca="false">IFERROR(INDEX('قائمة الوحدات'!$B$2:$B$41,MATCH($B90,'قائمة الوحدات'!$A$2:$A$41,0)),"")</f>
        <v>TOP</v>
      </c>
      <c r="D90" s="18" t="str">
        <f aca="false">IFERROR(INDEX('قائمة الوحدات'!$C$2:$C$41,MATCH($B90,'قائمة الوحدات'!$A$2:$A$41,0)),"")</f>
        <v>المرتبطة بسمو الوزير</v>
      </c>
      <c r="E90" s="18" t="str">
        <f aca="false">IFERROR(INDEX('قائمة الوحدات'!$D$2:$D$41,MATCH($B90,'قائمة الوحدات'!$A$2:$A$41,0)),"")</f>
        <v>إدارة الحوكمة والمخاطر</v>
      </c>
      <c r="F90" s="18" t="str">
        <f aca="false">IFERROR(INDEX('قائمة الوحدات'!$F$2:$F$41,MATCH($B90,'قائمة الوحدات'!$A$2:$A$41,0)),"")</f>
        <v>إدارة الحوكمة والمخاطر</v>
      </c>
      <c r="G90" s="20" t="s">
        <v>66</v>
      </c>
      <c r="H90" s="18" t="str">
        <f aca="false">IFERROR(INDEX(المرجع!$A$2:$A$19,MATCH($G90,المرجع!$B$2:$B$19,0)),"")</f>
        <v>التشغيل</v>
      </c>
      <c r="I90" s="20" t="s">
        <v>60</v>
      </c>
      <c r="J90" s="18" t="str">
        <f aca="false">IFERROR(INDEX(المرجع!$D$2:$D$19,MATCH($I90,المرجع!$E$2:$E$19,0)),"")</f>
        <v>الإجراءات</v>
      </c>
      <c r="K90" s="20" t="s">
        <v>132</v>
      </c>
      <c r="L90" s="21" t="str">
        <f aca="false">IFERROR(INDEX('نقاط التحقق'!$G$2:$G$31,MATCH($K90,'نقاط التحقق'!$A$2:$A$31,0))&amp;"","")</f>
        <v>تحقيق تقييم "مطبق بشكل كامل" من منهجية تقييم فعالية الإجراءات</v>
      </c>
      <c r="M90" s="17" t="n">
        <v>47</v>
      </c>
      <c r="N90" s="17" t="n">
        <v>90</v>
      </c>
      <c r="O90" s="19" t="str">
        <f aca="false">IF($M90="","غير مقيّمة",IF($M90&gt;المرجع!$K$3,"مستوفاة بشكل متقدم",IF($M90&lt;=المرجع!$K$2,"مستوفاة بشكل أولي","مستوفاة بشكل جزئي")))</f>
        <v>مستوفاة بشكل جزئي</v>
      </c>
      <c r="P90" s="22" t="s">
        <v>245</v>
      </c>
    </row>
    <row r="91" customFormat="false" ht="15" hidden="false" customHeight="true" outlineLevel="0" collapsed="false">
      <c r="A91" s="20" t="s">
        <v>334</v>
      </c>
      <c r="B91" s="20" t="s">
        <v>154</v>
      </c>
      <c r="C91" s="19" t="str">
        <f aca="false">IFERROR(INDEX('قائمة الوحدات'!$B$2:$B$41,MATCH($B91,'قائمة الوحدات'!$A$2:$A$41,0)),"")</f>
        <v>TOP</v>
      </c>
      <c r="D91" s="18" t="str">
        <f aca="false">IFERROR(INDEX('قائمة الوحدات'!$C$2:$C$41,MATCH($B91,'قائمة الوحدات'!$A$2:$A$41,0)),"")</f>
        <v>المرتبطة بسمو الوزير</v>
      </c>
      <c r="E91" s="18" t="str">
        <f aca="false">IFERROR(INDEX('قائمة الوحدات'!$D$2:$D$41,MATCH($B91,'قائمة الوحدات'!$A$2:$A$41,0)),"")</f>
        <v>إدارة الحوكمة والمخاطر</v>
      </c>
      <c r="F91" s="18" t="str">
        <f aca="false">IFERROR(INDEX('قائمة الوحدات'!$F$2:$F$41,MATCH($B91,'قائمة الوحدات'!$A$2:$A$41,0)),"")</f>
        <v>إدارة الحوكمة والمخاطر</v>
      </c>
      <c r="G91" s="20" t="s">
        <v>66</v>
      </c>
      <c r="H91" s="18" t="str">
        <f aca="false">IFERROR(INDEX(المرجع!$A$2:$A$19,MATCH($G91,المرجع!$B$2:$B$19,0)),"")</f>
        <v>التشغيل</v>
      </c>
      <c r="I91" s="20" t="s">
        <v>71</v>
      </c>
      <c r="J91" s="18" t="str">
        <f aca="false">IFERROR(INDEX(المرجع!$D$2:$D$19,MATCH($I91,المرجع!$E$2:$E$19,0)),"")</f>
        <v>اكتمال المخرجات المستهدفة</v>
      </c>
      <c r="K91" s="20" t="s">
        <v>134</v>
      </c>
      <c r="L91" s="21" t="str">
        <f aca="false">IFERROR(INDEX('نقاط التحقق'!$G$2:$G$31,MATCH($K91,'نقاط التحقق'!$A$2:$A$31,0))&amp;"","")</f>
        <v>اكتمال مخرجات النموذج التشغيلي المستهدف للوحدة التنظيمية</v>
      </c>
      <c r="M91" s="17" t="n">
        <v>37</v>
      </c>
      <c r="N91" s="17" t="n">
        <v>100</v>
      </c>
      <c r="O91" s="19" t="str">
        <f aca="false">IF($M91="","غير مقيّمة",IF($M91&gt;المرجع!$K$3,"مستوفاة بشكل متقدم",IF($M91&lt;=المرجع!$K$2,"مستوفاة بشكل أولي","مستوفاة بشكل جزئي")))</f>
        <v>مستوفاة بشكل جزئي</v>
      </c>
      <c r="P91" s="22" t="s">
        <v>245</v>
      </c>
    </row>
    <row r="92" customFormat="false" ht="15" hidden="false" customHeight="true" outlineLevel="0" collapsed="false">
      <c r="A92" s="20" t="s">
        <v>335</v>
      </c>
      <c r="B92" s="20" t="s">
        <v>156</v>
      </c>
      <c r="C92" s="19" t="str">
        <f aca="false">IFERROR(INDEX('قائمة الوحدات'!$B$2:$B$41,MATCH($B92,'قائمة الوحدات'!$A$2:$A$41,0)),"")</f>
        <v>TOP</v>
      </c>
      <c r="D92" s="18" t="str">
        <f aca="false">IFERROR(INDEX('قائمة الوحدات'!$C$2:$C$41,MATCH($B92,'قائمة الوحدات'!$A$2:$A$41,0)),"")</f>
        <v>المرتبطة بسمو الوزير</v>
      </c>
      <c r="E92" s="18" t="str">
        <f aca="false">IFERROR(INDEX('قائمة الوحدات'!$D$2:$D$41,MATCH($B92,'قائمة الوحدات'!$A$2:$A$41,0)),"")</f>
        <v>إدارة الشؤون القانونية</v>
      </c>
      <c r="F92" s="18" t="str">
        <f aca="false">IFERROR(INDEX('قائمة الوحدات'!$F$2:$F$41,MATCH($B92,'قائمة الوحدات'!$A$2:$A$41,0)),"")</f>
        <v>إدارة الشؤون القانونية</v>
      </c>
      <c r="G92" s="20" t="s">
        <v>44</v>
      </c>
      <c r="H92" s="18" t="str">
        <f aca="false">IFERROR(INDEX(المرجع!$A$2:$A$19,MATCH($G92,المرجع!$B$2:$B$19,0)),"")</f>
        <v>التصميم</v>
      </c>
      <c r="I92" s="20" t="s">
        <v>46</v>
      </c>
      <c r="J92" s="18" t="str">
        <f aca="false">IFERROR(INDEX(المرجع!$D$2:$D$19,MATCH($I92,المرجع!$E$2:$E$19,0)),"")</f>
        <v>الدور</v>
      </c>
      <c r="K92" s="20" t="s">
        <v>76</v>
      </c>
      <c r="L92" s="21" t="str">
        <f aca="false">IFERROR(INDEX('نقاط التحقق'!$G$2:$G$31,MATCH($K92,'نقاط التحقق'!$A$2:$A$31,0))&amp;"","")</f>
        <v>دور مفصل للوحدة التنظيمية</v>
      </c>
      <c r="M92" s="17" t="n">
        <v>84</v>
      </c>
      <c r="N92" s="17" t="n">
        <v>95</v>
      </c>
      <c r="O92" s="19" t="str">
        <f aca="false">IF($M92="","غير مقيّمة",IF($M92&gt;المرجع!$K$3,"مستوفاة بشكل متقدم",IF($M92&lt;=المرجع!$K$2,"مستوفاة بشكل أولي","مستوفاة بشكل جزئي")))</f>
        <v>مستوفاة بشكل متقدم</v>
      </c>
      <c r="P92" s="22" t="s">
        <v>245</v>
      </c>
    </row>
    <row r="93" customFormat="false" ht="15" hidden="false" customHeight="true" outlineLevel="0" collapsed="false">
      <c r="A93" s="20" t="s">
        <v>336</v>
      </c>
      <c r="B93" s="20" t="s">
        <v>156</v>
      </c>
      <c r="C93" s="19" t="str">
        <f aca="false">IFERROR(INDEX('قائمة الوحدات'!$B$2:$B$41,MATCH($B93,'قائمة الوحدات'!$A$2:$A$41,0)),"")</f>
        <v>TOP</v>
      </c>
      <c r="D93" s="18" t="str">
        <f aca="false">IFERROR(INDEX('قائمة الوحدات'!$C$2:$C$41,MATCH($B93,'قائمة الوحدات'!$A$2:$A$41,0)),"")</f>
        <v>المرتبطة بسمو الوزير</v>
      </c>
      <c r="E93" s="18" t="str">
        <f aca="false">IFERROR(INDEX('قائمة الوحدات'!$D$2:$D$41,MATCH($B93,'قائمة الوحدات'!$A$2:$A$41,0)),"")</f>
        <v>إدارة الشؤون القانونية</v>
      </c>
      <c r="F93" s="18" t="str">
        <f aca="false">IFERROR(INDEX('قائمة الوحدات'!$F$2:$F$41,MATCH($B93,'قائمة الوحدات'!$A$2:$A$41,0)),"")</f>
        <v>إدارة الشؤون القانونية</v>
      </c>
      <c r="G93" s="20" t="s">
        <v>44</v>
      </c>
      <c r="H93" s="18" t="str">
        <f aca="false">IFERROR(INDEX(المرجع!$A$2:$A$19,MATCH($G93,المرجع!$B$2:$B$19,0)),"")</f>
        <v>التصميم</v>
      </c>
      <c r="I93" s="20" t="s">
        <v>49</v>
      </c>
      <c r="J93" s="18" t="str">
        <f aca="false">IFERROR(INDEX(المرجع!$D$2:$D$19,MATCH($I93,المرجع!$E$2:$E$19,0)),"")</f>
        <v>الأهداف ومؤشرات الأداء</v>
      </c>
      <c r="K93" s="20" t="s">
        <v>78</v>
      </c>
      <c r="L93" s="21" t="str">
        <f aca="false">IFERROR(INDEX('نقاط التحقق'!$G$2:$G$31,MATCH($K93,'نقاط التحقق'!$A$2:$A$31,0))&amp;"","")</f>
        <v>أهداف محددة للوحدة التنظيمية وربطها بمؤشرات أداء لقياسها</v>
      </c>
      <c r="M93" s="17" t="n">
        <v>95</v>
      </c>
      <c r="N93" s="17" t="n">
        <v>95</v>
      </c>
      <c r="O93" s="19" t="str">
        <f aca="false">IF($M93="","غير مقيّمة",IF($M93&gt;المرجع!$K$3,"مستوفاة بشكل متقدم",IF($M93&lt;=المرجع!$K$2,"مستوفاة بشكل أولي","مستوفاة بشكل جزئي")))</f>
        <v>مستوفاة بشكل متقدم</v>
      </c>
      <c r="P93" s="22" t="s">
        <v>245</v>
      </c>
    </row>
    <row r="94" customFormat="false" ht="15" hidden="false" customHeight="true" outlineLevel="0" collapsed="false">
      <c r="A94" s="20" t="s">
        <v>337</v>
      </c>
      <c r="B94" s="20" t="s">
        <v>156</v>
      </c>
      <c r="C94" s="19" t="str">
        <f aca="false">IFERROR(INDEX('قائمة الوحدات'!$B$2:$B$41,MATCH($B94,'قائمة الوحدات'!$A$2:$A$41,0)),"")</f>
        <v>TOP</v>
      </c>
      <c r="D94" s="18" t="str">
        <f aca="false">IFERROR(INDEX('قائمة الوحدات'!$C$2:$C$41,MATCH($B94,'قائمة الوحدات'!$A$2:$A$41,0)),"")</f>
        <v>المرتبطة بسمو الوزير</v>
      </c>
      <c r="E94" s="18" t="str">
        <f aca="false">IFERROR(INDEX('قائمة الوحدات'!$D$2:$D$41,MATCH($B94,'قائمة الوحدات'!$A$2:$A$41,0)),"")</f>
        <v>إدارة الشؤون القانونية</v>
      </c>
      <c r="F94" s="18" t="str">
        <f aca="false">IFERROR(INDEX('قائمة الوحدات'!$F$2:$F$41,MATCH($B94,'قائمة الوحدات'!$A$2:$A$41,0)),"")</f>
        <v>إدارة الشؤون القانونية</v>
      </c>
      <c r="G94" s="20" t="s">
        <v>44</v>
      </c>
      <c r="H94" s="18" t="str">
        <f aca="false">IFERROR(INDEX(المرجع!$A$2:$A$19,MATCH($G94,المرجع!$B$2:$B$19,0)),"")</f>
        <v>التصميم</v>
      </c>
      <c r="I94" s="20" t="s">
        <v>49</v>
      </c>
      <c r="J94" s="18" t="str">
        <f aca="false">IFERROR(INDEX(المرجع!$D$2:$D$19,MATCH($I94,المرجع!$E$2:$E$19,0)),"")</f>
        <v>الأهداف ومؤشرات الأداء</v>
      </c>
      <c r="K94" s="20" t="s">
        <v>80</v>
      </c>
      <c r="L94" s="21" t="str">
        <f aca="false">IFERROR(INDEX('نقاط التحقق'!$G$2:$G$31,MATCH($K94,'نقاط التحقق'!$A$2:$A$31,0))&amp;"","")</f>
        <v>مؤشرات أداء الوحدة التنظيمية</v>
      </c>
      <c r="M94" s="17" t="n">
        <v>100</v>
      </c>
      <c r="N94" s="17" t="n">
        <v>100</v>
      </c>
      <c r="O94" s="19" t="str">
        <f aca="false">IF($M94="","غير مقيّمة",IF($M94&gt;المرجع!$K$3,"مستوفاة بشكل متقدم",IF($M94&lt;=المرجع!$K$2,"مستوفاة بشكل أولي","مستوفاة بشكل جزئي")))</f>
        <v>مستوفاة بشكل متقدم</v>
      </c>
      <c r="P94" s="22" t="s">
        <v>245</v>
      </c>
    </row>
    <row r="95" customFormat="false" ht="15" hidden="false" customHeight="true" outlineLevel="0" collapsed="false">
      <c r="A95" s="20" t="s">
        <v>338</v>
      </c>
      <c r="B95" s="20" t="s">
        <v>156</v>
      </c>
      <c r="C95" s="19" t="str">
        <f aca="false">IFERROR(INDEX('قائمة الوحدات'!$B$2:$B$41,MATCH($B95,'قائمة الوحدات'!$A$2:$A$41,0)),"")</f>
        <v>TOP</v>
      </c>
      <c r="D95" s="18" t="str">
        <f aca="false">IFERROR(INDEX('قائمة الوحدات'!$C$2:$C$41,MATCH($B95,'قائمة الوحدات'!$A$2:$A$41,0)),"")</f>
        <v>المرتبطة بسمو الوزير</v>
      </c>
      <c r="E95" s="18" t="str">
        <f aca="false">IFERROR(INDEX('قائمة الوحدات'!$D$2:$D$41,MATCH($B95,'قائمة الوحدات'!$A$2:$A$41,0)),"")</f>
        <v>إدارة الشؤون القانونية</v>
      </c>
      <c r="F95" s="18" t="str">
        <f aca="false">IFERROR(INDEX('قائمة الوحدات'!$F$2:$F$41,MATCH($B95,'قائمة الوحدات'!$A$2:$A$41,0)),"")</f>
        <v>إدارة الشؤون القانونية</v>
      </c>
      <c r="G95" s="20" t="s">
        <v>44</v>
      </c>
      <c r="H95" s="18" t="str">
        <f aca="false">IFERROR(INDEX(المرجع!$A$2:$A$19,MATCH($G95,المرجع!$B$2:$B$19,0)),"")</f>
        <v>التصميم</v>
      </c>
      <c r="I95" s="20" t="s">
        <v>52</v>
      </c>
      <c r="J95" s="18" t="str">
        <f aca="false">IFERROR(INDEX(المرجع!$D$2:$D$19,MATCH($I95,المرجع!$E$2:$E$19,0)),"")</f>
        <v>الحوكمة</v>
      </c>
      <c r="K95" s="20" t="s">
        <v>82</v>
      </c>
      <c r="L95" s="21" t="str">
        <f aca="false">IFERROR(INDEX('نقاط التحقق'!$G$2:$G$31,MATCH($K95,'نقاط التحقق'!$A$2:$A$31,0))&amp;"","")</f>
        <v>تفصيل القرارات ومصفوفة الصلاحيات واللجان ذات العلاقة لاعتماد مخرجات الوحدة التنظيمية</v>
      </c>
      <c r="M95" s="17" t="n">
        <v>84</v>
      </c>
      <c r="N95" s="17" t="n">
        <v>84</v>
      </c>
      <c r="O95" s="19" t="str">
        <f aca="false">IF($M95="","غير مقيّمة",IF($M95&gt;المرجع!$K$3,"مستوفاة بشكل متقدم",IF($M95&lt;=المرجع!$K$2,"مستوفاة بشكل أولي","مستوفاة بشكل جزئي")))</f>
        <v>مستوفاة بشكل متقدم</v>
      </c>
      <c r="P95" s="22" t="s">
        <v>245</v>
      </c>
    </row>
    <row r="96" customFormat="false" ht="15" hidden="false" customHeight="true" outlineLevel="0" collapsed="false">
      <c r="A96" s="20" t="s">
        <v>339</v>
      </c>
      <c r="B96" s="20" t="s">
        <v>156</v>
      </c>
      <c r="C96" s="19" t="str">
        <f aca="false">IFERROR(INDEX('قائمة الوحدات'!$B$2:$B$41,MATCH($B96,'قائمة الوحدات'!$A$2:$A$41,0)),"")</f>
        <v>TOP</v>
      </c>
      <c r="D96" s="18" t="str">
        <f aca="false">IFERROR(INDEX('قائمة الوحدات'!$C$2:$C$41,MATCH($B96,'قائمة الوحدات'!$A$2:$A$41,0)),"")</f>
        <v>المرتبطة بسمو الوزير</v>
      </c>
      <c r="E96" s="18" t="str">
        <f aca="false">IFERROR(INDEX('قائمة الوحدات'!$D$2:$D$41,MATCH($B96,'قائمة الوحدات'!$A$2:$A$41,0)),"")</f>
        <v>إدارة الشؤون القانونية</v>
      </c>
      <c r="F96" s="18" t="str">
        <f aca="false">IFERROR(INDEX('قائمة الوحدات'!$F$2:$F$41,MATCH($B96,'قائمة الوحدات'!$A$2:$A$41,0)),"")</f>
        <v>إدارة الشؤون القانونية</v>
      </c>
      <c r="G96" s="20" t="s">
        <v>44</v>
      </c>
      <c r="H96" s="18" t="str">
        <f aca="false">IFERROR(INDEX(المرجع!$A$2:$A$19,MATCH($G96,المرجع!$B$2:$B$19,0)),"")</f>
        <v>التصميم</v>
      </c>
      <c r="I96" s="20" t="s">
        <v>55</v>
      </c>
      <c r="J96" s="18" t="str">
        <f aca="false">IFERROR(INDEX(المرجع!$D$2:$D$19,MATCH($I96,المرجع!$E$2:$E$19,0)),"")</f>
        <v>التنظيم</v>
      </c>
      <c r="K96" s="20" t="s">
        <v>84</v>
      </c>
      <c r="L96" s="21" t="str">
        <f aca="false">IFERROR(INDEX('نقاط التحقق'!$G$2:$G$31,MATCH($K96,'نقاط التحقق'!$A$2:$A$31,0))&amp;"","")</f>
        <v>تطوير الأدوار والمسؤوليات للوحدة التنظيمية وتفصيل الهيكل التنظيمي</v>
      </c>
      <c r="M96" s="17" t="n">
        <v>69</v>
      </c>
      <c r="N96" s="17" t="n">
        <v>80</v>
      </c>
      <c r="O96" s="19" t="str">
        <f aca="false">IF($M96="","غير مقيّمة",IF($M96&gt;المرجع!$K$3,"مستوفاة بشكل متقدم",IF($M96&lt;=المرجع!$K$2,"مستوفاة بشكل أولي","مستوفاة بشكل جزئي")))</f>
        <v>مستوفاة بشكل جزئي</v>
      </c>
      <c r="P96" s="22" t="s">
        <v>245</v>
      </c>
    </row>
    <row r="97" customFormat="false" ht="15" hidden="false" customHeight="true" outlineLevel="0" collapsed="false">
      <c r="A97" s="20" t="s">
        <v>340</v>
      </c>
      <c r="B97" s="20" t="s">
        <v>156</v>
      </c>
      <c r="C97" s="19" t="str">
        <f aca="false">IFERROR(INDEX('قائمة الوحدات'!$B$2:$B$41,MATCH($B97,'قائمة الوحدات'!$A$2:$A$41,0)),"")</f>
        <v>TOP</v>
      </c>
      <c r="D97" s="18" t="str">
        <f aca="false">IFERROR(INDEX('قائمة الوحدات'!$C$2:$C$41,MATCH($B97,'قائمة الوحدات'!$A$2:$A$41,0)),"")</f>
        <v>المرتبطة بسمو الوزير</v>
      </c>
      <c r="E97" s="18" t="str">
        <f aca="false">IFERROR(INDEX('قائمة الوحدات'!$D$2:$D$41,MATCH($B97,'قائمة الوحدات'!$A$2:$A$41,0)),"")</f>
        <v>إدارة الشؤون القانونية</v>
      </c>
      <c r="F97" s="18" t="str">
        <f aca="false">IFERROR(INDEX('قائمة الوحدات'!$F$2:$F$41,MATCH($B97,'قائمة الوحدات'!$A$2:$A$41,0)),"")</f>
        <v>إدارة الشؤون القانونية</v>
      </c>
      <c r="G97" s="20" t="s">
        <v>44</v>
      </c>
      <c r="H97" s="18" t="str">
        <f aca="false">IFERROR(INDEX(المرجع!$A$2:$A$19,MATCH($G97,المرجع!$B$2:$B$19,0)),"")</f>
        <v>التصميم</v>
      </c>
      <c r="I97" s="20" t="s">
        <v>57</v>
      </c>
      <c r="J97" s="18" t="str">
        <f aca="false">IFERROR(INDEX(المرجع!$D$2:$D$19,MATCH($I97,المرجع!$E$2:$E$19,0)),"")</f>
        <v>الموارد</v>
      </c>
      <c r="K97" s="20" t="s">
        <v>86</v>
      </c>
      <c r="L97" s="21" t="str">
        <f aca="false">IFERROR(INDEX('نقاط التحقق'!$G$2:$G$31,MATCH($K97,'نقاط التحقق'!$A$2:$A$31,0))&amp;"","")</f>
        <v>تفصيل احتياج الموارد البشرية للوحدة التنظيمية</v>
      </c>
      <c r="M97" s="17" t="n">
        <v>86</v>
      </c>
      <c r="N97" s="17" t="n">
        <v>100</v>
      </c>
      <c r="O97" s="19" t="str">
        <f aca="false">IF($M97="","غير مقيّمة",IF($M97&gt;المرجع!$K$3,"مستوفاة بشكل متقدم",IF($M97&lt;=المرجع!$K$2,"مستوفاة بشكل أولي","مستوفاة بشكل جزئي")))</f>
        <v>مستوفاة بشكل متقدم</v>
      </c>
      <c r="P97" s="22" t="s">
        <v>245</v>
      </c>
    </row>
    <row r="98" customFormat="false" ht="15" hidden="false" customHeight="true" outlineLevel="0" collapsed="false">
      <c r="A98" s="20" t="s">
        <v>341</v>
      </c>
      <c r="B98" s="20" t="s">
        <v>156</v>
      </c>
      <c r="C98" s="19" t="str">
        <f aca="false">IFERROR(INDEX('قائمة الوحدات'!$B$2:$B$41,MATCH($B98,'قائمة الوحدات'!$A$2:$A$41,0)),"")</f>
        <v>TOP</v>
      </c>
      <c r="D98" s="18" t="str">
        <f aca="false">IFERROR(INDEX('قائمة الوحدات'!$C$2:$C$41,MATCH($B98,'قائمة الوحدات'!$A$2:$A$41,0)),"")</f>
        <v>المرتبطة بسمو الوزير</v>
      </c>
      <c r="E98" s="18" t="str">
        <f aca="false">IFERROR(INDEX('قائمة الوحدات'!$D$2:$D$41,MATCH($B98,'قائمة الوحدات'!$A$2:$A$41,0)),"")</f>
        <v>إدارة الشؤون القانونية</v>
      </c>
      <c r="F98" s="18" t="str">
        <f aca="false">IFERROR(INDEX('قائمة الوحدات'!$F$2:$F$41,MATCH($B98,'قائمة الوحدات'!$A$2:$A$41,0)),"")</f>
        <v>إدارة الشؤون القانونية</v>
      </c>
      <c r="G98" s="20" t="s">
        <v>44</v>
      </c>
      <c r="H98" s="18" t="str">
        <f aca="false">IFERROR(INDEX(المرجع!$A$2:$A$19,MATCH($G98,المرجع!$B$2:$B$19,0)),"")</f>
        <v>التصميم</v>
      </c>
      <c r="I98" s="20" t="s">
        <v>60</v>
      </c>
      <c r="J98" s="18" t="str">
        <f aca="false">IFERROR(INDEX(المرجع!$D$2:$D$19,MATCH($I98,المرجع!$E$2:$E$19,0)),"")</f>
        <v>الإجراءات</v>
      </c>
      <c r="K98" s="20" t="s">
        <v>88</v>
      </c>
      <c r="L98" s="21" t="str">
        <f aca="false">IFERROR(INDEX('نقاط التحقق'!$G$2:$G$31,MATCH($K98,'نقاط التحقق'!$A$2:$A$31,0))&amp;"","")</f>
        <v>تفصيل المخرجات إلى إجراءات عالية المستوى</v>
      </c>
      <c r="M98" s="17" t="n">
        <v>87</v>
      </c>
      <c r="N98" s="17" t="n">
        <v>95</v>
      </c>
      <c r="O98" s="19" t="str">
        <f aca="false">IF($M98="","غير مقيّمة",IF($M98&gt;المرجع!$K$3,"مستوفاة بشكل متقدم",IF($M98&lt;=المرجع!$K$2,"مستوفاة بشكل أولي","مستوفاة بشكل جزئي")))</f>
        <v>مستوفاة بشكل متقدم</v>
      </c>
      <c r="P98" s="22" t="s">
        <v>245</v>
      </c>
    </row>
    <row r="99" customFormat="false" ht="15" hidden="false" customHeight="true" outlineLevel="0" collapsed="false">
      <c r="A99" s="20" t="s">
        <v>342</v>
      </c>
      <c r="B99" s="20" t="s">
        <v>156</v>
      </c>
      <c r="C99" s="19" t="str">
        <f aca="false">IFERROR(INDEX('قائمة الوحدات'!$B$2:$B$41,MATCH($B99,'قائمة الوحدات'!$A$2:$A$41,0)),"")</f>
        <v>TOP</v>
      </c>
      <c r="D99" s="18" t="str">
        <f aca="false">IFERROR(INDEX('قائمة الوحدات'!$C$2:$C$41,MATCH($B99,'قائمة الوحدات'!$A$2:$A$41,0)),"")</f>
        <v>المرتبطة بسمو الوزير</v>
      </c>
      <c r="E99" s="18" t="str">
        <f aca="false">IFERROR(INDEX('قائمة الوحدات'!$D$2:$D$41,MATCH($B99,'قائمة الوحدات'!$A$2:$A$41,0)),"")</f>
        <v>إدارة الشؤون القانونية</v>
      </c>
      <c r="F99" s="18" t="str">
        <f aca="false">IFERROR(INDEX('قائمة الوحدات'!$F$2:$F$41,MATCH($B99,'قائمة الوحدات'!$A$2:$A$41,0)),"")</f>
        <v>إدارة الشؤون القانونية</v>
      </c>
      <c r="G99" s="20" t="s">
        <v>62</v>
      </c>
      <c r="H99" s="18" t="str">
        <f aca="false">IFERROR(INDEX(المرجع!$A$2:$A$19,MATCH($G99,المرجع!$B$2:$B$19,0)),"")</f>
        <v>البناء المؤسسي</v>
      </c>
      <c r="I99" s="20" t="s">
        <v>46</v>
      </c>
      <c r="J99" s="18" t="str">
        <f aca="false">IFERROR(INDEX(المرجع!$D$2:$D$19,MATCH($I99,المرجع!$E$2:$E$19,0)),"")</f>
        <v>الدور</v>
      </c>
      <c r="K99" s="20" t="s">
        <v>90</v>
      </c>
      <c r="L99" s="21" t="str">
        <f aca="false">IFERROR(INDEX('نقاط التحقق'!$G$2:$G$31,MATCH($K99,'نقاط التحقق'!$A$2:$A$31,0))&amp;"","")</f>
        <v>دور معتمد للوحدة التنظيمية</v>
      </c>
      <c r="M99" s="17" t="n">
        <v>48</v>
      </c>
      <c r="N99" s="17" t="n">
        <v>85</v>
      </c>
      <c r="O99" s="19" t="str">
        <f aca="false">IF($M99="","غير مقيّمة",IF($M99&gt;المرجع!$K$3,"مستوفاة بشكل متقدم",IF($M99&lt;=المرجع!$K$2,"مستوفاة بشكل أولي","مستوفاة بشكل جزئي")))</f>
        <v>مستوفاة بشكل جزئي</v>
      </c>
      <c r="P99" s="22" t="s">
        <v>245</v>
      </c>
    </row>
    <row r="100" customFormat="false" ht="15" hidden="false" customHeight="true" outlineLevel="0" collapsed="false">
      <c r="A100" s="20" t="s">
        <v>343</v>
      </c>
      <c r="B100" s="20" t="s">
        <v>156</v>
      </c>
      <c r="C100" s="19" t="str">
        <f aca="false">IFERROR(INDEX('قائمة الوحدات'!$B$2:$B$41,MATCH($B100,'قائمة الوحدات'!$A$2:$A$41,0)),"")</f>
        <v>TOP</v>
      </c>
      <c r="D100" s="18" t="str">
        <f aca="false">IFERROR(INDEX('قائمة الوحدات'!$C$2:$C$41,MATCH($B100,'قائمة الوحدات'!$A$2:$A$41,0)),"")</f>
        <v>المرتبطة بسمو الوزير</v>
      </c>
      <c r="E100" s="18" t="str">
        <f aca="false">IFERROR(INDEX('قائمة الوحدات'!$D$2:$D$41,MATCH($B100,'قائمة الوحدات'!$A$2:$A$41,0)),"")</f>
        <v>إدارة الشؤون القانونية</v>
      </c>
      <c r="F100" s="18" t="str">
        <f aca="false">IFERROR(INDEX('قائمة الوحدات'!$F$2:$F$41,MATCH($B100,'قائمة الوحدات'!$A$2:$A$41,0)),"")</f>
        <v>إدارة الشؤون القانونية</v>
      </c>
      <c r="G100" s="20" t="s">
        <v>62</v>
      </c>
      <c r="H100" s="18" t="str">
        <f aca="false">IFERROR(INDEX(المرجع!$A$2:$A$19,MATCH($G100,المرجع!$B$2:$B$19,0)),"")</f>
        <v>البناء المؤسسي</v>
      </c>
      <c r="I100" s="20" t="s">
        <v>49</v>
      </c>
      <c r="J100" s="18" t="str">
        <f aca="false">IFERROR(INDEX(المرجع!$D$2:$D$19,MATCH($I100,المرجع!$E$2:$E$19,0)),"")</f>
        <v>الأهداف ومؤشرات الأداء</v>
      </c>
      <c r="K100" s="20" t="s">
        <v>92</v>
      </c>
      <c r="L100" s="21" t="str">
        <f aca="false">IFERROR(INDEX('نقاط التحقق'!$G$2:$G$31,MATCH($K100,'نقاط التحقق'!$A$2:$A$31,0))&amp;"","")</f>
        <v>أهداف تشغيلية معتمدة من صاحب الصلاحية</v>
      </c>
      <c r="M100" s="17" t="n">
        <v>80</v>
      </c>
      <c r="N100" s="17" t="n">
        <v>100</v>
      </c>
      <c r="O100" s="19" t="str">
        <f aca="false">IF($M100="","غير مقيّمة",IF($M100&gt;المرجع!$K$3,"مستوفاة بشكل متقدم",IF($M100&lt;=المرجع!$K$2,"مستوفاة بشكل أولي","مستوفاة بشكل جزئي")))</f>
        <v>مستوفاة بشكل متقدم</v>
      </c>
      <c r="P100" s="22" t="s">
        <v>245</v>
      </c>
    </row>
    <row r="101" customFormat="false" ht="15" hidden="false" customHeight="true" outlineLevel="0" collapsed="false">
      <c r="A101" s="20" t="s">
        <v>344</v>
      </c>
      <c r="B101" s="20" t="s">
        <v>156</v>
      </c>
      <c r="C101" s="19" t="str">
        <f aca="false">IFERROR(INDEX('قائمة الوحدات'!$B$2:$B$41,MATCH($B101,'قائمة الوحدات'!$A$2:$A$41,0)),"")</f>
        <v>TOP</v>
      </c>
      <c r="D101" s="18" t="str">
        <f aca="false">IFERROR(INDEX('قائمة الوحدات'!$C$2:$C$41,MATCH($B101,'قائمة الوحدات'!$A$2:$A$41,0)),"")</f>
        <v>المرتبطة بسمو الوزير</v>
      </c>
      <c r="E101" s="18" t="str">
        <f aca="false">IFERROR(INDEX('قائمة الوحدات'!$D$2:$D$41,MATCH($B101,'قائمة الوحدات'!$A$2:$A$41,0)),"")</f>
        <v>إدارة الشؤون القانونية</v>
      </c>
      <c r="F101" s="18" t="str">
        <f aca="false">IFERROR(INDEX('قائمة الوحدات'!$F$2:$F$41,MATCH($B101,'قائمة الوحدات'!$A$2:$A$41,0)),"")</f>
        <v>إدارة الشؤون القانونية</v>
      </c>
      <c r="G101" s="20" t="s">
        <v>62</v>
      </c>
      <c r="H101" s="18" t="str">
        <f aca="false">IFERROR(INDEX(المرجع!$A$2:$A$19,MATCH($G101,المرجع!$B$2:$B$19,0)),"")</f>
        <v>البناء المؤسسي</v>
      </c>
      <c r="I101" s="20" t="s">
        <v>49</v>
      </c>
      <c r="J101" s="18" t="str">
        <f aca="false">IFERROR(INDEX(المرجع!$D$2:$D$19,MATCH($I101,المرجع!$E$2:$E$19,0)),"")</f>
        <v>الأهداف ومؤشرات الأداء</v>
      </c>
      <c r="K101" s="20" t="s">
        <v>94</v>
      </c>
      <c r="L101" s="21" t="str">
        <f aca="false">IFERROR(INDEX('نقاط التحقق'!$G$2:$G$31,MATCH($K101,'نقاط التحقق'!$A$2:$A$31,0))&amp;"","")</f>
        <v>نشر الأهداف التشغيلية على موظفي الوحدة التنظيمية</v>
      </c>
      <c r="M101" s="17" t="n">
        <v>85</v>
      </c>
      <c r="N101" s="17" t="n">
        <v>90</v>
      </c>
      <c r="O101" s="19" t="str">
        <f aca="false">IF($M101="","غير مقيّمة",IF($M101&gt;المرجع!$K$3,"مستوفاة بشكل متقدم",IF($M101&lt;=المرجع!$K$2,"مستوفاة بشكل أولي","مستوفاة بشكل جزئي")))</f>
        <v>مستوفاة بشكل متقدم</v>
      </c>
      <c r="P101" s="22" t="s">
        <v>245</v>
      </c>
    </row>
    <row r="102" customFormat="false" ht="15" hidden="false" customHeight="true" outlineLevel="0" collapsed="false">
      <c r="A102" s="20" t="s">
        <v>345</v>
      </c>
      <c r="B102" s="20" t="s">
        <v>156</v>
      </c>
      <c r="C102" s="19" t="str">
        <f aca="false">IFERROR(INDEX('قائمة الوحدات'!$B$2:$B$41,MATCH($B102,'قائمة الوحدات'!$A$2:$A$41,0)),"")</f>
        <v>TOP</v>
      </c>
      <c r="D102" s="18" t="str">
        <f aca="false">IFERROR(INDEX('قائمة الوحدات'!$C$2:$C$41,MATCH($B102,'قائمة الوحدات'!$A$2:$A$41,0)),"")</f>
        <v>المرتبطة بسمو الوزير</v>
      </c>
      <c r="E102" s="18" t="str">
        <f aca="false">IFERROR(INDEX('قائمة الوحدات'!$D$2:$D$41,MATCH($B102,'قائمة الوحدات'!$A$2:$A$41,0)),"")</f>
        <v>إدارة الشؤون القانونية</v>
      </c>
      <c r="F102" s="18" t="str">
        <f aca="false">IFERROR(INDEX('قائمة الوحدات'!$F$2:$F$41,MATCH($B102,'قائمة الوحدات'!$A$2:$A$41,0)),"")</f>
        <v>إدارة الشؤون القانونية</v>
      </c>
      <c r="G102" s="20" t="s">
        <v>62</v>
      </c>
      <c r="H102" s="18" t="str">
        <f aca="false">IFERROR(INDEX(المرجع!$A$2:$A$19,MATCH($G102,المرجع!$B$2:$B$19,0)),"")</f>
        <v>البناء المؤسسي</v>
      </c>
      <c r="I102" s="20" t="s">
        <v>52</v>
      </c>
      <c r="J102" s="18" t="str">
        <f aca="false">IFERROR(INDEX(المرجع!$D$2:$D$19,MATCH($I102,المرجع!$E$2:$E$19,0)),"")</f>
        <v>الحوكمة</v>
      </c>
      <c r="K102" s="20" t="s">
        <v>96</v>
      </c>
      <c r="L102" s="21" t="str">
        <f aca="false">IFERROR(INDEX('نقاط التحقق'!$G$2:$G$31,MATCH($K102,'نقاط التحقق'!$A$2:$A$31,0))&amp;"","")</f>
        <v>مصفوفة صلاحيات معتمدة ومعممة على أصحاب المصلحة</v>
      </c>
      <c r="M102" s="17" t="n">
        <v>50</v>
      </c>
      <c r="N102" s="17" t="n">
        <v>85</v>
      </c>
      <c r="O102" s="19" t="str">
        <f aca="false">IF($M102="","غير مقيّمة",IF($M102&gt;المرجع!$K$3,"مستوفاة بشكل متقدم",IF($M102&lt;=المرجع!$K$2,"مستوفاة بشكل أولي","مستوفاة بشكل جزئي")))</f>
        <v>مستوفاة بشكل جزئي</v>
      </c>
      <c r="P102" s="22" t="s">
        <v>245</v>
      </c>
    </row>
    <row r="103" customFormat="false" ht="15" hidden="false" customHeight="true" outlineLevel="0" collapsed="false">
      <c r="A103" s="20" t="s">
        <v>346</v>
      </c>
      <c r="B103" s="20" t="s">
        <v>156</v>
      </c>
      <c r="C103" s="19" t="str">
        <f aca="false">IFERROR(INDEX('قائمة الوحدات'!$B$2:$B$41,MATCH($B103,'قائمة الوحدات'!$A$2:$A$41,0)),"")</f>
        <v>TOP</v>
      </c>
      <c r="D103" s="18" t="str">
        <f aca="false">IFERROR(INDEX('قائمة الوحدات'!$C$2:$C$41,MATCH($B103,'قائمة الوحدات'!$A$2:$A$41,0)),"")</f>
        <v>المرتبطة بسمو الوزير</v>
      </c>
      <c r="E103" s="18" t="str">
        <f aca="false">IFERROR(INDEX('قائمة الوحدات'!$D$2:$D$41,MATCH($B103,'قائمة الوحدات'!$A$2:$A$41,0)),"")</f>
        <v>إدارة الشؤون القانونية</v>
      </c>
      <c r="F103" s="18" t="str">
        <f aca="false">IFERROR(INDEX('قائمة الوحدات'!$F$2:$F$41,MATCH($B103,'قائمة الوحدات'!$A$2:$A$41,0)),"")</f>
        <v>إدارة الشؤون القانونية</v>
      </c>
      <c r="G103" s="20" t="s">
        <v>62</v>
      </c>
      <c r="H103" s="18" t="str">
        <f aca="false">IFERROR(INDEX(المرجع!$A$2:$A$19,MATCH($G103,المرجع!$B$2:$B$19,0)),"")</f>
        <v>البناء المؤسسي</v>
      </c>
      <c r="I103" s="20" t="s">
        <v>52</v>
      </c>
      <c r="J103" s="18" t="str">
        <f aca="false">IFERROR(INDEX(المرجع!$D$2:$D$19,MATCH($I103,المرجع!$E$2:$E$19,0)),"")</f>
        <v>الحوكمة</v>
      </c>
      <c r="K103" s="20" t="s">
        <v>98</v>
      </c>
      <c r="L103" s="21" t="str">
        <f aca="false">IFERROR(INDEX('نقاط التحقق'!$G$2:$G$31,MATCH($K103,'نقاط التحقق'!$A$2:$A$31,0))&amp;"","")</f>
        <v>سياسات معتمدة للتي تملكها الوحدة التنظيمية</v>
      </c>
      <c r="M103" s="17" t="n">
        <v>60</v>
      </c>
      <c r="N103" s="17" t="n">
        <v>95</v>
      </c>
      <c r="O103" s="19" t="str">
        <f aca="false">IF($M103="","غير مقيّمة",IF($M103&gt;المرجع!$K$3,"مستوفاة بشكل متقدم",IF($M103&lt;=المرجع!$K$2,"مستوفاة بشكل أولي","مستوفاة بشكل جزئي")))</f>
        <v>مستوفاة بشكل جزئي</v>
      </c>
      <c r="P103" s="22" t="s">
        <v>245</v>
      </c>
    </row>
    <row r="104" customFormat="false" ht="15" hidden="false" customHeight="true" outlineLevel="0" collapsed="false">
      <c r="A104" s="20" t="s">
        <v>347</v>
      </c>
      <c r="B104" s="20" t="s">
        <v>156</v>
      </c>
      <c r="C104" s="19" t="str">
        <f aca="false">IFERROR(INDEX('قائمة الوحدات'!$B$2:$B$41,MATCH($B104,'قائمة الوحدات'!$A$2:$A$41,0)),"")</f>
        <v>TOP</v>
      </c>
      <c r="D104" s="18" t="str">
        <f aca="false">IFERROR(INDEX('قائمة الوحدات'!$C$2:$C$41,MATCH($B104,'قائمة الوحدات'!$A$2:$A$41,0)),"")</f>
        <v>المرتبطة بسمو الوزير</v>
      </c>
      <c r="E104" s="18" t="str">
        <f aca="false">IFERROR(INDEX('قائمة الوحدات'!$D$2:$D$41,MATCH($B104,'قائمة الوحدات'!$A$2:$A$41,0)),"")</f>
        <v>إدارة الشؤون القانونية</v>
      </c>
      <c r="F104" s="18" t="str">
        <f aca="false">IFERROR(INDEX('قائمة الوحدات'!$F$2:$F$41,MATCH($B104,'قائمة الوحدات'!$A$2:$A$41,0)),"")</f>
        <v>إدارة الشؤون القانونية</v>
      </c>
      <c r="G104" s="20" t="s">
        <v>62</v>
      </c>
      <c r="H104" s="18" t="str">
        <f aca="false">IFERROR(INDEX(المرجع!$A$2:$A$19,MATCH($G104,المرجع!$B$2:$B$19,0)),"")</f>
        <v>البناء المؤسسي</v>
      </c>
      <c r="I104" s="20" t="s">
        <v>52</v>
      </c>
      <c r="J104" s="18" t="str">
        <f aca="false">IFERROR(INDEX(المرجع!$D$2:$D$19,MATCH($I104,المرجع!$E$2:$E$19,0)),"")</f>
        <v>الحوكمة</v>
      </c>
      <c r="K104" s="20" t="s">
        <v>100</v>
      </c>
      <c r="L104" s="21" t="str">
        <f aca="false">IFERROR(INDEX('نقاط التحقق'!$G$2:$G$31,MATCH($K104,'نقاط التحقق'!$A$2:$A$31,0))&amp;"","")</f>
        <v>قرار تشكيل معتمد للجان ذات العلاقة</v>
      </c>
      <c r="M104" s="17" t="n">
        <v>60</v>
      </c>
      <c r="N104" s="17" t="n">
        <v>95</v>
      </c>
      <c r="O104" s="19" t="str">
        <f aca="false">IF($M104="","غير مقيّمة",IF($M104&gt;المرجع!$K$3,"مستوفاة بشكل متقدم",IF($M104&lt;=المرجع!$K$2,"مستوفاة بشكل أولي","مستوفاة بشكل جزئي")))</f>
        <v>مستوفاة بشكل جزئي</v>
      </c>
      <c r="P104" s="22" t="s">
        <v>245</v>
      </c>
    </row>
    <row r="105" customFormat="false" ht="15" hidden="false" customHeight="true" outlineLevel="0" collapsed="false">
      <c r="A105" s="20" t="s">
        <v>348</v>
      </c>
      <c r="B105" s="20" t="s">
        <v>156</v>
      </c>
      <c r="C105" s="19" t="str">
        <f aca="false">IFERROR(INDEX('قائمة الوحدات'!$B$2:$B$41,MATCH($B105,'قائمة الوحدات'!$A$2:$A$41,0)),"")</f>
        <v>TOP</v>
      </c>
      <c r="D105" s="18" t="str">
        <f aca="false">IFERROR(INDEX('قائمة الوحدات'!$C$2:$C$41,MATCH($B105,'قائمة الوحدات'!$A$2:$A$41,0)),"")</f>
        <v>المرتبطة بسمو الوزير</v>
      </c>
      <c r="E105" s="18" t="str">
        <f aca="false">IFERROR(INDEX('قائمة الوحدات'!$D$2:$D$41,MATCH($B105,'قائمة الوحدات'!$A$2:$A$41,0)),"")</f>
        <v>إدارة الشؤون القانونية</v>
      </c>
      <c r="F105" s="18" t="str">
        <f aca="false">IFERROR(INDEX('قائمة الوحدات'!$F$2:$F$41,MATCH($B105,'قائمة الوحدات'!$A$2:$A$41,0)),"")</f>
        <v>إدارة الشؤون القانونية</v>
      </c>
      <c r="G105" s="20" t="s">
        <v>62</v>
      </c>
      <c r="H105" s="18" t="str">
        <f aca="false">IFERROR(INDEX(المرجع!$A$2:$A$19,MATCH($G105,المرجع!$B$2:$B$19,0)),"")</f>
        <v>البناء المؤسسي</v>
      </c>
      <c r="I105" s="20" t="s">
        <v>55</v>
      </c>
      <c r="J105" s="18" t="str">
        <f aca="false">IFERROR(INDEX(المرجع!$D$2:$D$19,MATCH($I105,المرجع!$E$2:$E$19,0)),"")</f>
        <v>التنظيم</v>
      </c>
      <c r="K105" s="20" t="s">
        <v>102</v>
      </c>
      <c r="L105" s="21" t="str">
        <f aca="false">IFERROR(INDEX('نقاط التحقق'!$G$2:$G$31,MATCH($K105,'نقاط التحقق'!$A$2:$A$31,0))&amp;"","")</f>
        <v>هيكل تنظيمي معتمد من صاحب الصلاحية</v>
      </c>
      <c r="M105" s="17" t="n">
        <v>40</v>
      </c>
      <c r="N105" s="17" t="n">
        <v>80</v>
      </c>
      <c r="O105" s="19" t="str">
        <f aca="false">IF($M105="","غير مقيّمة",IF($M105&gt;المرجع!$K$3,"مستوفاة بشكل متقدم",IF($M105&lt;=المرجع!$K$2,"مستوفاة بشكل أولي","مستوفاة بشكل جزئي")))</f>
        <v>مستوفاة بشكل جزئي</v>
      </c>
      <c r="P105" s="22" t="s">
        <v>245</v>
      </c>
    </row>
    <row r="106" customFormat="false" ht="15" hidden="false" customHeight="true" outlineLevel="0" collapsed="false">
      <c r="A106" s="20" t="s">
        <v>349</v>
      </c>
      <c r="B106" s="20" t="s">
        <v>156</v>
      </c>
      <c r="C106" s="19" t="str">
        <f aca="false">IFERROR(INDEX('قائمة الوحدات'!$B$2:$B$41,MATCH($B106,'قائمة الوحدات'!$A$2:$A$41,0)),"")</f>
        <v>TOP</v>
      </c>
      <c r="D106" s="18" t="str">
        <f aca="false">IFERROR(INDEX('قائمة الوحدات'!$C$2:$C$41,MATCH($B106,'قائمة الوحدات'!$A$2:$A$41,0)),"")</f>
        <v>المرتبطة بسمو الوزير</v>
      </c>
      <c r="E106" s="18" t="str">
        <f aca="false">IFERROR(INDEX('قائمة الوحدات'!$D$2:$D$41,MATCH($B106,'قائمة الوحدات'!$A$2:$A$41,0)),"")</f>
        <v>إدارة الشؤون القانونية</v>
      </c>
      <c r="F106" s="18" t="str">
        <f aca="false">IFERROR(INDEX('قائمة الوحدات'!$F$2:$F$41,MATCH($B106,'قائمة الوحدات'!$A$2:$A$41,0)),"")</f>
        <v>إدارة الشؤون القانونية</v>
      </c>
      <c r="G106" s="20" t="s">
        <v>62</v>
      </c>
      <c r="H106" s="18" t="str">
        <f aca="false">IFERROR(INDEX(المرجع!$A$2:$A$19,MATCH($G106,المرجع!$B$2:$B$19,0)),"")</f>
        <v>البناء المؤسسي</v>
      </c>
      <c r="I106" s="20" t="s">
        <v>55</v>
      </c>
      <c r="J106" s="18" t="str">
        <f aca="false">IFERROR(INDEX(المرجع!$D$2:$D$19,MATCH($I106,المرجع!$E$2:$E$19,0)),"")</f>
        <v>التنظيم</v>
      </c>
      <c r="K106" s="20" t="s">
        <v>104</v>
      </c>
      <c r="L106" s="21" t="str">
        <f aca="false">IFERROR(INDEX('نقاط التحقق'!$G$2:$G$31,MATCH($K106,'نقاط التحقق'!$A$2:$A$31,0))&amp;"","")</f>
        <v>هيكل تنظيمي منشأ على نظام القوى العاملة</v>
      </c>
      <c r="M106" s="17" t="n">
        <v>55</v>
      </c>
      <c r="N106" s="17" t="n">
        <v>100</v>
      </c>
      <c r="O106" s="19" t="str">
        <f aca="false">IF($M106="","غير مقيّمة",IF($M106&gt;المرجع!$K$3,"مستوفاة بشكل متقدم",IF($M106&lt;=المرجع!$K$2,"مستوفاة بشكل أولي","مستوفاة بشكل جزئي")))</f>
        <v>مستوفاة بشكل جزئي</v>
      </c>
      <c r="P106" s="22" t="s">
        <v>245</v>
      </c>
    </row>
    <row r="107" customFormat="false" ht="15" hidden="false" customHeight="true" outlineLevel="0" collapsed="false">
      <c r="A107" s="20" t="s">
        <v>350</v>
      </c>
      <c r="B107" s="20" t="s">
        <v>156</v>
      </c>
      <c r="C107" s="19" t="str">
        <f aca="false">IFERROR(INDEX('قائمة الوحدات'!$B$2:$B$41,MATCH($B107,'قائمة الوحدات'!$A$2:$A$41,0)),"")</f>
        <v>TOP</v>
      </c>
      <c r="D107" s="18" t="str">
        <f aca="false">IFERROR(INDEX('قائمة الوحدات'!$C$2:$C$41,MATCH($B107,'قائمة الوحدات'!$A$2:$A$41,0)),"")</f>
        <v>المرتبطة بسمو الوزير</v>
      </c>
      <c r="E107" s="18" t="str">
        <f aca="false">IFERROR(INDEX('قائمة الوحدات'!$D$2:$D$41,MATCH($B107,'قائمة الوحدات'!$A$2:$A$41,0)),"")</f>
        <v>إدارة الشؤون القانونية</v>
      </c>
      <c r="F107" s="18" t="str">
        <f aca="false">IFERROR(INDEX('قائمة الوحدات'!$F$2:$F$41,MATCH($B107,'قائمة الوحدات'!$A$2:$A$41,0)),"")</f>
        <v>إدارة الشؤون القانونية</v>
      </c>
      <c r="G107" s="20" t="s">
        <v>62</v>
      </c>
      <c r="H107" s="18" t="str">
        <f aca="false">IFERROR(INDEX(المرجع!$A$2:$A$19,MATCH($G107,المرجع!$B$2:$B$19,0)),"")</f>
        <v>البناء المؤسسي</v>
      </c>
      <c r="I107" s="20" t="s">
        <v>55</v>
      </c>
      <c r="J107" s="18" t="str">
        <f aca="false">IFERROR(INDEX(المرجع!$D$2:$D$19,MATCH($I107,المرجع!$E$2:$E$19,0)),"")</f>
        <v>التنظيم</v>
      </c>
      <c r="K107" s="20" t="s">
        <v>106</v>
      </c>
      <c r="L107" s="21" t="str">
        <f aca="false">IFERROR(INDEX('نقاط التحقق'!$G$2:$G$31,MATCH($K107,'نقاط التحقق'!$A$2:$A$31,0))&amp;"","")</f>
        <v>الموظفون المحددون مسكّنون على الهيكل التنظيمي المستهدف</v>
      </c>
      <c r="M107" s="17" t="n">
        <v>45</v>
      </c>
      <c r="N107" s="17" t="n">
        <v>80</v>
      </c>
      <c r="O107" s="19" t="str">
        <f aca="false">IF($M107="","غير مقيّمة",IF($M107&gt;المرجع!$K$3,"مستوفاة بشكل متقدم",IF($M107&lt;=المرجع!$K$2,"مستوفاة بشكل أولي","مستوفاة بشكل جزئي")))</f>
        <v>مستوفاة بشكل جزئي</v>
      </c>
      <c r="P107" s="22" t="s">
        <v>245</v>
      </c>
    </row>
    <row r="108" customFormat="false" ht="15" hidden="false" customHeight="true" outlineLevel="0" collapsed="false">
      <c r="A108" s="20" t="s">
        <v>351</v>
      </c>
      <c r="B108" s="20" t="s">
        <v>156</v>
      </c>
      <c r="C108" s="19" t="str">
        <f aca="false">IFERROR(INDEX('قائمة الوحدات'!$B$2:$B$41,MATCH($B108,'قائمة الوحدات'!$A$2:$A$41,0)),"")</f>
        <v>TOP</v>
      </c>
      <c r="D108" s="18" t="str">
        <f aca="false">IFERROR(INDEX('قائمة الوحدات'!$C$2:$C$41,MATCH($B108,'قائمة الوحدات'!$A$2:$A$41,0)),"")</f>
        <v>المرتبطة بسمو الوزير</v>
      </c>
      <c r="E108" s="18" t="str">
        <f aca="false">IFERROR(INDEX('قائمة الوحدات'!$D$2:$D$41,MATCH($B108,'قائمة الوحدات'!$A$2:$A$41,0)),"")</f>
        <v>إدارة الشؤون القانونية</v>
      </c>
      <c r="F108" s="18" t="str">
        <f aca="false">IFERROR(INDEX('قائمة الوحدات'!$F$2:$F$41,MATCH($B108,'قائمة الوحدات'!$A$2:$A$41,0)),"")</f>
        <v>إدارة الشؤون القانونية</v>
      </c>
      <c r="G108" s="20" t="s">
        <v>62</v>
      </c>
      <c r="H108" s="18" t="str">
        <f aca="false">IFERROR(INDEX(المرجع!$A$2:$A$19,MATCH($G108,المرجع!$B$2:$B$19,0)),"")</f>
        <v>البناء المؤسسي</v>
      </c>
      <c r="I108" s="20" t="s">
        <v>57</v>
      </c>
      <c r="J108" s="18" t="str">
        <f aca="false">IFERROR(INDEX(المرجع!$D$2:$D$19,MATCH($I108,المرجع!$E$2:$E$19,0)),"")</f>
        <v>الموارد</v>
      </c>
      <c r="K108" s="20" t="s">
        <v>108</v>
      </c>
      <c r="L108" s="21" t="str">
        <f aca="false">IFERROR(INDEX('نقاط التحقق'!$G$2:$G$31,MATCH($K108,'نقاط التحقق'!$A$2:$A$31,0))&amp;"","")</f>
        <v>مدير الوحدة التنظيمية والموظفون الرئيسيون معينون/ملحقون</v>
      </c>
      <c r="M108" s="17" t="n">
        <v>80</v>
      </c>
      <c r="N108" s="17" t="n">
        <v>100</v>
      </c>
      <c r="O108" s="19" t="str">
        <f aca="false">IF($M108="","غير مقيّمة",IF($M108&gt;المرجع!$K$3,"مستوفاة بشكل متقدم",IF($M108&lt;=المرجع!$K$2,"مستوفاة بشكل أولي","مستوفاة بشكل جزئي")))</f>
        <v>مستوفاة بشكل متقدم</v>
      </c>
      <c r="P108" s="22" t="s">
        <v>245</v>
      </c>
    </row>
    <row r="109" customFormat="false" ht="15" hidden="false" customHeight="true" outlineLevel="0" collapsed="false">
      <c r="A109" s="20" t="s">
        <v>352</v>
      </c>
      <c r="B109" s="20" t="s">
        <v>156</v>
      </c>
      <c r="C109" s="19" t="str">
        <f aca="false">IFERROR(INDEX('قائمة الوحدات'!$B$2:$B$41,MATCH($B109,'قائمة الوحدات'!$A$2:$A$41,0)),"")</f>
        <v>TOP</v>
      </c>
      <c r="D109" s="18" t="str">
        <f aca="false">IFERROR(INDEX('قائمة الوحدات'!$C$2:$C$41,MATCH($B109,'قائمة الوحدات'!$A$2:$A$41,0)),"")</f>
        <v>المرتبطة بسمو الوزير</v>
      </c>
      <c r="E109" s="18" t="str">
        <f aca="false">IFERROR(INDEX('قائمة الوحدات'!$D$2:$D$41,MATCH($B109,'قائمة الوحدات'!$A$2:$A$41,0)),"")</f>
        <v>إدارة الشؤون القانونية</v>
      </c>
      <c r="F109" s="18" t="str">
        <f aca="false">IFERROR(INDEX('قائمة الوحدات'!$F$2:$F$41,MATCH($B109,'قائمة الوحدات'!$A$2:$A$41,0)),"")</f>
        <v>إدارة الشؤون القانونية</v>
      </c>
      <c r="G109" s="20" t="s">
        <v>62</v>
      </c>
      <c r="H109" s="18" t="str">
        <f aca="false">IFERROR(INDEX(المرجع!$A$2:$A$19,MATCH($G109,المرجع!$B$2:$B$19,0)),"")</f>
        <v>البناء المؤسسي</v>
      </c>
      <c r="I109" s="20" t="s">
        <v>57</v>
      </c>
      <c r="J109" s="18" t="str">
        <f aca="false">IFERROR(INDEX(المرجع!$D$2:$D$19,MATCH($I109,المرجع!$E$2:$E$19,0)),"")</f>
        <v>الموارد</v>
      </c>
      <c r="K109" s="20" t="s">
        <v>110</v>
      </c>
      <c r="L109" s="21" t="str">
        <f aca="false">IFERROR(INDEX('نقاط التحقق'!$G$2:$G$31,MATCH($K109,'نقاط التحقق'!$A$2:$A$31,0))&amp;"","")</f>
        <v>خطة توظيف وتدريب مستكملة</v>
      </c>
      <c r="M109" s="17" t="n">
        <v>55</v>
      </c>
      <c r="N109" s="17" t="n">
        <v>100</v>
      </c>
      <c r="O109" s="19" t="str">
        <f aca="false">IF($M109="","غير مقيّمة",IF($M109&gt;المرجع!$K$3,"مستوفاة بشكل متقدم",IF($M109&lt;=المرجع!$K$2,"مستوفاة بشكل أولي","مستوفاة بشكل جزئي")))</f>
        <v>مستوفاة بشكل جزئي</v>
      </c>
      <c r="P109" s="22" t="s">
        <v>245</v>
      </c>
    </row>
    <row r="110" customFormat="false" ht="15" hidden="false" customHeight="true" outlineLevel="0" collapsed="false">
      <c r="A110" s="20" t="s">
        <v>353</v>
      </c>
      <c r="B110" s="20" t="s">
        <v>156</v>
      </c>
      <c r="C110" s="19" t="str">
        <f aca="false">IFERROR(INDEX('قائمة الوحدات'!$B$2:$B$41,MATCH($B110,'قائمة الوحدات'!$A$2:$A$41,0)),"")</f>
        <v>TOP</v>
      </c>
      <c r="D110" s="18" t="str">
        <f aca="false">IFERROR(INDEX('قائمة الوحدات'!$C$2:$C$41,MATCH($B110,'قائمة الوحدات'!$A$2:$A$41,0)),"")</f>
        <v>المرتبطة بسمو الوزير</v>
      </c>
      <c r="E110" s="18" t="str">
        <f aca="false">IFERROR(INDEX('قائمة الوحدات'!$D$2:$D$41,MATCH($B110,'قائمة الوحدات'!$A$2:$A$41,0)),"")</f>
        <v>إدارة الشؤون القانونية</v>
      </c>
      <c r="F110" s="18" t="str">
        <f aca="false">IFERROR(INDEX('قائمة الوحدات'!$F$2:$F$41,MATCH($B110,'قائمة الوحدات'!$A$2:$A$41,0)),"")</f>
        <v>إدارة الشؤون القانونية</v>
      </c>
      <c r="G110" s="20" t="s">
        <v>62</v>
      </c>
      <c r="H110" s="18" t="str">
        <f aca="false">IFERROR(INDEX(المرجع!$A$2:$A$19,MATCH($G110,المرجع!$B$2:$B$19,0)),"")</f>
        <v>البناء المؤسسي</v>
      </c>
      <c r="I110" s="20" t="s">
        <v>57</v>
      </c>
      <c r="J110" s="18" t="str">
        <f aca="false">IFERROR(INDEX(المرجع!$D$2:$D$19,MATCH($I110,المرجع!$E$2:$E$19,0)),"")</f>
        <v>الموارد</v>
      </c>
      <c r="K110" s="20" t="s">
        <v>112</v>
      </c>
      <c r="L110" s="21" t="str">
        <f aca="false">IFERROR(INDEX('نقاط التحقق'!$G$2:$G$31,MATCH($K110,'نقاط التحقق'!$A$2:$A$31,0))&amp;"","")</f>
        <v>وجود مساحات مكتبية كافية</v>
      </c>
      <c r="M110" s="17" t="n">
        <v>65</v>
      </c>
      <c r="N110" s="17" t="n">
        <v>100</v>
      </c>
      <c r="O110" s="19" t="str">
        <f aca="false">IF($M110="","غير مقيّمة",IF($M110&gt;المرجع!$K$3,"مستوفاة بشكل متقدم",IF($M110&lt;=المرجع!$K$2,"مستوفاة بشكل أولي","مستوفاة بشكل جزئي")))</f>
        <v>مستوفاة بشكل جزئي</v>
      </c>
      <c r="P110" s="22" t="s">
        <v>245</v>
      </c>
    </row>
    <row r="111" customFormat="false" ht="15" hidden="false" customHeight="true" outlineLevel="0" collapsed="false">
      <c r="A111" s="20" t="s">
        <v>354</v>
      </c>
      <c r="B111" s="20" t="s">
        <v>156</v>
      </c>
      <c r="C111" s="19" t="str">
        <f aca="false">IFERROR(INDEX('قائمة الوحدات'!$B$2:$B$41,MATCH($B111,'قائمة الوحدات'!$A$2:$A$41,0)),"")</f>
        <v>TOP</v>
      </c>
      <c r="D111" s="18" t="str">
        <f aca="false">IFERROR(INDEX('قائمة الوحدات'!$C$2:$C$41,MATCH($B111,'قائمة الوحدات'!$A$2:$A$41,0)),"")</f>
        <v>المرتبطة بسمو الوزير</v>
      </c>
      <c r="E111" s="18" t="str">
        <f aca="false">IFERROR(INDEX('قائمة الوحدات'!$D$2:$D$41,MATCH($B111,'قائمة الوحدات'!$A$2:$A$41,0)),"")</f>
        <v>إدارة الشؤون القانونية</v>
      </c>
      <c r="F111" s="18" t="str">
        <f aca="false">IFERROR(INDEX('قائمة الوحدات'!$F$2:$F$41,MATCH($B111,'قائمة الوحدات'!$A$2:$A$41,0)),"")</f>
        <v>إدارة الشؤون القانونية</v>
      </c>
      <c r="G111" s="20" t="s">
        <v>62</v>
      </c>
      <c r="H111" s="18" t="str">
        <f aca="false">IFERROR(INDEX(المرجع!$A$2:$A$19,MATCH($G111,المرجع!$B$2:$B$19,0)),"")</f>
        <v>البناء المؤسسي</v>
      </c>
      <c r="I111" s="20" t="s">
        <v>57</v>
      </c>
      <c r="J111" s="18" t="str">
        <f aca="false">IFERROR(INDEX(المرجع!$D$2:$D$19,MATCH($I111,المرجع!$E$2:$E$19,0)),"")</f>
        <v>الموارد</v>
      </c>
      <c r="K111" s="20" t="s">
        <v>114</v>
      </c>
      <c r="L111" s="21" t="str">
        <f aca="false">IFERROR(INDEX('نقاط التحقق'!$G$2:$G$31,MATCH($K111,'نقاط التحقق'!$A$2:$A$31,0))&amp;"","")</f>
        <v>وجود الاحتياجات التقنية الأساسية</v>
      </c>
      <c r="M111" s="17" t="n">
        <v>65</v>
      </c>
      <c r="N111" s="17" t="n">
        <v>100</v>
      </c>
      <c r="O111" s="19" t="str">
        <f aca="false">IF($M111="","غير مقيّمة",IF($M111&gt;المرجع!$K$3,"مستوفاة بشكل متقدم",IF($M111&lt;=المرجع!$K$2,"مستوفاة بشكل أولي","مستوفاة بشكل جزئي")))</f>
        <v>مستوفاة بشكل جزئي</v>
      </c>
      <c r="P111" s="22" t="s">
        <v>245</v>
      </c>
    </row>
    <row r="112" customFormat="false" ht="15" hidden="false" customHeight="true" outlineLevel="0" collapsed="false">
      <c r="A112" s="20" t="s">
        <v>355</v>
      </c>
      <c r="B112" s="20" t="s">
        <v>156</v>
      </c>
      <c r="C112" s="19" t="str">
        <f aca="false">IFERROR(INDEX('قائمة الوحدات'!$B$2:$B$41,MATCH($B112,'قائمة الوحدات'!$A$2:$A$41,0)),"")</f>
        <v>TOP</v>
      </c>
      <c r="D112" s="18" t="str">
        <f aca="false">IFERROR(INDEX('قائمة الوحدات'!$C$2:$C$41,MATCH($B112,'قائمة الوحدات'!$A$2:$A$41,0)),"")</f>
        <v>المرتبطة بسمو الوزير</v>
      </c>
      <c r="E112" s="18" t="str">
        <f aca="false">IFERROR(INDEX('قائمة الوحدات'!$D$2:$D$41,MATCH($B112,'قائمة الوحدات'!$A$2:$A$41,0)),"")</f>
        <v>إدارة الشؤون القانونية</v>
      </c>
      <c r="F112" s="18" t="str">
        <f aca="false">IFERROR(INDEX('قائمة الوحدات'!$F$2:$F$41,MATCH($B112,'قائمة الوحدات'!$A$2:$A$41,0)),"")</f>
        <v>إدارة الشؤون القانونية</v>
      </c>
      <c r="G112" s="20" t="s">
        <v>62</v>
      </c>
      <c r="H112" s="18" t="str">
        <f aca="false">IFERROR(INDEX(المرجع!$A$2:$A$19,MATCH($G112,المرجع!$B$2:$B$19,0)),"")</f>
        <v>البناء المؤسسي</v>
      </c>
      <c r="I112" s="20" t="s">
        <v>60</v>
      </c>
      <c r="J112" s="18" t="str">
        <f aca="false">IFERROR(INDEX(المرجع!$D$2:$D$19,MATCH($I112,المرجع!$E$2:$E$19,0)),"")</f>
        <v>الإجراءات</v>
      </c>
      <c r="K112" s="20" t="s">
        <v>116</v>
      </c>
      <c r="L112" s="21" t="str">
        <f aca="false">IFERROR(INDEX('نقاط التحقق'!$G$2:$G$31,MATCH($K112,'نقاط التحقق'!$A$2:$A$31,0))&amp;"","")</f>
        <v>إجراءات معتمدة للوحدة التنظيمية</v>
      </c>
      <c r="M112" s="17" t="n">
        <v>71</v>
      </c>
      <c r="N112" s="17" t="n">
        <v>100</v>
      </c>
      <c r="O112" s="19" t="str">
        <f aca="false">IF($M112="","غير مقيّمة",IF($M112&gt;المرجع!$K$3,"مستوفاة بشكل متقدم",IF($M112&lt;=المرجع!$K$2,"مستوفاة بشكل أولي","مستوفاة بشكل جزئي")))</f>
        <v>مستوفاة بشكل متقدم</v>
      </c>
      <c r="P112" s="22" t="s">
        <v>245</v>
      </c>
    </row>
    <row r="113" customFormat="false" ht="15" hidden="false" customHeight="true" outlineLevel="0" collapsed="false">
      <c r="A113" s="20" t="s">
        <v>356</v>
      </c>
      <c r="B113" s="20" t="s">
        <v>156</v>
      </c>
      <c r="C113" s="19" t="str">
        <f aca="false">IFERROR(INDEX('قائمة الوحدات'!$B$2:$B$41,MATCH($B113,'قائمة الوحدات'!$A$2:$A$41,0)),"")</f>
        <v>TOP</v>
      </c>
      <c r="D113" s="18" t="str">
        <f aca="false">IFERROR(INDEX('قائمة الوحدات'!$C$2:$C$41,MATCH($B113,'قائمة الوحدات'!$A$2:$A$41,0)),"")</f>
        <v>المرتبطة بسمو الوزير</v>
      </c>
      <c r="E113" s="18" t="str">
        <f aca="false">IFERROR(INDEX('قائمة الوحدات'!$D$2:$D$41,MATCH($B113,'قائمة الوحدات'!$A$2:$A$41,0)),"")</f>
        <v>إدارة الشؤون القانونية</v>
      </c>
      <c r="F113" s="18" t="str">
        <f aca="false">IFERROR(INDEX('قائمة الوحدات'!$F$2:$F$41,MATCH($B113,'قائمة الوحدات'!$A$2:$A$41,0)),"")</f>
        <v>إدارة الشؤون القانونية</v>
      </c>
      <c r="G113" s="20" t="s">
        <v>62</v>
      </c>
      <c r="H113" s="18" t="str">
        <f aca="false">IFERROR(INDEX(المرجع!$A$2:$A$19,MATCH($G113,المرجع!$B$2:$B$19,0)),"")</f>
        <v>البناء المؤسسي</v>
      </c>
      <c r="I113" s="20" t="s">
        <v>69</v>
      </c>
      <c r="J113" s="18" t="str">
        <f aca="false">IFERROR(INDEX(المرجع!$D$2:$D$19,MATCH($I113,المرجع!$E$2:$E$19,0)),"")</f>
        <v>إنتاج المخرج الأول</v>
      </c>
      <c r="K113" s="20" t="s">
        <v>118</v>
      </c>
      <c r="L113" s="21" t="str">
        <f aca="false">IFERROR(INDEX('نقاط التحقق'!$G$2:$G$31,MATCH($K113,'نقاط التحقق'!$A$2:$A$31,0))&amp;"","")</f>
        <v>إنتاج المخرج الأول من قبل الوحدة التنظيمية</v>
      </c>
      <c r="M113" s="17" t="n">
        <v>56</v>
      </c>
      <c r="N113" s="17" t="n">
        <v>90</v>
      </c>
      <c r="O113" s="19" t="str">
        <f aca="false">IF($M113="","غير مقيّمة",IF($M113&gt;المرجع!$K$3,"مستوفاة بشكل متقدم",IF($M113&lt;=المرجع!$K$2,"مستوفاة بشكل أولي","مستوفاة بشكل جزئي")))</f>
        <v>مستوفاة بشكل جزئي</v>
      </c>
      <c r="P113" s="22" t="s">
        <v>245</v>
      </c>
    </row>
    <row r="114" customFormat="false" ht="15" hidden="false" customHeight="true" outlineLevel="0" collapsed="false">
      <c r="A114" s="20" t="s">
        <v>357</v>
      </c>
      <c r="B114" s="20" t="s">
        <v>156</v>
      </c>
      <c r="C114" s="19" t="str">
        <f aca="false">IFERROR(INDEX('قائمة الوحدات'!$B$2:$B$41,MATCH($B114,'قائمة الوحدات'!$A$2:$A$41,0)),"")</f>
        <v>TOP</v>
      </c>
      <c r="D114" s="18" t="str">
        <f aca="false">IFERROR(INDEX('قائمة الوحدات'!$C$2:$C$41,MATCH($B114,'قائمة الوحدات'!$A$2:$A$41,0)),"")</f>
        <v>المرتبطة بسمو الوزير</v>
      </c>
      <c r="E114" s="18" t="str">
        <f aca="false">IFERROR(INDEX('قائمة الوحدات'!$D$2:$D$41,MATCH($B114,'قائمة الوحدات'!$A$2:$A$41,0)),"")</f>
        <v>إدارة الشؤون القانونية</v>
      </c>
      <c r="F114" s="18" t="str">
        <f aca="false">IFERROR(INDEX('قائمة الوحدات'!$F$2:$F$41,MATCH($B114,'قائمة الوحدات'!$A$2:$A$41,0)),"")</f>
        <v>إدارة الشؤون القانونية</v>
      </c>
      <c r="G114" s="20" t="s">
        <v>66</v>
      </c>
      <c r="H114" s="18" t="str">
        <f aca="false">IFERROR(INDEX(المرجع!$A$2:$A$19,MATCH($G114,المرجع!$B$2:$B$19,0)),"")</f>
        <v>التشغيل</v>
      </c>
      <c r="I114" s="20" t="s">
        <v>49</v>
      </c>
      <c r="J114" s="18" t="str">
        <f aca="false">IFERROR(INDEX(المرجع!$D$2:$D$19,MATCH($I114,المرجع!$E$2:$E$19,0)),"")</f>
        <v>الأهداف ومؤشرات الأداء</v>
      </c>
      <c r="K114" s="20" t="s">
        <v>120</v>
      </c>
      <c r="L114" s="21" t="str">
        <f aca="false">IFERROR(INDEX('نقاط التحقق'!$G$2:$G$31,MATCH($K114,'نقاط التحقق'!$A$2:$A$31,0))&amp;"","")</f>
        <v>تحرك مؤشرات الأداء التشغيلي للوحدة التنظيمية بشكل إيجابي</v>
      </c>
      <c r="M114" s="17" t="n">
        <v>65</v>
      </c>
      <c r="N114" s="17" t="n">
        <v>90</v>
      </c>
      <c r="O114" s="19" t="str">
        <f aca="false">IF($M114="","غير مقيّمة",IF($M114&gt;المرجع!$K$3,"مستوفاة بشكل متقدم",IF($M114&lt;=المرجع!$K$2,"مستوفاة بشكل أولي","مستوفاة بشكل جزئي")))</f>
        <v>مستوفاة بشكل جزئي</v>
      </c>
      <c r="P114" s="22" t="s">
        <v>245</v>
      </c>
    </row>
    <row r="115" customFormat="false" ht="15" hidden="false" customHeight="true" outlineLevel="0" collapsed="false">
      <c r="A115" s="20" t="s">
        <v>358</v>
      </c>
      <c r="B115" s="20" t="s">
        <v>156</v>
      </c>
      <c r="C115" s="19" t="str">
        <f aca="false">IFERROR(INDEX('قائمة الوحدات'!$B$2:$B$41,MATCH($B115,'قائمة الوحدات'!$A$2:$A$41,0)),"")</f>
        <v>TOP</v>
      </c>
      <c r="D115" s="18" t="str">
        <f aca="false">IFERROR(INDEX('قائمة الوحدات'!$C$2:$C$41,MATCH($B115,'قائمة الوحدات'!$A$2:$A$41,0)),"")</f>
        <v>المرتبطة بسمو الوزير</v>
      </c>
      <c r="E115" s="18" t="str">
        <f aca="false">IFERROR(INDEX('قائمة الوحدات'!$D$2:$D$41,MATCH($B115,'قائمة الوحدات'!$A$2:$A$41,0)),"")</f>
        <v>إدارة الشؤون القانونية</v>
      </c>
      <c r="F115" s="18" t="str">
        <f aca="false">IFERROR(INDEX('قائمة الوحدات'!$F$2:$F$41,MATCH($B115,'قائمة الوحدات'!$A$2:$A$41,0)),"")</f>
        <v>إدارة الشؤون القانونية</v>
      </c>
      <c r="G115" s="20" t="s">
        <v>66</v>
      </c>
      <c r="H115" s="18" t="str">
        <f aca="false">IFERROR(INDEX(المرجع!$A$2:$A$19,MATCH($G115,المرجع!$B$2:$B$19,0)),"")</f>
        <v>التشغيل</v>
      </c>
      <c r="I115" s="20" t="s">
        <v>49</v>
      </c>
      <c r="J115" s="18" t="str">
        <f aca="false">IFERROR(INDEX(المرجع!$D$2:$D$19,MATCH($I115,المرجع!$E$2:$E$19,0)),"")</f>
        <v>الأهداف ومؤشرات الأداء</v>
      </c>
      <c r="K115" s="20" t="s">
        <v>122</v>
      </c>
      <c r="L115" s="21" t="str">
        <f aca="false">IFERROR(INDEX('نقاط التحقق'!$G$2:$G$31,MATCH($K115,'نقاط التحقق'!$A$2:$A$31,0))&amp;"","")</f>
        <v>خطة سنوية معتمدة للوحدة التنظيمية</v>
      </c>
      <c r="M115" s="17" t="n">
        <v>50</v>
      </c>
      <c r="N115" s="17" t="n">
        <v>100</v>
      </c>
      <c r="O115" s="19" t="str">
        <f aca="false">IF($M115="","غير مقيّمة",IF($M115&gt;المرجع!$K$3,"مستوفاة بشكل متقدم",IF($M115&lt;=المرجع!$K$2,"مستوفاة بشكل أولي","مستوفاة بشكل جزئي")))</f>
        <v>مستوفاة بشكل جزئي</v>
      </c>
      <c r="P115" s="22" t="s">
        <v>245</v>
      </c>
    </row>
    <row r="116" customFormat="false" ht="15" hidden="false" customHeight="true" outlineLevel="0" collapsed="false">
      <c r="A116" s="20" t="s">
        <v>359</v>
      </c>
      <c r="B116" s="20" t="s">
        <v>156</v>
      </c>
      <c r="C116" s="19" t="str">
        <f aca="false">IFERROR(INDEX('قائمة الوحدات'!$B$2:$B$41,MATCH($B116,'قائمة الوحدات'!$A$2:$A$41,0)),"")</f>
        <v>TOP</v>
      </c>
      <c r="D116" s="18" t="str">
        <f aca="false">IFERROR(INDEX('قائمة الوحدات'!$C$2:$C$41,MATCH($B116,'قائمة الوحدات'!$A$2:$A$41,0)),"")</f>
        <v>المرتبطة بسمو الوزير</v>
      </c>
      <c r="E116" s="18" t="str">
        <f aca="false">IFERROR(INDEX('قائمة الوحدات'!$D$2:$D$41,MATCH($B116,'قائمة الوحدات'!$A$2:$A$41,0)),"")</f>
        <v>إدارة الشؤون القانونية</v>
      </c>
      <c r="F116" s="18" t="str">
        <f aca="false">IFERROR(INDEX('قائمة الوحدات'!$F$2:$F$41,MATCH($B116,'قائمة الوحدات'!$A$2:$A$41,0)),"")</f>
        <v>إدارة الشؤون القانونية</v>
      </c>
      <c r="G116" s="20" t="s">
        <v>66</v>
      </c>
      <c r="H116" s="18" t="str">
        <f aca="false">IFERROR(INDEX(المرجع!$A$2:$A$19,MATCH($G116,المرجع!$B$2:$B$19,0)),"")</f>
        <v>التشغيل</v>
      </c>
      <c r="I116" s="20" t="s">
        <v>52</v>
      </c>
      <c r="J116" s="18" t="str">
        <f aca="false">IFERROR(INDEX(المرجع!$D$2:$D$19,MATCH($I116,المرجع!$E$2:$E$19,0)),"")</f>
        <v>الحوكمة</v>
      </c>
      <c r="K116" s="20" t="s">
        <v>124</v>
      </c>
      <c r="L116" s="21" t="str">
        <f aca="false">IFERROR(INDEX('نقاط التحقق'!$G$2:$G$31,MATCH($K116,'نقاط التحقق'!$A$2:$A$31,0))&amp;"","")</f>
        <v>محاضر لجان موثقة</v>
      </c>
      <c r="M116" s="17" t="n">
        <v>35</v>
      </c>
      <c r="N116" s="17" t="n">
        <v>90</v>
      </c>
      <c r="O116" s="19" t="str">
        <f aca="false">IF($M116="","غير مقيّمة",IF($M116&gt;المرجع!$K$3,"مستوفاة بشكل متقدم",IF($M116&lt;=المرجع!$K$2,"مستوفاة بشكل أولي","مستوفاة بشكل جزئي")))</f>
        <v>مستوفاة بشكل جزئي</v>
      </c>
      <c r="P116" s="22" t="s">
        <v>245</v>
      </c>
    </row>
    <row r="117" customFormat="false" ht="15" hidden="false" customHeight="true" outlineLevel="0" collapsed="false">
      <c r="A117" s="20" t="s">
        <v>360</v>
      </c>
      <c r="B117" s="20" t="s">
        <v>156</v>
      </c>
      <c r="C117" s="19" t="str">
        <f aca="false">IFERROR(INDEX('قائمة الوحدات'!$B$2:$B$41,MATCH($B117,'قائمة الوحدات'!$A$2:$A$41,0)),"")</f>
        <v>TOP</v>
      </c>
      <c r="D117" s="18" t="str">
        <f aca="false">IFERROR(INDEX('قائمة الوحدات'!$C$2:$C$41,MATCH($B117,'قائمة الوحدات'!$A$2:$A$41,0)),"")</f>
        <v>المرتبطة بسمو الوزير</v>
      </c>
      <c r="E117" s="18" t="str">
        <f aca="false">IFERROR(INDEX('قائمة الوحدات'!$D$2:$D$41,MATCH($B117,'قائمة الوحدات'!$A$2:$A$41,0)),"")</f>
        <v>إدارة الشؤون القانونية</v>
      </c>
      <c r="F117" s="18" t="str">
        <f aca="false">IFERROR(INDEX('قائمة الوحدات'!$F$2:$F$41,MATCH($B117,'قائمة الوحدات'!$A$2:$A$41,0)),"")</f>
        <v>إدارة الشؤون القانونية</v>
      </c>
      <c r="G117" s="20" t="s">
        <v>66</v>
      </c>
      <c r="H117" s="18" t="str">
        <f aca="false">IFERROR(INDEX(المرجع!$A$2:$A$19,MATCH($G117,المرجع!$B$2:$B$19,0)),"")</f>
        <v>التشغيل</v>
      </c>
      <c r="I117" s="20" t="s">
        <v>52</v>
      </c>
      <c r="J117" s="18" t="str">
        <f aca="false">IFERROR(INDEX(المرجع!$D$2:$D$19,MATCH($I117,المرجع!$E$2:$E$19,0)),"")</f>
        <v>الحوكمة</v>
      </c>
      <c r="K117" s="20" t="s">
        <v>126</v>
      </c>
      <c r="L117" s="21" t="str">
        <f aca="false">IFERROR(INDEX('نقاط التحقق'!$G$2:$G$31,MATCH($K117,'نقاط التحقق'!$A$2:$A$31,0))&amp;"","")</f>
        <v>نشر السياسات التي تملكها الوحدة التنظيمية</v>
      </c>
      <c r="M117" s="17" t="n">
        <v>45</v>
      </c>
      <c r="N117" s="17" t="n">
        <v>100</v>
      </c>
      <c r="O117" s="19" t="str">
        <f aca="false">IF($M117="","غير مقيّمة",IF($M117&gt;المرجع!$K$3,"مستوفاة بشكل متقدم",IF($M117&lt;=المرجع!$K$2,"مستوفاة بشكل أولي","مستوفاة بشكل جزئي")))</f>
        <v>مستوفاة بشكل جزئي</v>
      </c>
      <c r="P117" s="22" t="s">
        <v>245</v>
      </c>
    </row>
    <row r="118" customFormat="false" ht="15" hidden="false" customHeight="true" outlineLevel="0" collapsed="false">
      <c r="A118" s="20" t="s">
        <v>361</v>
      </c>
      <c r="B118" s="20" t="s">
        <v>156</v>
      </c>
      <c r="C118" s="19" t="str">
        <f aca="false">IFERROR(INDEX('قائمة الوحدات'!$B$2:$B$41,MATCH($B118,'قائمة الوحدات'!$A$2:$A$41,0)),"")</f>
        <v>TOP</v>
      </c>
      <c r="D118" s="18" t="str">
        <f aca="false">IFERROR(INDEX('قائمة الوحدات'!$C$2:$C$41,MATCH($B118,'قائمة الوحدات'!$A$2:$A$41,0)),"")</f>
        <v>المرتبطة بسمو الوزير</v>
      </c>
      <c r="E118" s="18" t="str">
        <f aca="false">IFERROR(INDEX('قائمة الوحدات'!$D$2:$D$41,MATCH($B118,'قائمة الوحدات'!$A$2:$A$41,0)),"")</f>
        <v>إدارة الشؤون القانونية</v>
      </c>
      <c r="F118" s="18" t="str">
        <f aca="false">IFERROR(INDEX('قائمة الوحدات'!$F$2:$F$41,MATCH($B118,'قائمة الوحدات'!$A$2:$A$41,0)),"")</f>
        <v>إدارة الشؤون القانونية</v>
      </c>
      <c r="G118" s="20" t="s">
        <v>66</v>
      </c>
      <c r="H118" s="18" t="str">
        <f aca="false">IFERROR(INDEX(المرجع!$A$2:$A$19,MATCH($G118,المرجع!$B$2:$B$19,0)),"")</f>
        <v>التشغيل</v>
      </c>
      <c r="I118" s="20" t="s">
        <v>52</v>
      </c>
      <c r="J118" s="18" t="str">
        <f aca="false">IFERROR(INDEX(المرجع!$D$2:$D$19,MATCH($I118,المرجع!$E$2:$E$19,0)),"")</f>
        <v>الحوكمة</v>
      </c>
      <c r="K118" s="20" t="s">
        <v>128</v>
      </c>
      <c r="L118" s="21" t="str">
        <f aca="false">IFERROR(INDEX('نقاط التحقق'!$G$2:$G$31,MATCH($K118,'نقاط التحقق'!$A$2:$A$31,0))&amp;"","")</f>
        <v>اتخاذ القرارات في نطاق الصلاحيات (وجود شواهد)</v>
      </c>
      <c r="M118" s="17" t="n">
        <v>40</v>
      </c>
      <c r="N118" s="17" t="n">
        <v>95</v>
      </c>
      <c r="O118" s="19" t="str">
        <f aca="false">IF($M118="","غير مقيّمة",IF($M118&gt;المرجع!$K$3,"مستوفاة بشكل متقدم",IF($M118&lt;=المرجع!$K$2,"مستوفاة بشكل أولي","مستوفاة بشكل جزئي")))</f>
        <v>مستوفاة بشكل جزئي</v>
      </c>
      <c r="P118" s="22" t="s">
        <v>245</v>
      </c>
    </row>
    <row r="119" customFormat="false" ht="15" hidden="false" customHeight="true" outlineLevel="0" collapsed="false">
      <c r="A119" s="20" t="s">
        <v>362</v>
      </c>
      <c r="B119" s="20" t="s">
        <v>156</v>
      </c>
      <c r="C119" s="19" t="str">
        <f aca="false">IFERROR(INDEX('قائمة الوحدات'!$B$2:$B$41,MATCH($B119,'قائمة الوحدات'!$A$2:$A$41,0)),"")</f>
        <v>TOP</v>
      </c>
      <c r="D119" s="18" t="str">
        <f aca="false">IFERROR(INDEX('قائمة الوحدات'!$C$2:$C$41,MATCH($B119,'قائمة الوحدات'!$A$2:$A$41,0)),"")</f>
        <v>المرتبطة بسمو الوزير</v>
      </c>
      <c r="E119" s="18" t="str">
        <f aca="false">IFERROR(INDEX('قائمة الوحدات'!$D$2:$D$41,MATCH($B119,'قائمة الوحدات'!$A$2:$A$41,0)),"")</f>
        <v>إدارة الشؤون القانونية</v>
      </c>
      <c r="F119" s="18" t="str">
        <f aca="false">IFERROR(INDEX('قائمة الوحدات'!$F$2:$F$41,MATCH($B119,'قائمة الوحدات'!$A$2:$A$41,0)),"")</f>
        <v>إدارة الشؤون القانونية</v>
      </c>
      <c r="G119" s="20" t="s">
        <v>66</v>
      </c>
      <c r="H119" s="18" t="str">
        <f aca="false">IFERROR(INDEX(المرجع!$A$2:$A$19,MATCH($G119,المرجع!$B$2:$B$19,0)),"")</f>
        <v>التشغيل</v>
      </c>
      <c r="I119" s="20" t="s">
        <v>57</v>
      </c>
      <c r="J119" s="18" t="str">
        <f aca="false">IFERROR(INDEX(المرجع!$D$2:$D$19,MATCH($I119,المرجع!$E$2:$E$19,0)),"")</f>
        <v>الموارد</v>
      </c>
      <c r="K119" s="20" t="s">
        <v>130</v>
      </c>
      <c r="L119" s="21" t="str">
        <f aca="false">IFERROR(INDEX('نقاط التحقق'!$G$2:$G$31,MATCH($K119,'نقاط التحقق'!$A$2:$A$31,0))&amp;"","")</f>
        <v>موارد مستكملة للحد الأدنى الذي يغطي كافة محاور سلسلة القيمة</v>
      </c>
      <c r="M119" s="17" t="n">
        <v>42</v>
      </c>
      <c r="N119" s="17" t="n">
        <v>100</v>
      </c>
      <c r="O119" s="19" t="str">
        <f aca="false">IF($M119="","غير مقيّمة",IF($M119&gt;المرجع!$K$3,"مستوفاة بشكل متقدم",IF($M119&lt;=المرجع!$K$2,"مستوفاة بشكل أولي","مستوفاة بشكل جزئي")))</f>
        <v>مستوفاة بشكل جزئي</v>
      </c>
      <c r="P119" s="22" t="s">
        <v>245</v>
      </c>
    </row>
    <row r="120" customFormat="false" ht="15" hidden="false" customHeight="true" outlineLevel="0" collapsed="false">
      <c r="A120" s="20" t="s">
        <v>363</v>
      </c>
      <c r="B120" s="20" t="s">
        <v>156</v>
      </c>
      <c r="C120" s="19" t="str">
        <f aca="false">IFERROR(INDEX('قائمة الوحدات'!$B$2:$B$41,MATCH($B120,'قائمة الوحدات'!$A$2:$A$41,0)),"")</f>
        <v>TOP</v>
      </c>
      <c r="D120" s="18" t="str">
        <f aca="false">IFERROR(INDEX('قائمة الوحدات'!$C$2:$C$41,MATCH($B120,'قائمة الوحدات'!$A$2:$A$41,0)),"")</f>
        <v>المرتبطة بسمو الوزير</v>
      </c>
      <c r="E120" s="18" t="str">
        <f aca="false">IFERROR(INDEX('قائمة الوحدات'!$D$2:$D$41,MATCH($B120,'قائمة الوحدات'!$A$2:$A$41,0)),"")</f>
        <v>إدارة الشؤون القانونية</v>
      </c>
      <c r="F120" s="18" t="str">
        <f aca="false">IFERROR(INDEX('قائمة الوحدات'!$F$2:$F$41,MATCH($B120,'قائمة الوحدات'!$A$2:$A$41,0)),"")</f>
        <v>إدارة الشؤون القانونية</v>
      </c>
      <c r="G120" s="20" t="s">
        <v>66</v>
      </c>
      <c r="H120" s="18" t="str">
        <f aca="false">IFERROR(INDEX(المرجع!$A$2:$A$19,MATCH($G120,المرجع!$B$2:$B$19,0)),"")</f>
        <v>التشغيل</v>
      </c>
      <c r="I120" s="20" t="s">
        <v>60</v>
      </c>
      <c r="J120" s="18" t="str">
        <f aca="false">IFERROR(INDEX(المرجع!$D$2:$D$19,MATCH($I120,المرجع!$E$2:$E$19,0)),"")</f>
        <v>الإجراءات</v>
      </c>
      <c r="K120" s="20" t="s">
        <v>132</v>
      </c>
      <c r="L120" s="21" t="str">
        <f aca="false">IFERROR(INDEX('نقاط التحقق'!$G$2:$G$31,MATCH($K120,'نقاط التحقق'!$A$2:$A$31,0))&amp;"","")</f>
        <v>تحقيق تقييم "مطبق بشكل كامل" من منهجية تقييم فعالية الإجراءات</v>
      </c>
      <c r="M120" s="17" t="n">
        <v>56</v>
      </c>
      <c r="N120" s="17" t="n">
        <v>100</v>
      </c>
      <c r="O120" s="19" t="str">
        <f aca="false">IF($M120="","غير مقيّمة",IF($M120&gt;المرجع!$K$3,"مستوفاة بشكل متقدم",IF($M120&lt;=المرجع!$K$2,"مستوفاة بشكل أولي","مستوفاة بشكل جزئي")))</f>
        <v>مستوفاة بشكل جزئي</v>
      </c>
      <c r="P120" s="22" t="s">
        <v>245</v>
      </c>
    </row>
    <row r="121" customFormat="false" ht="15" hidden="false" customHeight="true" outlineLevel="0" collapsed="false">
      <c r="A121" s="20" t="s">
        <v>364</v>
      </c>
      <c r="B121" s="20" t="s">
        <v>156</v>
      </c>
      <c r="C121" s="19" t="str">
        <f aca="false">IFERROR(INDEX('قائمة الوحدات'!$B$2:$B$41,MATCH($B121,'قائمة الوحدات'!$A$2:$A$41,0)),"")</f>
        <v>TOP</v>
      </c>
      <c r="D121" s="18" t="str">
        <f aca="false">IFERROR(INDEX('قائمة الوحدات'!$C$2:$C$41,MATCH($B121,'قائمة الوحدات'!$A$2:$A$41,0)),"")</f>
        <v>المرتبطة بسمو الوزير</v>
      </c>
      <c r="E121" s="18" t="str">
        <f aca="false">IFERROR(INDEX('قائمة الوحدات'!$D$2:$D$41,MATCH($B121,'قائمة الوحدات'!$A$2:$A$41,0)),"")</f>
        <v>إدارة الشؤون القانونية</v>
      </c>
      <c r="F121" s="18" t="str">
        <f aca="false">IFERROR(INDEX('قائمة الوحدات'!$F$2:$F$41,MATCH($B121,'قائمة الوحدات'!$A$2:$A$41,0)),"")</f>
        <v>إدارة الشؤون القانونية</v>
      </c>
      <c r="G121" s="20" t="s">
        <v>66</v>
      </c>
      <c r="H121" s="18" t="str">
        <f aca="false">IFERROR(INDEX(المرجع!$A$2:$A$19,MATCH($G121,المرجع!$B$2:$B$19,0)),"")</f>
        <v>التشغيل</v>
      </c>
      <c r="I121" s="20" t="s">
        <v>71</v>
      </c>
      <c r="J121" s="18" t="str">
        <f aca="false">IFERROR(INDEX(المرجع!$D$2:$D$19,MATCH($I121,المرجع!$E$2:$E$19,0)),"")</f>
        <v>اكتمال المخرجات المستهدفة</v>
      </c>
      <c r="K121" s="20" t="s">
        <v>134</v>
      </c>
      <c r="L121" s="21" t="str">
        <f aca="false">IFERROR(INDEX('نقاط التحقق'!$G$2:$G$31,MATCH($K121,'نقاط التحقق'!$A$2:$A$31,0))&amp;"","")</f>
        <v>اكتمال مخرجات النموذج التشغيلي المستهدف للوحدة التنظيمية</v>
      </c>
      <c r="M121" s="17" t="n">
        <v>20</v>
      </c>
      <c r="N121" s="17" t="n">
        <v>95</v>
      </c>
      <c r="O121" s="19" t="str">
        <f aca="false">IF($M121="","غير مقيّمة",IF($M121&gt;المرجع!$K$3,"مستوفاة بشكل متقدم",IF($M121&lt;=المرجع!$K$2,"مستوفاة بشكل أولي","مستوفاة بشكل جزئي")))</f>
        <v>مستوفاة بشكل أولي</v>
      </c>
      <c r="P121" s="22" t="s">
        <v>245</v>
      </c>
    </row>
    <row r="122" customFormat="false" ht="15" hidden="false" customHeight="true" outlineLevel="0" collapsed="false">
      <c r="A122" s="20" t="s">
        <v>365</v>
      </c>
      <c r="B122" s="20" t="s">
        <v>158</v>
      </c>
      <c r="C122" s="19" t="str">
        <f aca="false">IFERROR(INDEX('قائمة الوحدات'!$B$2:$B$41,MATCH($B122,'قائمة الوحدات'!$A$2:$A$41,0)),"")</f>
        <v>TOP</v>
      </c>
      <c r="D122" s="18" t="str">
        <f aca="false">IFERROR(INDEX('قائمة الوحدات'!$C$2:$C$41,MATCH($B122,'قائمة الوحدات'!$A$2:$A$41,0)),"")</f>
        <v>المرتبطة بسمو الوزير</v>
      </c>
      <c r="E122" s="18" t="str">
        <f aca="false">IFERROR(INDEX('قائمة الوحدات'!$D$2:$D$41,MATCH($B122,'قائمة الوحدات'!$A$2:$A$41,0)),"")</f>
        <v>إدارة التميز المؤسسي</v>
      </c>
      <c r="F122" s="18" t="str">
        <f aca="false">IFERROR(INDEX('قائمة الوحدات'!$F$2:$F$41,MATCH($B122,'قائمة الوحدات'!$A$2:$A$41,0)),"")</f>
        <v>إدارة التميز المؤسسي</v>
      </c>
      <c r="G122" s="20" t="s">
        <v>44</v>
      </c>
      <c r="H122" s="18" t="str">
        <f aca="false">IFERROR(INDEX(المرجع!$A$2:$A$19,MATCH($G122,المرجع!$B$2:$B$19,0)),"")</f>
        <v>التصميم</v>
      </c>
      <c r="I122" s="20" t="s">
        <v>46</v>
      </c>
      <c r="J122" s="18" t="str">
        <f aca="false">IFERROR(INDEX(المرجع!$D$2:$D$19,MATCH($I122,المرجع!$E$2:$E$19,0)),"")</f>
        <v>الدور</v>
      </c>
      <c r="K122" s="20" t="s">
        <v>76</v>
      </c>
      <c r="L122" s="21" t="str">
        <f aca="false">IFERROR(INDEX('نقاط التحقق'!$G$2:$G$31,MATCH($K122,'نقاط التحقق'!$A$2:$A$31,0))&amp;"","")</f>
        <v>دور مفصل للوحدة التنظيمية</v>
      </c>
      <c r="M122" s="17" t="n">
        <v>88</v>
      </c>
      <c r="N122" s="17" t="n">
        <v>88</v>
      </c>
      <c r="O122" s="19" t="str">
        <f aca="false">IF($M122="","غير مقيّمة",IF($M122&gt;المرجع!$K$3,"مستوفاة بشكل متقدم",IF($M122&lt;=المرجع!$K$2,"مستوفاة بشكل أولي","مستوفاة بشكل جزئي")))</f>
        <v>مستوفاة بشكل متقدم</v>
      </c>
      <c r="P122" s="22" t="s">
        <v>245</v>
      </c>
    </row>
    <row r="123" customFormat="false" ht="15" hidden="false" customHeight="true" outlineLevel="0" collapsed="false">
      <c r="A123" s="20" t="s">
        <v>366</v>
      </c>
      <c r="B123" s="20" t="s">
        <v>158</v>
      </c>
      <c r="C123" s="19" t="str">
        <f aca="false">IFERROR(INDEX('قائمة الوحدات'!$B$2:$B$41,MATCH($B123,'قائمة الوحدات'!$A$2:$A$41,0)),"")</f>
        <v>TOP</v>
      </c>
      <c r="D123" s="18" t="str">
        <f aca="false">IFERROR(INDEX('قائمة الوحدات'!$C$2:$C$41,MATCH($B123,'قائمة الوحدات'!$A$2:$A$41,0)),"")</f>
        <v>المرتبطة بسمو الوزير</v>
      </c>
      <c r="E123" s="18" t="str">
        <f aca="false">IFERROR(INDEX('قائمة الوحدات'!$D$2:$D$41,MATCH($B123,'قائمة الوحدات'!$A$2:$A$41,0)),"")</f>
        <v>إدارة التميز المؤسسي</v>
      </c>
      <c r="F123" s="18" t="str">
        <f aca="false">IFERROR(INDEX('قائمة الوحدات'!$F$2:$F$41,MATCH($B123,'قائمة الوحدات'!$A$2:$A$41,0)),"")</f>
        <v>إدارة التميز المؤسسي</v>
      </c>
      <c r="G123" s="20" t="s">
        <v>44</v>
      </c>
      <c r="H123" s="18" t="str">
        <f aca="false">IFERROR(INDEX(المرجع!$A$2:$A$19,MATCH($G123,المرجع!$B$2:$B$19,0)),"")</f>
        <v>التصميم</v>
      </c>
      <c r="I123" s="20" t="s">
        <v>49</v>
      </c>
      <c r="J123" s="18" t="str">
        <f aca="false">IFERROR(INDEX(المرجع!$D$2:$D$19,MATCH($I123,المرجع!$E$2:$E$19,0)),"")</f>
        <v>الأهداف ومؤشرات الأداء</v>
      </c>
      <c r="K123" s="20" t="s">
        <v>78</v>
      </c>
      <c r="L123" s="21" t="str">
        <f aca="false">IFERROR(INDEX('نقاط التحقق'!$G$2:$G$31,MATCH($K123,'نقاط التحقق'!$A$2:$A$31,0))&amp;"","")</f>
        <v>أهداف محددة للوحدة التنظيمية وربطها بمؤشرات أداء لقياسها</v>
      </c>
      <c r="M123" s="17" t="n">
        <v>70</v>
      </c>
      <c r="N123" s="17" t="n">
        <v>100</v>
      </c>
      <c r="O123" s="19" t="str">
        <f aca="false">IF($M123="","غير مقيّمة",IF($M123&gt;المرجع!$K$3,"مستوفاة بشكل متقدم",IF($M123&lt;=المرجع!$K$2,"مستوفاة بشكل أولي","مستوفاة بشكل جزئي")))</f>
        <v>مستوفاة بشكل جزئي</v>
      </c>
      <c r="P123" s="22" t="s">
        <v>245</v>
      </c>
    </row>
    <row r="124" customFormat="false" ht="15" hidden="false" customHeight="true" outlineLevel="0" collapsed="false">
      <c r="A124" s="20" t="s">
        <v>367</v>
      </c>
      <c r="B124" s="20" t="s">
        <v>158</v>
      </c>
      <c r="C124" s="19" t="str">
        <f aca="false">IFERROR(INDEX('قائمة الوحدات'!$B$2:$B$41,MATCH($B124,'قائمة الوحدات'!$A$2:$A$41,0)),"")</f>
        <v>TOP</v>
      </c>
      <c r="D124" s="18" t="str">
        <f aca="false">IFERROR(INDEX('قائمة الوحدات'!$C$2:$C$41,MATCH($B124,'قائمة الوحدات'!$A$2:$A$41,0)),"")</f>
        <v>المرتبطة بسمو الوزير</v>
      </c>
      <c r="E124" s="18" t="str">
        <f aca="false">IFERROR(INDEX('قائمة الوحدات'!$D$2:$D$41,MATCH($B124,'قائمة الوحدات'!$A$2:$A$41,0)),"")</f>
        <v>إدارة التميز المؤسسي</v>
      </c>
      <c r="F124" s="18" t="str">
        <f aca="false">IFERROR(INDEX('قائمة الوحدات'!$F$2:$F$41,MATCH($B124,'قائمة الوحدات'!$A$2:$A$41,0)),"")</f>
        <v>إدارة التميز المؤسسي</v>
      </c>
      <c r="G124" s="20" t="s">
        <v>44</v>
      </c>
      <c r="H124" s="18" t="str">
        <f aca="false">IFERROR(INDEX(المرجع!$A$2:$A$19,MATCH($G124,المرجع!$B$2:$B$19,0)),"")</f>
        <v>التصميم</v>
      </c>
      <c r="I124" s="20" t="s">
        <v>49</v>
      </c>
      <c r="J124" s="18" t="str">
        <f aca="false">IFERROR(INDEX(المرجع!$D$2:$D$19,MATCH($I124,المرجع!$E$2:$E$19,0)),"")</f>
        <v>الأهداف ومؤشرات الأداء</v>
      </c>
      <c r="K124" s="20" t="s">
        <v>80</v>
      </c>
      <c r="L124" s="21" t="str">
        <f aca="false">IFERROR(INDEX('نقاط التحقق'!$G$2:$G$31,MATCH($K124,'نقاط التحقق'!$A$2:$A$31,0))&amp;"","")</f>
        <v>مؤشرات أداء الوحدة التنظيمية</v>
      </c>
      <c r="M124" s="17" t="n">
        <v>75</v>
      </c>
      <c r="N124" s="17" t="n">
        <v>80</v>
      </c>
      <c r="O124" s="19" t="str">
        <f aca="false">IF($M124="","غير مقيّمة",IF($M124&gt;المرجع!$K$3,"مستوفاة بشكل متقدم",IF($M124&lt;=المرجع!$K$2,"مستوفاة بشكل أولي","مستوفاة بشكل جزئي")))</f>
        <v>مستوفاة بشكل متقدم</v>
      </c>
      <c r="P124" s="22" t="s">
        <v>245</v>
      </c>
    </row>
    <row r="125" customFormat="false" ht="15" hidden="false" customHeight="true" outlineLevel="0" collapsed="false">
      <c r="A125" s="20" t="s">
        <v>368</v>
      </c>
      <c r="B125" s="20" t="s">
        <v>158</v>
      </c>
      <c r="C125" s="19" t="str">
        <f aca="false">IFERROR(INDEX('قائمة الوحدات'!$B$2:$B$41,MATCH($B125,'قائمة الوحدات'!$A$2:$A$41,0)),"")</f>
        <v>TOP</v>
      </c>
      <c r="D125" s="18" t="str">
        <f aca="false">IFERROR(INDEX('قائمة الوحدات'!$C$2:$C$41,MATCH($B125,'قائمة الوحدات'!$A$2:$A$41,0)),"")</f>
        <v>المرتبطة بسمو الوزير</v>
      </c>
      <c r="E125" s="18" t="str">
        <f aca="false">IFERROR(INDEX('قائمة الوحدات'!$D$2:$D$41,MATCH($B125,'قائمة الوحدات'!$A$2:$A$41,0)),"")</f>
        <v>إدارة التميز المؤسسي</v>
      </c>
      <c r="F125" s="18" t="str">
        <f aca="false">IFERROR(INDEX('قائمة الوحدات'!$F$2:$F$41,MATCH($B125,'قائمة الوحدات'!$A$2:$A$41,0)),"")</f>
        <v>إدارة التميز المؤسسي</v>
      </c>
      <c r="G125" s="20" t="s">
        <v>44</v>
      </c>
      <c r="H125" s="18" t="str">
        <f aca="false">IFERROR(INDEX(المرجع!$A$2:$A$19,MATCH($G125,المرجع!$B$2:$B$19,0)),"")</f>
        <v>التصميم</v>
      </c>
      <c r="I125" s="20" t="s">
        <v>52</v>
      </c>
      <c r="J125" s="18" t="str">
        <f aca="false">IFERROR(INDEX(المرجع!$D$2:$D$19,MATCH($I125,المرجع!$E$2:$E$19,0)),"")</f>
        <v>الحوكمة</v>
      </c>
      <c r="K125" s="20" t="s">
        <v>82</v>
      </c>
      <c r="L125" s="21" t="str">
        <f aca="false">IFERROR(INDEX('نقاط التحقق'!$G$2:$G$31,MATCH($K125,'نقاط التحقق'!$A$2:$A$31,0))&amp;"","")</f>
        <v>تفصيل القرارات ومصفوفة الصلاحيات واللجان ذات العلاقة لاعتماد مخرجات الوحدة التنظيمية</v>
      </c>
      <c r="M125" s="17" t="n">
        <v>79</v>
      </c>
      <c r="N125" s="17" t="n">
        <v>90</v>
      </c>
      <c r="O125" s="19" t="str">
        <f aca="false">IF($M125="","غير مقيّمة",IF($M125&gt;المرجع!$K$3,"مستوفاة بشكل متقدم",IF($M125&lt;=المرجع!$K$2,"مستوفاة بشكل أولي","مستوفاة بشكل جزئي")))</f>
        <v>مستوفاة بشكل متقدم</v>
      </c>
      <c r="P125" s="22" t="s">
        <v>245</v>
      </c>
    </row>
    <row r="126" customFormat="false" ht="15" hidden="false" customHeight="true" outlineLevel="0" collapsed="false">
      <c r="A126" s="20" t="s">
        <v>369</v>
      </c>
      <c r="B126" s="20" t="s">
        <v>158</v>
      </c>
      <c r="C126" s="19" t="str">
        <f aca="false">IFERROR(INDEX('قائمة الوحدات'!$B$2:$B$41,MATCH($B126,'قائمة الوحدات'!$A$2:$A$41,0)),"")</f>
        <v>TOP</v>
      </c>
      <c r="D126" s="18" t="str">
        <f aca="false">IFERROR(INDEX('قائمة الوحدات'!$C$2:$C$41,MATCH($B126,'قائمة الوحدات'!$A$2:$A$41,0)),"")</f>
        <v>المرتبطة بسمو الوزير</v>
      </c>
      <c r="E126" s="18" t="str">
        <f aca="false">IFERROR(INDEX('قائمة الوحدات'!$D$2:$D$41,MATCH($B126,'قائمة الوحدات'!$A$2:$A$41,0)),"")</f>
        <v>إدارة التميز المؤسسي</v>
      </c>
      <c r="F126" s="18" t="str">
        <f aca="false">IFERROR(INDEX('قائمة الوحدات'!$F$2:$F$41,MATCH($B126,'قائمة الوحدات'!$A$2:$A$41,0)),"")</f>
        <v>إدارة التميز المؤسسي</v>
      </c>
      <c r="G126" s="20" t="s">
        <v>44</v>
      </c>
      <c r="H126" s="18" t="str">
        <f aca="false">IFERROR(INDEX(المرجع!$A$2:$A$19,MATCH($G126,المرجع!$B$2:$B$19,0)),"")</f>
        <v>التصميم</v>
      </c>
      <c r="I126" s="20" t="s">
        <v>55</v>
      </c>
      <c r="J126" s="18" t="str">
        <f aca="false">IFERROR(INDEX(المرجع!$D$2:$D$19,MATCH($I126,المرجع!$E$2:$E$19,0)),"")</f>
        <v>التنظيم</v>
      </c>
      <c r="K126" s="20" t="s">
        <v>84</v>
      </c>
      <c r="L126" s="21" t="str">
        <f aca="false">IFERROR(INDEX('نقاط التحقق'!$G$2:$G$31,MATCH($K126,'نقاط التحقق'!$A$2:$A$31,0))&amp;"","")</f>
        <v>تطوير الأدوار والمسؤوليات للوحدة التنظيمية وتفصيل الهيكل التنظيمي</v>
      </c>
      <c r="M126" s="17" t="n">
        <v>98</v>
      </c>
      <c r="N126" s="17" t="n">
        <v>98</v>
      </c>
      <c r="O126" s="19" t="str">
        <f aca="false">IF($M126="","غير مقيّمة",IF($M126&gt;المرجع!$K$3,"مستوفاة بشكل متقدم",IF($M126&lt;=المرجع!$K$2,"مستوفاة بشكل أولي","مستوفاة بشكل جزئي")))</f>
        <v>مستوفاة بشكل متقدم</v>
      </c>
      <c r="P126" s="22" t="s">
        <v>245</v>
      </c>
    </row>
    <row r="127" customFormat="false" ht="15" hidden="false" customHeight="true" outlineLevel="0" collapsed="false">
      <c r="A127" s="20" t="s">
        <v>370</v>
      </c>
      <c r="B127" s="20" t="s">
        <v>158</v>
      </c>
      <c r="C127" s="19" t="str">
        <f aca="false">IFERROR(INDEX('قائمة الوحدات'!$B$2:$B$41,MATCH($B127,'قائمة الوحدات'!$A$2:$A$41,0)),"")</f>
        <v>TOP</v>
      </c>
      <c r="D127" s="18" t="str">
        <f aca="false">IFERROR(INDEX('قائمة الوحدات'!$C$2:$C$41,MATCH($B127,'قائمة الوحدات'!$A$2:$A$41,0)),"")</f>
        <v>المرتبطة بسمو الوزير</v>
      </c>
      <c r="E127" s="18" t="str">
        <f aca="false">IFERROR(INDEX('قائمة الوحدات'!$D$2:$D$41,MATCH($B127,'قائمة الوحدات'!$A$2:$A$41,0)),"")</f>
        <v>إدارة التميز المؤسسي</v>
      </c>
      <c r="F127" s="18" t="str">
        <f aca="false">IFERROR(INDEX('قائمة الوحدات'!$F$2:$F$41,MATCH($B127,'قائمة الوحدات'!$A$2:$A$41,0)),"")</f>
        <v>إدارة التميز المؤسسي</v>
      </c>
      <c r="G127" s="20" t="s">
        <v>44</v>
      </c>
      <c r="H127" s="18" t="str">
        <f aca="false">IFERROR(INDEX(المرجع!$A$2:$A$19,MATCH($G127,المرجع!$B$2:$B$19,0)),"")</f>
        <v>التصميم</v>
      </c>
      <c r="I127" s="20" t="s">
        <v>57</v>
      </c>
      <c r="J127" s="18" t="str">
        <f aca="false">IFERROR(INDEX(المرجع!$D$2:$D$19,MATCH($I127,المرجع!$E$2:$E$19,0)),"")</f>
        <v>الموارد</v>
      </c>
      <c r="K127" s="20" t="s">
        <v>86</v>
      </c>
      <c r="L127" s="21" t="str">
        <f aca="false">IFERROR(INDEX('نقاط التحقق'!$G$2:$G$31,MATCH($K127,'نقاط التحقق'!$A$2:$A$31,0))&amp;"","")</f>
        <v>تفصيل احتياج الموارد البشرية للوحدة التنظيمية</v>
      </c>
      <c r="M127" s="17" t="n">
        <v>70</v>
      </c>
      <c r="N127" s="17" t="n">
        <v>100</v>
      </c>
      <c r="O127" s="19" t="str">
        <f aca="false">IF($M127="","غير مقيّمة",IF($M127&gt;المرجع!$K$3,"مستوفاة بشكل متقدم",IF($M127&lt;=المرجع!$K$2,"مستوفاة بشكل أولي","مستوفاة بشكل جزئي")))</f>
        <v>مستوفاة بشكل جزئي</v>
      </c>
      <c r="P127" s="22" t="s">
        <v>245</v>
      </c>
    </row>
    <row r="128" customFormat="false" ht="15" hidden="false" customHeight="true" outlineLevel="0" collapsed="false">
      <c r="A128" s="20" t="s">
        <v>371</v>
      </c>
      <c r="B128" s="20" t="s">
        <v>158</v>
      </c>
      <c r="C128" s="19" t="str">
        <f aca="false">IFERROR(INDEX('قائمة الوحدات'!$B$2:$B$41,MATCH($B128,'قائمة الوحدات'!$A$2:$A$41,0)),"")</f>
        <v>TOP</v>
      </c>
      <c r="D128" s="18" t="str">
        <f aca="false">IFERROR(INDEX('قائمة الوحدات'!$C$2:$C$41,MATCH($B128,'قائمة الوحدات'!$A$2:$A$41,0)),"")</f>
        <v>المرتبطة بسمو الوزير</v>
      </c>
      <c r="E128" s="18" t="str">
        <f aca="false">IFERROR(INDEX('قائمة الوحدات'!$D$2:$D$41,MATCH($B128,'قائمة الوحدات'!$A$2:$A$41,0)),"")</f>
        <v>إدارة التميز المؤسسي</v>
      </c>
      <c r="F128" s="18" t="str">
        <f aca="false">IFERROR(INDEX('قائمة الوحدات'!$F$2:$F$41,MATCH($B128,'قائمة الوحدات'!$A$2:$A$41,0)),"")</f>
        <v>إدارة التميز المؤسسي</v>
      </c>
      <c r="G128" s="20" t="s">
        <v>44</v>
      </c>
      <c r="H128" s="18" t="str">
        <f aca="false">IFERROR(INDEX(المرجع!$A$2:$A$19,MATCH($G128,المرجع!$B$2:$B$19,0)),"")</f>
        <v>التصميم</v>
      </c>
      <c r="I128" s="20" t="s">
        <v>60</v>
      </c>
      <c r="J128" s="18" t="str">
        <f aca="false">IFERROR(INDEX(المرجع!$D$2:$D$19,MATCH($I128,المرجع!$E$2:$E$19,0)),"")</f>
        <v>الإجراءات</v>
      </c>
      <c r="K128" s="20" t="s">
        <v>88</v>
      </c>
      <c r="L128" s="21" t="str">
        <f aca="false">IFERROR(INDEX('نقاط التحقق'!$G$2:$G$31,MATCH($K128,'نقاط التحقق'!$A$2:$A$31,0))&amp;"","")</f>
        <v>تفصيل المخرجات إلى إجراءات عالية المستوى</v>
      </c>
      <c r="M128" s="17" t="n">
        <v>70</v>
      </c>
      <c r="N128" s="17" t="n">
        <v>100</v>
      </c>
      <c r="O128" s="19" t="str">
        <f aca="false">IF($M128="","غير مقيّمة",IF($M128&gt;المرجع!$K$3,"مستوفاة بشكل متقدم",IF($M128&lt;=المرجع!$K$2,"مستوفاة بشكل أولي","مستوفاة بشكل جزئي")))</f>
        <v>مستوفاة بشكل جزئي</v>
      </c>
      <c r="P128" s="22" t="s">
        <v>245</v>
      </c>
    </row>
    <row r="129" customFormat="false" ht="15" hidden="false" customHeight="true" outlineLevel="0" collapsed="false">
      <c r="A129" s="20" t="s">
        <v>372</v>
      </c>
      <c r="B129" s="20" t="s">
        <v>158</v>
      </c>
      <c r="C129" s="19" t="str">
        <f aca="false">IFERROR(INDEX('قائمة الوحدات'!$B$2:$B$41,MATCH($B129,'قائمة الوحدات'!$A$2:$A$41,0)),"")</f>
        <v>TOP</v>
      </c>
      <c r="D129" s="18" t="str">
        <f aca="false">IFERROR(INDEX('قائمة الوحدات'!$C$2:$C$41,MATCH($B129,'قائمة الوحدات'!$A$2:$A$41,0)),"")</f>
        <v>المرتبطة بسمو الوزير</v>
      </c>
      <c r="E129" s="18" t="str">
        <f aca="false">IFERROR(INDEX('قائمة الوحدات'!$D$2:$D$41,MATCH($B129,'قائمة الوحدات'!$A$2:$A$41,0)),"")</f>
        <v>إدارة التميز المؤسسي</v>
      </c>
      <c r="F129" s="18" t="str">
        <f aca="false">IFERROR(INDEX('قائمة الوحدات'!$F$2:$F$41,MATCH($B129,'قائمة الوحدات'!$A$2:$A$41,0)),"")</f>
        <v>إدارة التميز المؤسسي</v>
      </c>
      <c r="G129" s="20" t="s">
        <v>62</v>
      </c>
      <c r="H129" s="18" t="str">
        <f aca="false">IFERROR(INDEX(المرجع!$A$2:$A$19,MATCH($G129,المرجع!$B$2:$B$19,0)),"")</f>
        <v>البناء المؤسسي</v>
      </c>
      <c r="I129" s="20" t="s">
        <v>46</v>
      </c>
      <c r="J129" s="18" t="str">
        <f aca="false">IFERROR(INDEX(المرجع!$D$2:$D$19,MATCH($I129,المرجع!$E$2:$E$19,0)),"")</f>
        <v>الدور</v>
      </c>
      <c r="K129" s="20" t="s">
        <v>90</v>
      </c>
      <c r="L129" s="21" t="str">
        <f aca="false">IFERROR(INDEX('نقاط التحقق'!$G$2:$G$31,MATCH($K129,'نقاط التحقق'!$A$2:$A$31,0))&amp;"","")</f>
        <v>دور معتمد للوحدة التنظيمية</v>
      </c>
      <c r="M129" s="17" t="n">
        <v>58</v>
      </c>
      <c r="N129" s="17" t="n">
        <v>80</v>
      </c>
      <c r="O129" s="19" t="str">
        <f aca="false">IF($M129="","غير مقيّمة",IF($M129&gt;المرجع!$K$3,"مستوفاة بشكل متقدم",IF($M129&lt;=المرجع!$K$2,"مستوفاة بشكل أولي","مستوفاة بشكل جزئي")))</f>
        <v>مستوفاة بشكل جزئي</v>
      </c>
      <c r="P129" s="22" t="s">
        <v>245</v>
      </c>
    </row>
    <row r="130" customFormat="false" ht="15" hidden="false" customHeight="true" outlineLevel="0" collapsed="false">
      <c r="A130" s="20" t="s">
        <v>373</v>
      </c>
      <c r="B130" s="20" t="s">
        <v>158</v>
      </c>
      <c r="C130" s="19" t="str">
        <f aca="false">IFERROR(INDEX('قائمة الوحدات'!$B$2:$B$41,MATCH($B130,'قائمة الوحدات'!$A$2:$A$41,0)),"")</f>
        <v>TOP</v>
      </c>
      <c r="D130" s="18" t="str">
        <f aca="false">IFERROR(INDEX('قائمة الوحدات'!$C$2:$C$41,MATCH($B130,'قائمة الوحدات'!$A$2:$A$41,0)),"")</f>
        <v>المرتبطة بسمو الوزير</v>
      </c>
      <c r="E130" s="18" t="str">
        <f aca="false">IFERROR(INDEX('قائمة الوحدات'!$D$2:$D$41,MATCH($B130,'قائمة الوحدات'!$A$2:$A$41,0)),"")</f>
        <v>إدارة التميز المؤسسي</v>
      </c>
      <c r="F130" s="18" t="str">
        <f aca="false">IFERROR(INDEX('قائمة الوحدات'!$F$2:$F$41,MATCH($B130,'قائمة الوحدات'!$A$2:$A$41,0)),"")</f>
        <v>إدارة التميز المؤسسي</v>
      </c>
      <c r="G130" s="20" t="s">
        <v>62</v>
      </c>
      <c r="H130" s="18" t="str">
        <f aca="false">IFERROR(INDEX(المرجع!$A$2:$A$19,MATCH($G130,المرجع!$B$2:$B$19,0)),"")</f>
        <v>البناء المؤسسي</v>
      </c>
      <c r="I130" s="20" t="s">
        <v>49</v>
      </c>
      <c r="J130" s="18" t="str">
        <f aca="false">IFERROR(INDEX(المرجع!$D$2:$D$19,MATCH($I130,المرجع!$E$2:$E$19,0)),"")</f>
        <v>الأهداف ومؤشرات الأداء</v>
      </c>
      <c r="K130" s="20" t="s">
        <v>92</v>
      </c>
      <c r="L130" s="21" t="str">
        <f aca="false">IFERROR(INDEX('نقاط التحقق'!$G$2:$G$31,MATCH($K130,'نقاط التحقق'!$A$2:$A$31,0))&amp;"","")</f>
        <v>أهداف تشغيلية معتمدة من صاحب الصلاحية</v>
      </c>
      <c r="M130" s="17" t="n">
        <v>60</v>
      </c>
      <c r="N130" s="17" t="n">
        <v>80</v>
      </c>
      <c r="O130" s="19" t="str">
        <f aca="false">IF($M130="","غير مقيّمة",IF($M130&gt;المرجع!$K$3,"مستوفاة بشكل متقدم",IF($M130&lt;=المرجع!$K$2,"مستوفاة بشكل أولي","مستوفاة بشكل جزئي")))</f>
        <v>مستوفاة بشكل جزئي</v>
      </c>
      <c r="P130" s="22" t="s">
        <v>245</v>
      </c>
    </row>
    <row r="131" customFormat="false" ht="15" hidden="false" customHeight="true" outlineLevel="0" collapsed="false">
      <c r="A131" s="20" t="s">
        <v>374</v>
      </c>
      <c r="B131" s="20" t="s">
        <v>158</v>
      </c>
      <c r="C131" s="19" t="str">
        <f aca="false">IFERROR(INDEX('قائمة الوحدات'!$B$2:$B$41,MATCH($B131,'قائمة الوحدات'!$A$2:$A$41,0)),"")</f>
        <v>TOP</v>
      </c>
      <c r="D131" s="18" t="str">
        <f aca="false">IFERROR(INDEX('قائمة الوحدات'!$C$2:$C$41,MATCH($B131,'قائمة الوحدات'!$A$2:$A$41,0)),"")</f>
        <v>المرتبطة بسمو الوزير</v>
      </c>
      <c r="E131" s="18" t="str">
        <f aca="false">IFERROR(INDEX('قائمة الوحدات'!$D$2:$D$41,MATCH($B131,'قائمة الوحدات'!$A$2:$A$41,0)),"")</f>
        <v>إدارة التميز المؤسسي</v>
      </c>
      <c r="F131" s="18" t="str">
        <f aca="false">IFERROR(INDEX('قائمة الوحدات'!$F$2:$F$41,MATCH($B131,'قائمة الوحدات'!$A$2:$A$41,0)),"")</f>
        <v>إدارة التميز المؤسسي</v>
      </c>
      <c r="G131" s="20" t="s">
        <v>62</v>
      </c>
      <c r="H131" s="18" t="str">
        <f aca="false">IFERROR(INDEX(المرجع!$A$2:$A$19,MATCH($G131,المرجع!$B$2:$B$19,0)),"")</f>
        <v>البناء المؤسسي</v>
      </c>
      <c r="I131" s="20" t="s">
        <v>49</v>
      </c>
      <c r="J131" s="18" t="str">
        <f aca="false">IFERROR(INDEX(المرجع!$D$2:$D$19,MATCH($I131,المرجع!$E$2:$E$19,0)),"")</f>
        <v>الأهداف ومؤشرات الأداء</v>
      </c>
      <c r="K131" s="20" t="s">
        <v>94</v>
      </c>
      <c r="L131" s="21" t="str">
        <f aca="false">IFERROR(INDEX('نقاط التحقق'!$G$2:$G$31,MATCH($K131,'نقاط التحقق'!$A$2:$A$31,0))&amp;"","")</f>
        <v>نشر الأهداف التشغيلية على موظفي الوحدة التنظيمية</v>
      </c>
      <c r="M131" s="17" t="n">
        <v>80</v>
      </c>
      <c r="N131" s="17" t="n">
        <v>100</v>
      </c>
      <c r="O131" s="19" t="str">
        <f aca="false">IF($M131="","غير مقيّمة",IF($M131&gt;المرجع!$K$3,"مستوفاة بشكل متقدم",IF($M131&lt;=المرجع!$K$2,"مستوفاة بشكل أولي","مستوفاة بشكل جزئي")))</f>
        <v>مستوفاة بشكل متقدم</v>
      </c>
      <c r="P131" s="22" t="s">
        <v>245</v>
      </c>
    </row>
    <row r="132" customFormat="false" ht="15" hidden="false" customHeight="true" outlineLevel="0" collapsed="false">
      <c r="A132" s="20" t="s">
        <v>375</v>
      </c>
      <c r="B132" s="20" t="s">
        <v>158</v>
      </c>
      <c r="C132" s="19" t="str">
        <f aca="false">IFERROR(INDEX('قائمة الوحدات'!$B$2:$B$41,MATCH($B132,'قائمة الوحدات'!$A$2:$A$41,0)),"")</f>
        <v>TOP</v>
      </c>
      <c r="D132" s="18" t="str">
        <f aca="false">IFERROR(INDEX('قائمة الوحدات'!$C$2:$C$41,MATCH($B132,'قائمة الوحدات'!$A$2:$A$41,0)),"")</f>
        <v>المرتبطة بسمو الوزير</v>
      </c>
      <c r="E132" s="18" t="str">
        <f aca="false">IFERROR(INDEX('قائمة الوحدات'!$D$2:$D$41,MATCH($B132,'قائمة الوحدات'!$A$2:$A$41,0)),"")</f>
        <v>إدارة التميز المؤسسي</v>
      </c>
      <c r="F132" s="18" t="str">
        <f aca="false">IFERROR(INDEX('قائمة الوحدات'!$F$2:$F$41,MATCH($B132,'قائمة الوحدات'!$A$2:$A$41,0)),"")</f>
        <v>إدارة التميز المؤسسي</v>
      </c>
      <c r="G132" s="20" t="s">
        <v>62</v>
      </c>
      <c r="H132" s="18" t="str">
        <f aca="false">IFERROR(INDEX(المرجع!$A$2:$A$19,MATCH($G132,المرجع!$B$2:$B$19,0)),"")</f>
        <v>البناء المؤسسي</v>
      </c>
      <c r="I132" s="20" t="s">
        <v>52</v>
      </c>
      <c r="J132" s="18" t="str">
        <f aca="false">IFERROR(INDEX(المرجع!$D$2:$D$19,MATCH($I132,المرجع!$E$2:$E$19,0)),"")</f>
        <v>الحوكمة</v>
      </c>
      <c r="K132" s="20" t="s">
        <v>96</v>
      </c>
      <c r="L132" s="21" t="str">
        <f aca="false">IFERROR(INDEX('نقاط التحقق'!$G$2:$G$31,MATCH($K132,'نقاط التحقق'!$A$2:$A$31,0))&amp;"","")</f>
        <v>مصفوفة صلاحيات معتمدة ومعممة على أصحاب المصلحة</v>
      </c>
      <c r="M132" s="17" t="n">
        <v>65</v>
      </c>
      <c r="N132" s="17" t="n">
        <v>100</v>
      </c>
      <c r="O132" s="19" t="str">
        <f aca="false">IF($M132="","غير مقيّمة",IF($M132&gt;المرجع!$K$3,"مستوفاة بشكل متقدم",IF($M132&lt;=المرجع!$K$2,"مستوفاة بشكل أولي","مستوفاة بشكل جزئي")))</f>
        <v>مستوفاة بشكل جزئي</v>
      </c>
      <c r="P132" s="22" t="s">
        <v>245</v>
      </c>
    </row>
    <row r="133" customFormat="false" ht="15" hidden="false" customHeight="true" outlineLevel="0" collapsed="false">
      <c r="A133" s="20" t="s">
        <v>376</v>
      </c>
      <c r="B133" s="20" t="s">
        <v>158</v>
      </c>
      <c r="C133" s="19" t="str">
        <f aca="false">IFERROR(INDEX('قائمة الوحدات'!$B$2:$B$41,MATCH($B133,'قائمة الوحدات'!$A$2:$A$41,0)),"")</f>
        <v>TOP</v>
      </c>
      <c r="D133" s="18" t="str">
        <f aca="false">IFERROR(INDEX('قائمة الوحدات'!$C$2:$C$41,MATCH($B133,'قائمة الوحدات'!$A$2:$A$41,0)),"")</f>
        <v>المرتبطة بسمو الوزير</v>
      </c>
      <c r="E133" s="18" t="str">
        <f aca="false">IFERROR(INDEX('قائمة الوحدات'!$D$2:$D$41,MATCH($B133,'قائمة الوحدات'!$A$2:$A$41,0)),"")</f>
        <v>إدارة التميز المؤسسي</v>
      </c>
      <c r="F133" s="18" t="str">
        <f aca="false">IFERROR(INDEX('قائمة الوحدات'!$F$2:$F$41,MATCH($B133,'قائمة الوحدات'!$A$2:$A$41,0)),"")</f>
        <v>إدارة التميز المؤسسي</v>
      </c>
      <c r="G133" s="20" t="s">
        <v>62</v>
      </c>
      <c r="H133" s="18" t="str">
        <f aca="false">IFERROR(INDEX(المرجع!$A$2:$A$19,MATCH($G133,المرجع!$B$2:$B$19,0)),"")</f>
        <v>البناء المؤسسي</v>
      </c>
      <c r="I133" s="20" t="s">
        <v>52</v>
      </c>
      <c r="J133" s="18" t="str">
        <f aca="false">IFERROR(INDEX(المرجع!$D$2:$D$19,MATCH($I133,المرجع!$E$2:$E$19,0)),"")</f>
        <v>الحوكمة</v>
      </c>
      <c r="K133" s="20" t="s">
        <v>98</v>
      </c>
      <c r="L133" s="21" t="str">
        <f aca="false">IFERROR(INDEX('نقاط التحقق'!$G$2:$G$31,MATCH($K133,'نقاط التحقق'!$A$2:$A$31,0))&amp;"","")</f>
        <v>سياسات معتمدة للتي تملكها الوحدة التنظيمية</v>
      </c>
      <c r="M133" s="17" t="n">
        <v>55</v>
      </c>
      <c r="N133" s="17" t="n">
        <v>90</v>
      </c>
      <c r="O133" s="19" t="str">
        <f aca="false">IF($M133="","غير مقيّمة",IF($M133&gt;المرجع!$K$3,"مستوفاة بشكل متقدم",IF($M133&lt;=المرجع!$K$2,"مستوفاة بشكل أولي","مستوفاة بشكل جزئي")))</f>
        <v>مستوفاة بشكل جزئي</v>
      </c>
      <c r="P133" s="22" t="s">
        <v>245</v>
      </c>
    </row>
    <row r="134" customFormat="false" ht="15" hidden="false" customHeight="true" outlineLevel="0" collapsed="false">
      <c r="A134" s="20" t="s">
        <v>377</v>
      </c>
      <c r="B134" s="20" t="s">
        <v>158</v>
      </c>
      <c r="C134" s="19" t="str">
        <f aca="false">IFERROR(INDEX('قائمة الوحدات'!$B$2:$B$41,MATCH($B134,'قائمة الوحدات'!$A$2:$A$41,0)),"")</f>
        <v>TOP</v>
      </c>
      <c r="D134" s="18" t="str">
        <f aca="false">IFERROR(INDEX('قائمة الوحدات'!$C$2:$C$41,MATCH($B134,'قائمة الوحدات'!$A$2:$A$41,0)),"")</f>
        <v>المرتبطة بسمو الوزير</v>
      </c>
      <c r="E134" s="18" t="str">
        <f aca="false">IFERROR(INDEX('قائمة الوحدات'!$D$2:$D$41,MATCH($B134,'قائمة الوحدات'!$A$2:$A$41,0)),"")</f>
        <v>إدارة التميز المؤسسي</v>
      </c>
      <c r="F134" s="18" t="str">
        <f aca="false">IFERROR(INDEX('قائمة الوحدات'!$F$2:$F$41,MATCH($B134,'قائمة الوحدات'!$A$2:$A$41,0)),"")</f>
        <v>إدارة التميز المؤسسي</v>
      </c>
      <c r="G134" s="20" t="s">
        <v>62</v>
      </c>
      <c r="H134" s="18" t="str">
        <f aca="false">IFERROR(INDEX(المرجع!$A$2:$A$19,MATCH($G134,المرجع!$B$2:$B$19,0)),"")</f>
        <v>البناء المؤسسي</v>
      </c>
      <c r="I134" s="20" t="s">
        <v>52</v>
      </c>
      <c r="J134" s="18" t="str">
        <f aca="false">IFERROR(INDEX(المرجع!$D$2:$D$19,MATCH($I134,المرجع!$E$2:$E$19,0)),"")</f>
        <v>الحوكمة</v>
      </c>
      <c r="K134" s="20" t="s">
        <v>100</v>
      </c>
      <c r="L134" s="21" t="str">
        <f aca="false">IFERROR(INDEX('نقاط التحقق'!$G$2:$G$31,MATCH($K134,'نقاط التحقق'!$A$2:$A$31,0))&amp;"","")</f>
        <v>قرار تشكيل معتمد للجان ذات العلاقة</v>
      </c>
      <c r="M134" s="17" t="n">
        <v>60</v>
      </c>
      <c r="N134" s="17" t="n">
        <v>100</v>
      </c>
      <c r="O134" s="19" t="str">
        <f aca="false">IF($M134="","غير مقيّمة",IF($M134&gt;المرجع!$K$3,"مستوفاة بشكل متقدم",IF($M134&lt;=المرجع!$K$2,"مستوفاة بشكل أولي","مستوفاة بشكل جزئي")))</f>
        <v>مستوفاة بشكل جزئي</v>
      </c>
      <c r="P134" s="22" t="s">
        <v>245</v>
      </c>
    </row>
    <row r="135" customFormat="false" ht="15" hidden="false" customHeight="true" outlineLevel="0" collapsed="false">
      <c r="A135" s="20" t="s">
        <v>378</v>
      </c>
      <c r="B135" s="20" t="s">
        <v>158</v>
      </c>
      <c r="C135" s="19" t="str">
        <f aca="false">IFERROR(INDEX('قائمة الوحدات'!$B$2:$B$41,MATCH($B135,'قائمة الوحدات'!$A$2:$A$41,0)),"")</f>
        <v>TOP</v>
      </c>
      <c r="D135" s="18" t="str">
        <f aca="false">IFERROR(INDEX('قائمة الوحدات'!$C$2:$C$41,MATCH($B135,'قائمة الوحدات'!$A$2:$A$41,0)),"")</f>
        <v>المرتبطة بسمو الوزير</v>
      </c>
      <c r="E135" s="18" t="str">
        <f aca="false">IFERROR(INDEX('قائمة الوحدات'!$D$2:$D$41,MATCH($B135,'قائمة الوحدات'!$A$2:$A$41,0)),"")</f>
        <v>إدارة التميز المؤسسي</v>
      </c>
      <c r="F135" s="18" t="str">
        <f aca="false">IFERROR(INDEX('قائمة الوحدات'!$F$2:$F$41,MATCH($B135,'قائمة الوحدات'!$A$2:$A$41,0)),"")</f>
        <v>إدارة التميز المؤسسي</v>
      </c>
      <c r="G135" s="20" t="s">
        <v>62</v>
      </c>
      <c r="H135" s="18" t="str">
        <f aca="false">IFERROR(INDEX(المرجع!$A$2:$A$19,MATCH($G135,المرجع!$B$2:$B$19,0)),"")</f>
        <v>البناء المؤسسي</v>
      </c>
      <c r="I135" s="20" t="s">
        <v>55</v>
      </c>
      <c r="J135" s="18" t="str">
        <f aca="false">IFERROR(INDEX(المرجع!$D$2:$D$19,MATCH($I135,المرجع!$E$2:$E$19,0)),"")</f>
        <v>التنظيم</v>
      </c>
      <c r="K135" s="20" t="s">
        <v>102</v>
      </c>
      <c r="L135" s="21" t="str">
        <f aca="false">IFERROR(INDEX('نقاط التحقق'!$G$2:$G$31,MATCH($K135,'نقاط التحقق'!$A$2:$A$31,0))&amp;"","")</f>
        <v>هيكل تنظيمي معتمد من صاحب الصلاحية</v>
      </c>
      <c r="M135" s="17" t="n">
        <v>85</v>
      </c>
      <c r="N135" s="17" t="n">
        <v>100</v>
      </c>
      <c r="O135" s="19" t="str">
        <f aca="false">IF($M135="","غير مقيّمة",IF($M135&gt;المرجع!$K$3,"مستوفاة بشكل متقدم",IF($M135&lt;=المرجع!$K$2,"مستوفاة بشكل أولي","مستوفاة بشكل جزئي")))</f>
        <v>مستوفاة بشكل متقدم</v>
      </c>
      <c r="P135" s="22" t="s">
        <v>245</v>
      </c>
    </row>
    <row r="136" customFormat="false" ht="15" hidden="false" customHeight="true" outlineLevel="0" collapsed="false">
      <c r="A136" s="20" t="s">
        <v>379</v>
      </c>
      <c r="B136" s="20" t="s">
        <v>158</v>
      </c>
      <c r="C136" s="19" t="str">
        <f aca="false">IFERROR(INDEX('قائمة الوحدات'!$B$2:$B$41,MATCH($B136,'قائمة الوحدات'!$A$2:$A$41,0)),"")</f>
        <v>TOP</v>
      </c>
      <c r="D136" s="18" t="str">
        <f aca="false">IFERROR(INDEX('قائمة الوحدات'!$C$2:$C$41,MATCH($B136,'قائمة الوحدات'!$A$2:$A$41,0)),"")</f>
        <v>المرتبطة بسمو الوزير</v>
      </c>
      <c r="E136" s="18" t="str">
        <f aca="false">IFERROR(INDEX('قائمة الوحدات'!$D$2:$D$41,MATCH($B136,'قائمة الوحدات'!$A$2:$A$41,0)),"")</f>
        <v>إدارة التميز المؤسسي</v>
      </c>
      <c r="F136" s="18" t="str">
        <f aca="false">IFERROR(INDEX('قائمة الوحدات'!$F$2:$F$41,MATCH($B136,'قائمة الوحدات'!$A$2:$A$41,0)),"")</f>
        <v>إدارة التميز المؤسسي</v>
      </c>
      <c r="G136" s="20" t="s">
        <v>62</v>
      </c>
      <c r="H136" s="18" t="str">
        <f aca="false">IFERROR(INDEX(المرجع!$A$2:$A$19,MATCH($G136,المرجع!$B$2:$B$19,0)),"")</f>
        <v>البناء المؤسسي</v>
      </c>
      <c r="I136" s="20" t="s">
        <v>55</v>
      </c>
      <c r="J136" s="18" t="str">
        <f aca="false">IFERROR(INDEX(المرجع!$D$2:$D$19,MATCH($I136,المرجع!$E$2:$E$19,0)),"")</f>
        <v>التنظيم</v>
      </c>
      <c r="K136" s="20" t="s">
        <v>104</v>
      </c>
      <c r="L136" s="21" t="str">
        <f aca="false">IFERROR(INDEX('نقاط التحقق'!$G$2:$G$31,MATCH($K136,'نقاط التحقق'!$A$2:$A$31,0))&amp;"","")</f>
        <v>هيكل تنظيمي منشأ على نظام القوى العاملة</v>
      </c>
      <c r="M136" s="17" t="n">
        <v>80</v>
      </c>
      <c r="N136" s="17" t="n">
        <v>100</v>
      </c>
      <c r="O136" s="19" t="str">
        <f aca="false">IF($M136="","غير مقيّمة",IF($M136&gt;المرجع!$K$3,"مستوفاة بشكل متقدم",IF($M136&lt;=المرجع!$K$2,"مستوفاة بشكل أولي","مستوفاة بشكل جزئي")))</f>
        <v>مستوفاة بشكل متقدم</v>
      </c>
      <c r="P136" s="22" t="s">
        <v>245</v>
      </c>
    </row>
    <row r="137" customFormat="false" ht="15" hidden="false" customHeight="true" outlineLevel="0" collapsed="false">
      <c r="A137" s="20" t="s">
        <v>380</v>
      </c>
      <c r="B137" s="20" t="s">
        <v>158</v>
      </c>
      <c r="C137" s="19" t="str">
        <f aca="false">IFERROR(INDEX('قائمة الوحدات'!$B$2:$B$41,MATCH($B137,'قائمة الوحدات'!$A$2:$A$41,0)),"")</f>
        <v>TOP</v>
      </c>
      <c r="D137" s="18" t="str">
        <f aca="false">IFERROR(INDEX('قائمة الوحدات'!$C$2:$C$41,MATCH($B137,'قائمة الوحدات'!$A$2:$A$41,0)),"")</f>
        <v>المرتبطة بسمو الوزير</v>
      </c>
      <c r="E137" s="18" t="str">
        <f aca="false">IFERROR(INDEX('قائمة الوحدات'!$D$2:$D$41,MATCH($B137,'قائمة الوحدات'!$A$2:$A$41,0)),"")</f>
        <v>إدارة التميز المؤسسي</v>
      </c>
      <c r="F137" s="18" t="str">
        <f aca="false">IFERROR(INDEX('قائمة الوحدات'!$F$2:$F$41,MATCH($B137,'قائمة الوحدات'!$A$2:$A$41,0)),"")</f>
        <v>إدارة التميز المؤسسي</v>
      </c>
      <c r="G137" s="20" t="s">
        <v>62</v>
      </c>
      <c r="H137" s="18" t="str">
        <f aca="false">IFERROR(INDEX(المرجع!$A$2:$A$19,MATCH($G137,المرجع!$B$2:$B$19,0)),"")</f>
        <v>البناء المؤسسي</v>
      </c>
      <c r="I137" s="20" t="s">
        <v>55</v>
      </c>
      <c r="J137" s="18" t="str">
        <f aca="false">IFERROR(INDEX(المرجع!$D$2:$D$19,MATCH($I137,المرجع!$E$2:$E$19,0)),"")</f>
        <v>التنظيم</v>
      </c>
      <c r="K137" s="20" t="s">
        <v>106</v>
      </c>
      <c r="L137" s="21" t="str">
        <f aca="false">IFERROR(INDEX('نقاط التحقق'!$G$2:$G$31,MATCH($K137,'نقاط التحقق'!$A$2:$A$31,0))&amp;"","")</f>
        <v>الموظفون المحددون مسكّنون على الهيكل التنظيمي المستهدف</v>
      </c>
      <c r="M137" s="17" t="n">
        <v>55</v>
      </c>
      <c r="N137" s="17" t="n">
        <v>100</v>
      </c>
      <c r="O137" s="19" t="str">
        <f aca="false">IF($M137="","غير مقيّمة",IF($M137&gt;المرجع!$K$3,"مستوفاة بشكل متقدم",IF($M137&lt;=المرجع!$K$2,"مستوفاة بشكل أولي","مستوفاة بشكل جزئي")))</f>
        <v>مستوفاة بشكل جزئي</v>
      </c>
      <c r="P137" s="22" t="s">
        <v>245</v>
      </c>
    </row>
    <row r="138" customFormat="false" ht="15" hidden="false" customHeight="true" outlineLevel="0" collapsed="false">
      <c r="A138" s="20" t="s">
        <v>381</v>
      </c>
      <c r="B138" s="20" t="s">
        <v>158</v>
      </c>
      <c r="C138" s="19" t="str">
        <f aca="false">IFERROR(INDEX('قائمة الوحدات'!$B$2:$B$41,MATCH($B138,'قائمة الوحدات'!$A$2:$A$41,0)),"")</f>
        <v>TOP</v>
      </c>
      <c r="D138" s="18" t="str">
        <f aca="false">IFERROR(INDEX('قائمة الوحدات'!$C$2:$C$41,MATCH($B138,'قائمة الوحدات'!$A$2:$A$41,0)),"")</f>
        <v>المرتبطة بسمو الوزير</v>
      </c>
      <c r="E138" s="18" t="str">
        <f aca="false">IFERROR(INDEX('قائمة الوحدات'!$D$2:$D$41,MATCH($B138,'قائمة الوحدات'!$A$2:$A$41,0)),"")</f>
        <v>إدارة التميز المؤسسي</v>
      </c>
      <c r="F138" s="18" t="str">
        <f aca="false">IFERROR(INDEX('قائمة الوحدات'!$F$2:$F$41,MATCH($B138,'قائمة الوحدات'!$A$2:$A$41,0)),"")</f>
        <v>إدارة التميز المؤسسي</v>
      </c>
      <c r="G138" s="20" t="s">
        <v>62</v>
      </c>
      <c r="H138" s="18" t="str">
        <f aca="false">IFERROR(INDEX(المرجع!$A$2:$A$19,MATCH($G138,المرجع!$B$2:$B$19,0)),"")</f>
        <v>البناء المؤسسي</v>
      </c>
      <c r="I138" s="20" t="s">
        <v>57</v>
      </c>
      <c r="J138" s="18" t="str">
        <f aca="false">IFERROR(INDEX(المرجع!$D$2:$D$19,MATCH($I138,المرجع!$E$2:$E$19,0)),"")</f>
        <v>الموارد</v>
      </c>
      <c r="K138" s="20" t="s">
        <v>108</v>
      </c>
      <c r="L138" s="21" t="str">
        <f aca="false">IFERROR(INDEX('نقاط التحقق'!$G$2:$G$31,MATCH($K138,'نقاط التحقق'!$A$2:$A$31,0))&amp;"","")</f>
        <v>مدير الوحدة التنظيمية والموظفون الرئيسيون معينون/ملحقون</v>
      </c>
      <c r="M138" s="17" t="n">
        <v>75</v>
      </c>
      <c r="N138" s="17" t="n">
        <v>95</v>
      </c>
      <c r="O138" s="19" t="str">
        <f aca="false">IF($M138="","غير مقيّمة",IF($M138&gt;المرجع!$K$3,"مستوفاة بشكل متقدم",IF($M138&lt;=المرجع!$K$2,"مستوفاة بشكل أولي","مستوفاة بشكل جزئي")))</f>
        <v>مستوفاة بشكل متقدم</v>
      </c>
      <c r="P138" s="22" t="s">
        <v>245</v>
      </c>
    </row>
    <row r="139" customFormat="false" ht="15" hidden="false" customHeight="true" outlineLevel="0" collapsed="false">
      <c r="A139" s="20" t="s">
        <v>382</v>
      </c>
      <c r="B139" s="20" t="s">
        <v>158</v>
      </c>
      <c r="C139" s="19" t="str">
        <f aca="false">IFERROR(INDEX('قائمة الوحدات'!$B$2:$B$41,MATCH($B139,'قائمة الوحدات'!$A$2:$A$41,0)),"")</f>
        <v>TOP</v>
      </c>
      <c r="D139" s="18" t="str">
        <f aca="false">IFERROR(INDEX('قائمة الوحدات'!$C$2:$C$41,MATCH($B139,'قائمة الوحدات'!$A$2:$A$41,0)),"")</f>
        <v>المرتبطة بسمو الوزير</v>
      </c>
      <c r="E139" s="18" t="str">
        <f aca="false">IFERROR(INDEX('قائمة الوحدات'!$D$2:$D$41,MATCH($B139,'قائمة الوحدات'!$A$2:$A$41,0)),"")</f>
        <v>إدارة التميز المؤسسي</v>
      </c>
      <c r="F139" s="18" t="str">
        <f aca="false">IFERROR(INDEX('قائمة الوحدات'!$F$2:$F$41,MATCH($B139,'قائمة الوحدات'!$A$2:$A$41,0)),"")</f>
        <v>إدارة التميز المؤسسي</v>
      </c>
      <c r="G139" s="20" t="s">
        <v>62</v>
      </c>
      <c r="H139" s="18" t="str">
        <f aca="false">IFERROR(INDEX(المرجع!$A$2:$A$19,MATCH($G139,المرجع!$B$2:$B$19,0)),"")</f>
        <v>البناء المؤسسي</v>
      </c>
      <c r="I139" s="20" t="s">
        <v>57</v>
      </c>
      <c r="J139" s="18" t="str">
        <f aca="false">IFERROR(INDEX(المرجع!$D$2:$D$19,MATCH($I139,المرجع!$E$2:$E$19,0)),"")</f>
        <v>الموارد</v>
      </c>
      <c r="K139" s="20" t="s">
        <v>110</v>
      </c>
      <c r="L139" s="21" t="str">
        <f aca="false">IFERROR(INDEX('نقاط التحقق'!$G$2:$G$31,MATCH($K139,'نقاط التحقق'!$A$2:$A$31,0))&amp;"","")</f>
        <v>خطة توظيف وتدريب مستكملة</v>
      </c>
      <c r="M139" s="17" t="n">
        <v>60</v>
      </c>
      <c r="N139" s="17" t="n">
        <v>90</v>
      </c>
      <c r="O139" s="19" t="str">
        <f aca="false">IF($M139="","غير مقيّمة",IF($M139&gt;المرجع!$K$3,"مستوفاة بشكل متقدم",IF($M139&lt;=المرجع!$K$2,"مستوفاة بشكل أولي","مستوفاة بشكل جزئي")))</f>
        <v>مستوفاة بشكل جزئي</v>
      </c>
      <c r="P139" s="22" t="s">
        <v>245</v>
      </c>
    </row>
    <row r="140" customFormat="false" ht="15" hidden="false" customHeight="true" outlineLevel="0" collapsed="false">
      <c r="A140" s="20" t="s">
        <v>383</v>
      </c>
      <c r="B140" s="20" t="s">
        <v>158</v>
      </c>
      <c r="C140" s="19" t="str">
        <f aca="false">IFERROR(INDEX('قائمة الوحدات'!$B$2:$B$41,MATCH($B140,'قائمة الوحدات'!$A$2:$A$41,0)),"")</f>
        <v>TOP</v>
      </c>
      <c r="D140" s="18" t="str">
        <f aca="false">IFERROR(INDEX('قائمة الوحدات'!$C$2:$C$41,MATCH($B140,'قائمة الوحدات'!$A$2:$A$41,0)),"")</f>
        <v>المرتبطة بسمو الوزير</v>
      </c>
      <c r="E140" s="18" t="str">
        <f aca="false">IFERROR(INDEX('قائمة الوحدات'!$D$2:$D$41,MATCH($B140,'قائمة الوحدات'!$A$2:$A$41,0)),"")</f>
        <v>إدارة التميز المؤسسي</v>
      </c>
      <c r="F140" s="18" t="str">
        <f aca="false">IFERROR(INDEX('قائمة الوحدات'!$F$2:$F$41,MATCH($B140,'قائمة الوحدات'!$A$2:$A$41,0)),"")</f>
        <v>إدارة التميز المؤسسي</v>
      </c>
      <c r="G140" s="20" t="s">
        <v>62</v>
      </c>
      <c r="H140" s="18" t="str">
        <f aca="false">IFERROR(INDEX(المرجع!$A$2:$A$19,MATCH($G140,المرجع!$B$2:$B$19,0)),"")</f>
        <v>البناء المؤسسي</v>
      </c>
      <c r="I140" s="20" t="s">
        <v>57</v>
      </c>
      <c r="J140" s="18" t="str">
        <f aca="false">IFERROR(INDEX(المرجع!$D$2:$D$19,MATCH($I140,المرجع!$E$2:$E$19,0)),"")</f>
        <v>الموارد</v>
      </c>
      <c r="K140" s="20" t="s">
        <v>112</v>
      </c>
      <c r="L140" s="21" t="str">
        <f aca="false">IFERROR(INDEX('نقاط التحقق'!$G$2:$G$31,MATCH($K140,'نقاط التحقق'!$A$2:$A$31,0))&amp;"","")</f>
        <v>وجود مساحات مكتبية كافية</v>
      </c>
      <c r="M140" s="17" t="n">
        <v>60</v>
      </c>
      <c r="N140" s="17" t="n">
        <v>100</v>
      </c>
      <c r="O140" s="19" t="str">
        <f aca="false">IF($M140="","غير مقيّمة",IF($M140&gt;المرجع!$K$3,"مستوفاة بشكل متقدم",IF($M140&lt;=المرجع!$K$2,"مستوفاة بشكل أولي","مستوفاة بشكل جزئي")))</f>
        <v>مستوفاة بشكل جزئي</v>
      </c>
      <c r="P140" s="22" t="s">
        <v>245</v>
      </c>
    </row>
    <row r="141" customFormat="false" ht="15" hidden="false" customHeight="true" outlineLevel="0" collapsed="false">
      <c r="A141" s="20" t="s">
        <v>384</v>
      </c>
      <c r="B141" s="20" t="s">
        <v>158</v>
      </c>
      <c r="C141" s="19" t="str">
        <f aca="false">IFERROR(INDEX('قائمة الوحدات'!$B$2:$B$41,MATCH($B141,'قائمة الوحدات'!$A$2:$A$41,0)),"")</f>
        <v>TOP</v>
      </c>
      <c r="D141" s="18" t="str">
        <f aca="false">IFERROR(INDEX('قائمة الوحدات'!$C$2:$C$41,MATCH($B141,'قائمة الوحدات'!$A$2:$A$41,0)),"")</f>
        <v>المرتبطة بسمو الوزير</v>
      </c>
      <c r="E141" s="18" t="str">
        <f aca="false">IFERROR(INDEX('قائمة الوحدات'!$D$2:$D$41,MATCH($B141,'قائمة الوحدات'!$A$2:$A$41,0)),"")</f>
        <v>إدارة التميز المؤسسي</v>
      </c>
      <c r="F141" s="18" t="str">
        <f aca="false">IFERROR(INDEX('قائمة الوحدات'!$F$2:$F$41,MATCH($B141,'قائمة الوحدات'!$A$2:$A$41,0)),"")</f>
        <v>إدارة التميز المؤسسي</v>
      </c>
      <c r="G141" s="20" t="s">
        <v>62</v>
      </c>
      <c r="H141" s="18" t="str">
        <f aca="false">IFERROR(INDEX(المرجع!$A$2:$A$19,MATCH($G141,المرجع!$B$2:$B$19,0)),"")</f>
        <v>البناء المؤسسي</v>
      </c>
      <c r="I141" s="20" t="s">
        <v>57</v>
      </c>
      <c r="J141" s="18" t="str">
        <f aca="false">IFERROR(INDEX(المرجع!$D$2:$D$19,MATCH($I141,المرجع!$E$2:$E$19,0)),"")</f>
        <v>الموارد</v>
      </c>
      <c r="K141" s="20" t="s">
        <v>114</v>
      </c>
      <c r="L141" s="21" t="str">
        <f aca="false">IFERROR(INDEX('نقاط التحقق'!$G$2:$G$31,MATCH($K141,'نقاط التحقق'!$A$2:$A$31,0))&amp;"","")</f>
        <v>وجود الاحتياجات التقنية الأساسية</v>
      </c>
      <c r="M141" s="17" t="n">
        <v>70</v>
      </c>
      <c r="N141" s="17" t="n">
        <v>95</v>
      </c>
      <c r="O141" s="19" t="str">
        <f aca="false">IF($M141="","غير مقيّمة",IF($M141&gt;المرجع!$K$3,"مستوفاة بشكل متقدم",IF($M141&lt;=المرجع!$K$2,"مستوفاة بشكل أولي","مستوفاة بشكل جزئي")))</f>
        <v>مستوفاة بشكل جزئي</v>
      </c>
      <c r="P141" s="22" t="s">
        <v>245</v>
      </c>
    </row>
    <row r="142" customFormat="false" ht="15" hidden="false" customHeight="true" outlineLevel="0" collapsed="false">
      <c r="A142" s="20" t="s">
        <v>385</v>
      </c>
      <c r="B142" s="20" t="s">
        <v>158</v>
      </c>
      <c r="C142" s="19" t="str">
        <f aca="false">IFERROR(INDEX('قائمة الوحدات'!$B$2:$B$41,MATCH($B142,'قائمة الوحدات'!$A$2:$A$41,0)),"")</f>
        <v>TOP</v>
      </c>
      <c r="D142" s="18" t="str">
        <f aca="false">IFERROR(INDEX('قائمة الوحدات'!$C$2:$C$41,MATCH($B142,'قائمة الوحدات'!$A$2:$A$41,0)),"")</f>
        <v>المرتبطة بسمو الوزير</v>
      </c>
      <c r="E142" s="18" t="str">
        <f aca="false">IFERROR(INDEX('قائمة الوحدات'!$D$2:$D$41,MATCH($B142,'قائمة الوحدات'!$A$2:$A$41,0)),"")</f>
        <v>إدارة التميز المؤسسي</v>
      </c>
      <c r="F142" s="18" t="str">
        <f aca="false">IFERROR(INDEX('قائمة الوحدات'!$F$2:$F$41,MATCH($B142,'قائمة الوحدات'!$A$2:$A$41,0)),"")</f>
        <v>إدارة التميز المؤسسي</v>
      </c>
      <c r="G142" s="20" t="s">
        <v>62</v>
      </c>
      <c r="H142" s="18" t="str">
        <f aca="false">IFERROR(INDEX(المرجع!$A$2:$A$19,MATCH($G142,المرجع!$B$2:$B$19,0)),"")</f>
        <v>البناء المؤسسي</v>
      </c>
      <c r="I142" s="20" t="s">
        <v>60</v>
      </c>
      <c r="J142" s="18" t="str">
        <f aca="false">IFERROR(INDEX(المرجع!$D$2:$D$19,MATCH($I142,المرجع!$E$2:$E$19,0)),"")</f>
        <v>الإجراءات</v>
      </c>
      <c r="K142" s="20" t="s">
        <v>116</v>
      </c>
      <c r="L142" s="21" t="str">
        <f aca="false">IFERROR(INDEX('نقاط التحقق'!$G$2:$G$31,MATCH($K142,'نقاط التحقق'!$A$2:$A$31,0))&amp;"","")</f>
        <v>إجراءات معتمدة للوحدة التنظيمية</v>
      </c>
      <c r="M142" s="17" t="n">
        <v>67</v>
      </c>
      <c r="N142" s="17" t="n">
        <v>100</v>
      </c>
      <c r="O142" s="19" t="str">
        <f aca="false">IF($M142="","غير مقيّمة",IF($M142&gt;المرجع!$K$3,"مستوفاة بشكل متقدم",IF($M142&lt;=المرجع!$K$2,"مستوفاة بشكل أولي","مستوفاة بشكل جزئي")))</f>
        <v>مستوفاة بشكل جزئي</v>
      </c>
      <c r="P142" s="22" t="s">
        <v>245</v>
      </c>
    </row>
    <row r="143" customFormat="false" ht="15" hidden="false" customHeight="true" outlineLevel="0" collapsed="false">
      <c r="A143" s="20" t="s">
        <v>386</v>
      </c>
      <c r="B143" s="20" t="s">
        <v>158</v>
      </c>
      <c r="C143" s="19" t="str">
        <f aca="false">IFERROR(INDEX('قائمة الوحدات'!$B$2:$B$41,MATCH($B143,'قائمة الوحدات'!$A$2:$A$41,0)),"")</f>
        <v>TOP</v>
      </c>
      <c r="D143" s="18" t="str">
        <f aca="false">IFERROR(INDEX('قائمة الوحدات'!$C$2:$C$41,MATCH($B143,'قائمة الوحدات'!$A$2:$A$41,0)),"")</f>
        <v>المرتبطة بسمو الوزير</v>
      </c>
      <c r="E143" s="18" t="str">
        <f aca="false">IFERROR(INDEX('قائمة الوحدات'!$D$2:$D$41,MATCH($B143,'قائمة الوحدات'!$A$2:$A$41,0)),"")</f>
        <v>إدارة التميز المؤسسي</v>
      </c>
      <c r="F143" s="18" t="str">
        <f aca="false">IFERROR(INDEX('قائمة الوحدات'!$F$2:$F$41,MATCH($B143,'قائمة الوحدات'!$A$2:$A$41,0)),"")</f>
        <v>إدارة التميز المؤسسي</v>
      </c>
      <c r="G143" s="20" t="s">
        <v>62</v>
      </c>
      <c r="H143" s="18" t="str">
        <f aca="false">IFERROR(INDEX(المرجع!$A$2:$A$19,MATCH($G143,المرجع!$B$2:$B$19,0)),"")</f>
        <v>البناء المؤسسي</v>
      </c>
      <c r="I143" s="20" t="s">
        <v>69</v>
      </c>
      <c r="J143" s="18" t="str">
        <f aca="false">IFERROR(INDEX(المرجع!$D$2:$D$19,MATCH($I143,المرجع!$E$2:$E$19,0)),"")</f>
        <v>إنتاج المخرج الأول</v>
      </c>
      <c r="K143" s="20" t="s">
        <v>118</v>
      </c>
      <c r="L143" s="21" t="str">
        <f aca="false">IFERROR(INDEX('نقاط التحقق'!$G$2:$G$31,MATCH($K143,'نقاط التحقق'!$A$2:$A$31,0))&amp;"","")</f>
        <v>إنتاج المخرج الأول من قبل الوحدة التنظيمية</v>
      </c>
      <c r="M143" s="17" t="n">
        <v>43</v>
      </c>
      <c r="N143" s="17" t="n">
        <v>90</v>
      </c>
      <c r="O143" s="19" t="str">
        <f aca="false">IF($M143="","غير مقيّمة",IF($M143&gt;المرجع!$K$3,"مستوفاة بشكل متقدم",IF($M143&lt;=المرجع!$K$2,"مستوفاة بشكل أولي","مستوفاة بشكل جزئي")))</f>
        <v>مستوفاة بشكل جزئي</v>
      </c>
      <c r="P143" s="22" t="s">
        <v>245</v>
      </c>
    </row>
    <row r="144" customFormat="false" ht="15" hidden="false" customHeight="true" outlineLevel="0" collapsed="false">
      <c r="A144" s="20" t="s">
        <v>387</v>
      </c>
      <c r="B144" s="20" t="s">
        <v>158</v>
      </c>
      <c r="C144" s="19" t="str">
        <f aca="false">IFERROR(INDEX('قائمة الوحدات'!$B$2:$B$41,MATCH($B144,'قائمة الوحدات'!$A$2:$A$41,0)),"")</f>
        <v>TOP</v>
      </c>
      <c r="D144" s="18" t="str">
        <f aca="false">IFERROR(INDEX('قائمة الوحدات'!$C$2:$C$41,MATCH($B144,'قائمة الوحدات'!$A$2:$A$41,0)),"")</f>
        <v>المرتبطة بسمو الوزير</v>
      </c>
      <c r="E144" s="18" t="str">
        <f aca="false">IFERROR(INDEX('قائمة الوحدات'!$D$2:$D$41,MATCH($B144,'قائمة الوحدات'!$A$2:$A$41,0)),"")</f>
        <v>إدارة التميز المؤسسي</v>
      </c>
      <c r="F144" s="18" t="str">
        <f aca="false">IFERROR(INDEX('قائمة الوحدات'!$F$2:$F$41,MATCH($B144,'قائمة الوحدات'!$A$2:$A$41,0)),"")</f>
        <v>إدارة التميز المؤسسي</v>
      </c>
      <c r="G144" s="20" t="s">
        <v>66</v>
      </c>
      <c r="H144" s="18" t="str">
        <f aca="false">IFERROR(INDEX(المرجع!$A$2:$A$19,MATCH($G144,المرجع!$B$2:$B$19,0)),"")</f>
        <v>التشغيل</v>
      </c>
      <c r="I144" s="20" t="s">
        <v>49</v>
      </c>
      <c r="J144" s="18" t="str">
        <f aca="false">IFERROR(INDEX(المرجع!$D$2:$D$19,MATCH($I144,المرجع!$E$2:$E$19,0)),"")</f>
        <v>الأهداف ومؤشرات الأداء</v>
      </c>
      <c r="K144" s="20" t="s">
        <v>120</v>
      </c>
      <c r="L144" s="21" t="str">
        <f aca="false">IFERROR(INDEX('نقاط التحقق'!$G$2:$G$31,MATCH($K144,'نقاط التحقق'!$A$2:$A$31,0))&amp;"","")</f>
        <v>تحرك مؤشرات الأداء التشغيلي للوحدة التنظيمية بشكل إيجابي</v>
      </c>
      <c r="M144" s="17" t="n">
        <v>5</v>
      </c>
      <c r="N144" s="17" t="n">
        <v>80</v>
      </c>
      <c r="O144" s="19" t="str">
        <f aca="false">IF($M144="","غير مقيّمة",IF($M144&gt;المرجع!$K$3,"مستوفاة بشكل متقدم",IF($M144&lt;=المرجع!$K$2,"مستوفاة بشكل أولي","مستوفاة بشكل جزئي")))</f>
        <v>مستوفاة بشكل أولي</v>
      </c>
      <c r="P144" s="22" t="s">
        <v>245</v>
      </c>
    </row>
    <row r="145" customFormat="false" ht="15" hidden="false" customHeight="true" outlineLevel="0" collapsed="false">
      <c r="A145" s="20" t="s">
        <v>388</v>
      </c>
      <c r="B145" s="20" t="s">
        <v>158</v>
      </c>
      <c r="C145" s="19" t="str">
        <f aca="false">IFERROR(INDEX('قائمة الوحدات'!$B$2:$B$41,MATCH($B145,'قائمة الوحدات'!$A$2:$A$41,0)),"")</f>
        <v>TOP</v>
      </c>
      <c r="D145" s="18" t="str">
        <f aca="false">IFERROR(INDEX('قائمة الوحدات'!$C$2:$C$41,MATCH($B145,'قائمة الوحدات'!$A$2:$A$41,0)),"")</f>
        <v>المرتبطة بسمو الوزير</v>
      </c>
      <c r="E145" s="18" t="str">
        <f aca="false">IFERROR(INDEX('قائمة الوحدات'!$D$2:$D$41,MATCH($B145,'قائمة الوحدات'!$A$2:$A$41,0)),"")</f>
        <v>إدارة التميز المؤسسي</v>
      </c>
      <c r="F145" s="18" t="str">
        <f aca="false">IFERROR(INDEX('قائمة الوحدات'!$F$2:$F$41,MATCH($B145,'قائمة الوحدات'!$A$2:$A$41,0)),"")</f>
        <v>إدارة التميز المؤسسي</v>
      </c>
      <c r="G145" s="20" t="s">
        <v>66</v>
      </c>
      <c r="H145" s="18" t="str">
        <f aca="false">IFERROR(INDEX(المرجع!$A$2:$A$19,MATCH($G145,المرجع!$B$2:$B$19,0)),"")</f>
        <v>التشغيل</v>
      </c>
      <c r="I145" s="20" t="s">
        <v>49</v>
      </c>
      <c r="J145" s="18" t="str">
        <f aca="false">IFERROR(INDEX(المرجع!$D$2:$D$19,MATCH($I145,المرجع!$E$2:$E$19,0)),"")</f>
        <v>الأهداف ومؤشرات الأداء</v>
      </c>
      <c r="K145" s="20" t="s">
        <v>122</v>
      </c>
      <c r="L145" s="21" t="str">
        <f aca="false">IFERROR(INDEX('نقاط التحقق'!$G$2:$G$31,MATCH($K145,'نقاط التحقق'!$A$2:$A$31,0))&amp;"","")</f>
        <v>خطة سنوية معتمدة للوحدة التنظيمية</v>
      </c>
      <c r="M145" s="17" t="n">
        <v>5</v>
      </c>
      <c r="N145" s="17" t="n">
        <v>95</v>
      </c>
      <c r="O145" s="19" t="str">
        <f aca="false">IF($M145="","غير مقيّمة",IF($M145&gt;المرجع!$K$3,"مستوفاة بشكل متقدم",IF($M145&lt;=المرجع!$K$2,"مستوفاة بشكل أولي","مستوفاة بشكل جزئي")))</f>
        <v>مستوفاة بشكل أولي</v>
      </c>
      <c r="P145" s="22" t="s">
        <v>245</v>
      </c>
    </row>
    <row r="146" customFormat="false" ht="15" hidden="false" customHeight="true" outlineLevel="0" collapsed="false">
      <c r="A146" s="20" t="s">
        <v>389</v>
      </c>
      <c r="B146" s="20" t="s">
        <v>158</v>
      </c>
      <c r="C146" s="19" t="str">
        <f aca="false">IFERROR(INDEX('قائمة الوحدات'!$B$2:$B$41,MATCH($B146,'قائمة الوحدات'!$A$2:$A$41,0)),"")</f>
        <v>TOP</v>
      </c>
      <c r="D146" s="18" t="str">
        <f aca="false">IFERROR(INDEX('قائمة الوحدات'!$C$2:$C$41,MATCH($B146,'قائمة الوحدات'!$A$2:$A$41,0)),"")</f>
        <v>المرتبطة بسمو الوزير</v>
      </c>
      <c r="E146" s="18" t="str">
        <f aca="false">IFERROR(INDEX('قائمة الوحدات'!$D$2:$D$41,MATCH($B146,'قائمة الوحدات'!$A$2:$A$41,0)),"")</f>
        <v>إدارة التميز المؤسسي</v>
      </c>
      <c r="F146" s="18" t="str">
        <f aca="false">IFERROR(INDEX('قائمة الوحدات'!$F$2:$F$41,MATCH($B146,'قائمة الوحدات'!$A$2:$A$41,0)),"")</f>
        <v>إدارة التميز المؤسسي</v>
      </c>
      <c r="G146" s="20" t="s">
        <v>66</v>
      </c>
      <c r="H146" s="18" t="str">
        <f aca="false">IFERROR(INDEX(المرجع!$A$2:$A$19,MATCH($G146,المرجع!$B$2:$B$19,0)),"")</f>
        <v>التشغيل</v>
      </c>
      <c r="I146" s="20" t="s">
        <v>52</v>
      </c>
      <c r="J146" s="18" t="str">
        <f aca="false">IFERROR(INDEX(المرجع!$D$2:$D$19,MATCH($I146,المرجع!$E$2:$E$19,0)),"")</f>
        <v>الحوكمة</v>
      </c>
      <c r="K146" s="20" t="s">
        <v>124</v>
      </c>
      <c r="L146" s="21" t="str">
        <f aca="false">IFERROR(INDEX('نقاط التحقق'!$G$2:$G$31,MATCH($K146,'نقاط التحقق'!$A$2:$A$31,0))&amp;"","")</f>
        <v>محاضر لجان موثقة</v>
      </c>
      <c r="M146" s="17" t="n">
        <v>45</v>
      </c>
      <c r="N146" s="17" t="n">
        <v>90</v>
      </c>
      <c r="O146" s="19" t="str">
        <f aca="false">IF($M146="","غير مقيّمة",IF($M146&gt;المرجع!$K$3,"مستوفاة بشكل متقدم",IF($M146&lt;=المرجع!$K$2,"مستوفاة بشكل أولي","مستوفاة بشكل جزئي")))</f>
        <v>مستوفاة بشكل جزئي</v>
      </c>
      <c r="P146" s="22" t="s">
        <v>245</v>
      </c>
    </row>
    <row r="147" customFormat="false" ht="15" hidden="false" customHeight="true" outlineLevel="0" collapsed="false">
      <c r="A147" s="20" t="s">
        <v>390</v>
      </c>
      <c r="B147" s="20" t="s">
        <v>158</v>
      </c>
      <c r="C147" s="19" t="str">
        <f aca="false">IFERROR(INDEX('قائمة الوحدات'!$B$2:$B$41,MATCH($B147,'قائمة الوحدات'!$A$2:$A$41,0)),"")</f>
        <v>TOP</v>
      </c>
      <c r="D147" s="18" t="str">
        <f aca="false">IFERROR(INDEX('قائمة الوحدات'!$C$2:$C$41,MATCH($B147,'قائمة الوحدات'!$A$2:$A$41,0)),"")</f>
        <v>المرتبطة بسمو الوزير</v>
      </c>
      <c r="E147" s="18" t="str">
        <f aca="false">IFERROR(INDEX('قائمة الوحدات'!$D$2:$D$41,MATCH($B147,'قائمة الوحدات'!$A$2:$A$41,0)),"")</f>
        <v>إدارة التميز المؤسسي</v>
      </c>
      <c r="F147" s="18" t="str">
        <f aca="false">IFERROR(INDEX('قائمة الوحدات'!$F$2:$F$41,MATCH($B147,'قائمة الوحدات'!$A$2:$A$41,0)),"")</f>
        <v>إدارة التميز المؤسسي</v>
      </c>
      <c r="G147" s="20" t="s">
        <v>66</v>
      </c>
      <c r="H147" s="18" t="str">
        <f aca="false">IFERROR(INDEX(المرجع!$A$2:$A$19,MATCH($G147,المرجع!$B$2:$B$19,0)),"")</f>
        <v>التشغيل</v>
      </c>
      <c r="I147" s="20" t="s">
        <v>52</v>
      </c>
      <c r="J147" s="18" t="str">
        <f aca="false">IFERROR(INDEX(المرجع!$D$2:$D$19,MATCH($I147,المرجع!$E$2:$E$19,0)),"")</f>
        <v>الحوكمة</v>
      </c>
      <c r="K147" s="20" t="s">
        <v>126</v>
      </c>
      <c r="L147" s="21" t="str">
        <f aca="false">IFERROR(INDEX('نقاط التحقق'!$G$2:$G$31,MATCH($K147,'نقاط التحقق'!$A$2:$A$31,0))&amp;"","")</f>
        <v>نشر السياسات التي تملكها الوحدة التنظيمية</v>
      </c>
      <c r="M147" s="17" t="n">
        <v>45</v>
      </c>
      <c r="N147" s="17" t="n">
        <v>85</v>
      </c>
      <c r="O147" s="19" t="str">
        <f aca="false">IF($M147="","غير مقيّمة",IF($M147&gt;المرجع!$K$3,"مستوفاة بشكل متقدم",IF($M147&lt;=المرجع!$K$2,"مستوفاة بشكل أولي","مستوفاة بشكل جزئي")))</f>
        <v>مستوفاة بشكل جزئي</v>
      </c>
      <c r="P147" s="22" t="s">
        <v>245</v>
      </c>
    </row>
    <row r="148" customFormat="false" ht="15" hidden="false" customHeight="true" outlineLevel="0" collapsed="false">
      <c r="A148" s="20" t="s">
        <v>391</v>
      </c>
      <c r="B148" s="20" t="s">
        <v>158</v>
      </c>
      <c r="C148" s="19" t="str">
        <f aca="false">IFERROR(INDEX('قائمة الوحدات'!$B$2:$B$41,MATCH($B148,'قائمة الوحدات'!$A$2:$A$41,0)),"")</f>
        <v>TOP</v>
      </c>
      <c r="D148" s="18" t="str">
        <f aca="false">IFERROR(INDEX('قائمة الوحدات'!$C$2:$C$41,MATCH($B148,'قائمة الوحدات'!$A$2:$A$41,0)),"")</f>
        <v>المرتبطة بسمو الوزير</v>
      </c>
      <c r="E148" s="18" t="str">
        <f aca="false">IFERROR(INDEX('قائمة الوحدات'!$D$2:$D$41,MATCH($B148,'قائمة الوحدات'!$A$2:$A$41,0)),"")</f>
        <v>إدارة التميز المؤسسي</v>
      </c>
      <c r="F148" s="18" t="str">
        <f aca="false">IFERROR(INDEX('قائمة الوحدات'!$F$2:$F$41,MATCH($B148,'قائمة الوحدات'!$A$2:$A$41,0)),"")</f>
        <v>إدارة التميز المؤسسي</v>
      </c>
      <c r="G148" s="20" t="s">
        <v>66</v>
      </c>
      <c r="H148" s="18" t="str">
        <f aca="false">IFERROR(INDEX(المرجع!$A$2:$A$19,MATCH($G148,المرجع!$B$2:$B$19,0)),"")</f>
        <v>التشغيل</v>
      </c>
      <c r="I148" s="20" t="s">
        <v>52</v>
      </c>
      <c r="J148" s="18" t="str">
        <f aca="false">IFERROR(INDEX(المرجع!$D$2:$D$19,MATCH($I148,المرجع!$E$2:$E$19,0)),"")</f>
        <v>الحوكمة</v>
      </c>
      <c r="K148" s="20" t="s">
        <v>128</v>
      </c>
      <c r="L148" s="21" t="str">
        <f aca="false">IFERROR(INDEX('نقاط التحقق'!$G$2:$G$31,MATCH($K148,'نقاط التحقق'!$A$2:$A$31,0))&amp;"","")</f>
        <v>اتخاذ القرارات في نطاق الصلاحيات (وجود شواهد)</v>
      </c>
      <c r="M148" s="17" t="n">
        <v>40</v>
      </c>
      <c r="N148" s="17" t="n">
        <v>100</v>
      </c>
      <c r="O148" s="19" t="str">
        <f aca="false">IF($M148="","غير مقيّمة",IF($M148&gt;المرجع!$K$3,"مستوفاة بشكل متقدم",IF($M148&lt;=المرجع!$K$2,"مستوفاة بشكل أولي","مستوفاة بشكل جزئي")))</f>
        <v>مستوفاة بشكل جزئي</v>
      </c>
      <c r="P148" s="22" t="s">
        <v>245</v>
      </c>
    </row>
    <row r="149" customFormat="false" ht="15" hidden="false" customHeight="true" outlineLevel="0" collapsed="false">
      <c r="A149" s="20" t="s">
        <v>392</v>
      </c>
      <c r="B149" s="20" t="s">
        <v>158</v>
      </c>
      <c r="C149" s="19" t="str">
        <f aca="false">IFERROR(INDEX('قائمة الوحدات'!$B$2:$B$41,MATCH($B149,'قائمة الوحدات'!$A$2:$A$41,0)),"")</f>
        <v>TOP</v>
      </c>
      <c r="D149" s="18" t="str">
        <f aca="false">IFERROR(INDEX('قائمة الوحدات'!$C$2:$C$41,MATCH($B149,'قائمة الوحدات'!$A$2:$A$41,0)),"")</f>
        <v>المرتبطة بسمو الوزير</v>
      </c>
      <c r="E149" s="18" t="str">
        <f aca="false">IFERROR(INDEX('قائمة الوحدات'!$D$2:$D$41,MATCH($B149,'قائمة الوحدات'!$A$2:$A$41,0)),"")</f>
        <v>إدارة التميز المؤسسي</v>
      </c>
      <c r="F149" s="18" t="str">
        <f aca="false">IFERROR(INDEX('قائمة الوحدات'!$F$2:$F$41,MATCH($B149,'قائمة الوحدات'!$A$2:$A$41,0)),"")</f>
        <v>إدارة التميز المؤسسي</v>
      </c>
      <c r="G149" s="20" t="s">
        <v>66</v>
      </c>
      <c r="H149" s="18" t="str">
        <f aca="false">IFERROR(INDEX(المرجع!$A$2:$A$19,MATCH($G149,المرجع!$B$2:$B$19,0)),"")</f>
        <v>التشغيل</v>
      </c>
      <c r="I149" s="20" t="s">
        <v>57</v>
      </c>
      <c r="J149" s="18" t="str">
        <f aca="false">IFERROR(INDEX(المرجع!$D$2:$D$19,MATCH($I149,المرجع!$E$2:$E$19,0)),"")</f>
        <v>الموارد</v>
      </c>
      <c r="K149" s="20" t="s">
        <v>130</v>
      </c>
      <c r="L149" s="21" t="str">
        <f aca="false">IFERROR(INDEX('نقاط التحقق'!$G$2:$G$31,MATCH($K149,'نقاط التحقق'!$A$2:$A$31,0))&amp;"","")</f>
        <v>موارد مستكملة للحد الأدنى الذي يغطي كافة محاور سلسلة القيمة</v>
      </c>
      <c r="M149" s="17" t="n">
        <v>33</v>
      </c>
      <c r="N149" s="17" t="n">
        <v>80</v>
      </c>
      <c r="O149" s="19" t="str">
        <f aca="false">IF($M149="","غير مقيّمة",IF($M149&gt;المرجع!$K$3,"مستوفاة بشكل متقدم",IF($M149&lt;=المرجع!$K$2,"مستوفاة بشكل أولي","مستوفاة بشكل جزئي")))</f>
        <v>مستوفاة بشكل جزئي</v>
      </c>
      <c r="P149" s="22" t="s">
        <v>245</v>
      </c>
    </row>
    <row r="150" customFormat="false" ht="15" hidden="false" customHeight="true" outlineLevel="0" collapsed="false">
      <c r="A150" s="20" t="s">
        <v>393</v>
      </c>
      <c r="B150" s="20" t="s">
        <v>158</v>
      </c>
      <c r="C150" s="19" t="str">
        <f aca="false">IFERROR(INDEX('قائمة الوحدات'!$B$2:$B$41,MATCH($B150,'قائمة الوحدات'!$A$2:$A$41,0)),"")</f>
        <v>TOP</v>
      </c>
      <c r="D150" s="18" t="str">
        <f aca="false">IFERROR(INDEX('قائمة الوحدات'!$C$2:$C$41,MATCH($B150,'قائمة الوحدات'!$A$2:$A$41,0)),"")</f>
        <v>المرتبطة بسمو الوزير</v>
      </c>
      <c r="E150" s="18" t="str">
        <f aca="false">IFERROR(INDEX('قائمة الوحدات'!$D$2:$D$41,MATCH($B150,'قائمة الوحدات'!$A$2:$A$41,0)),"")</f>
        <v>إدارة التميز المؤسسي</v>
      </c>
      <c r="F150" s="18" t="str">
        <f aca="false">IFERROR(INDEX('قائمة الوحدات'!$F$2:$F$41,MATCH($B150,'قائمة الوحدات'!$A$2:$A$41,0)),"")</f>
        <v>إدارة التميز المؤسسي</v>
      </c>
      <c r="G150" s="20" t="s">
        <v>66</v>
      </c>
      <c r="H150" s="18" t="str">
        <f aca="false">IFERROR(INDEX(المرجع!$A$2:$A$19,MATCH($G150,المرجع!$B$2:$B$19,0)),"")</f>
        <v>التشغيل</v>
      </c>
      <c r="I150" s="20" t="s">
        <v>60</v>
      </c>
      <c r="J150" s="18" t="str">
        <f aca="false">IFERROR(INDEX(المرجع!$D$2:$D$19,MATCH($I150,المرجع!$E$2:$E$19,0)),"")</f>
        <v>الإجراءات</v>
      </c>
      <c r="K150" s="20" t="s">
        <v>132</v>
      </c>
      <c r="L150" s="21" t="str">
        <f aca="false">IFERROR(INDEX('نقاط التحقق'!$G$2:$G$31,MATCH($K150,'نقاط التحقق'!$A$2:$A$31,0))&amp;"","")</f>
        <v>تحقيق تقييم "مطبق بشكل كامل" من منهجية تقييم فعالية الإجراءات</v>
      </c>
      <c r="M150" s="17" t="n">
        <v>40</v>
      </c>
      <c r="N150" s="17" t="n">
        <v>95</v>
      </c>
      <c r="O150" s="19" t="str">
        <f aca="false">IF($M150="","غير مقيّمة",IF($M150&gt;المرجع!$K$3,"مستوفاة بشكل متقدم",IF($M150&lt;=المرجع!$K$2,"مستوفاة بشكل أولي","مستوفاة بشكل جزئي")))</f>
        <v>مستوفاة بشكل جزئي</v>
      </c>
      <c r="P150" s="22" t="s">
        <v>245</v>
      </c>
    </row>
    <row r="151" customFormat="false" ht="15" hidden="false" customHeight="true" outlineLevel="0" collapsed="false">
      <c r="A151" s="20" t="s">
        <v>394</v>
      </c>
      <c r="B151" s="20" t="s">
        <v>158</v>
      </c>
      <c r="C151" s="19" t="str">
        <f aca="false">IFERROR(INDEX('قائمة الوحدات'!$B$2:$B$41,MATCH($B151,'قائمة الوحدات'!$A$2:$A$41,0)),"")</f>
        <v>TOP</v>
      </c>
      <c r="D151" s="18" t="str">
        <f aca="false">IFERROR(INDEX('قائمة الوحدات'!$C$2:$C$41,MATCH($B151,'قائمة الوحدات'!$A$2:$A$41,0)),"")</f>
        <v>المرتبطة بسمو الوزير</v>
      </c>
      <c r="E151" s="18" t="str">
        <f aca="false">IFERROR(INDEX('قائمة الوحدات'!$D$2:$D$41,MATCH($B151,'قائمة الوحدات'!$A$2:$A$41,0)),"")</f>
        <v>إدارة التميز المؤسسي</v>
      </c>
      <c r="F151" s="18" t="str">
        <f aca="false">IFERROR(INDEX('قائمة الوحدات'!$F$2:$F$41,MATCH($B151,'قائمة الوحدات'!$A$2:$A$41,0)),"")</f>
        <v>إدارة التميز المؤسسي</v>
      </c>
      <c r="G151" s="20" t="s">
        <v>66</v>
      </c>
      <c r="H151" s="18" t="str">
        <f aca="false">IFERROR(INDEX(المرجع!$A$2:$A$19,MATCH($G151,المرجع!$B$2:$B$19,0)),"")</f>
        <v>التشغيل</v>
      </c>
      <c r="I151" s="20" t="s">
        <v>71</v>
      </c>
      <c r="J151" s="18" t="str">
        <f aca="false">IFERROR(INDEX(المرجع!$D$2:$D$19,MATCH($I151,المرجع!$E$2:$E$19,0)),"")</f>
        <v>اكتمال المخرجات المستهدفة</v>
      </c>
      <c r="K151" s="20" t="s">
        <v>134</v>
      </c>
      <c r="L151" s="21" t="str">
        <f aca="false">IFERROR(INDEX('نقاط التحقق'!$G$2:$G$31,MATCH($K151,'نقاط التحقق'!$A$2:$A$31,0))&amp;"","")</f>
        <v>اكتمال مخرجات النموذج التشغيلي المستهدف للوحدة التنظيمية</v>
      </c>
      <c r="M151" s="17" t="n">
        <v>49</v>
      </c>
      <c r="N151" s="17" t="n">
        <v>80</v>
      </c>
      <c r="O151" s="19" t="str">
        <f aca="false">IF($M151="","غير مقيّمة",IF($M151&gt;المرجع!$K$3,"مستوفاة بشكل متقدم",IF($M151&lt;=المرجع!$K$2,"مستوفاة بشكل أولي","مستوفاة بشكل جزئي")))</f>
        <v>مستوفاة بشكل جزئي</v>
      </c>
      <c r="P151" s="22" t="s">
        <v>245</v>
      </c>
    </row>
  </sheetData>
  <autoFilter ref="A1:P151"/>
  <conditionalFormatting sqref="M2:M151">
    <cfRule type="cellIs" priority="2" operator="greaterThan" aboveAverage="0" equalAverage="0" bottom="0" percent="0" rank="0" text="" dxfId="10">
      <formula>70</formula>
    </cfRule>
    <cfRule type="cellIs" priority="3" operator="lessThanOrEqual" aboveAverage="0" equalAverage="0" bottom="0" percent="0" rank="0" text="" dxfId="11">
      <formula>30</formula>
    </cfRule>
  </conditionalFormatting>
  <conditionalFormatting sqref="N2:N151">
    <cfRule type="cellIs" priority="4" operator="equal" aboveAverage="0" equalAverage="0" bottom="0" percent="0" rank="0" text="" dxfId="10">
      <formula>"مستوفاة بشكل متقدم"</formula>
    </cfRule>
    <cfRule type="cellIs" priority="5" operator="equal" aboveAverage="0" equalAverage="0" bottom="0" percent="0" rank="0" text="" dxfId="12">
      <formula>"مستوفاة بشكل جزئي"</formula>
    </cfRule>
    <cfRule type="cellIs" priority="6" operator="equal" aboveAverage="0" equalAverage="0" bottom="0" percent="0" rank="0" text="" dxfId="11">
      <formula>"مستوفاة بشكل أولي"</formula>
    </cfRule>
  </conditionalFormatting>
  <dataValidations count="1">
    <dataValidation allowBlank="true" error="أدخل نسبة صحيحة بين ٠ و ١٠٠" errorStyle="stop" errorTitle="قيمة غير صحيحة" operator="between" showDropDown="false" showErrorMessage="false" showInputMessage="false" sqref="M2:N151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2" activeCellId="0" sqref="F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3"/>
    <col collapsed="false" customWidth="true" hidden="false" outlineLevel="0" max="4" min="4" style="1" width="24"/>
    <col collapsed="false" customWidth="true" hidden="false" outlineLevel="0" max="5" min="5" style="1" width="30.85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26"/>
    <col collapsed="false" customWidth="true" hidden="false" outlineLevel="0" max="11" min="11" style="1" width="16"/>
    <col collapsed="false" customWidth="true" hidden="false" outlineLevel="0" max="12" min="12" style="1" width="62"/>
    <col collapsed="false" customWidth="true" hidden="false" outlineLevel="0" max="13" min="13" style="1" width="26"/>
    <col collapsed="false" customWidth="true" hidden="false" outlineLevel="0" max="14" min="14" style="1" width="17"/>
    <col collapsed="false" customWidth="true" hidden="false" outlineLevel="0" max="15" min="15" style="1" width="18"/>
    <col collapsed="false" customWidth="true" hidden="false" outlineLevel="0" max="16" min="16" style="1" width="42"/>
  </cols>
  <sheetData>
    <row r="1" customFormat="false" ht="36" hidden="false" customHeight="true" outlineLevel="0" collapsed="false">
      <c r="A1" s="5" t="s">
        <v>238</v>
      </c>
      <c r="B1" s="5" t="s">
        <v>136</v>
      </c>
      <c r="C1" s="5" t="s">
        <v>137</v>
      </c>
      <c r="D1" s="5" t="s">
        <v>239</v>
      </c>
      <c r="E1" s="5" t="s">
        <v>139</v>
      </c>
      <c r="F1" s="5" t="s">
        <v>140</v>
      </c>
      <c r="G1" s="5" t="s">
        <v>34</v>
      </c>
      <c r="H1" s="5" t="s">
        <v>33</v>
      </c>
      <c r="I1" s="5" t="s">
        <v>37</v>
      </c>
      <c r="J1" s="5" t="s">
        <v>36</v>
      </c>
      <c r="K1" s="5" t="s">
        <v>72</v>
      </c>
      <c r="L1" s="5" t="s">
        <v>74</v>
      </c>
      <c r="M1" s="5" t="s">
        <v>75</v>
      </c>
      <c r="N1" s="15" t="s">
        <v>240</v>
      </c>
      <c r="O1" s="15" t="s">
        <v>241</v>
      </c>
      <c r="P1" s="5" t="s">
        <v>242</v>
      </c>
      <c r="Q1" s="15" t="s">
        <v>243</v>
      </c>
    </row>
    <row r="2" customFormat="false" ht="15" hidden="false" customHeight="true" outlineLevel="0" collapsed="false">
      <c r="A2" s="20" t="s">
        <v>395</v>
      </c>
      <c r="B2" s="20" t="s">
        <v>160</v>
      </c>
      <c r="C2" s="19" t="str">
        <f aca="false">IFERROR(INDEX('قائمة الوحدات'!$B$2:$B$41,MATCH($B2,'قائمة الوحدات'!$A$2:$A$41,0)),"")</f>
        <v>EXE</v>
      </c>
      <c r="D2" s="18" t="str">
        <f aca="false">IFERROR(INDEX('قائمة الوحدات'!$C$2:$C$41,MATCH($B2,'قائمة الوحدات'!$A$2:$A$41,0)),"")</f>
        <v>الشؤون التنفيذية</v>
      </c>
      <c r="E2" s="18" t="str">
        <f aca="false">IFERROR(INDEX('قائمة الوحدات'!$D$2:$D$41,MATCH($B2,'قائمة الوحدات'!$A$2:$A$41,0)),"")</f>
        <v>وكالة الشؤون الفنية</v>
      </c>
      <c r="F2" s="18" t="str">
        <f aca="false">IFERROR(INDEX('قائمة الوحدات'!$F$2:$F$41,MATCH($B2,'قائمة الوحدات'!$A$2:$A$41,0)),"")</f>
        <v>الإدارة العامة للتخطيط والدراسات</v>
      </c>
      <c r="G2" s="20" t="s">
        <v>44</v>
      </c>
      <c r="H2" s="18" t="str">
        <f aca="false">IFERROR(INDEX(المرجع!$A$2:$A$19,MATCH($G2,المرجع!$B$2:$B$19,0)),"")</f>
        <v>التصميم</v>
      </c>
      <c r="I2" s="20" t="s">
        <v>46</v>
      </c>
      <c r="J2" s="18" t="str">
        <f aca="false">IFERROR(INDEX(المرجع!$D$2:$D$19,MATCH($I2,المرجع!$E$2:$E$19,0)),"")</f>
        <v>الدور</v>
      </c>
      <c r="K2" s="20" t="s">
        <v>76</v>
      </c>
      <c r="L2" s="21" t="str">
        <f aca="false">IFERROR(INDEX('نقاط التحقق'!$G$2:$G$31,MATCH($K2,'نقاط التحقق'!$A$2:$A$31,0))&amp;"","")</f>
        <v>دور مفصل للوحدة التنظيمية</v>
      </c>
      <c r="M2" s="18" t="str">
        <f aca="false">IFERROR(INDEX('نقاط التحقق'!$H$2:$H$31,MATCH($K2,'نقاط التحقق'!$A$2:$A$31,0))&amp;"","")</f>
        <v/>
      </c>
      <c r="N2" s="17" t="n">
        <v>87</v>
      </c>
      <c r="O2" s="17" t="n">
        <v>87</v>
      </c>
      <c r="P2" s="19" t="str">
        <f aca="false">IF($N2="","غير مقيّمة",IF($N2&gt;المرجع!$K$3,"مستوفاة بشكل متقدم",IF($N2&lt;=المرجع!$K$2,"مستوفاة بشكل أولي","مستوفاة بشكل جزئي")))</f>
        <v>مستوفاة بشكل متقدم</v>
      </c>
      <c r="Q2" s="22"/>
    </row>
    <row r="3" customFormat="false" ht="15" hidden="false" customHeight="true" outlineLevel="0" collapsed="false">
      <c r="A3" s="20" t="s">
        <v>396</v>
      </c>
      <c r="B3" s="20" t="s">
        <v>160</v>
      </c>
      <c r="C3" s="19" t="str">
        <f aca="false">IFERROR(INDEX('قائمة الوحدات'!$B$2:$B$41,MATCH($B3,'قائمة الوحدات'!$A$2:$A$41,0)),"")</f>
        <v>EXE</v>
      </c>
      <c r="D3" s="18" t="str">
        <f aca="false">IFERROR(INDEX('قائمة الوحدات'!$C$2:$C$41,MATCH($B3,'قائمة الوحدات'!$A$2:$A$41,0)),"")</f>
        <v>الشؤون التنفيذية</v>
      </c>
      <c r="E3" s="18" t="str">
        <f aca="false">IFERROR(INDEX('قائمة الوحدات'!$D$2:$D$41,MATCH($B3,'قائمة الوحدات'!$A$2:$A$41,0)),"")</f>
        <v>وكالة الشؤون الفنية</v>
      </c>
      <c r="F3" s="18" t="str">
        <f aca="false">IFERROR(INDEX('قائمة الوحدات'!$F$2:$F$41,MATCH($B3,'قائمة الوحدات'!$A$2:$A$41,0)),"")</f>
        <v>الإدارة العامة للتخطيط والدراسات</v>
      </c>
      <c r="G3" s="20" t="s">
        <v>44</v>
      </c>
      <c r="H3" s="18" t="str">
        <f aca="false">IFERROR(INDEX(المرجع!$A$2:$A$19,MATCH($G3,المرجع!$B$2:$B$19,0)),"")</f>
        <v>التصميم</v>
      </c>
      <c r="I3" s="20" t="s">
        <v>49</v>
      </c>
      <c r="J3" s="18" t="str">
        <f aca="false">IFERROR(INDEX(المرجع!$D$2:$D$19,MATCH($I3,المرجع!$E$2:$E$19,0)),"")</f>
        <v>الأهداف ومؤشرات الأداء</v>
      </c>
      <c r="K3" s="20" t="s">
        <v>78</v>
      </c>
      <c r="L3" s="21" t="str">
        <f aca="false">IFERROR(INDEX('نقاط التحقق'!$G$2:$G$31,MATCH($K3,'نقاط التحقق'!$A$2:$A$31,0))&amp;"","")</f>
        <v>أهداف محددة للوحدة التنظيمية وربطها بمؤشرات أداء لقياسها</v>
      </c>
      <c r="M3" s="18" t="str">
        <f aca="false">IFERROR(INDEX('نقاط التحقق'!$H$2:$H$31,MATCH($K3,'نقاط التحقق'!$A$2:$A$31,0))&amp;"","")</f>
        <v/>
      </c>
      <c r="N3" s="17" t="n">
        <v>80</v>
      </c>
      <c r="O3" s="17" t="n">
        <v>100</v>
      </c>
      <c r="P3" s="19" t="str">
        <f aca="false">IF($N3="","غير مقيّمة",IF($N3&gt;المرجع!$K$3,"مستوفاة بشكل متقدم",IF($N3&lt;=المرجع!$K$2,"مستوفاة بشكل أولي","مستوفاة بشكل جزئي")))</f>
        <v>مستوفاة بشكل متقدم</v>
      </c>
      <c r="Q3" s="22"/>
    </row>
    <row r="4" customFormat="false" ht="15" hidden="false" customHeight="true" outlineLevel="0" collapsed="false">
      <c r="A4" s="20" t="s">
        <v>397</v>
      </c>
      <c r="B4" s="20" t="s">
        <v>160</v>
      </c>
      <c r="C4" s="19" t="str">
        <f aca="false">IFERROR(INDEX('قائمة الوحدات'!$B$2:$B$41,MATCH($B4,'قائمة الوحدات'!$A$2:$A$41,0)),"")</f>
        <v>EXE</v>
      </c>
      <c r="D4" s="18" t="str">
        <f aca="false">IFERROR(INDEX('قائمة الوحدات'!$C$2:$C$41,MATCH($B4,'قائمة الوحدات'!$A$2:$A$41,0)),"")</f>
        <v>الشؤون التنفيذية</v>
      </c>
      <c r="E4" s="18" t="str">
        <f aca="false">IFERROR(INDEX('قائمة الوحدات'!$D$2:$D$41,MATCH($B4,'قائمة الوحدات'!$A$2:$A$41,0)),"")</f>
        <v>وكالة الشؤون الفنية</v>
      </c>
      <c r="F4" s="18" t="str">
        <f aca="false">IFERROR(INDEX('قائمة الوحدات'!$F$2:$F$41,MATCH($B4,'قائمة الوحدات'!$A$2:$A$41,0)),"")</f>
        <v>الإدارة العامة للتخطيط والدراسات</v>
      </c>
      <c r="G4" s="20" t="s">
        <v>44</v>
      </c>
      <c r="H4" s="18" t="str">
        <f aca="false">IFERROR(INDEX(المرجع!$A$2:$A$19,MATCH($G4,المرجع!$B$2:$B$19,0)),"")</f>
        <v>التصميم</v>
      </c>
      <c r="I4" s="20" t="s">
        <v>49</v>
      </c>
      <c r="J4" s="18" t="str">
        <f aca="false">IFERROR(INDEX(المرجع!$D$2:$D$19,MATCH($I4,المرجع!$E$2:$E$19,0)),"")</f>
        <v>الأهداف ومؤشرات الأداء</v>
      </c>
      <c r="K4" s="20" t="s">
        <v>80</v>
      </c>
      <c r="L4" s="21" t="str">
        <f aca="false">IFERROR(INDEX('نقاط التحقق'!$G$2:$G$31,MATCH($K4,'نقاط التحقق'!$A$2:$A$31,0))&amp;"","")</f>
        <v>مؤشرات أداء الوحدة التنظيمية</v>
      </c>
      <c r="M4" s="18" t="str">
        <f aca="false">IFERROR(INDEX('نقاط التحقق'!$H$2:$H$31,MATCH($K4,'نقاط التحقق'!$A$2:$A$31,0))&amp;"","")</f>
        <v/>
      </c>
      <c r="N4" s="17" t="n">
        <v>85</v>
      </c>
      <c r="O4" s="17" t="n">
        <v>90</v>
      </c>
      <c r="P4" s="19" t="str">
        <f aca="false">IF($N4="","غير مقيّمة",IF($N4&gt;المرجع!$K$3,"مستوفاة بشكل متقدم",IF($N4&lt;=المرجع!$K$2,"مستوفاة بشكل أولي","مستوفاة بشكل جزئي")))</f>
        <v>مستوفاة بشكل متقدم</v>
      </c>
      <c r="Q4" s="22"/>
    </row>
    <row r="5" customFormat="false" ht="15" hidden="false" customHeight="true" outlineLevel="0" collapsed="false">
      <c r="A5" s="20" t="s">
        <v>398</v>
      </c>
      <c r="B5" s="20" t="s">
        <v>160</v>
      </c>
      <c r="C5" s="19" t="str">
        <f aca="false">IFERROR(INDEX('قائمة الوحدات'!$B$2:$B$41,MATCH($B5,'قائمة الوحدات'!$A$2:$A$41,0)),"")</f>
        <v>EXE</v>
      </c>
      <c r="D5" s="18" t="str">
        <f aca="false">IFERROR(INDEX('قائمة الوحدات'!$C$2:$C$41,MATCH($B5,'قائمة الوحدات'!$A$2:$A$41,0)),"")</f>
        <v>الشؤون التنفيذية</v>
      </c>
      <c r="E5" s="18" t="str">
        <f aca="false">IFERROR(INDEX('قائمة الوحدات'!$D$2:$D$41,MATCH($B5,'قائمة الوحدات'!$A$2:$A$41,0)),"")</f>
        <v>وكالة الشؤون الفنية</v>
      </c>
      <c r="F5" s="18" t="str">
        <f aca="false">IFERROR(INDEX('قائمة الوحدات'!$F$2:$F$41,MATCH($B5,'قائمة الوحدات'!$A$2:$A$41,0)),"")</f>
        <v>الإدارة العامة للتخطيط والدراسات</v>
      </c>
      <c r="G5" s="20" t="s">
        <v>44</v>
      </c>
      <c r="H5" s="18" t="str">
        <f aca="false">IFERROR(INDEX(المرجع!$A$2:$A$19,MATCH($G5,المرجع!$B$2:$B$19,0)),"")</f>
        <v>التصميم</v>
      </c>
      <c r="I5" s="20" t="s">
        <v>52</v>
      </c>
      <c r="J5" s="18" t="str">
        <f aca="false">IFERROR(INDEX(المرجع!$D$2:$D$19,MATCH($I5,المرجع!$E$2:$E$19,0)),"")</f>
        <v>الحوكمة</v>
      </c>
      <c r="K5" s="20" t="s">
        <v>82</v>
      </c>
      <c r="L5" s="21" t="str">
        <f aca="false">IFERROR(INDEX('نقاط التحقق'!$G$2:$G$31,MATCH($K5,'نقاط التحقق'!$A$2:$A$31,0))&amp;"","")</f>
        <v>تفصيل القرارات ومصفوفة الصلاحيات واللجان ذات العلاقة لاعتماد مخرجات الوحدة التنظيمية</v>
      </c>
      <c r="M5" s="18" t="str">
        <f aca="false">IFERROR(INDEX('نقاط التحقق'!$H$2:$H$31,MATCH($K5,'نقاط التحقق'!$A$2:$A$31,0))&amp;"","")</f>
        <v/>
      </c>
      <c r="N5" s="17" t="n">
        <v>93</v>
      </c>
      <c r="O5" s="17" t="n">
        <v>93</v>
      </c>
      <c r="P5" s="19" t="str">
        <f aca="false">IF($N5="","غير مقيّمة",IF($N5&gt;المرجع!$K$3,"مستوفاة بشكل متقدم",IF($N5&lt;=المرجع!$K$2,"مستوفاة بشكل أولي","مستوفاة بشكل جزئي")))</f>
        <v>مستوفاة بشكل متقدم</v>
      </c>
      <c r="Q5" s="22"/>
    </row>
    <row r="6" customFormat="false" ht="15" hidden="false" customHeight="true" outlineLevel="0" collapsed="false">
      <c r="A6" s="20" t="s">
        <v>399</v>
      </c>
      <c r="B6" s="20" t="s">
        <v>160</v>
      </c>
      <c r="C6" s="19" t="str">
        <f aca="false">IFERROR(INDEX('قائمة الوحدات'!$B$2:$B$41,MATCH($B6,'قائمة الوحدات'!$A$2:$A$41,0)),"")</f>
        <v>EXE</v>
      </c>
      <c r="D6" s="18" t="str">
        <f aca="false">IFERROR(INDEX('قائمة الوحدات'!$C$2:$C$41,MATCH($B6,'قائمة الوحدات'!$A$2:$A$41,0)),"")</f>
        <v>الشؤون التنفيذية</v>
      </c>
      <c r="E6" s="18" t="str">
        <f aca="false">IFERROR(INDEX('قائمة الوحدات'!$D$2:$D$41,MATCH($B6,'قائمة الوحدات'!$A$2:$A$41,0)),"")</f>
        <v>وكالة الشؤون الفنية</v>
      </c>
      <c r="F6" s="18" t="str">
        <f aca="false">IFERROR(INDEX('قائمة الوحدات'!$F$2:$F$41,MATCH($B6,'قائمة الوحدات'!$A$2:$A$41,0)),"")</f>
        <v>الإدارة العامة للتخطيط والدراسات</v>
      </c>
      <c r="G6" s="20" t="s">
        <v>44</v>
      </c>
      <c r="H6" s="18" t="str">
        <f aca="false">IFERROR(INDEX(المرجع!$A$2:$A$19,MATCH($G6,المرجع!$B$2:$B$19,0)),"")</f>
        <v>التصميم</v>
      </c>
      <c r="I6" s="20" t="s">
        <v>55</v>
      </c>
      <c r="J6" s="18" t="str">
        <f aca="false">IFERROR(INDEX(المرجع!$D$2:$D$19,MATCH($I6,المرجع!$E$2:$E$19,0)),"")</f>
        <v>التنظيم</v>
      </c>
      <c r="K6" s="20" t="s">
        <v>84</v>
      </c>
      <c r="L6" s="21" t="str">
        <f aca="false">IFERROR(INDEX('نقاط التحقق'!$G$2:$G$31,MATCH($K6,'نقاط التحقق'!$A$2:$A$31,0))&amp;"","")</f>
        <v>تطوير الأدوار والمسؤوليات للوحدة التنظيمية وتفصيل الهيكل التنظيمي</v>
      </c>
      <c r="M6" s="18" t="str">
        <f aca="false">IFERROR(INDEX('نقاط التحقق'!$H$2:$H$31,MATCH($K6,'نقاط التحقق'!$A$2:$A$31,0))&amp;"","")</f>
        <v/>
      </c>
      <c r="N6" s="17" t="n">
        <v>74</v>
      </c>
      <c r="O6" s="17" t="n">
        <v>100</v>
      </c>
      <c r="P6" s="19" t="str">
        <f aca="false">IF($N6="","غير مقيّمة",IF($N6&gt;المرجع!$K$3,"مستوفاة بشكل متقدم",IF($N6&lt;=المرجع!$K$2,"مستوفاة بشكل أولي","مستوفاة بشكل جزئي")))</f>
        <v>مستوفاة بشكل متقدم</v>
      </c>
      <c r="Q6" s="22"/>
    </row>
    <row r="7" customFormat="false" ht="15" hidden="false" customHeight="true" outlineLevel="0" collapsed="false">
      <c r="A7" s="20" t="s">
        <v>400</v>
      </c>
      <c r="B7" s="20" t="s">
        <v>160</v>
      </c>
      <c r="C7" s="19" t="str">
        <f aca="false">IFERROR(INDEX('قائمة الوحدات'!$B$2:$B$41,MATCH($B7,'قائمة الوحدات'!$A$2:$A$41,0)),"")</f>
        <v>EXE</v>
      </c>
      <c r="D7" s="18" t="str">
        <f aca="false">IFERROR(INDEX('قائمة الوحدات'!$C$2:$C$41,MATCH($B7,'قائمة الوحدات'!$A$2:$A$41,0)),"")</f>
        <v>الشؤون التنفيذية</v>
      </c>
      <c r="E7" s="18" t="str">
        <f aca="false">IFERROR(INDEX('قائمة الوحدات'!$D$2:$D$41,MATCH($B7,'قائمة الوحدات'!$A$2:$A$41,0)),"")</f>
        <v>وكالة الشؤون الفنية</v>
      </c>
      <c r="F7" s="18" t="str">
        <f aca="false">IFERROR(INDEX('قائمة الوحدات'!$F$2:$F$41,MATCH($B7,'قائمة الوحدات'!$A$2:$A$41,0)),"")</f>
        <v>الإدارة العامة للتخطيط والدراسات</v>
      </c>
      <c r="G7" s="20" t="s">
        <v>44</v>
      </c>
      <c r="H7" s="18" t="str">
        <f aca="false">IFERROR(INDEX(المرجع!$A$2:$A$19,MATCH($G7,المرجع!$B$2:$B$19,0)),"")</f>
        <v>التصميم</v>
      </c>
      <c r="I7" s="20" t="s">
        <v>57</v>
      </c>
      <c r="J7" s="18" t="str">
        <f aca="false">IFERROR(INDEX(المرجع!$D$2:$D$19,MATCH($I7,المرجع!$E$2:$E$19,0)),"")</f>
        <v>الموارد</v>
      </c>
      <c r="K7" s="20" t="s">
        <v>86</v>
      </c>
      <c r="L7" s="21" t="str">
        <f aca="false">IFERROR(INDEX('نقاط التحقق'!$G$2:$G$31,MATCH($K7,'نقاط التحقق'!$A$2:$A$31,0))&amp;"","")</f>
        <v>تفصيل احتياج الموارد البشرية للوحدة التنظيمية</v>
      </c>
      <c r="M7" s="18" t="str">
        <f aca="false">IFERROR(INDEX('نقاط التحقق'!$H$2:$H$31,MATCH($K7,'نقاط التحقق'!$A$2:$A$31,0))&amp;"","")</f>
        <v/>
      </c>
      <c r="N7" s="17" t="n">
        <v>68</v>
      </c>
      <c r="O7" s="17" t="n">
        <v>85</v>
      </c>
      <c r="P7" s="19" t="str">
        <f aca="false">IF($N7="","غير مقيّمة",IF($N7&gt;المرجع!$K$3,"مستوفاة بشكل متقدم",IF($N7&lt;=المرجع!$K$2,"مستوفاة بشكل أولي","مستوفاة بشكل جزئي")))</f>
        <v>مستوفاة بشكل جزئي</v>
      </c>
      <c r="Q7" s="22"/>
    </row>
    <row r="8" customFormat="false" ht="15" hidden="false" customHeight="true" outlineLevel="0" collapsed="false">
      <c r="A8" s="20" t="s">
        <v>401</v>
      </c>
      <c r="B8" s="20" t="s">
        <v>160</v>
      </c>
      <c r="C8" s="19" t="str">
        <f aca="false">IFERROR(INDEX('قائمة الوحدات'!$B$2:$B$41,MATCH($B8,'قائمة الوحدات'!$A$2:$A$41,0)),"")</f>
        <v>EXE</v>
      </c>
      <c r="D8" s="18" t="str">
        <f aca="false">IFERROR(INDEX('قائمة الوحدات'!$C$2:$C$41,MATCH($B8,'قائمة الوحدات'!$A$2:$A$41,0)),"")</f>
        <v>الشؤون التنفيذية</v>
      </c>
      <c r="E8" s="18" t="str">
        <f aca="false">IFERROR(INDEX('قائمة الوحدات'!$D$2:$D$41,MATCH($B8,'قائمة الوحدات'!$A$2:$A$41,0)),"")</f>
        <v>وكالة الشؤون الفنية</v>
      </c>
      <c r="F8" s="18" t="str">
        <f aca="false">IFERROR(INDEX('قائمة الوحدات'!$F$2:$F$41,MATCH($B8,'قائمة الوحدات'!$A$2:$A$41,0)),"")</f>
        <v>الإدارة العامة للتخطيط والدراسات</v>
      </c>
      <c r="G8" s="20" t="s">
        <v>44</v>
      </c>
      <c r="H8" s="18" t="str">
        <f aca="false">IFERROR(INDEX(المرجع!$A$2:$A$19,MATCH($G8,المرجع!$B$2:$B$19,0)),"")</f>
        <v>التصميم</v>
      </c>
      <c r="I8" s="20" t="s">
        <v>60</v>
      </c>
      <c r="J8" s="18" t="str">
        <f aca="false">IFERROR(INDEX(المرجع!$D$2:$D$19,MATCH($I8,المرجع!$E$2:$E$19,0)),"")</f>
        <v>الإجراءات</v>
      </c>
      <c r="K8" s="20" t="s">
        <v>88</v>
      </c>
      <c r="L8" s="21" t="str">
        <f aca="false">IFERROR(INDEX('نقاط التحقق'!$G$2:$G$31,MATCH($K8,'نقاط التحقق'!$A$2:$A$31,0))&amp;"","")</f>
        <v>تفصيل المخرجات إلى إجراءات عالية المستوى</v>
      </c>
      <c r="M8" s="18" t="str">
        <f aca="false">IFERROR(INDEX('نقاط التحقق'!$H$2:$H$31,MATCH($K8,'نقاط التحقق'!$A$2:$A$31,0))&amp;"","")</f>
        <v/>
      </c>
      <c r="N8" s="17" t="n">
        <v>91</v>
      </c>
      <c r="O8" s="17" t="n">
        <v>95</v>
      </c>
      <c r="P8" s="19" t="str">
        <f aca="false">IF($N8="","غير مقيّمة",IF($N8&gt;المرجع!$K$3,"مستوفاة بشكل متقدم",IF($N8&lt;=المرجع!$K$2,"مستوفاة بشكل أولي","مستوفاة بشكل جزئي")))</f>
        <v>مستوفاة بشكل متقدم</v>
      </c>
      <c r="Q8" s="22"/>
    </row>
    <row r="9" customFormat="false" ht="15" hidden="false" customHeight="true" outlineLevel="0" collapsed="false">
      <c r="A9" s="20" t="s">
        <v>402</v>
      </c>
      <c r="B9" s="20" t="s">
        <v>160</v>
      </c>
      <c r="C9" s="19" t="str">
        <f aca="false">IFERROR(INDEX('قائمة الوحدات'!$B$2:$B$41,MATCH($B9,'قائمة الوحدات'!$A$2:$A$41,0)),"")</f>
        <v>EXE</v>
      </c>
      <c r="D9" s="18" t="str">
        <f aca="false">IFERROR(INDEX('قائمة الوحدات'!$C$2:$C$41,MATCH($B9,'قائمة الوحدات'!$A$2:$A$41,0)),"")</f>
        <v>الشؤون التنفيذية</v>
      </c>
      <c r="E9" s="18" t="str">
        <f aca="false">IFERROR(INDEX('قائمة الوحدات'!$D$2:$D$41,MATCH($B9,'قائمة الوحدات'!$A$2:$A$41,0)),"")</f>
        <v>وكالة الشؤون الفنية</v>
      </c>
      <c r="F9" s="18" t="str">
        <f aca="false">IFERROR(INDEX('قائمة الوحدات'!$F$2:$F$41,MATCH($B9,'قائمة الوحدات'!$A$2:$A$41,0)),"")</f>
        <v>الإدارة العامة للتخطيط والدراسات</v>
      </c>
      <c r="G9" s="20" t="s">
        <v>62</v>
      </c>
      <c r="H9" s="18" t="str">
        <f aca="false">IFERROR(INDEX(المرجع!$A$2:$A$19,MATCH($G9,المرجع!$B$2:$B$19,0)),"")</f>
        <v>البناء المؤسسي</v>
      </c>
      <c r="I9" s="20" t="s">
        <v>46</v>
      </c>
      <c r="J9" s="18" t="str">
        <f aca="false">IFERROR(INDEX(المرجع!$D$2:$D$19,MATCH($I9,المرجع!$E$2:$E$19,0)),"")</f>
        <v>الدور</v>
      </c>
      <c r="K9" s="20" t="s">
        <v>90</v>
      </c>
      <c r="L9" s="21" t="str">
        <f aca="false">IFERROR(INDEX('نقاط التحقق'!$G$2:$G$31,MATCH($K9,'نقاط التحقق'!$A$2:$A$31,0))&amp;"","")</f>
        <v>دور معتمد للوحدة التنظيمية</v>
      </c>
      <c r="M9" s="18" t="str">
        <f aca="false">IFERROR(INDEX('نقاط التحقق'!$H$2:$H$31,MATCH($K9,'نقاط التحقق'!$A$2:$A$31,0))&amp;"","")</f>
        <v/>
      </c>
      <c r="N9" s="17" t="n">
        <v>49</v>
      </c>
      <c r="O9" s="17" t="n">
        <v>95</v>
      </c>
      <c r="P9" s="19" t="str">
        <f aca="false">IF($N9="","غير مقيّمة",IF($N9&gt;المرجع!$K$3,"مستوفاة بشكل متقدم",IF($N9&lt;=المرجع!$K$2,"مستوفاة بشكل أولي","مستوفاة بشكل جزئي")))</f>
        <v>مستوفاة بشكل جزئي</v>
      </c>
      <c r="Q9" s="22"/>
    </row>
    <row r="10" customFormat="false" ht="15" hidden="false" customHeight="true" outlineLevel="0" collapsed="false">
      <c r="A10" s="20" t="s">
        <v>403</v>
      </c>
      <c r="B10" s="20" t="s">
        <v>160</v>
      </c>
      <c r="C10" s="19" t="str">
        <f aca="false">IFERROR(INDEX('قائمة الوحدات'!$B$2:$B$41,MATCH($B10,'قائمة الوحدات'!$A$2:$A$41,0)),"")</f>
        <v>EXE</v>
      </c>
      <c r="D10" s="18" t="str">
        <f aca="false">IFERROR(INDEX('قائمة الوحدات'!$C$2:$C$41,MATCH($B10,'قائمة الوحدات'!$A$2:$A$41,0)),"")</f>
        <v>الشؤون التنفيذية</v>
      </c>
      <c r="E10" s="18" t="str">
        <f aca="false">IFERROR(INDEX('قائمة الوحدات'!$D$2:$D$41,MATCH($B10,'قائمة الوحدات'!$A$2:$A$41,0)),"")</f>
        <v>وكالة الشؤون الفنية</v>
      </c>
      <c r="F10" s="18" t="str">
        <f aca="false">IFERROR(INDEX('قائمة الوحدات'!$F$2:$F$41,MATCH($B10,'قائمة الوحدات'!$A$2:$A$41,0)),"")</f>
        <v>الإدارة العامة للتخطيط والدراسات</v>
      </c>
      <c r="G10" s="20" t="s">
        <v>62</v>
      </c>
      <c r="H10" s="18" t="str">
        <f aca="false">IFERROR(INDEX(المرجع!$A$2:$A$19,MATCH($G10,المرجع!$B$2:$B$19,0)),"")</f>
        <v>البناء المؤسسي</v>
      </c>
      <c r="I10" s="20" t="s">
        <v>49</v>
      </c>
      <c r="J10" s="18" t="str">
        <f aca="false">IFERROR(INDEX(المرجع!$D$2:$D$19,MATCH($I10,المرجع!$E$2:$E$19,0)),"")</f>
        <v>الأهداف ومؤشرات الأداء</v>
      </c>
      <c r="K10" s="20" t="s">
        <v>92</v>
      </c>
      <c r="L10" s="21" t="str">
        <f aca="false">IFERROR(INDEX('نقاط التحقق'!$G$2:$G$31,MATCH($K10,'نقاط التحقق'!$A$2:$A$31,0))&amp;"","")</f>
        <v>أهداف تشغيلية معتمدة من صاحب الصلاحية</v>
      </c>
      <c r="M10" s="18" t="str">
        <f aca="false">IFERROR(INDEX('نقاط التحقق'!$H$2:$H$31,MATCH($K10,'نقاط التحقق'!$A$2:$A$31,0))&amp;"","")</f>
        <v/>
      </c>
      <c r="N10" s="17" t="n">
        <v>80</v>
      </c>
      <c r="O10" s="17" t="n">
        <v>100</v>
      </c>
      <c r="P10" s="19" t="str">
        <f aca="false">IF($N10="","غير مقيّمة",IF($N10&gt;المرجع!$K$3,"مستوفاة بشكل متقدم",IF($N10&lt;=المرجع!$K$2,"مستوفاة بشكل أولي","مستوفاة بشكل جزئي")))</f>
        <v>مستوفاة بشكل متقدم</v>
      </c>
      <c r="Q10" s="22"/>
    </row>
    <row r="11" customFormat="false" ht="15" hidden="false" customHeight="true" outlineLevel="0" collapsed="false">
      <c r="A11" s="20" t="s">
        <v>404</v>
      </c>
      <c r="B11" s="20" t="s">
        <v>160</v>
      </c>
      <c r="C11" s="19" t="str">
        <f aca="false">IFERROR(INDEX('قائمة الوحدات'!$B$2:$B$41,MATCH($B11,'قائمة الوحدات'!$A$2:$A$41,0)),"")</f>
        <v>EXE</v>
      </c>
      <c r="D11" s="18" t="str">
        <f aca="false">IFERROR(INDEX('قائمة الوحدات'!$C$2:$C$41,MATCH($B11,'قائمة الوحدات'!$A$2:$A$41,0)),"")</f>
        <v>الشؤون التنفيذية</v>
      </c>
      <c r="E11" s="18" t="str">
        <f aca="false">IFERROR(INDEX('قائمة الوحدات'!$D$2:$D$41,MATCH($B11,'قائمة الوحدات'!$A$2:$A$41,0)),"")</f>
        <v>وكالة الشؤون الفنية</v>
      </c>
      <c r="F11" s="18" t="str">
        <f aca="false">IFERROR(INDEX('قائمة الوحدات'!$F$2:$F$41,MATCH($B11,'قائمة الوحدات'!$A$2:$A$41,0)),"")</f>
        <v>الإدارة العامة للتخطيط والدراسات</v>
      </c>
      <c r="G11" s="20" t="s">
        <v>62</v>
      </c>
      <c r="H11" s="18" t="str">
        <f aca="false">IFERROR(INDEX(المرجع!$A$2:$A$19,MATCH($G11,المرجع!$B$2:$B$19,0)),"")</f>
        <v>البناء المؤسسي</v>
      </c>
      <c r="I11" s="20" t="s">
        <v>49</v>
      </c>
      <c r="J11" s="18" t="str">
        <f aca="false">IFERROR(INDEX(المرجع!$D$2:$D$19,MATCH($I11,المرجع!$E$2:$E$19,0)),"")</f>
        <v>الأهداف ومؤشرات الأداء</v>
      </c>
      <c r="K11" s="20" t="s">
        <v>94</v>
      </c>
      <c r="L11" s="21" t="str">
        <f aca="false">IFERROR(INDEX('نقاط التحقق'!$G$2:$G$31,MATCH($K11,'نقاط التحقق'!$A$2:$A$31,0))&amp;"","")</f>
        <v>نشر الأهداف التشغيلية على موظفي الوحدة التنظيمية</v>
      </c>
      <c r="M11" s="18" t="str">
        <f aca="false">IFERROR(INDEX('نقاط التحقق'!$H$2:$H$31,MATCH($K11,'نقاط التحقق'!$A$2:$A$31,0))&amp;"","")</f>
        <v/>
      </c>
      <c r="N11" s="17" t="n">
        <v>60</v>
      </c>
      <c r="O11" s="17" t="n">
        <v>95</v>
      </c>
      <c r="P11" s="19" t="str">
        <f aca="false">IF($N11="","غير مقيّمة",IF($N11&gt;المرجع!$K$3,"مستوفاة بشكل متقدم",IF($N11&lt;=المرجع!$K$2,"مستوفاة بشكل أولي","مستوفاة بشكل جزئي")))</f>
        <v>مستوفاة بشكل جزئي</v>
      </c>
      <c r="Q11" s="22"/>
    </row>
    <row r="12" customFormat="false" ht="15" hidden="false" customHeight="true" outlineLevel="0" collapsed="false">
      <c r="A12" s="20" t="s">
        <v>405</v>
      </c>
      <c r="B12" s="20" t="s">
        <v>160</v>
      </c>
      <c r="C12" s="19" t="str">
        <f aca="false">IFERROR(INDEX('قائمة الوحدات'!$B$2:$B$41,MATCH($B12,'قائمة الوحدات'!$A$2:$A$41,0)),"")</f>
        <v>EXE</v>
      </c>
      <c r="D12" s="18" t="str">
        <f aca="false">IFERROR(INDEX('قائمة الوحدات'!$C$2:$C$41,MATCH($B12,'قائمة الوحدات'!$A$2:$A$41,0)),"")</f>
        <v>الشؤون التنفيذية</v>
      </c>
      <c r="E12" s="18" t="str">
        <f aca="false">IFERROR(INDEX('قائمة الوحدات'!$D$2:$D$41,MATCH($B12,'قائمة الوحدات'!$A$2:$A$41,0)),"")</f>
        <v>وكالة الشؤون الفنية</v>
      </c>
      <c r="F12" s="18" t="str">
        <f aca="false">IFERROR(INDEX('قائمة الوحدات'!$F$2:$F$41,MATCH($B12,'قائمة الوحدات'!$A$2:$A$41,0)),"")</f>
        <v>الإدارة العامة للتخطيط والدراسات</v>
      </c>
      <c r="G12" s="20" t="s">
        <v>62</v>
      </c>
      <c r="H12" s="18" t="str">
        <f aca="false">IFERROR(INDEX(المرجع!$A$2:$A$19,MATCH($G12,المرجع!$B$2:$B$19,0)),"")</f>
        <v>البناء المؤسسي</v>
      </c>
      <c r="I12" s="20" t="s">
        <v>52</v>
      </c>
      <c r="J12" s="18" t="str">
        <f aca="false">IFERROR(INDEX(المرجع!$D$2:$D$19,MATCH($I12,المرجع!$E$2:$E$19,0)),"")</f>
        <v>الحوكمة</v>
      </c>
      <c r="K12" s="20" t="s">
        <v>96</v>
      </c>
      <c r="L12" s="21" t="str">
        <f aca="false">IFERROR(INDEX('نقاط التحقق'!$G$2:$G$31,MATCH($K12,'نقاط التحقق'!$A$2:$A$31,0))&amp;"","")</f>
        <v>مصفوفة صلاحيات معتمدة ومعممة على أصحاب المصلحة</v>
      </c>
      <c r="M12" s="18" t="str">
        <f aca="false">IFERROR(INDEX('نقاط التحقق'!$H$2:$H$31,MATCH($K12,'نقاط التحقق'!$A$2:$A$31,0))&amp;"","")</f>
        <v/>
      </c>
      <c r="N12" s="17" t="n">
        <v>90</v>
      </c>
      <c r="O12" s="17" t="n">
        <v>90</v>
      </c>
      <c r="P12" s="19" t="str">
        <f aca="false">IF($N12="","غير مقيّمة",IF($N12&gt;المرجع!$K$3,"مستوفاة بشكل متقدم",IF($N12&lt;=المرجع!$K$2,"مستوفاة بشكل أولي","مستوفاة بشكل جزئي")))</f>
        <v>مستوفاة بشكل متقدم</v>
      </c>
      <c r="Q12" s="22"/>
    </row>
    <row r="13" customFormat="false" ht="15" hidden="false" customHeight="true" outlineLevel="0" collapsed="false">
      <c r="A13" s="20" t="s">
        <v>406</v>
      </c>
      <c r="B13" s="20" t="s">
        <v>160</v>
      </c>
      <c r="C13" s="19" t="str">
        <f aca="false">IFERROR(INDEX('قائمة الوحدات'!$B$2:$B$41,MATCH($B13,'قائمة الوحدات'!$A$2:$A$41,0)),"")</f>
        <v>EXE</v>
      </c>
      <c r="D13" s="18" t="str">
        <f aca="false">IFERROR(INDEX('قائمة الوحدات'!$C$2:$C$41,MATCH($B13,'قائمة الوحدات'!$A$2:$A$41,0)),"")</f>
        <v>الشؤون التنفيذية</v>
      </c>
      <c r="E13" s="18" t="str">
        <f aca="false">IFERROR(INDEX('قائمة الوحدات'!$D$2:$D$41,MATCH($B13,'قائمة الوحدات'!$A$2:$A$41,0)),"")</f>
        <v>وكالة الشؤون الفنية</v>
      </c>
      <c r="F13" s="18" t="str">
        <f aca="false">IFERROR(INDEX('قائمة الوحدات'!$F$2:$F$41,MATCH($B13,'قائمة الوحدات'!$A$2:$A$41,0)),"")</f>
        <v>الإدارة العامة للتخطيط والدراسات</v>
      </c>
      <c r="G13" s="20" t="s">
        <v>62</v>
      </c>
      <c r="H13" s="18" t="str">
        <f aca="false">IFERROR(INDEX(المرجع!$A$2:$A$19,MATCH($G13,المرجع!$B$2:$B$19,0)),"")</f>
        <v>البناء المؤسسي</v>
      </c>
      <c r="I13" s="20" t="s">
        <v>52</v>
      </c>
      <c r="J13" s="18" t="str">
        <f aca="false">IFERROR(INDEX(المرجع!$D$2:$D$19,MATCH($I13,المرجع!$E$2:$E$19,0)),"")</f>
        <v>الحوكمة</v>
      </c>
      <c r="K13" s="20" t="s">
        <v>98</v>
      </c>
      <c r="L13" s="21" t="str">
        <f aca="false">IFERROR(INDEX('نقاط التحقق'!$G$2:$G$31,MATCH($K13,'نقاط التحقق'!$A$2:$A$31,0))&amp;"","")</f>
        <v>سياسات معتمدة للتي تملكها الوحدة التنظيمية</v>
      </c>
      <c r="M13" s="18" t="str">
        <f aca="false">IFERROR(INDEX('نقاط التحقق'!$H$2:$H$31,MATCH($K13,'نقاط التحقق'!$A$2:$A$31,0))&amp;"","")</f>
        <v/>
      </c>
      <c r="N13" s="17" t="n">
        <v>80</v>
      </c>
      <c r="O13" s="17" t="n">
        <v>85</v>
      </c>
      <c r="P13" s="19" t="str">
        <f aca="false">IF($N13="","غير مقيّمة",IF($N13&gt;المرجع!$K$3,"مستوفاة بشكل متقدم",IF($N13&lt;=المرجع!$K$2,"مستوفاة بشكل أولي","مستوفاة بشكل جزئي")))</f>
        <v>مستوفاة بشكل متقدم</v>
      </c>
      <c r="Q13" s="22"/>
    </row>
    <row r="14" customFormat="false" ht="15" hidden="false" customHeight="true" outlineLevel="0" collapsed="false">
      <c r="A14" s="20" t="s">
        <v>407</v>
      </c>
      <c r="B14" s="20" t="s">
        <v>160</v>
      </c>
      <c r="C14" s="19" t="str">
        <f aca="false">IFERROR(INDEX('قائمة الوحدات'!$B$2:$B$41,MATCH($B14,'قائمة الوحدات'!$A$2:$A$41,0)),"")</f>
        <v>EXE</v>
      </c>
      <c r="D14" s="18" t="str">
        <f aca="false">IFERROR(INDEX('قائمة الوحدات'!$C$2:$C$41,MATCH($B14,'قائمة الوحدات'!$A$2:$A$41,0)),"")</f>
        <v>الشؤون التنفيذية</v>
      </c>
      <c r="E14" s="18" t="str">
        <f aca="false">IFERROR(INDEX('قائمة الوحدات'!$D$2:$D$41,MATCH($B14,'قائمة الوحدات'!$A$2:$A$41,0)),"")</f>
        <v>وكالة الشؤون الفنية</v>
      </c>
      <c r="F14" s="18" t="str">
        <f aca="false">IFERROR(INDEX('قائمة الوحدات'!$F$2:$F$41,MATCH($B14,'قائمة الوحدات'!$A$2:$A$41,0)),"")</f>
        <v>الإدارة العامة للتخطيط والدراسات</v>
      </c>
      <c r="G14" s="20" t="s">
        <v>62</v>
      </c>
      <c r="H14" s="18" t="str">
        <f aca="false">IFERROR(INDEX(المرجع!$A$2:$A$19,MATCH($G14,المرجع!$B$2:$B$19,0)),"")</f>
        <v>البناء المؤسسي</v>
      </c>
      <c r="I14" s="20" t="s">
        <v>52</v>
      </c>
      <c r="J14" s="18" t="str">
        <f aca="false">IFERROR(INDEX(المرجع!$D$2:$D$19,MATCH($I14,المرجع!$E$2:$E$19,0)),"")</f>
        <v>الحوكمة</v>
      </c>
      <c r="K14" s="20" t="s">
        <v>100</v>
      </c>
      <c r="L14" s="21" t="str">
        <f aca="false">IFERROR(INDEX('نقاط التحقق'!$G$2:$G$31,MATCH($K14,'نقاط التحقق'!$A$2:$A$31,0))&amp;"","")</f>
        <v>قرار تشكيل معتمد للجان ذات العلاقة</v>
      </c>
      <c r="M14" s="18" t="str">
        <f aca="false">IFERROR(INDEX('نقاط التحقق'!$H$2:$H$31,MATCH($K14,'نقاط التحقق'!$A$2:$A$31,0))&amp;"","")</f>
        <v/>
      </c>
      <c r="N14" s="17" t="n">
        <v>75</v>
      </c>
      <c r="O14" s="17" t="n">
        <v>95</v>
      </c>
      <c r="P14" s="19" t="str">
        <f aca="false">IF($N14="","غير مقيّمة",IF($N14&gt;المرجع!$K$3,"مستوفاة بشكل متقدم",IF($N14&lt;=المرجع!$K$2,"مستوفاة بشكل أولي","مستوفاة بشكل جزئي")))</f>
        <v>مستوفاة بشكل متقدم</v>
      </c>
      <c r="Q14" s="22"/>
    </row>
    <row r="15" customFormat="false" ht="15" hidden="false" customHeight="true" outlineLevel="0" collapsed="false">
      <c r="A15" s="20" t="s">
        <v>408</v>
      </c>
      <c r="B15" s="20" t="s">
        <v>160</v>
      </c>
      <c r="C15" s="19" t="str">
        <f aca="false">IFERROR(INDEX('قائمة الوحدات'!$B$2:$B$41,MATCH($B15,'قائمة الوحدات'!$A$2:$A$41,0)),"")</f>
        <v>EXE</v>
      </c>
      <c r="D15" s="18" t="str">
        <f aca="false">IFERROR(INDEX('قائمة الوحدات'!$C$2:$C$41,MATCH($B15,'قائمة الوحدات'!$A$2:$A$41,0)),"")</f>
        <v>الشؤون التنفيذية</v>
      </c>
      <c r="E15" s="18" t="str">
        <f aca="false">IFERROR(INDEX('قائمة الوحدات'!$D$2:$D$41,MATCH($B15,'قائمة الوحدات'!$A$2:$A$41,0)),"")</f>
        <v>وكالة الشؤون الفنية</v>
      </c>
      <c r="F15" s="18" t="str">
        <f aca="false">IFERROR(INDEX('قائمة الوحدات'!$F$2:$F$41,MATCH($B15,'قائمة الوحدات'!$A$2:$A$41,0)),"")</f>
        <v>الإدارة العامة للتخطيط والدراسات</v>
      </c>
      <c r="G15" s="20" t="s">
        <v>62</v>
      </c>
      <c r="H15" s="18" t="str">
        <f aca="false">IFERROR(INDEX(المرجع!$A$2:$A$19,MATCH($G15,المرجع!$B$2:$B$19,0)),"")</f>
        <v>البناء المؤسسي</v>
      </c>
      <c r="I15" s="20" t="s">
        <v>55</v>
      </c>
      <c r="J15" s="18" t="str">
        <f aca="false">IFERROR(INDEX(المرجع!$D$2:$D$19,MATCH($I15,المرجع!$E$2:$E$19,0)),"")</f>
        <v>التنظيم</v>
      </c>
      <c r="K15" s="20" t="s">
        <v>102</v>
      </c>
      <c r="L15" s="21" t="str">
        <f aca="false">IFERROR(INDEX('نقاط التحقق'!$G$2:$G$31,MATCH($K15,'نقاط التحقق'!$A$2:$A$31,0))&amp;"","")</f>
        <v>هيكل تنظيمي معتمد من صاحب الصلاحية</v>
      </c>
      <c r="M15" s="18" t="str">
        <f aca="false">IFERROR(INDEX('نقاط التحقق'!$H$2:$H$31,MATCH($K15,'نقاط التحقق'!$A$2:$A$31,0))&amp;"","")</f>
        <v/>
      </c>
      <c r="N15" s="17" t="n">
        <v>70</v>
      </c>
      <c r="O15" s="17" t="n">
        <v>95</v>
      </c>
      <c r="P15" s="19" t="str">
        <f aca="false">IF($N15="","غير مقيّمة",IF($N15&gt;المرجع!$K$3,"مستوفاة بشكل متقدم",IF($N15&lt;=المرجع!$K$2,"مستوفاة بشكل أولي","مستوفاة بشكل جزئي")))</f>
        <v>مستوفاة بشكل جزئي</v>
      </c>
      <c r="Q15" s="22"/>
    </row>
    <row r="16" customFormat="false" ht="15" hidden="false" customHeight="true" outlineLevel="0" collapsed="false">
      <c r="A16" s="20" t="s">
        <v>409</v>
      </c>
      <c r="B16" s="20" t="s">
        <v>160</v>
      </c>
      <c r="C16" s="19" t="str">
        <f aca="false">IFERROR(INDEX('قائمة الوحدات'!$B$2:$B$41,MATCH($B16,'قائمة الوحدات'!$A$2:$A$41,0)),"")</f>
        <v>EXE</v>
      </c>
      <c r="D16" s="18" t="str">
        <f aca="false">IFERROR(INDEX('قائمة الوحدات'!$C$2:$C$41,MATCH($B16,'قائمة الوحدات'!$A$2:$A$41,0)),"")</f>
        <v>الشؤون التنفيذية</v>
      </c>
      <c r="E16" s="18" t="str">
        <f aca="false">IFERROR(INDEX('قائمة الوحدات'!$D$2:$D$41,MATCH($B16,'قائمة الوحدات'!$A$2:$A$41,0)),"")</f>
        <v>وكالة الشؤون الفنية</v>
      </c>
      <c r="F16" s="18" t="str">
        <f aca="false">IFERROR(INDEX('قائمة الوحدات'!$F$2:$F$41,MATCH($B16,'قائمة الوحدات'!$A$2:$A$41,0)),"")</f>
        <v>الإدارة العامة للتخطيط والدراسات</v>
      </c>
      <c r="G16" s="20" t="s">
        <v>62</v>
      </c>
      <c r="H16" s="18" t="str">
        <f aca="false">IFERROR(INDEX(المرجع!$A$2:$A$19,MATCH($G16,المرجع!$B$2:$B$19,0)),"")</f>
        <v>البناء المؤسسي</v>
      </c>
      <c r="I16" s="20" t="s">
        <v>55</v>
      </c>
      <c r="J16" s="18" t="str">
        <f aca="false">IFERROR(INDEX(المرجع!$D$2:$D$19,MATCH($I16,المرجع!$E$2:$E$19,0)),"")</f>
        <v>التنظيم</v>
      </c>
      <c r="K16" s="20" t="s">
        <v>104</v>
      </c>
      <c r="L16" s="21" t="str">
        <f aca="false">IFERROR(INDEX('نقاط التحقق'!$G$2:$G$31,MATCH($K16,'نقاط التحقق'!$A$2:$A$31,0))&amp;"","")</f>
        <v>هيكل تنظيمي منشأ على نظام القوى العاملة</v>
      </c>
      <c r="M16" s="18" t="str">
        <f aca="false">IFERROR(INDEX('نقاط التحقق'!$H$2:$H$31,MATCH($K16,'نقاط التحقق'!$A$2:$A$31,0))&amp;"","")</f>
        <v/>
      </c>
      <c r="N16" s="17" t="n">
        <v>75</v>
      </c>
      <c r="O16" s="17" t="n">
        <v>100</v>
      </c>
      <c r="P16" s="19" t="str">
        <f aca="false">IF($N16="","غير مقيّمة",IF($N16&gt;المرجع!$K$3,"مستوفاة بشكل متقدم",IF($N16&lt;=المرجع!$K$2,"مستوفاة بشكل أولي","مستوفاة بشكل جزئي")))</f>
        <v>مستوفاة بشكل متقدم</v>
      </c>
      <c r="Q16" s="22"/>
    </row>
    <row r="17" customFormat="false" ht="15" hidden="false" customHeight="true" outlineLevel="0" collapsed="false">
      <c r="A17" s="20" t="s">
        <v>410</v>
      </c>
      <c r="B17" s="20" t="s">
        <v>160</v>
      </c>
      <c r="C17" s="19" t="str">
        <f aca="false">IFERROR(INDEX('قائمة الوحدات'!$B$2:$B$41,MATCH($B17,'قائمة الوحدات'!$A$2:$A$41,0)),"")</f>
        <v>EXE</v>
      </c>
      <c r="D17" s="18" t="str">
        <f aca="false">IFERROR(INDEX('قائمة الوحدات'!$C$2:$C$41,MATCH($B17,'قائمة الوحدات'!$A$2:$A$41,0)),"")</f>
        <v>الشؤون التنفيذية</v>
      </c>
      <c r="E17" s="18" t="str">
        <f aca="false">IFERROR(INDEX('قائمة الوحدات'!$D$2:$D$41,MATCH($B17,'قائمة الوحدات'!$A$2:$A$41,0)),"")</f>
        <v>وكالة الشؤون الفنية</v>
      </c>
      <c r="F17" s="18" t="str">
        <f aca="false">IFERROR(INDEX('قائمة الوحدات'!$F$2:$F$41,MATCH($B17,'قائمة الوحدات'!$A$2:$A$41,0)),"")</f>
        <v>الإدارة العامة للتخطيط والدراسات</v>
      </c>
      <c r="G17" s="20" t="s">
        <v>62</v>
      </c>
      <c r="H17" s="18" t="str">
        <f aca="false">IFERROR(INDEX(المرجع!$A$2:$A$19,MATCH($G17,المرجع!$B$2:$B$19,0)),"")</f>
        <v>البناء المؤسسي</v>
      </c>
      <c r="I17" s="20" t="s">
        <v>55</v>
      </c>
      <c r="J17" s="18" t="str">
        <f aca="false">IFERROR(INDEX(المرجع!$D$2:$D$19,MATCH($I17,المرجع!$E$2:$E$19,0)),"")</f>
        <v>التنظيم</v>
      </c>
      <c r="K17" s="20" t="s">
        <v>106</v>
      </c>
      <c r="L17" s="21" t="str">
        <f aca="false">IFERROR(INDEX('نقاط التحقق'!$G$2:$G$31,MATCH($K17,'نقاط التحقق'!$A$2:$A$31,0))&amp;"","")</f>
        <v>الموظفون المحددون مسكّنون على الهيكل التنظيمي المستهدف</v>
      </c>
      <c r="M17" s="18" t="str">
        <f aca="false">IFERROR(INDEX('نقاط التحقق'!$H$2:$H$31,MATCH($K17,'نقاط التحقق'!$A$2:$A$31,0))&amp;"","")</f>
        <v/>
      </c>
      <c r="N17" s="17" t="n">
        <v>100</v>
      </c>
      <c r="O17" s="17" t="n">
        <v>100</v>
      </c>
      <c r="P17" s="19" t="str">
        <f aca="false">IF($N17="","غير مقيّمة",IF($N17&gt;المرجع!$K$3,"مستوفاة بشكل متقدم",IF($N17&lt;=المرجع!$K$2,"مستوفاة بشكل أولي","مستوفاة بشكل جزئي")))</f>
        <v>مستوفاة بشكل متقدم</v>
      </c>
      <c r="Q17" s="22"/>
    </row>
    <row r="18" customFormat="false" ht="15" hidden="false" customHeight="true" outlineLevel="0" collapsed="false">
      <c r="A18" s="20" t="s">
        <v>411</v>
      </c>
      <c r="B18" s="20" t="s">
        <v>160</v>
      </c>
      <c r="C18" s="19" t="str">
        <f aca="false">IFERROR(INDEX('قائمة الوحدات'!$B$2:$B$41,MATCH($B18,'قائمة الوحدات'!$A$2:$A$41,0)),"")</f>
        <v>EXE</v>
      </c>
      <c r="D18" s="18" t="str">
        <f aca="false">IFERROR(INDEX('قائمة الوحدات'!$C$2:$C$41,MATCH($B18,'قائمة الوحدات'!$A$2:$A$41,0)),"")</f>
        <v>الشؤون التنفيذية</v>
      </c>
      <c r="E18" s="18" t="str">
        <f aca="false">IFERROR(INDEX('قائمة الوحدات'!$D$2:$D$41,MATCH($B18,'قائمة الوحدات'!$A$2:$A$41,0)),"")</f>
        <v>وكالة الشؤون الفنية</v>
      </c>
      <c r="F18" s="18" t="str">
        <f aca="false">IFERROR(INDEX('قائمة الوحدات'!$F$2:$F$41,MATCH($B18,'قائمة الوحدات'!$A$2:$A$41,0)),"")</f>
        <v>الإدارة العامة للتخطيط والدراسات</v>
      </c>
      <c r="G18" s="20" t="s">
        <v>62</v>
      </c>
      <c r="H18" s="18" t="str">
        <f aca="false">IFERROR(INDEX(المرجع!$A$2:$A$19,MATCH($G18,المرجع!$B$2:$B$19,0)),"")</f>
        <v>البناء المؤسسي</v>
      </c>
      <c r="I18" s="20" t="s">
        <v>57</v>
      </c>
      <c r="J18" s="18" t="str">
        <f aca="false">IFERROR(INDEX(المرجع!$D$2:$D$19,MATCH($I18,المرجع!$E$2:$E$19,0)),"")</f>
        <v>الموارد</v>
      </c>
      <c r="K18" s="20" t="s">
        <v>108</v>
      </c>
      <c r="L18" s="21" t="str">
        <f aca="false">IFERROR(INDEX('نقاط التحقق'!$G$2:$G$31,MATCH($K18,'نقاط التحقق'!$A$2:$A$31,0))&amp;"","")</f>
        <v>مدير الوحدة التنظيمية والموظفون الرئيسيون معينون/ملحقون</v>
      </c>
      <c r="M18" s="18" t="str">
        <f aca="false">IFERROR(INDEX('نقاط التحقق'!$H$2:$H$31,MATCH($K18,'نقاط التحقق'!$A$2:$A$31,0))&amp;"","")</f>
        <v/>
      </c>
      <c r="N18" s="17" t="n">
        <v>35</v>
      </c>
      <c r="O18" s="17" t="n">
        <v>85</v>
      </c>
      <c r="P18" s="19" t="str">
        <f aca="false">IF($N18="","غير مقيّمة",IF($N18&gt;المرجع!$K$3,"مستوفاة بشكل متقدم",IF($N18&lt;=المرجع!$K$2,"مستوفاة بشكل أولي","مستوفاة بشكل جزئي")))</f>
        <v>مستوفاة بشكل جزئي</v>
      </c>
      <c r="Q18" s="22"/>
    </row>
    <row r="19" customFormat="false" ht="15" hidden="false" customHeight="true" outlineLevel="0" collapsed="false">
      <c r="A19" s="20" t="s">
        <v>412</v>
      </c>
      <c r="B19" s="20" t="s">
        <v>160</v>
      </c>
      <c r="C19" s="19" t="str">
        <f aca="false">IFERROR(INDEX('قائمة الوحدات'!$B$2:$B$41,MATCH($B19,'قائمة الوحدات'!$A$2:$A$41,0)),"")</f>
        <v>EXE</v>
      </c>
      <c r="D19" s="18" t="str">
        <f aca="false">IFERROR(INDEX('قائمة الوحدات'!$C$2:$C$41,MATCH($B19,'قائمة الوحدات'!$A$2:$A$41,0)),"")</f>
        <v>الشؤون التنفيذية</v>
      </c>
      <c r="E19" s="18" t="str">
        <f aca="false">IFERROR(INDEX('قائمة الوحدات'!$D$2:$D$41,MATCH($B19,'قائمة الوحدات'!$A$2:$A$41,0)),"")</f>
        <v>وكالة الشؤون الفنية</v>
      </c>
      <c r="F19" s="18" t="str">
        <f aca="false">IFERROR(INDEX('قائمة الوحدات'!$F$2:$F$41,MATCH($B19,'قائمة الوحدات'!$A$2:$A$41,0)),"")</f>
        <v>الإدارة العامة للتخطيط والدراسات</v>
      </c>
      <c r="G19" s="20" t="s">
        <v>62</v>
      </c>
      <c r="H19" s="18" t="str">
        <f aca="false">IFERROR(INDEX(المرجع!$A$2:$A$19,MATCH($G19,المرجع!$B$2:$B$19,0)),"")</f>
        <v>البناء المؤسسي</v>
      </c>
      <c r="I19" s="20" t="s">
        <v>57</v>
      </c>
      <c r="J19" s="18" t="str">
        <f aca="false">IFERROR(INDEX(المرجع!$D$2:$D$19,MATCH($I19,المرجع!$E$2:$E$19,0)),"")</f>
        <v>الموارد</v>
      </c>
      <c r="K19" s="20" t="s">
        <v>110</v>
      </c>
      <c r="L19" s="21" t="str">
        <f aca="false">IFERROR(INDEX('نقاط التحقق'!$G$2:$G$31,MATCH($K19,'نقاط التحقق'!$A$2:$A$31,0))&amp;"","")</f>
        <v>خطة توظيف وتدريب مستكملة</v>
      </c>
      <c r="M19" s="18" t="str">
        <f aca="false">IFERROR(INDEX('نقاط التحقق'!$H$2:$H$31,MATCH($K19,'نقاط التحقق'!$A$2:$A$31,0))&amp;"","")</f>
        <v/>
      </c>
      <c r="N19" s="17" t="n">
        <v>55</v>
      </c>
      <c r="O19" s="17" t="n">
        <v>100</v>
      </c>
      <c r="P19" s="19" t="str">
        <f aca="false">IF($N19="","غير مقيّمة",IF($N19&gt;المرجع!$K$3,"مستوفاة بشكل متقدم",IF($N19&lt;=المرجع!$K$2,"مستوفاة بشكل أولي","مستوفاة بشكل جزئي")))</f>
        <v>مستوفاة بشكل جزئي</v>
      </c>
      <c r="Q19" s="22"/>
    </row>
    <row r="20" customFormat="false" ht="15" hidden="false" customHeight="true" outlineLevel="0" collapsed="false">
      <c r="A20" s="20" t="s">
        <v>413</v>
      </c>
      <c r="B20" s="20" t="s">
        <v>160</v>
      </c>
      <c r="C20" s="19" t="str">
        <f aca="false">IFERROR(INDEX('قائمة الوحدات'!$B$2:$B$41,MATCH($B20,'قائمة الوحدات'!$A$2:$A$41,0)),"")</f>
        <v>EXE</v>
      </c>
      <c r="D20" s="18" t="str">
        <f aca="false">IFERROR(INDEX('قائمة الوحدات'!$C$2:$C$41,MATCH($B20,'قائمة الوحدات'!$A$2:$A$41,0)),"")</f>
        <v>الشؤون التنفيذية</v>
      </c>
      <c r="E20" s="18" t="str">
        <f aca="false">IFERROR(INDEX('قائمة الوحدات'!$D$2:$D$41,MATCH($B20,'قائمة الوحدات'!$A$2:$A$41,0)),"")</f>
        <v>وكالة الشؤون الفنية</v>
      </c>
      <c r="F20" s="18" t="str">
        <f aca="false">IFERROR(INDEX('قائمة الوحدات'!$F$2:$F$41,MATCH($B20,'قائمة الوحدات'!$A$2:$A$41,0)),"")</f>
        <v>الإدارة العامة للتخطيط والدراسات</v>
      </c>
      <c r="G20" s="20" t="s">
        <v>62</v>
      </c>
      <c r="H20" s="18" t="str">
        <f aca="false">IFERROR(INDEX(المرجع!$A$2:$A$19,MATCH($G20,المرجع!$B$2:$B$19,0)),"")</f>
        <v>البناء المؤسسي</v>
      </c>
      <c r="I20" s="20" t="s">
        <v>57</v>
      </c>
      <c r="J20" s="18" t="str">
        <f aca="false">IFERROR(INDEX(المرجع!$D$2:$D$19,MATCH($I20,المرجع!$E$2:$E$19,0)),"")</f>
        <v>الموارد</v>
      </c>
      <c r="K20" s="20" t="s">
        <v>112</v>
      </c>
      <c r="L20" s="21" t="str">
        <f aca="false">IFERROR(INDEX('نقاط التحقق'!$G$2:$G$31,MATCH($K20,'نقاط التحقق'!$A$2:$A$31,0))&amp;"","")</f>
        <v>وجود مساحات مكتبية كافية</v>
      </c>
      <c r="M20" s="18" t="str">
        <f aca="false">IFERROR(INDEX('نقاط التحقق'!$H$2:$H$31,MATCH($K20,'نقاط التحقق'!$A$2:$A$31,0))&amp;"","")</f>
        <v/>
      </c>
      <c r="N20" s="17" t="n">
        <v>55</v>
      </c>
      <c r="O20" s="17" t="n">
        <v>95</v>
      </c>
      <c r="P20" s="19" t="str">
        <f aca="false">IF($N20="","غير مقيّمة",IF($N20&gt;المرجع!$K$3,"مستوفاة بشكل متقدم",IF($N20&lt;=المرجع!$K$2,"مستوفاة بشكل أولي","مستوفاة بشكل جزئي")))</f>
        <v>مستوفاة بشكل جزئي</v>
      </c>
      <c r="Q20" s="22"/>
    </row>
    <row r="21" customFormat="false" ht="15" hidden="false" customHeight="true" outlineLevel="0" collapsed="false">
      <c r="A21" s="20" t="s">
        <v>414</v>
      </c>
      <c r="B21" s="20" t="s">
        <v>160</v>
      </c>
      <c r="C21" s="19" t="str">
        <f aca="false">IFERROR(INDEX('قائمة الوحدات'!$B$2:$B$41,MATCH($B21,'قائمة الوحدات'!$A$2:$A$41,0)),"")</f>
        <v>EXE</v>
      </c>
      <c r="D21" s="18" t="str">
        <f aca="false">IFERROR(INDEX('قائمة الوحدات'!$C$2:$C$41,MATCH($B21,'قائمة الوحدات'!$A$2:$A$41,0)),"")</f>
        <v>الشؤون التنفيذية</v>
      </c>
      <c r="E21" s="18" t="str">
        <f aca="false">IFERROR(INDEX('قائمة الوحدات'!$D$2:$D$41,MATCH($B21,'قائمة الوحدات'!$A$2:$A$41,0)),"")</f>
        <v>وكالة الشؤون الفنية</v>
      </c>
      <c r="F21" s="18" t="str">
        <f aca="false">IFERROR(INDEX('قائمة الوحدات'!$F$2:$F$41,MATCH($B21,'قائمة الوحدات'!$A$2:$A$41,0)),"")</f>
        <v>الإدارة العامة للتخطيط والدراسات</v>
      </c>
      <c r="G21" s="20" t="s">
        <v>62</v>
      </c>
      <c r="H21" s="18" t="str">
        <f aca="false">IFERROR(INDEX(المرجع!$A$2:$A$19,MATCH($G21,المرجع!$B$2:$B$19,0)),"")</f>
        <v>البناء المؤسسي</v>
      </c>
      <c r="I21" s="20" t="s">
        <v>57</v>
      </c>
      <c r="J21" s="18" t="str">
        <f aca="false">IFERROR(INDEX(المرجع!$D$2:$D$19,MATCH($I21,المرجع!$E$2:$E$19,0)),"")</f>
        <v>الموارد</v>
      </c>
      <c r="K21" s="20" t="s">
        <v>114</v>
      </c>
      <c r="L21" s="21" t="str">
        <f aca="false">IFERROR(INDEX('نقاط التحقق'!$G$2:$G$31,MATCH($K21,'نقاط التحقق'!$A$2:$A$31,0))&amp;"","")</f>
        <v>وجود الاحتياجات التقنية الأساسية</v>
      </c>
      <c r="M21" s="18" t="str">
        <f aca="false">IFERROR(INDEX('نقاط التحقق'!$H$2:$H$31,MATCH($K21,'نقاط التحقق'!$A$2:$A$31,0))&amp;"","")</f>
        <v/>
      </c>
      <c r="N21" s="17" t="n">
        <v>65</v>
      </c>
      <c r="O21" s="17" t="n">
        <v>100</v>
      </c>
      <c r="P21" s="19" t="str">
        <f aca="false">IF($N21="","غير مقيّمة",IF($N21&gt;المرجع!$K$3,"مستوفاة بشكل متقدم",IF($N21&lt;=المرجع!$K$2,"مستوفاة بشكل أولي","مستوفاة بشكل جزئي")))</f>
        <v>مستوفاة بشكل جزئي</v>
      </c>
      <c r="Q21" s="22"/>
    </row>
    <row r="22" customFormat="false" ht="15" hidden="false" customHeight="true" outlineLevel="0" collapsed="false">
      <c r="A22" s="20" t="s">
        <v>415</v>
      </c>
      <c r="B22" s="20" t="s">
        <v>160</v>
      </c>
      <c r="C22" s="19" t="str">
        <f aca="false">IFERROR(INDEX('قائمة الوحدات'!$B$2:$B$41,MATCH($B22,'قائمة الوحدات'!$A$2:$A$41,0)),"")</f>
        <v>EXE</v>
      </c>
      <c r="D22" s="18" t="str">
        <f aca="false">IFERROR(INDEX('قائمة الوحدات'!$C$2:$C$41,MATCH($B22,'قائمة الوحدات'!$A$2:$A$41,0)),"")</f>
        <v>الشؤون التنفيذية</v>
      </c>
      <c r="E22" s="18" t="str">
        <f aca="false">IFERROR(INDEX('قائمة الوحدات'!$D$2:$D$41,MATCH($B22,'قائمة الوحدات'!$A$2:$A$41,0)),"")</f>
        <v>وكالة الشؤون الفنية</v>
      </c>
      <c r="F22" s="18" t="str">
        <f aca="false">IFERROR(INDEX('قائمة الوحدات'!$F$2:$F$41,MATCH($B22,'قائمة الوحدات'!$A$2:$A$41,0)),"")</f>
        <v>الإدارة العامة للتخطيط والدراسات</v>
      </c>
      <c r="G22" s="20" t="s">
        <v>62</v>
      </c>
      <c r="H22" s="18" t="str">
        <f aca="false">IFERROR(INDEX(المرجع!$A$2:$A$19,MATCH($G22,المرجع!$B$2:$B$19,0)),"")</f>
        <v>البناء المؤسسي</v>
      </c>
      <c r="I22" s="20" t="s">
        <v>60</v>
      </c>
      <c r="J22" s="18" t="str">
        <f aca="false">IFERROR(INDEX(المرجع!$D$2:$D$19,MATCH($I22,المرجع!$E$2:$E$19,0)),"")</f>
        <v>الإجراءات</v>
      </c>
      <c r="K22" s="20" t="s">
        <v>116</v>
      </c>
      <c r="L22" s="21" t="str">
        <f aca="false">IFERROR(INDEX('نقاط التحقق'!$G$2:$G$31,MATCH($K22,'نقاط التحقق'!$A$2:$A$31,0))&amp;"","")</f>
        <v>إجراءات معتمدة للوحدة التنظيمية</v>
      </c>
      <c r="M22" s="18" t="str">
        <f aca="false">IFERROR(INDEX('نقاط التحقق'!$H$2:$H$31,MATCH($K22,'نقاط التحقق'!$A$2:$A$31,0))&amp;"","")</f>
        <v/>
      </c>
      <c r="N22" s="17" t="n">
        <v>59</v>
      </c>
      <c r="O22" s="17" t="n">
        <v>100</v>
      </c>
      <c r="P22" s="19" t="str">
        <f aca="false">IF($N22="","غير مقيّمة",IF($N22&gt;المرجع!$K$3,"مستوفاة بشكل متقدم",IF($N22&lt;=المرجع!$K$2,"مستوفاة بشكل أولي","مستوفاة بشكل جزئي")))</f>
        <v>مستوفاة بشكل جزئي</v>
      </c>
      <c r="Q22" s="22"/>
    </row>
    <row r="23" customFormat="false" ht="15" hidden="false" customHeight="true" outlineLevel="0" collapsed="false">
      <c r="A23" s="20" t="s">
        <v>416</v>
      </c>
      <c r="B23" s="20" t="s">
        <v>160</v>
      </c>
      <c r="C23" s="19" t="str">
        <f aca="false">IFERROR(INDEX('قائمة الوحدات'!$B$2:$B$41,MATCH($B23,'قائمة الوحدات'!$A$2:$A$41,0)),"")</f>
        <v>EXE</v>
      </c>
      <c r="D23" s="18" t="str">
        <f aca="false">IFERROR(INDEX('قائمة الوحدات'!$C$2:$C$41,MATCH($B23,'قائمة الوحدات'!$A$2:$A$41,0)),"")</f>
        <v>الشؤون التنفيذية</v>
      </c>
      <c r="E23" s="18" t="str">
        <f aca="false">IFERROR(INDEX('قائمة الوحدات'!$D$2:$D$41,MATCH($B23,'قائمة الوحدات'!$A$2:$A$41,0)),"")</f>
        <v>وكالة الشؤون الفنية</v>
      </c>
      <c r="F23" s="18" t="str">
        <f aca="false">IFERROR(INDEX('قائمة الوحدات'!$F$2:$F$41,MATCH($B23,'قائمة الوحدات'!$A$2:$A$41,0)),"")</f>
        <v>الإدارة العامة للتخطيط والدراسات</v>
      </c>
      <c r="G23" s="20" t="s">
        <v>62</v>
      </c>
      <c r="H23" s="18" t="str">
        <f aca="false">IFERROR(INDEX(المرجع!$A$2:$A$19,MATCH($G23,المرجع!$B$2:$B$19,0)),"")</f>
        <v>البناء المؤسسي</v>
      </c>
      <c r="I23" s="20" t="s">
        <v>69</v>
      </c>
      <c r="J23" s="18" t="str">
        <f aca="false">IFERROR(INDEX(المرجع!$D$2:$D$19,MATCH($I23,المرجع!$E$2:$E$19,0)),"")</f>
        <v>إنتاج المخرج الأول</v>
      </c>
      <c r="K23" s="20" t="s">
        <v>118</v>
      </c>
      <c r="L23" s="21" t="str">
        <f aca="false">IFERROR(INDEX('نقاط التحقق'!$G$2:$G$31,MATCH($K23,'نقاط التحقق'!$A$2:$A$31,0))&amp;"","")</f>
        <v>إنتاج المخرج الأول من قبل الوحدة التنظيمية</v>
      </c>
      <c r="M23" s="18" t="str">
        <f aca="false">IFERROR(INDEX('نقاط التحقق'!$H$2:$H$31,MATCH($K23,'نقاط التحقق'!$A$2:$A$31,0))&amp;"","")</f>
        <v/>
      </c>
      <c r="N23" s="17" t="n">
        <v>56</v>
      </c>
      <c r="O23" s="17" t="n">
        <v>90</v>
      </c>
      <c r="P23" s="19" t="str">
        <f aca="false">IF($N23="","غير مقيّمة",IF($N23&gt;المرجع!$K$3,"مستوفاة بشكل متقدم",IF($N23&lt;=المرجع!$K$2,"مستوفاة بشكل أولي","مستوفاة بشكل جزئي")))</f>
        <v>مستوفاة بشكل جزئي</v>
      </c>
      <c r="Q23" s="22"/>
    </row>
    <row r="24" customFormat="false" ht="15" hidden="false" customHeight="true" outlineLevel="0" collapsed="false">
      <c r="A24" s="20" t="s">
        <v>417</v>
      </c>
      <c r="B24" s="20" t="s">
        <v>160</v>
      </c>
      <c r="C24" s="19" t="str">
        <f aca="false">IFERROR(INDEX('قائمة الوحدات'!$B$2:$B$41,MATCH($B24,'قائمة الوحدات'!$A$2:$A$41,0)),"")</f>
        <v>EXE</v>
      </c>
      <c r="D24" s="18" t="str">
        <f aca="false">IFERROR(INDEX('قائمة الوحدات'!$C$2:$C$41,MATCH($B24,'قائمة الوحدات'!$A$2:$A$41,0)),"")</f>
        <v>الشؤون التنفيذية</v>
      </c>
      <c r="E24" s="18" t="str">
        <f aca="false">IFERROR(INDEX('قائمة الوحدات'!$D$2:$D$41,MATCH($B24,'قائمة الوحدات'!$A$2:$A$41,0)),"")</f>
        <v>وكالة الشؤون الفنية</v>
      </c>
      <c r="F24" s="18" t="str">
        <f aca="false">IFERROR(INDEX('قائمة الوحدات'!$F$2:$F$41,MATCH($B24,'قائمة الوحدات'!$A$2:$A$41,0)),"")</f>
        <v>الإدارة العامة للتخطيط والدراسات</v>
      </c>
      <c r="G24" s="20" t="s">
        <v>66</v>
      </c>
      <c r="H24" s="18" t="str">
        <f aca="false">IFERROR(INDEX(المرجع!$A$2:$A$19,MATCH($G24,المرجع!$B$2:$B$19,0)),"")</f>
        <v>التشغيل</v>
      </c>
      <c r="I24" s="20" t="s">
        <v>49</v>
      </c>
      <c r="J24" s="18" t="str">
        <f aca="false">IFERROR(INDEX(المرجع!$D$2:$D$19,MATCH($I24,المرجع!$E$2:$E$19,0)),"")</f>
        <v>الأهداف ومؤشرات الأداء</v>
      </c>
      <c r="K24" s="20" t="s">
        <v>120</v>
      </c>
      <c r="L24" s="21" t="str">
        <f aca="false">IFERROR(INDEX('نقاط التحقق'!$G$2:$G$31,MATCH($K24,'نقاط التحقق'!$A$2:$A$31,0))&amp;"","")</f>
        <v>تحرك مؤشرات الأداء التشغيلي للوحدة التنظيمية بشكل إيجابي</v>
      </c>
      <c r="M24" s="18" t="str">
        <f aca="false">IFERROR(INDEX('نقاط التحقق'!$H$2:$H$31,MATCH($K24,'نقاط التحقق'!$A$2:$A$31,0))&amp;"","")</f>
        <v/>
      </c>
      <c r="N24" s="17" t="n">
        <v>55</v>
      </c>
      <c r="O24" s="17" t="n">
        <v>100</v>
      </c>
      <c r="P24" s="19" t="str">
        <f aca="false">IF($N24="","غير مقيّمة",IF($N24&gt;المرجع!$K$3,"مستوفاة بشكل متقدم",IF($N24&lt;=المرجع!$K$2,"مستوفاة بشكل أولي","مستوفاة بشكل جزئي")))</f>
        <v>مستوفاة بشكل جزئي</v>
      </c>
      <c r="Q24" s="22"/>
    </row>
    <row r="25" customFormat="false" ht="15" hidden="false" customHeight="true" outlineLevel="0" collapsed="false">
      <c r="A25" s="20" t="s">
        <v>418</v>
      </c>
      <c r="B25" s="20" t="s">
        <v>160</v>
      </c>
      <c r="C25" s="19" t="str">
        <f aca="false">IFERROR(INDEX('قائمة الوحدات'!$B$2:$B$41,MATCH($B25,'قائمة الوحدات'!$A$2:$A$41,0)),"")</f>
        <v>EXE</v>
      </c>
      <c r="D25" s="18" t="str">
        <f aca="false">IFERROR(INDEX('قائمة الوحدات'!$C$2:$C$41,MATCH($B25,'قائمة الوحدات'!$A$2:$A$41,0)),"")</f>
        <v>الشؤون التنفيذية</v>
      </c>
      <c r="E25" s="18" t="str">
        <f aca="false">IFERROR(INDEX('قائمة الوحدات'!$D$2:$D$41,MATCH($B25,'قائمة الوحدات'!$A$2:$A$41,0)),"")</f>
        <v>وكالة الشؤون الفنية</v>
      </c>
      <c r="F25" s="18" t="str">
        <f aca="false">IFERROR(INDEX('قائمة الوحدات'!$F$2:$F$41,MATCH($B25,'قائمة الوحدات'!$A$2:$A$41,0)),"")</f>
        <v>الإدارة العامة للتخطيط والدراسات</v>
      </c>
      <c r="G25" s="20" t="s">
        <v>66</v>
      </c>
      <c r="H25" s="18" t="str">
        <f aca="false">IFERROR(INDEX(المرجع!$A$2:$A$19,MATCH($G25,المرجع!$B$2:$B$19,0)),"")</f>
        <v>التشغيل</v>
      </c>
      <c r="I25" s="20" t="s">
        <v>49</v>
      </c>
      <c r="J25" s="18" t="str">
        <f aca="false">IFERROR(INDEX(المرجع!$D$2:$D$19,MATCH($I25,المرجع!$E$2:$E$19,0)),"")</f>
        <v>الأهداف ومؤشرات الأداء</v>
      </c>
      <c r="K25" s="20" t="s">
        <v>122</v>
      </c>
      <c r="L25" s="21" t="str">
        <f aca="false">IFERROR(INDEX('نقاط التحقق'!$G$2:$G$31,MATCH($K25,'نقاط التحقق'!$A$2:$A$31,0))&amp;"","")</f>
        <v>خطة سنوية معتمدة للوحدة التنظيمية</v>
      </c>
      <c r="M25" s="18" t="str">
        <f aca="false">IFERROR(INDEX('نقاط التحقق'!$H$2:$H$31,MATCH($K25,'نقاط التحقق'!$A$2:$A$31,0))&amp;"","")</f>
        <v/>
      </c>
      <c r="N25" s="17" t="n">
        <v>60</v>
      </c>
      <c r="O25" s="17" t="n">
        <v>95</v>
      </c>
      <c r="P25" s="19" t="str">
        <f aca="false">IF($N25="","غير مقيّمة",IF($N25&gt;المرجع!$K$3,"مستوفاة بشكل متقدم",IF($N25&lt;=المرجع!$K$2,"مستوفاة بشكل أولي","مستوفاة بشكل جزئي")))</f>
        <v>مستوفاة بشكل جزئي</v>
      </c>
      <c r="Q25" s="22"/>
    </row>
    <row r="26" customFormat="false" ht="15" hidden="false" customHeight="true" outlineLevel="0" collapsed="false">
      <c r="A26" s="20" t="s">
        <v>419</v>
      </c>
      <c r="B26" s="20" t="s">
        <v>160</v>
      </c>
      <c r="C26" s="19" t="str">
        <f aca="false">IFERROR(INDEX('قائمة الوحدات'!$B$2:$B$41,MATCH($B26,'قائمة الوحدات'!$A$2:$A$41,0)),"")</f>
        <v>EXE</v>
      </c>
      <c r="D26" s="18" t="str">
        <f aca="false">IFERROR(INDEX('قائمة الوحدات'!$C$2:$C$41,MATCH($B26,'قائمة الوحدات'!$A$2:$A$41,0)),"")</f>
        <v>الشؤون التنفيذية</v>
      </c>
      <c r="E26" s="18" t="str">
        <f aca="false">IFERROR(INDEX('قائمة الوحدات'!$D$2:$D$41,MATCH($B26,'قائمة الوحدات'!$A$2:$A$41,0)),"")</f>
        <v>وكالة الشؤون الفنية</v>
      </c>
      <c r="F26" s="18" t="str">
        <f aca="false">IFERROR(INDEX('قائمة الوحدات'!$F$2:$F$41,MATCH($B26,'قائمة الوحدات'!$A$2:$A$41,0)),"")</f>
        <v>الإدارة العامة للتخطيط والدراسات</v>
      </c>
      <c r="G26" s="20" t="s">
        <v>66</v>
      </c>
      <c r="H26" s="18" t="str">
        <f aca="false">IFERROR(INDEX(المرجع!$A$2:$A$19,MATCH($G26,المرجع!$B$2:$B$19,0)),"")</f>
        <v>التشغيل</v>
      </c>
      <c r="I26" s="20" t="s">
        <v>52</v>
      </c>
      <c r="J26" s="18" t="str">
        <f aca="false">IFERROR(INDEX(المرجع!$D$2:$D$19,MATCH($I26,المرجع!$E$2:$E$19,0)),"")</f>
        <v>الحوكمة</v>
      </c>
      <c r="K26" s="20" t="s">
        <v>124</v>
      </c>
      <c r="L26" s="21" t="str">
        <f aca="false">IFERROR(INDEX('نقاط التحقق'!$G$2:$G$31,MATCH($K26,'نقاط التحقق'!$A$2:$A$31,0))&amp;"","")</f>
        <v>محاضر لجان موثقة</v>
      </c>
      <c r="M26" s="18" t="str">
        <f aca="false">IFERROR(INDEX('نقاط التحقق'!$H$2:$H$31,MATCH($K26,'نقاط التحقق'!$A$2:$A$31,0))&amp;"","")</f>
        <v/>
      </c>
      <c r="N26" s="17" t="n">
        <v>30</v>
      </c>
      <c r="O26" s="17" t="n">
        <v>90</v>
      </c>
      <c r="P26" s="19" t="str">
        <f aca="false">IF($N26="","غير مقيّمة",IF($N26&gt;المرجع!$K$3,"مستوفاة بشكل متقدم",IF($N26&lt;=المرجع!$K$2,"مستوفاة بشكل أولي","مستوفاة بشكل جزئي")))</f>
        <v>مستوفاة بشكل أولي</v>
      </c>
      <c r="Q26" s="22"/>
    </row>
    <row r="27" customFormat="false" ht="15" hidden="false" customHeight="true" outlineLevel="0" collapsed="false">
      <c r="A27" s="20" t="s">
        <v>420</v>
      </c>
      <c r="B27" s="20" t="s">
        <v>160</v>
      </c>
      <c r="C27" s="19" t="str">
        <f aca="false">IFERROR(INDEX('قائمة الوحدات'!$B$2:$B$41,MATCH($B27,'قائمة الوحدات'!$A$2:$A$41,0)),"")</f>
        <v>EXE</v>
      </c>
      <c r="D27" s="18" t="str">
        <f aca="false">IFERROR(INDEX('قائمة الوحدات'!$C$2:$C$41,MATCH($B27,'قائمة الوحدات'!$A$2:$A$41,0)),"")</f>
        <v>الشؤون التنفيذية</v>
      </c>
      <c r="E27" s="18" t="str">
        <f aca="false">IFERROR(INDEX('قائمة الوحدات'!$D$2:$D$41,MATCH($B27,'قائمة الوحدات'!$A$2:$A$41,0)),"")</f>
        <v>وكالة الشؤون الفنية</v>
      </c>
      <c r="F27" s="18" t="str">
        <f aca="false">IFERROR(INDEX('قائمة الوحدات'!$F$2:$F$41,MATCH($B27,'قائمة الوحدات'!$A$2:$A$41,0)),"")</f>
        <v>الإدارة العامة للتخطيط والدراسات</v>
      </c>
      <c r="G27" s="20" t="s">
        <v>66</v>
      </c>
      <c r="H27" s="18" t="str">
        <f aca="false">IFERROR(INDEX(المرجع!$A$2:$A$19,MATCH($G27,المرجع!$B$2:$B$19,0)),"")</f>
        <v>التشغيل</v>
      </c>
      <c r="I27" s="20" t="s">
        <v>52</v>
      </c>
      <c r="J27" s="18" t="str">
        <f aca="false">IFERROR(INDEX(المرجع!$D$2:$D$19,MATCH($I27,المرجع!$E$2:$E$19,0)),"")</f>
        <v>الحوكمة</v>
      </c>
      <c r="K27" s="20" t="s">
        <v>126</v>
      </c>
      <c r="L27" s="21" t="str">
        <f aca="false">IFERROR(INDEX('نقاط التحقق'!$G$2:$G$31,MATCH($K27,'نقاط التحقق'!$A$2:$A$31,0))&amp;"","")</f>
        <v>نشر السياسات التي تملكها الوحدة التنظيمية</v>
      </c>
      <c r="M27" s="18" t="str">
        <f aca="false">IFERROR(INDEX('نقاط التحقق'!$H$2:$H$31,MATCH($K27,'نقاط التحقق'!$A$2:$A$31,0))&amp;"","")</f>
        <v/>
      </c>
      <c r="N27" s="17" t="n">
        <v>35</v>
      </c>
      <c r="O27" s="17" t="n">
        <v>100</v>
      </c>
      <c r="P27" s="19" t="str">
        <f aca="false">IF($N27="","غير مقيّمة",IF($N27&gt;المرجع!$K$3,"مستوفاة بشكل متقدم",IF($N27&lt;=المرجع!$K$2,"مستوفاة بشكل أولي","مستوفاة بشكل جزئي")))</f>
        <v>مستوفاة بشكل جزئي</v>
      </c>
      <c r="Q27" s="22"/>
    </row>
    <row r="28" customFormat="false" ht="15" hidden="false" customHeight="true" outlineLevel="0" collapsed="false">
      <c r="A28" s="20" t="s">
        <v>421</v>
      </c>
      <c r="B28" s="20" t="s">
        <v>160</v>
      </c>
      <c r="C28" s="19" t="str">
        <f aca="false">IFERROR(INDEX('قائمة الوحدات'!$B$2:$B$41,MATCH($B28,'قائمة الوحدات'!$A$2:$A$41,0)),"")</f>
        <v>EXE</v>
      </c>
      <c r="D28" s="18" t="str">
        <f aca="false">IFERROR(INDEX('قائمة الوحدات'!$C$2:$C$41,MATCH($B28,'قائمة الوحدات'!$A$2:$A$41,0)),"")</f>
        <v>الشؤون التنفيذية</v>
      </c>
      <c r="E28" s="18" t="str">
        <f aca="false">IFERROR(INDEX('قائمة الوحدات'!$D$2:$D$41,MATCH($B28,'قائمة الوحدات'!$A$2:$A$41,0)),"")</f>
        <v>وكالة الشؤون الفنية</v>
      </c>
      <c r="F28" s="18" t="str">
        <f aca="false">IFERROR(INDEX('قائمة الوحدات'!$F$2:$F$41,MATCH($B28,'قائمة الوحدات'!$A$2:$A$41,0)),"")</f>
        <v>الإدارة العامة للتخطيط والدراسات</v>
      </c>
      <c r="G28" s="20" t="s">
        <v>66</v>
      </c>
      <c r="H28" s="18" t="str">
        <f aca="false">IFERROR(INDEX(المرجع!$A$2:$A$19,MATCH($G28,المرجع!$B$2:$B$19,0)),"")</f>
        <v>التشغيل</v>
      </c>
      <c r="I28" s="20" t="s">
        <v>52</v>
      </c>
      <c r="J28" s="18" t="str">
        <f aca="false">IFERROR(INDEX(المرجع!$D$2:$D$19,MATCH($I28,المرجع!$E$2:$E$19,0)),"")</f>
        <v>الحوكمة</v>
      </c>
      <c r="K28" s="20" t="s">
        <v>128</v>
      </c>
      <c r="L28" s="21" t="str">
        <f aca="false">IFERROR(INDEX('نقاط التحقق'!$G$2:$G$31,MATCH($K28,'نقاط التحقق'!$A$2:$A$31,0))&amp;"","")</f>
        <v>اتخاذ القرارات في نطاق الصلاحيات (وجود شواهد)</v>
      </c>
      <c r="M28" s="18" t="str">
        <f aca="false">IFERROR(INDEX('نقاط التحقق'!$H$2:$H$31,MATCH($K28,'نقاط التحقق'!$A$2:$A$31,0))&amp;"","")</f>
        <v/>
      </c>
      <c r="N28" s="17" t="n">
        <v>35</v>
      </c>
      <c r="O28" s="17" t="n">
        <v>95</v>
      </c>
      <c r="P28" s="19" t="str">
        <f aca="false">IF($N28="","غير مقيّمة",IF($N28&gt;المرجع!$K$3,"مستوفاة بشكل متقدم",IF($N28&lt;=المرجع!$K$2,"مستوفاة بشكل أولي","مستوفاة بشكل جزئي")))</f>
        <v>مستوفاة بشكل جزئي</v>
      </c>
      <c r="Q28" s="22"/>
    </row>
    <row r="29" customFormat="false" ht="15" hidden="false" customHeight="true" outlineLevel="0" collapsed="false">
      <c r="A29" s="20" t="s">
        <v>422</v>
      </c>
      <c r="B29" s="20" t="s">
        <v>160</v>
      </c>
      <c r="C29" s="19" t="str">
        <f aca="false">IFERROR(INDEX('قائمة الوحدات'!$B$2:$B$41,MATCH($B29,'قائمة الوحدات'!$A$2:$A$41,0)),"")</f>
        <v>EXE</v>
      </c>
      <c r="D29" s="18" t="str">
        <f aca="false">IFERROR(INDEX('قائمة الوحدات'!$C$2:$C$41,MATCH($B29,'قائمة الوحدات'!$A$2:$A$41,0)),"")</f>
        <v>الشؤون التنفيذية</v>
      </c>
      <c r="E29" s="18" t="str">
        <f aca="false">IFERROR(INDEX('قائمة الوحدات'!$D$2:$D$41,MATCH($B29,'قائمة الوحدات'!$A$2:$A$41,0)),"")</f>
        <v>وكالة الشؤون الفنية</v>
      </c>
      <c r="F29" s="18" t="str">
        <f aca="false">IFERROR(INDEX('قائمة الوحدات'!$F$2:$F$41,MATCH($B29,'قائمة الوحدات'!$A$2:$A$41,0)),"")</f>
        <v>الإدارة العامة للتخطيط والدراسات</v>
      </c>
      <c r="G29" s="20" t="s">
        <v>66</v>
      </c>
      <c r="H29" s="18" t="str">
        <f aca="false">IFERROR(INDEX(المرجع!$A$2:$A$19,MATCH($G29,المرجع!$B$2:$B$19,0)),"")</f>
        <v>التشغيل</v>
      </c>
      <c r="I29" s="20" t="s">
        <v>57</v>
      </c>
      <c r="J29" s="18" t="str">
        <f aca="false">IFERROR(INDEX(المرجع!$D$2:$D$19,MATCH($I29,المرجع!$E$2:$E$19,0)),"")</f>
        <v>الموارد</v>
      </c>
      <c r="K29" s="20" t="s">
        <v>130</v>
      </c>
      <c r="L29" s="21" t="str">
        <f aca="false">IFERROR(INDEX('نقاط التحقق'!$G$2:$G$31,MATCH($K29,'نقاط التحقق'!$A$2:$A$31,0))&amp;"","")</f>
        <v>موارد مستكملة للحد الأدنى الذي يغطي كافة محاور سلسلة القيمة</v>
      </c>
      <c r="M29" s="18" t="str">
        <f aca="false">IFERROR(INDEX('نقاط التحقق'!$H$2:$H$31,MATCH($K29,'نقاط التحقق'!$A$2:$A$31,0))&amp;"","")</f>
        <v/>
      </c>
      <c r="N29" s="17" t="n">
        <v>24</v>
      </c>
      <c r="O29" s="17" t="n">
        <v>85</v>
      </c>
      <c r="P29" s="19" t="str">
        <f aca="false">IF($N29="","غير مقيّمة",IF($N29&gt;المرجع!$K$3,"مستوفاة بشكل متقدم",IF($N29&lt;=المرجع!$K$2,"مستوفاة بشكل أولي","مستوفاة بشكل جزئي")))</f>
        <v>مستوفاة بشكل أولي</v>
      </c>
      <c r="Q29" s="22"/>
    </row>
    <row r="30" customFormat="false" ht="15" hidden="false" customHeight="true" outlineLevel="0" collapsed="false">
      <c r="A30" s="20" t="s">
        <v>423</v>
      </c>
      <c r="B30" s="20" t="s">
        <v>160</v>
      </c>
      <c r="C30" s="19" t="str">
        <f aca="false">IFERROR(INDEX('قائمة الوحدات'!$B$2:$B$41,MATCH($B30,'قائمة الوحدات'!$A$2:$A$41,0)),"")</f>
        <v>EXE</v>
      </c>
      <c r="D30" s="18" t="str">
        <f aca="false">IFERROR(INDEX('قائمة الوحدات'!$C$2:$C$41,MATCH($B30,'قائمة الوحدات'!$A$2:$A$41,0)),"")</f>
        <v>الشؤون التنفيذية</v>
      </c>
      <c r="E30" s="18" t="str">
        <f aca="false">IFERROR(INDEX('قائمة الوحدات'!$D$2:$D$41,MATCH($B30,'قائمة الوحدات'!$A$2:$A$41,0)),"")</f>
        <v>وكالة الشؤون الفنية</v>
      </c>
      <c r="F30" s="18" t="str">
        <f aca="false">IFERROR(INDEX('قائمة الوحدات'!$F$2:$F$41,MATCH($B30,'قائمة الوحدات'!$A$2:$A$41,0)),"")</f>
        <v>الإدارة العامة للتخطيط والدراسات</v>
      </c>
      <c r="G30" s="20" t="s">
        <v>66</v>
      </c>
      <c r="H30" s="18" t="str">
        <f aca="false">IFERROR(INDEX(المرجع!$A$2:$A$19,MATCH($G30,المرجع!$B$2:$B$19,0)),"")</f>
        <v>التشغيل</v>
      </c>
      <c r="I30" s="20" t="s">
        <v>60</v>
      </c>
      <c r="J30" s="18" t="str">
        <f aca="false">IFERROR(INDEX(المرجع!$D$2:$D$19,MATCH($I30,المرجع!$E$2:$E$19,0)),"")</f>
        <v>الإجراءات</v>
      </c>
      <c r="K30" s="20" t="s">
        <v>132</v>
      </c>
      <c r="L30" s="21" t="str">
        <f aca="false">IFERROR(INDEX('نقاط التحقق'!$G$2:$G$31,MATCH($K30,'نقاط التحقق'!$A$2:$A$31,0))&amp;"","")</f>
        <v>تحقيق تقييم "مطبق بشكل كامل" من منهجية تقييم فعالية الإجراءات</v>
      </c>
      <c r="M30" s="18" t="str">
        <f aca="false">IFERROR(INDEX('نقاط التحقق'!$H$2:$H$31,MATCH($K30,'نقاط التحقق'!$A$2:$A$31,0))&amp;"","")</f>
        <v/>
      </c>
      <c r="N30" s="17" t="n">
        <v>37</v>
      </c>
      <c r="O30" s="17" t="n">
        <v>85</v>
      </c>
      <c r="P30" s="19" t="str">
        <f aca="false">IF($N30="","غير مقيّمة",IF($N30&gt;المرجع!$K$3,"مستوفاة بشكل متقدم",IF($N30&lt;=المرجع!$K$2,"مستوفاة بشكل أولي","مستوفاة بشكل جزئي")))</f>
        <v>مستوفاة بشكل جزئي</v>
      </c>
      <c r="Q30" s="22"/>
    </row>
    <row r="31" customFormat="false" ht="15" hidden="false" customHeight="true" outlineLevel="0" collapsed="false">
      <c r="A31" s="20" t="s">
        <v>424</v>
      </c>
      <c r="B31" s="20" t="s">
        <v>160</v>
      </c>
      <c r="C31" s="19" t="str">
        <f aca="false">IFERROR(INDEX('قائمة الوحدات'!$B$2:$B$41,MATCH($B31,'قائمة الوحدات'!$A$2:$A$41,0)),"")</f>
        <v>EXE</v>
      </c>
      <c r="D31" s="18" t="str">
        <f aca="false">IFERROR(INDEX('قائمة الوحدات'!$C$2:$C$41,MATCH($B31,'قائمة الوحدات'!$A$2:$A$41,0)),"")</f>
        <v>الشؤون التنفيذية</v>
      </c>
      <c r="E31" s="18" t="str">
        <f aca="false">IFERROR(INDEX('قائمة الوحدات'!$D$2:$D$41,MATCH($B31,'قائمة الوحدات'!$A$2:$A$41,0)),"")</f>
        <v>وكالة الشؤون الفنية</v>
      </c>
      <c r="F31" s="18" t="str">
        <f aca="false">IFERROR(INDEX('قائمة الوحدات'!$F$2:$F$41,MATCH($B31,'قائمة الوحدات'!$A$2:$A$41,0)),"")</f>
        <v>الإدارة العامة للتخطيط والدراسات</v>
      </c>
      <c r="G31" s="20" t="s">
        <v>66</v>
      </c>
      <c r="H31" s="18" t="str">
        <f aca="false">IFERROR(INDEX(المرجع!$A$2:$A$19,MATCH($G31,المرجع!$B$2:$B$19,0)),"")</f>
        <v>التشغيل</v>
      </c>
      <c r="I31" s="20" t="s">
        <v>71</v>
      </c>
      <c r="J31" s="18" t="str">
        <f aca="false">IFERROR(INDEX(المرجع!$D$2:$D$19,MATCH($I31,المرجع!$E$2:$E$19,0)),"")</f>
        <v>اكتمال المخرجات المستهدفة</v>
      </c>
      <c r="K31" s="20" t="s">
        <v>134</v>
      </c>
      <c r="L31" s="21" t="str">
        <f aca="false">IFERROR(INDEX('نقاط التحقق'!$G$2:$G$31,MATCH($K31,'نقاط التحقق'!$A$2:$A$31,0))&amp;"","")</f>
        <v>اكتمال مخرجات النموذج التشغيلي المستهدف للوحدة التنظيمية</v>
      </c>
      <c r="M31" s="18" t="str">
        <f aca="false">IFERROR(INDEX('نقاط التحقق'!$H$2:$H$31,MATCH($K31,'نقاط التحقق'!$A$2:$A$31,0))&amp;"","")</f>
        <v/>
      </c>
      <c r="N31" s="17" t="n">
        <v>46</v>
      </c>
      <c r="O31" s="17" t="n">
        <v>80</v>
      </c>
      <c r="P31" s="19" t="str">
        <f aca="false">IF($N31="","غير مقيّمة",IF($N31&gt;المرجع!$K$3,"مستوفاة بشكل متقدم",IF($N31&lt;=المرجع!$K$2,"مستوفاة بشكل أولي","مستوفاة بشكل جزئي")))</f>
        <v>مستوفاة بشكل جزئي</v>
      </c>
      <c r="Q31" s="22"/>
    </row>
    <row r="32" customFormat="false" ht="15" hidden="false" customHeight="true" outlineLevel="0" collapsed="false">
      <c r="A32" s="20" t="s">
        <v>425</v>
      </c>
      <c r="B32" s="20" t="s">
        <v>166</v>
      </c>
      <c r="C32" s="19" t="str">
        <f aca="false">IFERROR(INDEX('قائمة الوحدات'!$B$2:$B$41,MATCH($B32,'قائمة الوحدات'!$A$2:$A$41,0)),"")</f>
        <v>EXE</v>
      </c>
      <c r="D32" s="18" t="str">
        <f aca="false">IFERROR(INDEX('قائمة الوحدات'!$C$2:$C$41,MATCH($B32,'قائمة الوحدات'!$A$2:$A$41,0)),"")</f>
        <v>الشؤون التنفيذية</v>
      </c>
      <c r="E32" s="18" t="str">
        <f aca="false">IFERROR(INDEX('قائمة الوحدات'!$D$2:$D$41,MATCH($B32,'قائمة الوحدات'!$A$2:$A$41,0)),"")</f>
        <v>وكالة الشؤون الفنية</v>
      </c>
      <c r="F32" s="18" t="str">
        <f aca="false">IFERROR(INDEX('قائمة الوحدات'!$F$2:$F$41,MATCH($B32,'قائمة الوحدات'!$A$2:$A$41,0)),"")</f>
        <v>الإدارة العامة للجودة والتطوير</v>
      </c>
      <c r="G32" s="20" t="s">
        <v>44</v>
      </c>
      <c r="H32" s="18" t="str">
        <f aca="false">IFERROR(INDEX(المرجع!$A$2:$A$19,MATCH($G32,المرجع!$B$2:$B$19,0)),"")</f>
        <v>التصميم</v>
      </c>
      <c r="I32" s="20" t="s">
        <v>46</v>
      </c>
      <c r="J32" s="18" t="str">
        <f aca="false">IFERROR(INDEX(المرجع!$D$2:$D$19,MATCH($I32,المرجع!$E$2:$E$19,0)),"")</f>
        <v>الدور</v>
      </c>
      <c r="K32" s="20" t="s">
        <v>76</v>
      </c>
      <c r="L32" s="21" t="str">
        <f aca="false">IFERROR(INDEX('نقاط التحقق'!$G$2:$G$31,MATCH($K32,'نقاط التحقق'!$A$2:$A$31,0))&amp;"","")</f>
        <v>دور مفصل للوحدة التنظيمية</v>
      </c>
      <c r="M32" s="18" t="str">
        <f aca="false">IFERROR(INDEX('نقاط التحقق'!$H$2:$H$31,MATCH($K32,'نقاط التحقق'!$A$2:$A$31,0))&amp;"","")</f>
        <v/>
      </c>
      <c r="N32" s="17" t="n">
        <v>76</v>
      </c>
      <c r="O32" s="17" t="n">
        <v>85</v>
      </c>
      <c r="P32" s="19" t="str">
        <f aca="false">IF($N32="","غير مقيّمة",IF($N32&gt;المرجع!$K$3,"مستوفاة بشكل متقدم",IF($N32&lt;=المرجع!$K$2,"مستوفاة بشكل أولي","مستوفاة بشكل جزئي")))</f>
        <v>مستوفاة بشكل متقدم</v>
      </c>
      <c r="Q32" s="22"/>
    </row>
    <row r="33" customFormat="false" ht="15" hidden="false" customHeight="true" outlineLevel="0" collapsed="false">
      <c r="A33" s="20" t="s">
        <v>426</v>
      </c>
      <c r="B33" s="20" t="s">
        <v>166</v>
      </c>
      <c r="C33" s="19" t="str">
        <f aca="false">IFERROR(INDEX('قائمة الوحدات'!$B$2:$B$41,MATCH($B33,'قائمة الوحدات'!$A$2:$A$41,0)),"")</f>
        <v>EXE</v>
      </c>
      <c r="D33" s="18" t="str">
        <f aca="false">IFERROR(INDEX('قائمة الوحدات'!$C$2:$C$41,MATCH($B33,'قائمة الوحدات'!$A$2:$A$41,0)),"")</f>
        <v>الشؤون التنفيذية</v>
      </c>
      <c r="E33" s="18" t="str">
        <f aca="false">IFERROR(INDEX('قائمة الوحدات'!$D$2:$D$41,MATCH($B33,'قائمة الوحدات'!$A$2:$A$41,0)),"")</f>
        <v>وكالة الشؤون الفنية</v>
      </c>
      <c r="F33" s="18" t="str">
        <f aca="false">IFERROR(INDEX('قائمة الوحدات'!$F$2:$F$41,MATCH($B33,'قائمة الوحدات'!$A$2:$A$41,0)),"")</f>
        <v>الإدارة العامة للجودة والتطوير</v>
      </c>
      <c r="G33" s="20" t="s">
        <v>44</v>
      </c>
      <c r="H33" s="18" t="str">
        <f aca="false">IFERROR(INDEX(المرجع!$A$2:$A$19,MATCH($G33,المرجع!$B$2:$B$19,0)),"")</f>
        <v>التصميم</v>
      </c>
      <c r="I33" s="20" t="s">
        <v>49</v>
      </c>
      <c r="J33" s="18" t="str">
        <f aca="false">IFERROR(INDEX(المرجع!$D$2:$D$19,MATCH($I33,المرجع!$E$2:$E$19,0)),"")</f>
        <v>الأهداف ومؤشرات الأداء</v>
      </c>
      <c r="K33" s="20" t="s">
        <v>78</v>
      </c>
      <c r="L33" s="21" t="str">
        <f aca="false">IFERROR(INDEX('نقاط التحقق'!$G$2:$G$31,MATCH($K33,'نقاط التحقق'!$A$2:$A$31,0))&amp;"","")</f>
        <v>أهداف محددة للوحدة التنظيمية وربطها بمؤشرات أداء لقياسها</v>
      </c>
      <c r="M33" s="18" t="str">
        <f aca="false">IFERROR(INDEX('نقاط التحقق'!$H$2:$H$31,MATCH($K33,'نقاط التحقق'!$A$2:$A$31,0))&amp;"","")</f>
        <v/>
      </c>
      <c r="N33" s="17" t="n">
        <v>95</v>
      </c>
      <c r="O33" s="17" t="n">
        <v>95</v>
      </c>
      <c r="P33" s="19" t="str">
        <f aca="false">IF($N33="","غير مقيّمة",IF($N33&gt;المرجع!$K$3,"مستوفاة بشكل متقدم",IF($N33&lt;=المرجع!$K$2,"مستوفاة بشكل أولي","مستوفاة بشكل جزئي")))</f>
        <v>مستوفاة بشكل متقدم</v>
      </c>
      <c r="Q33" s="22"/>
    </row>
    <row r="34" customFormat="false" ht="15" hidden="false" customHeight="true" outlineLevel="0" collapsed="false">
      <c r="A34" s="20" t="s">
        <v>427</v>
      </c>
      <c r="B34" s="20" t="s">
        <v>166</v>
      </c>
      <c r="C34" s="19" t="str">
        <f aca="false">IFERROR(INDEX('قائمة الوحدات'!$B$2:$B$41,MATCH($B34,'قائمة الوحدات'!$A$2:$A$41,0)),"")</f>
        <v>EXE</v>
      </c>
      <c r="D34" s="18" t="str">
        <f aca="false">IFERROR(INDEX('قائمة الوحدات'!$C$2:$C$41,MATCH($B34,'قائمة الوحدات'!$A$2:$A$41,0)),"")</f>
        <v>الشؤون التنفيذية</v>
      </c>
      <c r="E34" s="18" t="str">
        <f aca="false">IFERROR(INDEX('قائمة الوحدات'!$D$2:$D$41,MATCH($B34,'قائمة الوحدات'!$A$2:$A$41,0)),"")</f>
        <v>وكالة الشؤون الفنية</v>
      </c>
      <c r="F34" s="18" t="str">
        <f aca="false">IFERROR(INDEX('قائمة الوحدات'!$F$2:$F$41,MATCH($B34,'قائمة الوحدات'!$A$2:$A$41,0)),"")</f>
        <v>الإدارة العامة للجودة والتطوير</v>
      </c>
      <c r="G34" s="20" t="s">
        <v>44</v>
      </c>
      <c r="H34" s="18" t="str">
        <f aca="false">IFERROR(INDEX(المرجع!$A$2:$A$19,MATCH($G34,المرجع!$B$2:$B$19,0)),"")</f>
        <v>التصميم</v>
      </c>
      <c r="I34" s="20" t="s">
        <v>49</v>
      </c>
      <c r="J34" s="18" t="str">
        <f aca="false">IFERROR(INDEX(المرجع!$D$2:$D$19,MATCH($I34,المرجع!$E$2:$E$19,0)),"")</f>
        <v>الأهداف ومؤشرات الأداء</v>
      </c>
      <c r="K34" s="20" t="s">
        <v>80</v>
      </c>
      <c r="L34" s="21" t="str">
        <f aca="false">IFERROR(INDEX('نقاط التحقق'!$G$2:$G$31,MATCH($K34,'نقاط التحقق'!$A$2:$A$31,0))&amp;"","")</f>
        <v>مؤشرات أداء الوحدة التنظيمية</v>
      </c>
      <c r="M34" s="18" t="str">
        <f aca="false">IFERROR(INDEX('نقاط التحقق'!$H$2:$H$31,MATCH($K34,'نقاط التحقق'!$A$2:$A$31,0))&amp;"","")</f>
        <v/>
      </c>
      <c r="N34" s="17" t="n">
        <v>80</v>
      </c>
      <c r="O34" s="17" t="n">
        <v>85</v>
      </c>
      <c r="P34" s="19" t="str">
        <f aca="false">IF($N34="","غير مقيّمة",IF($N34&gt;المرجع!$K$3,"مستوفاة بشكل متقدم",IF($N34&lt;=المرجع!$K$2,"مستوفاة بشكل أولي","مستوفاة بشكل جزئي")))</f>
        <v>مستوفاة بشكل متقدم</v>
      </c>
      <c r="Q34" s="22"/>
    </row>
    <row r="35" customFormat="false" ht="15" hidden="false" customHeight="true" outlineLevel="0" collapsed="false">
      <c r="A35" s="20" t="s">
        <v>428</v>
      </c>
      <c r="B35" s="20" t="s">
        <v>166</v>
      </c>
      <c r="C35" s="19" t="str">
        <f aca="false">IFERROR(INDEX('قائمة الوحدات'!$B$2:$B$41,MATCH($B35,'قائمة الوحدات'!$A$2:$A$41,0)),"")</f>
        <v>EXE</v>
      </c>
      <c r="D35" s="18" t="str">
        <f aca="false">IFERROR(INDEX('قائمة الوحدات'!$C$2:$C$41,MATCH($B35,'قائمة الوحدات'!$A$2:$A$41,0)),"")</f>
        <v>الشؤون التنفيذية</v>
      </c>
      <c r="E35" s="18" t="str">
        <f aca="false">IFERROR(INDEX('قائمة الوحدات'!$D$2:$D$41,MATCH($B35,'قائمة الوحدات'!$A$2:$A$41,0)),"")</f>
        <v>وكالة الشؤون الفنية</v>
      </c>
      <c r="F35" s="18" t="str">
        <f aca="false">IFERROR(INDEX('قائمة الوحدات'!$F$2:$F$41,MATCH($B35,'قائمة الوحدات'!$A$2:$A$41,0)),"")</f>
        <v>الإدارة العامة للجودة والتطوير</v>
      </c>
      <c r="G35" s="20" t="s">
        <v>44</v>
      </c>
      <c r="H35" s="18" t="str">
        <f aca="false">IFERROR(INDEX(المرجع!$A$2:$A$19,MATCH($G35,المرجع!$B$2:$B$19,0)),"")</f>
        <v>التصميم</v>
      </c>
      <c r="I35" s="20" t="s">
        <v>52</v>
      </c>
      <c r="J35" s="18" t="str">
        <f aca="false">IFERROR(INDEX(المرجع!$D$2:$D$19,MATCH($I35,المرجع!$E$2:$E$19,0)),"")</f>
        <v>الحوكمة</v>
      </c>
      <c r="K35" s="20" t="s">
        <v>82</v>
      </c>
      <c r="L35" s="21" t="str">
        <f aca="false">IFERROR(INDEX('نقاط التحقق'!$G$2:$G$31,MATCH($K35,'نقاط التحقق'!$A$2:$A$31,0))&amp;"","")</f>
        <v>تفصيل القرارات ومصفوفة الصلاحيات واللجان ذات العلاقة لاعتماد مخرجات الوحدة التنظيمية</v>
      </c>
      <c r="M35" s="18" t="str">
        <f aca="false">IFERROR(INDEX('نقاط التحقق'!$H$2:$H$31,MATCH($K35,'نقاط التحقق'!$A$2:$A$31,0))&amp;"","")</f>
        <v/>
      </c>
      <c r="N35" s="17" t="n">
        <v>85</v>
      </c>
      <c r="O35" s="17" t="n">
        <v>100</v>
      </c>
      <c r="P35" s="19" t="str">
        <f aca="false">IF($N35="","غير مقيّمة",IF($N35&gt;المرجع!$K$3,"مستوفاة بشكل متقدم",IF($N35&lt;=المرجع!$K$2,"مستوفاة بشكل أولي","مستوفاة بشكل جزئي")))</f>
        <v>مستوفاة بشكل متقدم</v>
      </c>
      <c r="Q35" s="22"/>
    </row>
    <row r="36" customFormat="false" ht="15" hidden="false" customHeight="true" outlineLevel="0" collapsed="false">
      <c r="A36" s="20" t="s">
        <v>429</v>
      </c>
      <c r="B36" s="20" t="s">
        <v>166</v>
      </c>
      <c r="C36" s="19" t="str">
        <f aca="false">IFERROR(INDEX('قائمة الوحدات'!$B$2:$B$41,MATCH($B36,'قائمة الوحدات'!$A$2:$A$41,0)),"")</f>
        <v>EXE</v>
      </c>
      <c r="D36" s="18" t="str">
        <f aca="false">IFERROR(INDEX('قائمة الوحدات'!$C$2:$C$41,MATCH($B36,'قائمة الوحدات'!$A$2:$A$41,0)),"")</f>
        <v>الشؤون التنفيذية</v>
      </c>
      <c r="E36" s="18" t="str">
        <f aca="false">IFERROR(INDEX('قائمة الوحدات'!$D$2:$D$41,MATCH($B36,'قائمة الوحدات'!$A$2:$A$41,0)),"")</f>
        <v>وكالة الشؤون الفنية</v>
      </c>
      <c r="F36" s="18" t="str">
        <f aca="false">IFERROR(INDEX('قائمة الوحدات'!$F$2:$F$41,MATCH($B36,'قائمة الوحدات'!$A$2:$A$41,0)),"")</f>
        <v>الإدارة العامة للجودة والتطوير</v>
      </c>
      <c r="G36" s="20" t="s">
        <v>44</v>
      </c>
      <c r="H36" s="18" t="str">
        <f aca="false">IFERROR(INDEX(المرجع!$A$2:$A$19,MATCH($G36,المرجع!$B$2:$B$19,0)),"")</f>
        <v>التصميم</v>
      </c>
      <c r="I36" s="20" t="s">
        <v>55</v>
      </c>
      <c r="J36" s="18" t="str">
        <f aca="false">IFERROR(INDEX(المرجع!$D$2:$D$19,MATCH($I36,المرجع!$E$2:$E$19,0)),"")</f>
        <v>التنظيم</v>
      </c>
      <c r="K36" s="20" t="s">
        <v>84</v>
      </c>
      <c r="L36" s="21" t="str">
        <f aca="false">IFERROR(INDEX('نقاط التحقق'!$G$2:$G$31,MATCH($K36,'نقاط التحقق'!$A$2:$A$31,0))&amp;"","")</f>
        <v>تطوير الأدوار والمسؤوليات للوحدة التنظيمية وتفصيل الهيكل التنظيمي</v>
      </c>
      <c r="M36" s="18" t="str">
        <f aca="false">IFERROR(INDEX('نقاط التحقق'!$H$2:$H$31,MATCH($K36,'نقاط التحقق'!$A$2:$A$31,0))&amp;"","")</f>
        <v/>
      </c>
      <c r="N36" s="17" t="n">
        <v>74</v>
      </c>
      <c r="O36" s="17" t="n">
        <v>85</v>
      </c>
      <c r="P36" s="19" t="str">
        <f aca="false">IF($N36="","غير مقيّمة",IF($N36&gt;المرجع!$K$3,"مستوفاة بشكل متقدم",IF($N36&lt;=المرجع!$K$2,"مستوفاة بشكل أولي","مستوفاة بشكل جزئي")))</f>
        <v>مستوفاة بشكل متقدم</v>
      </c>
      <c r="Q36" s="22"/>
    </row>
    <row r="37" customFormat="false" ht="15" hidden="false" customHeight="true" outlineLevel="0" collapsed="false">
      <c r="A37" s="20" t="s">
        <v>430</v>
      </c>
      <c r="B37" s="20" t="s">
        <v>166</v>
      </c>
      <c r="C37" s="19" t="str">
        <f aca="false">IFERROR(INDEX('قائمة الوحدات'!$B$2:$B$41,MATCH($B37,'قائمة الوحدات'!$A$2:$A$41,0)),"")</f>
        <v>EXE</v>
      </c>
      <c r="D37" s="18" t="str">
        <f aca="false">IFERROR(INDEX('قائمة الوحدات'!$C$2:$C$41,MATCH($B37,'قائمة الوحدات'!$A$2:$A$41,0)),"")</f>
        <v>الشؤون التنفيذية</v>
      </c>
      <c r="E37" s="18" t="str">
        <f aca="false">IFERROR(INDEX('قائمة الوحدات'!$D$2:$D$41,MATCH($B37,'قائمة الوحدات'!$A$2:$A$41,0)),"")</f>
        <v>وكالة الشؤون الفنية</v>
      </c>
      <c r="F37" s="18" t="str">
        <f aca="false">IFERROR(INDEX('قائمة الوحدات'!$F$2:$F$41,MATCH($B37,'قائمة الوحدات'!$A$2:$A$41,0)),"")</f>
        <v>الإدارة العامة للجودة والتطوير</v>
      </c>
      <c r="G37" s="20" t="s">
        <v>44</v>
      </c>
      <c r="H37" s="18" t="str">
        <f aca="false">IFERROR(INDEX(المرجع!$A$2:$A$19,MATCH($G37,المرجع!$B$2:$B$19,0)),"")</f>
        <v>التصميم</v>
      </c>
      <c r="I37" s="20" t="s">
        <v>57</v>
      </c>
      <c r="J37" s="18" t="str">
        <f aca="false">IFERROR(INDEX(المرجع!$D$2:$D$19,MATCH($I37,المرجع!$E$2:$E$19,0)),"")</f>
        <v>الموارد</v>
      </c>
      <c r="K37" s="20" t="s">
        <v>86</v>
      </c>
      <c r="L37" s="21" t="str">
        <f aca="false">IFERROR(INDEX('نقاط التحقق'!$G$2:$G$31,MATCH($K37,'نقاط التحقق'!$A$2:$A$31,0))&amp;"","")</f>
        <v>تفصيل احتياج الموارد البشرية للوحدة التنظيمية</v>
      </c>
      <c r="M37" s="18" t="str">
        <f aca="false">IFERROR(INDEX('نقاط التحقق'!$H$2:$H$31,MATCH($K37,'نقاط التحقق'!$A$2:$A$31,0))&amp;"","")</f>
        <v/>
      </c>
      <c r="N37" s="17" t="n">
        <v>90</v>
      </c>
      <c r="O37" s="17" t="n">
        <v>90</v>
      </c>
      <c r="P37" s="19" t="str">
        <f aca="false">IF($N37="","غير مقيّمة",IF($N37&gt;المرجع!$K$3,"مستوفاة بشكل متقدم",IF($N37&lt;=المرجع!$K$2,"مستوفاة بشكل أولي","مستوفاة بشكل جزئي")))</f>
        <v>مستوفاة بشكل متقدم</v>
      </c>
      <c r="Q37" s="22"/>
    </row>
    <row r="38" customFormat="false" ht="15" hidden="false" customHeight="true" outlineLevel="0" collapsed="false">
      <c r="A38" s="20" t="s">
        <v>431</v>
      </c>
      <c r="B38" s="20" t="s">
        <v>166</v>
      </c>
      <c r="C38" s="19" t="str">
        <f aca="false">IFERROR(INDEX('قائمة الوحدات'!$B$2:$B$41,MATCH($B38,'قائمة الوحدات'!$A$2:$A$41,0)),"")</f>
        <v>EXE</v>
      </c>
      <c r="D38" s="18" t="str">
        <f aca="false">IFERROR(INDEX('قائمة الوحدات'!$C$2:$C$41,MATCH($B38,'قائمة الوحدات'!$A$2:$A$41,0)),"")</f>
        <v>الشؤون التنفيذية</v>
      </c>
      <c r="E38" s="18" t="str">
        <f aca="false">IFERROR(INDEX('قائمة الوحدات'!$D$2:$D$41,MATCH($B38,'قائمة الوحدات'!$A$2:$A$41,0)),"")</f>
        <v>وكالة الشؤون الفنية</v>
      </c>
      <c r="F38" s="18" t="str">
        <f aca="false">IFERROR(INDEX('قائمة الوحدات'!$F$2:$F$41,MATCH($B38,'قائمة الوحدات'!$A$2:$A$41,0)),"")</f>
        <v>الإدارة العامة للجودة والتطوير</v>
      </c>
      <c r="G38" s="20" t="s">
        <v>44</v>
      </c>
      <c r="H38" s="18" t="str">
        <f aca="false">IFERROR(INDEX(المرجع!$A$2:$A$19,MATCH($G38,المرجع!$B$2:$B$19,0)),"")</f>
        <v>التصميم</v>
      </c>
      <c r="I38" s="20" t="s">
        <v>60</v>
      </c>
      <c r="J38" s="18" t="str">
        <f aca="false">IFERROR(INDEX(المرجع!$D$2:$D$19,MATCH($I38,المرجع!$E$2:$E$19,0)),"")</f>
        <v>الإجراءات</v>
      </c>
      <c r="K38" s="20" t="s">
        <v>88</v>
      </c>
      <c r="L38" s="21" t="str">
        <f aca="false">IFERROR(INDEX('نقاط التحقق'!$G$2:$G$31,MATCH($K38,'نقاط التحقق'!$A$2:$A$31,0))&amp;"","")</f>
        <v>تفصيل المخرجات إلى إجراءات عالية المستوى</v>
      </c>
      <c r="M38" s="18" t="str">
        <f aca="false">IFERROR(INDEX('نقاط التحقق'!$H$2:$H$31,MATCH($K38,'نقاط التحقق'!$A$2:$A$31,0))&amp;"","")</f>
        <v/>
      </c>
      <c r="N38" s="17" t="n">
        <v>83</v>
      </c>
      <c r="O38" s="17" t="n">
        <v>95</v>
      </c>
      <c r="P38" s="19" t="str">
        <f aca="false">IF($N38="","غير مقيّمة",IF($N38&gt;المرجع!$K$3,"مستوفاة بشكل متقدم",IF($N38&lt;=المرجع!$K$2,"مستوفاة بشكل أولي","مستوفاة بشكل جزئي")))</f>
        <v>مستوفاة بشكل متقدم</v>
      </c>
      <c r="Q38" s="22"/>
    </row>
    <row r="39" customFormat="false" ht="15" hidden="false" customHeight="true" outlineLevel="0" collapsed="false">
      <c r="A39" s="20" t="s">
        <v>432</v>
      </c>
      <c r="B39" s="20" t="s">
        <v>166</v>
      </c>
      <c r="C39" s="19" t="str">
        <f aca="false">IFERROR(INDEX('قائمة الوحدات'!$B$2:$B$41,MATCH($B39,'قائمة الوحدات'!$A$2:$A$41,0)),"")</f>
        <v>EXE</v>
      </c>
      <c r="D39" s="18" t="str">
        <f aca="false">IFERROR(INDEX('قائمة الوحدات'!$C$2:$C$41,MATCH($B39,'قائمة الوحدات'!$A$2:$A$41,0)),"")</f>
        <v>الشؤون التنفيذية</v>
      </c>
      <c r="E39" s="18" t="str">
        <f aca="false">IFERROR(INDEX('قائمة الوحدات'!$D$2:$D$41,MATCH($B39,'قائمة الوحدات'!$A$2:$A$41,0)),"")</f>
        <v>وكالة الشؤون الفنية</v>
      </c>
      <c r="F39" s="18" t="str">
        <f aca="false">IFERROR(INDEX('قائمة الوحدات'!$F$2:$F$41,MATCH($B39,'قائمة الوحدات'!$A$2:$A$41,0)),"")</f>
        <v>الإدارة العامة للجودة والتطوير</v>
      </c>
      <c r="G39" s="20" t="s">
        <v>62</v>
      </c>
      <c r="H39" s="18" t="str">
        <f aca="false">IFERROR(INDEX(المرجع!$A$2:$A$19,MATCH($G39,المرجع!$B$2:$B$19,0)),"")</f>
        <v>البناء المؤسسي</v>
      </c>
      <c r="I39" s="20" t="s">
        <v>46</v>
      </c>
      <c r="J39" s="18" t="str">
        <f aca="false">IFERROR(INDEX(المرجع!$D$2:$D$19,MATCH($I39,المرجع!$E$2:$E$19,0)),"")</f>
        <v>الدور</v>
      </c>
      <c r="K39" s="20" t="s">
        <v>90</v>
      </c>
      <c r="L39" s="21" t="str">
        <f aca="false">IFERROR(INDEX('نقاط التحقق'!$G$2:$G$31,MATCH($K39,'نقاط التحقق'!$A$2:$A$31,0))&amp;"","")</f>
        <v>دور معتمد للوحدة التنظيمية</v>
      </c>
      <c r="M39" s="18" t="str">
        <f aca="false">IFERROR(INDEX('نقاط التحقق'!$H$2:$H$31,MATCH($K39,'نقاط التحقق'!$A$2:$A$31,0))&amp;"","")</f>
        <v/>
      </c>
      <c r="N39" s="17" t="n">
        <v>73</v>
      </c>
      <c r="O39" s="17" t="n">
        <v>100</v>
      </c>
      <c r="P39" s="19" t="str">
        <f aca="false">IF($N39="","غير مقيّمة",IF($N39&gt;المرجع!$K$3,"مستوفاة بشكل متقدم",IF($N39&lt;=المرجع!$K$2,"مستوفاة بشكل أولي","مستوفاة بشكل جزئي")))</f>
        <v>مستوفاة بشكل متقدم</v>
      </c>
      <c r="Q39" s="22"/>
    </row>
    <row r="40" customFormat="false" ht="15" hidden="false" customHeight="true" outlineLevel="0" collapsed="false">
      <c r="A40" s="20" t="s">
        <v>433</v>
      </c>
      <c r="B40" s="20" t="s">
        <v>166</v>
      </c>
      <c r="C40" s="19" t="str">
        <f aca="false">IFERROR(INDEX('قائمة الوحدات'!$B$2:$B$41,MATCH($B40,'قائمة الوحدات'!$A$2:$A$41,0)),"")</f>
        <v>EXE</v>
      </c>
      <c r="D40" s="18" t="str">
        <f aca="false">IFERROR(INDEX('قائمة الوحدات'!$C$2:$C$41,MATCH($B40,'قائمة الوحدات'!$A$2:$A$41,0)),"")</f>
        <v>الشؤون التنفيذية</v>
      </c>
      <c r="E40" s="18" t="str">
        <f aca="false">IFERROR(INDEX('قائمة الوحدات'!$D$2:$D$41,MATCH($B40,'قائمة الوحدات'!$A$2:$A$41,0)),"")</f>
        <v>وكالة الشؤون الفنية</v>
      </c>
      <c r="F40" s="18" t="str">
        <f aca="false">IFERROR(INDEX('قائمة الوحدات'!$F$2:$F$41,MATCH($B40,'قائمة الوحدات'!$A$2:$A$41,0)),"")</f>
        <v>الإدارة العامة للجودة والتطوير</v>
      </c>
      <c r="G40" s="20" t="s">
        <v>62</v>
      </c>
      <c r="H40" s="18" t="str">
        <f aca="false">IFERROR(INDEX(المرجع!$A$2:$A$19,MATCH($G40,المرجع!$B$2:$B$19,0)),"")</f>
        <v>البناء المؤسسي</v>
      </c>
      <c r="I40" s="20" t="s">
        <v>49</v>
      </c>
      <c r="J40" s="18" t="str">
        <f aca="false">IFERROR(INDEX(المرجع!$D$2:$D$19,MATCH($I40,المرجع!$E$2:$E$19,0)),"")</f>
        <v>الأهداف ومؤشرات الأداء</v>
      </c>
      <c r="K40" s="20" t="s">
        <v>92</v>
      </c>
      <c r="L40" s="21" t="str">
        <f aca="false">IFERROR(INDEX('نقاط التحقق'!$G$2:$G$31,MATCH($K40,'نقاط التحقق'!$A$2:$A$31,0))&amp;"","")</f>
        <v>أهداف تشغيلية معتمدة من صاحب الصلاحية</v>
      </c>
      <c r="M40" s="18" t="str">
        <f aca="false">IFERROR(INDEX('نقاط التحقق'!$H$2:$H$31,MATCH($K40,'نقاط التحقق'!$A$2:$A$31,0))&amp;"","")</f>
        <v/>
      </c>
      <c r="N40" s="17" t="n">
        <v>75</v>
      </c>
      <c r="O40" s="17" t="n">
        <v>100</v>
      </c>
      <c r="P40" s="19" t="str">
        <f aca="false">IF($N40="","غير مقيّمة",IF($N40&gt;المرجع!$K$3,"مستوفاة بشكل متقدم",IF($N40&lt;=المرجع!$K$2,"مستوفاة بشكل أولي","مستوفاة بشكل جزئي")))</f>
        <v>مستوفاة بشكل متقدم</v>
      </c>
      <c r="Q40" s="22"/>
    </row>
    <row r="41" customFormat="false" ht="15" hidden="false" customHeight="true" outlineLevel="0" collapsed="false">
      <c r="A41" s="20" t="s">
        <v>434</v>
      </c>
      <c r="B41" s="20" t="s">
        <v>166</v>
      </c>
      <c r="C41" s="19" t="str">
        <f aca="false">IFERROR(INDEX('قائمة الوحدات'!$B$2:$B$41,MATCH($B41,'قائمة الوحدات'!$A$2:$A$41,0)),"")</f>
        <v>EXE</v>
      </c>
      <c r="D41" s="18" t="str">
        <f aca="false">IFERROR(INDEX('قائمة الوحدات'!$C$2:$C$41,MATCH($B41,'قائمة الوحدات'!$A$2:$A$41,0)),"")</f>
        <v>الشؤون التنفيذية</v>
      </c>
      <c r="E41" s="18" t="str">
        <f aca="false">IFERROR(INDEX('قائمة الوحدات'!$D$2:$D$41,MATCH($B41,'قائمة الوحدات'!$A$2:$A$41,0)),"")</f>
        <v>وكالة الشؤون الفنية</v>
      </c>
      <c r="F41" s="18" t="str">
        <f aca="false">IFERROR(INDEX('قائمة الوحدات'!$F$2:$F$41,MATCH($B41,'قائمة الوحدات'!$A$2:$A$41,0)),"")</f>
        <v>الإدارة العامة للجودة والتطوير</v>
      </c>
      <c r="G41" s="20" t="s">
        <v>62</v>
      </c>
      <c r="H41" s="18" t="str">
        <f aca="false">IFERROR(INDEX(المرجع!$A$2:$A$19,MATCH($G41,المرجع!$B$2:$B$19,0)),"")</f>
        <v>البناء المؤسسي</v>
      </c>
      <c r="I41" s="20" t="s">
        <v>49</v>
      </c>
      <c r="J41" s="18" t="str">
        <f aca="false">IFERROR(INDEX(المرجع!$D$2:$D$19,MATCH($I41,المرجع!$E$2:$E$19,0)),"")</f>
        <v>الأهداف ومؤشرات الأداء</v>
      </c>
      <c r="K41" s="20" t="s">
        <v>94</v>
      </c>
      <c r="L41" s="21" t="str">
        <f aca="false">IFERROR(INDEX('نقاط التحقق'!$G$2:$G$31,MATCH($K41,'نقاط التحقق'!$A$2:$A$31,0))&amp;"","")</f>
        <v>نشر الأهداف التشغيلية على موظفي الوحدة التنظيمية</v>
      </c>
      <c r="M41" s="18" t="str">
        <f aca="false">IFERROR(INDEX('نقاط التحقق'!$H$2:$H$31,MATCH($K41,'نقاط التحقق'!$A$2:$A$31,0))&amp;"","")</f>
        <v/>
      </c>
      <c r="N41" s="17" t="n">
        <v>65</v>
      </c>
      <c r="O41" s="17" t="n">
        <v>85</v>
      </c>
      <c r="P41" s="19" t="str">
        <f aca="false">IF($N41="","غير مقيّمة",IF($N41&gt;المرجع!$K$3,"مستوفاة بشكل متقدم",IF($N41&lt;=المرجع!$K$2,"مستوفاة بشكل أولي","مستوفاة بشكل جزئي")))</f>
        <v>مستوفاة بشكل جزئي</v>
      </c>
      <c r="Q41" s="22"/>
    </row>
    <row r="42" customFormat="false" ht="15" hidden="false" customHeight="true" outlineLevel="0" collapsed="false">
      <c r="A42" s="20" t="s">
        <v>435</v>
      </c>
      <c r="B42" s="20" t="s">
        <v>166</v>
      </c>
      <c r="C42" s="19" t="str">
        <f aca="false">IFERROR(INDEX('قائمة الوحدات'!$B$2:$B$41,MATCH($B42,'قائمة الوحدات'!$A$2:$A$41,0)),"")</f>
        <v>EXE</v>
      </c>
      <c r="D42" s="18" t="str">
        <f aca="false">IFERROR(INDEX('قائمة الوحدات'!$C$2:$C$41,MATCH($B42,'قائمة الوحدات'!$A$2:$A$41,0)),"")</f>
        <v>الشؤون التنفيذية</v>
      </c>
      <c r="E42" s="18" t="str">
        <f aca="false">IFERROR(INDEX('قائمة الوحدات'!$D$2:$D$41,MATCH($B42,'قائمة الوحدات'!$A$2:$A$41,0)),"")</f>
        <v>وكالة الشؤون الفنية</v>
      </c>
      <c r="F42" s="18" t="str">
        <f aca="false">IFERROR(INDEX('قائمة الوحدات'!$F$2:$F$41,MATCH($B42,'قائمة الوحدات'!$A$2:$A$41,0)),"")</f>
        <v>الإدارة العامة للجودة والتطوير</v>
      </c>
      <c r="G42" s="20" t="s">
        <v>62</v>
      </c>
      <c r="H42" s="18" t="str">
        <f aca="false">IFERROR(INDEX(المرجع!$A$2:$A$19,MATCH($G42,المرجع!$B$2:$B$19,0)),"")</f>
        <v>البناء المؤسسي</v>
      </c>
      <c r="I42" s="20" t="s">
        <v>52</v>
      </c>
      <c r="J42" s="18" t="str">
        <f aca="false">IFERROR(INDEX(المرجع!$D$2:$D$19,MATCH($I42,المرجع!$E$2:$E$19,0)),"")</f>
        <v>الحوكمة</v>
      </c>
      <c r="K42" s="20" t="s">
        <v>96</v>
      </c>
      <c r="L42" s="21" t="str">
        <f aca="false">IFERROR(INDEX('نقاط التحقق'!$G$2:$G$31,MATCH($K42,'نقاط التحقق'!$A$2:$A$31,0))&amp;"","")</f>
        <v>مصفوفة صلاحيات معتمدة ومعممة على أصحاب المصلحة</v>
      </c>
      <c r="M42" s="18" t="str">
        <f aca="false">IFERROR(INDEX('نقاط التحقق'!$H$2:$H$31,MATCH($K42,'نقاط التحقق'!$A$2:$A$31,0))&amp;"","")</f>
        <v/>
      </c>
      <c r="N42" s="17" t="n">
        <v>80</v>
      </c>
      <c r="O42" s="17" t="n">
        <v>90</v>
      </c>
      <c r="P42" s="19" t="str">
        <f aca="false">IF($N42="","غير مقيّمة",IF($N42&gt;المرجع!$K$3,"مستوفاة بشكل متقدم",IF($N42&lt;=المرجع!$K$2,"مستوفاة بشكل أولي","مستوفاة بشكل جزئي")))</f>
        <v>مستوفاة بشكل متقدم</v>
      </c>
      <c r="Q42" s="22"/>
    </row>
    <row r="43" customFormat="false" ht="15" hidden="false" customHeight="true" outlineLevel="0" collapsed="false">
      <c r="A43" s="20" t="s">
        <v>436</v>
      </c>
      <c r="B43" s="20" t="s">
        <v>166</v>
      </c>
      <c r="C43" s="19" t="str">
        <f aca="false">IFERROR(INDEX('قائمة الوحدات'!$B$2:$B$41,MATCH($B43,'قائمة الوحدات'!$A$2:$A$41,0)),"")</f>
        <v>EXE</v>
      </c>
      <c r="D43" s="18" t="str">
        <f aca="false">IFERROR(INDEX('قائمة الوحدات'!$C$2:$C$41,MATCH($B43,'قائمة الوحدات'!$A$2:$A$41,0)),"")</f>
        <v>الشؤون التنفيذية</v>
      </c>
      <c r="E43" s="18" t="str">
        <f aca="false">IFERROR(INDEX('قائمة الوحدات'!$D$2:$D$41,MATCH($B43,'قائمة الوحدات'!$A$2:$A$41,0)),"")</f>
        <v>وكالة الشؤون الفنية</v>
      </c>
      <c r="F43" s="18" t="str">
        <f aca="false">IFERROR(INDEX('قائمة الوحدات'!$F$2:$F$41,MATCH($B43,'قائمة الوحدات'!$A$2:$A$41,0)),"")</f>
        <v>الإدارة العامة للجودة والتطوير</v>
      </c>
      <c r="G43" s="20" t="s">
        <v>62</v>
      </c>
      <c r="H43" s="18" t="str">
        <f aca="false">IFERROR(INDEX(المرجع!$A$2:$A$19,MATCH($G43,المرجع!$B$2:$B$19,0)),"")</f>
        <v>البناء المؤسسي</v>
      </c>
      <c r="I43" s="20" t="s">
        <v>52</v>
      </c>
      <c r="J43" s="18" t="str">
        <f aca="false">IFERROR(INDEX(المرجع!$D$2:$D$19,MATCH($I43,المرجع!$E$2:$E$19,0)),"")</f>
        <v>الحوكمة</v>
      </c>
      <c r="K43" s="20" t="s">
        <v>98</v>
      </c>
      <c r="L43" s="21" t="str">
        <f aca="false">IFERROR(INDEX('نقاط التحقق'!$G$2:$G$31,MATCH($K43,'نقاط التحقق'!$A$2:$A$31,0))&amp;"","")</f>
        <v>سياسات معتمدة للتي تملكها الوحدة التنظيمية</v>
      </c>
      <c r="M43" s="18" t="str">
        <f aca="false">IFERROR(INDEX('نقاط التحقق'!$H$2:$H$31,MATCH($K43,'نقاط التحقق'!$A$2:$A$31,0))&amp;"","")</f>
        <v/>
      </c>
      <c r="N43" s="17" t="n">
        <v>75</v>
      </c>
      <c r="O43" s="17" t="n">
        <v>90</v>
      </c>
      <c r="P43" s="19" t="str">
        <f aca="false">IF($N43="","غير مقيّمة",IF($N43&gt;المرجع!$K$3,"مستوفاة بشكل متقدم",IF($N43&lt;=المرجع!$K$2,"مستوفاة بشكل أولي","مستوفاة بشكل جزئي")))</f>
        <v>مستوفاة بشكل متقدم</v>
      </c>
      <c r="Q43" s="22"/>
    </row>
    <row r="44" customFormat="false" ht="15" hidden="false" customHeight="true" outlineLevel="0" collapsed="false">
      <c r="A44" s="20" t="s">
        <v>437</v>
      </c>
      <c r="B44" s="20" t="s">
        <v>166</v>
      </c>
      <c r="C44" s="19" t="str">
        <f aca="false">IFERROR(INDEX('قائمة الوحدات'!$B$2:$B$41,MATCH($B44,'قائمة الوحدات'!$A$2:$A$41,0)),"")</f>
        <v>EXE</v>
      </c>
      <c r="D44" s="18" t="str">
        <f aca="false">IFERROR(INDEX('قائمة الوحدات'!$C$2:$C$41,MATCH($B44,'قائمة الوحدات'!$A$2:$A$41,0)),"")</f>
        <v>الشؤون التنفيذية</v>
      </c>
      <c r="E44" s="18" t="str">
        <f aca="false">IFERROR(INDEX('قائمة الوحدات'!$D$2:$D$41,MATCH($B44,'قائمة الوحدات'!$A$2:$A$41,0)),"")</f>
        <v>وكالة الشؤون الفنية</v>
      </c>
      <c r="F44" s="18" t="str">
        <f aca="false">IFERROR(INDEX('قائمة الوحدات'!$F$2:$F$41,MATCH($B44,'قائمة الوحدات'!$A$2:$A$41,0)),"")</f>
        <v>الإدارة العامة للجودة والتطوير</v>
      </c>
      <c r="G44" s="20" t="s">
        <v>62</v>
      </c>
      <c r="H44" s="18" t="str">
        <f aca="false">IFERROR(INDEX(المرجع!$A$2:$A$19,MATCH($G44,المرجع!$B$2:$B$19,0)),"")</f>
        <v>البناء المؤسسي</v>
      </c>
      <c r="I44" s="20" t="s">
        <v>52</v>
      </c>
      <c r="J44" s="18" t="str">
        <f aca="false">IFERROR(INDEX(المرجع!$D$2:$D$19,MATCH($I44,المرجع!$E$2:$E$19,0)),"")</f>
        <v>الحوكمة</v>
      </c>
      <c r="K44" s="20" t="s">
        <v>100</v>
      </c>
      <c r="L44" s="21" t="str">
        <f aca="false">IFERROR(INDEX('نقاط التحقق'!$G$2:$G$31,MATCH($K44,'نقاط التحقق'!$A$2:$A$31,0))&amp;"","")</f>
        <v>قرار تشكيل معتمد للجان ذات العلاقة</v>
      </c>
      <c r="M44" s="18" t="str">
        <f aca="false">IFERROR(INDEX('نقاط التحقق'!$H$2:$H$31,MATCH($K44,'نقاط التحقق'!$A$2:$A$31,0))&amp;"","")</f>
        <v/>
      </c>
      <c r="N44" s="17" t="n">
        <v>75</v>
      </c>
      <c r="O44" s="17" t="n">
        <v>80</v>
      </c>
      <c r="P44" s="19" t="str">
        <f aca="false">IF($N44="","غير مقيّمة",IF($N44&gt;المرجع!$K$3,"مستوفاة بشكل متقدم",IF($N44&lt;=المرجع!$K$2,"مستوفاة بشكل أولي","مستوفاة بشكل جزئي")))</f>
        <v>مستوفاة بشكل متقدم</v>
      </c>
      <c r="Q44" s="22"/>
    </row>
    <row r="45" customFormat="false" ht="15" hidden="false" customHeight="true" outlineLevel="0" collapsed="false">
      <c r="A45" s="20" t="s">
        <v>438</v>
      </c>
      <c r="B45" s="20" t="s">
        <v>166</v>
      </c>
      <c r="C45" s="19" t="str">
        <f aca="false">IFERROR(INDEX('قائمة الوحدات'!$B$2:$B$41,MATCH($B45,'قائمة الوحدات'!$A$2:$A$41,0)),"")</f>
        <v>EXE</v>
      </c>
      <c r="D45" s="18" t="str">
        <f aca="false">IFERROR(INDEX('قائمة الوحدات'!$C$2:$C$41,MATCH($B45,'قائمة الوحدات'!$A$2:$A$41,0)),"")</f>
        <v>الشؤون التنفيذية</v>
      </c>
      <c r="E45" s="18" t="str">
        <f aca="false">IFERROR(INDEX('قائمة الوحدات'!$D$2:$D$41,MATCH($B45,'قائمة الوحدات'!$A$2:$A$41,0)),"")</f>
        <v>وكالة الشؤون الفنية</v>
      </c>
      <c r="F45" s="18" t="str">
        <f aca="false">IFERROR(INDEX('قائمة الوحدات'!$F$2:$F$41,MATCH($B45,'قائمة الوحدات'!$A$2:$A$41,0)),"")</f>
        <v>الإدارة العامة للجودة والتطوير</v>
      </c>
      <c r="G45" s="20" t="s">
        <v>62</v>
      </c>
      <c r="H45" s="18" t="str">
        <f aca="false">IFERROR(INDEX(المرجع!$A$2:$A$19,MATCH($G45,المرجع!$B$2:$B$19,0)),"")</f>
        <v>البناء المؤسسي</v>
      </c>
      <c r="I45" s="20" t="s">
        <v>55</v>
      </c>
      <c r="J45" s="18" t="str">
        <f aca="false">IFERROR(INDEX(المرجع!$D$2:$D$19,MATCH($I45,المرجع!$E$2:$E$19,0)),"")</f>
        <v>التنظيم</v>
      </c>
      <c r="K45" s="20" t="s">
        <v>102</v>
      </c>
      <c r="L45" s="21" t="str">
        <f aca="false">IFERROR(INDEX('نقاط التحقق'!$G$2:$G$31,MATCH($K45,'نقاط التحقق'!$A$2:$A$31,0))&amp;"","")</f>
        <v>هيكل تنظيمي معتمد من صاحب الصلاحية</v>
      </c>
      <c r="M45" s="18" t="str">
        <f aca="false">IFERROR(INDEX('نقاط التحقق'!$H$2:$H$31,MATCH($K45,'نقاط التحقق'!$A$2:$A$31,0))&amp;"","")</f>
        <v/>
      </c>
      <c r="N45" s="17" t="n">
        <v>45</v>
      </c>
      <c r="O45" s="17" t="n">
        <v>85</v>
      </c>
      <c r="P45" s="19" t="str">
        <f aca="false">IF($N45="","غير مقيّمة",IF($N45&gt;المرجع!$K$3,"مستوفاة بشكل متقدم",IF($N45&lt;=المرجع!$K$2,"مستوفاة بشكل أولي","مستوفاة بشكل جزئي")))</f>
        <v>مستوفاة بشكل جزئي</v>
      </c>
      <c r="Q45" s="22"/>
    </row>
    <row r="46" customFormat="false" ht="15" hidden="false" customHeight="true" outlineLevel="0" collapsed="false">
      <c r="A46" s="20" t="s">
        <v>439</v>
      </c>
      <c r="B46" s="20" t="s">
        <v>166</v>
      </c>
      <c r="C46" s="19" t="str">
        <f aca="false">IFERROR(INDEX('قائمة الوحدات'!$B$2:$B$41,MATCH($B46,'قائمة الوحدات'!$A$2:$A$41,0)),"")</f>
        <v>EXE</v>
      </c>
      <c r="D46" s="18" t="str">
        <f aca="false">IFERROR(INDEX('قائمة الوحدات'!$C$2:$C$41,MATCH($B46,'قائمة الوحدات'!$A$2:$A$41,0)),"")</f>
        <v>الشؤون التنفيذية</v>
      </c>
      <c r="E46" s="18" t="str">
        <f aca="false">IFERROR(INDEX('قائمة الوحدات'!$D$2:$D$41,MATCH($B46,'قائمة الوحدات'!$A$2:$A$41,0)),"")</f>
        <v>وكالة الشؤون الفنية</v>
      </c>
      <c r="F46" s="18" t="str">
        <f aca="false">IFERROR(INDEX('قائمة الوحدات'!$F$2:$F$41,MATCH($B46,'قائمة الوحدات'!$A$2:$A$41,0)),"")</f>
        <v>الإدارة العامة للجودة والتطوير</v>
      </c>
      <c r="G46" s="20" t="s">
        <v>62</v>
      </c>
      <c r="H46" s="18" t="str">
        <f aca="false">IFERROR(INDEX(المرجع!$A$2:$A$19,MATCH($G46,المرجع!$B$2:$B$19,0)),"")</f>
        <v>البناء المؤسسي</v>
      </c>
      <c r="I46" s="20" t="s">
        <v>55</v>
      </c>
      <c r="J46" s="18" t="str">
        <f aca="false">IFERROR(INDEX(المرجع!$D$2:$D$19,MATCH($I46,المرجع!$E$2:$E$19,0)),"")</f>
        <v>التنظيم</v>
      </c>
      <c r="K46" s="20" t="s">
        <v>104</v>
      </c>
      <c r="L46" s="21" t="str">
        <f aca="false">IFERROR(INDEX('نقاط التحقق'!$G$2:$G$31,MATCH($K46,'نقاط التحقق'!$A$2:$A$31,0))&amp;"","")</f>
        <v>هيكل تنظيمي منشأ على نظام القوى العاملة</v>
      </c>
      <c r="M46" s="18" t="str">
        <f aca="false">IFERROR(INDEX('نقاط التحقق'!$H$2:$H$31,MATCH($K46,'نقاط التحقق'!$A$2:$A$31,0))&amp;"","")</f>
        <v/>
      </c>
      <c r="N46" s="17" t="n">
        <v>75</v>
      </c>
      <c r="O46" s="17" t="n">
        <v>95</v>
      </c>
      <c r="P46" s="19" t="str">
        <f aca="false">IF($N46="","غير مقيّمة",IF($N46&gt;المرجع!$K$3,"مستوفاة بشكل متقدم",IF($N46&lt;=المرجع!$K$2,"مستوفاة بشكل أولي","مستوفاة بشكل جزئي")))</f>
        <v>مستوفاة بشكل متقدم</v>
      </c>
      <c r="Q46" s="22"/>
    </row>
    <row r="47" customFormat="false" ht="15" hidden="false" customHeight="true" outlineLevel="0" collapsed="false">
      <c r="A47" s="20" t="s">
        <v>440</v>
      </c>
      <c r="B47" s="20" t="s">
        <v>166</v>
      </c>
      <c r="C47" s="19" t="str">
        <f aca="false">IFERROR(INDEX('قائمة الوحدات'!$B$2:$B$41,MATCH($B47,'قائمة الوحدات'!$A$2:$A$41,0)),"")</f>
        <v>EXE</v>
      </c>
      <c r="D47" s="18" t="str">
        <f aca="false">IFERROR(INDEX('قائمة الوحدات'!$C$2:$C$41,MATCH($B47,'قائمة الوحدات'!$A$2:$A$41,0)),"")</f>
        <v>الشؤون التنفيذية</v>
      </c>
      <c r="E47" s="18" t="str">
        <f aca="false">IFERROR(INDEX('قائمة الوحدات'!$D$2:$D$41,MATCH($B47,'قائمة الوحدات'!$A$2:$A$41,0)),"")</f>
        <v>وكالة الشؤون الفنية</v>
      </c>
      <c r="F47" s="18" t="str">
        <f aca="false">IFERROR(INDEX('قائمة الوحدات'!$F$2:$F$41,MATCH($B47,'قائمة الوحدات'!$A$2:$A$41,0)),"")</f>
        <v>الإدارة العامة للجودة والتطوير</v>
      </c>
      <c r="G47" s="20" t="s">
        <v>62</v>
      </c>
      <c r="H47" s="18" t="str">
        <f aca="false">IFERROR(INDEX(المرجع!$A$2:$A$19,MATCH($G47,المرجع!$B$2:$B$19,0)),"")</f>
        <v>البناء المؤسسي</v>
      </c>
      <c r="I47" s="20" t="s">
        <v>55</v>
      </c>
      <c r="J47" s="18" t="str">
        <f aca="false">IFERROR(INDEX(المرجع!$D$2:$D$19,MATCH($I47,المرجع!$E$2:$E$19,0)),"")</f>
        <v>التنظيم</v>
      </c>
      <c r="K47" s="20" t="s">
        <v>106</v>
      </c>
      <c r="L47" s="21" t="str">
        <f aca="false">IFERROR(INDEX('نقاط التحقق'!$G$2:$G$31,MATCH($K47,'نقاط التحقق'!$A$2:$A$31,0))&amp;"","")</f>
        <v>الموظفون المحددون مسكّنون على الهيكل التنظيمي المستهدف</v>
      </c>
      <c r="M47" s="18" t="str">
        <f aca="false">IFERROR(INDEX('نقاط التحقق'!$H$2:$H$31,MATCH($K47,'نقاط التحقق'!$A$2:$A$31,0))&amp;"","")</f>
        <v/>
      </c>
      <c r="N47" s="17" t="n">
        <v>55</v>
      </c>
      <c r="O47" s="17" t="n">
        <v>100</v>
      </c>
      <c r="P47" s="19" t="str">
        <f aca="false">IF($N47="","غير مقيّمة",IF($N47&gt;المرجع!$K$3,"مستوفاة بشكل متقدم",IF($N47&lt;=المرجع!$K$2,"مستوفاة بشكل أولي","مستوفاة بشكل جزئي")))</f>
        <v>مستوفاة بشكل جزئي</v>
      </c>
      <c r="Q47" s="22"/>
    </row>
    <row r="48" customFormat="false" ht="15" hidden="false" customHeight="true" outlineLevel="0" collapsed="false">
      <c r="A48" s="20" t="s">
        <v>441</v>
      </c>
      <c r="B48" s="20" t="s">
        <v>166</v>
      </c>
      <c r="C48" s="19" t="str">
        <f aca="false">IFERROR(INDEX('قائمة الوحدات'!$B$2:$B$41,MATCH($B48,'قائمة الوحدات'!$A$2:$A$41,0)),"")</f>
        <v>EXE</v>
      </c>
      <c r="D48" s="18" t="str">
        <f aca="false">IFERROR(INDEX('قائمة الوحدات'!$C$2:$C$41,MATCH($B48,'قائمة الوحدات'!$A$2:$A$41,0)),"")</f>
        <v>الشؤون التنفيذية</v>
      </c>
      <c r="E48" s="18" t="str">
        <f aca="false">IFERROR(INDEX('قائمة الوحدات'!$D$2:$D$41,MATCH($B48,'قائمة الوحدات'!$A$2:$A$41,0)),"")</f>
        <v>وكالة الشؤون الفنية</v>
      </c>
      <c r="F48" s="18" t="str">
        <f aca="false">IFERROR(INDEX('قائمة الوحدات'!$F$2:$F$41,MATCH($B48,'قائمة الوحدات'!$A$2:$A$41,0)),"")</f>
        <v>الإدارة العامة للجودة والتطوير</v>
      </c>
      <c r="G48" s="20" t="s">
        <v>62</v>
      </c>
      <c r="H48" s="18" t="str">
        <f aca="false">IFERROR(INDEX(المرجع!$A$2:$A$19,MATCH($G48,المرجع!$B$2:$B$19,0)),"")</f>
        <v>البناء المؤسسي</v>
      </c>
      <c r="I48" s="20" t="s">
        <v>57</v>
      </c>
      <c r="J48" s="18" t="str">
        <f aca="false">IFERROR(INDEX(المرجع!$D$2:$D$19,MATCH($I48,المرجع!$E$2:$E$19,0)),"")</f>
        <v>الموارد</v>
      </c>
      <c r="K48" s="20" t="s">
        <v>108</v>
      </c>
      <c r="L48" s="21" t="str">
        <f aca="false">IFERROR(INDEX('نقاط التحقق'!$G$2:$G$31,MATCH($K48,'نقاط التحقق'!$A$2:$A$31,0))&amp;"","")</f>
        <v>مدير الوحدة التنظيمية والموظفون الرئيسيون معينون/ملحقون</v>
      </c>
      <c r="M48" s="18" t="str">
        <f aca="false">IFERROR(INDEX('نقاط التحقق'!$H$2:$H$31,MATCH($K48,'نقاط التحقق'!$A$2:$A$31,0))&amp;"","")</f>
        <v/>
      </c>
      <c r="N48" s="17" t="n">
        <v>65</v>
      </c>
      <c r="O48" s="17" t="n">
        <v>90</v>
      </c>
      <c r="P48" s="19" t="str">
        <f aca="false">IF($N48="","غير مقيّمة",IF($N48&gt;المرجع!$K$3,"مستوفاة بشكل متقدم",IF($N48&lt;=المرجع!$K$2,"مستوفاة بشكل أولي","مستوفاة بشكل جزئي")))</f>
        <v>مستوفاة بشكل جزئي</v>
      </c>
      <c r="Q48" s="22"/>
    </row>
    <row r="49" customFormat="false" ht="15" hidden="false" customHeight="true" outlineLevel="0" collapsed="false">
      <c r="A49" s="20" t="s">
        <v>442</v>
      </c>
      <c r="B49" s="20" t="s">
        <v>166</v>
      </c>
      <c r="C49" s="19" t="str">
        <f aca="false">IFERROR(INDEX('قائمة الوحدات'!$B$2:$B$41,MATCH($B49,'قائمة الوحدات'!$A$2:$A$41,0)),"")</f>
        <v>EXE</v>
      </c>
      <c r="D49" s="18" t="str">
        <f aca="false">IFERROR(INDEX('قائمة الوحدات'!$C$2:$C$41,MATCH($B49,'قائمة الوحدات'!$A$2:$A$41,0)),"")</f>
        <v>الشؤون التنفيذية</v>
      </c>
      <c r="E49" s="18" t="str">
        <f aca="false">IFERROR(INDEX('قائمة الوحدات'!$D$2:$D$41,MATCH($B49,'قائمة الوحدات'!$A$2:$A$41,0)),"")</f>
        <v>وكالة الشؤون الفنية</v>
      </c>
      <c r="F49" s="18" t="str">
        <f aca="false">IFERROR(INDEX('قائمة الوحدات'!$F$2:$F$41,MATCH($B49,'قائمة الوحدات'!$A$2:$A$41,0)),"")</f>
        <v>الإدارة العامة للجودة والتطوير</v>
      </c>
      <c r="G49" s="20" t="s">
        <v>62</v>
      </c>
      <c r="H49" s="18" t="str">
        <f aca="false">IFERROR(INDEX(المرجع!$A$2:$A$19,MATCH($G49,المرجع!$B$2:$B$19,0)),"")</f>
        <v>البناء المؤسسي</v>
      </c>
      <c r="I49" s="20" t="s">
        <v>57</v>
      </c>
      <c r="J49" s="18" t="str">
        <f aca="false">IFERROR(INDEX(المرجع!$D$2:$D$19,MATCH($I49,المرجع!$E$2:$E$19,0)),"")</f>
        <v>الموارد</v>
      </c>
      <c r="K49" s="20" t="s">
        <v>110</v>
      </c>
      <c r="L49" s="21" t="str">
        <f aca="false">IFERROR(INDEX('نقاط التحقق'!$G$2:$G$31,MATCH($K49,'نقاط التحقق'!$A$2:$A$31,0))&amp;"","")</f>
        <v>خطة توظيف وتدريب مستكملة</v>
      </c>
      <c r="M49" s="18" t="str">
        <f aca="false">IFERROR(INDEX('نقاط التحقق'!$H$2:$H$31,MATCH($K49,'نقاط التحقق'!$A$2:$A$31,0))&amp;"","")</f>
        <v/>
      </c>
      <c r="N49" s="17" t="n">
        <v>45</v>
      </c>
      <c r="O49" s="17" t="n">
        <v>100</v>
      </c>
      <c r="P49" s="19" t="str">
        <f aca="false">IF($N49="","غير مقيّمة",IF($N49&gt;المرجع!$K$3,"مستوفاة بشكل متقدم",IF($N49&lt;=المرجع!$K$2,"مستوفاة بشكل أولي","مستوفاة بشكل جزئي")))</f>
        <v>مستوفاة بشكل جزئي</v>
      </c>
      <c r="Q49" s="22"/>
    </row>
    <row r="50" customFormat="false" ht="15" hidden="false" customHeight="true" outlineLevel="0" collapsed="false">
      <c r="A50" s="20" t="s">
        <v>443</v>
      </c>
      <c r="B50" s="20" t="s">
        <v>166</v>
      </c>
      <c r="C50" s="19" t="str">
        <f aca="false">IFERROR(INDEX('قائمة الوحدات'!$B$2:$B$41,MATCH($B50,'قائمة الوحدات'!$A$2:$A$41,0)),"")</f>
        <v>EXE</v>
      </c>
      <c r="D50" s="18" t="str">
        <f aca="false">IFERROR(INDEX('قائمة الوحدات'!$C$2:$C$41,MATCH($B50,'قائمة الوحدات'!$A$2:$A$41,0)),"")</f>
        <v>الشؤون التنفيذية</v>
      </c>
      <c r="E50" s="18" t="str">
        <f aca="false">IFERROR(INDEX('قائمة الوحدات'!$D$2:$D$41,MATCH($B50,'قائمة الوحدات'!$A$2:$A$41,0)),"")</f>
        <v>وكالة الشؤون الفنية</v>
      </c>
      <c r="F50" s="18" t="str">
        <f aca="false">IFERROR(INDEX('قائمة الوحدات'!$F$2:$F$41,MATCH($B50,'قائمة الوحدات'!$A$2:$A$41,0)),"")</f>
        <v>الإدارة العامة للجودة والتطوير</v>
      </c>
      <c r="G50" s="20" t="s">
        <v>62</v>
      </c>
      <c r="H50" s="18" t="str">
        <f aca="false">IFERROR(INDEX(المرجع!$A$2:$A$19,MATCH($G50,المرجع!$B$2:$B$19,0)),"")</f>
        <v>البناء المؤسسي</v>
      </c>
      <c r="I50" s="20" t="s">
        <v>57</v>
      </c>
      <c r="J50" s="18" t="str">
        <f aca="false">IFERROR(INDEX(المرجع!$D$2:$D$19,MATCH($I50,المرجع!$E$2:$E$19,0)),"")</f>
        <v>الموارد</v>
      </c>
      <c r="K50" s="20" t="s">
        <v>112</v>
      </c>
      <c r="L50" s="21" t="str">
        <f aca="false">IFERROR(INDEX('نقاط التحقق'!$G$2:$G$31,MATCH($K50,'نقاط التحقق'!$A$2:$A$31,0))&amp;"","")</f>
        <v>وجود مساحات مكتبية كافية</v>
      </c>
      <c r="M50" s="18" t="str">
        <f aca="false">IFERROR(INDEX('نقاط التحقق'!$H$2:$H$31,MATCH($K50,'نقاط التحقق'!$A$2:$A$31,0))&amp;"","")</f>
        <v/>
      </c>
      <c r="N50" s="17" t="n">
        <v>35</v>
      </c>
      <c r="O50" s="17" t="n">
        <v>100</v>
      </c>
      <c r="P50" s="19" t="str">
        <f aca="false">IF($N50="","غير مقيّمة",IF($N50&gt;المرجع!$K$3,"مستوفاة بشكل متقدم",IF($N50&lt;=المرجع!$K$2,"مستوفاة بشكل أولي","مستوفاة بشكل جزئي")))</f>
        <v>مستوفاة بشكل جزئي</v>
      </c>
      <c r="Q50" s="22"/>
    </row>
    <row r="51" customFormat="false" ht="15" hidden="false" customHeight="true" outlineLevel="0" collapsed="false">
      <c r="A51" s="20" t="s">
        <v>444</v>
      </c>
      <c r="B51" s="20" t="s">
        <v>166</v>
      </c>
      <c r="C51" s="19" t="str">
        <f aca="false">IFERROR(INDEX('قائمة الوحدات'!$B$2:$B$41,MATCH($B51,'قائمة الوحدات'!$A$2:$A$41,0)),"")</f>
        <v>EXE</v>
      </c>
      <c r="D51" s="18" t="str">
        <f aca="false">IFERROR(INDEX('قائمة الوحدات'!$C$2:$C$41,MATCH($B51,'قائمة الوحدات'!$A$2:$A$41,0)),"")</f>
        <v>الشؤون التنفيذية</v>
      </c>
      <c r="E51" s="18" t="str">
        <f aca="false">IFERROR(INDEX('قائمة الوحدات'!$D$2:$D$41,MATCH($B51,'قائمة الوحدات'!$A$2:$A$41,0)),"")</f>
        <v>وكالة الشؤون الفنية</v>
      </c>
      <c r="F51" s="18" t="str">
        <f aca="false">IFERROR(INDEX('قائمة الوحدات'!$F$2:$F$41,MATCH($B51,'قائمة الوحدات'!$A$2:$A$41,0)),"")</f>
        <v>الإدارة العامة للجودة والتطوير</v>
      </c>
      <c r="G51" s="20" t="s">
        <v>62</v>
      </c>
      <c r="H51" s="18" t="str">
        <f aca="false">IFERROR(INDEX(المرجع!$A$2:$A$19,MATCH($G51,المرجع!$B$2:$B$19,0)),"")</f>
        <v>البناء المؤسسي</v>
      </c>
      <c r="I51" s="20" t="s">
        <v>57</v>
      </c>
      <c r="J51" s="18" t="str">
        <f aca="false">IFERROR(INDEX(المرجع!$D$2:$D$19,MATCH($I51,المرجع!$E$2:$E$19,0)),"")</f>
        <v>الموارد</v>
      </c>
      <c r="K51" s="20" t="s">
        <v>114</v>
      </c>
      <c r="L51" s="21" t="str">
        <f aca="false">IFERROR(INDEX('نقاط التحقق'!$G$2:$G$31,MATCH($K51,'نقاط التحقق'!$A$2:$A$31,0))&amp;"","")</f>
        <v>وجود الاحتياجات التقنية الأساسية</v>
      </c>
      <c r="M51" s="18" t="str">
        <f aca="false">IFERROR(INDEX('نقاط التحقق'!$H$2:$H$31,MATCH($K51,'نقاط التحقق'!$A$2:$A$31,0))&amp;"","")</f>
        <v/>
      </c>
      <c r="N51" s="17" t="n">
        <v>55</v>
      </c>
      <c r="O51" s="17" t="n">
        <v>90</v>
      </c>
      <c r="P51" s="19" t="str">
        <f aca="false">IF($N51="","غير مقيّمة",IF($N51&gt;المرجع!$K$3,"مستوفاة بشكل متقدم",IF($N51&lt;=المرجع!$K$2,"مستوفاة بشكل أولي","مستوفاة بشكل جزئي")))</f>
        <v>مستوفاة بشكل جزئي</v>
      </c>
      <c r="Q51" s="22"/>
    </row>
    <row r="52" customFormat="false" ht="15" hidden="false" customHeight="true" outlineLevel="0" collapsed="false">
      <c r="A52" s="20" t="s">
        <v>445</v>
      </c>
      <c r="B52" s="20" t="s">
        <v>166</v>
      </c>
      <c r="C52" s="19" t="str">
        <f aca="false">IFERROR(INDEX('قائمة الوحدات'!$B$2:$B$41,MATCH($B52,'قائمة الوحدات'!$A$2:$A$41,0)),"")</f>
        <v>EXE</v>
      </c>
      <c r="D52" s="18" t="str">
        <f aca="false">IFERROR(INDEX('قائمة الوحدات'!$C$2:$C$41,MATCH($B52,'قائمة الوحدات'!$A$2:$A$41,0)),"")</f>
        <v>الشؤون التنفيذية</v>
      </c>
      <c r="E52" s="18" t="str">
        <f aca="false">IFERROR(INDEX('قائمة الوحدات'!$D$2:$D$41,MATCH($B52,'قائمة الوحدات'!$A$2:$A$41,0)),"")</f>
        <v>وكالة الشؤون الفنية</v>
      </c>
      <c r="F52" s="18" t="str">
        <f aca="false">IFERROR(INDEX('قائمة الوحدات'!$F$2:$F$41,MATCH($B52,'قائمة الوحدات'!$A$2:$A$41,0)),"")</f>
        <v>الإدارة العامة للجودة والتطوير</v>
      </c>
      <c r="G52" s="20" t="s">
        <v>62</v>
      </c>
      <c r="H52" s="18" t="str">
        <f aca="false">IFERROR(INDEX(المرجع!$A$2:$A$19,MATCH($G52,المرجع!$B$2:$B$19,0)),"")</f>
        <v>البناء المؤسسي</v>
      </c>
      <c r="I52" s="20" t="s">
        <v>60</v>
      </c>
      <c r="J52" s="18" t="str">
        <f aca="false">IFERROR(INDEX(المرجع!$D$2:$D$19,MATCH($I52,المرجع!$E$2:$E$19,0)),"")</f>
        <v>الإجراءات</v>
      </c>
      <c r="K52" s="20" t="s">
        <v>116</v>
      </c>
      <c r="L52" s="21" t="str">
        <f aca="false">IFERROR(INDEX('نقاط التحقق'!$G$2:$G$31,MATCH($K52,'نقاط التحقق'!$A$2:$A$31,0))&amp;"","")</f>
        <v>إجراءات معتمدة للوحدة التنظيمية</v>
      </c>
      <c r="M52" s="18" t="str">
        <f aca="false">IFERROR(INDEX('نقاط التحقق'!$H$2:$H$31,MATCH($K52,'نقاط التحقق'!$A$2:$A$31,0))&amp;"","")</f>
        <v/>
      </c>
      <c r="N52" s="17" t="n">
        <v>50</v>
      </c>
      <c r="O52" s="17" t="n">
        <v>85</v>
      </c>
      <c r="P52" s="19" t="str">
        <f aca="false">IF($N52="","غير مقيّمة",IF($N52&gt;المرجع!$K$3,"مستوفاة بشكل متقدم",IF($N52&lt;=المرجع!$K$2,"مستوفاة بشكل أولي","مستوفاة بشكل جزئي")))</f>
        <v>مستوفاة بشكل جزئي</v>
      </c>
      <c r="Q52" s="22"/>
    </row>
    <row r="53" customFormat="false" ht="15" hidden="false" customHeight="true" outlineLevel="0" collapsed="false">
      <c r="A53" s="20" t="s">
        <v>446</v>
      </c>
      <c r="B53" s="20" t="s">
        <v>166</v>
      </c>
      <c r="C53" s="19" t="str">
        <f aca="false">IFERROR(INDEX('قائمة الوحدات'!$B$2:$B$41,MATCH($B53,'قائمة الوحدات'!$A$2:$A$41,0)),"")</f>
        <v>EXE</v>
      </c>
      <c r="D53" s="18" t="str">
        <f aca="false">IFERROR(INDEX('قائمة الوحدات'!$C$2:$C$41,MATCH($B53,'قائمة الوحدات'!$A$2:$A$41,0)),"")</f>
        <v>الشؤون التنفيذية</v>
      </c>
      <c r="E53" s="18" t="str">
        <f aca="false">IFERROR(INDEX('قائمة الوحدات'!$D$2:$D$41,MATCH($B53,'قائمة الوحدات'!$A$2:$A$41,0)),"")</f>
        <v>وكالة الشؤون الفنية</v>
      </c>
      <c r="F53" s="18" t="str">
        <f aca="false">IFERROR(INDEX('قائمة الوحدات'!$F$2:$F$41,MATCH($B53,'قائمة الوحدات'!$A$2:$A$41,0)),"")</f>
        <v>الإدارة العامة للجودة والتطوير</v>
      </c>
      <c r="G53" s="20" t="s">
        <v>62</v>
      </c>
      <c r="H53" s="18" t="str">
        <f aca="false">IFERROR(INDEX(المرجع!$A$2:$A$19,MATCH($G53,المرجع!$B$2:$B$19,0)),"")</f>
        <v>البناء المؤسسي</v>
      </c>
      <c r="I53" s="20" t="s">
        <v>69</v>
      </c>
      <c r="J53" s="18" t="str">
        <f aca="false">IFERROR(INDEX(المرجع!$D$2:$D$19,MATCH($I53,المرجع!$E$2:$E$19,0)),"")</f>
        <v>إنتاج المخرج الأول</v>
      </c>
      <c r="K53" s="20" t="s">
        <v>118</v>
      </c>
      <c r="L53" s="21" t="str">
        <f aca="false">IFERROR(INDEX('نقاط التحقق'!$G$2:$G$31,MATCH($K53,'نقاط التحقق'!$A$2:$A$31,0))&amp;"","")</f>
        <v>إنتاج المخرج الأول من قبل الوحدة التنظيمية</v>
      </c>
      <c r="M53" s="18" t="str">
        <f aca="false">IFERROR(INDEX('نقاط التحقق'!$H$2:$H$31,MATCH($K53,'نقاط التحقق'!$A$2:$A$31,0))&amp;"","")</f>
        <v/>
      </c>
      <c r="N53" s="17" t="n">
        <v>81</v>
      </c>
      <c r="O53" s="17" t="n">
        <v>100</v>
      </c>
      <c r="P53" s="19" t="str">
        <f aca="false">IF($N53="","غير مقيّمة",IF($N53&gt;المرجع!$K$3,"مستوفاة بشكل متقدم",IF($N53&lt;=المرجع!$K$2,"مستوفاة بشكل أولي","مستوفاة بشكل جزئي")))</f>
        <v>مستوفاة بشكل متقدم</v>
      </c>
      <c r="Q53" s="22"/>
    </row>
    <row r="54" customFormat="false" ht="15" hidden="false" customHeight="true" outlineLevel="0" collapsed="false">
      <c r="A54" s="20" t="s">
        <v>447</v>
      </c>
      <c r="B54" s="20" t="s">
        <v>166</v>
      </c>
      <c r="C54" s="19" t="str">
        <f aca="false">IFERROR(INDEX('قائمة الوحدات'!$B$2:$B$41,MATCH($B54,'قائمة الوحدات'!$A$2:$A$41,0)),"")</f>
        <v>EXE</v>
      </c>
      <c r="D54" s="18" t="str">
        <f aca="false">IFERROR(INDEX('قائمة الوحدات'!$C$2:$C$41,MATCH($B54,'قائمة الوحدات'!$A$2:$A$41,0)),"")</f>
        <v>الشؤون التنفيذية</v>
      </c>
      <c r="E54" s="18" t="str">
        <f aca="false">IFERROR(INDEX('قائمة الوحدات'!$D$2:$D$41,MATCH($B54,'قائمة الوحدات'!$A$2:$A$41,0)),"")</f>
        <v>وكالة الشؤون الفنية</v>
      </c>
      <c r="F54" s="18" t="str">
        <f aca="false">IFERROR(INDEX('قائمة الوحدات'!$F$2:$F$41,MATCH($B54,'قائمة الوحدات'!$A$2:$A$41,0)),"")</f>
        <v>الإدارة العامة للجودة والتطوير</v>
      </c>
      <c r="G54" s="20" t="s">
        <v>66</v>
      </c>
      <c r="H54" s="18" t="str">
        <f aca="false">IFERROR(INDEX(المرجع!$A$2:$A$19,MATCH($G54,المرجع!$B$2:$B$19,0)),"")</f>
        <v>التشغيل</v>
      </c>
      <c r="I54" s="20" t="s">
        <v>49</v>
      </c>
      <c r="J54" s="18" t="str">
        <f aca="false">IFERROR(INDEX(المرجع!$D$2:$D$19,MATCH($I54,المرجع!$E$2:$E$19,0)),"")</f>
        <v>الأهداف ومؤشرات الأداء</v>
      </c>
      <c r="K54" s="20" t="s">
        <v>120</v>
      </c>
      <c r="L54" s="21" t="str">
        <f aca="false">IFERROR(INDEX('نقاط التحقق'!$G$2:$G$31,MATCH($K54,'نقاط التحقق'!$A$2:$A$31,0))&amp;"","")</f>
        <v>تحرك مؤشرات الأداء التشغيلي للوحدة التنظيمية بشكل إيجابي</v>
      </c>
      <c r="M54" s="18" t="str">
        <f aca="false">IFERROR(INDEX('نقاط التحقق'!$H$2:$H$31,MATCH($K54,'نقاط التحقق'!$A$2:$A$31,0))&amp;"","")</f>
        <v/>
      </c>
      <c r="N54" s="17" t="n">
        <v>15</v>
      </c>
      <c r="O54" s="17" t="n">
        <v>100</v>
      </c>
      <c r="P54" s="19" t="str">
        <f aca="false">IF($N54="","غير مقيّمة",IF($N54&gt;المرجع!$K$3,"مستوفاة بشكل متقدم",IF($N54&lt;=المرجع!$K$2,"مستوفاة بشكل أولي","مستوفاة بشكل جزئي")))</f>
        <v>مستوفاة بشكل أولي</v>
      </c>
      <c r="Q54" s="22"/>
    </row>
    <row r="55" customFormat="false" ht="15" hidden="false" customHeight="true" outlineLevel="0" collapsed="false">
      <c r="A55" s="20" t="s">
        <v>448</v>
      </c>
      <c r="B55" s="20" t="s">
        <v>166</v>
      </c>
      <c r="C55" s="19" t="str">
        <f aca="false">IFERROR(INDEX('قائمة الوحدات'!$B$2:$B$41,MATCH($B55,'قائمة الوحدات'!$A$2:$A$41,0)),"")</f>
        <v>EXE</v>
      </c>
      <c r="D55" s="18" t="str">
        <f aca="false">IFERROR(INDEX('قائمة الوحدات'!$C$2:$C$41,MATCH($B55,'قائمة الوحدات'!$A$2:$A$41,0)),"")</f>
        <v>الشؤون التنفيذية</v>
      </c>
      <c r="E55" s="18" t="str">
        <f aca="false">IFERROR(INDEX('قائمة الوحدات'!$D$2:$D$41,MATCH($B55,'قائمة الوحدات'!$A$2:$A$41,0)),"")</f>
        <v>وكالة الشؤون الفنية</v>
      </c>
      <c r="F55" s="18" t="str">
        <f aca="false">IFERROR(INDEX('قائمة الوحدات'!$F$2:$F$41,MATCH($B55,'قائمة الوحدات'!$A$2:$A$41,0)),"")</f>
        <v>الإدارة العامة للجودة والتطوير</v>
      </c>
      <c r="G55" s="20" t="s">
        <v>66</v>
      </c>
      <c r="H55" s="18" t="str">
        <f aca="false">IFERROR(INDEX(المرجع!$A$2:$A$19,MATCH($G55,المرجع!$B$2:$B$19,0)),"")</f>
        <v>التشغيل</v>
      </c>
      <c r="I55" s="20" t="s">
        <v>49</v>
      </c>
      <c r="J55" s="18" t="str">
        <f aca="false">IFERROR(INDEX(المرجع!$D$2:$D$19,MATCH($I55,المرجع!$E$2:$E$19,0)),"")</f>
        <v>الأهداف ومؤشرات الأداء</v>
      </c>
      <c r="K55" s="20" t="s">
        <v>122</v>
      </c>
      <c r="L55" s="21" t="str">
        <f aca="false">IFERROR(INDEX('نقاط التحقق'!$G$2:$G$31,MATCH($K55,'نقاط التحقق'!$A$2:$A$31,0))&amp;"","")</f>
        <v>خطة سنوية معتمدة للوحدة التنظيمية</v>
      </c>
      <c r="M55" s="18" t="str">
        <f aca="false">IFERROR(INDEX('نقاط التحقق'!$H$2:$H$31,MATCH($K55,'نقاط التحقق'!$A$2:$A$31,0))&amp;"","")</f>
        <v/>
      </c>
      <c r="N55" s="17" t="n">
        <v>25</v>
      </c>
      <c r="O55" s="17" t="n">
        <v>100</v>
      </c>
      <c r="P55" s="19" t="str">
        <f aca="false">IF($N55="","غير مقيّمة",IF($N55&gt;المرجع!$K$3,"مستوفاة بشكل متقدم",IF($N55&lt;=المرجع!$K$2,"مستوفاة بشكل أولي","مستوفاة بشكل جزئي")))</f>
        <v>مستوفاة بشكل أولي</v>
      </c>
      <c r="Q55" s="22"/>
    </row>
    <row r="56" customFormat="false" ht="15" hidden="false" customHeight="true" outlineLevel="0" collapsed="false">
      <c r="A56" s="20" t="s">
        <v>449</v>
      </c>
      <c r="B56" s="20" t="s">
        <v>166</v>
      </c>
      <c r="C56" s="19" t="str">
        <f aca="false">IFERROR(INDEX('قائمة الوحدات'!$B$2:$B$41,MATCH($B56,'قائمة الوحدات'!$A$2:$A$41,0)),"")</f>
        <v>EXE</v>
      </c>
      <c r="D56" s="18" t="str">
        <f aca="false">IFERROR(INDEX('قائمة الوحدات'!$C$2:$C$41,MATCH($B56,'قائمة الوحدات'!$A$2:$A$41,0)),"")</f>
        <v>الشؤون التنفيذية</v>
      </c>
      <c r="E56" s="18" t="str">
        <f aca="false">IFERROR(INDEX('قائمة الوحدات'!$D$2:$D$41,MATCH($B56,'قائمة الوحدات'!$A$2:$A$41,0)),"")</f>
        <v>وكالة الشؤون الفنية</v>
      </c>
      <c r="F56" s="18" t="str">
        <f aca="false">IFERROR(INDEX('قائمة الوحدات'!$F$2:$F$41,MATCH($B56,'قائمة الوحدات'!$A$2:$A$41,0)),"")</f>
        <v>الإدارة العامة للجودة والتطوير</v>
      </c>
      <c r="G56" s="20" t="s">
        <v>66</v>
      </c>
      <c r="H56" s="18" t="str">
        <f aca="false">IFERROR(INDEX(المرجع!$A$2:$A$19,MATCH($G56,المرجع!$B$2:$B$19,0)),"")</f>
        <v>التشغيل</v>
      </c>
      <c r="I56" s="20" t="s">
        <v>52</v>
      </c>
      <c r="J56" s="18" t="str">
        <f aca="false">IFERROR(INDEX(المرجع!$D$2:$D$19,MATCH($I56,المرجع!$E$2:$E$19,0)),"")</f>
        <v>الحوكمة</v>
      </c>
      <c r="K56" s="20" t="s">
        <v>124</v>
      </c>
      <c r="L56" s="21" t="str">
        <f aca="false">IFERROR(INDEX('نقاط التحقق'!$G$2:$G$31,MATCH($K56,'نقاط التحقق'!$A$2:$A$31,0))&amp;"","")</f>
        <v>محاضر لجان موثقة</v>
      </c>
      <c r="M56" s="18" t="str">
        <f aca="false">IFERROR(INDEX('نقاط التحقق'!$H$2:$H$31,MATCH($K56,'نقاط التحقق'!$A$2:$A$31,0))&amp;"","")</f>
        <v/>
      </c>
      <c r="N56" s="17" t="n">
        <v>40</v>
      </c>
      <c r="O56" s="17" t="n">
        <v>100</v>
      </c>
      <c r="P56" s="19" t="str">
        <f aca="false">IF($N56="","غير مقيّمة",IF($N56&gt;المرجع!$K$3,"مستوفاة بشكل متقدم",IF($N56&lt;=المرجع!$K$2,"مستوفاة بشكل أولي","مستوفاة بشكل جزئي")))</f>
        <v>مستوفاة بشكل جزئي</v>
      </c>
      <c r="Q56" s="22"/>
    </row>
    <row r="57" customFormat="false" ht="15" hidden="false" customHeight="true" outlineLevel="0" collapsed="false">
      <c r="A57" s="20" t="s">
        <v>450</v>
      </c>
      <c r="B57" s="20" t="s">
        <v>166</v>
      </c>
      <c r="C57" s="19" t="str">
        <f aca="false">IFERROR(INDEX('قائمة الوحدات'!$B$2:$B$41,MATCH($B57,'قائمة الوحدات'!$A$2:$A$41,0)),"")</f>
        <v>EXE</v>
      </c>
      <c r="D57" s="18" t="str">
        <f aca="false">IFERROR(INDEX('قائمة الوحدات'!$C$2:$C$41,MATCH($B57,'قائمة الوحدات'!$A$2:$A$41,0)),"")</f>
        <v>الشؤون التنفيذية</v>
      </c>
      <c r="E57" s="18" t="str">
        <f aca="false">IFERROR(INDEX('قائمة الوحدات'!$D$2:$D$41,MATCH($B57,'قائمة الوحدات'!$A$2:$A$41,0)),"")</f>
        <v>وكالة الشؤون الفنية</v>
      </c>
      <c r="F57" s="18" t="str">
        <f aca="false">IFERROR(INDEX('قائمة الوحدات'!$F$2:$F$41,MATCH($B57,'قائمة الوحدات'!$A$2:$A$41,0)),"")</f>
        <v>الإدارة العامة للجودة والتطوير</v>
      </c>
      <c r="G57" s="20" t="s">
        <v>66</v>
      </c>
      <c r="H57" s="18" t="str">
        <f aca="false">IFERROR(INDEX(المرجع!$A$2:$A$19,MATCH($G57,المرجع!$B$2:$B$19,0)),"")</f>
        <v>التشغيل</v>
      </c>
      <c r="I57" s="20" t="s">
        <v>52</v>
      </c>
      <c r="J57" s="18" t="str">
        <f aca="false">IFERROR(INDEX(المرجع!$D$2:$D$19,MATCH($I57,المرجع!$E$2:$E$19,0)),"")</f>
        <v>الحوكمة</v>
      </c>
      <c r="K57" s="20" t="s">
        <v>126</v>
      </c>
      <c r="L57" s="21" t="str">
        <f aca="false">IFERROR(INDEX('نقاط التحقق'!$G$2:$G$31,MATCH($K57,'نقاط التحقق'!$A$2:$A$31,0))&amp;"","")</f>
        <v>نشر السياسات التي تملكها الوحدة التنظيمية</v>
      </c>
      <c r="M57" s="18" t="str">
        <f aca="false">IFERROR(INDEX('نقاط التحقق'!$H$2:$H$31,MATCH($K57,'نقاط التحقق'!$A$2:$A$31,0))&amp;"","")</f>
        <v/>
      </c>
      <c r="N57" s="17" t="n">
        <v>45</v>
      </c>
      <c r="O57" s="17" t="n">
        <v>100</v>
      </c>
      <c r="P57" s="19" t="str">
        <f aca="false">IF($N57="","غير مقيّمة",IF($N57&gt;المرجع!$K$3,"مستوفاة بشكل متقدم",IF($N57&lt;=المرجع!$K$2,"مستوفاة بشكل أولي","مستوفاة بشكل جزئي")))</f>
        <v>مستوفاة بشكل جزئي</v>
      </c>
      <c r="Q57" s="22"/>
    </row>
    <row r="58" customFormat="false" ht="15" hidden="false" customHeight="true" outlineLevel="0" collapsed="false">
      <c r="A58" s="20" t="s">
        <v>451</v>
      </c>
      <c r="B58" s="20" t="s">
        <v>166</v>
      </c>
      <c r="C58" s="19" t="str">
        <f aca="false">IFERROR(INDEX('قائمة الوحدات'!$B$2:$B$41,MATCH($B58,'قائمة الوحدات'!$A$2:$A$41,0)),"")</f>
        <v>EXE</v>
      </c>
      <c r="D58" s="18" t="str">
        <f aca="false">IFERROR(INDEX('قائمة الوحدات'!$C$2:$C$41,MATCH($B58,'قائمة الوحدات'!$A$2:$A$41,0)),"")</f>
        <v>الشؤون التنفيذية</v>
      </c>
      <c r="E58" s="18" t="str">
        <f aca="false">IFERROR(INDEX('قائمة الوحدات'!$D$2:$D$41,MATCH($B58,'قائمة الوحدات'!$A$2:$A$41,0)),"")</f>
        <v>وكالة الشؤون الفنية</v>
      </c>
      <c r="F58" s="18" t="str">
        <f aca="false">IFERROR(INDEX('قائمة الوحدات'!$F$2:$F$41,MATCH($B58,'قائمة الوحدات'!$A$2:$A$41,0)),"")</f>
        <v>الإدارة العامة للجودة والتطوير</v>
      </c>
      <c r="G58" s="20" t="s">
        <v>66</v>
      </c>
      <c r="H58" s="18" t="str">
        <f aca="false">IFERROR(INDEX(المرجع!$A$2:$A$19,MATCH($G58,المرجع!$B$2:$B$19,0)),"")</f>
        <v>التشغيل</v>
      </c>
      <c r="I58" s="20" t="s">
        <v>52</v>
      </c>
      <c r="J58" s="18" t="str">
        <f aca="false">IFERROR(INDEX(المرجع!$D$2:$D$19,MATCH($I58,المرجع!$E$2:$E$19,0)),"")</f>
        <v>الحوكمة</v>
      </c>
      <c r="K58" s="20" t="s">
        <v>128</v>
      </c>
      <c r="L58" s="21" t="str">
        <f aca="false">IFERROR(INDEX('نقاط التحقق'!$G$2:$G$31,MATCH($K58,'نقاط التحقق'!$A$2:$A$31,0))&amp;"","")</f>
        <v>اتخاذ القرارات في نطاق الصلاحيات (وجود شواهد)</v>
      </c>
      <c r="M58" s="18" t="str">
        <f aca="false">IFERROR(INDEX('نقاط التحقق'!$H$2:$H$31,MATCH($K58,'نقاط التحقق'!$A$2:$A$31,0))&amp;"","")</f>
        <v/>
      </c>
      <c r="N58" s="17" t="n">
        <v>40</v>
      </c>
      <c r="O58" s="17" t="n">
        <v>100</v>
      </c>
      <c r="P58" s="19" t="str">
        <f aca="false">IF($N58="","غير مقيّمة",IF($N58&gt;المرجع!$K$3,"مستوفاة بشكل متقدم",IF($N58&lt;=المرجع!$K$2,"مستوفاة بشكل أولي","مستوفاة بشكل جزئي")))</f>
        <v>مستوفاة بشكل جزئي</v>
      </c>
      <c r="Q58" s="22"/>
    </row>
    <row r="59" customFormat="false" ht="15" hidden="false" customHeight="true" outlineLevel="0" collapsed="false">
      <c r="A59" s="20" t="s">
        <v>452</v>
      </c>
      <c r="B59" s="20" t="s">
        <v>166</v>
      </c>
      <c r="C59" s="19" t="str">
        <f aca="false">IFERROR(INDEX('قائمة الوحدات'!$B$2:$B$41,MATCH($B59,'قائمة الوحدات'!$A$2:$A$41,0)),"")</f>
        <v>EXE</v>
      </c>
      <c r="D59" s="18" t="str">
        <f aca="false">IFERROR(INDEX('قائمة الوحدات'!$C$2:$C$41,MATCH($B59,'قائمة الوحدات'!$A$2:$A$41,0)),"")</f>
        <v>الشؤون التنفيذية</v>
      </c>
      <c r="E59" s="18" t="str">
        <f aca="false">IFERROR(INDEX('قائمة الوحدات'!$D$2:$D$41,MATCH($B59,'قائمة الوحدات'!$A$2:$A$41,0)),"")</f>
        <v>وكالة الشؤون الفنية</v>
      </c>
      <c r="F59" s="18" t="str">
        <f aca="false">IFERROR(INDEX('قائمة الوحدات'!$F$2:$F$41,MATCH($B59,'قائمة الوحدات'!$A$2:$A$41,0)),"")</f>
        <v>الإدارة العامة للجودة والتطوير</v>
      </c>
      <c r="G59" s="20" t="s">
        <v>66</v>
      </c>
      <c r="H59" s="18" t="str">
        <f aca="false">IFERROR(INDEX(المرجع!$A$2:$A$19,MATCH($G59,المرجع!$B$2:$B$19,0)),"")</f>
        <v>التشغيل</v>
      </c>
      <c r="I59" s="20" t="s">
        <v>57</v>
      </c>
      <c r="J59" s="18" t="str">
        <f aca="false">IFERROR(INDEX(المرجع!$D$2:$D$19,MATCH($I59,المرجع!$E$2:$E$19,0)),"")</f>
        <v>الموارد</v>
      </c>
      <c r="K59" s="20" t="s">
        <v>130</v>
      </c>
      <c r="L59" s="21" t="str">
        <f aca="false">IFERROR(INDEX('نقاط التحقق'!$G$2:$G$31,MATCH($K59,'نقاط التحقق'!$A$2:$A$31,0))&amp;"","")</f>
        <v>موارد مستكملة للحد الأدنى الذي يغطي كافة محاور سلسلة القيمة</v>
      </c>
      <c r="M59" s="18" t="str">
        <f aca="false">IFERROR(INDEX('نقاط التحقق'!$H$2:$H$31,MATCH($K59,'نقاط التحقق'!$A$2:$A$31,0))&amp;"","")</f>
        <v/>
      </c>
      <c r="N59" s="17" t="n">
        <v>54</v>
      </c>
      <c r="O59" s="17" t="n">
        <v>100</v>
      </c>
      <c r="P59" s="19" t="str">
        <f aca="false">IF($N59="","غير مقيّمة",IF($N59&gt;المرجع!$K$3,"مستوفاة بشكل متقدم",IF($N59&lt;=المرجع!$K$2,"مستوفاة بشكل أولي","مستوفاة بشكل جزئي")))</f>
        <v>مستوفاة بشكل جزئي</v>
      </c>
      <c r="Q59" s="22"/>
    </row>
    <row r="60" customFormat="false" ht="15" hidden="false" customHeight="true" outlineLevel="0" collapsed="false">
      <c r="A60" s="20" t="s">
        <v>453</v>
      </c>
      <c r="B60" s="20" t="s">
        <v>166</v>
      </c>
      <c r="C60" s="19" t="str">
        <f aca="false">IFERROR(INDEX('قائمة الوحدات'!$B$2:$B$41,MATCH($B60,'قائمة الوحدات'!$A$2:$A$41,0)),"")</f>
        <v>EXE</v>
      </c>
      <c r="D60" s="18" t="str">
        <f aca="false">IFERROR(INDEX('قائمة الوحدات'!$C$2:$C$41,MATCH($B60,'قائمة الوحدات'!$A$2:$A$41,0)),"")</f>
        <v>الشؤون التنفيذية</v>
      </c>
      <c r="E60" s="18" t="str">
        <f aca="false">IFERROR(INDEX('قائمة الوحدات'!$D$2:$D$41,MATCH($B60,'قائمة الوحدات'!$A$2:$A$41,0)),"")</f>
        <v>وكالة الشؤون الفنية</v>
      </c>
      <c r="F60" s="18" t="str">
        <f aca="false">IFERROR(INDEX('قائمة الوحدات'!$F$2:$F$41,MATCH($B60,'قائمة الوحدات'!$A$2:$A$41,0)),"")</f>
        <v>الإدارة العامة للجودة والتطوير</v>
      </c>
      <c r="G60" s="20" t="s">
        <v>66</v>
      </c>
      <c r="H60" s="18" t="str">
        <f aca="false">IFERROR(INDEX(المرجع!$A$2:$A$19,MATCH($G60,المرجع!$B$2:$B$19,0)),"")</f>
        <v>التشغيل</v>
      </c>
      <c r="I60" s="20" t="s">
        <v>60</v>
      </c>
      <c r="J60" s="18" t="str">
        <f aca="false">IFERROR(INDEX(المرجع!$D$2:$D$19,MATCH($I60,المرجع!$E$2:$E$19,0)),"")</f>
        <v>الإجراءات</v>
      </c>
      <c r="K60" s="20" t="s">
        <v>132</v>
      </c>
      <c r="L60" s="21" t="str">
        <f aca="false">IFERROR(INDEX('نقاط التحقق'!$G$2:$G$31,MATCH($K60,'نقاط التحقق'!$A$2:$A$31,0))&amp;"","")</f>
        <v>تحقيق تقييم "مطبق بشكل كامل" من منهجية تقييم فعالية الإجراءات</v>
      </c>
      <c r="M60" s="18" t="str">
        <f aca="false">IFERROR(INDEX('نقاط التحقق'!$H$2:$H$31,MATCH($K60,'نقاط التحقق'!$A$2:$A$31,0))&amp;"","")</f>
        <v/>
      </c>
      <c r="N60" s="17" t="n">
        <v>61</v>
      </c>
      <c r="O60" s="17" t="n">
        <v>80</v>
      </c>
      <c r="P60" s="19" t="str">
        <f aca="false">IF($N60="","غير مقيّمة",IF($N60&gt;المرجع!$K$3,"مستوفاة بشكل متقدم",IF($N60&lt;=المرجع!$K$2,"مستوفاة بشكل أولي","مستوفاة بشكل جزئي")))</f>
        <v>مستوفاة بشكل جزئي</v>
      </c>
      <c r="Q60" s="22"/>
    </row>
    <row r="61" customFormat="false" ht="15" hidden="false" customHeight="true" outlineLevel="0" collapsed="false">
      <c r="A61" s="20" t="s">
        <v>454</v>
      </c>
      <c r="B61" s="20" t="s">
        <v>166</v>
      </c>
      <c r="C61" s="19" t="str">
        <f aca="false">IFERROR(INDEX('قائمة الوحدات'!$B$2:$B$41,MATCH($B61,'قائمة الوحدات'!$A$2:$A$41,0)),"")</f>
        <v>EXE</v>
      </c>
      <c r="D61" s="18" t="str">
        <f aca="false">IFERROR(INDEX('قائمة الوحدات'!$C$2:$C$41,MATCH($B61,'قائمة الوحدات'!$A$2:$A$41,0)),"")</f>
        <v>الشؤون التنفيذية</v>
      </c>
      <c r="E61" s="18" t="str">
        <f aca="false">IFERROR(INDEX('قائمة الوحدات'!$D$2:$D$41,MATCH($B61,'قائمة الوحدات'!$A$2:$A$41,0)),"")</f>
        <v>وكالة الشؤون الفنية</v>
      </c>
      <c r="F61" s="18" t="str">
        <f aca="false">IFERROR(INDEX('قائمة الوحدات'!$F$2:$F$41,MATCH($B61,'قائمة الوحدات'!$A$2:$A$41,0)),"")</f>
        <v>الإدارة العامة للجودة والتطوير</v>
      </c>
      <c r="G61" s="20" t="s">
        <v>66</v>
      </c>
      <c r="H61" s="18" t="str">
        <f aca="false">IFERROR(INDEX(المرجع!$A$2:$A$19,MATCH($G61,المرجع!$B$2:$B$19,0)),"")</f>
        <v>التشغيل</v>
      </c>
      <c r="I61" s="20" t="s">
        <v>71</v>
      </c>
      <c r="J61" s="18" t="str">
        <f aca="false">IFERROR(INDEX(المرجع!$D$2:$D$19,MATCH($I61,المرجع!$E$2:$E$19,0)),"")</f>
        <v>اكتمال المخرجات المستهدفة</v>
      </c>
      <c r="K61" s="20" t="s">
        <v>134</v>
      </c>
      <c r="L61" s="21" t="str">
        <f aca="false">IFERROR(INDEX('نقاط التحقق'!$G$2:$G$31,MATCH($K61,'نقاط التحقق'!$A$2:$A$31,0))&amp;"","")</f>
        <v>اكتمال مخرجات النموذج التشغيلي المستهدف للوحدة التنظيمية</v>
      </c>
      <c r="M61" s="18" t="str">
        <f aca="false">IFERROR(INDEX('نقاط التحقق'!$H$2:$H$31,MATCH($K61,'نقاط التحقق'!$A$2:$A$31,0))&amp;"","")</f>
        <v/>
      </c>
      <c r="N61" s="17" t="n">
        <v>38</v>
      </c>
      <c r="O61" s="17" t="n">
        <v>95</v>
      </c>
      <c r="P61" s="19" t="str">
        <f aca="false">IF($N61="","غير مقيّمة",IF($N61&gt;المرجع!$K$3,"مستوفاة بشكل متقدم",IF($N61&lt;=المرجع!$K$2,"مستوفاة بشكل أولي","مستوفاة بشكل جزئي")))</f>
        <v>مستوفاة بشكل جزئي</v>
      </c>
      <c r="Q61" s="22"/>
    </row>
    <row r="62" customFormat="false" ht="15" hidden="false" customHeight="true" outlineLevel="0" collapsed="false">
      <c r="A62" s="20" t="s">
        <v>455</v>
      </c>
      <c r="B62" s="20" t="s">
        <v>168</v>
      </c>
      <c r="C62" s="19" t="str">
        <f aca="false">IFERROR(INDEX('قائمة الوحدات'!$B$2:$B$41,MATCH($B62,'قائمة الوحدات'!$A$2:$A$41,0)),"")</f>
        <v>EXE</v>
      </c>
      <c r="D62" s="18" t="str">
        <f aca="false">IFERROR(INDEX('قائمة الوحدات'!$C$2:$C$41,MATCH($B62,'قائمة الوحدات'!$A$2:$A$41,0)),"")</f>
        <v>الشؤون التنفيذية</v>
      </c>
      <c r="E62" s="18" t="str">
        <f aca="false">IFERROR(INDEX('قائمة الوحدات'!$D$2:$D$41,MATCH($B62,'قائمة الوحدات'!$A$2:$A$41,0)),"")</f>
        <v>وكالة الشؤون الفنية</v>
      </c>
      <c r="F62" s="18" t="str">
        <f aca="false">IFERROR(INDEX('قائمة الوحدات'!$F$2:$F$41,MATCH($B62,'قائمة الوحدات'!$A$2:$A$41,0)),"")</f>
        <v>الإدارة العامة للمشاريع</v>
      </c>
      <c r="G62" s="20" t="s">
        <v>44</v>
      </c>
      <c r="H62" s="18" t="str">
        <f aca="false">IFERROR(INDEX(المرجع!$A$2:$A$19,MATCH($G62,المرجع!$B$2:$B$19,0)),"")</f>
        <v>التصميم</v>
      </c>
      <c r="I62" s="20" t="s">
        <v>46</v>
      </c>
      <c r="J62" s="18" t="str">
        <f aca="false">IFERROR(INDEX(المرجع!$D$2:$D$19,MATCH($I62,المرجع!$E$2:$E$19,0)),"")</f>
        <v>الدور</v>
      </c>
      <c r="K62" s="20" t="s">
        <v>76</v>
      </c>
      <c r="L62" s="21" t="str">
        <f aca="false">IFERROR(INDEX('نقاط التحقق'!$G$2:$G$31,MATCH($K62,'نقاط التحقق'!$A$2:$A$31,0))&amp;"","")</f>
        <v>دور مفصل للوحدة التنظيمية</v>
      </c>
      <c r="M62" s="18" t="str">
        <f aca="false">IFERROR(INDEX('نقاط التحقق'!$H$2:$H$31,MATCH($K62,'نقاط التحقق'!$A$2:$A$31,0))&amp;"","")</f>
        <v/>
      </c>
      <c r="N62" s="17" t="n">
        <v>94</v>
      </c>
      <c r="O62" s="17" t="n">
        <v>100</v>
      </c>
      <c r="P62" s="19" t="str">
        <f aca="false">IF($N62="","غير مقيّمة",IF($N62&gt;المرجع!$K$3,"مستوفاة بشكل متقدم",IF($N62&lt;=المرجع!$K$2,"مستوفاة بشكل أولي","مستوفاة بشكل جزئي")))</f>
        <v>مستوفاة بشكل متقدم</v>
      </c>
      <c r="Q62" s="22"/>
    </row>
    <row r="63" customFormat="false" ht="15" hidden="false" customHeight="true" outlineLevel="0" collapsed="false">
      <c r="A63" s="20" t="s">
        <v>456</v>
      </c>
      <c r="B63" s="20" t="s">
        <v>168</v>
      </c>
      <c r="C63" s="19" t="str">
        <f aca="false">IFERROR(INDEX('قائمة الوحدات'!$B$2:$B$41,MATCH($B63,'قائمة الوحدات'!$A$2:$A$41,0)),"")</f>
        <v>EXE</v>
      </c>
      <c r="D63" s="18" t="str">
        <f aca="false">IFERROR(INDEX('قائمة الوحدات'!$C$2:$C$41,MATCH($B63,'قائمة الوحدات'!$A$2:$A$41,0)),"")</f>
        <v>الشؤون التنفيذية</v>
      </c>
      <c r="E63" s="18" t="str">
        <f aca="false">IFERROR(INDEX('قائمة الوحدات'!$D$2:$D$41,MATCH($B63,'قائمة الوحدات'!$A$2:$A$41,0)),"")</f>
        <v>وكالة الشؤون الفنية</v>
      </c>
      <c r="F63" s="18" t="str">
        <f aca="false">IFERROR(INDEX('قائمة الوحدات'!$F$2:$F$41,MATCH($B63,'قائمة الوحدات'!$A$2:$A$41,0)),"")</f>
        <v>الإدارة العامة للمشاريع</v>
      </c>
      <c r="G63" s="20" t="s">
        <v>44</v>
      </c>
      <c r="H63" s="18" t="str">
        <f aca="false">IFERROR(INDEX(المرجع!$A$2:$A$19,MATCH($G63,المرجع!$B$2:$B$19,0)),"")</f>
        <v>التصميم</v>
      </c>
      <c r="I63" s="20" t="s">
        <v>49</v>
      </c>
      <c r="J63" s="18" t="str">
        <f aca="false">IFERROR(INDEX(المرجع!$D$2:$D$19,MATCH($I63,المرجع!$E$2:$E$19,0)),"")</f>
        <v>الأهداف ومؤشرات الأداء</v>
      </c>
      <c r="K63" s="20" t="s">
        <v>78</v>
      </c>
      <c r="L63" s="21" t="str">
        <f aca="false">IFERROR(INDEX('نقاط التحقق'!$G$2:$G$31,MATCH($K63,'نقاط التحقق'!$A$2:$A$31,0))&amp;"","")</f>
        <v>أهداف محددة للوحدة التنظيمية وربطها بمؤشرات أداء لقياسها</v>
      </c>
      <c r="M63" s="18" t="str">
        <f aca="false">IFERROR(INDEX('نقاط التحقق'!$H$2:$H$31,MATCH($K63,'نقاط التحقق'!$A$2:$A$31,0))&amp;"","")</f>
        <v/>
      </c>
      <c r="N63" s="17" t="n">
        <v>85</v>
      </c>
      <c r="O63" s="17" t="n">
        <v>100</v>
      </c>
      <c r="P63" s="19" t="str">
        <f aca="false">IF($N63="","غير مقيّمة",IF($N63&gt;المرجع!$K$3,"مستوفاة بشكل متقدم",IF($N63&lt;=المرجع!$K$2,"مستوفاة بشكل أولي","مستوفاة بشكل جزئي")))</f>
        <v>مستوفاة بشكل متقدم</v>
      </c>
      <c r="Q63" s="22"/>
    </row>
    <row r="64" customFormat="false" ht="15" hidden="false" customHeight="true" outlineLevel="0" collapsed="false">
      <c r="A64" s="20" t="s">
        <v>457</v>
      </c>
      <c r="B64" s="20" t="s">
        <v>168</v>
      </c>
      <c r="C64" s="19" t="str">
        <f aca="false">IFERROR(INDEX('قائمة الوحدات'!$B$2:$B$41,MATCH($B64,'قائمة الوحدات'!$A$2:$A$41,0)),"")</f>
        <v>EXE</v>
      </c>
      <c r="D64" s="18" t="str">
        <f aca="false">IFERROR(INDEX('قائمة الوحدات'!$C$2:$C$41,MATCH($B64,'قائمة الوحدات'!$A$2:$A$41,0)),"")</f>
        <v>الشؤون التنفيذية</v>
      </c>
      <c r="E64" s="18" t="str">
        <f aca="false">IFERROR(INDEX('قائمة الوحدات'!$D$2:$D$41,MATCH($B64,'قائمة الوحدات'!$A$2:$A$41,0)),"")</f>
        <v>وكالة الشؤون الفنية</v>
      </c>
      <c r="F64" s="18" t="str">
        <f aca="false">IFERROR(INDEX('قائمة الوحدات'!$F$2:$F$41,MATCH($B64,'قائمة الوحدات'!$A$2:$A$41,0)),"")</f>
        <v>الإدارة العامة للمشاريع</v>
      </c>
      <c r="G64" s="20" t="s">
        <v>44</v>
      </c>
      <c r="H64" s="18" t="str">
        <f aca="false">IFERROR(INDEX(المرجع!$A$2:$A$19,MATCH($G64,المرجع!$B$2:$B$19,0)),"")</f>
        <v>التصميم</v>
      </c>
      <c r="I64" s="20" t="s">
        <v>49</v>
      </c>
      <c r="J64" s="18" t="str">
        <f aca="false">IFERROR(INDEX(المرجع!$D$2:$D$19,MATCH($I64,المرجع!$E$2:$E$19,0)),"")</f>
        <v>الأهداف ومؤشرات الأداء</v>
      </c>
      <c r="K64" s="20" t="s">
        <v>80</v>
      </c>
      <c r="L64" s="21" t="str">
        <f aca="false">IFERROR(INDEX('نقاط التحقق'!$G$2:$G$31,MATCH($K64,'نقاط التحقق'!$A$2:$A$31,0))&amp;"","")</f>
        <v>مؤشرات أداء الوحدة التنظيمية</v>
      </c>
      <c r="M64" s="18" t="str">
        <f aca="false">IFERROR(INDEX('نقاط التحقق'!$H$2:$H$31,MATCH($K64,'نقاط التحقق'!$A$2:$A$31,0))&amp;"","")</f>
        <v/>
      </c>
      <c r="N64" s="17" t="n">
        <v>100</v>
      </c>
      <c r="O64" s="17" t="n">
        <v>100</v>
      </c>
      <c r="P64" s="19" t="str">
        <f aca="false">IF($N64="","غير مقيّمة",IF($N64&gt;المرجع!$K$3,"مستوفاة بشكل متقدم",IF($N64&lt;=المرجع!$K$2,"مستوفاة بشكل أولي","مستوفاة بشكل جزئي")))</f>
        <v>مستوفاة بشكل متقدم</v>
      </c>
      <c r="Q64" s="22"/>
    </row>
    <row r="65" customFormat="false" ht="15" hidden="false" customHeight="true" outlineLevel="0" collapsed="false">
      <c r="A65" s="20" t="s">
        <v>458</v>
      </c>
      <c r="B65" s="20" t="s">
        <v>168</v>
      </c>
      <c r="C65" s="19" t="str">
        <f aca="false">IFERROR(INDEX('قائمة الوحدات'!$B$2:$B$41,MATCH($B65,'قائمة الوحدات'!$A$2:$A$41,0)),"")</f>
        <v>EXE</v>
      </c>
      <c r="D65" s="18" t="str">
        <f aca="false">IFERROR(INDEX('قائمة الوحدات'!$C$2:$C$41,MATCH($B65,'قائمة الوحدات'!$A$2:$A$41,0)),"")</f>
        <v>الشؤون التنفيذية</v>
      </c>
      <c r="E65" s="18" t="str">
        <f aca="false">IFERROR(INDEX('قائمة الوحدات'!$D$2:$D$41,MATCH($B65,'قائمة الوحدات'!$A$2:$A$41,0)),"")</f>
        <v>وكالة الشؤون الفنية</v>
      </c>
      <c r="F65" s="18" t="str">
        <f aca="false">IFERROR(INDEX('قائمة الوحدات'!$F$2:$F$41,MATCH($B65,'قائمة الوحدات'!$A$2:$A$41,0)),"")</f>
        <v>الإدارة العامة للمشاريع</v>
      </c>
      <c r="G65" s="20" t="s">
        <v>44</v>
      </c>
      <c r="H65" s="18" t="str">
        <f aca="false">IFERROR(INDEX(المرجع!$A$2:$A$19,MATCH($G65,المرجع!$B$2:$B$19,0)),"")</f>
        <v>التصميم</v>
      </c>
      <c r="I65" s="20" t="s">
        <v>52</v>
      </c>
      <c r="J65" s="18" t="str">
        <f aca="false">IFERROR(INDEX(المرجع!$D$2:$D$19,MATCH($I65,المرجع!$E$2:$E$19,0)),"")</f>
        <v>الحوكمة</v>
      </c>
      <c r="K65" s="20" t="s">
        <v>82</v>
      </c>
      <c r="L65" s="21" t="str">
        <f aca="false">IFERROR(INDEX('نقاط التحقق'!$G$2:$G$31,MATCH($K65,'نقاط التحقق'!$A$2:$A$31,0))&amp;"","")</f>
        <v>تفصيل القرارات ومصفوفة الصلاحيات واللجان ذات العلاقة لاعتماد مخرجات الوحدة التنظيمية</v>
      </c>
      <c r="M65" s="18" t="str">
        <f aca="false">IFERROR(INDEX('نقاط التحقق'!$H$2:$H$31,MATCH($K65,'نقاط التحقق'!$A$2:$A$31,0))&amp;"","")</f>
        <v/>
      </c>
      <c r="N65" s="17" t="n">
        <v>81</v>
      </c>
      <c r="O65" s="17" t="n">
        <v>100</v>
      </c>
      <c r="P65" s="19" t="str">
        <f aca="false">IF($N65="","غير مقيّمة",IF($N65&gt;المرجع!$K$3,"مستوفاة بشكل متقدم",IF($N65&lt;=المرجع!$K$2,"مستوفاة بشكل أولي","مستوفاة بشكل جزئي")))</f>
        <v>مستوفاة بشكل متقدم</v>
      </c>
      <c r="Q65" s="22"/>
    </row>
    <row r="66" customFormat="false" ht="15" hidden="false" customHeight="true" outlineLevel="0" collapsed="false">
      <c r="A66" s="20" t="s">
        <v>459</v>
      </c>
      <c r="B66" s="20" t="s">
        <v>168</v>
      </c>
      <c r="C66" s="19" t="str">
        <f aca="false">IFERROR(INDEX('قائمة الوحدات'!$B$2:$B$41,MATCH($B66,'قائمة الوحدات'!$A$2:$A$41,0)),"")</f>
        <v>EXE</v>
      </c>
      <c r="D66" s="18" t="str">
        <f aca="false">IFERROR(INDEX('قائمة الوحدات'!$C$2:$C$41,MATCH($B66,'قائمة الوحدات'!$A$2:$A$41,0)),"")</f>
        <v>الشؤون التنفيذية</v>
      </c>
      <c r="E66" s="18" t="str">
        <f aca="false">IFERROR(INDEX('قائمة الوحدات'!$D$2:$D$41,MATCH($B66,'قائمة الوحدات'!$A$2:$A$41,0)),"")</f>
        <v>وكالة الشؤون الفنية</v>
      </c>
      <c r="F66" s="18" t="str">
        <f aca="false">IFERROR(INDEX('قائمة الوحدات'!$F$2:$F$41,MATCH($B66,'قائمة الوحدات'!$A$2:$A$41,0)),"")</f>
        <v>الإدارة العامة للمشاريع</v>
      </c>
      <c r="G66" s="20" t="s">
        <v>44</v>
      </c>
      <c r="H66" s="18" t="str">
        <f aca="false">IFERROR(INDEX(المرجع!$A$2:$A$19,MATCH($G66,المرجع!$B$2:$B$19,0)),"")</f>
        <v>التصميم</v>
      </c>
      <c r="I66" s="20" t="s">
        <v>55</v>
      </c>
      <c r="J66" s="18" t="str">
        <f aca="false">IFERROR(INDEX(المرجع!$D$2:$D$19,MATCH($I66,المرجع!$E$2:$E$19,0)),"")</f>
        <v>التنظيم</v>
      </c>
      <c r="K66" s="20" t="s">
        <v>84</v>
      </c>
      <c r="L66" s="21" t="str">
        <f aca="false">IFERROR(INDEX('نقاط التحقق'!$G$2:$G$31,MATCH($K66,'نقاط التحقق'!$A$2:$A$31,0))&amp;"","")</f>
        <v>تطوير الأدوار والمسؤوليات للوحدة التنظيمية وتفصيل الهيكل التنظيمي</v>
      </c>
      <c r="M66" s="18" t="str">
        <f aca="false">IFERROR(INDEX('نقاط التحقق'!$H$2:$H$31,MATCH($K66,'نقاط التحقق'!$A$2:$A$31,0))&amp;"","")</f>
        <v/>
      </c>
      <c r="N66" s="17" t="n">
        <v>91</v>
      </c>
      <c r="O66" s="17" t="n">
        <v>100</v>
      </c>
      <c r="P66" s="19" t="str">
        <f aca="false">IF($N66="","غير مقيّمة",IF($N66&gt;المرجع!$K$3,"مستوفاة بشكل متقدم",IF($N66&lt;=المرجع!$K$2,"مستوفاة بشكل أولي","مستوفاة بشكل جزئي")))</f>
        <v>مستوفاة بشكل متقدم</v>
      </c>
      <c r="Q66" s="22"/>
    </row>
    <row r="67" customFormat="false" ht="15" hidden="false" customHeight="true" outlineLevel="0" collapsed="false">
      <c r="A67" s="20" t="s">
        <v>460</v>
      </c>
      <c r="B67" s="20" t="s">
        <v>168</v>
      </c>
      <c r="C67" s="19" t="str">
        <f aca="false">IFERROR(INDEX('قائمة الوحدات'!$B$2:$B$41,MATCH($B67,'قائمة الوحدات'!$A$2:$A$41,0)),"")</f>
        <v>EXE</v>
      </c>
      <c r="D67" s="18" t="str">
        <f aca="false">IFERROR(INDEX('قائمة الوحدات'!$C$2:$C$41,MATCH($B67,'قائمة الوحدات'!$A$2:$A$41,0)),"")</f>
        <v>الشؤون التنفيذية</v>
      </c>
      <c r="E67" s="18" t="str">
        <f aca="false">IFERROR(INDEX('قائمة الوحدات'!$D$2:$D$41,MATCH($B67,'قائمة الوحدات'!$A$2:$A$41,0)),"")</f>
        <v>وكالة الشؤون الفنية</v>
      </c>
      <c r="F67" s="18" t="str">
        <f aca="false">IFERROR(INDEX('قائمة الوحدات'!$F$2:$F$41,MATCH($B67,'قائمة الوحدات'!$A$2:$A$41,0)),"")</f>
        <v>الإدارة العامة للمشاريع</v>
      </c>
      <c r="G67" s="20" t="s">
        <v>44</v>
      </c>
      <c r="H67" s="18" t="str">
        <f aca="false">IFERROR(INDEX(المرجع!$A$2:$A$19,MATCH($G67,المرجع!$B$2:$B$19,0)),"")</f>
        <v>التصميم</v>
      </c>
      <c r="I67" s="20" t="s">
        <v>57</v>
      </c>
      <c r="J67" s="18" t="str">
        <f aca="false">IFERROR(INDEX(المرجع!$D$2:$D$19,MATCH($I67,المرجع!$E$2:$E$19,0)),"")</f>
        <v>الموارد</v>
      </c>
      <c r="K67" s="20" t="s">
        <v>86</v>
      </c>
      <c r="L67" s="21" t="str">
        <f aca="false">IFERROR(INDEX('نقاط التحقق'!$G$2:$G$31,MATCH($K67,'نقاط التحقق'!$A$2:$A$31,0))&amp;"","")</f>
        <v>تفصيل احتياج الموارد البشرية للوحدة التنظيمية</v>
      </c>
      <c r="M67" s="18" t="str">
        <f aca="false">IFERROR(INDEX('نقاط التحقق'!$H$2:$H$31,MATCH($K67,'نقاط التحقق'!$A$2:$A$31,0))&amp;"","")</f>
        <v/>
      </c>
      <c r="N67" s="17" t="n">
        <v>71</v>
      </c>
      <c r="O67" s="17" t="n">
        <v>100</v>
      </c>
      <c r="P67" s="19" t="str">
        <f aca="false">IF($N67="","غير مقيّمة",IF($N67&gt;المرجع!$K$3,"مستوفاة بشكل متقدم",IF($N67&lt;=المرجع!$K$2,"مستوفاة بشكل أولي","مستوفاة بشكل جزئي")))</f>
        <v>مستوفاة بشكل متقدم</v>
      </c>
      <c r="Q67" s="22"/>
    </row>
    <row r="68" customFormat="false" ht="15" hidden="false" customHeight="true" outlineLevel="0" collapsed="false">
      <c r="A68" s="20" t="s">
        <v>461</v>
      </c>
      <c r="B68" s="20" t="s">
        <v>168</v>
      </c>
      <c r="C68" s="19" t="str">
        <f aca="false">IFERROR(INDEX('قائمة الوحدات'!$B$2:$B$41,MATCH($B68,'قائمة الوحدات'!$A$2:$A$41,0)),"")</f>
        <v>EXE</v>
      </c>
      <c r="D68" s="18" t="str">
        <f aca="false">IFERROR(INDEX('قائمة الوحدات'!$C$2:$C$41,MATCH($B68,'قائمة الوحدات'!$A$2:$A$41,0)),"")</f>
        <v>الشؤون التنفيذية</v>
      </c>
      <c r="E68" s="18" t="str">
        <f aca="false">IFERROR(INDEX('قائمة الوحدات'!$D$2:$D$41,MATCH($B68,'قائمة الوحدات'!$A$2:$A$41,0)),"")</f>
        <v>وكالة الشؤون الفنية</v>
      </c>
      <c r="F68" s="18" t="str">
        <f aca="false">IFERROR(INDEX('قائمة الوحدات'!$F$2:$F$41,MATCH($B68,'قائمة الوحدات'!$A$2:$A$41,0)),"")</f>
        <v>الإدارة العامة للمشاريع</v>
      </c>
      <c r="G68" s="20" t="s">
        <v>44</v>
      </c>
      <c r="H68" s="18" t="str">
        <f aca="false">IFERROR(INDEX(المرجع!$A$2:$A$19,MATCH($G68,المرجع!$B$2:$B$19,0)),"")</f>
        <v>التصميم</v>
      </c>
      <c r="I68" s="20" t="s">
        <v>60</v>
      </c>
      <c r="J68" s="18" t="str">
        <f aca="false">IFERROR(INDEX(المرجع!$D$2:$D$19,MATCH($I68,المرجع!$E$2:$E$19,0)),"")</f>
        <v>الإجراءات</v>
      </c>
      <c r="K68" s="20" t="s">
        <v>88</v>
      </c>
      <c r="L68" s="21" t="str">
        <f aca="false">IFERROR(INDEX('نقاط التحقق'!$G$2:$G$31,MATCH($K68,'نقاط التحقق'!$A$2:$A$31,0))&amp;"","")</f>
        <v>تفصيل المخرجات إلى إجراءات عالية المستوى</v>
      </c>
      <c r="M68" s="18" t="str">
        <f aca="false">IFERROR(INDEX('نقاط التحقق'!$H$2:$H$31,MATCH($K68,'نقاط التحقق'!$A$2:$A$31,0))&amp;"","")</f>
        <v/>
      </c>
      <c r="N68" s="17" t="n">
        <v>98</v>
      </c>
      <c r="O68" s="17" t="n">
        <v>98</v>
      </c>
      <c r="P68" s="19" t="str">
        <f aca="false">IF($N68="","غير مقيّمة",IF($N68&gt;المرجع!$K$3,"مستوفاة بشكل متقدم",IF($N68&lt;=المرجع!$K$2,"مستوفاة بشكل أولي","مستوفاة بشكل جزئي")))</f>
        <v>مستوفاة بشكل متقدم</v>
      </c>
      <c r="Q68" s="22"/>
    </row>
    <row r="69" customFormat="false" ht="15" hidden="false" customHeight="true" outlineLevel="0" collapsed="false">
      <c r="A69" s="20" t="s">
        <v>462</v>
      </c>
      <c r="B69" s="20" t="s">
        <v>168</v>
      </c>
      <c r="C69" s="19" t="str">
        <f aca="false">IFERROR(INDEX('قائمة الوحدات'!$B$2:$B$41,MATCH($B69,'قائمة الوحدات'!$A$2:$A$41,0)),"")</f>
        <v>EXE</v>
      </c>
      <c r="D69" s="18" t="str">
        <f aca="false">IFERROR(INDEX('قائمة الوحدات'!$C$2:$C$41,MATCH($B69,'قائمة الوحدات'!$A$2:$A$41,0)),"")</f>
        <v>الشؤون التنفيذية</v>
      </c>
      <c r="E69" s="18" t="str">
        <f aca="false">IFERROR(INDEX('قائمة الوحدات'!$D$2:$D$41,MATCH($B69,'قائمة الوحدات'!$A$2:$A$41,0)),"")</f>
        <v>وكالة الشؤون الفنية</v>
      </c>
      <c r="F69" s="18" t="str">
        <f aca="false">IFERROR(INDEX('قائمة الوحدات'!$F$2:$F$41,MATCH($B69,'قائمة الوحدات'!$A$2:$A$41,0)),"")</f>
        <v>الإدارة العامة للمشاريع</v>
      </c>
      <c r="G69" s="20" t="s">
        <v>62</v>
      </c>
      <c r="H69" s="18" t="str">
        <f aca="false">IFERROR(INDEX(المرجع!$A$2:$A$19,MATCH($G69,المرجع!$B$2:$B$19,0)),"")</f>
        <v>البناء المؤسسي</v>
      </c>
      <c r="I69" s="20" t="s">
        <v>46</v>
      </c>
      <c r="J69" s="18" t="str">
        <f aca="false">IFERROR(INDEX(المرجع!$D$2:$D$19,MATCH($I69,المرجع!$E$2:$E$19,0)),"")</f>
        <v>الدور</v>
      </c>
      <c r="K69" s="20" t="s">
        <v>90</v>
      </c>
      <c r="L69" s="21" t="str">
        <f aca="false">IFERROR(INDEX('نقاط التحقق'!$G$2:$G$31,MATCH($K69,'نقاط التحقق'!$A$2:$A$31,0))&amp;"","")</f>
        <v>دور معتمد للوحدة التنظيمية</v>
      </c>
      <c r="M69" s="18" t="str">
        <f aca="false">IFERROR(INDEX('نقاط التحقق'!$H$2:$H$31,MATCH($K69,'نقاط التحقق'!$A$2:$A$31,0))&amp;"","")</f>
        <v/>
      </c>
      <c r="N69" s="17" t="n">
        <v>80</v>
      </c>
      <c r="O69" s="17" t="n">
        <v>95</v>
      </c>
      <c r="P69" s="19" t="str">
        <f aca="false">IF($N69="","غير مقيّمة",IF($N69&gt;المرجع!$K$3,"مستوفاة بشكل متقدم",IF($N69&lt;=المرجع!$K$2,"مستوفاة بشكل أولي","مستوفاة بشكل جزئي")))</f>
        <v>مستوفاة بشكل متقدم</v>
      </c>
      <c r="Q69" s="22"/>
    </row>
    <row r="70" customFormat="false" ht="15" hidden="false" customHeight="true" outlineLevel="0" collapsed="false">
      <c r="A70" s="20" t="s">
        <v>463</v>
      </c>
      <c r="B70" s="20" t="s">
        <v>168</v>
      </c>
      <c r="C70" s="19" t="str">
        <f aca="false">IFERROR(INDEX('قائمة الوحدات'!$B$2:$B$41,MATCH($B70,'قائمة الوحدات'!$A$2:$A$41,0)),"")</f>
        <v>EXE</v>
      </c>
      <c r="D70" s="18" t="str">
        <f aca="false">IFERROR(INDEX('قائمة الوحدات'!$C$2:$C$41,MATCH($B70,'قائمة الوحدات'!$A$2:$A$41,0)),"")</f>
        <v>الشؤون التنفيذية</v>
      </c>
      <c r="E70" s="18" t="str">
        <f aca="false">IFERROR(INDEX('قائمة الوحدات'!$D$2:$D$41,MATCH($B70,'قائمة الوحدات'!$A$2:$A$41,0)),"")</f>
        <v>وكالة الشؤون الفنية</v>
      </c>
      <c r="F70" s="18" t="str">
        <f aca="false">IFERROR(INDEX('قائمة الوحدات'!$F$2:$F$41,MATCH($B70,'قائمة الوحدات'!$A$2:$A$41,0)),"")</f>
        <v>الإدارة العامة للمشاريع</v>
      </c>
      <c r="G70" s="20" t="s">
        <v>62</v>
      </c>
      <c r="H70" s="18" t="str">
        <f aca="false">IFERROR(INDEX(المرجع!$A$2:$A$19,MATCH($G70,المرجع!$B$2:$B$19,0)),"")</f>
        <v>البناء المؤسسي</v>
      </c>
      <c r="I70" s="20" t="s">
        <v>49</v>
      </c>
      <c r="J70" s="18" t="str">
        <f aca="false">IFERROR(INDEX(المرجع!$D$2:$D$19,MATCH($I70,المرجع!$E$2:$E$19,0)),"")</f>
        <v>الأهداف ومؤشرات الأداء</v>
      </c>
      <c r="K70" s="20" t="s">
        <v>92</v>
      </c>
      <c r="L70" s="21" t="str">
        <f aca="false">IFERROR(INDEX('نقاط التحقق'!$G$2:$G$31,MATCH($K70,'نقاط التحقق'!$A$2:$A$31,0))&amp;"","")</f>
        <v>أهداف تشغيلية معتمدة من صاحب الصلاحية</v>
      </c>
      <c r="M70" s="18" t="str">
        <f aca="false">IFERROR(INDEX('نقاط التحقق'!$H$2:$H$31,MATCH($K70,'نقاط التحقق'!$A$2:$A$31,0))&amp;"","")</f>
        <v/>
      </c>
      <c r="N70" s="17" t="n">
        <v>35</v>
      </c>
      <c r="O70" s="17" t="n">
        <v>95</v>
      </c>
      <c r="P70" s="19" t="str">
        <f aca="false">IF($N70="","غير مقيّمة",IF($N70&gt;المرجع!$K$3,"مستوفاة بشكل متقدم",IF($N70&lt;=المرجع!$K$2,"مستوفاة بشكل أولي","مستوفاة بشكل جزئي")))</f>
        <v>مستوفاة بشكل جزئي</v>
      </c>
      <c r="Q70" s="22"/>
    </row>
    <row r="71" customFormat="false" ht="15" hidden="false" customHeight="true" outlineLevel="0" collapsed="false">
      <c r="A71" s="20" t="s">
        <v>464</v>
      </c>
      <c r="B71" s="20" t="s">
        <v>168</v>
      </c>
      <c r="C71" s="19" t="str">
        <f aca="false">IFERROR(INDEX('قائمة الوحدات'!$B$2:$B$41,MATCH($B71,'قائمة الوحدات'!$A$2:$A$41,0)),"")</f>
        <v>EXE</v>
      </c>
      <c r="D71" s="18" t="str">
        <f aca="false">IFERROR(INDEX('قائمة الوحدات'!$C$2:$C$41,MATCH($B71,'قائمة الوحدات'!$A$2:$A$41,0)),"")</f>
        <v>الشؤون التنفيذية</v>
      </c>
      <c r="E71" s="18" t="str">
        <f aca="false">IFERROR(INDEX('قائمة الوحدات'!$D$2:$D$41,MATCH($B71,'قائمة الوحدات'!$A$2:$A$41,0)),"")</f>
        <v>وكالة الشؤون الفنية</v>
      </c>
      <c r="F71" s="18" t="str">
        <f aca="false">IFERROR(INDEX('قائمة الوحدات'!$F$2:$F$41,MATCH($B71,'قائمة الوحدات'!$A$2:$A$41,0)),"")</f>
        <v>الإدارة العامة للمشاريع</v>
      </c>
      <c r="G71" s="20" t="s">
        <v>62</v>
      </c>
      <c r="H71" s="18" t="str">
        <f aca="false">IFERROR(INDEX(المرجع!$A$2:$A$19,MATCH($G71,المرجع!$B$2:$B$19,0)),"")</f>
        <v>البناء المؤسسي</v>
      </c>
      <c r="I71" s="20" t="s">
        <v>49</v>
      </c>
      <c r="J71" s="18" t="str">
        <f aca="false">IFERROR(INDEX(المرجع!$D$2:$D$19,MATCH($I71,المرجع!$E$2:$E$19,0)),"")</f>
        <v>الأهداف ومؤشرات الأداء</v>
      </c>
      <c r="K71" s="20" t="s">
        <v>94</v>
      </c>
      <c r="L71" s="21" t="str">
        <f aca="false">IFERROR(INDEX('نقاط التحقق'!$G$2:$G$31,MATCH($K71,'نقاط التحقق'!$A$2:$A$31,0))&amp;"","")</f>
        <v>نشر الأهداف التشغيلية على موظفي الوحدة التنظيمية</v>
      </c>
      <c r="M71" s="18" t="str">
        <f aca="false">IFERROR(INDEX('نقاط التحقق'!$H$2:$H$31,MATCH($K71,'نقاط التحقق'!$A$2:$A$31,0))&amp;"","")</f>
        <v/>
      </c>
      <c r="N71" s="17" t="n">
        <v>50</v>
      </c>
      <c r="O71" s="17" t="n">
        <v>95</v>
      </c>
      <c r="P71" s="19" t="str">
        <f aca="false">IF($N71="","غير مقيّمة",IF($N71&gt;المرجع!$K$3,"مستوفاة بشكل متقدم",IF($N71&lt;=المرجع!$K$2,"مستوفاة بشكل أولي","مستوفاة بشكل جزئي")))</f>
        <v>مستوفاة بشكل جزئي</v>
      </c>
      <c r="Q71" s="22"/>
    </row>
    <row r="72" customFormat="false" ht="15" hidden="false" customHeight="true" outlineLevel="0" collapsed="false">
      <c r="A72" s="20" t="s">
        <v>465</v>
      </c>
      <c r="B72" s="20" t="s">
        <v>168</v>
      </c>
      <c r="C72" s="19" t="str">
        <f aca="false">IFERROR(INDEX('قائمة الوحدات'!$B$2:$B$41,MATCH($B72,'قائمة الوحدات'!$A$2:$A$41,0)),"")</f>
        <v>EXE</v>
      </c>
      <c r="D72" s="18" t="str">
        <f aca="false">IFERROR(INDEX('قائمة الوحدات'!$C$2:$C$41,MATCH($B72,'قائمة الوحدات'!$A$2:$A$41,0)),"")</f>
        <v>الشؤون التنفيذية</v>
      </c>
      <c r="E72" s="18" t="str">
        <f aca="false">IFERROR(INDEX('قائمة الوحدات'!$D$2:$D$41,MATCH($B72,'قائمة الوحدات'!$A$2:$A$41,0)),"")</f>
        <v>وكالة الشؤون الفنية</v>
      </c>
      <c r="F72" s="18" t="str">
        <f aca="false">IFERROR(INDEX('قائمة الوحدات'!$F$2:$F$41,MATCH($B72,'قائمة الوحدات'!$A$2:$A$41,0)),"")</f>
        <v>الإدارة العامة للمشاريع</v>
      </c>
      <c r="G72" s="20" t="s">
        <v>62</v>
      </c>
      <c r="H72" s="18" t="str">
        <f aca="false">IFERROR(INDEX(المرجع!$A$2:$A$19,MATCH($G72,المرجع!$B$2:$B$19,0)),"")</f>
        <v>البناء المؤسسي</v>
      </c>
      <c r="I72" s="20" t="s">
        <v>52</v>
      </c>
      <c r="J72" s="18" t="str">
        <f aca="false">IFERROR(INDEX(المرجع!$D$2:$D$19,MATCH($I72,المرجع!$E$2:$E$19,0)),"")</f>
        <v>الحوكمة</v>
      </c>
      <c r="K72" s="20" t="s">
        <v>96</v>
      </c>
      <c r="L72" s="21" t="str">
        <f aca="false">IFERROR(INDEX('نقاط التحقق'!$G$2:$G$31,MATCH($K72,'نقاط التحقق'!$A$2:$A$31,0))&amp;"","")</f>
        <v>مصفوفة صلاحيات معتمدة ومعممة على أصحاب المصلحة</v>
      </c>
      <c r="M72" s="18" t="str">
        <f aca="false">IFERROR(INDEX('نقاط التحقق'!$H$2:$H$31,MATCH($K72,'نقاط التحقق'!$A$2:$A$31,0))&amp;"","")</f>
        <v/>
      </c>
      <c r="N72" s="17" t="n">
        <v>80</v>
      </c>
      <c r="O72" s="17" t="n">
        <v>80</v>
      </c>
      <c r="P72" s="19" t="str">
        <f aca="false">IF($N72="","غير مقيّمة",IF($N72&gt;المرجع!$K$3,"مستوفاة بشكل متقدم",IF($N72&lt;=المرجع!$K$2,"مستوفاة بشكل أولي","مستوفاة بشكل جزئي")))</f>
        <v>مستوفاة بشكل متقدم</v>
      </c>
      <c r="Q72" s="22"/>
    </row>
    <row r="73" customFormat="false" ht="15" hidden="false" customHeight="true" outlineLevel="0" collapsed="false">
      <c r="A73" s="20" t="s">
        <v>466</v>
      </c>
      <c r="B73" s="20" t="s">
        <v>168</v>
      </c>
      <c r="C73" s="19" t="str">
        <f aca="false">IFERROR(INDEX('قائمة الوحدات'!$B$2:$B$41,MATCH($B73,'قائمة الوحدات'!$A$2:$A$41,0)),"")</f>
        <v>EXE</v>
      </c>
      <c r="D73" s="18" t="str">
        <f aca="false">IFERROR(INDEX('قائمة الوحدات'!$C$2:$C$41,MATCH($B73,'قائمة الوحدات'!$A$2:$A$41,0)),"")</f>
        <v>الشؤون التنفيذية</v>
      </c>
      <c r="E73" s="18" t="str">
        <f aca="false">IFERROR(INDEX('قائمة الوحدات'!$D$2:$D$41,MATCH($B73,'قائمة الوحدات'!$A$2:$A$41,0)),"")</f>
        <v>وكالة الشؤون الفنية</v>
      </c>
      <c r="F73" s="18" t="str">
        <f aca="false">IFERROR(INDEX('قائمة الوحدات'!$F$2:$F$41,MATCH($B73,'قائمة الوحدات'!$A$2:$A$41,0)),"")</f>
        <v>الإدارة العامة للمشاريع</v>
      </c>
      <c r="G73" s="20" t="s">
        <v>62</v>
      </c>
      <c r="H73" s="18" t="str">
        <f aca="false">IFERROR(INDEX(المرجع!$A$2:$A$19,MATCH($G73,المرجع!$B$2:$B$19,0)),"")</f>
        <v>البناء المؤسسي</v>
      </c>
      <c r="I73" s="20" t="s">
        <v>52</v>
      </c>
      <c r="J73" s="18" t="str">
        <f aca="false">IFERROR(INDEX(المرجع!$D$2:$D$19,MATCH($I73,المرجع!$E$2:$E$19,0)),"")</f>
        <v>الحوكمة</v>
      </c>
      <c r="K73" s="20" t="s">
        <v>98</v>
      </c>
      <c r="L73" s="21" t="str">
        <f aca="false">IFERROR(INDEX('نقاط التحقق'!$G$2:$G$31,MATCH($K73,'نقاط التحقق'!$A$2:$A$31,0))&amp;"","")</f>
        <v>سياسات معتمدة للتي تملكها الوحدة التنظيمية</v>
      </c>
      <c r="M73" s="18" t="str">
        <f aca="false">IFERROR(INDEX('نقاط التحقق'!$H$2:$H$31,MATCH($K73,'نقاط التحقق'!$A$2:$A$31,0))&amp;"","")</f>
        <v/>
      </c>
      <c r="N73" s="17" t="n">
        <v>55</v>
      </c>
      <c r="O73" s="17" t="n">
        <v>95</v>
      </c>
      <c r="P73" s="19" t="str">
        <f aca="false">IF($N73="","غير مقيّمة",IF($N73&gt;المرجع!$K$3,"مستوفاة بشكل متقدم",IF($N73&lt;=المرجع!$K$2,"مستوفاة بشكل أولي","مستوفاة بشكل جزئي")))</f>
        <v>مستوفاة بشكل جزئي</v>
      </c>
      <c r="Q73" s="22"/>
    </row>
    <row r="74" customFormat="false" ht="15" hidden="false" customHeight="true" outlineLevel="0" collapsed="false">
      <c r="A74" s="20" t="s">
        <v>467</v>
      </c>
      <c r="B74" s="20" t="s">
        <v>168</v>
      </c>
      <c r="C74" s="19" t="str">
        <f aca="false">IFERROR(INDEX('قائمة الوحدات'!$B$2:$B$41,MATCH($B74,'قائمة الوحدات'!$A$2:$A$41,0)),"")</f>
        <v>EXE</v>
      </c>
      <c r="D74" s="18" t="str">
        <f aca="false">IFERROR(INDEX('قائمة الوحدات'!$C$2:$C$41,MATCH($B74,'قائمة الوحدات'!$A$2:$A$41,0)),"")</f>
        <v>الشؤون التنفيذية</v>
      </c>
      <c r="E74" s="18" t="str">
        <f aca="false">IFERROR(INDEX('قائمة الوحدات'!$D$2:$D$41,MATCH($B74,'قائمة الوحدات'!$A$2:$A$41,0)),"")</f>
        <v>وكالة الشؤون الفنية</v>
      </c>
      <c r="F74" s="18" t="str">
        <f aca="false">IFERROR(INDEX('قائمة الوحدات'!$F$2:$F$41,MATCH($B74,'قائمة الوحدات'!$A$2:$A$41,0)),"")</f>
        <v>الإدارة العامة للمشاريع</v>
      </c>
      <c r="G74" s="20" t="s">
        <v>62</v>
      </c>
      <c r="H74" s="18" t="str">
        <f aca="false">IFERROR(INDEX(المرجع!$A$2:$A$19,MATCH($G74,المرجع!$B$2:$B$19,0)),"")</f>
        <v>البناء المؤسسي</v>
      </c>
      <c r="I74" s="20" t="s">
        <v>52</v>
      </c>
      <c r="J74" s="18" t="str">
        <f aca="false">IFERROR(INDEX(المرجع!$D$2:$D$19,MATCH($I74,المرجع!$E$2:$E$19,0)),"")</f>
        <v>الحوكمة</v>
      </c>
      <c r="K74" s="20" t="s">
        <v>100</v>
      </c>
      <c r="L74" s="21" t="str">
        <f aca="false">IFERROR(INDEX('نقاط التحقق'!$G$2:$G$31,MATCH($K74,'نقاط التحقق'!$A$2:$A$31,0))&amp;"","")</f>
        <v>قرار تشكيل معتمد للجان ذات العلاقة</v>
      </c>
      <c r="M74" s="18" t="str">
        <f aca="false">IFERROR(INDEX('نقاط التحقق'!$H$2:$H$31,MATCH($K74,'نقاط التحقق'!$A$2:$A$31,0))&amp;"","")</f>
        <v/>
      </c>
      <c r="N74" s="17" t="n">
        <v>75</v>
      </c>
      <c r="O74" s="17" t="n">
        <v>100</v>
      </c>
      <c r="P74" s="19" t="str">
        <f aca="false">IF($N74="","غير مقيّمة",IF($N74&gt;المرجع!$K$3,"مستوفاة بشكل متقدم",IF($N74&lt;=المرجع!$K$2,"مستوفاة بشكل أولي","مستوفاة بشكل جزئي")))</f>
        <v>مستوفاة بشكل متقدم</v>
      </c>
      <c r="Q74" s="22"/>
    </row>
    <row r="75" customFormat="false" ht="15" hidden="false" customHeight="true" outlineLevel="0" collapsed="false">
      <c r="A75" s="20" t="s">
        <v>468</v>
      </c>
      <c r="B75" s="20" t="s">
        <v>168</v>
      </c>
      <c r="C75" s="19" t="str">
        <f aca="false">IFERROR(INDEX('قائمة الوحدات'!$B$2:$B$41,MATCH($B75,'قائمة الوحدات'!$A$2:$A$41,0)),"")</f>
        <v>EXE</v>
      </c>
      <c r="D75" s="18" t="str">
        <f aca="false">IFERROR(INDEX('قائمة الوحدات'!$C$2:$C$41,MATCH($B75,'قائمة الوحدات'!$A$2:$A$41,0)),"")</f>
        <v>الشؤون التنفيذية</v>
      </c>
      <c r="E75" s="18" t="str">
        <f aca="false">IFERROR(INDEX('قائمة الوحدات'!$D$2:$D$41,MATCH($B75,'قائمة الوحدات'!$A$2:$A$41,0)),"")</f>
        <v>وكالة الشؤون الفنية</v>
      </c>
      <c r="F75" s="18" t="str">
        <f aca="false">IFERROR(INDEX('قائمة الوحدات'!$F$2:$F$41,MATCH($B75,'قائمة الوحدات'!$A$2:$A$41,0)),"")</f>
        <v>الإدارة العامة للمشاريع</v>
      </c>
      <c r="G75" s="20" t="s">
        <v>62</v>
      </c>
      <c r="H75" s="18" t="str">
        <f aca="false">IFERROR(INDEX(المرجع!$A$2:$A$19,MATCH($G75,المرجع!$B$2:$B$19,0)),"")</f>
        <v>البناء المؤسسي</v>
      </c>
      <c r="I75" s="20" t="s">
        <v>55</v>
      </c>
      <c r="J75" s="18" t="str">
        <f aca="false">IFERROR(INDEX(المرجع!$D$2:$D$19,MATCH($I75,المرجع!$E$2:$E$19,0)),"")</f>
        <v>التنظيم</v>
      </c>
      <c r="K75" s="20" t="s">
        <v>102</v>
      </c>
      <c r="L75" s="21" t="str">
        <f aca="false">IFERROR(INDEX('نقاط التحقق'!$G$2:$G$31,MATCH($K75,'نقاط التحقق'!$A$2:$A$31,0))&amp;"","")</f>
        <v>هيكل تنظيمي معتمد من صاحب الصلاحية</v>
      </c>
      <c r="M75" s="18" t="str">
        <f aca="false">IFERROR(INDEX('نقاط التحقق'!$H$2:$H$31,MATCH($K75,'نقاط التحقق'!$A$2:$A$31,0))&amp;"","")</f>
        <v/>
      </c>
      <c r="N75" s="17" t="n">
        <v>85</v>
      </c>
      <c r="O75" s="17" t="n">
        <v>95</v>
      </c>
      <c r="P75" s="19" t="str">
        <f aca="false">IF($N75="","غير مقيّمة",IF($N75&gt;المرجع!$K$3,"مستوفاة بشكل متقدم",IF($N75&lt;=المرجع!$K$2,"مستوفاة بشكل أولي","مستوفاة بشكل جزئي")))</f>
        <v>مستوفاة بشكل متقدم</v>
      </c>
      <c r="Q75" s="22"/>
    </row>
    <row r="76" customFormat="false" ht="15" hidden="false" customHeight="true" outlineLevel="0" collapsed="false">
      <c r="A76" s="20" t="s">
        <v>469</v>
      </c>
      <c r="B76" s="20" t="s">
        <v>168</v>
      </c>
      <c r="C76" s="19" t="str">
        <f aca="false">IFERROR(INDEX('قائمة الوحدات'!$B$2:$B$41,MATCH($B76,'قائمة الوحدات'!$A$2:$A$41,0)),"")</f>
        <v>EXE</v>
      </c>
      <c r="D76" s="18" t="str">
        <f aca="false">IFERROR(INDEX('قائمة الوحدات'!$C$2:$C$41,MATCH($B76,'قائمة الوحدات'!$A$2:$A$41,0)),"")</f>
        <v>الشؤون التنفيذية</v>
      </c>
      <c r="E76" s="18" t="str">
        <f aca="false">IFERROR(INDEX('قائمة الوحدات'!$D$2:$D$41,MATCH($B76,'قائمة الوحدات'!$A$2:$A$41,0)),"")</f>
        <v>وكالة الشؤون الفنية</v>
      </c>
      <c r="F76" s="18" t="str">
        <f aca="false">IFERROR(INDEX('قائمة الوحدات'!$F$2:$F$41,MATCH($B76,'قائمة الوحدات'!$A$2:$A$41,0)),"")</f>
        <v>الإدارة العامة للمشاريع</v>
      </c>
      <c r="G76" s="20" t="s">
        <v>62</v>
      </c>
      <c r="H76" s="18" t="str">
        <f aca="false">IFERROR(INDEX(المرجع!$A$2:$A$19,MATCH($G76,المرجع!$B$2:$B$19,0)),"")</f>
        <v>البناء المؤسسي</v>
      </c>
      <c r="I76" s="20" t="s">
        <v>55</v>
      </c>
      <c r="J76" s="18" t="str">
        <f aca="false">IFERROR(INDEX(المرجع!$D$2:$D$19,MATCH($I76,المرجع!$E$2:$E$19,0)),"")</f>
        <v>التنظيم</v>
      </c>
      <c r="K76" s="20" t="s">
        <v>104</v>
      </c>
      <c r="L76" s="21" t="str">
        <f aca="false">IFERROR(INDEX('نقاط التحقق'!$G$2:$G$31,MATCH($K76,'نقاط التحقق'!$A$2:$A$31,0))&amp;"","")</f>
        <v>هيكل تنظيمي منشأ على نظام القوى العاملة</v>
      </c>
      <c r="M76" s="18" t="str">
        <f aca="false">IFERROR(INDEX('نقاط التحقق'!$H$2:$H$31,MATCH($K76,'نقاط التحقق'!$A$2:$A$31,0))&amp;"","")</f>
        <v/>
      </c>
      <c r="N76" s="17" t="n">
        <v>100</v>
      </c>
      <c r="O76" s="17" t="n">
        <v>100</v>
      </c>
      <c r="P76" s="19" t="str">
        <f aca="false">IF($N76="","غير مقيّمة",IF($N76&gt;المرجع!$K$3,"مستوفاة بشكل متقدم",IF($N76&lt;=المرجع!$K$2,"مستوفاة بشكل أولي","مستوفاة بشكل جزئي")))</f>
        <v>مستوفاة بشكل متقدم</v>
      </c>
      <c r="Q76" s="22"/>
    </row>
    <row r="77" customFormat="false" ht="15" hidden="false" customHeight="true" outlineLevel="0" collapsed="false">
      <c r="A77" s="20" t="s">
        <v>470</v>
      </c>
      <c r="B77" s="20" t="s">
        <v>168</v>
      </c>
      <c r="C77" s="19" t="str">
        <f aca="false">IFERROR(INDEX('قائمة الوحدات'!$B$2:$B$41,MATCH($B77,'قائمة الوحدات'!$A$2:$A$41,0)),"")</f>
        <v>EXE</v>
      </c>
      <c r="D77" s="18" t="str">
        <f aca="false">IFERROR(INDEX('قائمة الوحدات'!$C$2:$C$41,MATCH($B77,'قائمة الوحدات'!$A$2:$A$41,0)),"")</f>
        <v>الشؤون التنفيذية</v>
      </c>
      <c r="E77" s="18" t="str">
        <f aca="false">IFERROR(INDEX('قائمة الوحدات'!$D$2:$D$41,MATCH($B77,'قائمة الوحدات'!$A$2:$A$41,0)),"")</f>
        <v>وكالة الشؤون الفنية</v>
      </c>
      <c r="F77" s="18" t="str">
        <f aca="false">IFERROR(INDEX('قائمة الوحدات'!$F$2:$F$41,MATCH($B77,'قائمة الوحدات'!$A$2:$A$41,0)),"")</f>
        <v>الإدارة العامة للمشاريع</v>
      </c>
      <c r="G77" s="20" t="s">
        <v>62</v>
      </c>
      <c r="H77" s="18" t="str">
        <f aca="false">IFERROR(INDEX(المرجع!$A$2:$A$19,MATCH($G77,المرجع!$B$2:$B$19,0)),"")</f>
        <v>البناء المؤسسي</v>
      </c>
      <c r="I77" s="20" t="s">
        <v>55</v>
      </c>
      <c r="J77" s="18" t="str">
        <f aca="false">IFERROR(INDEX(المرجع!$D$2:$D$19,MATCH($I77,المرجع!$E$2:$E$19,0)),"")</f>
        <v>التنظيم</v>
      </c>
      <c r="K77" s="20" t="s">
        <v>106</v>
      </c>
      <c r="L77" s="21" t="str">
        <f aca="false">IFERROR(INDEX('نقاط التحقق'!$G$2:$G$31,MATCH($K77,'نقاط التحقق'!$A$2:$A$31,0))&amp;"","")</f>
        <v>الموظفون المحددون مسكّنون على الهيكل التنظيمي المستهدف</v>
      </c>
      <c r="M77" s="18" t="str">
        <f aca="false">IFERROR(INDEX('نقاط التحقق'!$H$2:$H$31,MATCH($K77,'نقاط التحقق'!$A$2:$A$31,0))&amp;"","")</f>
        <v/>
      </c>
      <c r="N77" s="17" t="n">
        <v>100</v>
      </c>
      <c r="O77" s="17" t="n">
        <v>100</v>
      </c>
      <c r="P77" s="19" t="str">
        <f aca="false">IF($N77="","غير مقيّمة",IF($N77&gt;المرجع!$K$3,"مستوفاة بشكل متقدم",IF($N77&lt;=المرجع!$K$2,"مستوفاة بشكل أولي","مستوفاة بشكل جزئي")))</f>
        <v>مستوفاة بشكل متقدم</v>
      </c>
      <c r="Q77" s="22"/>
    </row>
    <row r="78" customFormat="false" ht="15" hidden="false" customHeight="true" outlineLevel="0" collapsed="false">
      <c r="A78" s="20" t="s">
        <v>471</v>
      </c>
      <c r="B78" s="20" t="s">
        <v>168</v>
      </c>
      <c r="C78" s="19" t="str">
        <f aca="false">IFERROR(INDEX('قائمة الوحدات'!$B$2:$B$41,MATCH($B78,'قائمة الوحدات'!$A$2:$A$41,0)),"")</f>
        <v>EXE</v>
      </c>
      <c r="D78" s="18" t="str">
        <f aca="false">IFERROR(INDEX('قائمة الوحدات'!$C$2:$C$41,MATCH($B78,'قائمة الوحدات'!$A$2:$A$41,0)),"")</f>
        <v>الشؤون التنفيذية</v>
      </c>
      <c r="E78" s="18" t="str">
        <f aca="false">IFERROR(INDEX('قائمة الوحدات'!$D$2:$D$41,MATCH($B78,'قائمة الوحدات'!$A$2:$A$41,0)),"")</f>
        <v>وكالة الشؤون الفنية</v>
      </c>
      <c r="F78" s="18" t="str">
        <f aca="false">IFERROR(INDEX('قائمة الوحدات'!$F$2:$F$41,MATCH($B78,'قائمة الوحدات'!$A$2:$A$41,0)),"")</f>
        <v>الإدارة العامة للمشاريع</v>
      </c>
      <c r="G78" s="20" t="s">
        <v>62</v>
      </c>
      <c r="H78" s="18" t="str">
        <f aca="false">IFERROR(INDEX(المرجع!$A$2:$A$19,MATCH($G78,المرجع!$B$2:$B$19,0)),"")</f>
        <v>البناء المؤسسي</v>
      </c>
      <c r="I78" s="20" t="s">
        <v>57</v>
      </c>
      <c r="J78" s="18" t="str">
        <f aca="false">IFERROR(INDEX(المرجع!$D$2:$D$19,MATCH($I78,المرجع!$E$2:$E$19,0)),"")</f>
        <v>الموارد</v>
      </c>
      <c r="K78" s="20" t="s">
        <v>108</v>
      </c>
      <c r="L78" s="21" t="str">
        <f aca="false">IFERROR(INDEX('نقاط التحقق'!$G$2:$G$31,MATCH($K78,'نقاط التحقق'!$A$2:$A$31,0))&amp;"","")</f>
        <v>مدير الوحدة التنظيمية والموظفون الرئيسيون معينون/ملحقون</v>
      </c>
      <c r="M78" s="18" t="str">
        <f aca="false">IFERROR(INDEX('نقاط التحقق'!$H$2:$H$31,MATCH($K78,'نقاط التحقق'!$A$2:$A$31,0))&amp;"","")</f>
        <v/>
      </c>
      <c r="N78" s="17" t="n">
        <v>65</v>
      </c>
      <c r="O78" s="17" t="n">
        <v>80</v>
      </c>
      <c r="P78" s="19" t="str">
        <f aca="false">IF($N78="","غير مقيّمة",IF($N78&gt;المرجع!$K$3,"مستوفاة بشكل متقدم",IF($N78&lt;=المرجع!$K$2,"مستوفاة بشكل أولي","مستوفاة بشكل جزئي")))</f>
        <v>مستوفاة بشكل جزئي</v>
      </c>
      <c r="Q78" s="22"/>
    </row>
    <row r="79" customFormat="false" ht="15" hidden="false" customHeight="true" outlineLevel="0" collapsed="false">
      <c r="A79" s="20" t="s">
        <v>472</v>
      </c>
      <c r="B79" s="20" t="s">
        <v>168</v>
      </c>
      <c r="C79" s="19" t="str">
        <f aca="false">IFERROR(INDEX('قائمة الوحدات'!$B$2:$B$41,MATCH($B79,'قائمة الوحدات'!$A$2:$A$41,0)),"")</f>
        <v>EXE</v>
      </c>
      <c r="D79" s="18" t="str">
        <f aca="false">IFERROR(INDEX('قائمة الوحدات'!$C$2:$C$41,MATCH($B79,'قائمة الوحدات'!$A$2:$A$41,0)),"")</f>
        <v>الشؤون التنفيذية</v>
      </c>
      <c r="E79" s="18" t="str">
        <f aca="false">IFERROR(INDEX('قائمة الوحدات'!$D$2:$D$41,MATCH($B79,'قائمة الوحدات'!$A$2:$A$41,0)),"")</f>
        <v>وكالة الشؤون الفنية</v>
      </c>
      <c r="F79" s="18" t="str">
        <f aca="false">IFERROR(INDEX('قائمة الوحدات'!$F$2:$F$41,MATCH($B79,'قائمة الوحدات'!$A$2:$A$41,0)),"")</f>
        <v>الإدارة العامة للمشاريع</v>
      </c>
      <c r="G79" s="20" t="s">
        <v>62</v>
      </c>
      <c r="H79" s="18" t="str">
        <f aca="false">IFERROR(INDEX(المرجع!$A$2:$A$19,MATCH($G79,المرجع!$B$2:$B$19,0)),"")</f>
        <v>البناء المؤسسي</v>
      </c>
      <c r="I79" s="20" t="s">
        <v>57</v>
      </c>
      <c r="J79" s="18" t="str">
        <f aca="false">IFERROR(INDEX(المرجع!$D$2:$D$19,MATCH($I79,المرجع!$E$2:$E$19,0)),"")</f>
        <v>الموارد</v>
      </c>
      <c r="K79" s="20" t="s">
        <v>110</v>
      </c>
      <c r="L79" s="21" t="str">
        <f aca="false">IFERROR(INDEX('نقاط التحقق'!$G$2:$G$31,MATCH($K79,'نقاط التحقق'!$A$2:$A$31,0))&amp;"","")</f>
        <v>خطة توظيف وتدريب مستكملة</v>
      </c>
      <c r="M79" s="18" t="str">
        <f aca="false">IFERROR(INDEX('نقاط التحقق'!$H$2:$H$31,MATCH($K79,'نقاط التحقق'!$A$2:$A$31,0))&amp;"","")</f>
        <v/>
      </c>
      <c r="N79" s="17" t="n">
        <v>70</v>
      </c>
      <c r="O79" s="17" t="n">
        <v>85</v>
      </c>
      <c r="P79" s="19" t="str">
        <f aca="false">IF($N79="","غير مقيّمة",IF($N79&gt;المرجع!$K$3,"مستوفاة بشكل متقدم",IF($N79&lt;=المرجع!$K$2,"مستوفاة بشكل أولي","مستوفاة بشكل جزئي")))</f>
        <v>مستوفاة بشكل جزئي</v>
      </c>
      <c r="Q79" s="22"/>
    </row>
    <row r="80" customFormat="false" ht="15" hidden="false" customHeight="true" outlineLevel="0" collapsed="false">
      <c r="A80" s="20" t="s">
        <v>473</v>
      </c>
      <c r="B80" s="20" t="s">
        <v>168</v>
      </c>
      <c r="C80" s="19" t="str">
        <f aca="false">IFERROR(INDEX('قائمة الوحدات'!$B$2:$B$41,MATCH($B80,'قائمة الوحدات'!$A$2:$A$41,0)),"")</f>
        <v>EXE</v>
      </c>
      <c r="D80" s="18" t="str">
        <f aca="false">IFERROR(INDEX('قائمة الوحدات'!$C$2:$C$41,MATCH($B80,'قائمة الوحدات'!$A$2:$A$41,0)),"")</f>
        <v>الشؤون التنفيذية</v>
      </c>
      <c r="E80" s="18" t="str">
        <f aca="false">IFERROR(INDEX('قائمة الوحدات'!$D$2:$D$41,MATCH($B80,'قائمة الوحدات'!$A$2:$A$41,0)),"")</f>
        <v>وكالة الشؤون الفنية</v>
      </c>
      <c r="F80" s="18" t="str">
        <f aca="false">IFERROR(INDEX('قائمة الوحدات'!$F$2:$F$41,MATCH($B80,'قائمة الوحدات'!$A$2:$A$41,0)),"")</f>
        <v>الإدارة العامة للمشاريع</v>
      </c>
      <c r="G80" s="20" t="s">
        <v>62</v>
      </c>
      <c r="H80" s="18" t="str">
        <f aca="false">IFERROR(INDEX(المرجع!$A$2:$A$19,MATCH($G80,المرجع!$B$2:$B$19,0)),"")</f>
        <v>البناء المؤسسي</v>
      </c>
      <c r="I80" s="20" t="s">
        <v>57</v>
      </c>
      <c r="J80" s="18" t="str">
        <f aca="false">IFERROR(INDEX(المرجع!$D$2:$D$19,MATCH($I80,المرجع!$E$2:$E$19,0)),"")</f>
        <v>الموارد</v>
      </c>
      <c r="K80" s="20" t="s">
        <v>112</v>
      </c>
      <c r="L80" s="21" t="str">
        <f aca="false">IFERROR(INDEX('نقاط التحقق'!$G$2:$G$31,MATCH($K80,'نقاط التحقق'!$A$2:$A$31,0))&amp;"","")</f>
        <v>وجود مساحات مكتبية كافية</v>
      </c>
      <c r="M80" s="18" t="str">
        <f aca="false">IFERROR(INDEX('نقاط التحقق'!$H$2:$H$31,MATCH($K80,'نقاط التحقق'!$A$2:$A$31,0))&amp;"","")</f>
        <v/>
      </c>
      <c r="N80" s="17" t="n">
        <v>45</v>
      </c>
      <c r="O80" s="17" t="n">
        <v>95</v>
      </c>
      <c r="P80" s="19" t="str">
        <f aca="false">IF($N80="","غير مقيّمة",IF($N80&gt;المرجع!$K$3,"مستوفاة بشكل متقدم",IF($N80&lt;=المرجع!$K$2,"مستوفاة بشكل أولي","مستوفاة بشكل جزئي")))</f>
        <v>مستوفاة بشكل جزئي</v>
      </c>
      <c r="Q80" s="22"/>
    </row>
    <row r="81" customFormat="false" ht="15" hidden="false" customHeight="true" outlineLevel="0" collapsed="false">
      <c r="A81" s="20" t="s">
        <v>474</v>
      </c>
      <c r="B81" s="20" t="s">
        <v>168</v>
      </c>
      <c r="C81" s="19" t="str">
        <f aca="false">IFERROR(INDEX('قائمة الوحدات'!$B$2:$B$41,MATCH($B81,'قائمة الوحدات'!$A$2:$A$41,0)),"")</f>
        <v>EXE</v>
      </c>
      <c r="D81" s="18" t="str">
        <f aca="false">IFERROR(INDEX('قائمة الوحدات'!$C$2:$C$41,MATCH($B81,'قائمة الوحدات'!$A$2:$A$41,0)),"")</f>
        <v>الشؤون التنفيذية</v>
      </c>
      <c r="E81" s="18" t="str">
        <f aca="false">IFERROR(INDEX('قائمة الوحدات'!$D$2:$D$41,MATCH($B81,'قائمة الوحدات'!$A$2:$A$41,0)),"")</f>
        <v>وكالة الشؤون الفنية</v>
      </c>
      <c r="F81" s="18" t="str">
        <f aca="false">IFERROR(INDEX('قائمة الوحدات'!$F$2:$F$41,MATCH($B81,'قائمة الوحدات'!$A$2:$A$41,0)),"")</f>
        <v>الإدارة العامة للمشاريع</v>
      </c>
      <c r="G81" s="20" t="s">
        <v>62</v>
      </c>
      <c r="H81" s="18" t="str">
        <f aca="false">IFERROR(INDEX(المرجع!$A$2:$A$19,MATCH($G81,المرجع!$B$2:$B$19,0)),"")</f>
        <v>البناء المؤسسي</v>
      </c>
      <c r="I81" s="20" t="s">
        <v>57</v>
      </c>
      <c r="J81" s="18" t="str">
        <f aca="false">IFERROR(INDEX(المرجع!$D$2:$D$19,MATCH($I81,المرجع!$E$2:$E$19,0)),"")</f>
        <v>الموارد</v>
      </c>
      <c r="K81" s="20" t="s">
        <v>114</v>
      </c>
      <c r="L81" s="21" t="str">
        <f aca="false">IFERROR(INDEX('نقاط التحقق'!$G$2:$G$31,MATCH($K81,'نقاط التحقق'!$A$2:$A$31,0))&amp;"","")</f>
        <v>وجود الاحتياجات التقنية الأساسية</v>
      </c>
      <c r="M81" s="18" t="str">
        <f aca="false">IFERROR(INDEX('نقاط التحقق'!$H$2:$H$31,MATCH($K81,'نقاط التحقق'!$A$2:$A$31,0))&amp;"","")</f>
        <v/>
      </c>
      <c r="N81" s="17" t="n">
        <v>50</v>
      </c>
      <c r="O81" s="17" t="n">
        <v>85</v>
      </c>
      <c r="P81" s="19" t="str">
        <f aca="false">IF($N81="","غير مقيّمة",IF($N81&gt;المرجع!$K$3,"مستوفاة بشكل متقدم",IF($N81&lt;=المرجع!$K$2,"مستوفاة بشكل أولي","مستوفاة بشكل جزئي")))</f>
        <v>مستوفاة بشكل جزئي</v>
      </c>
      <c r="Q81" s="22"/>
    </row>
    <row r="82" customFormat="false" ht="15" hidden="false" customHeight="true" outlineLevel="0" collapsed="false">
      <c r="A82" s="20" t="s">
        <v>475</v>
      </c>
      <c r="B82" s="20" t="s">
        <v>168</v>
      </c>
      <c r="C82" s="19" t="str">
        <f aca="false">IFERROR(INDEX('قائمة الوحدات'!$B$2:$B$41,MATCH($B82,'قائمة الوحدات'!$A$2:$A$41,0)),"")</f>
        <v>EXE</v>
      </c>
      <c r="D82" s="18" t="str">
        <f aca="false">IFERROR(INDEX('قائمة الوحدات'!$C$2:$C$41,MATCH($B82,'قائمة الوحدات'!$A$2:$A$41,0)),"")</f>
        <v>الشؤون التنفيذية</v>
      </c>
      <c r="E82" s="18" t="str">
        <f aca="false">IFERROR(INDEX('قائمة الوحدات'!$D$2:$D$41,MATCH($B82,'قائمة الوحدات'!$A$2:$A$41,0)),"")</f>
        <v>وكالة الشؤون الفنية</v>
      </c>
      <c r="F82" s="18" t="str">
        <f aca="false">IFERROR(INDEX('قائمة الوحدات'!$F$2:$F$41,MATCH($B82,'قائمة الوحدات'!$A$2:$A$41,0)),"")</f>
        <v>الإدارة العامة للمشاريع</v>
      </c>
      <c r="G82" s="20" t="s">
        <v>62</v>
      </c>
      <c r="H82" s="18" t="str">
        <f aca="false">IFERROR(INDEX(المرجع!$A$2:$A$19,MATCH($G82,المرجع!$B$2:$B$19,0)),"")</f>
        <v>البناء المؤسسي</v>
      </c>
      <c r="I82" s="20" t="s">
        <v>60</v>
      </c>
      <c r="J82" s="18" t="str">
        <f aca="false">IFERROR(INDEX(المرجع!$D$2:$D$19,MATCH($I82,المرجع!$E$2:$E$19,0)),"")</f>
        <v>الإجراءات</v>
      </c>
      <c r="K82" s="20" t="s">
        <v>116</v>
      </c>
      <c r="L82" s="21" t="str">
        <f aca="false">IFERROR(INDEX('نقاط التحقق'!$G$2:$G$31,MATCH($K82,'نقاط التحقق'!$A$2:$A$31,0))&amp;"","")</f>
        <v>إجراءات معتمدة للوحدة التنظيمية</v>
      </c>
      <c r="M82" s="18" t="str">
        <f aca="false">IFERROR(INDEX('نقاط التحقق'!$H$2:$H$31,MATCH($K82,'نقاط التحقق'!$A$2:$A$31,0))&amp;"","")</f>
        <v/>
      </c>
      <c r="N82" s="17" t="n">
        <v>84</v>
      </c>
      <c r="O82" s="17" t="n">
        <v>84</v>
      </c>
      <c r="P82" s="19" t="str">
        <f aca="false">IF($N82="","غير مقيّمة",IF($N82&gt;المرجع!$K$3,"مستوفاة بشكل متقدم",IF($N82&lt;=المرجع!$K$2,"مستوفاة بشكل أولي","مستوفاة بشكل جزئي")))</f>
        <v>مستوفاة بشكل متقدم</v>
      </c>
      <c r="Q82" s="22"/>
    </row>
    <row r="83" customFormat="false" ht="15" hidden="false" customHeight="true" outlineLevel="0" collapsed="false">
      <c r="A83" s="20" t="s">
        <v>476</v>
      </c>
      <c r="B83" s="20" t="s">
        <v>168</v>
      </c>
      <c r="C83" s="19" t="str">
        <f aca="false">IFERROR(INDEX('قائمة الوحدات'!$B$2:$B$41,MATCH($B83,'قائمة الوحدات'!$A$2:$A$41,0)),"")</f>
        <v>EXE</v>
      </c>
      <c r="D83" s="18" t="str">
        <f aca="false">IFERROR(INDEX('قائمة الوحدات'!$C$2:$C$41,MATCH($B83,'قائمة الوحدات'!$A$2:$A$41,0)),"")</f>
        <v>الشؤون التنفيذية</v>
      </c>
      <c r="E83" s="18" t="str">
        <f aca="false">IFERROR(INDEX('قائمة الوحدات'!$D$2:$D$41,MATCH($B83,'قائمة الوحدات'!$A$2:$A$41,0)),"")</f>
        <v>وكالة الشؤون الفنية</v>
      </c>
      <c r="F83" s="18" t="str">
        <f aca="false">IFERROR(INDEX('قائمة الوحدات'!$F$2:$F$41,MATCH($B83,'قائمة الوحدات'!$A$2:$A$41,0)),"")</f>
        <v>الإدارة العامة للمشاريع</v>
      </c>
      <c r="G83" s="20" t="s">
        <v>62</v>
      </c>
      <c r="H83" s="18" t="str">
        <f aca="false">IFERROR(INDEX(المرجع!$A$2:$A$19,MATCH($G83,المرجع!$B$2:$B$19,0)),"")</f>
        <v>البناء المؤسسي</v>
      </c>
      <c r="I83" s="20" t="s">
        <v>69</v>
      </c>
      <c r="J83" s="18" t="str">
        <f aca="false">IFERROR(INDEX(المرجع!$D$2:$D$19,MATCH($I83,المرجع!$E$2:$E$19,0)),"")</f>
        <v>إنتاج المخرج الأول</v>
      </c>
      <c r="K83" s="20" t="s">
        <v>118</v>
      </c>
      <c r="L83" s="21" t="str">
        <f aca="false">IFERROR(INDEX('نقاط التحقق'!$G$2:$G$31,MATCH($K83,'نقاط التحقق'!$A$2:$A$31,0))&amp;"","")</f>
        <v>إنتاج المخرج الأول من قبل الوحدة التنظيمية</v>
      </c>
      <c r="M83" s="18" t="str">
        <f aca="false">IFERROR(INDEX('نقاط التحقق'!$H$2:$H$31,MATCH($K83,'نقاط التحقق'!$A$2:$A$31,0))&amp;"","")</f>
        <v/>
      </c>
      <c r="N83" s="17" t="n">
        <v>52</v>
      </c>
      <c r="O83" s="17" t="n">
        <v>90</v>
      </c>
      <c r="P83" s="19" t="str">
        <f aca="false">IF($N83="","غير مقيّمة",IF($N83&gt;المرجع!$K$3,"مستوفاة بشكل متقدم",IF($N83&lt;=المرجع!$K$2,"مستوفاة بشكل أولي","مستوفاة بشكل جزئي")))</f>
        <v>مستوفاة بشكل جزئي</v>
      </c>
      <c r="Q83" s="22"/>
    </row>
    <row r="84" customFormat="false" ht="15" hidden="false" customHeight="true" outlineLevel="0" collapsed="false">
      <c r="A84" s="20" t="s">
        <v>477</v>
      </c>
      <c r="B84" s="20" t="s">
        <v>168</v>
      </c>
      <c r="C84" s="19" t="str">
        <f aca="false">IFERROR(INDEX('قائمة الوحدات'!$B$2:$B$41,MATCH($B84,'قائمة الوحدات'!$A$2:$A$41,0)),"")</f>
        <v>EXE</v>
      </c>
      <c r="D84" s="18" t="str">
        <f aca="false">IFERROR(INDEX('قائمة الوحدات'!$C$2:$C$41,MATCH($B84,'قائمة الوحدات'!$A$2:$A$41,0)),"")</f>
        <v>الشؤون التنفيذية</v>
      </c>
      <c r="E84" s="18" t="str">
        <f aca="false">IFERROR(INDEX('قائمة الوحدات'!$D$2:$D$41,MATCH($B84,'قائمة الوحدات'!$A$2:$A$41,0)),"")</f>
        <v>وكالة الشؤون الفنية</v>
      </c>
      <c r="F84" s="18" t="str">
        <f aca="false">IFERROR(INDEX('قائمة الوحدات'!$F$2:$F$41,MATCH($B84,'قائمة الوحدات'!$A$2:$A$41,0)),"")</f>
        <v>الإدارة العامة للمشاريع</v>
      </c>
      <c r="G84" s="20" t="s">
        <v>66</v>
      </c>
      <c r="H84" s="18" t="str">
        <f aca="false">IFERROR(INDEX(المرجع!$A$2:$A$19,MATCH($G84,المرجع!$B$2:$B$19,0)),"")</f>
        <v>التشغيل</v>
      </c>
      <c r="I84" s="20" t="s">
        <v>49</v>
      </c>
      <c r="J84" s="18" t="str">
        <f aca="false">IFERROR(INDEX(المرجع!$D$2:$D$19,MATCH($I84,المرجع!$E$2:$E$19,0)),"")</f>
        <v>الأهداف ومؤشرات الأداء</v>
      </c>
      <c r="K84" s="20" t="s">
        <v>120</v>
      </c>
      <c r="L84" s="21" t="str">
        <f aca="false">IFERROR(INDEX('نقاط التحقق'!$G$2:$G$31,MATCH($K84,'نقاط التحقق'!$A$2:$A$31,0))&amp;"","")</f>
        <v>تحرك مؤشرات الأداء التشغيلي للوحدة التنظيمية بشكل إيجابي</v>
      </c>
      <c r="M84" s="18" t="str">
        <f aca="false">IFERROR(INDEX('نقاط التحقق'!$H$2:$H$31,MATCH($K84,'نقاط التحقق'!$A$2:$A$31,0))&amp;"","")</f>
        <v/>
      </c>
      <c r="N84" s="17" t="n">
        <v>45</v>
      </c>
      <c r="O84" s="17" t="n">
        <v>100</v>
      </c>
      <c r="P84" s="19" t="str">
        <f aca="false">IF($N84="","غير مقيّمة",IF($N84&gt;المرجع!$K$3,"مستوفاة بشكل متقدم",IF($N84&lt;=المرجع!$K$2,"مستوفاة بشكل أولي","مستوفاة بشكل جزئي")))</f>
        <v>مستوفاة بشكل جزئي</v>
      </c>
      <c r="Q84" s="22"/>
    </row>
    <row r="85" customFormat="false" ht="15" hidden="false" customHeight="true" outlineLevel="0" collapsed="false">
      <c r="A85" s="20" t="s">
        <v>478</v>
      </c>
      <c r="B85" s="20" t="s">
        <v>168</v>
      </c>
      <c r="C85" s="19" t="str">
        <f aca="false">IFERROR(INDEX('قائمة الوحدات'!$B$2:$B$41,MATCH($B85,'قائمة الوحدات'!$A$2:$A$41,0)),"")</f>
        <v>EXE</v>
      </c>
      <c r="D85" s="18" t="str">
        <f aca="false">IFERROR(INDEX('قائمة الوحدات'!$C$2:$C$41,MATCH($B85,'قائمة الوحدات'!$A$2:$A$41,0)),"")</f>
        <v>الشؤون التنفيذية</v>
      </c>
      <c r="E85" s="18" t="str">
        <f aca="false">IFERROR(INDEX('قائمة الوحدات'!$D$2:$D$41,MATCH($B85,'قائمة الوحدات'!$A$2:$A$41,0)),"")</f>
        <v>وكالة الشؤون الفنية</v>
      </c>
      <c r="F85" s="18" t="str">
        <f aca="false">IFERROR(INDEX('قائمة الوحدات'!$F$2:$F$41,MATCH($B85,'قائمة الوحدات'!$A$2:$A$41,0)),"")</f>
        <v>الإدارة العامة للمشاريع</v>
      </c>
      <c r="G85" s="20" t="s">
        <v>66</v>
      </c>
      <c r="H85" s="18" t="str">
        <f aca="false">IFERROR(INDEX(المرجع!$A$2:$A$19,MATCH($G85,المرجع!$B$2:$B$19,0)),"")</f>
        <v>التشغيل</v>
      </c>
      <c r="I85" s="20" t="s">
        <v>49</v>
      </c>
      <c r="J85" s="18" t="str">
        <f aca="false">IFERROR(INDEX(المرجع!$D$2:$D$19,MATCH($I85,المرجع!$E$2:$E$19,0)),"")</f>
        <v>الأهداف ومؤشرات الأداء</v>
      </c>
      <c r="K85" s="20" t="s">
        <v>122</v>
      </c>
      <c r="L85" s="21" t="str">
        <f aca="false">IFERROR(INDEX('نقاط التحقق'!$G$2:$G$31,MATCH($K85,'نقاط التحقق'!$A$2:$A$31,0))&amp;"","")</f>
        <v>خطة سنوية معتمدة للوحدة التنظيمية</v>
      </c>
      <c r="M85" s="18" t="str">
        <f aca="false">IFERROR(INDEX('نقاط التحقق'!$H$2:$H$31,MATCH($K85,'نقاط التحقق'!$A$2:$A$31,0))&amp;"","")</f>
        <v/>
      </c>
      <c r="N85" s="17" t="n">
        <v>35</v>
      </c>
      <c r="O85" s="17" t="n">
        <v>80</v>
      </c>
      <c r="P85" s="19" t="str">
        <f aca="false">IF($N85="","غير مقيّمة",IF($N85&gt;المرجع!$K$3,"مستوفاة بشكل متقدم",IF($N85&lt;=المرجع!$K$2,"مستوفاة بشكل أولي","مستوفاة بشكل جزئي")))</f>
        <v>مستوفاة بشكل جزئي</v>
      </c>
      <c r="Q85" s="22"/>
    </row>
    <row r="86" customFormat="false" ht="15" hidden="false" customHeight="true" outlineLevel="0" collapsed="false">
      <c r="A86" s="20" t="s">
        <v>479</v>
      </c>
      <c r="B86" s="20" t="s">
        <v>168</v>
      </c>
      <c r="C86" s="19" t="str">
        <f aca="false">IFERROR(INDEX('قائمة الوحدات'!$B$2:$B$41,MATCH($B86,'قائمة الوحدات'!$A$2:$A$41,0)),"")</f>
        <v>EXE</v>
      </c>
      <c r="D86" s="18" t="str">
        <f aca="false">IFERROR(INDEX('قائمة الوحدات'!$C$2:$C$41,MATCH($B86,'قائمة الوحدات'!$A$2:$A$41,0)),"")</f>
        <v>الشؤون التنفيذية</v>
      </c>
      <c r="E86" s="18" t="str">
        <f aca="false">IFERROR(INDEX('قائمة الوحدات'!$D$2:$D$41,MATCH($B86,'قائمة الوحدات'!$A$2:$A$41,0)),"")</f>
        <v>وكالة الشؤون الفنية</v>
      </c>
      <c r="F86" s="18" t="str">
        <f aca="false">IFERROR(INDEX('قائمة الوحدات'!$F$2:$F$41,MATCH($B86,'قائمة الوحدات'!$A$2:$A$41,0)),"")</f>
        <v>الإدارة العامة للمشاريع</v>
      </c>
      <c r="G86" s="20" t="s">
        <v>66</v>
      </c>
      <c r="H86" s="18" t="str">
        <f aca="false">IFERROR(INDEX(المرجع!$A$2:$A$19,MATCH($G86,المرجع!$B$2:$B$19,0)),"")</f>
        <v>التشغيل</v>
      </c>
      <c r="I86" s="20" t="s">
        <v>52</v>
      </c>
      <c r="J86" s="18" t="str">
        <f aca="false">IFERROR(INDEX(المرجع!$D$2:$D$19,MATCH($I86,المرجع!$E$2:$E$19,0)),"")</f>
        <v>الحوكمة</v>
      </c>
      <c r="K86" s="20" t="s">
        <v>124</v>
      </c>
      <c r="L86" s="21" t="str">
        <f aca="false">IFERROR(INDEX('نقاط التحقق'!$G$2:$G$31,MATCH($K86,'نقاط التحقق'!$A$2:$A$31,0))&amp;"","")</f>
        <v>محاضر لجان موثقة</v>
      </c>
      <c r="M86" s="18" t="str">
        <f aca="false">IFERROR(INDEX('نقاط التحقق'!$H$2:$H$31,MATCH($K86,'نقاط التحقق'!$A$2:$A$31,0))&amp;"","")</f>
        <v/>
      </c>
      <c r="N86" s="17" t="n">
        <v>15</v>
      </c>
      <c r="O86" s="17" t="n">
        <v>80</v>
      </c>
      <c r="P86" s="19" t="str">
        <f aca="false">IF($N86="","غير مقيّمة",IF($N86&gt;المرجع!$K$3,"مستوفاة بشكل متقدم",IF($N86&lt;=المرجع!$K$2,"مستوفاة بشكل أولي","مستوفاة بشكل جزئي")))</f>
        <v>مستوفاة بشكل أولي</v>
      </c>
      <c r="Q86" s="22"/>
    </row>
    <row r="87" customFormat="false" ht="15" hidden="false" customHeight="true" outlineLevel="0" collapsed="false">
      <c r="A87" s="20" t="s">
        <v>480</v>
      </c>
      <c r="B87" s="20" t="s">
        <v>168</v>
      </c>
      <c r="C87" s="19" t="str">
        <f aca="false">IFERROR(INDEX('قائمة الوحدات'!$B$2:$B$41,MATCH($B87,'قائمة الوحدات'!$A$2:$A$41,0)),"")</f>
        <v>EXE</v>
      </c>
      <c r="D87" s="18" t="str">
        <f aca="false">IFERROR(INDEX('قائمة الوحدات'!$C$2:$C$41,MATCH($B87,'قائمة الوحدات'!$A$2:$A$41,0)),"")</f>
        <v>الشؤون التنفيذية</v>
      </c>
      <c r="E87" s="18" t="str">
        <f aca="false">IFERROR(INDEX('قائمة الوحدات'!$D$2:$D$41,MATCH($B87,'قائمة الوحدات'!$A$2:$A$41,0)),"")</f>
        <v>وكالة الشؤون الفنية</v>
      </c>
      <c r="F87" s="18" t="str">
        <f aca="false">IFERROR(INDEX('قائمة الوحدات'!$F$2:$F$41,MATCH($B87,'قائمة الوحدات'!$A$2:$A$41,0)),"")</f>
        <v>الإدارة العامة للمشاريع</v>
      </c>
      <c r="G87" s="20" t="s">
        <v>66</v>
      </c>
      <c r="H87" s="18" t="str">
        <f aca="false">IFERROR(INDEX(المرجع!$A$2:$A$19,MATCH($G87,المرجع!$B$2:$B$19,0)),"")</f>
        <v>التشغيل</v>
      </c>
      <c r="I87" s="20" t="s">
        <v>52</v>
      </c>
      <c r="J87" s="18" t="str">
        <f aca="false">IFERROR(INDEX(المرجع!$D$2:$D$19,MATCH($I87,المرجع!$E$2:$E$19,0)),"")</f>
        <v>الحوكمة</v>
      </c>
      <c r="K87" s="20" t="s">
        <v>126</v>
      </c>
      <c r="L87" s="21" t="str">
        <f aca="false">IFERROR(INDEX('نقاط التحقق'!$G$2:$G$31,MATCH($K87,'نقاط التحقق'!$A$2:$A$31,0))&amp;"","")</f>
        <v>نشر السياسات التي تملكها الوحدة التنظيمية</v>
      </c>
      <c r="M87" s="18" t="str">
        <f aca="false">IFERROR(INDEX('نقاط التحقق'!$H$2:$H$31,MATCH($K87,'نقاط التحقق'!$A$2:$A$31,0))&amp;"","")</f>
        <v/>
      </c>
      <c r="N87" s="17" t="n">
        <v>30</v>
      </c>
      <c r="O87" s="17" t="n">
        <v>80</v>
      </c>
      <c r="P87" s="19" t="str">
        <f aca="false">IF($N87="","غير مقيّمة",IF($N87&gt;المرجع!$K$3,"مستوفاة بشكل متقدم",IF($N87&lt;=المرجع!$K$2,"مستوفاة بشكل أولي","مستوفاة بشكل جزئي")))</f>
        <v>مستوفاة بشكل أولي</v>
      </c>
      <c r="Q87" s="22"/>
    </row>
    <row r="88" customFormat="false" ht="15" hidden="false" customHeight="true" outlineLevel="0" collapsed="false">
      <c r="A88" s="20" t="s">
        <v>481</v>
      </c>
      <c r="B88" s="20" t="s">
        <v>168</v>
      </c>
      <c r="C88" s="19" t="str">
        <f aca="false">IFERROR(INDEX('قائمة الوحدات'!$B$2:$B$41,MATCH($B88,'قائمة الوحدات'!$A$2:$A$41,0)),"")</f>
        <v>EXE</v>
      </c>
      <c r="D88" s="18" t="str">
        <f aca="false">IFERROR(INDEX('قائمة الوحدات'!$C$2:$C$41,MATCH($B88,'قائمة الوحدات'!$A$2:$A$41,0)),"")</f>
        <v>الشؤون التنفيذية</v>
      </c>
      <c r="E88" s="18" t="str">
        <f aca="false">IFERROR(INDEX('قائمة الوحدات'!$D$2:$D$41,MATCH($B88,'قائمة الوحدات'!$A$2:$A$41,0)),"")</f>
        <v>وكالة الشؤون الفنية</v>
      </c>
      <c r="F88" s="18" t="str">
        <f aca="false">IFERROR(INDEX('قائمة الوحدات'!$F$2:$F$41,MATCH($B88,'قائمة الوحدات'!$A$2:$A$41,0)),"")</f>
        <v>الإدارة العامة للمشاريع</v>
      </c>
      <c r="G88" s="20" t="s">
        <v>66</v>
      </c>
      <c r="H88" s="18" t="str">
        <f aca="false">IFERROR(INDEX(المرجع!$A$2:$A$19,MATCH($G88,المرجع!$B$2:$B$19,0)),"")</f>
        <v>التشغيل</v>
      </c>
      <c r="I88" s="20" t="s">
        <v>52</v>
      </c>
      <c r="J88" s="18" t="str">
        <f aca="false">IFERROR(INDEX(المرجع!$D$2:$D$19,MATCH($I88,المرجع!$E$2:$E$19,0)),"")</f>
        <v>الحوكمة</v>
      </c>
      <c r="K88" s="20" t="s">
        <v>128</v>
      </c>
      <c r="L88" s="21" t="str">
        <f aca="false">IFERROR(INDEX('نقاط التحقق'!$G$2:$G$31,MATCH($K88,'نقاط التحقق'!$A$2:$A$31,0))&amp;"","")</f>
        <v>اتخاذ القرارات في نطاق الصلاحيات (وجود شواهد)</v>
      </c>
      <c r="M88" s="18" t="str">
        <f aca="false">IFERROR(INDEX('نقاط التحقق'!$H$2:$H$31,MATCH($K88,'نقاط التحقق'!$A$2:$A$31,0))&amp;"","")</f>
        <v/>
      </c>
      <c r="N88" s="17" t="n">
        <v>35</v>
      </c>
      <c r="O88" s="17" t="n">
        <v>100</v>
      </c>
      <c r="P88" s="19" t="str">
        <f aca="false">IF($N88="","غير مقيّمة",IF($N88&gt;المرجع!$K$3,"مستوفاة بشكل متقدم",IF($N88&lt;=المرجع!$K$2,"مستوفاة بشكل أولي","مستوفاة بشكل جزئي")))</f>
        <v>مستوفاة بشكل جزئي</v>
      </c>
      <c r="Q88" s="22"/>
    </row>
    <row r="89" customFormat="false" ht="15" hidden="false" customHeight="true" outlineLevel="0" collapsed="false">
      <c r="A89" s="20" t="s">
        <v>482</v>
      </c>
      <c r="B89" s="20" t="s">
        <v>168</v>
      </c>
      <c r="C89" s="19" t="str">
        <f aca="false">IFERROR(INDEX('قائمة الوحدات'!$B$2:$B$41,MATCH($B89,'قائمة الوحدات'!$A$2:$A$41,0)),"")</f>
        <v>EXE</v>
      </c>
      <c r="D89" s="18" t="str">
        <f aca="false">IFERROR(INDEX('قائمة الوحدات'!$C$2:$C$41,MATCH($B89,'قائمة الوحدات'!$A$2:$A$41,0)),"")</f>
        <v>الشؤون التنفيذية</v>
      </c>
      <c r="E89" s="18" t="str">
        <f aca="false">IFERROR(INDEX('قائمة الوحدات'!$D$2:$D$41,MATCH($B89,'قائمة الوحدات'!$A$2:$A$41,0)),"")</f>
        <v>وكالة الشؤون الفنية</v>
      </c>
      <c r="F89" s="18" t="str">
        <f aca="false">IFERROR(INDEX('قائمة الوحدات'!$F$2:$F$41,MATCH($B89,'قائمة الوحدات'!$A$2:$A$41,0)),"")</f>
        <v>الإدارة العامة للمشاريع</v>
      </c>
      <c r="G89" s="20" t="s">
        <v>66</v>
      </c>
      <c r="H89" s="18" t="str">
        <f aca="false">IFERROR(INDEX(المرجع!$A$2:$A$19,MATCH($G89,المرجع!$B$2:$B$19,0)),"")</f>
        <v>التشغيل</v>
      </c>
      <c r="I89" s="20" t="s">
        <v>57</v>
      </c>
      <c r="J89" s="18" t="str">
        <f aca="false">IFERROR(INDEX(المرجع!$D$2:$D$19,MATCH($I89,المرجع!$E$2:$E$19,0)),"")</f>
        <v>الموارد</v>
      </c>
      <c r="K89" s="20" t="s">
        <v>130</v>
      </c>
      <c r="L89" s="21" t="str">
        <f aca="false">IFERROR(INDEX('نقاط التحقق'!$G$2:$G$31,MATCH($K89,'نقاط التحقق'!$A$2:$A$31,0))&amp;"","")</f>
        <v>موارد مستكملة للحد الأدنى الذي يغطي كافة محاور سلسلة القيمة</v>
      </c>
      <c r="M89" s="18" t="str">
        <f aca="false">IFERROR(INDEX('نقاط التحقق'!$H$2:$H$31,MATCH($K89,'نقاط التحقق'!$A$2:$A$31,0))&amp;"","")</f>
        <v/>
      </c>
      <c r="N89" s="17" t="n">
        <v>59</v>
      </c>
      <c r="O89" s="17" t="n">
        <v>85</v>
      </c>
      <c r="P89" s="19" t="str">
        <f aca="false">IF($N89="","غير مقيّمة",IF($N89&gt;المرجع!$K$3,"مستوفاة بشكل متقدم",IF($N89&lt;=المرجع!$K$2,"مستوفاة بشكل أولي","مستوفاة بشكل جزئي")))</f>
        <v>مستوفاة بشكل جزئي</v>
      </c>
      <c r="Q89" s="22"/>
    </row>
    <row r="90" customFormat="false" ht="15" hidden="false" customHeight="true" outlineLevel="0" collapsed="false">
      <c r="A90" s="20" t="s">
        <v>483</v>
      </c>
      <c r="B90" s="20" t="s">
        <v>168</v>
      </c>
      <c r="C90" s="19" t="str">
        <f aca="false">IFERROR(INDEX('قائمة الوحدات'!$B$2:$B$41,MATCH($B90,'قائمة الوحدات'!$A$2:$A$41,0)),"")</f>
        <v>EXE</v>
      </c>
      <c r="D90" s="18" t="str">
        <f aca="false">IFERROR(INDEX('قائمة الوحدات'!$C$2:$C$41,MATCH($B90,'قائمة الوحدات'!$A$2:$A$41,0)),"")</f>
        <v>الشؤون التنفيذية</v>
      </c>
      <c r="E90" s="18" t="str">
        <f aca="false">IFERROR(INDEX('قائمة الوحدات'!$D$2:$D$41,MATCH($B90,'قائمة الوحدات'!$A$2:$A$41,0)),"")</f>
        <v>وكالة الشؤون الفنية</v>
      </c>
      <c r="F90" s="18" t="str">
        <f aca="false">IFERROR(INDEX('قائمة الوحدات'!$F$2:$F$41,MATCH($B90,'قائمة الوحدات'!$A$2:$A$41,0)),"")</f>
        <v>الإدارة العامة للمشاريع</v>
      </c>
      <c r="G90" s="20" t="s">
        <v>66</v>
      </c>
      <c r="H90" s="18" t="str">
        <f aca="false">IFERROR(INDEX(المرجع!$A$2:$A$19,MATCH($G90,المرجع!$B$2:$B$19,0)),"")</f>
        <v>التشغيل</v>
      </c>
      <c r="I90" s="20" t="s">
        <v>60</v>
      </c>
      <c r="J90" s="18" t="str">
        <f aca="false">IFERROR(INDEX(المرجع!$D$2:$D$19,MATCH($I90,المرجع!$E$2:$E$19,0)),"")</f>
        <v>الإجراءات</v>
      </c>
      <c r="K90" s="20" t="s">
        <v>132</v>
      </c>
      <c r="L90" s="21" t="str">
        <f aca="false">IFERROR(INDEX('نقاط التحقق'!$G$2:$G$31,MATCH($K90,'نقاط التحقق'!$A$2:$A$31,0))&amp;"","")</f>
        <v>تحقيق تقييم "مطبق بشكل كامل" من منهجية تقييم فعالية الإجراءات</v>
      </c>
      <c r="M90" s="18" t="str">
        <f aca="false">IFERROR(INDEX('نقاط التحقق'!$H$2:$H$31,MATCH($K90,'نقاط التحقق'!$A$2:$A$31,0))&amp;"","")</f>
        <v/>
      </c>
      <c r="N90" s="17" t="n">
        <v>42</v>
      </c>
      <c r="O90" s="17" t="n">
        <v>100</v>
      </c>
      <c r="P90" s="19" t="str">
        <f aca="false">IF($N90="","غير مقيّمة",IF($N90&gt;المرجع!$K$3,"مستوفاة بشكل متقدم",IF($N90&lt;=المرجع!$K$2,"مستوفاة بشكل أولي","مستوفاة بشكل جزئي")))</f>
        <v>مستوفاة بشكل جزئي</v>
      </c>
      <c r="Q90" s="22"/>
    </row>
    <row r="91" customFormat="false" ht="15" hidden="false" customHeight="true" outlineLevel="0" collapsed="false">
      <c r="A91" s="20" t="s">
        <v>484</v>
      </c>
      <c r="B91" s="20" t="s">
        <v>168</v>
      </c>
      <c r="C91" s="19" t="str">
        <f aca="false">IFERROR(INDEX('قائمة الوحدات'!$B$2:$B$41,MATCH($B91,'قائمة الوحدات'!$A$2:$A$41,0)),"")</f>
        <v>EXE</v>
      </c>
      <c r="D91" s="18" t="str">
        <f aca="false">IFERROR(INDEX('قائمة الوحدات'!$C$2:$C$41,MATCH($B91,'قائمة الوحدات'!$A$2:$A$41,0)),"")</f>
        <v>الشؤون التنفيذية</v>
      </c>
      <c r="E91" s="18" t="str">
        <f aca="false">IFERROR(INDEX('قائمة الوحدات'!$D$2:$D$41,MATCH($B91,'قائمة الوحدات'!$A$2:$A$41,0)),"")</f>
        <v>وكالة الشؤون الفنية</v>
      </c>
      <c r="F91" s="18" t="str">
        <f aca="false">IFERROR(INDEX('قائمة الوحدات'!$F$2:$F$41,MATCH($B91,'قائمة الوحدات'!$A$2:$A$41,0)),"")</f>
        <v>الإدارة العامة للمشاريع</v>
      </c>
      <c r="G91" s="20" t="s">
        <v>66</v>
      </c>
      <c r="H91" s="18" t="str">
        <f aca="false">IFERROR(INDEX(المرجع!$A$2:$A$19,MATCH($G91,المرجع!$B$2:$B$19,0)),"")</f>
        <v>التشغيل</v>
      </c>
      <c r="I91" s="20" t="s">
        <v>71</v>
      </c>
      <c r="J91" s="18" t="str">
        <f aca="false">IFERROR(INDEX(المرجع!$D$2:$D$19,MATCH($I91,المرجع!$E$2:$E$19,0)),"")</f>
        <v>اكتمال المخرجات المستهدفة</v>
      </c>
      <c r="K91" s="20" t="s">
        <v>134</v>
      </c>
      <c r="L91" s="21" t="str">
        <f aca="false">IFERROR(INDEX('نقاط التحقق'!$G$2:$G$31,MATCH($K91,'نقاط التحقق'!$A$2:$A$31,0))&amp;"","")</f>
        <v>اكتمال مخرجات النموذج التشغيلي المستهدف للوحدة التنظيمية</v>
      </c>
      <c r="M91" s="18" t="str">
        <f aca="false">IFERROR(INDEX('نقاط التحقق'!$H$2:$H$31,MATCH($K91,'نقاط التحقق'!$A$2:$A$31,0))&amp;"","")</f>
        <v/>
      </c>
      <c r="N91" s="17" t="n">
        <v>46</v>
      </c>
      <c r="O91" s="17" t="n">
        <v>80</v>
      </c>
      <c r="P91" s="19" t="str">
        <f aca="false">IF($N91="","غير مقيّمة",IF($N91&gt;المرجع!$K$3,"مستوفاة بشكل متقدم",IF($N91&lt;=المرجع!$K$2,"مستوفاة بشكل أولي","مستوفاة بشكل جزئي")))</f>
        <v>مستوفاة بشكل جزئي</v>
      </c>
      <c r="Q91" s="22"/>
    </row>
    <row r="92" customFormat="false" ht="15" hidden="false" customHeight="true" outlineLevel="0" collapsed="false">
      <c r="A92" s="20" t="s">
        <v>485</v>
      </c>
      <c r="B92" s="20" t="s">
        <v>170</v>
      </c>
      <c r="C92" s="19" t="str">
        <f aca="false">IFERROR(INDEX('قائمة الوحدات'!$B$2:$B$41,MATCH($B92,'قائمة الوحدات'!$A$2:$A$41,0)),"")</f>
        <v>EXE</v>
      </c>
      <c r="D92" s="18" t="str">
        <f aca="false">IFERROR(INDEX('قائمة الوحدات'!$C$2:$C$41,MATCH($B92,'قائمة الوحدات'!$A$2:$A$41,0)),"")</f>
        <v>الشؤون التنفيذية</v>
      </c>
      <c r="E92" s="18" t="str">
        <f aca="false">IFERROR(INDEX('قائمة الوحدات'!$D$2:$D$41,MATCH($B92,'قائمة الوحدات'!$A$2:$A$41,0)),"")</f>
        <v>وكالة الشؤون الفنية</v>
      </c>
      <c r="F92" s="18" t="str">
        <f aca="false">IFERROR(INDEX('قائمة الوحدات'!$F$2:$F$41,MATCH($B92,'قائمة الوحدات'!$A$2:$A$41,0)),"")</f>
        <v>الإدارة العامة للتشغيل والصيانة</v>
      </c>
      <c r="G92" s="20" t="s">
        <v>44</v>
      </c>
      <c r="H92" s="18" t="str">
        <f aca="false">IFERROR(INDEX(المرجع!$A$2:$A$19,MATCH($G92,المرجع!$B$2:$B$19,0)),"")</f>
        <v>التصميم</v>
      </c>
      <c r="I92" s="20" t="s">
        <v>46</v>
      </c>
      <c r="J92" s="18" t="str">
        <f aca="false">IFERROR(INDEX(المرجع!$D$2:$D$19,MATCH($I92,المرجع!$E$2:$E$19,0)),"")</f>
        <v>الدور</v>
      </c>
      <c r="K92" s="20" t="s">
        <v>76</v>
      </c>
      <c r="L92" s="21" t="str">
        <f aca="false">IFERROR(INDEX('نقاط التحقق'!$G$2:$G$31,MATCH($K92,'نقاط التحقق'!$A$2:$A$31,0))&amp;"","")</f>
        <v>دور مفصل للوحدة التنظيمية</v>
      </c>
      <c r="M92" s="18" t="str">
        <f aca="false">IFERROR(INDEX('نقاط التحقق'!$H$2:$H$31,MATCH($K92,'نقاط التحقق'!$A$2:$A$31,0))&amp;"","")</f>
        <v/>
      </c>
      <c r="N92" s="17" t="n">
        <v>83</v>
      </c>
      <c r="O92" s="17" t="n">
        <v>90</v>
      </c>
      <c r="P92" s="19" t="str">
        <f aca="false">IF($N92="","غير مقيّمة",IF($N92&gt;المرجع!$K$3,"مستوفاة بشكل متقدم",IF($N92&lt;=المرجع!$K$2,"مستوفاة بشكل أولي","مستوفاة بشكل جزئي")))</f>
        <v>مستوفاة بشكل متقدم</v>
      </c>
      <c r="Q92" s="22"/>
    </row>
    <row r="93" customFormat="false" ht="15" hidden="false" customHeight="true" outlineLevel="0" collapsed="false">
      <c r="A93" s="20" t="s">
        <v>486</v>
      </c>
      <c r="B93" s="20" t="s">
        <v>170</v>
      </c>
      <c r="C93" s="19" t="str">
        <f aca="false">IFERROR(INDEX('قائمة الوحدات'!$B$2:$B$41,MATCH($B93,'قائمة الوحدات'!$A$2:$A$41,0)),"")</f>
        <v>EXE</v>
      </c>
      <c r="D93" s="18" t="str">
        <f aca="false">IFERROR(INDEX('قائمة الوحدات'!$C$2:$C$41,MATCH($B93,'قائمة الوحدات'!$A$2:$A$41,0)),"")</f>
        <v>الشؤون التنفيذية</v>
      </c>
      <c r="E93" s="18" t="str">
        <f aca="false">IFERROR(INDEX('قائمة الوحدات'!$D$2:$D$41,MATCH($B93,'قائمة الوحدات'!$A$2:$A$41,0)),"")</f>
        <v>وكالة الشؤون الفنية</v>
      </c>
      <c r="F93" s="18" t="str">
        <f aca="false">IFERROR(INDEX('قائمة الوحدات'!$F$2:$F$41,MATCH($B93,'قائمة الوحدات'!$A$2:$A$41,0)),"")</f>
        <v>الإدارة العامة للتشغيل والصيانة</v>
      </c>
      <c r="G93" s="20" t="s">
        <v>44</v>
      </c>
      <c r="H93" s="18" t="str">
        <f aca="false">IFERROR(INDEX(المرجع!$A$2:$A$19,MATCH($G93,المرجع!$B$2:$B$19,0)),"")</f>
        <v>التصميم</v>
      </c>
      <c r="I93" s="20" t="s">
        <v>49</v>
      </c>
      <c r="J93" s="18" t="str">
        <f aca="false">IFERROR(INDEX(المرجع!$D$2:$D$19,MATCH($I93,المرجع!$E$2:$E$19,0)),"")</f>
        <v>الأهداف ومؤشرات الأداء</v>
      </c>
      <c r="K93" s="20" t="s">
        <v>78</v>
      </c>
      <c r="L93" s="21" t="str">
        <f aca="false">IFERROR(INDEX('نقاط التحقق'!$G$2:$G$31,MATCH($K93,'نقاط التحقق'!$A$2:$A$31,0))&amp;"","")</f>
        <v>أهداف محددة للوحدة التنظيمية وربطها بمؤشرات أداء لقياسها</v>
      </c>
      <c r="M93" s="18" t="str">
        <f aca="false">IFERROR(INDEX('نقاط التحقق'!$H$2:$H$31,MATCH($K93,'نقاط التحقق'!$A$2:$A$31,0))&amp;"","")</f>
        <v/>
      </c>
      <c r="N93" s="17" t="n">
        <v>70</v>
      </c>
      <c r="O93" s="17" t="n">
        <v>100</v>
      </c>
      <c r="P93" s="19" t="str">
        <f aca="false">IF($N93="","غير مقيّمة",IF($N93&gt;المرجع!$K$3,"مستوفاة بشكل متقدم",IF($N93&lt;=المرجع!$K$2,"مستوفاة بشكل أولي","مستوفاة بشكل جزئي")))</f>
        <v>مستوفاة بشكل جزئي</v>
      </c>
      <c r="Q93" s="22"/>
    </row>
    <row r="94" customFormat="false" ht="15" hidden="false" customHeight="true" outlineLevel="0" collapsed="false">
      <c r="A94" s="20" t="s">
        <v>487</v>
      </c>
      <c r="B94" s="20" t="s">
        <v>170</v>
      </c>
      <c r="C94" s="19" t="str">
        <f aca="false">IFERROR(INDEX('قائمة الوحدات'!$B$2:$B$41,MATCH($B94,'قائمة الوحدات'!$A$2:$A$41,0)),"")</f>
        <v>EXE</v>
      </c>
      <c r="D94" s="18" t="str">
        <f aca="false">IFERROR(INDEX('قائمة الوحدات'!$C$2:$C$41,MATCH($B94,'قائمة الوحدات'!$A$2:$A$41,0)),"")</f>
        <v>الشؤون التنفيذية</v>
      </c>
      <c r="E94" s="18" t="str">
        <f aca="false">IFERROR(INDEX('قائمة الوحدات'!$D$2:$D$41,MATCH($B94,'قائمة الوحدات'!$A$2:$A$41,0)),"")</f>
        <v>وكالة الشؤون الفنية</v>
      </c>
      <c r="F94" s="18" t="str">
        <f aca="false">IFERROR(INDEX('قائمة الوحدات'!$F$2:$F$41,MATCH($B94,'قائمة الوحدات'!$A$2:$A$41,0)),"")</f>
        <v>الإدارة العامة للتشغيل والصيانة</v>
      </c>
      <c r="G94" s="20" t="s">
        <v>44</v>
      </c>
      <c r="H94" s="18" t="str">
        <f aca="false">IFERROR(INDEX(المرجع!$A$2:$A$19,MATCH($G94,المرجع!$B$2:$B$19,0)),"")</f>
        <v>التصميم</v>
      </c>
      <c r="I94" s="20" t="s">
        <v>49</v>
      </c>
      <c r="J94" s="18" t="str">
        <f aca="false">IFERROR(INDEX(المرجع!$D$2:$D$19,MATCH($I94,المرجع!$E$2:$E$19,0)),"")</f>
        <v>الأهداف ومؤشرات الأداء</v>
      </c>
      <c r="K94" s="20" t="s">
        <v>80</v>
      </c>
      <c r="L94" s="21" t="str">
        <f aca="false">IFERROR(INDEX('نقاط التحقق'!$G$2:$G$31,MATCH($K94,'نقاط التحقق'!$A$2:$A$31,0))&amp;"","")</f>
        <v>مؤشرات أداء الوحدة التنظيمية</v>
      </c>
      <c r="M94" s="18" t="str">
        <f aca="false">IFERROR(INDEX('نقاط التحقق'!$H$2:$H$31,MATCH($K94,'نقاط التحقق'!$A$2:$A$31,0))&amp;"","")</f>
        <v/>
      </c>
      <c r="N94" s="17" t="n">
        <v>80</v>
      </c>
      <c r="O94" s="17" t="n">
        <v>80</v>
      </c>
      <c r="P94" s="19" t="str">
        <f aca="false">IF($N94="","غير مقيّمة",IF($N94&gt;المرجع!$K$3,"مستوفاة بشكل متقدم",IF($N94&lt;=المرجع!$K$2,"مستوفاة بشكل أولي","مستوفاة بشكل جزئي")))</f>
        <v>مستوفاة بشكل متقدم</v>
      </c>
      <c r="Q94" s="22"/>
    </row>
    <row r="95" customFormat="false" ht="15" hidden="false" customHeight="true" outlineLevel="0" collapsed="false">
      <c r="A95" s="20" t="s">
        <v>488</v>
      </c>
      <c r="B95" s="20" t="s">
        <v>170</v>
      </c>
      <c r="C95" s="19" t="str">
        <f aca="false">IFERROR(INDEX('قائمة الوحدات'!$B$2:$B$41,MATCH($B95,'قائمة الوحدات'!$A$2:$A$41,0)),"")</f>
        <v>EXE</v>
      </c>
      <c r="D95" s="18" t="str">
        <f aca="false">IFERROR(INDEX('قائمة الوحدات'!$C$2:$C$41,MATCH($B95,'قائمة الوحدات'!$A$2:$A$41,0)),"")</f>
        <v>الشؤون التنفيذية</v>
      </c>
      <c r="E95" s="18" t="str">
        <f aca="false">IFERROR(INDEX('قائمة الوحدات'!$D$2:$D$41,MATCH($B95,'قائمة الوحدات'!$A$2:$A$41,0)),"")</f>
        <v>وكالة الشؤون الفنية</v>
      </c>
      <c r="F95" s="18" t="str">
        <f aca="false">IFERROR(INDEX('قائمة الوحدات'!$F$2:$F$41,MATCH($B95,'قائمة الوحدات'!$A$2:$A$41,0)),"")</f>
        <v>الإدارة العامة للتشغيل والصيانة</v>
      </c>
      <c r="G95" s="20" t="s">
        <v>44</v>
      </c>
      <c r="H95" s="18" t="str">
        <f aca="false">IFERROR(INDEX(المرجع!$A$2:$A$19,MATCH($G95,المرجع!$B$2:$B$19,0)),"")</f>
        <v>التصميم</v>
      </c>
      <c r="I95" s="20" t="s">
        <v>52</v>
      </c>
      <c r="J95" s="18" t="str">
        <f aca="false">IFERROR(INDEX(المرجع!$D$2:$D$19,MATCH($I95,المرجع!$E$2:$E$19,0)),"")</f>
        <v>الحوكمة</v>
      </c>
      <c r="K95" s="20" t="s">
        <v>82</v>
      </c>
      <c r="L95" s="21" t="str">
        <f aca="false">IFERROR(INDEX('نقاط التحقق'!$G$2:$G$31,MATCH($K95,'نقاط التحقق'!$A$2:$A$31,0))&amp;"","")</f>
        <v>تفصيل القرارات ومصفوفة الصلاحيات واللجان ذات العلاقة لاعتماد مخرجات الوحدة التنظيمية</v>
      </c>
      <c r="M95" s="18" t="str">
        <f aca="false">IFERROR(INDEX('نقاط التحقق'!$H$2:$H$31,MATCH($K95,'نقاط التحقق'!$A$2:$A$31,0))&amp;"","")</f>
        <v/>
      </c>
      <c r="N95" s="17" t="n">
        <v>80</v>
      </c>
      <c r="O95" s="17" t="n">
        <v>80</v>
      </c>
      <c r="P95" s="19" t="str">
        <f aca="false">IF($N95="","غير مقيّمة",IF($N95&gt;المرجع!$K$3,"مستوفاة بشكل متقدم",IF($N95&lt;=المرجع!$K$2,"مستوفاة بشكل أولي","مستوفاة بشكل جزئي")))</f>
        <v>مستوفاة بشكل متقدم</v>
      </c>
      <c r="Q95" s="22"/>
    </row>
    <row r="96" customFormat="false" ht="15" hidden="false" customHeight="true" outlineLevel="0" collapsed="false">
      <c r="A96" s="20" t="s">
        <v>489</v>
      </c>
      <c r="B96" s="20" t="s">
        <v>170</v>
      </c>
      <c r="C96" s="19" t="str">
        <f aca="false">IFERROR(INDEX('قائمة الوحدات'!$B$2:$B$41,MATCH($B96,'قائمة الوحدات'!$A$2:$A$41,0)),"")</f>
        <v>EXE</v>
      </c>
      <c r="D96" s="18" t="str">
        <f aca="false">IFERROR(INDEX('قائمة الوحدات'!$C$2:$C$41,MATCH($B96,'قائمة الوحدات'!$A$2:$A$41,0)),"")</f>
        <v>الشؤون التنفيذية</v>
      </c>
      <c r="E96" s="18" t="str">
        <f aca="false">IFERROR(INDEX('قائمة الوحدات'!$D$2:$D$41,MATCH($B96,'قائمة الوحدات'!$A$2:$A$41,0)),"")</f>
        <v>وكالة الشؤون الفنية</v>
      </c>
      <c r="F96" s="18" t="str">
        <f aca="false">IFERROR(INDEX('قائمة الوحدات'!$F$2:$F$41,MATCH($B96,'قائمة الوحدات'!$A$2:$A$41,0)),"")</f>
        <v>الإدارة العامة للتشغيل والصيانة</v>
      </c>
      <c r="G96" s="20" t="s">
        <v>44</v>
      </c>
      <c r="H96" s="18" t="str">
        <f aca="false">IFERROR(INDEX(المرجع!$A$2:$A$19,MATCH($G96,المرجع!$B$2:$B$19,0)),"")</f>
        <v>التصميم</v>
      </c>
      <c r="I96" s="20" t="s">
        <v>55</v>
      </c>
      <c r="J96" s="18" t="str">
        <f aca="false">IFERROR(INDEX(المرجع!$D$2:$D$19,MATCH($I96,المرجع!$E$2:$E$19,0)),"")</f>
        <v>التنظيم</v>
      </c>
      <c r="K96" s="20" t="s">
        <v>84</v>
      </c>
      <c r="L96" s="21" t="str">
        <f aca="false">IFERROR(INDEX('نقاط التحقق'!$G$2:$G$31,MATCH($K96,'نقاط التحقق'!$A$2:$A$31,0))&amp;"","")</f>
        <v>تطوير الأدوار والمسؤوليات للوحدة التنظيمية وتفصيل الهيكل التنظيمي</v>
      </c>
      <c r="M96" s="18" t="str">
        <f aca="false">IFERROR(INDEX('نقاط التحقق'!$H$2:$H$31,MATCH($K96,'نقاط التحقق'!$A$2:$A$31,0))&amp;"","")</f>
        <v/>
      </c>
      <c r="N96" s="17" t="n">
        <v>93</v>
      </c>
      <c r="O96" s="17" t="n">
        <v>100</v>
      </c>
      <c r="P96" s="19" t="str">
        <f aca="false">IF($N96="","غير مقيّمة",IF($N96&gt;المرجع!$K$3,"مستوفاة بشكل متقدم",IF($N96&lt;=المرجع!$K$2,"مستوفاة بشكل أولي","مستوفاة بشكل جزئي")))</f>
        <v>مستوفاة بشكل متقدم</v>
      </c>
      <c r="Q96" s="22"/>
    </row>
    <row r="97" customFormat="false" ht="15" hidden="false" customHeight="true" outlineLevel="0" collapsed="false">
      <c r="A97" s="20" t="s">
        <v>490</v>
      </c>
      <c r="B97" s="20" t="s">
        <v>170</v>
      </c>
      <c r="C97" s="19" t="str">
        <f aca="false">IFERROR(INDEX('قائمة الوحدات'!$B$2:$B$41,MATCH($B97,'قائمة الوحدات'!$A$2:$A$41,0)),"")</f>
        <v>EXE</v>
      </c>
      <c r="D97" s="18" t="str">
        <f aca="false">IFERROR(INDEX('قائمة الوحدات'!$C$2:$C$41,MATCH($B97,'قائمة الوحدات'!$A$2:$A$41,0)),"")</f>
        <v>الشؤون التنفيذية</v>
      </c>
      <c r="E97" s="18" t="str">
        <f aca="false">IFERROR(INDEX('قائمة الوحدات'!$D$2:$D$41,MATCH($B97,'قائمة الوحدات'!$A$2:$A$41,0)),"")</f>
        <v>وكالة الشؤون الفنية</v>
      </c>
      <c r="F97" s="18" t="str">
        <f aca="false">IFERROR(INDEX('قائمة الوحدات'!$F$2:$F$41,MATCH($B97,'قائمة الوحدات'!$A$2:$A$41,0)),"")</f>
        <v>الإدارة العامة للتشغيل والصيانة</v>
      </c>
      <c r="G97" s="20" t="s">
        <v>44</v>
      </c>
      <c r="H97" s="18" t="str">
        <f aca="false">IFERROR(INDEX(المرجع!$A$2:$A$19,MATCH($G97,المرجع!$B$2:$B$19,0)),"")</f>
        <v>التصميم</v>
      </c>
      <c r="I97" s="20" t="s">
        <v>57</v>
      </c>
      <c r="J97" s="18" t="str">
        <f aca="false">IFERROR(INDEX(المرجع!$D$2:$D$19,MATCH($I97,المرجع!$E$2:$E$19,0)),"")</f>
        <v>الموارد</v>
      </c>
      <c r="K97" s="20" t="s">
        <v>86</v>
      </c>
      <c r="L97" s="21" t="str">
        <f aca="false">IFERROR(INDEX('نقاط التحقق'!$G$2:$G$31,MATCH($K97,'نقاط التحقق'!$A$2:$A$31,0))&amp;"","")</f>
        <v>تفصيل احتياج الموارد البشرية للوحدة التنظيمية</v>
      </c>
      <c r="M97" s="18" t="str">
        <f aca="false">IFERROR(INDEX('نقاط التحقق'!$H$2:$H$31,MATCH($K97,'نقاط التحقق'!$A$2:$A$31,0))&amp;"","")</f>
        <v/>
      </c>
      <c r="N97" s="17" t="n">
        <v>68</v>
      </c>
      <c r="O97" s="17" t="n">
        <v>85</v>
      </c>
      <c r="P97" s="19" t="str">
        <f aca="false">IF($N97="","غير مقيّمة",IF($N97&gt;المرجع!$K$3,"مستوفاة بشكل متقدم",IF($N97&lt;=المرجع!$K$2,"مستوفاة بشكل أولي","مستوفاة بشكل جزئي")))</f>
        <v>مستوفاة بشكل جزئي</v>
      </c>
      <c r="Q97" s="22"/>
    </row>
    <row r="98" customFormat="false" ht="15" hidden="false" customHeight="true" outlineLevel="0" collapsed="false">
      <c r="A98" s="20" t="s">
        <v>491</v>
      </c>
      <c r="B98" s="20" t="s">
        <v>170</v>
      </c>
      <c r="C98" s="19" t="str">
        <f aca="false">IFERROR(INDEX('قائمة الوحدات'!$B$2:$B$41,MATCH($B98,'قائمة الوحدات'!$A$2:$A$41,0)),"")</f>
        <v>EXE</v>
      </c>
      <c r="D98" s="18" t="str">
        <f aca="false">IFERROR(INDEX('قائمة الوحدات'!$C$2:$C$41,MATCH($B98,'قائمة الوحدات'!$A$2:$A$41,0)),"")</f>
        <v>الشؤون التنفيذية</v>
      </c>
      <c r="E98" s="18" t="str">
        <f aca="false">IFERROR(INDEX('قائمة الوحدات'!$D$2:$D$41,MATCH($B98,'قائمة الوحدات'!$A$2:$A$41,0)),"")</f>
        <v>وكالة الشؤون الفنية</v>
      </c>
      <c r="F98" s="18" t="str">
        <f aca="false">IFERROR(INDEX('قائمة الوحدات'!$F$2:$F$41,MATCH($B98,'قائمة الوحدات'!$A$2:$A$41,0)),"")</f>
        <v>الإدارة العامة للتشغيل والصيانة</v>
      </c>
      <c r="G98" s="20" t="s">
        <v>44</v>
      </c>
      <c r="H98" s="18" t="str">
        <f aca="false">IFERROR(INDEX(المرجع!$A$2:$A$19,MATCH($G98,المرجع!$B$2:$B$19,0)),"")</f>
        <v>التصميم</v>
      </c>
      <c r="I98" s="20" t="s">
        <v>60</v>
      </c>
      <c r="J98" s="18" t="str">
        <f aca="false">IFERROR(INDEX(المرجع!$D$2:$D$19,MATCH($I98,المرجع!$E$2:$E$19,0)),"")</f>
        <v>الإجراءات</v>
      </c>
      <c r="K98" s="20" t="s">
        <v>88</v>
      </c>
      <c r="L98" s="21" t="str">
        <f aca="false">IFERROR(INDEX('نقاط التحقق'!$G$2:$G$31,MATCH($K98,'نقاط التحقق'!$A$2:$A$31,0))&amp;"","")</f>
        <v>تفصيل المخرجات إلى إجراءات عالية المستوى</v>
      </c>
      <c r="M98" s="18" t="str">
        <f aca="false">IFERROR(INDEX('نقاط التحقق'!$H$2:$H$31,MATCH($K98,'نقاط التحقق'!$A$2:$A$31,0))&amp;"","")</f>
        <v/>
      </c>
      <c r="N98" s="17" t="n">
        <v>95</v>
      </c>
      <c r="O98" s="17" t="n">
        <v>100</v>
      </c>
      <c r="P98" s="19" t="str">
        <f aca="false">IF($N98="","غير مقيّمة",IF($N98&gt;المرجع!$K$3,"مستوفاة بشكل متقدم",IF($N98&lt;=المرجع!$K$2,"مستوفاة بشكل أولي","مستوفاة بشكل جزئي")))</f>
        <v>مستوفاة بشكل متقدم</v>
      </c>
      <c r="Q98" s="22"/>
    </row>
    <row r="99" customFormat="false" ht="15" hidden="false" customHeight="true" outlineLevel="0" collapsed="false">
      <c r="A99" s="20" t="s">
        <v>492</v>
      </c>
      <c r="B99" s="20" t="s">
        <v>170</v>
      </c>
      <c r="C99" s="19" t="str">
        <f aca="false">IFERROR(INDEX('قائمة الوحدات'!$B$2:$B$41,MATCH($B99,'قائمة الوحدات'!$A$2:$A$41,0)),"")</f>
        <v>EXE</v>
      </c>
      <c r="D99" s="18" t="str">
        <f aca="false">IFERROR(INDEX('قائمة الوحدات'!$C$2:$C$41,MATCH($B99,'قائمة الوحدات'!$A$2:$A$41,0)),"")</f>
        <v>الشؤون التنفيذية</v>
      </c>
      <c r="E99" s="18" t="str">
        <f aca="false">IFERROR(INDEX('قائمة الوحدات'!$D$2:$D$41,MATCH($B99,'قائمة الوحدات'!$A$2:$A$41,0)),"")</f>
        <v>وكالة الشؤون الفنية</v>
      </c>
      <c r="F99" s="18" t="str">
        <f aca="false">IFERROR(INDEX('قائمة الوحدات'!$F$2:$F$41,MATCH($B99,'قائمة الوحدات'!$A$2:$A$41,0)),"")</f>
        <v>الإدارة العامة للتشغيل والصيانة</v>
      </c>
      <c r="G99" s="20" t="s">
        <v>62</v>
      </c>
      <c r="H99" s="18" t="str">
        <f aca="false">IFERROR(INDEX(المرجع!$A$2:$A$19,MATCH($G99,المرجع!$B$2:$B$19,0)),"")</f>
        <v>البناء المؤسسي</v>
      </c>
      <c r="I99" s="20" t="s">
        <v>46</v>
      </c>
      <c r="J99" s="18" t="str">
        <f aca="false">IFERROR(INDEX(المرجع!$D$2:$D$19,MATCH($I99,المرجع!$E$2:$E$19,0)),"")</f>
        <v>الدور</v>
      </c>
      <c r="K99" s="20" t="s">
        <v>90</v>
      </c>
      <c r="L99" s="21" t="str">
        <f aca="false">IFERROR(INDEX('نقاط التحقق'!$G$2:$G$31,MATCH($K99,'نقاط التحقق'!$A$2:$A$31,0))&amp;"","")</f>
        <v>دور معتمد للوحدة التنظيمية</v>
      </c>
      <c r="M99" s="18" t="str">
        <f aca="false">IFERROR(INDEX('نقاط التحقق'!$H$2:$H$31,MATCH($K99,'نقاط التحقق'!$A$2:$A$31,0))&amp;"","")</f>
        <v/>
      </c>
      <c r="N99" s="17" t="n">
        <v>60</v>
      </c>
      <c r="O99" s="17" t="n">
        <v>95</v>
      </c>
      <c r="P99" s="19" t="str">
        <f aca="false">IF($N99="","غير مقيّمة",IF($N99&gt;المرجع!$K$3,"مستوفاة بشكل متقدم",IF($N99&lt;=المرجع!$K$2,"مستوفاة بشكل أولي","مستوفاة بشكل جزئي")))</f>
        <v>مستوفاة بشكل جزئي</v>
      </c>
      <c r="Q99" s="22"/>
    </row>
    <row r="100" customFormat="false" ht="15" hidden="false" customHeight="true" outlineLevel="0" collapsed="false">
      <c r="A100" s="20" t="s">
        <v>493</v>
      </c>
      <c r="B100" s="20" t="s">
        <v>170</v>
      </c>
      <c r="C100" s="19" t="str">
        <f aca="false">IFERROR(INDEX('قائمة الوحدات'!$B$2:$B$41,MATCH($B100,'قائمة الوحدات'!$A$2:$A$41,0)),"")</f>
        <v>EXE</v>
      </c>
      <c r="D100" s="18" t="str">
        <f aca="false">IFERROR(INDEX('قائمة الوحدات'!$C$2:$C$41,MATCH($B100,'قائمة الوحدات'!$A$2:$A$41,0)),"")</f>
        <v>الشؤون التنفيذية</v>
      </c>
      <c r="E100" s="18" t="str">
        <f aca="false">IFERROR(INDEX('قائمة الوحدات'!$D$2:$D$41,MATCH($B100,'قائمة الوحدات'!$A$2:$A$41,0)),"")</f>
        <v>وكالة الشؤون الفنية</v>
      </c>
      <c r="F100" s="18" t="str">
        <f aca="false">IFERROR(INDEX('قائمة الوحدات'!$F$2:$F$41,MATCH($B100,'قائمة الوحدات'!$A$2:$A$41,0)),"")</f>
        <v>الإدارة العامة للتشغيل والصيانة</v>
      </c>
      <c r="G100" s="20" t="s">
        <v>62</v>
      </c>
      <c r="H100" s="18" t="str">
        <f aca="false">IFERROR(INDEX(المرجع!$A$2:$A$19,MATCH($G100,المرجع!$B$2:$B$19,0)),"")</f>
        <v>البناء المؤسسي</v>
      </c>
      <c r="I100" s="20" t="s">
        <v>49</v>
      </c>
      <c r="J100" s="18" t="str">
        <f aca="false">IFERROR(INDEX(المرجع!$D$2:$D$19,MATCH($I100,المرجع!$E$2:$E$19,0)),"")</f>
        <v>الأهداف ومؤشرات الأداء</v>
      </c>
      <c r="K100" s="20" t="s">
        <v>92</v>
      </c>
      <c r="L100" s="21" t="str">
        <f aca="false">IFERROR(INDEX('نقاط التحقق'!$G$2:$G$31,MATCH($K100,'نقاط التحقق'!$A$2:$A$31,0))&amp;"","")</f>
        <v>أهداف تشغيلية معتمدة من صاحب الصلاحية</v>
      </c>
      <c r="M100" s="18" t="str">
        <f aca="false">IFERROR(INDEX('نقاط التحقق'!$H$2:$H$31,MATCH($K100,'نقاط التحقق'!$A$2:$A$31,0))&amp;"","")</f>
        <v/>
      </c>
      <c r="N100" s="17" t="n">
        <v>60</v>
      </c>
      <c r="O100" s="17" t="n">
        <v>85</v>
      </c>
      <c r="P100" s="19" t="str">
        <f aca="false">IF($N100="","غير مقيّمة",IF($N100&gt;المرجع!$K$3,"مستوفاة بشكل متقدم",IF($N100&lt;=المرجع!$K$2,"مستوفاة بشكل أولي","مستوفاة بشكل جزئي")))</f>
        <v>مستوفاة بشكل جزئي</v>
      </c>
      <c r="Q100" s="22"/>
    </row>
    <row r="101" customFormat="false" ht="15" hidden="false" customHeight="true" outlineLevel="0" collapsed="false">
      <c r="A101" s="20" t="s">
        <v>494</v>
      </c>
      <c r="B101" s="20" t="s">
        <v>170</v>
      </c>
      <c r="C101" s="19" t="str">
        <f aca="false">IFERROR(INDEX('قائمة الوحدات'!$B$2:$B$41,MATCH($B101,'قائمة الوحدات'!$A$2:$A$41,0)),"")</f>
        <v>EXE</v>
      </c>
      <c r="D101" s="18" t="str">
        <f aca="false">IFERROR(INDEX('قائمة الوحدات'!$C$2:$C$41,MATCH($B101,'قائمة الوحدات'!$A$2:$A$41,0)),"")</f>
        <v>الشؤون التنفيذية</v>
      </c>
      <c r="E101" s="18" t="str">
        <f aca="false">IFERROR(INDEX('قائمة الوحدات'!$D$2:$D$41,MATCH($B101,'قائمة الوحدات'!$A$2:$A$41,0)),"")</f>
        <v>وكالة الشؤون الفنية</v>
      </c>
      <c r="F101" s="18" t="str">
        <f aca="false">IFERROR(INDEX('قائمة الوحدات'!$F$2:$F$41,MATCH($B101,'قائمة الوحدات'!$A$2:$A$41,0)),"")</f>
        <v>الإدارة العامة للتشغيل والصيانة</v>
      </c>
      <c r="G101" s="20" t="s">
        <v>62</v>
      </c>
      <c r="H101" s="18" t="str">
        <f aca="false">IFERROR(INDEX(المرجع!$A$2:$A$19,MATCH($G101,المرجع!$B$2:$B$19,0)),"")</f>
        <v>البناء المؤسسي</v>
      </c>
      <c r="I101" s="20" t="s">
        <v>49</v>
      </c>
      <c r="J101" s="18" t="str">
        <f aca="false">IFERROR(INDEX(المرجع!$D$2:$D$19,MATCH($I101,المرجع!$E$2:$E$19,0)),"")</f>
        <v>الأهداف ومؤشرات الأداء</v>
      </c>
      <c r="K101" s="20" t="s">
        <v>94</v>
      </c>
      <c r="L101" s="21" t="str">
        <f aca="false">IFERROR(INDEX('نقاط التحقق'!$G$2:$G$31,MATCH($K101,'نقاط التحقق'!$A$2:$A$31,0))&amp;"","")</f>
        <v>نشر الأهداف التشغيلية على موظفي الوحدة التنظيمية</v>
      </c>
      <c r="M101" s="18" t="str">
        <f aca="false">IFERROR(INDEX('نقاط التحقق'!$H$2:$H$31,MATCH($K101,'نقاط التحقق'!$A$2:$A$31,0))&amp;"","")</f>
        <v/>
      </c>
      <c r="N101" s="17" t="n">
        <v>65</v>
      </c>
      <c r="O101" s="17" t="n">
        <v>100</v>
      </c>
      <c r="P101" s="19" t="str">
        <f aca="false">IF($N101="","غير مقيّمة",IF($N101&gt;المرجع!$K$3,"مستوفاة بشكل متقدم",IF($N101&lt;=المرجع!$K$2,"مستوفاة بشكل أولي","مستوفاة بشكل جزئي")))</f>
        <v>مستوفاة بشكل جزئي</v>
      </c>
      <c r="Q101" s="22"/>
    </row>
    <row r="102" customFormat="false" ht="15" hidden="false" customHeight="true" outlineLevel="0" collapsed="false">
      <c r="A102" s="20" t="s">
        <v>495</v>
      </c>
      <c r="B102" s="20" t="s">
        <v>170</v>
      </c>
      <c r="C102" s="19" t="str">
        <f aca="false">IFERROR(INDEX('قائمة الوحدات'!$B$2:$B$41,MATCH($B102,'قائمة الوحدات'!$A$2:$A$41,0)),"")</f>
        <v>EXE</v>
      </c>
      <c r="D102" s="18" t="str">
        <f aca="false">IFERROR(INDEX('قائمة الوحدات'!$C$2:$C$41,MATCH($B102,'قائمة الوحدات'!$A$2:$A$41,0)),"")</f>
        <v>الشؤون التنفيذية</v>
      </c>
      <c r="E102" s="18" t="str">
        <f aca="false">IFERROR(INDEX('قائمة الوحدات'!$D$2:$D$41,MATCH($B102,'قائمة الوحدات'!$A$2:$A$41,0)),"")</f>
        <v>وكالة الشؤون الفنية</v>
      </c>
      <c r="F102" s="18" t="str">
        <f aca="false">IFERROR(INDEX('قائمة الوحدات'!$F$2:$F$41,MATCH($B102,'قائمة الوحدات'!$A$2:$A$41,0)),"")</f>
        <v>الإدارة العامة للتشغيل والصيانة</v>
      </c>
      <c r="G102" s="20" t="s">
        <v>62</v>
      </c>
      <c r="H102" s="18" t="str">
        <f aca="false">IFERROR(INDEX(المرجع!$A$2:$A$19,MATCH($G102,المرجع!$B$2:$B$19,0)),"")</f>
        <v>البناء المؤسسي</v>
      </c>
      <c r="I102" s="20" t="s">
        <v>52</v>
      </c>
      <c r="J102" s="18" t="str">
        <f aca="false">IFERROR(INDEX(المرجع!$D$2:$D$19,MATCH($I102,المرجع!$E$2:$E$19,0)),"")</f>
        <v>الحوكمة</v>
      </c>
      <c r="K102" s="20" t="s">
        <v>96</v>
      </c>
      <c r="L102" s="21" t="str">
        <f aca="false">IFERROR(INDEX('نقاط التحقق'!$G$2:$G$31,MATCH($K102,'نقاط التحقق'!$A$2:$A$31,0))&amp;"","")</f>
        <v>مصفوفة صلاحيات معتمدة ومعممة على أصحاب المصلحة</v>
      </c>
      <c r="M102" s="18" t="str">
        <f aca="false">IFERROR(INDEX('نقاط التحقق'!$H$2:$H$31,MATCH($K102,'نقاط التحقق'!$A$2:$A$31,0))&amp;"","")</f>
        <v/>
      </c>
      <c r="N102" s="17" t="n">
        <v>45</v>
      </c>
      <c r="O102" s="17" t="n">
        <v>90</v>
      </c>
      <c r="P102" s="19" t="str">
        <f aca="false">IF($N102="","غير مقيّمة",IF($N102&gt;المرجع!$K$3,"مستوفاة بشكل متقدم",IF($N102&lt;=المرجع!$K$2,"مستوفاة بشكل أولي","مستوفاة بشكل جزئي")))</f>
        <v>مستوفاة بشكل جزئي</v>
      </c>
      <c r="Q102" s="22"/>
    </row>
    <row r="103" customFormat="false" ht="15" hidden="false" customHeight="true" outlineLevel="0" collapsed="false">
      <c r="A103" s="20" t="s">
        <v>496</v>
      </c>
      <c r="B103" s="20" t="s">
        <v>170</v>
      </c>
      <c r="C103" s="19" t="str">
        <f aca="false">IFERROR(INDEX('قائمة الوحدات'!$B$2:$B$41,MATCH($B103,'قائمة الوحدات'!$A$2:$A$41,0)),"")</f>
        <v>EXE</v>
      </c>
      <c r="D103" s="18" t="str">
        <f aca="false">IFERROR(INDEX('قائمة الوحدات'!$C$2:$C$41,MATCH($B103,'قائمة الوحدات'!$A$2:$A$41,0)),"")</f>
        <v>الشؤون التنفيذية</v>
      </c>
      <c r="E103" s="18" t="str">
        <f aca="false">IFERROR(INDEX('قائمة الوحدات'!$D$2:$D$41,MATCH($B103,'قائمة الوحدات'!$A$2:$A$41,0)),"")</f>
        <v>وكالة الشؤون الفنية</v>
      </c>
      <c r="F103" s="18" t="str">
        <f aca="false">IFERROR(INDEX('قائمة الوحدات'!$F$2:$F$41,MATCH($B103,'قائمة الوحدات'!$A$2:$A$41,0)),"")</f>
        <v>الإدارة العامة للتشغيل والصيانة</v>
      </c>
      <c r="G103" s="20" t="s">
        <v>62</v>
      </c>
      <c r="H103" s="18" t="str">
        <f aca="false">IFERROR(INDEX(المرجع!$A$2:$A$19,MATCH($G103,المرجع!$B$2:$B$19,0)),"")</f>
        <v>البناء المؤسسي</v>
      </c>
      <c r="I103" s="20" t="s">
        <v>52</v>
      </c>
      <c r="J103" s="18" t="str">
        <f aca="false">IFERROR(INDEX(المرجع!$D$2:$D$19,MATCH($I103,المرجع!$E$2:$E$19,0)),"")</f>
        <v>الحوكمة</v>
      </c>
      <c r="K103" s="20" t="s">
        <v>98</v>
      </c>
      <c r="L103" s="21" t="str">
        <f aca="false">IFERROR(INDEX('نقاط التحقق'!$G$2:$G$31,MATCH($K103,'نقاط التحقق'!$A$2:$A$31,0))&amp;"","")</f>
        <v>سياسات معتمدة للتي تملكها الوحدة التنظيمية</v>
      </c>
      <c r="M103" s="18" t="str">
        <f aca="false">IFERROR(INDEX('نقاط التحقق'!$H$2:$H$31,MATCH($K103,'نقاط التحقق'!$A$2:$A$31,0))&amp;"","")</f>
        <v/>
      </c>
      <c r="N103" s="17" t="n">
        <v>60</v>
      </c>
      <c r="O103" s="17" t="n">
        <v>90</v>
      </c>
      <c r="P103" s="19" t="str">
        <f aca="false">IF($N103="","غير مقيّمة",IF($N103&gt;المرجع!$K$3,"مستوفاة بشكل متقدم",IF($N103&lt;=المرجع!$K$2,"مستوفاة بشكل أولي","مستوفاة بشكل جزئي")))</f>
        <v>مستوفاة بشكل جزئي</v>
      </c>
      <c r="Q103" s="22"/>
    </row>
    <row r="104" customFormat="false" ht="15" hidden="false" customHeight="true" outlineLevel="0" collapsed="false">
      <c r="A104" s="20" t="s">
        <v>497</v>
      </c>
      <c r="B104" s="20" t="s">
        <v>170</v>
      </c>
      <c r="C104" s="19" t="str">
        <f aca="false">IFERROR(INDEX('قائمة الوحدات'!$B$2:$B$41,MATCH($B104,'قائمة الوحدات'!$A$2:$A$41,0)),"")</f>
        <v>EXE</v>
      </c>
      <c r="D104" s="18" t="str">
        <f aca="false">IFERROR(INDEX('قائمة الوحدات'!$C$2:$C$41,MATCH($B104,'قائمة الوحدات'!$A$2:$A$41,0)),"")</f>
        <v>الشؤون التنفيذية</v>
      </c>
      <c r="E104" s="18" t="str">
        <f aca="false">IFERROR(INDEX('قائمة الوحدات'!$D$2:$D$41,MATCH($B104,'قائمة الوحدات'!$A$2:$A$41,0)),"")</f>
        <v>وكالة الشؤون الفنية</v>
      </c>
      <c r="F104" s="18" t="str">
        <f aca="false">IFERROR(INDEX('قائمة الوحدات'!$F$2:$F$41,MATCH($B104,'قائمة الوحدات'!$A$2:$A$41,0)),"")</f>
        <v>الإدارة العامة للتشغيل والصيانة</v>
      </c>
      <c r="G104" s="20" t="s">
        <v>62</v>
      </c>
      <c r="H104" s="18" t="str">
        <f aca="false">IFERROR(INDEX(المرجع!$A$2:$A$19,MATCH($G104,المرجع!$B$2:$B$19,0)),"")</f>
        <v>البناء المؤسسي</v>
      </c>
      <c r="I104" s="20" t="s">
        <v>52</v>
      </c>
      <c r="J104" s="18" t="str">
        <f aca="false">IFERROR(INDEX(المرجع!$D$2:$D$19,MATCH($I104,المرجع!$E$2:$E$19,0)),"")</f>
        <v>الحوكمة</v>
      </c>
      <c r="K104" s="20" t="s">
        <v>100</v>
      </c>
      <c r="L104" s="21" t="str">
        <f aca="false">IFERROR(INDEX('نقاط التحقق'!$G$2:$G$31,MATCH($K104,'نقاط التحقق'!$A$2:$A$31,0))&amp;"","")</f>
        <v>قرار تشكيل معتمد للجان ذات العلاقة</v>
      </c>
      <c r="M104" s="18" t="str">
        <f aca="false">IFERROR(INDEX('نقاط التحقق'!$H$2:$H$31,MATCH($K104,'نقاط التحقق'!$A$2:$A$31,0))&amp;"","")</f>
        <v/>
      </c>
      <c r="N104" s="17" t="n">
        <v>50</v>
      </c>
      <c r="O104" s="17" t="n">
        <v>100</v>
      </c>
      <c r="P104" s="19" t="str">
        <f aca="false">IF($N104="","غير مقيّمة",IF($N104&gt;المرجع!$K$3,"مستوفاة بشكل متقدم",IF($N104&lt;=المرجع!$K$2,"مستوفاة بشكل أولي","مستوفاة بشكل جزئي")))</f>
        <v>مستوفاة بشكل جزئي</v>
      </c>
      <c r="Q104" s="22"/>
    </row>
    <row r="105" customFormat="false" ht="15" hidden="false" customHeight="true" outlineLevel="0" collapsed="false">
      <c r="A105" s="20" t="s">
        <v>498</v>
      </c>
      <c r="B105" s="20" t="s">
        <v>170</v>
      </c>
      <c r="C105" s="19" t="str">
        <f aca="false">IFERROR(INDEX('قائمة الوحدات'!$B$2:$B$41,MATCH($B105,'قائمة الوحدات'!$A$2:$A$41,0)),"")</f>
        <v>EXE</v>
      </c>
      <c r="D105" s="18" t="str">
        <f aca="false">IFERROR(INDEX('قائمة الوحدات'!$C$2:$C$41,MATCH($B105,'قائمة الوحدات'!$A$2:$A$41,0)),"")</f>
        <v>الشؤون التنفيذية</v>
      </c>
      <c r="E105" s="18" t="str">
        <f aca="false">IFERROR(INDEX('قائمة الوحدات'!$D$2:$D$41,MATCH($B105,'قائمة الوحدات'!$A$2:$A$41,0)),"")</f>
        <v>وكالة الشؤون الفنية</v>
      </c>
      <c r="F105" s="18" t="str">
        <f aca="false">IFERROR(INDEX('قائمة الوحدات'!$F$2:$F$41,MATCH($B105,'قائمة الوحدات'!$A$2:$A$41,0)),"")</f>
        <v>الإدارة العامة للتشغيل والصيانة</v>
      </c>
      <c r="G105" s="20" t="s">
        <v>62</v>
      </c>
      <c r="H105" s="18" t="str">
        <f aca="false">IFERROR(INDEX(المرجع!$A$2:$A$19,MATCH($G105,المرجع!$B$2:$B$19,0)),"")</f>
        <v>البناء المؤسسي</v>
      </c>
      <c r="I105" s="20" t="s">
        <v>55</v>
      </c>
      <c r="J105" s="18" t="str">
        <f aca="false">IFERROR(INDEX(المرجع!$D$2:$D$19,MATCH($I105,المرجع!$E$2:$E$19,0)),"")</f>
        <v>التنظيم</v>
      </c>
      <c r="K105" s="20" t="s">
        <v>102</v>
      </c>
      <c r="L105" s="21" t="str">
        <f aca="false">IFERROR(INDEX('نقاط التحقق'!$G$2:$G$31,MATCH($K105,'نقاط التحقق'!$A$2:$A$31,0))&amp;"","")</f>
        <v>هيكل تنظيمي معتمد من صاحب الصلاحية</v>
      </c>
      <c r="M105" s="18" t="str">
        <f aca="false">IFERROR(INDEX('نقاط التحقق'!$H$2:$H$31,MATCH($K105,'نقاط التحقق'!$A$2:$A$31,0))&amp;"","")</f>
        <v/>
      </c>
      <c r="N105" s="17" t="n">
        <v>95</v>
      </c>
      <c r="O105" s="17" t="n">
        <v>95</v>
      </c>
      <c r="P105" s="19" t="str">
        <f aca="false">IF($N105="","غير مقيّمة",IF($N105&gt;المرجع!$K$3,"مستوفاة بشكل متقدم",IF($N105&lt;=المرجع!$K$2,"مستوفاة بشكل أولي","مستوفاة بشكل جزئي")))</f>
        <v>مستوفاة بشكل متقدم</v>
      </c>
      <c r="Q105" s="22"/>
    </row>
    <row r="106" customFormat="false" ht="15" hidden="false" customHeight="true" outlineLevel="0" collapsed="false">
      <c r="A106" s="20" t="s">
        <v>499</v>
      </c>
      <c r="B106" s="20" t="s">
        <v>170</v>
      </c>
      <c r="C106" s="19" t="str">
        <f aca="false">IFERROR(INDEX('قائمة الوحدات'!$B$2:$B$41,MATCH($B106,'قائمة الوحدات'!$A$2:$A$41,0)),"")</f>
        <v>EXE</v>
      </c>
      <c r="D106" s="18" t="str">
        <f aca="false">IFERROR(INDEX('قائمة الوحدات'!$C$2:$C$41,MATCH($B106,'قائمة الوحدات'!$A$2:$A$41,0)),"")</f>
        <v>الشؤون التنفيذية</v>
      </c>
      <c r="E106" s="18" t="str">
        <f aca="false">IFERROR(INDEX('قائمة الوحدات'!$D$2:$D$41,MATCH($B106,'قائمة الوحدات'!$A$2:$A$41,0)),"")</f>
        <v>وكالة الشؤون الفنية</v>
      </c>
      <c r="F106" s="18" t="str">
        <f aca="false">IFERROR(INDEX('قائمة الوحدات'!$F$2:$F$41,MATCH($B106,'قائمة الوحدات'!$A$2:$A$41,0)),"")</f>
        <v>الإدارة العامة للتشغيل والصيانة</v>
      </c>
      <c r="G106" s="20" t="s">
        <v>62</v>
      </c>
      <c r="H106" s="18" t="str">
        <f aca="false">IFERROR(INDEX(المرجع!$A$2:$A$19,MATCH($G106,المرجع!$B$2:$B$19,0)),"")</f>
        <v>البناء المؤسسي</v>
      </c>
      <c r="I106" s="20" t="s">
        <v>55</v>
      </c>
      <c r="J106" s="18" t="str">
        <f aca="false">IFERROR(INDEX(المرجع!$D$2:$D$19,MATCH($I106,المرجع!$E$2:$E$19,0)),"")</f>
        <v>التنظيم</v>
      </c>
      <c r="K106" s="20" t="s">
        <v>104</v>
      </c>
      <c r="L106" s="21" t="str">
        <f aca="false">IFERROR(INDEX('نقاط التحقق'!$G$2:$G$31,MATCH($K106,'نقاط التحقق'!$A$2:$A$31,0))&amp;"","")</f>
        <v>هيكل تنظيمي منشأ على نظام القوى العاملة</v>
      </c>
      <c r="M106" s="18" t="str">
        <f aca="false">IFERROR(INDEX('نقاط التحقق'!$H$2:$H$31,MATCH($K106,'نقاط التحقق'!$A$2:$A$31,0))&amp;"","")</f>
        <v/>
      </c>
      <c r="N106" s="17" t="n">
        <v>80</v>
      </c>
      <c r="O106" s="17" t="n">
        <v>95</v>
      </c>
      <c r="P106" s="19" t="str">
        <f aca="false">IF($N106="","غير مقيّمة",IF($N106&gt;المرجع!$K$3,"مستوفاة بشكل متقدم",IF($N106&lt;=المرجع!$K$2,"مستوفاة بشكل أولي","مستوفاة بشكل جزئي")))</f>
        <v>مستوفاة بشكل متقدم</v>
      </c>
      <c r="Q106" s="22"/>
    </row>
    <row r="107" customFormat="false" ht="15" hidden="false" customHeight="true" outlineLevel="0" collapsed="false">
      <c r="A107" s="20" t="s">
        <v>500</v>
      </c>
      <c r="B107" s="20" t="s">
        <v>170</v>
      </c>
      <c r="C107" s="19" t="str">
        <f aca="false">IFERROR(INDEX('قائمة الوحدات'!$B$2:$B$41,MATCH($B107,'قائمة الوحدات'!$A$2:$A$41,0)),"")</f>
        <v>EXE</v>
      </c>
      <c r="D107" s="18" t="str">
        <f aca="false">IFERROR(INDEX('قائمة الوحدات'!$C$2:$C$41,MATCH($B107,'قائمة الوحدات'!$A$2:$A$41,0)),"")</f>
        <v>الشؤون التنفيذية</v>
      </c>
      <c r="E107" s="18" t="str">
        <f aca="false">IFERROR(INDEX('قائمة الوحدات'!$D$2:$D$41,MATCH($B107,'قائمة الوحدات'!$A$2:$A$41,0)),"")</f>
        <v>وكالة الشؤون الفنية</v>
      </c>
      <c r="F107" s="18" t="str">
        <f aca="false">IFERROR(INDEX('قائمة الوحدات'!$F$2:$F$41,MATCH($B107,'قائمة الوحدات'!$A$2:$A$41,0)),"")</f>
        <v>الإدارة العامة للتشغيل والصيانة</v>
      </c>
      <c r="G107" s="20" t="s">
        <v>62</v>
      </c>
      <c r="H107" s="18" t="str">
        <f aca="false">IFERROR(INDEX(المرجع!$A$2:$A$19,MATCH($G107,المرجع!$B$2:$B$19,0)),"")</f>
        <v>البناء المؤسسي</v>
      </c>
      <c r="I107" s="20" t="s">
        <v>55</v>
      </c>
      <c r="J107" s="18" t="str">
        <f aca="false">IFERROR(INDEX(المرجع!$D$2:$D$19,MATCH($I107,المرجع!$E$2:$E$19,0)),"")</f>
        <v>التنظيم</v>
      </c>
      <c r="K107" s="20" t="s">
        <v>106</v>
      </c>
      <c r="L107" s="21" t="str">
        <f aca="false">IFERROR(INDEX('نقاط التحقق'!$G$2:$G$31,MATCH($K107,'نقاط التحقق'!$A$2:$A$31,0))&amp;"","")</f>
        <v>الموظفون المحددون مسكّنون على الهيكل التنظيمي المستهدف</v>
      </c>
      <c r="M107" s="18" t="str">
        <f aca="false">IFERROR(INDEX('نقاط التحقق'!$H$2:$H$31,MATCH($K107,'نقاط التحقق'!$A$2:$A$31,0))&amp;"","")</f>
        <v/>
      </c>
      <c r="N107" s="17" t="n">
        <v>85</v>
      </c>
      <c r="O107" s="17" t="n">
        <v>85</v>
      </c>
      <c r="P107" s="19" t="str">
        <f aca="false">IF($N107="","غير مقيّمة",IF($N107&gt;المرجع!$K$3,"مستوفاة بشكل متقدم",IF($N107&lt;=المرجع!$K$2,"مستوفاة بشكل أولي","مستوفاة بشكل جزئي")))</f>
        <v>مستوفاة بشكل متقدم</v>
      </c>
      <c r="Q107" s="22"/>
    </row>
    <row r="108" customFormat="false" ht="15" hidden="false" customHeight="true" outlineLevel="0" collapsed="false">
      <c r="A108" s="20" t="s">
        <v>501</v>
      </c>
      <c r="B108" s="20" t="s">
        <v>170</v>
      </c>
      <c r="C108" s="19" t="str">
        <f aca="false">IFERROR(INDEX('قائمة الوحدات'!$B$2:$B$41,MATCH($B108,'قائمة الوحدات'!$A$2:$A$41,0)),"")</f>
        <v>EXE</v>
      </c>
      <c r="D108" s="18" t="str">
        <f aca="false">IFERROR(INDEX('قائمة الوحدات'!$C$2:$C$41,MATCH($B108,'قائمة الوحدات'!$A$2:$A$41,0)),"")</f>
        <v>الشؤون التنفيذية</v>
      </c>
      <c r="E108" s="18" t="str">
        <f aca="false">IFERROR(INDEX('قائمة الوحدات'!$D$2:$D$41,MATCH($B108,'قائمة الوحدات'!$A$2:$A$41,0)),"")</f>
        <v>وكالة الشؤون الفنية</v>
      </c>
      <c r="F108" s="18" t="str">
        <f aca="false">IFERROR(INDEX('قائمة الوحدات'!$F$2:$F$41,MATCH($B108,'قائمة الوحدات'!$A$2:$A$41,0)),"")</f>
        <v>الإدارة العامة للتشغيل والصيانة</v>
      </c>
      <c r="G108" s="20" t="s">
        <v>62</v>
      </c>
      <c r="H108" s="18" t="str">
        <f aca="false">IFERROR(INDEX(المرجع!$A$2:$A$19,MATCH($G108,المرجع!$B$2:$B$19,0)),"")</f>
        <v>البناء المؤسسي</v>
      </c>
      <c r="I108" s="20" t="s">
        <v>57</v>
      </c>
      <c r="J108" s="18" t="str">
        <f aca="false">IFERROR(INDEX(المرجع!$D$2:$D$19,MATCH($I108,المرجع!$E$2:$E$19,0)),"")</f>
        <v>الموارد</v>
      </c>
      <c r="K108" s="20" t="s">
        <v>108</v>
      </c>
      <c r="L108" s="21" t="str">
        <f aca="false">IFERROR(INDEX('نقاط التحقق'!$G$2:$G$31,MATCH($K108,'نقاط التحقق'!$A$2:$A$31,0))&amp;"","")</f>
        <v>مدير الوحدة التنظيمية والموظفون الرئيسيون معينون/ملحقون</v>
      </c>
      <c r="M108" s="18" t="str">
        <f aca="false">IFERROR(INDEX('نقاط التحقق'!$H$2:$H$31,MATCH($K108,'نقاط التحقق'!$A$2:$A$31,0))&amp;"","")</f>
        <v/>
      </c>
      <c r="N108" s="17" t="n">
        <v>65</v>
      </c>
      <c r="O108" s="17" t="n">
        <v>80</v>
      </c>
      <c r="P108" s="19" t="str">
        <f aca="false">IF($N108="","غير مقيّمة",IF($N108&gt;المرجع!$K$3,"مستوفاة بشكل متقدم",IF($N108&lt;=المرجع!$K$2,"مستوفاة بشكل أولي","مستوفاة بشكل جزئي")))</f>
        <v>مستوفاة بشكل جزئي</v>
      </c>
      <c r="Q108" s="22"/>
    </row>
    <row r="109" customFormat="false" ht="15" hidden="false" customHeight="true" outlineLevel="0" collapsed="false">
      <c r="A109" s="20" t="s">
        <v>502</v>
      </c>
      <c r="B109" s="20" t="s">
        <v>170</v>
      </c>
      <c r="C109" s="19" t="str">
        <f aca="false">IFERROR(INDEX('قائمة الوحدات'!$B$2:$B$41,MATCH($B109,'قائمة الوحدات'!$A$2:$A$41,0)),"")</f>
        <v>EXE</v>
      </c>
      <c r="D109" s="18" t="str">
        <f aca="false">IFERROR(INDEX('قائمة الوحدات'!$C$2:$C$41,MATCH($B109,'قائمة الوحدات'!$A$2:$A$41,0)),"")</f>
        <v>الشؤون التنفيذية</v>
      </c>
      <c r="E109" s="18" t="str">
        <f aca="false">IFERROR(INDEX('قائمة الوحدات'!$D$2:$D$41,MATCH($B109,'قائمة الوحدات'!$A$2:$A$41,0)),"")</f>
        <v>وكالة الشؤون الفنية</v>
      </c>
      <c r="F109" s="18" t="str">
        <f aca="false">IFERROR(INDEX('قائمة الوحدات'!$F$2:$F$41,MATCH($B109,'قائمة الوحدات'!$A$2:$A$41,0)),"")</f>
        <v>الإدارة العامة للتشغيل والصيانة</v>
      </c>
      <c r="G109" s="20" t="s">
        <v>62</v>
      </c>
      <c r="H109" s="18" t="str">
        <f aca="false">IFERROR(INDEX(المرجع!$A$2:$A$19,MATCH($G109,المرجع!$B$2:$B$19,0)),"")</f>
        <v>البناء المؤسسي</v>
      </c>
      <c r="I109" s="20" t="s">
        <v>57</v>
      </c>
      <c r="J109" s="18" t="str">
        <f aca="false">IFERROR(INDEX(المرجع!$D$2:$D$19,MATCH($I109,المرجع!$E$2:$E$19,0)),"")</f>
        <v>الموارد</v>
      </c>
      <c r="K109" s="20" t="s">
        <v>110</v>
      </c>
      <c r="L109" s="21" t="str">
        <f aca="false">IFERROR(INDEX('نقاط التحقق'!$G$2:$G$31,MATCH($K109,'نقاط التحقق'!$A$2:$A$31,0))&amp;"","")</f>
        <v>خطة توظيف وتدريب مستكملة</v>
      </c>
      <c r="M109" s="18" t="str">
        <f aca="false">IFERROR(INDEX('نقاط التحقق'!$H$2:$H$31,MATCH($K109,'نقاط التحقق'!$A$2:$A$31,0))&amp;"","")</f>
        <v/>
      </c>
      <c r="N109" s="17" t="n">
        <v>75</v>
      </c>
      <c r="O109" s="17" t="n">
        <v>100</v>
      </c>
      <c r="P109" s="19" t="str">
        <f aca="false">IF($N109="","غير مقيّمة",IF($N109&gt;المرجع!$K$3,"مستوفاة بشكل متقدم",IF($N109&lt;=المرجع!$K$2,"مستوفاة بشكل أولي","مستوفاة بشكل جزئي")))</f>
        <v>مستوفاة بشكل متقدم</v>
      </c>
      <c r="Q109" s="22"/>
    </row>
    <row r="110" customFormat="false" ht="15" hidden="false" customHeight="true" outlineLevel="0" collapsed="false">
      <c r="A110" s="20" t="s">
        <v>503</v>
      </c>
      <c r="B110" s="20" t="s">
        <v>170</v>
      </c>
      <c r="C110" s="19" t="str">
        <f aca="false">IFERROR(INDEX('قائمة الوحدات'!$B$2:$B$41,MATCH($B110,'قائمة الوحدات'!$A$2:$A$41,0)),"")</f>
        <v>EXE</v>
      </c>
      <c r="D110" s="18" t="str">
        <f aca="false">IFERROR(INDEX('قائمة الوحدات'!$C$2:$C$41,MATCH($B110,'قائمة الوحدات'!$A$2:$A$41,0)),"")</f>
        <v>الشؤون التنفيذية</v>
      </c>
      <c r="E110" s="18" t="str">
        <f aca="false">IFERROR(INDEX('قائمة الوحدات'!$D$2:$D$41,MATCH($B110,'قائمة الوحدات'!$A$2:$A$41,0)),"")</f>
        <v>وكالة الشؤون الفنية</v>
      </c>
      <c r="F110" s="18" t="str">
        <f aca="false">IFERROR(INDEX('قائمة الوحدات'!$F$2:$F$41,MATCH($B110,'قائمة الوحدات'!$A$2:$A$41,0)),"")</f>
        <v>الإدارة العامة للتشغيل والصيانة</v>
      </c>
      <c r="G110" s="20" t="s">
        <v>62</v>
      </c>
      <c r="H110" s="18" t="str">
        <f aca="false">IFERROR(INDEX(المرجع!$A$2:$A$19,MATCH($G110,المرجع!$B$2:$B$19,0)),"")</f>
        <v>البناء المؤسسي</v>
      </c>
      <c r="I110" s="20" t="s">
        <v>57</v>
      </c>
      <c r="J110" s="18" t="str">
        <f aca="false">IFERROR(INDEX(المرجع!$D$2:$D$19,MATCH($I110,المرجع!$E$2:$E$19,0)),"")</f>
        <v>الموارد</v>
      </c>
      <c r="K110" s="20" t="s">
        <v>112</v>
      </c>
      <c r="L110" s="21" t="str">
        <f aca="false">IFERROR(INDEX('نقاط التحقق'!$G$2:$G$31,MATCH($K110,'نقاط التحقق'!$A$2:$A$31,0))&amp;"","")</f>
        <v>وجود مساحات مكتبية كافية</v>
      </c>
      <c r="M110" s="18" t="str">
        <f aca="false">IFERROR(INDEX('نقاط التحقق'!$H$2:$H$31,MATCH($K110,'نقاط التحقق'!$A$2:$A$31,0))&amp;"","")</f>
        <v/>
      </c>
      <c r="N110" s="17" t="n">
        <v>60</v>
      </c>
      <c r="O110" s="17" t="n">
        <v>95</v>
      </c>
      <c r="P110" s="19" t="str">
        <f aca="false">IF($N110="","غير مقيّمة",IF($N110&gt;المرجع!$K$3,"مستوفاة بشكل متقدم",IF($N110&lt;=المرجع!$K$2,"مستوفاة بشكل أولي","مستوفاة بشكل جزئي")))</f>
        <v>مستوفاة بشكل جزئي</v>
      </c>
      <c r="Q110" s="22"/>
    </row>
    <row r="111" customFormat="false" ht="15" hidden="false" customHeight="true" outlineLevel="0" collapsed="false">
      <c r="A111" s="20" t="s">
        <v>504</v>
      </c>
      <c r="B111" s="20" t="s">
        <v>170</v>
      </c>
      <c r="C111" s="19" t="str">
        <f aca="false">IFERROR(INDEX('قائمة الوحدات'!$B$2:$B$41,MATCH($B111,'قائمة الوحدات'!$A$2:$A$41,0)),"")</f>
        <v>EXE</v>
      </c>
      <c r="D111" s="18" t="str">
        <f aca="false">IFERROR(INDEX('قائمة الوحدات'!$C$2:$C$41,MATCH($B111,'قائمة الوحدات'!$A$2:$A$41,0)),"")</f>
        <v>الشؤون التنفيذية</v>
      </c>
      <c r="E111" s="18" t="str">
        <f aca="false">IFERROR(INDEX('قائمة الوحدات'!$D$2:$D$41,MATCH($B111,'قائمة الوحدات'!$A$2:$A$41,0)),"")</f>
        <v>وكالة الشؤون الفنية</v>
      </c>
      <c r="F111" s="18" t="str">
        <f aca="false">IFERROR(INDEX('قائمة الوحدات'!$F$2:$F$41,MATCH($B111,'قائمة الوحدات'!$A$2:$A$41,0)),"")</f>
        <v>الإدارة العامة للتشغيل والصيانة</v>
      </c>
      <c r="G111" s="20" t="s">
        <v>62</v>
      </c>
      <c r="H111" s="18" t="str">
        <f aca="false">IFERROR(INDEX(المرجع!$A$2:$A$19,MATCH($G111,المرجع!$B$2:$B$19,0)),"")</f>
        <v>البناء المؤسسي</v>
      </c>
      <c r="I111" s="20" t="s">
        <v>57</v>
      </c>
      <c r="J111" s="18" t="str">
        <f aca="false">IFERROR(INDEX(المرجع!$D$2:$D$19,MATCH($I111,المرجع!$E$2:$E$19,0)),"")</f>
        <v>الموارد</v>
      </c>
      <c r="K111" s="20" t="s">
        <v>114</v>
      </c>
      <c r="L111" s="21" t="str">
        <f aca="false">IFERROR(INDEX('نقاط التحقق'!$G$2:$G$31,MATCH($K111,'نقاط التحقق'!$A$2:$A$31,0))&amp;"","")</f>
        <v>وجود الاحتياجات التقنية الأساسية</v>
      </c>
      <c r="M111" s="18" t="str">
        <f aca="false">IFERROR(INDEX('نقاط التحقق'!$H$2:$H$31,MATCH($K111,'نقاط التحقق'!$A$2:$A$31,0))&amp;"","")</f>
        <v/>
      </c>
      <c r="N111" s="17" t="n">
        <v>90</v>
      </c>
      <c r="O111" s="17" t="n">
        <v>95</v>
      </c>
      <c r="P111" s="19" t="str">
        <f aca="false">IF($N111="","غير مقيّمة",IF($N111&gt;المرجع!$K$3,"مستوفاة بشكل متقدم",IF($N111&lt;=المرجع!$K$2,"مستوفاة بشكل أولي","مستوفاة بشكل جزئي")))</f>
        <v>مستوفاة بشكل متقدم</v>
      </c>
      <c r="Q111" s="22"/>
    </row>
    <row r="112" customFormat="false" ht="15" hidden="false" customHeight="true" outlineLevel="0" collapsed="false">
      <c r="A112" s="20" t="s">
        <v>505</v>
      </c>
      <c r="B112" s="20" t="s">
        <v>170</v>
      </c>
      <c r="C112" s="19" t="str">
        <f aca="false">IFERROR(INDEX('قائمة الوحدات'!$B$2:$B$41,MATCH($B112,'قائمة الوحدات'!$A$2:$A$41,0)),"")</f>
        <v>EXE</v>
      </c>
      <c r="D112" s="18" t="str">
        <f aca="false">IFERROR(INDEX('قائمة الوحدات'!$C$2:$C$41,MATCH($B112,'قائمة الوحدات'!$A$2:$A$41,0)),"")</f>
        <v>الشؤون التنفيذية</v>
      </c>
      <c r="E112" s="18" t="str">
        <f aca="false">IFERROR(INDEX('قائمة الوحدات'!$D$2:$D$41,MATCH($B112,'قائمة الوحدات'!$A$2:$A$41,0)),"")</f>
        <v>وكالة الشؤون الفنية</v>
      </c>
      <c r="F112" s="18" t="str">
        <f aca="false">IFERROR(INDEX('قائمة الوحدات'!$F$2:$F$41,MATCH($B112,'قائمة الوحدات'!$A$2:$A$41,0)),"")</f>
        <v>الإدارة العامة للتشغيل والصيانة</v>
      </c>
      <c r="G112" s="20" t="s">
        <v>62</v>
      </c>
      <c r="H112" s="18" t="str">
        <f aca="false">IFERROR(INDEX(المرجع!$A$2:$A$19,MATCH($G112,المرجع!$B$2:$B$19,0)),"")</f>
        <v>البناء المؤسسي</v>
      </c>
      <c r="I112" s="20" t="s">
        <v>60</v>
      </c>
      <c r="J112" s="18" t="str">
        <f aca="false">IFERROR(INDEX(المرجع!$D$2:$D$19,MATCH($I112,المرجع!$E$2:$E$19,0)),"")</f>
        <v>الإجراءات</v>
      </c>
      <c r="K112" s="20" t="s">
        <v>116</v>
      </c>
      <c r="L112" s="21" t="str">
        <f aca="false">IFERROR(INDEX('نقاط التحقق'!$G$2:$G$31,MATCH($K112,'نقاط التحقق'!$A$2:$A$31,0))&amp;"","")</f>
        <v>إجراءات معتمدة للوحدة التنظيمية</v>
      </c>
      <c r="M112" s="18" t="str">
        <f aca="false">IFERROR(INDEX('نقاط التحقق'!$H$2:$H$31,MATCH($K112,'نقاط التحقق'!$A$2:$A$31,0))&amp;"","")</f>
        <v/>
      </c>
      <c r="N112" s="17" t="n">
        <v>87</v>
      </c>
      <c r="O112" s="17" t="n">
        <v>95</v>
      </c>
      <c r="P112" s="19" t="str">
        <f aca="false">IF($N112="","غير مقيّمة",IF($N112&gt;المرجع!$K$3,"مستوفاة بشكل متقدم",IF($N112&lt;=المرجع!$K$2,"مستوفاة بشكل أولي","مستوفاة بشكل جزئي")))</f>
        <v>مستوفاة بشكل متقدم</v>
      </c>
      <c r="Q112" s="22"/>
    </row>
    <row r="113" customFormat="false" ht="15" hidden="false" customHeight="true" outlineLevel="0" collapsed="false">
      <c r="A113" s="20" t="s">
        <v>506</v>
      </c>
      <c r="B113" s="20" t="s">
        <v>170</v>
      </c>
      <c r="C113" s="19" t="str">
        <f aca="false">IFERROR(INDEX('قائمة الوحدات'!$B$2:$B$41,MATCH($B113,'قائمة الوحدات'!$A$2:$A$41,0)),"")</f>
        <v>EXE</v>
      </c>
      <c r="D113" s="18" t="str">
        <f aca="false">IFERROR(INDEX('قائمة الوحدات'!$C$2:$C$41,MATCH($B113,'قائمة الوحدات'!$A$2:$A$41,0)),"")</f>
        <v>الشؤون التنفيذية</v>
      </c>
      <c r="E113" s="18" t="str">
        <f aca="false">IFERROR(INDEX('قائمة الوحدات'!$D$2:$D$41,MATCH($B113,'قائمة الوحدات'!$A$2:$A$41,0)),"")</f>
        <v>وكالة الشؤون الفنية</v>
      </c>
      <c r="F113" s="18" t="str">
        <f aca="false">IFERROR(INDEX('قائمة الوحدات'!$F$2:$F$41,MATCH($B113,'قائمة الوحدات'!$A$2:$A$41,0)),"")</f>
        <v>الإدارة العامة للتشغيل والصيانة</v>
      </c>
      <c r="G113" s="20" t="s">
        <v>62</v>
      </c>
      <c r="H113" s="18" t="str">
        <f aca="false">IFERROR(INDEX(المرجع!$A$2:$A$19,MATCH($G113,المرجع!$B$2:$B$19,0)),"")</f>
        <v>البناء المؤسسي</v>
      </c>
      <c r="I113" s="20" t="s">
        <v>69</v>
      </c>
      <c r="J113" s="18" t="str">
        <f aca="false">IFERROR(INDEX(المرجع!$D$2:$D$19,MATCH($I113,المرجع!$E$2:$E$19,0)),"")</f>
        <v>إنتاج المخرج الأول</v>
      </c>
      <c r="K113" s="20" t="s">
        <v>118</v>
      </c>
      <c r="L113" s="21" t="str">
        <f aca="false">IFERROR(INDEX('نقاط التحقق'!$G$2:$G$31,MATCH($K113,'نقاط التحقق'!$A$2:$A$31,0))&amp;"","")</f>
        <v>إنتاج المخرج الأول من قبل الوحدة التنظيمية</v>
      </c>
      <c r="M113" s="18" t="str">
        <f aca="false">IFERROR(INDEX('نقاط التحقق'!$H$2:$H$31,MATCH($K113,'نقاط التحقق'!$A$2:$A$31,0))&amp;"","")</f>
        <v/>
      </c>
      <c r="N113" s="17" t="n">
        <v>47</v>
      </c>
      <c r="O113" s="17" t="n">
        <v>95</v>
      </c>
      <c r="P113" s="19" t="str">
        <f aca="false">IF($N113="","غير مقيّمة",IF($N113&gt;المرجع!$K$3,"مستوفاة بشكل متقدم",IF($N113&lt;=المرجع!$K$2,"مستوفاة بشكل أولي","مستوفاة بشكل جزئي")))</f>
        <v>مستوفاة بشكل جزئي</v>
      </c>
      <c r="Q113" s="22"/>
    </row>
    <row r="114" customFormat="false" ht="15" hidden="false" customHeight="true" outlineLevel="0" collapsed="false">
      <c r="A114" s="20" t="s">
        <v>507</v>
      </c>
      <c r="B114" s="20" t="s">
        <v>170</v>
      </c>
      <c r="C114" s="19" t="str">
        <f aca="false">IFERROR(INDEX('قائمة الوحدات'!$B$2:$B$41,MATCH($B114,'قائمة الوحدات'!$A$2:$A$41,0)),"")</f>
        <v>EXE</v>
      </c>
      <c r="D114" s="18" t="str">
        <f aca="false">IFERROR(INDEX('قائمة الوحدات'!$C$2:$C$41,MATCH($B114,'قائمة الوحدات'!$A$2:$A$41,0)),"")</f>
        <v>الشؤون التنفيذية</v>
      </c>
      <c r="E114" s="18" t="str">
        <f aca="false">IFERROR(INDEX('قائمة الوحدات'!$D$2:$D$41,MATCH($B114,'قائمة الوحدات'!$A$2:$A$41,0)),"")</f>
        <v>وكالة الشؤون الفنية</v>
      </c>
      <c r="F114" s="18" t="str">
        <f aca="false">IFERROR(INDEX('قائمة الوحدات'!$F$2:$F$41,MATCH($B114,'قائمة الوحدات'!$A$2:$A$41,0)),"")</f>
        <v>الإدارة العامة للتشغيل والصيانة</v>
      </c>
      <c r="G114" s="20" t="s">
        <v>66</v>
      </c>
      <c r="H114" s="18" t="str">
        <f aca="false">IFERROR(INDEX(المرجع!$A$2:$A$19,MATCH($G114,المرجع!$B$2:$B$19,0)),"")</f>
        <v>التشغيل</v>
      </c>
      <c r="I114" s="20" t="s">
        <v>49</v>
      </c>
      <c r="J114" s="18" t="str">
        <f aca="false">IFERROR(INDEX(المرجع!$D$2:$D$19,MATCH($I114,المرجع!$E$2:$E$19,0)),"")</f>
        <v>الأهداف ومؤشرات الأداء</v>
      </c>
      <c r="K114" s="20" t="s">
        <v>120</v>
      </c>
      <c r="L114" s="21" t="str">
        <f aca="false">IFERROR(INDEX('نقاط التحقق'!$G$2:$G$31,MATCH($K114,'نقاط التحقق'!$A$2:$A$31,0))&amp;"","")</f>
        <v>تحرك مؤشرات الأداء التشغيلي للوحدة التنظيمية بشكل إيجابي</v>
      </c>
      <c r="M114" s="18" t="str">
        <f aca="false">IFERROR(INDEX('نقاط التحقق'!$H$2:$H$31,MATCH($K114,'نقاط التحقق'!$A$2:$A$31,0))&amp;"","")</f>
        <v/>
      </c>
      <c r="N114" s="17" t="n">
        <v>30</v>
      </c>
      <c r="O114" s="17" t="n">
        <v>90</v>
      </c>
      <c r="P114" s="19" t="str">
        <f aca="false">IF($N114="","غير مقيّمة",IF($N114&gt;المرجع!$K$3,"مستوفاة بشكل متقدم",IF($N114&lt;=المرجع!$K$2,"مستوفاة بشكل أولي","مستوفاة بشكل جزئي")))</f>
        <v>مستوفاة بشكل أولي</v>
      </c>
      <c r="Q114" s="22"/>
    </row>
    <row r="115" customFormat="false" ht="15" hidden="false" customHeight="true" outlineLevel="0" collapsed="false">
      <c r="A115" s="20" t="s">
        <v>508</v>
      </c>
      <c r="B115" s="20" t="s">
        <v>170</v>
      </c>
      <c r="C115" s="19" t="str">
        <f aca="false">IFERROR(INDEX('قائمة الوحدات'!$B$2:$B$41,MATCH($B115,'قائمة الوحدات'!$A$2:$A$41,0)),"")</f>
        <v>EXE</v>
      </c>
      <c r="D115" s="18" t="str">
        <f aca="false">IFERROR(INDEX('قائمة الوحدات'!$C$2:$C$41,MATCH($B115,'قائمة الوحدات'!$A$2:$A$41,0)),"")</f>
        <v>الشؤون التنفيذية</v>
      </c>
      <c r="E115" s="18" t="str">
        <f aca="false">IFERROR(INDEX('قائمة الوحدات'!$D$2:$D$41,MATCH($B115,'قائمة الوحدات'!$A$2:$A$41,0)),"")</f>
        <v>وكالة الشؤون الفنية</v>
      </c>
      <c r="F115" s="18" t="str">
        <f aca="false">IFERROR(INDEX('قائمة الوحدات'!$F$2:$F$41,MATCH($B115,'قائمة الوحدات'!$A$2:$A$41,0)),"")</f>
        <v>الإدارة العامة للتشغيل والصيانة</v>
      </c>
      <c r="G115" s="20" t="s">
        <v>66</v>
      </c>
      <c r="H115" s="18" t="str">
        <f aca="false">IFERROR(INDEX(المرجع!$A$2:$A$19,MATCH($G115,المرجع!$B$2:$B$19,0)),"")</f>
        <v>التشغيل</v>
      </c>
      <c r="I115" s="20" t="s">
        <v>49</v>
      </c>
      <c r="J115" s="18" t="str">
        <f aca="false">IFERROR(INDEX(المرجع!$D$2:$D$19,MATCH($I115,المرجع!$E$2:$E$19,0)),"")</f>
        <v>الأهداف ومؤشرات الأداء</v>
      </c>
      <c r="K115" s="20" t="s">
        <v>122</v>
      </c>
      <c r="L115" s="21" t="str">
        <f aca="false">IFERROR(INDEX('نقاط التحقق'!$G$2:$G$31,MATCH($K115,'نقاط التحقق'!$A$2:$A$31,0))&amp;"","")</f>
        <v>خطة سنوية معتمدة للوحدة التنظيمية</v>
      </c>
      <c r="M115" s="18" t="str">
        <f aca="false">IFERROR(INDEX('نقاط التحقق'!$H$2:$H$31,MATCH($K115,'نقاط التحقق'!$A$2:$A$31,0))&amp;"","")</f>
        <v/>
      </c>
      <c r="N115" s="17" t="n">
        <v>30</v>
      </c>
      <c r="O115" s="17" t="n">
        <v>80</v>
      </c>
      <c r="P115" s="19" t="str">
        <f aca="false">IF($N115="","غير مقيّمة",IF($N115&gt;المرجع!$K$3,"مستوفاة بشكل متقدم",IF($N115&lt;=المرجع!$K$2,"مستوفاة بشكل أولي","مستوفاة بشكل جزئي")))</f>
        <v>مستوفاة بشكل أولي</v>
      </c>
      <c r="Q115" s="22"/>
    </row>
    <row r="116" customFormat="false" ht="15" hidden="false" customHeight="true" outlineLevel="0" collapsed="false">
      <c r="A116" s="20" t="s">
        <v>509</v>
      </c>
      <c r="B116" s="20" t="s">
        <v>170</v>
      </c>
      <c r="C116" s="19" t="str">
        <f aca="false">IFERROR(INDEX('قائمة الوحدات'!$B$2:$B$41,MATCH($B116,'قائمة الوحدات'!$A$2:$A$41,0)),"")</f>
        <v>EXE</v>
      </c>
      <c r="D116" s="18" t="str">
        <f aca="false">IFERROR(INDEX('قائمة الوحدات'!$C$2:$C$41,MATCH($B116,'قائمة الوحدات'!$A$2:$A$41,0)),"")</f>
        <v>الشؤون التنفيذية</v>
      </c>
      <c r="E116" s="18" t="str">
        <f aca="false">IFERROR(INDEX('قائمة الوحدات'!$D$2:$D$41,MATCH($B116,'قائمة الوحدات'!$A$2:$A$41,0)),"")</f>
        <v>وكالة الشؤون الفنية</v>
      </c>
      <c r="F116" s="18" t="str">
        <f aca="false">IFERROR(INDEX('قائمة الوحدات'!$F$2:$F$41,MATCH($B116,'قائمة الوحدات'!$A$2:$A$41,0)),"")</f>
        <v>الإدارة العامة للتشغيل والصيانة</v>
      </c>
      <c r="G116" s="20" t="s">
        <v>66</v>
      </c>
      <c r="H116" s="18" t="str">
        <f aca="false">IFERROR(INDEX(المرجع!$A$2:$A$19,MATCH($G116,المرجع!$B$2:$B$19,0)),"")</f>
        <v>التشغيل</v>
      </c>
      <c r="I116" s="20" t="s">
        <v>52</v>
      </c>
      <c r="J116" s="18" t="str">
        <f aca="false">IFERROR(INDEX(المرجع!$D$2:$D$19,MATCH($I116,المرجع!$E$2:$E$19,0)),"")</f>
        <v>الحوكمة</v>
      </c>
      <c r="K116" s="20" t="s">
        <v>124</v>
      </c>
      <c r="L116" s="21" t="str">
        <f aca="false">IFERROR(INDEX('نقاط التحقق'!$G$2:$G$31,MATCH($K116,'نقاط التحقق'!$A$2:$A$31,0))&amp;"","")</f>
        <v>محاضر لجان موثقة</v>
      </c>
      <c r="M116" s="18" t="str">
        <f aca="false">IFERROR(INDEX('نقاط التحقق'!$H$2:$H$31,MATCH($K116,'نقاط التحقق'!$A$2:$A$31,0))&amp;"","")</f>
        <v/>
      </c>
      <c r="N116" s="17" t="n">
        <v>20</v>
      </c>
      <c r="O116" s="17" t="n">
        <v>85</v>
      </c>
      <c r="P116" s="19" t="str">
        <f aca="false">IF($N116="","غير مقيّمة",IF($N116&gt;المرجع!$K$3,"مستوفاة بشكل متقدم",IF($N116&lt;=المرجع!$K$2,"مستوفاة بشكل أولي","مستوفاة بشكل جزئي")))</f>
        <v>مستوفاة بشكل أولي</v>
      </c>
      <c r="Q116" s="22"/>
    </row>
    <row r="117" customFormat="false" ht="15" hidden="false" customHeight="true" outlineLevel="0" collapsed="false">
      <c r="A117" s="20" t="s">
        <v>510</v>
      </c>
      <c r="B117" s="20" t="s">
        <v>170</v>
      </c>
      <c r="C117" s="19" t="str">
        <f aca="false">IFERROR(INDEX('قائمة الوحدات'!$B$2:$B$41,MATCH($B117,'قائمة الوحدات'!$A$2:$A$41,0)),"")</f>
        <v>EXE</v>
      </c>
      <c r="D117" s="18" t="str">
        <f aca="false">IFERROR(INDEX('قائمة الوحدات'!$C$2:$C$41,MATCH($B117,'قائمة الوحدات'!$A$2:$A$41,0)),"")</f>
        <v>الشؤون التنفيذية</v>
      </c>
      <c r="E117" s="18" t="str">
        <f aca="false">IFERROR(INDEX('قائمة الوحدات'!$D$2:$D$41,MATCH($B117,'قائمة الوحدات'!$A$2:$A$41,0)),"")</f>
        <v>وكالة الشؤون الفنية</v>
      </c>
      <c r="F117" s="18" t="str">
        <f aca="false">IFERROR(INDEX('قائمة الوحدات'!$F$2:$F$41,MATCH($B117,'قائمة الوحدات'!$A$2:$A$41,0)),"")</f>
        <v>الإدارة العامة للتشغيل والصيانة</v>
      </c>
      <c r="G117" s="20" t="s">
        <v>66</v>
      </c>
      <c r="H117" s="18" t="str">
        <f aca="false">IFERROR(INDEX(المرجع!$A$2:$A$19,MATCH($G117,المرجع!$B$2:$B$19,0)),"")</f>
        <v>التشغيل</v>
      </c>
      <c r="I117" s="20" t="s">
        <v>52</v>
      </c>
      <c r="J117" s="18" t="str">
        <f aca="false">IFERROR(INDEX(المرجع!$D$2:$D$19,MATCH($I117,المرجع!$E$2:$E$19,0)),"")</f>
        <v>الحوكمة</v>
      </c>
      <c r="K117" s="20" t="s">
        <v>126</v>
      </c>
      <c r="L117" s="21" t="str">
        <f aca="false">IFERROR(INDEX('نقاط التحقق'!$G$2:$G$31,MATCH($K117,'نقاط التحقق'!$A$2:$A$31,0))&amp;"","")</f>
        <v>نشر السياسات التي تملكها الوحدة التنظيمية</v>
      </c>
      <c r="M117" s="18" t="str">
        <f aca="false">IFERROR(INDEX('نقاط التحقق'!$H$2:$H$31,MATCH($K117,'نقاط التحقق'!$A$2:$A$31,0))&amp;"","")</f>
        <v/>
      </c>
      <c r="N117" s="17" t="n">
        <v>40</v>
      </c>
      <c r="O117" s="17" t="n">
        <v>80</v>
      </c>
      <c r="P117" s="19" t="str">
        <f aca="false">IF($N117="","غير مقيّمة",IF($N117&gt;المرجع!$K$3,"مستوفاة بشكل متقدم",IF($N117&lt;=المرجع!$K$2,"مستوفاة بشكل أولي","مستوفاة بشكل جزئي")))</f>
        <v>مستوفاة بشكل جزئي</v>
      </c>
      <c r="Q117" s="22"/>
    </row>
    <row r="118" customFormat="false" ht="15" hidden="false" customHeight="true" outlineLevel="0" collapsed="false">
      <c r="A118" s="20" t="s">
        <v>511</v>
      </c>
      <c r="B118" s="20" t="s">
        <v>170</v>
      </c>
      <c r="C118" s="19" t="str">
        <f aca="false">IFERROR(INDEX('قائمة الوحدات'!$B$2:$B$41,MATCH($B118,'قائمة الوحدات'!$A$2:$A$41,0)),"")</f>
        <v>EXE</v>
      </c>
      <c r="D118" s="18" t="str">
        <f aca="false">IFERROR(INDEX('قائمة الوحدات'!$C$2:$C$41,MATCH($B118,'قائمة الوحدات'!$A$2:$A$41,0)),"")</f>
        <v>الشؤون التنفيذية</v>
      </c>
      <c r="E118" s="18" t="str">
        <f aca="false">IFERROR(INDEX('قائمة الوحدات'!$D$2:$D$41,MATCH($B118,'قائمة الوحدات'!$A$2:$A$41,0)),"")</f>
        <v>وكالة الشؤون الفنية</v>
      </c>
      <c r="F118" s="18" t="str">
        <f aca="false">IFERROR(INDEX('قائمة الوحدات'!$F$2:$F$41,MATCH($B118,'قائمة الوحدات'!$A$2:$A$41,0)),"")</f>
        <v>الإدارة العامة للتشغيل والصيانة</v>
      </c>
      <c r="G118" s="20" t="s">
        <v>66</v>
      </c>
      <c r="H118" s="18" t="str">
        <f aca="false">IFERROR(INDEX(المرجع!$A$2:$A$19,MATCH($G118,المرجع!$B$2:$B$19,0)),"")</f>
        <v>التشغيل</v>
      </c>
      <c r="I118" s="20" t="s">
        <v>52</v>
      </c>
      <c r="J118" s="18" t="str">
        <f aca="false">IFERROR(INDEX(المرجع!$D$2:$D$19,MATCH($I118,المرجع!$E$2:$E$19,0)),"")</f>
        <v>الحوكمة</v>
      </c>
      <c r="K118" s="20" t="s">
        <v>128</v>
      </c>
      <c r="L118" s="21" t="str">
        <f aca="false">IFERROR(INDEX('نقاط التحقق'!$G$2:$G$31,MATCH($K118,'نقاط التحقق'!$A$2:$A$31,0))&amp;"","")</f>
        <v>اتخاذ القرارات في نطاق الصلاحيات (وجود شواهد)</v>
      </c>
      <c r="M118" s="18" t="str">
        <f aca="false">IFERROR(INDEX('نقاط التحقق'!$H$2:$H$31,MATCH($K118,'نقاط التحقق'!$A$2:$A$31,0))&amp;"","")</f>
        <v/>
      </c>
      <c r="N118" s="17" t="n">
        <v>20</v>
      </c>
      <c r="O118" s="17" t="n">
        <v>100</v>
      </c>
      <c r="P118" s="19" t="str">
        <f aca="false">IF($N118="","غير مقيّمة",IF($N118&gt;المرجع!$K$3,"مستوفاة بشكل متقدم",IF($N118&lt;=المرجع!$K$2,"مستوفاة بشكل أولي","مستوفاة بشكل جزئي")))</f>
        <v>مستوفاة بشكل أولي</v>
      </c>
      <c r="Q118" s="22"/>
    </row>
    <row r="119" customFormat="false" ht="15" hidden="false" customHeight="true" outlineLevel="0" collapsed="false">
      <c r="A119" s="20" t="s">
        <v>512</v>
      </c>
      <c r="B119" s="20" t="s">
        <v>170</v>
      </c>
      <c r="C119" s="19" t="str">
        <f aca="false">IFERROR(INDEX('قائمة الوحدات'!$B$2:$B$41,MATCH($B119,'قائمة الوحدات'!$A$2:$A$41,0)),"")</f>
        <v>EXE</v>
      </c>
      <c r="D119" s="18" t="str">
        <f aca="false">IFERROR(INDEX('قائمة الوحدات'!$C$2:$C$41,MATCH($B119,'قائمة الوحدات'!$A$2:$A$41,0)),"")</f>
        <v>الشؤون التنفيذية</v>
      </c>
      <c r="E119" s="18" t="str">
        <f aca="false">IFERROR(INDEX('قائمة الوحدات'!$D$2:$D$41,MATCH($B119,'قائمة الوحدات'!$A$2:$A$41,0)),"")</f>
        <v>وكالة الشؤون الفنية</v>
      </c>
      <c r="F119" s="18" t="str">
        <f aca="false">IFERROR(INDEX('قائمة الوحدات'!$F$2:$F$41,MATCH($B119,'قائمة الوحدات'!$A$2:$A$41,0)),"")</f>
        <v>الإدارة العامة للتشغيل والصيانة</v>
      </c>
      <c r="G119" s="20" t="s">
        <v>66</v>
      </c>
      <c r="H119" s="18" t="str">
        <f aca="false">IFERROR(INDEX(المرجع!$A$2:$A$19,MATCH($G119,المرجع!$B$2:$B$19,0)),"")</f>
        <v>التشغيل</v>
      </c>
      <c r="I119" s="20" t="s">
        <v>57</v>
      </c>
      <c r="J119" s="18" t="str">
        <f aca="false">IFERROR(INDEX(المرجع!$D$2:$D$19,MATCH($I119,المرجع!$E$2:$E$19,0)),"")</f>
        <v>الموارد</v>
      </c>
      <c r="K119" s="20" t="s">
        <v>130</v>
      </c>
      <c r="L119" s="21" t="str">
        <f aca="false">IFERROR(INDEX('نقاط التحقق'!$G$2:$G$31,MATCH($K119,'نقاط التحقق'!$A$2:$A$31,0))&amp;"","")</f>
        <v>موارد مستكملة للحد الأدنى الذي يغطي كافة محاور سلسلة القيمة</v>
      </c>
      <c r="M119" s="18" t="str">
        <f aca="false">IFERROR(INDEX('نقاط التحقق'!$H$2:$H$31,MATCH($K119,'نقاط التحقق'!$A$2:$A$31,0))&amp;"","")</f>
        <v/>
      </c>
      <c r="N119" s="17" t="n">
        <v>35</v>
      </c>
      <c r="O119" s="17" t="n">
        <v>90</v>
      </c>
      <c r="P119" s="19" t="str">
        <f aca="false">IF($N119="","غير مقيّمة",IF($N119&gt;المرجع!$K$3,"مستوفاة بشكل متقدم",IF($N119&lt;=المرجع!$K$2,"مستوفاة بشكل أولي","مستوفاة بشكل جزئي")))</f>
        <v>مستوفاة بشكل جزئي</v>
      </c>
      <c r="Q119" s="22"/>
    </row>
    <row r="120" customFormat="false" ht="15" hidden="false" customHeight="true" outlineLevel="0" collapsed="false">
      <c r="A120" s="20" t="s">
        <v>513</v>
      </c>
      <c r="B120" s="20" t="s">
        <v>170</v>
      </c>
      <c r="C120" s="19" t="str">
        <f aca="false">IFERROR(INDEX('قائمة الوحدات'!$B$2:$B$41,MATCH($B120,'قائمة الوحدات'!$A$2:$A$41,0)),"")</f>
        <v>EXE</v>
      </c>
      <c r="D120" s="18" t="str">
        <f aca="false">IFERROR(INDEX('قائمة الوحدات'!$C$2:$C$41,MATCH($B120,'قائمة الوحدات'!$A$2:$A$41,0)),"")</f>
        <v>الشؤون التنفيذية</v>
      </c>
      <c r="E120" s="18" t="str">
        <f aca="false">IFERROR(INDEX('قائمة الوحدات'!$D$2:$D$41,MATCH($B120,'قائمة الوحدات'!$A$2:$A$41,0)),"")</f>
        <v>وكالة الشؤون الفنية</v>
      </c>
      <c r="F120" s="18" t="str">
        <f aca="false">IFERROR(INDEX('قائمة الوحدات'!$F$2:$F$41,MATCH($B120,'قائمة الوحدات'!$A$2:$A$41,0)),"")</f>
        <v>الإدارة العامة للتشغيل والصيانة</v>
      </c>
      <c r="G120" s="20" t="s">
        <v>66</v>
      </c>
      <c r="H120" s="18" t="str">
        <f aca="false">IFERROR(INDEX(المرجع!$A$2:$A$19,MATCH($G120,المرجع!$B$2:$B$19,0)),"")</f>
        <v>التشغيل</v>
      </c>
      <c r="I120" s="20" t="s">
        <v>60</v>
      </c>
      <c r="J120" s="18" t="str">
        <f aca="false">IFERROR(INDEX(المرجع!$D$2:$D$19,MATCH($I120,المرجع!$E$2:$E$19,0)),"")</f>
        <v>الإجراءات</v>
      </c>
      <c r="K120" s="20" t="s">
        <v>132</v>
      </c>
      <c r="L120" s="21" t="str">
        <f aca="false">IFERROR(INDEX('نقاط التحقق'!$G$2:$G$31,MATCH($K120,'نقاط التحقق'!$A$2:$A$31,0))&amp;"","")</f>
        <v>تحقيق تقييم "مطبق بشكل كامل" من منهجية تقييم فعالية الإجراءات</v>
      </c>
      <c r="M120" s="18" t="str">
        <f aca="false">IFERROR(INDEX('نقاط التحقق'!$H$2:$H$31,MATCH($K120,'نقاط التحقق'!$A$2:$A$31,0))&amp;"","")</f>
        <v/>
      </c>
      <c r="N120" s="17" t="n">
        <v>37</v>
      </c>
      <c r="O120" s="17" t="n">
        <v>100</v>
      </c>
      <c r="P120" s="19" t="str">
        <f aca="false">IF($N120="","غير مقيّمة",IF($N120&gt;المرجع!$K$3,"مستوفاة بشكل متقدم",IF($N120&lt;=المرجع!$K$2,"مستوفاة بشكل أولي","مستوفاة بشكل جزئي")))</f>
        <v>مستوفاة بشكل جزئي</v>
      </c>
      <c r="Q120" s="22"/>
    </row>
    <row r="121" customFormat="false" ht="15" hidden="false" customHeight="true" outlineLevel="0" collapsed="false">
      <c r="A121" s="20" t="s">
        <v>514</v>
      </c>
      <c r="B121" s="20" t="s">
        <v>170</v>
      </c>
      <c r="C121" s="19" t="str">
        <f aca="false">IFERROR(INDEX('قائمة الوحدات'!$B$2:$B$41,MATCH($B121,'قائمة الوحدات'!$A$2:$A$41,0)),"")</f>
        <v>EXE</v>
      </c>
      <c r="D121" s="18" t="str">
        <f aca="false">IFERROR(INDEX('قائمة الوحدات'!$C$2:$C$41,MATCH($B121,'قائمة الوحدات'!$A$2:$A$41,0)),"")</f>
        <v>الشؤون التنفيذية</v>
      </c>
      <c r="E121" s="18" t="str">
        <f aca="false">IFERROR(INDEX('قائمة الوحدات'!$D$2:$D$41,MATCH($B121,'قائمة الوحدات'!$A$2:$A$41,0)),"")</f>
        <v>وكالة الشؤون الفنية</v>
      </c>
      <c r="F121" s="18" t="str">
        <f aca="false">IFERROR(INDEX('قائمة الوحدات'!$F$2:$F$41,MATCH($B121,'قائمة الوحدات'!$A$2:$A$41,0)),"")</f>
        <v>الإدارة العامة للتشغيل والصيانة</v>
      </c>
      <c r="G121" s="20" t="s">
        <v>66</v>
      </c>
      <c r="H121" s="18" t="str">
        <f aca="false">IFERROR(INDEX(المرجع!$A$2:$A$19,MATCH($G121,المرجع!$B$2:$B$19,0)),"")</f>
        <v>التشغيل</v>
      </c>
      <c r="I121" s="20" t="s">
        <v>71</v>
      </c>
      <c r="J121" s="18" t="str">
        <f aca="false">IFERROR(INDEX(المرجع!$D$2:$D$19,MATCH($I121,المرجع!$E$2:$E$19,0)),"")</f>
        <v>اكتمال المخرجات المستهدفة</v>
      </c>
      <c r="K121" s="20" t="s">
        <v>134</v>
      </c>
      <c r="L121" s="21" t="str">
        <f aca="false">IFERROR(INDEX('نقاط التحقق'!$G$2:$G$31,MATCH($K121,'نقاط التحقق'!$A$2:$A$31,0))&amp;"","")</f>
        <v>اكتمال مخرجات النموذج التشغيلي المستهدف للوحدة التنظيمية</v>
      </c>
      <c r="M121" s="18" t="str">
        <f aca="false">IFERROR(INDEX('نقاط التحقق'!$H$2:$H$31,MATCH($K121,'نقاط التحقق'!$A$2:$A$31,0))&amp;"","")</f>
        <v/>
      </c>
      <c r="N121" s="17" t="n">
        <v>62</v>
      </c>
      <c r="O121" s="17" t="n">
        <v>90</v>
      </c>
      <c r="P121" s="19" t="str">
        <f aca="false">IF($N121="","غير مقيّمة",IF($N121&gt;المرجع!$K$3,"مستوفاة بشكل متقدم",IF($N121&lt;=المرجع!$K$2,"مستوفاة بشكل أولي","مستوفاة بشكل جزئي")))</f>
        <v>مستوفاة بشكل جزئي</v>
      </c>
      <c r="Q121" s="22"/>
    </row>
    <row r="122" customFormat="false" ht="15" hidden="false" customHeight="true" outlineLevel="0" collapsed="false">
      <c r="A122" s="20" t="s">
        <v>515</v>
      </c>
      <c r="B122" s="20" t="s">
        <v>172</v>
      </c>
      <c r="C122" s="19" t="str">
        <f aca="false">IFERROR(INDEX('قائمة الوحدات'!$B$2:$B$41,MATCH($B122,'قائمة الوحدات'!$A$2:$A$41,0)),"")</f>
        <v>EXE</v>
      </c>
      <c r="D122" s="18" t="str">
        <f aca="false">IFERROR(INDEX('قائمة الوحدات'!$C$2:$C$41,MATCH($B122,'قائمة الوحدات'!$A$2:$A$41,0)),"")</f>
        <v>الشؤون التنفيذية</v>
      </c>
      <c r="E122" s="18" t="str">
        <f aca="false">IFERROR(INDEX('قائمة الوحدات'!$D$2:$D$41,MATCH($B122,'قائمة الوحدات'!$A$2:$A$41,0)),"")</f>
        <v>وكالة الشؤون الفنية</v>
      </c>
      <c r="F122" s="18" t="str">
        <f aca="false">IFERROR(INDEX('قائمة الوحدات'!$F$2:$F$41,MATCH($B122,'قائمة الوحدات'!$A$2:$A$41,0)),"")</f>
        <v>الإدارة العامة للسلامة والبيئة</v>
      </c>
      <c r="G122" s="20" t="s">
        <v>44</v>
      </c>
      <c r="H122" s="18" t="str">
        <f aca="false">IFERROR(INDEX(المرجع!$A$2:$A$19,MATCH($G122,المرجع!$B$2:$B$19,0)),"")</f>
        <v>التصميم</v>
      </c>
      <c r="I122" s="20" t="s">
        <v>46</v>
      </c>
      <c r="J122" s="18" t="str">
        <f aca="false">IFERROR(INDEX(المرجع!$D$2:$D$19,MATCH($I122,المرجع!$E$2:$E$19,0)),"")</f>
        <v>الدور</v>
      </c>
      <c r="K122" s="20" t="s">
        <v>76</v>
      </c>
      <c r="L122" s="21" t="str">
        <f aca="false">IFERROR(INDEX('نقاط التحقق'!$G$2:$G$31,MATCH($K122,'نقاط التحقق'!$A$2:$A$31,0))&amp;"","")</f>
        <v>دور مفصل للوحدة التنظيمية</v>
      </c>
      <c r="M122" s="18" t="str">
        <f aca="false">IFERROR(INDEX('نقاط التحقق'!$H$2:$H$31,MATCH($K122,'نقاط التحقق'!$A$2:$A$31,0))&amp;"","")</f>
        <v/>
      </c>
      <c r="N122" s="17" t="n">
        <v>96</v>
      </c>
      <c r="O122" s="17" t="n">
        <v>96</v>
      </c>
      <c r="P122" s="19" t="str">
        <f aca="false">IF($N122="","غير مقيّمة",IF($N122&gt;المرجع!$K$3,"مستوفاة بشكل متقدم",IF($N122&lt;=المرجع!$K$2,"مستوفاة بشكل أولي","مستوفاة بشكل جزئي")))</f>
        <v>مستوفاة بشكل متقدم</v>
      </c>
      <c r="Q122" s="22"/>
    </row>
    <row r="123" customFormat="false" ht="15" hidden="false" customHeight="true" outlineLevel="0" collapsed="false">
      <c r="A123" s="20" t="s">
        <v>516</v>
      </c>
      <c r="B123" s="20" t="s">
        <v>172</v>
      </c>
      <c r="C123" s="19" t="str">
        <f aca="false">IFERROR(INDEX('قائمة الوحدات'!$B$2:$B$41,MATCH($B123,'قائمة الوحدات'!$A$2:$A$41,0)),"")</f>
        <v>EXE</v>
      </c>
      <c r="D123" s="18" t="str">
        <f aca="false">IFERROR(INDEX('قائمة الوحدات'!$C$2:$C$41,MATCH($B123,'قائمة الوحدات'!$A$2:$A$41,0)),"")</f>
        <v>الشؤون التنفيذية</v>
      </c>
      <c r="E123" s="18" t="str">
        <f aca="false">IFERROR(INDEX('قائمة الوحدات'!$D$2:$D$41,MATCH($B123,'قائمة الوحدات'!$A$2:$A$41,0)),"")</f>
        <v>وكالة الشؤون الفنية</v>
      </c>
      <c r="F123" s="18" t="str">
        <f aca="false">IFERROR(INDEX('قائمة الوحدات'!$F$2:$F$41,MATCH($B123,'قائمة الوحدات'!$A$2:$A$41,0)),"")</f>
        <v>الإدارة العامة للسلامة والبيئة</v>
      </c>
      <c r="G123" s="20" t="s">
        <v>44</v>
      </c>
      <c r="H123" s="18" t="str">
        <f aca="false">IFERROR(INDEX(المرجع!$A$2:$A$19,MATCH($G123,المرجع!$B$2:$B$19,0)),"")</f>
        <v>التصميم</v>
      </c>
      <c r="I123" s="20" t="s">
        <v>49</v>
      </c>
      <c r="J123" s="18" t="str">
        <f aca="false">IFERROR(INDEX(المرجع!$D$2:$D$19,MATCH($I123,المرجع!$E$2:$E$19,0)),"")</f>
        <v>الأهداف ومؤشرات الأداء</v>
      </c>
      <c r="K123" s="20" t="s">
        <v>78</v>
      </c>
      <c r="L123" s="21" t="str">
        <f aca="false">IFERROR(INDEX('نقاط التحقق'!$G$2:$G$31,MATCH($K123,'نقاط التحقق'!$A$2:$A$31,0))&amp;"","")</f>
        <v>أهداف محددة للوحدة التنظيمية وربطها بمؤشرات أداء لقياسها</v>
      </c>
      <c r="M123" s="18" t="str">
        <f aca="false">IFERROR(INDEX('نقاط التحقق'!$H$2:$H$31,MATCH($K123,'نقاط التحقق'!$A$2:$A$31,0))&amp;"","")</f>
        <v/>
      </c>
      <c r="N123" s="17" t="n">
        <v>70</v>
      </c>
      <c r="O123" s="17" t="n">
        <v>100</v>
      </c>
      <c r="P123" s="19" t="str">
        <f aca="false">IF($N123="","غير مقيّمة",IF($N123&gt;المرجع!$K$3,"مستوفاة بشكل متقدم",IF($N123&lt;=المرجع!$K$2,"مستوفاة بشكل أولي","مستوفاة بشكل جزئي")))</f>
        <v>مستوفاة بشكل جزئي</v>
      </c>
      <c r="Q123" s="22"/>
    </row>
    <row r="124" customFormat="false" ht="15" hidden="false" customHeight="true" outlineLevel="0" collapsed="false">
      <c r="A124" s="20" t="s">
        <v>517</v>
      </c>
      <c r="B124" s="20" t="s">
        <v>172</v>
      </c>
      <c r="C124" s="19" t="str">
        <f aca="false">IFERROR(INDEX('قائمة الوحدات'!$B$2:$B$41,MATCH($B124,'قائمة الوحدات'!$A$2:$A$41,0)),"")</f>
        <v>EXE</v>
      </c>
      <c r="D124" s="18" t="str">
        <f aca="false">IFERROR(INDEX('قائمة الوحدات'!$C$2:$C$41,MATCH($B124,'قائمة الوحدات'!$A$2:$A$41,0)),"")</f>
        <v>الشؤون التنفيذية</v>
      </c>
      <c r="E124" s="18" t="str">
        <f aca="false">IFERROR(INDEX('قائمة الوحدات'!$D$2:$D$41,MATCH($B124,'قائمة الوحدات'!$A$2:$A$41,0)),"")</f>
        <v>وكالة الشؤون الفنية</v>
      </c>
      <c r="F124" s="18" t="str">
        <f aca="false">IFERROR(INDEX('قائمة الوحدات'!$F$2:$F$41,MATCH($B124,'قائمة الوحدات'!$A$2:$A$41,0)),"")</f>
        <v>الإدارة العامة للسلامة والبيئة</v>
      </c>
      <c r="G124" s="20" t="s">
        <v>44</v>
      </c>
      <c r="H124" s="18" t="str">
        <f aca="false">IFERROR(INDEX(المرجع!$A$2:$A$19,MATCH($G124,المرجع!$B$2:$B$19,0)),"")</f>
        <v>التصميم</v>
      </c>
      <c r="I124" s="20" t="s">
        <v>49</v>
      </c>
      <c r="J124" s="18" t="str">
        <f aca="false">IFERROR(INDEX(المرجع!$D$2:$D$19,MATCH($I124,المرجع!$E$2:$E$19,0)),"")</f>
        <v>الأهداف ومؤشرات الأداء</v>
      </c>
      <c r="K124" s="20" t="s">
        <v>80</v>
      </c>
      <c r="L124" s="21" t="str">
        <f aca="false">IFERROR(INDEX('نقاط التحقق'!$G$2:$G$31,MATCH($K124,'نقاط التحقق'!$A$2:$A$31,0))&amp;"","")</f>
        <v>مؤشرات أداء الوحدة التنظيمية</v>
      </c>
      <c r="M124" s="18" t="str">
        <f aca="false">IFERROR(INDEX('نقاط التحقق'!$H$2:$H$31,MATCH($K124,'نقاط التحقق'!$A$2:$A$31,0))&amp;"","")</f>
        <v/>
      </c>
      <c r="N124" s="17" t="n">
        <v>95</v>
      </c>
      <c r="O124" s="17" t="n">
        <v>100</v>
      </c>
      <c r="P124" s="19" t="str">
        <f aca="false">IF($N124="","غير مقيّمة",IF($N124&gt;المرجع!$K$3,"مستوفاة بشكل متقدم",IF($N124&lt;=المرجع!$K$2,"مستوفاة بشكل أولي","مستوفاة بشكل جزئي")))</f>
        <v>مستوفاة بشكل متقدم</v>
      </c>
      <c r="Q124" s="22"/>
    </row>
    <row r="125" customFormat="false" ht="15" hidden="false" customHeight="true" outlineLevel="0" collapsed="false">
      <c r="A125" s="20" t="s">
        <v>518</v>
      </c>
      <c r="B125" s="20" t="s">
        <v>172</v>
      </c>
      <c r="C125" s="19" t="str">
        <f aca="false">IFERROR(INDEX('قائمة الوحدات'!$B$2:$B$41,MATCH($B125,'قائمة الوحدات'!$A$2:$A$41,0)),"")</f>
        <v>EXE</v>
      </c>
      <c r="D125" s="18" t="str">
        <f aca="false">IFERROR(INDEX('قائمة الوحدات'!$C$2:$C$41,MATCH($B125,'قائمة الوحدات'!$A$2:$A$41,0)),"")</f>
        <v>الشؤون التنفيذية</v>
      </c>
      <c r="E125" s="18" t="str">
        <f aca="false">IFERROR(INDEX('قائمة الوحدات'!$D$2:$D$41,MATCH($B125,'قائمة الوحدات'!$A$2:$A$41,0)),"")</f>
        <v>وكالة الشؤون الفنية</v>
      </c>
      <c r="F125" s="18" t="str">
        <f aca="false">IFERROR(INDEX('قائمة الوحدات'!$F$2:$F$41,MATCH($B125,'قائمة الوحدات'!$A$2:$A$41,0)),"")</f>
        <v>الإدارة العامة للسلامة والبيئة</v>
      </c>
      <c r="G125" s="20" t="s">
        <v>44</v>
      </c>
      <c r="H125" s="18" t="str">
        <f aca="false">IFERROR(INDEX(المرجع!$A$2:$A$19,MATCH($G125,المرجع!$B$2:$B$19,0)),"")</f>
        <v>التصميم</v>
      </c>
      <c r="I125" s="20" t="s">
        <v>52</v>
      </c>
      <c r="J125" s="18" t="str">
        <f aca="false">IFERROR(INDEX(المرجع!$D$2:$D$19,MATCH($I125,المرجع!$E$2:$E$19,0)),"")</f>
        <v>الحوكمة</v>
      </c>
      <c r="K125" s="20" t="s">
        <v>82</v>
      </c>
      <c r="L125" s="21" t="str">
        <f aca="false">IFERROR(INDEX('نقاط التحقق'!$G$2:$G$31,MATCH($K125,'نقاط التحقق'!$A$2:$A$31,0))&amp;"","")</f>
        <v>تفصيل القرارات ومصفوفة الصلاحيات واللجان ذات العلاقة لاعتماد مخرجات الوحدة التنظيمية</v>
      </c>
      <c r="M125" s="18" t="str">
        <f aca="false">IFERROR(INDEX('نقاط التحقق'!$H$2:$H$31,MATCH($K125,'نقاط التحقق'!$A$2:$A$31,0))&amp;"","")</f>
        <v/>
      </c>
      <c r="N125" s="17" t="n">
        <v>98</v>
      </c>
      <c r="O125" s="17" t="n">
        <v>98</v>
      </c>
      <c r="P125" s="19" t="str">
        <f aca="false">IF($N125="","غير مقيّمة",IF($N125&gt;المرجع!$K$3,"مستوفاة بشكل متقدم",IF($N125&lt;=المرجع!$K$2,"مستوفاة بشكل أولي","مستوفاة بشكل جزئي")))</f>
        <v>مستوفاة بشكل متقدم</v>
      </c>
      <c r="Q125" s="22"/>
    </row>
    <row r="126" customFormat="false" ht="15" hidden="false" customHeight="true" outlineLevel="0" collapsed="false">
      <c r="A126" s="20" t="s">
        <v>519</v>
      </c>
      <c r="B126" s="20" t="s">
        <v>172</v>
      </c>
      <c r="C126" s="19" t="str">
        <f aca="false">IFERROR(INDEX('قائمة الوحدات'!$B$2:$B$41,MATCH($B126,'قائمة الوحدات'!$A$2:$A$41,0)),"")</f>
        <v>EXE</v>
      </c>
      <c r="D126" s="18" t="str">
        <f aca="false">IFERROR(INDEX('قائمة الوحدات'!$C$2:$C$41,MATCH($B126,'قائمة الوحدات'!$A$2:$A$41,0)),"")</f>
        <v>الشؤون التنفيذية</v>
      </c>
      <c r="E126" s="18" t="str">
        <f aca="false">IFERROR(INDEX('قائمة الوحدات'!$D$2:$D$41,MATCH($B126,'قائمة الوحدات'!$A$2:$A$41,0)),"")</f>
        <v>وكالة الشؤون الفنية</v>
      </c>
      <c r="F126" s="18" t="str">
        <f aca="false">IFERROR(INDEX('قائمة الوحدات'!$F$2:$F$41,MATCH($B126,'قائمة الوحدات'!$A$2:$A$41,0)),"")</f>
        <v>الإدارة العامة للسلامة والبيئة</v>
      </c>
      <c r="G126" s="20" t="s">
        <v>44</v>
      </c>
      <c r="H126" s="18" t="str">
        <f aca="false">IFERROR(INDEX(المرجع!$A$2:$A$19,MATCH($G126,المرجع!$B$2:$B$19,0)),"")</f>
        <v>التصميم</v>
      </c>
      <c r="I126" s="20" t="s">
        <v>55</v>
      </c>
      <c r="J126" s="18" t="str">
        <f aca="false">IFERROR(INDEX(المرجع!$D$2:$D$19,MATCH($I126,المرجع!$E$2:$E$19,0)),"")</f>
        <v>التنظيم</v>
      </c>
      <c r="K126" s="20" t="s">
        <v>84</v>
      </c>
      <c r="L126" s="21" t="str">
        <f aca="false">IFERROR(INDEX('نقاط التحقق'!$G$2:$G$31,MATCH($K126,'نقاط التحقق'!$A$2:$A$31,0))&amp;"","")</f>
        <v>تطوير الأدوار والمسؤوليات للوحدة التنظيمية وتفصيل الهيكل التنظيمي</v>
      </c>
      <c r="M126" s="18" t="str">
        <f aca="false">IFERROR(INDEX('نقاط التحقق'!$H$2:$H$31,MATCH($K126,'نقاط التحقق'!$A$2:$A$31,0))&amp;"","")</f>
        <v/>
      </c>
      <c r="N126" s="17" t="n">
        <v>89</v>
      </c>
      <c r="O126" s="17" t="n">
        <v>100</v>
      </c>
      <c r="P126" s="19" t="str">
        <f aca="false">IF($N126="","غير مقيّمة",IF($N126&gt;المرجع!$K$3,"مستوفاة بشكل متقدم",IF($N126&lt;=المرجع!$K$2,"مستوفاة بشكل أولي","مستوفاة بشكل جزئي")))</f>
        <v>مستوفاة بشكل متقدم</v>
      </c>
      <c r="Q126" s="22"/>
    </row>
    <row r="127" customFormat="false" ht="15" hidden="false" customHeight="true" outlineLevel="0" collapsed="false">
      <c r="A127" s="20" t="s">
        <v>520</v>
      </c>
      <c r="B127" s="20" t="s">
        <v>172</v>
      </c>
      <c r="C127" s="19" t="str">
        <f aca="false">IFERROR(INDEX('قائمة الوحدات'!$B$2:$B$41,MATCH($B127,'قائمة الوحدات'!$A$2:$A$41,0)),"")</f>
        <v>EXE</v>
      </c>
      <c r="D127" s="18" t="str">
        <f aca="false">IFERROR(INDEX('قائمة الوحدات'!$C$2:$C$41,MATCH($B127,'قائمة الوحدات'!$A$2:$A$41,0)),"")</f>
        <v>الشؤون التنفيذية</v>
      </c>
      <c r="E127" s="18" t="str">
        <f aca="false">IFERROR(INDEX('قائمة الوحدات'!$D$2:$D$41,MATCH($B127,'قائمة الوحدات'!$A$2:$A$41,0)),"")</f>
        <v>وكالة الشؤون الفنية</v>
      </c>
      <c r="F127" s="18" t="str">
        <f aca="false">IFERROR(INDEX('قائمة الوحدات'!$F$2:$F$41,MATCH($B127,'قائمة الوحدات'!$A$2:$A$41,0)),"")</f>
        <v>الإدارة العامة للسلامة والبيئة</v>
      </c>
      <c r="G127" s="20" t="s">
        <v>44</v>
      </c>
      <c r="H127" s="18" t="str">
        <f aca="false">IFERROR(INDEX(المرجع!$A$2:$A$19,MATCH($G127,المرجع!$B$2:$B$19,0)),"")</f>
        <v>التصميم</v>
      </c>
      <c r="I127" s="20" t="s">
        <v>57</v>
      </c>
      <c r="J127" s="18" t="str">
        <f aca="false">IFERROR(INDEX(المرجع!$D$2:$D$19,MATCH($I127,المرجع!$E$2:$E$19,0)),"")</f>
        <v>الموارد</v>
      </c>
      <c r="K127" s="20" t="s">
        <v>86</v>
      </c>
      <c r="L127" s="21" t="str">
        <f aca="false">IFERROR(INDEX('نقاط التحقق'!$G$2:$G$31,MATCH($K127,'نقاط التحقق'!$A$2:$A$31,0))&amp;"","")</f>
        <v>تفصيل احتياج الموارد البشرية للوحدة التنظيمية</v>
      </c>
      <c r="M127" s="18" t="str">
        <f aca="false">IFERROR(INDEX('نقاط التحقق'!$H$2:$H$31,MATCH($K127,'نقاط التحقق'!$A$2:$A$31,0))&amp;"","")</f>
        <v/>
      </c>
      <c r="N127" s="17" t="n">
        <v>92</v>
      </c>
      <c r="O127" s="17" t="n">
        <v>92</v>
      </c>
      <c r="P127" s="19" t="str">
        <f aca="false">IF($N127="","غير مقيّمة",IF($N127&gt;المرجع!$K$3,"مستوفاة بشكل متقدم",IF($N127&lt;=المرجع!$K$2,"مستوفاة بشكل أولي","مستوفاة بشكل جزئي")))</f>
        <v>مستوفاة بشكل متقدم</v>
      </c>
      <c r="Q127" s="22"/>
    </row>
    <row r="128" customFormat="false" ht="15" hidden="false" customHeight="true" outlineLevel="0" collapsed="false">
      <c r="A128" s="20" t="s">
        <v>521</v>
      </c>
      <c r="B128" s="20" t="s">
        <v>172</v>
      </c>
      <c r="C128" s="19" t="str">
        <f aca="false">IFERROR(INDEX('قائمة الوحدات'!$B$2:$B$41,MATCH($B128,'قائمة الوحدات'!$A$2:$A$41,0)),"")</f>
        <v>EXE</v>
      </c>
      <c r="D128" s="18" t="str">
        <f aca="false">IFERROR(INDEX('قائمة الوحدات'!$C$2:$C$41,MATCH($B128,'قائمة الوحدات'!$A$2:$A$41,0)),"")</f>
        <v>الشؤون التنفيذية</v>
      </c>
      <c r="E128" s="18" t="str">
        <f aca="false">IFERROR(INDEX('قائمة الوحدات'!$D$2:$D$41,MATCH($B128,'قائمة الوحدات'!$A$2:$A$41,0)),"")</f>
        <v>وكالة الشؤون الفنية</v>
      </c>
      <c r="F128" s="18" t="str">
        <f aca="false">IFERROR(INDEX('قائمة الوحدات'!$F$2:$F$41,MATCH($B128,'قائمة الوحدات'!$A$2:$A$41,0)),"")</f>
        <v>الإدارة العامة للسلامة والبيئة</v>
      </c>
      <c r="G128" s="20" t="s">
        <v>44</v>
      </c>
      <c r="H128" s="18" t="str">
        <f aca="false">IFERROR(INDEX(المرجع!$A$2:$A$19,MATCH($G128,المرجع!$B$2:$B$19,0)),"")</f>
        <v>التصميم</v>
      </c>
      <c r="I128" s="20" t="s">
        <v>60</v>
      </c>
      <c r="J128" s="18" t="str">
        <f aca="false">IFERROR(INDEX(المرجع!$D$2:$D$19,MATCH($I128,المرجع!$E$2:$E$19,0)),"")</f>
        <v>الإجراءات</v>
      </c>
      <c r="K128" s="20" t="s">
        <v>88</v>
      </c>
      <c r="L128" s="21" t="str">
        <f aca="false">IFERROR(INDEX('نقاط التحقق'!$G$2:$G$31,MATCH($K128,'نقاط التحقق'!$A$2:$A$31,0))&amp;"","")</f>
        <v>تفصيل المخرجات إلى إجراءات عالية المستوى</v>
      </c>
      <c r="M128" s="18" t="str">
        <f aca="false">IFERROR(INDEX('نقاط التحقق'!$H$2:$H$31,MATCH($K128,'نقاط التحقق'!$A$2:$A$31,0))&amp;"","")</f>
        <v/>
      </c>
      <c r="N128" s="17" t="n">
        <v>79</v>
      </c>
      <c r="O128" s="17" t="n">
        <v>85</v>
      </c>
      <c r="P128" s="19" t="str">
        <f aca="false">IF($N128="","غير مقيّمة",IF($N128&gt;المرجع!$K$3,"مستوفاة بشكل متقدم",IF($N128&lt;=المرجع!$K$2,"مستوفاة بشكل أولي","مستوفاة بشكل جزئي")))</f>
        <v>مستوفاة بشكل متقدم</v>
      </c>
      <c r="Q128" s="22"/>
    </row>
    <row r="129" customFormat="false" ht="15" hidden="false" customHeight="true" outlineLevel="0" collapsed="false">
      <c r="A129" s="20" t="s">
        <v>522</v>
      </c>
      <c r="B129" s="20" t="s">
        <v>172</v>
      </c>
      <c r="C129" s="19" t="str">
        <f aca="false">IFERROR(INDEX('قائمة الوحدات'!$B$2:$B$41,MATCH($B129,'قائمة الوحدات'!$A$2:$A$41,0)),"")</f>
        <v>EXE</v>
      </c>
      <c r="D129" s="18" t="str">
        <f aca="false">IFERROR(INDEX('قائمة الوحدات'!$C$2:$C$41,MATCH($B129,'قائمة الوحدات'!$A$2:$A$41,0)),"")</f>
        <v>الشؤون التنفيذية</v>
      </c>
      <c r="E129" s="18" t="str">
        <f aca="false">IFERROR(INDEX('قائمة الوحدات'!$D$2:$D$41,MATCH($B129,'قائمة الوحدات'!$A$2:$A$41,0)),"")</f>
        <v>وكالة الشؤون الفنية</v>
      </c>
      <c r="F129" s="18" t="str">
        <f aca="false">IFERROR(INDEX('قائمة الوحدات'!$F$2:$F$41,MATCH($B129,'قائمة الوحدات'!$A$2:$A$41,0)),"")</f>
        <v>الإدارة العامة للسلامة والبيئة</v>
      </c>
      <c r="G129" s="20" t="s">
        <v>62</v>
      </c>
      <c r="H129" s="18" t="str">
        <f aca="false">IFERROR(INDEX(المرجع!$A$2:$A$19,MATCH($G129,المرجع!$B$2:$B$19,0)),"")</f>
        <v>البناء المؤسسي</v>
      </c>
      <c r="I129" s="20" t="s">
        <v>46</v>
      </c>
      <c r="J129" s="18" t="str">
        <f aca="false">IFERROR(INDEX(المرجع!$D$2:$D$19,MATCH($I129,المرجع!$E$2:$E$19,0)),"")</f>
        <v>الدور</v>
      </c>
      <c r="K129" s="20" t="s">
        <v>90</v>
      </c>
      <c r="L129" s="21" t="str">
        <f aca="false">IFERROR(INDEX('نقاط التحقق'!$G$2:$G$31,MATCH($K129,'نقاط التحقق'!$A$2:$A$31,0))&amp;"","")</f>
        <v>دور معتمد للوحدة التنظيمية</v>
      </c>
      <c r="M129" s="18" t="str">
        <f aca="false">IFERROR(INDEX('نقاط التحقق'!$H$2:$H$31,MATCH($K129,'نقاط التحقق'!$A$2:$A$31,0))&amp;"","")</f>
        <v/>
      </c>
      <c r="N129" s="17" t="n">
        <v>65</v>
      </c>
      <c r="O129" s="17" t="n">
        <v>100</v>
      </c>
      <c r="P129" s="19" t="str">
        <f aca="false">IF($N129="","غير مقيّمة",IF($N129&gt;المرجع!$K$3,"مستوفاة بشكل متقدم",IF($N129&lt;=المرجع!$K$2,"مستوفاة بشكل أولي","مستوفاة بشكل جزئي")))</f>
        <v>مستوفاة بشكل جزئي</v>
      </c>
      <c r="Q129" s="22"/>
    </row>
    <row r="130" customFormat="false" ht="15" hidden="false" customHeight="true" outlineLevel="0" collapsed="false">
      <c r="A130" s="20" t="s">
        <v>523</v>
      </c>
      <c r="B130" s="20" t="s">
        <v>172</v>
      </c>
      <c r="C130" s="19" t="str">
        <f aca="false">IFERROR(INDEX('قائمة الوحدات'!$B$2:$B$41,MATCH($B130,'قائمة الوحدات'!$A$2:$A$41,0)),"")</f>
        <v>EXE</v>
      </c>
      <c r="D130" s="18" t="str">
        <f aca="false">IFERROR(INDEX('قائمة الوحدات'!$C$2:$C$41,MATCH($B130,'قائمة الوحدات'!$A$2:$A$41,0)),"")</f>
        <v>الشؤون التنفيذية</v>
      </c>
      <c r="E130" s="18" t="str">
        <f aca="false">IFERROR(INDEX('قائمة الوحدات'!$D$2:$D$41,MATCH($B130,'قائمة الوحدات'!$A$2:$A$41,0)),"")</f>
        <v>وكالة الشؤون الفنية</v>
      </c>
      <c r="F130" s="18" t="str">
        <f aca="false">IFERROR(INDEX('قائمة الوحدات'!$F$2:$F$41,MATCH($B130,'قائمة الوحدات'!$A$2:$A$41,0)),"")</f>
        <v>الإدارة العامة للسلامة والبيئة</v>
      </c>
      <c r="G130" s="20" t="s">
        <v>62</v>
      </c>
      <c r="H130" s="18" t="str">
        <f aca="false">IFERROR(INDEX(المرجع!$A$2:$A$19,MATCH($G130,المرجع!$B$2:$B$19,0)),"")</f>
        <v>البناء المؤسسي</v>
      </c>
      <c r="I130" s="20" t="s">
        <v>49</v>
      </c>
      <c r="J130" s="18" t="str">
        <f aca="false">IFERROR(INDEX(المرجع!$D$2:$D$19,MATCH($I130,المرجع!$E$2:$E$19,0)),"")</f>
        <v>الأهداف ومؤشرات الأداء</v>
      </c>
      <c r="K130" s="20" t="s">
        <v>92</v>
      </c>
      <c r="L130" s="21" t="str">
        <f aca="false">IFERROR(INDEX('نقاط التحقق'!$G$2:$G$31,MATCH($K130,'نقاط التحقق'!$A$2:$A$31,0))&amp;"","")</f>
        <v>أهداف تشغيلية معتمدة من صاحب الصلاحية</v>
      </c>
      <c r="M130" s="18" t="str">
        <f aca="false">IFERROR(INDEX('نقاط التحقق'!$H$2:$H$31,MATCH($K130,'نقاط التحقق'!$A$2:$A$31,0))&amp;"","")</f>
        <v/>
      </c>
      <c r="N130" s="17" t="n">
        <v>65</v>
      </c>
      <c r="O130" s="17" t="n">
        <v>90</v>
      </c>
      <c r="P130" s="19" t="str">
        <f aca="false">IF($N130="","غير مقيّمة",IF($N130&gt;المرجع!$K$3,"مستوفاة بشكل متقدم",IF($N130&lt;=المرجع!$K$2,"مستوفاة بشكل أولي","مستوفاة بشكل جزئي")))</f>
        <v>مستوفاة بشكل جزئي</v>
      </c>
      <c r="Q130" s="22"/>
    </row>
    <row r="131" customFormat="false" ht="15" hidden="false" customHeight="true" outlineLevel="0" collapsed="false">
      <c r="A131" s="20" t="s">
        <v>524</v>
      </c>
      <c r="B131" s="20" t="s">
        <v>172</v>
      </c>
      <c r="C131" s="19" t="str">
        <f aca="false">IFERROR(INDEX('قائمة الوحدات'!$B$2:$B$41,MATCH($B131,'قائمة الوحدات'!$A$2:$A$41,0)),"")</f>
        <v>EXE</v>
      </c>
      <c r="D131" s="18" t="str">
        <f aca="false">IFERROR(INDEX('قائمة الوحدات'!$C$2:$C$41,MATCH($B131,'قائمة الوحدات'!$A$2:$A$41,0)),"")</f>
        <v>الشؤون التنفيذية</v>
      </c>
      <c r="E131" s="18" t="str">
        <f aca="false">IFERROR(INDEX('قائمة الوحدات'!$D$2:$D$41,MATCH($B131,'قائمة الوحدات'!$A$2:$A$41,0)),"")</f>
        <v>وكالة الشؤون الفنية</v>
      </c>
      <c r="F131" s="18" t="str">
        <f aca="false">IFERROR(INDEX('قائمة الوحدات'!$F$2:$F$41,MATCH($B131,'قائمة الوحدات'!$A$2:$A$41,0)),"")</f>
        <v>الإدارة العامة للسلامة والبيئة</v>
      </c>
      <c r="G131" s="20" t="s">
        <v>62</v>
      </c>
      <c r="H131" s="18" t="str">
        <f aca="false">IFERROR(INDEX(المرجع!$A$2:$A$19,MATCH($G131,المرجع!$B$2:$B$19,0)),"")</f>
        <v>البناء المؤسسي</v>
      </c>
      <c r="I131" s="20" t="s">
        <v>49</v>
      </c>
      <c r="J131" s="18" t="str">
        <f aca="false">IFERROR(INDEX(المرجع!$D$2:$D$19,MATCH($I131,المرجع!$E$2:$E$19,0)),"")</f>
        <v>الأهداف ومؤشرات الأداء</v>
      </c>
      <c r="K131" s="20" t="s">
        <v>94</v>
      </c>
      <c r="L131" s="21" t="str">
        <f aca="false">IFERROR(INDEX('نقاط التحقق'!$G$2:$G$31,MATCH($K131,'نقاط التحقق'!$A$2:$A$31,0))&amp;"","")</f>
        <v>نشر الأهداف التشغيلية على موظفي الوحدة التنظيمية</v>
      </c>
      <c r="M131" s="18" t="str">
        <f aca="false">IFERROR(INDEX('نقاط التحقق'!$H$2:$H$31,MATCH($K131,'نقاط التحقق'!$A$2:$A$31,0))&amp;"","")</f>
        <v/>
      </c>
      <c r="N131" s="17" t="n">
        <v>70</v>
      </c>
      <c r="O131" s="17" t="n">
        <v>85</v>
      </c>
      <c r="P131" s="19" t="str">
        <f aca="false">IF($N131="","غير مقيّمة",IF($N131&gt;المرجع!$K$3,"مستوفاة بشكل متقدم",IF($N131&lt;=المرجع!$K$2,"مستوفاة بشكل أولي","مستوفاة بشكل جزئي")))</f>
        <v>مستوفاة بشكل جزئي</v>
      </c>
      <c r="Q131" s="22"/>
    </row>
    <row r="132" customFormat="false" ht="15" hidden="false" customHeight="true" outlineLevel="0" collapsed="false">
      <c r="A132" s="20" t="s">
        <v>525</v>
      </c>
      <c r="B132" s="20" t="s">
        <v>172</v>
      </c>
      <c r="C132" s="19" t="str">
        <f aca="false">IFERROR(INDEX('قائمة الوحدات'!$B$2:$B$41,MATCH($B132,'قائمة الوحدات'!$A$2:$A$41,0)),"")</f>
        <v>EXE</v>
      </c>
      <c r="D132" s="18" t="str">
        <f aca="false">IFERROR(INDEX('قائمة الوحدات'!$C$2:$C$41,MATCH($B132,'قائمة الوحدات'!$A$2:$A$41,0)),"")</f>
        <v>الشؤون التنفيذية</v>
      </c>
      <c r="E132" s="18" t="str">
        <f aca="false">IFERROR(INDEX('قائمة الوحدات'!$D$2:$D$41,MATCH($B132,'قائمة الوحدات'!$A$2:$A$41,0)),"")</f>
        <v>وكالة الشؤون الفنية</v>
      </c>
      <c r="F132" s="18" t="str">
        <f aca="false">IFERROR(INDEX('قائمة الوحدات'!$F$2:$F$41,MATCH($B132,'قائمة الوحدات'!$A$2:$A$41,0)),"")</f>
        <v>الإدارة العامة للسلامة والبيئة</v>
      </c>
      <c r="G132" s="20" t="s">
        <v>62</v>
      </c>
      <c r="H132" s="18" t="str">
        <f aca="false">IFERROR(INDEX(المرجع!$A$2:$A$19,MATCH($G132,المرجع!$B$2:$B$19,0)),"")</f>
        <v>البناء المؤسسي</v>
      </c>
      <c r="I132" s="20" t="s">
        <v>52</v>
      </c>
      <c r="J132" s="18" t="str">
        <f aca="false">IFERROR(INDEX(المرجع!$D$2:$D$19,MATCH($I132,المرجع!$E$2:$E$19,0)),"")</f>
        <v>الحوكمة</v>
      </c>
      <c r="K132" s="20" t="s">
        <v>96</v>
      </c>
      <c r="L132" s="21" t="str">
        <f aca="false">IFERROR(INDEX('نقاط التحقق'!$G$2:$G$31,MATCH($K132,'نقاط التحقق'!$A$2:$A$31,0))&amp;"","")</f>
        <v>مصفوفة صلاحيات معتمدة ومعممة على أصحاب المصلحة</v>
      </c>
      <c r="M132" s="18" t="str">
        <f aca="false">IFERROR(INDEX('نقاط التحقق'!$H$2:$H$31,MATCH($K132,'نقاط التحقق'!$A$2:$A$31,0))&amp;"","")</f>
        <v/>
      </c>
      <c r="N132" s="17" t="n">
        <v>60</v>
      </c>
      <c r="O132" s="17" t="n">
        <v>100</v>
      </c>
      <c r="P132" s="19" t="str">
        <f aca="false">IF($N132="","غير مقيّمة",IF($N132&gt;المرجع!$K$3,"مستوفاة بشكل متقدم",IF($N132&lt;=المرجع!$K$2,"مستوفاة بشكل أولي","مستوفاة بشكل جزئي")))</f>
        <v>مستوفاة بشكل جزئي</v>
      </c>
      <c r="Q132" s="22"/>
    </row>
    <row r="133" customFormat="false" ht="15" hidden="false" customHeight="true" outlineLevel="0" collapsed="false">
      <c r="A133" s="20" t="s">
        <v>526</v>
      </c>
      <c r="B133" s="20" t="s">
        <v>172</v>
      </c>
      <c r="C133" s="19" t="str">
        <f aca="false">IFERROR(INDEX('قائمة الوحدات'!$B$2:$B$41,MATCH($B133,'قائمة الوحدات'!$A$2:$A$41,0)),"")</f>
        <v>EXE</v>
      </c>
      <c r="D133" s="18" t="str">
        <f aca="false">IFERROR(INDEX('قائمة الوحدات'!$C$2:$C$41,MATCH($B133,'قائمة الوحدات'!$A$2:$A$41,0)),"")</f>
        <v>الشؤون التنفيذية</v>
      </c>
      <c r="E133" s="18" t="str">
        <f aca="false">IFERROR(INDEX('قائمة الوحدات'!$D$2:$D$41,MATCH($B133,'قائمة الوحدات'!$A$2:$A$41,0)),"")</f>
        <v>وكالة الشؤون الفنية</v>
      </c>
      <c r="F133" s="18" t="str">
        <f aca="false">IFERROR(INDEX('قائمة الوحدات'!$F$2:$F$41,MATCH($B133,'قائمة الوحدات'!$A$2:$A$41,0)),"")</f>
        <v>الإدارة العامة للسلامة والبيئة</v>
      </c>
      <c r="G133" s="20" t="s">
        <v>62</v>
      </c>
      <c r="H133" s="18" t="str">
        <f aca="false">IFERROR(INDEX(المرجع!$A$2:$A$19,MATCH($G133,المرجع!$B$2:$B$19,0)),"")</f>
        <v>البناء المؤسسي</v>
      </c>
      <c r="I133" s="20" t="s">
        <v>52</v>
      </c>
      <c r="J133" s="18" t="str">
        <f aca="false">IFERROR(INDEX(المرجع!$D$2:$D$19,MATCH($I133,المرجع!$E$2:$E$19,0)),"")</f>
        <v>الحوكمة</v>
      </c>
      <c r="K133" s="20" t="s">
        <v>98</v>
      </c>
      <c r="L133" s="21" t="str">
        <f aca="false">IFERROR(INDEX('نقاط التحقق'!$G$2:$G$31,MATCH($K133,'نقاط التحقق'!$A$2:$A$31,0))&amp;"","")</f>
        <v>سياسات معتمدة للتي تملكها الوحدة التنظيمية</v>
      </c>
      <c r="M133" s="18" t="str">
        <f aca="false">IFERROR(INDEX('نقاط التحقق'!$H$2:$H$31,MATCH($K133,'نقاط التحقق'!$A$2:$A$31,0))&amp;"","")</f>
        <v/>
      </c>
      <c r="N133" s="17" t="n">
        <v>90</v>
      </c>
      <c r="O133" s="17" t="n">
        <v>100</v>
      </c>
      <c r="P133" s="19" t="str">
        <f aca="false">IF($N133="","غير مقيّمة",IF($N133&gt;المرجع!$K$3,"مستوفاة بشكل متقدم",IF($N133&lt;=المرجع!$K$2,"مستوفاة بشكل أولي","مستوفاة بشكل جزئي")))</f>
        <v>مستوفاة بشكل متقدم</v>
      </c>
      <c r="Q133" s="22"/>
    </row>
    <row r="134" customFormat="false" ht="15" hidden="false" customHeight="true" outlineLevel="0" collapsed="false">
      <c r="A134" s="20" t="s">
        <v>527</v>
      </c>
      <c r="B134" s="20" t="s">
        <v>172</v>
      </c>
      <c r="C134" s="19" t="str">
        <f aca="false">IFERROR(INDEX('قائمة الوحدات'!$B$2:$B$41,MATCH($B134,'قائمة الوحدات'!$A$2:$A$41,0)),"")</f>
        <v>EXE</v>
      </c>
      <c r="D134" s="18" t="str">
        <f aca="false">IFERROR(INDEX('قائمة الوحدات'!$C$2:$C$41,MATCH($B134,'قائمة الوحدات'!$A$2:$A$41,0)),"")</f>
        <v>الشؤون التنفيذية</v>
      </c>
      <c r="E134" s="18" t="str">
        <f aca="false">IFERROR(INDEX('قائمة الوحدات'!$D$2:$D$41,MATCH($B134,'قائمة الوحدات'!$A$2:$A$41,0)),"")</f>
        <v>وكالة الشؤون الفنية</v>
      </c>
      <c r="F134" s="18" t="str">
        <f aca="false">IFERROR(INDEX('قائمة الوحدات'!$F$2:$F$41,MATCH($B134,'قائمة الوحدات'!$A$2:$A$41,0)),"")</f>
        <v>الإدارة العامة للسلامة والبيئة</v>
      </c>
      <c r="G134" s="20" t="s">
        <v>62</v>
      </c>
      <c r="H134" s="18" t="str">
        <f aca="false">IFERROR(INDEX(المرجع!$A$2:$A$19,MATCH($G134,المرجع!$B$2:$B$19,0)),"")</f>
        <v>البناء المؤسسي</v>
      </c>
      <c r="I134" s="20" t="s">
        <v>52</v>
      </c>
      <c r="J134" s="18" t="str">
        <f aca="false">IFERROR(INDEX(المرجع!$D$2:$D$19,MATCH($I134,المرجع!$E$2:$E$19,0)),"")</f>
        <v>الحوكمة</v>
      </c>
      <c r="K134" s="20" t="s">
        <v>100</v>
      </c>
      <c r="L134" s="21" t="str">
        <f aca="false">IFERROR(INDEX('نقاط التحقق'!$G$2:$G$31,MATCH($K134,'نقاط التحقق'!$A$2:$A$31,0))&amp;"","")</f>
        <v>قرار تشكيل معتمد للجان ذات العلاقة</v>
      </c>
      <c r="M134" s="18" t="str">
        <f aca="false">IFERROR(INDEX('نقاط التحقق'!$H$2:$H$31,MATCH($K134,'نقاط التحقق'!$A$2:$A$31,0))&amp;"","")</f>
        <v/>
      </c>
      <c r="N134" s="17" t="n">
        <v>80</v>
      </c>
      <c r="O134" s="17" t="n">
        <v>80</v>
      </c>
      <c r="P134" s="19" t="str">
        <f aca="false">IF($N134="","غير مقيّمة",IF($N134&gt;المرجع!$K$3,"مستوفاة بشكل متقدم",IF($N134&lt;=المرجع!$K$2,"مستوفاة بشكل أولي","مستوفاة بشكل جزئي")))</f>
        <v>مستوفاة بشكل متقدم</v>
      </c>
      <c r="Q134" s="22"/>
    </row>
    <row r="135" customFormat="false" ht="15" hidden="false" customHeight="true" outlineLevel="0" collapsed="false">
      <c r="A135" s="20" t="s">
        <v>528</v>
      </c>
      <c r="B135" s="20" t="s">
        <v>172</v>
      </c>
      <c r="C135" s="19" t="str">
        <f aca="false">IFERROR(INDEX('قائمة الوحدات'!$B$2:$B$41,MATCH($B135,'قائمة الوحدات'!$A$2:$A$41,0)),"")</f>
        <v>EXE</v>
      </c>
      <c r="D135" s="18" t="str">
        <f aca="false">IFERROR(INDEX('قائمة الوحدات'!$C$2:$C$41,MATCH($B135,'قائمة الوحدات'!$A$2:$A$41,0)),"")</f>
        <v>الشؤون التنفيذية</v>
      </c>
      <c r="E135" s="18" t="str">
        <f aca="false">IFERROR(INDEX('قائمة الوحدات'!$D$2:$D$41,MATCH($B135,'قائمة الوحدات'!$A$2:$A$41,0)),"")</f>
        <v>وكالة الشؤون الفنية</v>
      </c>
      <c r="F135" s="18" t="str">
        <f aca="false">IFERROR(INDEX('قائمة الوحدات'!$F$2:$F$41,MATCH($B135,'قائمة الوحدات'!$A$2:$A$41,0)),"")</f>
        <v>الإدارة العامة للسلامة والبيئة</v>
      </c>
      <c r="G135" s="20" t="s">
        <v>62</v>
      </c>
      <c r="H135" s="18" t="str">
        <f aca="false">IFERROR(INDEX(المرجع!$A$2:$A$19,MATCH($G135,المرجع!$B$2:$B$19,0)),"")</f>
        <v>البناء المؤسسي</v>
      </c>
      <c r="I135" s="20" t="s">
        <v>55</v>
      </c>
      <c r="J135" s="18" t="str">
        <f aca="false">IFERROR(INDEX(المرجع!$D$2:$D$19,MATCH($I135,المرجع!$E$2:$E$19,0)),"")</f>
        <v>التنظيم</v>
      </c>
      <c r="K135" s="20" t="s">
        <v>102</v>
      </c>
      <c r="L135" s="21" t="str">
        <f aca="false">IFERROR(INDEX('نقاط التحقق'!$G$2:$G$31,MATCH($K135,'نقاط التحقق'!$A$2:$A$31,0))&amp;"","")</f>
        <v>هيكل تنظيمي معتمد من صاحب الصلاحية</v>
      </c>
      <c r="M135" s="18" t="str">
        <f aca="false">IFERROR(INDEX('نقاط التحقق'!$H$2:$H$31,MATCH($K135,'نقاط التحقق'!$A$2:$A$31,0))&amp;"","")</f>
        <v/>
      </c>
      <c r="N135" s="17" t="n">
        <v>75</v>
      </c>
      <c r="O135" s="17" t="n">
        <v>100</v>
      </c>
      <c r="P135" s="19" t="str">
        <f aca="false">IF($N135="","غير مقيّمة",IF($N135&gt;المرجع!$K$3,"مستوفاة بشكل متقدم",IF($N135&lt;=المرجع!$K$2,"مستوفاة بشكل أولي","مستوفاة بشكل جزئي")))</f>
        <v>مستوفاة بشكل متقدم</v>
      </c>
      <c r="Q135" s="22"/>
    </row>
    <row r="136" customFormat="false" ht="15" hidden="false" customHeight="true" outlineLevel="0" collapsed="false">
      <c r="A136" s="20" t="s">
        <v>529</v>
      </c>
      <c r="B136" s="20" t="s">
        <v>172</v>
      </c>
      <c r="C136" s="19" t="str">
        <f aca="false">IFERROR(INDEX('قائمة الوحدات'!$B$2:$B$41,MATCH($B136,'قائمة الوحدات'!$A$2:$A$41,0)),"")</f>
        <v>EXE</v>
      </c>
      <c r="D136" s="18" t="str">
        <f aca="false">IFERROR(INDEX('قائمة الوحدات'!$C$2:$C$41,MATCH($B136,'قائمة الوحدات'!$A$2:$A$41,0)),"")</f>
        <v>الشؤون التنفيذية</v>
      </c>
      <c r="E136" s="18" t="str">
        <f aca="false">IFERROR(INDEX('قائمة الوحدات'!$D$2:$D$41,MATCH($B136,'قائمة الوحدات'!$A$2:$A$41,0)),"")</f>
        <v>وكالة الشؤون الفنية</v>
      </c>
      <c r="F136" s="18" t="str">
        <f aca="false">IFERROR(INDEX('قائمة الوحدات'!$F$2:$F$41,MATCH($B136,'قائمة الوحدات'!$A$2:$A$41,0)),"")</f>
        <v>الإدارة العامة للسلامة والبيئة</v>
      </c>
      <c r="G136" s="20" t="s">
        <v>62</v>
      </c>
      <c r="H136" s="18" t="str">
        <f aca="false">IFERROR(INDEX(المرجع!$A$2:$A$19,MATCH($G136,المرجع!$B$2:$B$19,0)),"")</f>
        <v>البناء المؤسسي</v>
      </c>
      <c r="I136" s="20" t="s">
        <v>55</v>
      </c>
      <c r="J136" s="18" t="str">
        <f aca="false">IFERROR(INDEX(المرجع!$D$2:$D$19,MATCH($I136,المرجع!$E$2:$E$19,0)),"")</f>
        <v>التنظيم</v>
      </c>
      <c r="K136" s="20" t="s">
        <v>104</v>
      </c>
      <c r="L136" s="21" t="str">
        <f aca="false">IFERROR(INDEX('نقاط التحقق'!$G$2:$G$31,MATCH($K136,'نقاط التحقق'!$A$2:$A$31,0))&amp;"","")</f>
        <v>هيكل تنظيمي منشأ على نظام القوى العاملة</v>
      </c>
      <c r="M136" s="18" t="str">
        <f aca="false">IFERROR(INDEX('نقاط التحقق'!$H$2:$H$31,MATCH($K136,'نقاط التحقق'!$A$2:$A$31,0))&amp;"","")</f>
        <v/>
      </c>
      <c r="N136" s="17" t="n">
        <v>85</v>
      </c>
      <c r="O136" s="17" t="n">
        <v>100</v>
      </c>
      <c r="P136" s="19" t="str">
        <f aca="false">IF($N136="","غير مقيّمة",IF($N136&gt;المرجع!$K$3,"مستوفاة بشكل متقدم",IF($N136&lt;=المرجع!$K$2,"مستوفاة بشكل أولي","مستوفاة بشكل جزئي")))</f>
        <v>مستوفاة بشكل متقدم</v>
      </c>
      <c r="Q136" s="22"/>
    </row>
    <row r="137" customFormat="false" ht="15" hidden="false" customHeight="true" outlineLevel="0" collapsed="false">
      <c r="A137" s="20" t="s">
        <v>530</v>
      </c>
      <c r="B137" s="20" t="s">
        <v>172</v>
      </c>
      <c r="C137" s="19" t="str">
        <f aca="false">IFERROR(INDEX('قائمة الوحدات'!$B$2:$B$41,MATCH($B137,'قائمة الوحدات'!$A$2:$A$41,0)),"")</f>
        <v>EXE</v>
      </c>
      <c r="D137" s="18" t="str">
        <f aca="false">IFERROR(INDEX('قائمة الوحدات'!$C$2:$C$41,MATCH($B137,'قائمة الوحدات'!$A$2:$A$41,0)),"")</f>
        <v>الشؤون التنفيذية</v>
      </c>
      <c r="E137" s="18" t="str">
        <f aca="false">IFERROR(INDEX('قائمة الوحدات'!$D$2:$D$41,MATCH($B137,'قائمة الوحدات'!$A$2:$A$41,0)),"")</f>
        <v>وكالة الشؤون الفنية</v>
      </c>
      <c r="F137" s="18" t="str">
        <f aca="false">IFERROR(INDEX('قائمة الوحدات'!$F$2:$F$41,MATCH($B137,'قائمة الوحدات'!$A$2:$A$41,0)),"")</f>
        <v>الإدارة العامة للسلامة والبيئة</v>
      </c>
      <c r="G137" s="20" t="s">
        <v>62</v>
      </c>
      <c r="H137" s="18" t="str">
        <f aca="false">IFERROR(INDEX(المرجع!$A$2:$A$19,MATCH($G137,المرجع!$B$2:$B$19,0)),"")</f>
        <v>البناء المؤسسي</v>
      </c>
      <c r="I137" s="20" t="s">
        <v>55</v>
      </c>
      <c r="J137" s="18" t="str">
        <f aca="false">IFERROR(INDEX(المرجع!$D$2:$D$19,MATCH($I137,المرجع!$E$2:$E$19,0)),"")</f>
        <v>التنظيم</v>
      </c>
      <c r="K137" s="20" t="s">
        <v>106</v>
      </c>
      <c r="L137" s="21" t="str">
        <f aca="false">IFERROR(INDEX('نقاط التحقق'!$G$2:$G$31,MATCH($K137,'نقاط التحقق'!$A$2:$A$31,0))&amp;"","")</f>
        <v>الموظفون المحددون مسكّنون على الهيكل التنظيمي المستهدف</v>
      </c>
      <c r="M137" s="18" t="str">
        <f aca="false">IFERROR(INDEX('نقاط التحقق'!$H$2:$H$31,MATCH($K137,'نقاط التحقق'!$A$2:$A$31,0))&amp;"","")</f>
        <v/>
      </c>
      <c r="N137" s="17" t="n">
        <v>70</v>
      </c>
      <c r="O137" s="17" t="n">
        <v>90</v>
      </c>
      <c r="P137" s="19" t="str">
        <f aca="false">IF($N137="","غير مقيّمة",IF($N137&gt;المرجع!$K$3,"مستوفاة بشكل متقدم",IF($N137&lt;=المرجع!$K$2,"مستوفاة بشكل أولي","مستوفاة بشكل جزئي")))</f>
        <v>مستوفاة بشكل جزئي</v>
      </c>
      <c r="Q137" s="22"/>
    </row>
    <row r="138" customFormat="false" ht="15" hidden="false" customHeight="true" outlineLevel="0" collapsed="false">
      <c r="A138" s="20" t="s">
        <v>531</v>
      </c>
      <c r="B138" s="20" t="s">
        <v>172</v>
      </c>
      <c r="C138" s="19" t="str">
        <f aca="false">IFERROR(INDEX('قائمة الوحدات'!$B$2:$B$41,MATCH($B138,'قائمة الوحدات'!$A$2:$A$41,0)),"")</f>
        <v>EXE</v>
      </c>
      <c r="D138" s="18" t="str">
        <f aca="false">IFERROR(INDEX('قائمة الوحدات'!$C$2:$C$41,MATCH($B138,'قائمة الوحدات'!$A$2:$A$41,0)),"")</f>
        <v>الشؤون التنفيذية</v>
      </c>
      <c r="E138" s="18" t="str">
        <f aca="false">IFERROR(INDEX('قائمة الوحدات'!$D$2:$D$41,MATCH($B138,'قائمة الوحدات'!$A$2:$A$41,0)),"")</f>
        <v>وكالة الشؤون الفنية</v>
      </c>
      <c r="F138" s="18" t="str">
        <f aca="false">IFERROR(INDEX('قائمة الوحدات'!$F$2:$F$41,MATCH($B138,'قائمة الوحدات'!$A$2:$A$41,0)),"")</f>
        <v>الإدارة العامة للسلامة والبيئة</v>
      </c>
      <c r="G138" s="20" t="s">
        <v>62</v>
      </c>
      <c r="H138" s="18" t="str">
        <f aca="false">IFERROR(INDEX(المرجع!$A$2:$A$19,MATCH($G138,المرجع!$B$2:$B$19,0)),"")</f>
        <v>البناء المؤسسي</v>
      </c>
      <c r="I138" s="20" t="s">
        <v>57</v>
      </c>
      <c r="J138" s="18" t="str">
        <f aca="false">IFERROR(INDEX(المرجع!$D$2:$D$19,MATCH($I138,المرجع!$E$2:$E$19,0)),"")</f>
        <v>الموارد</v>
      </c>
      <c r="K138" s="20" t="s">
        <v>108</v>
      </c>
      <c r="L138" s="21" t="str">
        <f aca="false">IFERROR(INDEX('نقاط التحقق'!$G$2:$G$31,MATCH($K138,'نقاط التحقق'!$A$2:$A$31,0))&amp;"","")</f>
        <v>مدير الوحدة التنظيمية والموظفون الرئيسيون معينون/ملحقون</v>
      </c>
      <c r="M138" s="18" t="str">
        <f aca="false">IFERROR(INDEX('نقاط التحقق'!$H$2:$H$31,MATCH($K138,'نقاط التحقق'!$A$2:$A$31,0))&amp;"","")</f>
        <v/>
      </c>
      <c r="N138" s="17" t="n">
        <v>40</v>
      </c>
      <c r="O138" s="17" t="n">
        <v>100</v>
      </c>
      <c r="P138" s="19" t="str">
        <f aca="false">IF($N138="","غير مقيّمة",IF($N138&gt;المرجع!$K$3,"مستوفاة بشكل متقدم",IF($N138&lt;=المرجع!$K$2,"مستوفاة بشكل أولي","مستوفاة بشكل جزئي")))</f>
        <v>مستوفاة بشكل جزئي</v>
      </c>
      <c r="Q138" s="22"/>
    </row>
    <row r="139" customFormat="false" ht="15" hidden="false" customHeight="true" outlineLevel="0" collapsed="false">
      <c r="A139" s="20" t="s">
        <v>532</v>
      </c>
      <c r="B139" s="20" t="s">
        <v>172</v>
      </c>
      <c r="C139" s="19" t="str">
        <f aca="false">IFERROR(INDEX('قائمة الوحدات'!$B$2:$B$41,MATCH($B139,'قائمة الوحدات'!$A$2:$A$41,0)),"")</f>
        <v>EXE</v>
      </c>
      <c r="D139" s="18" t="str">
        <f aca="false">IFERROR(INDEX('قائمة الوحدات'!$C$2:$C$41,MATCH($B139,'قائمة الوحدات'!$A$2:$A$41,0)),"")</f>
        <v>الشؤون التنفيذية</v>
      </c>
      <c r="E139" s="18" t="str">
        <f aca="false">IFERROR(INDEX('قائمة الوحدات'!$D$2:$D$41,MATCH($B139,'قائمة الوحدات'!$A$2:$A$41,0)),"")</f>
        <v>وكالة الشؤون الفنية</v>
      </c>
      <c r="F139" s="18" t="str">
        <f aca="false">IFERROR(INDEX('قائمة الوحدات'!$F$2:$F$41,MATCH($B139,'قائمة الوحدات'!$A$2:$A$41,0)),"")</f>
        <v>الإدارة العامة للسلامة والبيئة</v>
      </c>
      <c r="G139" s="20" t="s">
        <v>62</v>
      </c>
      <c r="H139" s="18" t="str">
        <f aca="false">IFERROR(INDEX(المرجع!$A$2:$A$19,MATCH($G139,المرجع!$B$2:$B$19,0)),"")</f>
        <v>البناء المؤسسي</v>
      </c>
      <c r="I139" s="20" t="s">
        <v>57</v>
      </c>
      <c r="J139" s="18" t="str">
        <f aca="false">IFERROR(INDEX(المرجع!$D$2:$D$19,MATCH($I139,المرجع!$E$2:$E$19,0)),"")</f>
        <v>الموارد</v>
      </c>
      <c r="K139" s="20" t="s">
        <v>110</v>
      </c>
      <c r="L139" s="21" t="str">
        <f aca="false">IFERROR(INDEX('نقاط التحقق'!$G$2:$G$31,MATCH($K139,'نقاط التحقق'!$A$2:$A$31,0))&amp;"","")</f>
        <v>خطة توظيف وتدريب مستكملة</v>
      </c>
      <c r="M139" s="18" t="str">
        <f aca="false">IFERROR(INDEX('نقاط التحقق'!$H$2:$H$31,MATCH($K139,'نقاط التحقق'!$A$2:$A$31,0))&amp;"","")</f>
        <v/>
      </c>
      <c r="N139" s="17" t="n">
        <v>35</v>
      </c>
      <c r="O139" s="17" t="n">
        <v>100</v>
      </c>
      <c r="P139" s="19" t="str">
        <f aca="false">IF($N139="","غير مقيّمة",IF($N139&gt;المرجع!$K$3,"مستوفاة بشكل متقدم",IF($N139&lt;=المرجع!$K$2,"مستوفاة بشكل أولي","مستوفاة بشكل جزئي")))</f>
        <v>مستوفاة بشكل جزئي</v>
      </c>
      <c r="Q139" s="22"/>
    </row>
    <row r="140" customFormat="false" ht="15" hidden="false" customHeight="true" outlineLevel="0" collapsed="false">
      <c r="A140" s="20" t="s">
        <v>533</v>
      </c>
      <c r="B140" s="20" t="s">
        <v>172</v>
      </c>
      <c r="C140" s="19" t="str">
        <f aca="false">IFERROR(INDEX('قائمة الوحدات'!$B$2:$B$41,MATCH($B140,'قائمة الوحدات'!$A$2:$A$41,0)),"")</f>
        <v>EXE</v>
      </c>
      <c r="D140" s="18" t="str">
        <f aca="false">IFERROR(INDEX('قائمة الوحدات'!$C$2:$C$41,MATCH($B140,'قائمة الوحدات'!$A$2:$A$41,0)),"")</f>
        <v>الشؤون التنفيذية</v>
      </c>
      <c r="E140" s="18" t="str">
        <f aca="false">IFERROR(INDEX('قائمة الوحدات'!$D$2:$D$41,MATCH($B140,'قائمة الوحدات'!$A$2:$A$41,0)),"")</f>
        <v>وكالة الشؤون الفنية</v>
      </c>
      <c r="F140" s="18" t="str">
        <f aca="false">IFERROR(INDEX('قائمة الوحدات'!$F$2:$F$41,MATCH($B140,'قائمة الوحدات'!$A$2:$A$41,0)),"")</f>
        <v>الإدارة العامة للسلامة والبيئة</v>
      </c>
      <c r="G140" s="20" t="s">
        <v>62</v>
      </c>
      <c r="H140" s="18" t="str">
        <f aca="false">IFERROR(INDEX(المرجع!$A$2:$A$19,MATCH($G140,المرجع!$B$2:$B$19,0)),"")</f>
        <v>البناء المؤسسي</v>
      </c>
      <c r="I140" s="20" t="s">
        <v>57</v>
      </c>
      <c r="J140" s="18" t="str">
        <f aca="false">IFERROR(INDEX(المرجع!$D$2:$D$19,MATCH($I140,المرجع!$E$2:$E$19,0)),"")</f>
        <v>الموارد</v>
      </c>
      <c r="K140" s="20" t="s">
        <v>112</v>
      </c>
      <c r="L140" s="21" t="str">
        <f aca="false">IFERROR(INDEX('نقاط التحقق'!$G$2:$G$31,MATCH($K140,'نقاط التحقق'!$A$2:$A$31,0))&amp;"","")</f>
        <v>وجود مساحات مكتبية كافية</v>
      </c>
      <c r="M140" s="18" t="str">
        <f aca="false">IFERROR(INDEX('نقاط التحقق'!$H$2:$H$31,MATCH($K140,'نقاط التحقق'!$A$2:$A$31,0))&amp;"","")</f>
        <v/>
      </c>
      <c r="N140" s="17" t="n">
        <v>50</v>
      </c>
      <c r="O140" s="17" t="n">
        <v>80</v>
      </c>
      <c r="P140" s="19" t="str">
        <f aca="false">IF($N140="","غير مقيّمة",IF($N140&gt;المرجع!$K$3,"مستوفاة بشكل متقدم",IF($N140&lt;=المرجع!$K$2,"مستوفاة بشكل أولي","مستوفاة بشكل جزئي")))</f>
        <v>مستوفاة بشكل جزئي</v>
      </c>
      <c r="Q140" s="22"/>
    </row>
    <row r="141" customFormat="false" ht="15" hidden="false" customHeight="true" outlineLevel="0" collapsed="false">
      <c r="A141" s="20" t="s">
        <v>534</v>
      </c>
      <c r="B141" s="20" t="s">
        <v>172</v>
      </c>
      <c r="C141" s="19" t="str">
        <f aca="false">IFERROR(INDEX('قائمة الوحدات'!$B$2:$B$41,MATCH($B141,'قائمة الوحدات'!$A$2:$A$41,0)),"")</f>
        <v>EXE</v>
      </c>
      <c r="D141" s="18" t="str">
        <f aca="false">IFERROR(INDEX('قائمة الوحدات'!$C$2:$C$41,MATCH($B141,'قائمة الوحدات'!$A$2:$A$41,0)),"")</f>
        <v>الشؤون التنفيذية</v>
      </c>
      <c r="E141" s="18" t="str">
        <f aca="false">IFERROR(INDEX('قائمة الوحدات'!$D$2:$D$41,MATCH($B141,'قائمة الوحدات'!$A$2:$A$41,0)),"")</f>
        <v>وكالة الشؤون الفنية</v>
      </c>
      <c r="F141" s="18" t="str">
        <f aca="false">IFERROR(INDEX('قائمة الوحدات'!$F$2:$F$41,MATCH($B141,'قائمة الوحدات'!$A$2:$A$41,0)),"")</f>
        <v>الإدارة العامة للسلامة والبيئة</v>
      </c>
      <c r="G141" s="20" t="s">
        <v>62</v>
      </c>
      <c r="H141" s="18" t="str">
        <f aca="false">IFERROR(INDEX(المرجع!$A$2:$A$19,MATCH($G141,المرجع!$B$2:$B$19,0)),"")</f>
        <v>البناء المؤسسي</v>
      </c>
      <c r="I141" s="20" t="s">
        <v>57</v>
      </c>
      <c r="J141" s="18" t="str">
        <f aca="false">IFERROR(INDEX(المرجع!$D$2:$D$19,MATCH($I141,المرجع!$E$2:$E$19,0)),"")</f>
        <v>الموارد</v>
      </c>
      <c r="K141" s="20" t="s">
        <v>114</v>
      </c>
      <c r="L141" s="21" t="str">
        <f aca="false">IFERROR(INDEX('نقاط التحقق'!$G$2:$G$31,MATCH($K141,'نقاط التحقق'!$A$2:$A$31,0))&amp;"","")</f>
        <v>وجود الاحتياجات التقنية الأساسية</v>
      </c>
      <c r="M141" s="18" t="str">
        <f aca="false">IFERROR(INDEX('نقاط التحقق'!$H$2:$H$31,MATCH($K141,'نقاط التحقق'!$A$2:$A$31,0))&amp;"","")</f>
        <v/>
      </c>
      <c r="N141" s="17" t="n">
        <v>55</v>
      </c>
      <c r="O141" s="17" t="n">
        <v>100</v>
      </c>
      <c r="P141" s="19" t="str">
        <f aca="false">IF($N141="","غير مقيّمة",IF($N141&gt;المرجع!$K$3,"مستوفاة بشكل متقدم",IF($N141&lt;=المرجع!$K$2,"مستوفاة بشكل أولي","مستوفاة بشكل جزئي")))</f>
        <v>مستوفاة بشكل جزئي</v>
      </c>
      <c r="Q141" s="22"/>
    </row>
    <row r="142" customFormat="false" ht="15" hidden="false" customHeight="true" outlineLevel="0" collapsed="false">
      <c r="A142" s="20" t="s">
        <v>535</v>
      </c>
      <c r="B142" s="20" t="s">
        <v>172</v>
      </c>
      <c r="C142" s="19" t="str">
        <f aca="false">IFERROR(INDEX('قائمة الوحدات'!$B$2:$B$41,MATCH($B142,'قائمة الوحدات'!$A$2:$A$41,0)),"")</f>
        <v>EXE</v>
      </c>
      <c r="D142" s="18" t="str">
        <f aca="false">IFERROR(INDEX('قائمة الوحدات'!$C$2:$C$41,MATCH($B142,'قائمة الوحدات'!$A$2:$A$41,0)),"")</f>
        <v>الشؤون التنفيذية</v>
      </c>
      <c r="E142" s="18" t="str">
        <f aca="false">IFERROR(INDEX('قائمة الوحدات'!$D$2:$D$41,MATCH($B142,'قائمة الوحدات'!$A$2:$A$41,0)),"")</f>
        <v>وكالة الشؤون الفنية</v>
      </c>
      <c r="F142" s="18" t="str">
        <f aca="false">IFERROR(INDEX('قائمة الوحدات'!$F$2:$F$41,MATCH($B142,'قائمة الوحدات'!$A$2:$A$41,0)),"")</f>
        <v>الإدارة العامة للسلامة والبيئة</v>
      </c>
      <c r="G142" s="20" t="s">
        <v>62</v>
      </c>
      <c r="H142" s="18" t="str">
        <f aca="false">IFERROR(INDEX(المرجع!$A$2:$A$19,MATCH($G142,المرجع!$B$2:$B$19,0)),"")</f>
        <v>البناء المؤسسي</v>
      </c>
      <c r="I142" s="20" t="s">
        <v>60</v>
      </c>
      <c r="J142" s="18" t="str">
        <f aca="false">IFERROR(INDEX(المرجع!$D$2:$D$19,MATCH($I142,المرجع!$E$2:$E$19,0)),"")</f>
        <v>الإجراءات</v>
      </c>
      <c r="K142" s="20" t="s">
        <v>116</v>
      </c>
      <c r="L142" s="21" t="str">
        <f aca="false">IFERROR(INDEX('نقاط التحقق'!$G$2:$G$31,MATCH($K142,'نقاط التحقق'!$A$2:$A$31,0))&amp;"","")</f>
        <v>إجراءات معتمدة للوحدة التنظيمية</v>
      </c>
      <c r="M142" s="18" t="str">
        <f aca="false">IFERROR(INDEX('نقاط التحقق'!$H$2:$H$31,MATCH($K142,'نقاط التحقق'!$A$2:$A$31,0))&amp;"","")</f>
        <v/>
      </c>
      <c r="N142" s="17" t="n">
        <v>57</v>
      </c>
      <c r="O142" s="17" t="n">
        <v>100</v>
      </c>
      <c r="P142" s="19" t="str">
        <f aca="false">IF($N142="","غير مقيّمة",IF($N142&gt;المرجع!$K$3,"مستوفاة بشكل متقدم",IF($N142&lt;=المرجع!$K$2,"مستوفاة بشكل أولي","مستوفاة بشكل جزئي")))</f>
        <v>مستوفاة بشكل جزئي</v>
      </c>
      <c r="Q142" s="22"/>
    </row>
    <row r="143" customFormat="false" ht="15" hidden="false" customHeight="true" outlineLevel="0" collapsed="false">
      <c r="A143" s="20" t="s">
        <v>536</v>
      </c>
      <c r="B143" s="20" t="s">
        <v>172</v>
      </c>
      <c r="C143" s="19" t="str">
        <f aca="false">IFERROR(INDEX('قائمة الوحدات'!$B$2:$B$41,MATCH($B143,'قائمة الوحدات'!$A$2:$A$41,0)),"")</f>
        <v>EXE</v>
      </c>
      <c r="D143" s="18" t="str">
        <f aca="false">IFERROR(INDEX('قائمة الوحدات'!$C$2:$C$41,MATCH($B143,'قائمة الوحدات'!$A$2:$A$41,0)),"")</f>
        <v>الشؤون التنفيذية</v>
      </c>
      <c r="E143" s="18" t="str">
        <f aca="false">IFERROR(INDEX('قائمة الوحدات'!$D$2:$D$41,MATCH($B143,'قائمة الوحدات'!$A$2:$A$41,0)),"")</f>
        <v>وكالة الشؤون الفنية</v>
      </c>
      <c r="F143" s="18" t="str">
        <f aca="false">IFERROR(INDEX('قائمة الوحدات'!$F$2:$F$41,MATCH($B143,'قائمة الوحدات'!$A$2:$A$41,0)),"")</f>
        <v>الإدارة العامة للسلامة والبيئة</v>
      </c>
      <c r="G143" s="20" t="s">
        <v>62</v>
      </c>
      <c r="H143" s="18" t="str">
        <f aca="false">IFERROR(INDEX(المرجع!$A$2:$A$19,MATCH($G143,المرجع!$B$2:$B$19,0)),"")</f>
        <v>البناء المؤسسي</v>
      </c>
      <c r="I143" s="20" t="s">
        <v>69</v>
      </c>
      <c r="J143" s="18" t="str">
        <f aca="false">IFERROR(INDEX(المرجع!$D$2:$D$19,MATCH($I143,المرجع!$E$2:$E$19,0)),"")</f>
        <v>إنتاج المخرج الأول</v>
      </c>
      <c r="K143" s="20" t="s">
        <v>118</v>
      </c>
      <c r="L143" s="21" t="str">
        <f aca="false">IFERROR(INDEX('نقاط التحقق'!$G$2:$G$31,MATCH($K143,'نقاط التحقق'!$A$2:$A$31,0))&amp;"","")</f>
        <v>إنتاج المخرج الأول من قبل الوحدة التنظيمية</v>
      </c>
      <c r="M143" s="18" t="str">
        <f aca="false">IFERROR(INDEX('نقاط التحقق'!$H$2:$H$31,MATCH($K143,'نقاط التحقق'!$A$2:$A$31,0))&amp;"","")</f>
        <v/>
      </c>
      <c r="N143" s="17" t="n">
        <v>46</v>
      </c>
      <c r="O143" s="17" t="n">
        <v>90</v>
      </c>
      <c r="P143" s="19" t="str">
        <f aca="false">IF($N143="","غير مقيّمة",IF($N143&gt;المرجع!$K$3,"مستوفاة بشكل متقدم",IF($N143&lt;=المرجع!$K$2,"مستوفاة بشكل أولي","مستوفاة بشكل جزئي")))</f>
        <v>مستوفاة بشكل جزئي</v>
      </c>
      <c r="Q143" s="22"/>
    </row>
    <row r="144" customFormat="false" ht="15" hidden="false" customHeight="true" outlineLevel="0" collapsed="false">
      <c r="A144" s="20" t="s">
        <v>537</v>
      </c>
      <c r="B144" s="20" t="s">
        <v>172</v>
      </c>
      <c r="C144" s="19" t="str">
        <f aca="false">IFERROR(INDEX('قائمة الوحدات'!$B$2:$B$41,MATCH($B144,'قائمة الوحدات'!$A$2:$A$41,0)),"")</f>
        <v>EXE</v>
      </c>
      <c r="D144" s="18" t="str">
        <f aca="false">IFERROR(INDEX('قائمة الوحدات'!$C$2:$C$41,MATCH($B144,'قائمة الوحدات'!$A$2:$A$41,0)),"")</f>
        <v>الشؤون التنفيذية</v>
      </c>
      <c r="E144" s="18" t="str">
        <f aca="false">IFERROR(INDEX('قائمة الوحدات'!$D$2:$D$41,MATCH($B144,'قائمة الوحدات'!$A$2:$A$41,0)),"")</f>
        <v>وكالة الشؤون الفنية</v>
      </c>
      <c r="F144" s="18" t="str">
        <f aca="false">IFERROR(INDEX('قائمة الوحدات'!$F$2:$F$41,MATCH($B144,'قائمة الوحدات'!$A$2:$A$41,0)),"")</f>
        <v>الإدارة العامة للسلامة والبيئة</v>
      </c>
      <c r="G144" s="20" t="s">
        <v>66</v>
      </c>
      <c r="H144" s="18" t="str">
        <f aca="false">IFERROR(INDEX(المرجع!$A$2:$A$19,MATCH($G144,المرجع!$B$2:$B$19,0)),"")</f>
        <v>التشغيل</v>
      </c>
      <c r="I144" s="20" t="s">
        <v>49</v>
      </c>
      <c r="J144" s="18" t="str">
        <f aca="false">IFERROR(INDEX(المرجع!$D$2:$D$19,MATCH($I144,المرجع!$E$2:$E$19,0)),"")</f>
        <v>الأهداف ومؤشرات الأداء</v>
      </c>
      <c r="K144" s="20" t="s">
        <v>120</v>
      </c>
      <c r="L144" s="21" t="str">
        <f aca="false">IFERROR(INDEX('نقاط التحقق'!$G$2:$G$31,MATCH($K144,'نقاط التحقق'!$A$2:$A$31,0))&amp;"","")</f>
        <v>تحرك مؤشرات الأداء التشغيلي للوحدة التنظيمية بشكل إيجابي</v>
      </c>
      <c r="M144" s="18" t="str">
        <f aca="false">IFERROR(INDEX('نقاط التحقق'!$H$2:$H$31,MATCH($K144,'نقاط التحقق'!$A$2:$A$31,0))&amp;"","")</f>
        <v/>
      </c>
      <c r="N144" s="17" t="n">
        <v>40</v>
      </c>
      <c r="O144" s="17" t="n">
        <v>100</v>
      </c>
      <c r="P144" s="19" t="str">
        <f aca="false">IF($N144="","غير مقيّمة",IF($N144&gt;المرجع!$K$3,"مستوفاة بشكل متقدم",IF($N144&lt;=المرجع!$K$2,"مستوفاة بشكل أولي","مستوفاة بشكل جزئي")))</f>
        <v>مستوفاة بشكل جزئي</v>
      </c>
      <c r="Q144" s="22"/>
    </row>
    <row r="145" customFormat="false" ht="15" hidden="false" customHeight="true" outlineLevel="0" collapsed="false">
      <c r="A145" s="20" t="s">
        <v>538</v>
      </c>
      <c r="B145" s="20" t="s">
        <v>172</v>
      </c>
      <c r="C145" s="19" t="str">
        <f aca="false">IFERROR(INDEX('قائمة الوحدات'!$B$2:$B$41,MATCH($B145,'قائمة الوحدات'!$A$2:$A$41,0)),"")</f>
        <v>EXE</v>
      </c>
      <c r="D145" s="18" t="str">
        <f aca="false">IFERROR(INDEX('قائمة الوحدات'!$C$2:$C$41,MATCH($B145,'قائمة الوحدات'!$A$2:$A$41,0)),"")</f>
        <v>الشؤون التنفيذية</v>
      </c>
      <c r="E145" s="18" t="str">
        <f aca="false">IFERROR(INDEX('قائمة الوحدات'!$D$2:$D$41,MATCH($B145,'قائمة الوحدات'!$A$2:$A$41,0)),"")</f>
        <v>وكالة الشؤون الفنية</v>
      </c>
      <c r="F145" s="18" t="str">
        <f aca="false">IFERROR(INDEX('قائمة الوحدات'!$F$2:$F$41,MATCH($B145,'قائمة الوحدات'!$A$2:$A$41,0)),"")</f>
        <v>الإدارة العامة للسلامة والبيئة</v>
      </c>
      <c r="G145" s="20" t="s">
        <v>66</v>
      </c>
      <c r="H145" s="18" t="str">
        <f aca="false">IFERROR(INDEX(المرجع!$A$2:$A$19,MATCH($G145,المرجع!$B$2:$B$19,0)),"")</f>
        <v>التشغيل</v>
      </c>
      <c r="I145" s="20" t="s">
        <v>49</v>
      </c>
      <c r="J145" s="18" t="str">
        <f aca="false">IFERROR(INDEX(المرجع!$D$2:$D$19,MATCH($I145,المرجع!$E$2:$E$19,0)),"")</f>
        <v>الأهداف ومؤشرات الأداء</v>
      </c>
      <c r="K145" s="20" t="s">
        <v>122</v>
      </c>
      <c r="L145" s="21" t="str">
        <f aca="false">IFERROR(INDEX('نقاط التحقق'!$G$2:$G$31,MATCH($K145,'نقاط التحقق'!$A$2:$A$31,0))&amp;"","")</f>
        <v>خطة سنوية معتمدة للوحدة التنظيمية</v>
      </c>
      <c r="M145" s="18" t="str">
        <f aca="false">IFERROR(INDEX('نقاط التحقق'!$H$2:$H$31,MATCH($K145,'نقاط التحقق'!$A$2:$A$31,0))&amp;"","")</f>
        <v/>
      </c>
      <c r="N145" s="17" t="n">
        <v>40</v>
      </c>
      <c r="O145" s="17" t="n">
        <v>90</v>
      </c>
      <c r="P145" s="19" t="str">
        <f aca="false">IF($N145="","غير مقيّمة",IF($N145&gt;المرجع!$K$3,"مستوفاة بشكل متقدم",IF($N145&lt;=المرجع!$K$2,"مستوفاة بشكل أولي","مستوفاة بشكل جزئي")))</f>
        <v>مستوفاة بشكل جزئي</v>
      </c>
      <c r="Q145" s="22"/>
    </row>
    <row r="146" customFormat="false" ht="15" hidden="false" customHeight="true" outlineLevel="0" collapsed="false">
      <c r="A146" s="20" t="s">
        <v>539</v>
      </c>
      <c r="B146" s="20" t="s">
        <v>172</v>
      </c>
      <c r="C146" s="19" t="str">
        <f aca="false">IFERROR(INDEX('قائمة الوحدات'!$B$2:$B$41,MATCH($B146,'قائمة الوحدات'!$A$2:$A$41,0)),"")</f>
        <v>EXE</v>
      </c>
      <c r="D146" s="18" t="str">
        <f aca="false">IFERROR(INDEX('قائمة الوحدات'!$C$2:$C$41,MATCH($B146,'قائمة الوحدات'!$A$2:$A$41,0)),"")</f>
        <v>الشؤون التنفيذية</v>
      </c>
      <c r="E146" s="18" t="str">
        <f aca="false">IFERROR(INDEX('قائمة الوحدات'!$D$2:$D$41,MATCH($B146,'قائمة الوحدات'!$A$2:$A$41,0)),"")</f>
        <v>وكالة الشؤون الفنية</v>
      </c>
      <c r="F146" s="18" t="str">
        <f aca="false">IFERROR(INDEX('قائمة الوحدات'!$F$2:$F$41,MATCH($B146,'قائمة الوحدات'!$A$2:$A$41,0)),"")</f>
        <v>الإدارة العامة للسلامة والبيئة</v>
      </c>
      <c r="G146" s="20" t="s">
        <v>66</v>
      </c>
      <c r="H146" s="18" t="str">
        <f aca="false">IFERROR(INDEX(المرجع!$A$2:$A$19,MATCH($G146,المرجع!$B$2:$B$19,0)),"")</f>
        <v>التشغيل</v>
      </c>
      <c r="I146" s="20" t="s">
        <v>52</v>
      </c>
      <c r="J146" s="18" t="str">
        <f aca="false">IFERROR(INDEX(المرجع!$D$2:$D$19,MATCH($I146,المرجع!$E$2:$E$19,0)),"")</f>
        <v>الحوكمة</v>
      </c>
      <c r="K146" s="20" t="s">
        <v>124</v>
      </c>
      <c r="L146" s="21" t="str">
        <f aca="false">IFERROR(INDEX('نقاط التحقق'!$G$2:$G$31,MATCH($K146,'نقاط التحقق'!$A$2:$A$31,0))&amp;"","")</f>
        <v>محاضر لجان موثقة</v>
      </c>
      <c r="M146" s="18" t="str">
        <f aca="false">IFERROR(INDEX('نقاط التحقق'!$H$2:$H$31,MATCH($K146,'نقاط التحقق'!$A$2:$A$31,0))&amp;"","")</f>
        <v/>
      </c>
      <c r="N146" s="17" t="n">
        <v>25</v>
      </c>
      <c r="O146" s="17" t="n">
        <v>85</v>
      </c>
      <c r="P146" s="19" t="str">
        <f aca="false">IF($N146="","غير مقيّمة",IF($N146&gt;المرجع!$K$3,"مستوفاة بشكل متقدم",IF($N146&lt;=المرجع!$K$2,"مستوفاة بشكل أولي","مستوفاة بشكل جزئي")))</f>
        <v>مستوفاة بشكل أولي</v>
      </c>
      <c r="Q146" s="22"/>
    </row>
    <row r="147" customFormat="false" ht="15" hidden="false" customHeight="true" outlineLevel="0" collapsed="false">
      <c r="A147" s="20" t="s">
        <v>540</v>
      </c>
      <c r="B147" s="20" t="s">
        <v>172</v>
      </c>
      <c r="C147" s="19" t="str">
        <f aca="false">IFERROR(INDEX('قائمة الوحدات'!$B$2:$B$41,MATCH($B147,'قائمة الوحدات'!$A$2:$A$41,0)),"")</f>
        <v>EXE</v>
      </c>
      <c r="D147" s="18" t="str">
        <f aca="false">IFERROR(INDEX('قائمة الوحدات'!$C$2:$C$41,MATCH($B147,'قائمة الوحدات'!$A$2:$A$41,0)),"")</f>
        <v>الشؤون التنفيذية</v>
      </c>
      <c r="E147" s="18" t="str">
        <f aca="false">IFERROR(INDEX('قائمة الوحدات'!$D$2:$D$41,MATCH($B147,'قائمة الوحدات'!$A$2:$A$41,0)),"")</f>
        <v>وكالة الشؤون الفنية</v>
      </c>
      <c r="F147" s="18" t="str">
        <f aca="false">IFERROR(INDEX('قائمة الوحدات'!$F$2:$F$41,MATCH($B147,'قائمة الوحدات'!$A$2:$A$41,0)),"")</f>
        <v>الإدارة العامة للسلامة والبيئة</v>
      </c>
      <c r="G147" s="20" t="s">
        <v>66</v>
      </c>
      <c r="H147" s="18" t="str">
        <f aca="false">IFERROR(INDEX(المرجع!$A$2:$A$19,MATCH($G147,المرجع!$B$2:$B$19,0)),"")</f>
        <v>التشغيل</v>
      </c>
      <c r="I147" s="20" t="s">
        <v>52</v>
      </c>
      <c r="J147" s="18" t="str">
        <f aca="false">IFERROR(INDEX(المرجع!$D$2:$D$19,MATCH($I147,المرجع!$E$2:$E$19,0)),"")</f>
        <v>الحوكمة</v>
      </c>
      <c r="K147" s="20" t="s">
        <v>126</v>
      </c>
      <c r="L147" s="21" t="str">
        <f aca="false">IFERROR(INDEX('نقاط التحقق'!$G$2:$G$31,MATCH($K147,'نقاط التحقق'!$A$2:$A$31,0))&amp;"","")</f>
        <v>نشر السياسات التي تملكها الوحدة التنظيمية</v>
      </c>
      <c r="M147" s="18" t="str">
        <f aca="false">IFERROR(INDEX('نقاط التحقق'!$H$2:$H$31,MATCH($K147,'نقاط التحقق'!$A$2:$A$31,0))&amp;"","")</f>
        <v/>
      </c>
      <c r="N147" s="17" t="n">
        <v>45</v>
      </c>
      <c r="O147" s="17" t="n">
        <v>90</v>
      </c>
      <c r="P147" s="19" t="str">
        <f aca="false">IF($N147="","غير مقيّمة",IF($N147&gt;المرجع!$K$3,"مستوفاة بشكل متقدم",IF($N147&lt;=المرجع!$K$2,"مستوفاة بشكل أولي","مستوفاة بشكل جزئي")))</f>
        <v>مستوفاة بشكل جزئي</v>
      </c>
      <c r="Q147" s="22"/>
    </row>
    <row r="148" customFormat="false" ht="15" hidden="false" customHeight="true" outlineLevel="0" collapsed="false">
      <c r="A148" s="20" t="s">
        <v>541</v>
      </c>
      <c r="B148" s="20" t="s">
        <v>172</v>
      </c>
      <c r="C148" s="19" t="str">
        <f aca="false">IFERROR(INDEX('قائمة الوحدات'!$B$2:$B$41,MATCH($B148,'قائمة الوحدات'!$A$2:$A$41,0)),"")</f>
        <v>EXE</v>
      </c>
      <c r="D148" s="18" t="str">
        <f aca="false">IFERROR(INDEX('قائمة الوحدات'!$C$2:$C$41,MATCH($B148,'قائمة الوحدات'!$A$2:$A$41,0)),"")</f>
        <v>الشؤون التنفيذية</v>
      </c>
      <c r="E148" s="18" t="str">
        <f aca="false">IFERROR(INDEX('قائمة الوحدات'!$D$2:$D$41,MATCH($B148,'قائمة الوحدات'!$A$2:$A$41,0)),"")</f>
        <v>وكالة الشؤون الفنية</v>
      </c>
      <c r="F148" s="18" t="str">
        <f aca="false">IFERROR(INDEX('قائمة الوحدات'!$F$2:$F$41,MATCH($B148,'قائمة الوحدات'!$A$2:$A$41,0)),"")</f>
        <v>الإدارة العامة للسلامة والبيئة</v>
      </c>
      <c r="G148" s="20" t="s">
        <v>66</v>
      </c>
      <c r="H148" s="18" t="str">
        <f aca="false">IFERROR(INDEX(المرجع!$A$2:$A$19,MATCH($G148,المرجع!$B$2:$B$19,0)),"")</f>
        <v>التشغيل</v>
      </c>
      <c r="I148" s="20" t="s">
        <v>52</v>
      </c>
      <c r="J148" s="18" t="str">
        <f aca="false">IFERROR(INDEX(المرجع!$D$2:$D$19,MATCH($I148,المرجع!$E$2:$E$19,0)),"")</f>
        <v>الحوكمة</v>
      </c>
      <c r="K148" s="20" t="s">
        <v>128</v>
      </c>
      <c r="L148" s="21" t="str">
        <f aca="false">IFERROR(INDEX('نقاط التحقق'!$G$2:$G$31,MATCH($K148,'نقاط التحقق'!$A$2:$A$31,0))&amp;"","")</f>
        <v>اتخاذ القرارات في نطاق الصلاحيات (وجود شواهد)</v>
      </c>
      <c r="M148" s="18" t="str">
        <f aca="false">IFERROR(INDEX('نقاط التحقق'!$H$2:$H$31,MATCH($K148,'نقاط التحقق'!$A$2:$A$31,0))&amp;"","")</f>
        <v/>
      </c>
      <c r="N148" s="17" t="n">
        <v>30</v>
      </c>
      <c r="O148" s="17" t="n">
        <v>100</v>
      </c>
      <c r="P148" s="19" t="str">
        <f aca="false">IF($N148="","غير مقيّمة",IF($N148&gt;المرجع!$K$3,"مستوفاة بشكل متقدم",IF($N148&lt;=المرجع!$K$2,"مستوفاة بشكل أولي","مستوفاة بشكل جزئي")))</f>
        <v>مستوفاة بشكل أولي</v>
      </c>
      <c r="Q148" s="22"/>
    </row>
    <row r="149" customFormat="false" ht="15" hidden="false" customHeight="true" outlineLevel="0" collapsed="false">
      <c r="A149" s="20" t="s">
        <v>542</v>
      </c>
      <c r="B149" s="20" t="s">
        <v>172</v>
      </c>
      <c r="C149" s="19" t="str">
        <f aca="false">IFERROR(INDEX('قائمة الوحدات'!$B$2:$B$41,MATCH($B149,'قائمة الوحدات'!$A$2:$A$41,0)),"")</f>
        <v>EXE</v>
      </c>
      <c r="D149" s="18" t="str">
        <f aca="false">IFERROR(INDEX('قائمة الوحدات'!$C$2:$C$41,MATCH($B149,'قائمة الوحدات'!$A$2:$A$41,0)),"")</f>
        <v>الشؤون التنفيذية</v>
      </c>
      <c r="E149" s="18" t="str">
        <f aca="false">IFERROR(INDEX('قائمة الوحدات'!$D$2:$D$41,MATCH($B149,'قائمة الوحدات'!$A$2:$A$41,0)),"")</f>
        <v>وكالة الشؤون الفنية</v>
      </c>
      <c r="F149" s="18" t="str">
        <f aca="false">IFERROR(INDEX('قائمة الوحدات'!$F$2:$F$41,MATCH($B149,'قائمة الوحدات'!$A$2:$A$41,0)),"")</f>
        <v>الإدارة العامة للسلامة والبيئة</v>
      </c>
      <c r="G149" s="20" t="s">
        <v>66</v>
      </c>
      <c r="H149" s="18" t="str">
        <f aca="false">IFERROR(INDEX(المرجع!$A$2:$A$19,MATCH($G149,المرجع!$B$2:$B$19,0)),"")</f>
        <v>التشغيل</v>
      </c>
      <c r="I149" s="20" t="s">
        <v>57</v>
      </c>
      <c r="J149" s="18" t="str">
        <f aca="false">IFERROR(INDEX(المرجع!$D$2:$D$19,MATCH($I149,المرجع!$E$2:$E$19,0)),"")</f>
        <v>الموارد</v>
      </c>
      <c r="K149" s="20" t="s">
        <v>130</v>
      </c>
      <c r="L149" s="21" t="str">
        <f aca="false">IFERROR(INDEX('نقاط التحقق'!$G$2:$G$31,MATCH($K149,'نقاط التحقق'!$A$2:$A$31,0))&amp;"","")</f>
        <v>موارد مستكملة للحد الأدنى الذي يغطي كافة محاور سلسلة القيمة</v>
      </c>
      <c r="M149" s="18" t="str">
        <f aca="false">IFERROR(INDEX('نقاط التحقق'!$H$2:$H$31,MATCH($K149,'نقاط التحقق'!$A$2:$A$31,0))&amp;"","")</f>
        <v/>
      </c>
      <c r="N149" s="17" t="n">
        <v>31</v>
      </c>
      <c r="O149" s="17" t="n">
        <v>85</v>
      </c>
      <c r="P149" s="19" t="str">
        <f aca="false">IF($N149="","غير مقيّمة",IF($N149&gt;المرجع!$K$3,"مستوفاة بشكل متقدم",IF($N149&lt;=المرجع!$K$2,"مستوفاة بشكل أولي","مستوفاة بشكل جزئي")))</f>
        <v>مستوفاة بشكل جزئي</v>
      </c>
      <c r="Q149" s="22"/>
    </row>
    <row r="150" customFormat="false" ht="15" hidden="false" customHeight="true" outlineLevel="0" collapsed="false">
      <c r="A150" s="20" t="s">
        <v>543</v>
      </c>
      <c r="B150" s="20" t="s">
        <v>172</v>
      </c>
      <c r="C150" s="19" t="str">
        <f aca="false">IFERROR(INDEX('قائمة الوحدات'!$B$2:$B$41,MATCH($B150,'قائمة الوحدات'!$A$2:$A$41,0)),"")</f>
        <v>EXE</v>
      </c>
      <c r="D150" s="18" t="str">
        <f aca="false">IFERROR(INDEX('قائمة الوحدات'!$C$2:$C$41,MATCH($B150,'قائمة الوحدات'!$A$2:$A$41,0)),"")</f>
        <v>الشؤون التنفيذية</v>
      </c>
      <c r="E150" s="18" t="str">
        <f aca="false">IFERROR(INDEX('قائمة الوحدات'!$D$2:$D$41,MATCH($B150,'قائمة الوحدات'!$A$2:$A$41,0)),"")</f>
        <v>وكالة الشؤون الفنية</v>
      </c>
      <c r="F150" s="18" t="str">
        <f aca="false">IFERROR(INDEX('قائمة الوحدات'!$F$2:$F$41,MATCH($B150,'قائمة الوحدات'!$A$2:$A$41,0)),"")</f>
        <v>الإدارة العامة للسلامة والبيئة</v>
      </c>
      <c r="G150" s="20" t="s">
        <v>66</v>
      </c>
      <c r="H150" s="18" t="str">
        <f aca="false">IFERROR(INDEX(المرجع!$A$2:$A$19,MATCH($G150,المرجع!$B$2:$B$19,0)),"")</f>
        <v>التشغيل</v>
      </c>
      <c r="I150" s="20" t="s">
        <v>60</v>
      </c>
      <c r="J150" s="18" t="str">
        <f aca="false">IFERROR(INDEX(المرجع!$D$2:$D$19,MATCH($I150,المرجع!$E$2:$E$19,0)),"")</f>
        <v>الإجراءات</v>
      </c>
      <c r="K150" s="20" t="s">
        <v>132</v>
      </c>
      <c r="L150" s="21" t="str">
        <f aca="false">IFERROR(INDEX('نقاط التحقق'!$G$2:$G$31,MATCH($K150,'نقاط التحقق'!$A$2:$A$31,0))&amp;"","")</f>
        <v>تحقيق تقييم "مطبق بشكل كامل" من منهجية تقييم فعالية الإجراءات</v>
      </c>
      <c r="M150" s="18" t="str">
        <f aca="false">IFERROR(INDEX('نقاط التحقق'!$H$2:$H$31,MATCH($K150,'نقاط التحقق'!$A$2:$A$31,0))&amp;"","")</f>
        <v/>
      </c>
      <c r="N150" s="17" t="n">
        <v>57</v>
      </c>
      <c r="O150" s="17" t="n">
        <v>100</v>
      </c>
      <c r="P150" s="19" t="str">
        <f aca="false">IF($N150="","غير مقيّمة",IF($N150&gt;المرجع!$K$3,"مستوفاة بشكل متقدم",IF($N150&lt;=المرجع!$K$2,"مستوفاة بشكل أولي","مستوفاة بشكل جزئي")))</f>
        <v>مستوفاة بشكل جزئي</v>
      </c>
      <c r="Q150" s="22"/>
    </row>
    <row r="151" customFormat="false" ht="15" hidden="false" customHeight="true" outlineLevel="0" collapsed="false">
      <c r="A151" s="20" t="s">
        <v>544</v>
      </c>
      <c r="B151" s="20" t="s">
        <v>172</v>
      </c>
      <c r="C151" s="19" t="str">
        <f aca="false">IFERROR(INDEX('قائمة الوحدات'!$B$2:$B$41,MATCH($B151,'قائمة الوحدات'!$A$2:$A$41,0)),"")</f>
        <v>EXE</v>
      </c>
      <c r="D151" s="18" t="str">
        <f aca="false">IFERROR(INDEX('قائمة الوحدات'!$C$2:$C$41,MATCH($B151,'قائمة الوحدات'!$A$2:$A$41,0)),"")</f>
        <v>الشؤون التنفيذية</v>
      </c>
      <c r="E151" s="18" t="str">
        <f aca="false">IFERROR(INDEX('قائمة الوحدات'!$D$2:$D$41,MATCH($B151,'قائمة الوحدات'!$A$2:$A$41,0)),"")</f>
        <v>وكالة الشؤون الفنية</v>
      </c>
      <c r="F151" s="18" t="str">
        <f aca="false">IFERROR(INDEX('قائمة الوحدات'!$F$2:$F$41,MATCH($B151,'قائمة الوحدات'!$A$2:$A$41,0)),"")</f>
        <v>الإدارة العامة للسلامة والبيئة</v>
      </c>
      <c r="G151" s="20" t="s">
        <v>66</v>
      </c>
      <c r="H151" s="18" t="str">
        <f aca="false">IFERROR(INDEX(المرجع!$A$2:$A$19,MATCH($G151,المرجع!$B$2:$B$19,0)),"")</f>
        <v>التشغيل</v>
      </c>
      <c r="I151" s="20" t="s">
        <v>71</v>
      </c>
      <c r="J151" s="18" t="str">
        <f aca="false">IFERROR(INDEX(المرجع!$D$2:$D$19,MATCH($I151,المرجع!$E$2:$E$19,0)),"")</f>
        <v>اكتمال المخرجات المستهدفة</v>
      </c>
      <c r="K151" s="20" t="s">
        <v>134</v>
      </c>
      <c r="L151" s="21" t="str">
        <f aca="false">IFERROR(INDEX('نقاط التحقق'!$G$2:$G$31,MATCH($K151,'نقاط التحقق'!$A$2:$A$31,0))&amp;"","")</f>
        <v>اكتمال مخرجات النموذج التشغيلي المستهدف للوحدة التنظيمية</v>
      </c>
      <c r="M151" s="18" t="str">
        <f aca="false">IFERROR(INDEX('نقاط التحقق'!$H$2:$H$31,MATCH($K151,'نقاط التحقق'!$A$2:$A$31,0))&amp;"","")</f>
        <v/>
      </c>
      <c r="N151" s="17" t="n">
        <v>31</v>
      </c>
      <c r="O151" s="17" t="n">
        <v>100</v>
      </c>
      <c r="P151" s="19" t="str">
        <f aca="false">IF($N151="","غير مقيّمة",IF($N151&gt;المرجع!$K$3,"مستوفاة بشكل متقدم",IF($N151&lt;=المرجع!$K$2,"مستوفاة بشكل أولي","مستوفاة بشكل جزئي")))</f>
        <v>مستوفاة بشكل جزئي</v>
      </c>
      <c r="Q151" s="22"/>
    </row>
    <row r="152" customFormat="false" ht="15" hidden="false" customHeight="true" outlineLevel="0" collapsed="false">
      <c r="A152" s="20" t="s">
        <v>545</v>
      </c>
      <c r="B152" s="20" t="s">
        <v>174</v>
      </c>
      <c r="C152" s="19" t="str">
        <f aca="false">IFERROR(INDEX('قائمة الوحدات'!$B$2:$B$41,MATCH($B152,'قائمة الوحدات'!$A$2:$A$41,0)),"")</f>
        <v>EXE</v>
      </c>
      <c r="D152" s="18" t="str">
        <f aca="false">IFERROR(INDEX('قائمة الوحدات'!$C$2:$C$41,MATCH($B152,'قائمة الوحدات'!$A$2:$A$41,0)),"")</f>
        <v>الشؤون التنفيذية</v>
      </c>
      <c r="E152" s="18" t="str">
        <f aca="false">IFERROR(INDEX('قائمة الوحدات'!$D$2:$D$41,MATCH($B152,'قائمة الوحدات'!$A$2:$A$41,0)),"")</f>
        <v>وكالة الشؤون الفنية</v>
      </c>
      <c r="F152" s="18" t="str">
        <f aca="false">IFERROR(INDEX('قائمة الوحدات'!$F$2:$F$41,MATCH($B152,'قائمة الوحدات'!$A$2:$A$41,0)),"")</f>
        <v>الإدارة العامة للأصول والمرافق</v>
      </c>
      <c r="G152" s="20" t="s">
        <v>44</v>
      </c>
      <c r="H152" s="18" t="str">
        <f aca="false">IFERROR(INDEX(المرجع!$A$2:$A$19,MATCH($G152,المرجع!$B$2:$B$19,0)),"")</f>
        <v>التصميم</v>
      </c>
      <c r="I152" s="20" t="s">
        <v>46</v>
      </c>
      <c r="J152" s="18" t="str">
        <f aca="false">IFERROR(INDEX(المرجع!$D$2:$D$19,MATCH($I152,المرجع!$E$2:$E$19,0)),"")</f>
        <v>الدور</v>
      </c>
      <c r="K152" s="20" t="s">
        <v>76</v>
      </c>
      <c r="L152" s="21" t="str">
        <f aca="false">IFERROR(INDEX('نقاط التحقق'!$G$2:$G$31,MATCH($K152,'نقاط التحقق'!$A$2:$A$31,0))&amp;"","")</f>
        <v>دور مفصل للوحدة التنظيمية</v>
      </c>
      <c r="M152" s="18" t="str">
        <f aca="false">IFERROR(INDEX('نقاط التحقق'!$H$2:$H$31,MATCH($K152,'نقاط التحقق'!$A$2:$A$31,0))&amp;"","")</f>
        <v/>
      </c>
      <c r="N152" s="17" t="n">
        <v>91</v>
      </c>
      <c r="O152" s="17" t="n">
        <v>100</v>
      </c>
      <c r="P152" s="19" t="str">
        <f aca="false">IF($N152="","غير مقيّمة",IF($N152&gt;المرجع!$K$3,"مستوفاة بشكل متقدم",IF($N152&lt;=المرجع!$K$2,"مستوفاة بشكل أولي","مستوفاة بشكل جزئي")))</f>
        <v>مستوفاة بشكل متقدم</v>
      </c>
      <c r="Q152" s="22"/>
    </row>
    <row r="153" customFormat="false" ht="15" hidden="false" customHeight="true" outlineLevel="0" collapsed="false">
      <c r="A153" s="20" t="s">
        <v>546</v>
      </c>
      <c r="B153" s="20" t="s">
        <v>174</v>
      </c>
      <c r="C153" s="19" t="str">
        <f aca="false">IFERROR(INDEX('قائمة الوحدات'!$B$2:$B$41,MATCH($B153,'قائمة الوحدات'!$A$2:$A$41,0)),"")</f>
        <v>EXE</v>
      </c>
      <c r="D153" s="18" t="str">
        <f aca="false">IFERROR(INDEX('قائمة الوحدات'!$C$2:$C$41,MATCH($B153,'قائمة الوحدات'!$A$2:$A$41,0)),"")</f>
        <v>الشؤون التنفيذية</v>
      </c>
      <c r="E153" s="18" t="str">
        <f aca="false">IFERROR(INDEX('قائمة الوحدات'!$D$2:$D$41,MATCH($B153,'قائمة الوحدات'!$A$2:$A$41,0)),"")</f>
        <v>وكالة الشؤون الفنية</v>
      </c>
      <c r="F153" s="18" t="str">
        <f aca="false">IFERROR(INDEX('قائمة الوحدات'!$F$2:$F$41,MATCH($B153,'قائمة الوحدات'!$A$2:$A$41,0)),"")</f>
        <v>الإدارة العامة للأصول والمرافق</v>
      </c>
      <c r="G153" s="20" t="s">
        <v>44</v>
      </c>
      <c r="H153" s="18" t="str">
        <f aca="false">IFERROR(INDEX(المرجع!$A$2:$A$19,MATCH($G153,المرجع!$B$2:$B$19,0)),"")</f>
        <v>التصميم</v>
      </c>
      <c r="I153" s="20" t="s">
        <v>49</v>
      </c>
      <c r="J153" s="18" t="str">
        <f aca="false">IFERROR(INDEX(المرجع!$D$2:$D$19,MATCH($I153,المرجع!$E$2:$E$19,0)),"")</f>
        <v>الأهداف ومؤشرات الأداء</v>
      </c>
      <c r="K153" s="20" t="s">
        <v>78</v>
      </c>
      <c r="L153" s="21" t="str">
        <f aca="false">IFERROR(INDEX('نقاط التحقق'!$G$2:$G$31,MATCH($K153,'نقاط التحقق'!$A$2:$A$31,0))&amp;"","")</f>
        <v>أهداف محددة للوحدة التنظيمية وربطها بمؤشرات أداء لقياسها</v>
      </c>
      <c r="M153" s="18" t="str">
        <f aca="false">IFERROR(INDEX('نقاط التحقق'!$H$2:$H$31,MATCH($K153,'نقاط التحقق'!$A$2:$A$31,0))&amp;"","")</f>
        <v/>
      </c>
      <c r="N153" s="17" t="n">
        <v>80</v>
      </c>
      <c r="O153" s="17" t="n">
        <v>100</v>
      </c>
      <c r="P153" s="19" t="str">
        <f aca="false">IF($N153="","غير مقيّمة",IF($N153&gt;المرجع!$K$3,"مستوفاة بشكل متقدم",IF($N153&lt;=المرجع!$K$2,"مستوفاة بشكل أولي","مستوفاة بشكل جزئي")))</f>
        <v>مستوفاة بشكل متقدم</v>
      </c>
      <c r="Q153" s="22"/>
    </row>
    <row r="154" customFormat="false" ht="15" hidden="false" customHeight="true" outlineLevel="0" collapsed="false">
      <c r="A154" s="20" t="s">
        <v>547</v>
      </c>
      <c r="B154" s="20" t="s">
        <v>174</v>
      </c>
      <c r="C154" s="19" t="str">
        <f aca="false">IFERROR(INDEX('قائمة الوحدات'!$B$2:$B$41,MATCH($B154,'قائمة الوحدات'!$A$2:$A$41,0)),"")</f>
        <v>EXE</v>
      </c>
      <c r="D154" s="18" t="str">
        <f aca="false">IFERROR(INDEX('قائمة الوحدات'!$C$2:$C$41,MATCH($B154,'قائمة الوحدات'!$A$2:$A$41,0)),"")</f>
        <v>الشؤون التنفيذية</v>
      </c>
      <c r="E154" s="18" t="str">
        <f aca="false">IFERROR(INDEX('قائمة الوحدات'!$D$2:$D$41,MATCH($B154,'قائمة الوحدات'!$A$2:$A$41,0)),"")</f>
        <v>وكالة الشؤون الفنية</v>
      </c>
      <c r="F154" s="18" t="str">
        <f aca="false">IFERROR(INDEX('قائمة الوحدات'!$F$2:$F$41,MATCH($B154,'قائمة الوحدات'!$A$2:$A$41,0)),"")</f>
        <v>الإدارة العامة للأصول والمرافق</v>
      </c>
      <c r="G154" s="20" t="s">
        <v>44</v>
      </c>
      <c r="H154" s="18" t="str">
        <f aca="false">IFERROR(INDEX(المرجع!$A$2:$A$19,MATCH($G154,المرجع!$B$2:$B$19,0)),"")</f>
        <v>التصميم</v>
      </c>
      <c r="I154" s="20" t="s">
        <v>49</v>
      </c>
      <c r="J154" s="18" t="str">
        <f aca="false">IFERROR(INDEX(المرجع!$D$2:$D$19,MATCH($I154,المرجع!$E$2:$E$19,0)),"")</f>
        <v>الأهداف ومؤشرات الأداء</v>
      </c>
      <c r="K154" s="20" t="s">
        <v>80</v>
      </c>
      <c r="L154" s="21" t="str">
        <f aca="false">IFERROR(INDEX('نقاط التحقق'!$G$2:$G$31,MATCH($K154,'نقاط التحقق'!$A$2:$A$31,0))&amp;"","")</f>
        <v>مؤشرات أداء الوحدة التنظيمية</v>
      </c>
      <c r="M154" s="18" t="str">
        <f aca="false">IFERROR(INDEX('نقاط التحقق'!$H$2:$H$31,MATCH($K154,'نقاط التحقق'!$A$2:$A$31,0))&amp;"","")</f>
        <v/>
      </c>
      <c r="N154" s="17" t="n">
        <v>65</v>
      </c>
      <c r="O154" s="17" t="n">
        <v>90</v>
      </c>
      <c r="P154" s="19" t="str">
        <f aca="false">IF($N154="","غير مقيّمة",IF($N154&gt;المرجع!$K$3,"مستوفاة بشكل متقدم",IF($N154&lt;=المرجع!$K$2,"مستوفاة بشكل أولي","مستوفاة بشكل جزئي")))</f>
        <v>مستوفاة بشكل جزئي</v>
      </c>
      <c r="Q154" s="22"/>
    </row>
    <row r="155" customFormat="false" ht="15" hidden="false" customHeight="true" outlineLevel="0" collapsed="false">
      <c r="A155" s="20" t="s">
        <v>548</v>
      </c>
      <c r="B155" s="20" t="s">
        <v>174</v>
      </c>
      <c r="C155" s="19" t="str">
        <f aca="false">IFERROR(INDEX('قائمة الوحدات'!$B$2:$B$41,MATCH($B155,'قائمة الوحدات'!$A$2:$A$41,0)),"")</f>
        <v>EXE</v>
      </c>
      <c r="D155" s="18" t="str">
        <f aca="false">IFERROR(INDEX('قائمة الوحدات'!$C$2:$C$41,MATCH($B155,'قائمة الوحدات'!$A$2:$A$41,0)),"")</f>
        <v>الشؤون التنفيذية</v>
      </c>
      <c r="E155" s="18" t="str">
        <f aca="false">IFERROR(INDEX('قائمة الوحدات'!$D$2:$D$41,MATCH($B155,'قائمة الوحدات'!$A$2:$A$41,0)),"")</f>
        <v>وكالة الشؤون الفنية</v>
      </c>
      <c r="F155" s="18" t="str">
        <f aca="false">IFERROR(INDEX('قائمة الوحدات'!$F$2:$F$41,MATCH($B155,'قائمة الوحدات'!$A$2:$A$41,0)),"")</f>
        <v>الإدارة العامة للأصول والمرافق</v>
      </c>
      <c r="G155" s="20" t="s">
        <v>44</v>
      </c>
      <c r="H155" s="18" t="str">
        <f aca="false">IFERROR(INDEX(المرجع!$A$2:$A$19,MATCH($G155,المرجع!$B$2:$B$19,0)),"")</f>
        <v>التصميم</v>
      </c>
      <c r="I155" s="20" t="s">
        <v>52</v>
      </c>
      <c r="J155" s="18" t="str">
        <f aca="false">IFERROR(INDEX(المرجع!$D$2:$D$19,MATCH($I155,المرجع!$E$2:$E$19,0)),"")</f>
        <v>الحوكمة</v>
      </c>
      <c r="K155" s="20" t="s">
        <v>82</v>
      </c>
      <c r="L155" s="21" t="str">
        <f aca="false">IFERROR(INDEX('نقاط التحقق'!$G$2:$G$31,MATCH($K155,'نقاط التحقق'!$A$2:$A$31,0))&amp;"","")</f>
        <v>تفصيل القرارات ومصفوفة الصلاحيات واللجان ذات العلاقة لاعتماد مخرجات الوحدة التنظيمية</v>
      </c>
      <c r="M155" s="18" t="str">
        <f aca="false">IFERROR(INDEX('نقاط التحقق'!$H$2:$H$31,MATCH($K155,'نقاط التحقق'!$A$2:$A$31,0))&amp;"","")</f>
        <v/>
      </c>
      <c r="N155" s="17" t="n">
        <v>71</v>
      </c>
      <c r="O155" s="17" t="n">
        <v>100</v>
      </c>
      <c r="P155" s="19" t="str">
        <f aca="false">IF($N155="","غير مقيّمة",IF($N155&gt;المرجع!$K$3,"مستوفاة بشكل متقدم",IF($N155&lt;=المرجع!$K$2,"مستوفاة بشكل أولي","مستوفاة بشكل جزئي")))</f>
        <v>مستوفاة بشكل متقدم</v>
      </c>
      <c r="Q155" s="22"/>
    </row>
    <row r="156" customFormat="false" ht="15" hidden="false" customHeight="true" outlineLevel="0" collapsed="false">
      <c r="A156" s="20" t="s">
        <v>549</v>
      </c>
      <c r="B156" s="20" t="s">
        <v>174</v>
      </c>
      <c r="C156" s="19" t="str">
        <f aca="false">IFERROR(INDEX('قائمة الوحدات'!$B$2:$B$41,MATCH($B156,'قائمة الوحدات'!$A$2:$A$41,0)),"")</f>
        <v>EXE</v>
      </c>
      <c r="D156" s="18" t="str">
        <f aca="false">IFERROR(INDEX('قائمة الوحدات'!$C$2:$C$41,MATCH($B156,'قائمة الوحدات'!$A$2:$A$41,0)),"")</f>
        <v>الشؤون التنفيذية</v>
      </c>
      <c r="E156" s="18" t="str">
        <f aca="false">IFERROR(INDEX('قائمة الوحدات'!$D$2:$D$41,MATCH($B156,'قائمة الوحدات'!$A$2:$A$41,0)),"")</f>
        <v>وكالة الشؤون الفنية</v>
      </c>
      <c r="F156" s="18" t="str">
        <f aca="false">IFERROR(INDEX('قائمة الوحدات'!$F$2:$F$41,MATCH($B156,'قائمة الوحدات'!$A$2:$A$41,0)),"")</f>
        <v>الإدارة العامة للأصول والمرافق</v>
      </c>
      <c r="G156" s="20" t="s">
        <v>44</v>
      </c>
      <c r="H156" s="18" t="str">
        <f aca="false">IFERROR(INDEX(المرجع!$A$2:$A$19,MATCH($G156,المرجع!$B$2:$B$19,0)),"")</f>
        <v>التصميم</v>
      </c>
      <c r="I156" s="20" t="s">
        <v>55</v>
      </c>
      <c r="J156" s="18" t="str">
        <f aca="false">IFERROR(INDEX(المرجع!$D$2:$D$19,MATCH($I156,المرجع!$E$2:$E$19,0)),"")</f>
        <v>التنظيم</v>
      </c>
      <c r="K156" s="20" t="s">
        <v>84</v>
      </c>
      <c r="L156" s="21" t="str">
        <f aca="false">IFERROR(INDEX('نقاط التحقق'!$G$2:$G$31,MATCH($K156,'نقاط التحقق'!$A$2:$A$31,0))&amp;"","")</f>
        <v>تطوير الأدوار والمسؤوليات للوحدة التنظيمية وتفصيل الهيكل التنظيمي</v>
      </c>
      <c r="M156" s="18" t="str">
        <f aca="false">IFERROR(INDEX('نقاط التحقق'!$H$2:$H$31,MATCH($K156,'نقاط التحقق'!$A$2:$A$31,0))&amp;"","")</f>
        <v/>
      </c>
      <c r="N156" s="17" t="n">
        <v>68</v>
      </c>
      <c r="O156" s="17" t="n">
        <v>85</v>
      </c>
      <c r="P156" s="19" t="str">
        <f aca="false">IF($N156="","غير مقيّمة",IF($N156&gt;المرجع!$K$3,"مستوفاة بشكل متقدم",IF($N156&lt;=المرجع!$K$2,"مستوفاة بشكل أولي","مستوفاة بشكل جزئي")))</f>
        <v>مستوفاة بشكل جزئي</v>
      </c>
      <c r="Q156" s="22"/>
    </row>
    <row r="157" customFormat="false" ht="15" hidden="false" customHeight="true" outlineLevel="0" collapsed="false">
      <c r="A157" s="20" t="s">
        <v>550</v>
      </c>
      <c r="B157" s="20" t="s">
        <v>174</v>
      </c>
      <c r="C157" s="19" t="str">
        <f aca="false">IFERROR(INDEX('قائمة الوحدات'!$B$2:$B$41,MATCH($B157,'قائمة الوحدات'!$A$2:$A$41,0)),"")</f>
        <v>EXE</v>
      </c>
      <c r="D157" s="18" t="str">
        <f aca="false">IFERROR(INDEX('قائمة الوحدات'!$C$2:$C$41,MATCH($B157,'قائمة الوحدات'!$A$2:$A$41,0)),"")</f>
        <v>الشؤون التنفيذية</v>
      </c>
      <c r="E157" s="18" t="str">
        <f aca="false">IFERROR(INDEX('قائمة الوحدات'!$D$2:$D$41,MATCH($B157,'قائمة الوحدات'!$A$2:$A$41,0)),"")</f>
        <v>وكالة الشؤون الفنية</v>
      </c>
      <c r="F157" s="18" t="str">
        <f aca="false">IFERROR(INDEX('قائمة الوحدات'!$F$2:$F$41,MATCH($B157,'قائمة الوحدات'!$A$2:$A$41,0)),"")</f>
        <v>الإدارة العامة للأصول والمرافق</v>
      </c>
      <c r="G157" s="20" t="s">
        <v>44</v>
      </c>
      <c r="H157" s="18" t="str">
        <f aca="false">IFERROR(INDEX(المرجع!$A$2:$A$19,MATCH($G157,المرجع!$B$2:$B$19,0)),"")</f>
        <v>التصميم</v>
      </c>
      <c r="I157" s="20" t="s">
        <v>57</v>
      </c>
      <c r="J157" s="18" t="str">
        <f aca="false">IFERROR(INDEX(المرجع!$D$2:$D$19,MATCH($I157,المرجع!$E$2:$E$19,0)),"")</f>
        <v>الموارد</v>
      </c>
      <c r="K157" s="20" t="s">
        <v>86</v>
      </c>
      <c r="L157" s="21" t="str">
        <f aca="false">IFERROR(INDEX('نقاط التحقق'!$G$2:$G$31,MATCH($K157,'نقاط التحقق'!$A$2:$A$31,0))&amp;"","")</f>
        <v>تفصيل احتياج الموارد البشرية للوحدة التنظيمية</v>
      </c>
      <c r="M157" s="18" t="str">
        <f aca="false">IFERROR(INDEX('نقاط التحقق'!$H$2:$H$31,MATCH($K157,'نقاط التحقق'!$A$2:$A$31,0))&amp;"","")</f>
        <v/>
      </c>
      <c r="N157" s="17" t="n">
        <v>83</v>
      </c>
      <c r="O157" s="17" t="n">
        <v>100</v>
      </c>
      <c r="P157" s="19" t="str">
        <f aca="false">IF($N157="","غير مقيّمة",IF($N157&gt;المرجع!$K$3,"مستوفاة بشكل متقدم",IF($N157&lt;=المرجع!$K$2,"مستوفاة بشكل أولي","مستوفاة بشكل جزئي")))</f>
        <v>مستوفاة بشكل متقدم</v>
      </c>
      <c r="Q157" s="22"/>
    </row>
    <row r="158" customFormat="false" ht="15" hidden="false" customHeight="true" outlineLevel="0" collapsed="false">
      <c r="A158" s="20" t="s">
        <v>551</v>
      </c>
      <c r="B158" s="20" t="s">
        <v>174</v>
      </c>
      <c r="C158" s="19" t="str">
        <f aca="false">IFERROR(INDEX('قائمة الوحدات'!$B$2:$B$41,MATCH($B158,'قائمة الوحدات'!$A$2:$A$41,0)),"")</f>
        <v>EXE</v>
      </c>
      <c r="D158" s="18" t="str">
        <f aca="false">IFERROR(INDEX('قائمة الوحدات'!$C$2:$C$41,MATCH($B158,'قائمة الوحدات'!$A$2:$A$41,0)),"")</f>
        <v>الشؤون التنفيذية</v>
      </c>
      <c r="E158" s="18" t="str">
        <f aca="false">IFERROR(INDEX('قائمة الوحدات'!$D$2:$D$41,MATCH($B158,'قائمة الوحدات'!$A$2:$A$41,0)),"")</f>
        <v>وكالة الشؤون الفنية</v>
      </c>
      <c r="F158" s="18" t="str">
        <f aca="false">IFERROR(INDEX('قائمة الوحدات'!$F$2:$F$41,MATCH($B158,'قائمة الوحدات'!$A$2:$A$41,0)),"")</f>
        <v>الإدارة العامة للأصول والمرافق</v>
      </c>
      <c r="G158" s="20" t="s">
        <v>44</v>
      </c>
      <c r="H158" s="18" t="str">
        <f aca="false">IFERROR(INDEX(المرجع!$A$2:$A$19,MATCH($G158,المرجع!$B$2:$B$19,0)),"")</f>
        <v>التصميم</v>
      </c>
      <c r="I158" s="20" t="s">
        <v>60</v>
      </c>
      <c r="J158" s="18" t="str">
        <f aca="false">IFERROR(INDEX(المرجع!$D$2:$D$19,MATCH($I158,المرجع!$E$2:$E$19,0)),"")</f>
        <v>الإجراءات</v>
      </c>
      <c r="K158" s="20" t="s">
        <v>88</v>
      </c>
      <c r="L158" s="21" t="str">
        <f aca="false">IFERROR(INDEX('نقاط التحقق'!$G$2:$G$31,MATCH($K158,'نقاط التحقق'!$A$2:$A$31,0))&amp;"","")</f>
        <v>تفصيل المخرجات إلى إجراءات عالية المستوى</v>
      </c>
      <c r="M158" s="18" t="str">
        <f aca="false">IFERROR(INDEX('نقاط التحقق'!$H$2:$H$31,MATCH($K158,'نقاط التحقق'!$A$2:$A$31,0))&amp;"","")</f>
        <v/>
      </c>
      <c r="N158" s="17" t="n">
        <v>79</v>
      </c>
      <c r="O158" s="17" t="n">
        <v>100</v>
      </c>
      <c r="P158" s="19" t="str">
        <f aca="false">IF($N158="","غير مقيّمة",IF($N158&gt;المرجع!$K$3,"مستوفاة بشكل متقدم",IF($N158&lt;=المرجع!$K$2,"مستوفاة بشكل أولي","مستوفاة بشكل جزئي")))</f>
        <v>مستوفاة بشكل متقدم</v>
      </c>
      <c r="Q158" s="22"/>
    </row>
    <row r="159" customFormat="false" ht="15" hidden="false" customHeight="true" outlineLevel="0" collapsed="false">
      <c r="A159" s="20" t="s">
        <v>552</v>
      </c>
      <c r="B159" s="20" t="s">
        <v>174</v>
      </c>
      <c r="C159" s="19" t="str">
        <f aca="false">IFERROR(INDEX('قائمة الوحدات'!$B$2:$B$41,MATCH($B159,'قائمة الوحدات'!$A$2:$A$41,0)),"")</f>
        <v>EXE</v>
      </c>
      <c r="D159" s="18" t="str">
        <f aca="false">IFERROR(INDEX('قائمة الوحدات'!$C$2:$C$41,MATCH($B159,'قائمة الوحدات'!$A$2:$A$41,0)),"")</f>
        <v>الشؤون التنفيذية</v>
      </c>
      <c r="E159" s="18" t="str">
        <f aca="false">IFERROR(INDEX('قائمة الوحدات'!$D$2:$D$41,MATCH($B159,'قائمة الوحدات'!$A$2:$A$41,0)),"")</f>
        <v>وكالة الشؤون الفنية</v>
      </c>
      <c r="F159" s="18" t="str">
        <f aca="false">IFERROR(INDEX('قائمة الوحدات'!$F$2:$F$41,MATCH($B159,'قائمة الوحدات'!$A$2:$A$41,0)),"")</f>
        <v>الإدارة العامة للأصول والمرافق</v>
      </c>
      <c r="G159" s="20" t="s">
        <v>62</v>
      </c>
      <c r="H159" s="18" t="str">
        <f aca="false">IFERROR(INDEX(المرجع!$A$2:$A$19,MATCH($G159,المرجع!$B$2:$B$19,0)),"")</f>
        <v>البناء المؤسسي</v>
      </c>
      <c r="I159" s="20" t="s">
        <v>46</v>
      </c>
      <c r="J159" s="18" t="str">
        <f aca="false">IFERROR(INDEX(المرجع!$D$2:$D$19,MATCH($I159,المرجع!$E$2:$E$19,0)),"")</f>
        <v>الدور</v>
      </c>
      <c r="K159" s="20" t="s">
        <v>90</v>
      </c>
      <c r="L159" s="21" t="str">
        <f aca="false">IFERROR(INDEX('نقاط التحقق'!$G$2:$G$31,MATCH($K159,'نقاط التحقق'!$A$2:$A$31,0))&amp;"","")</f>
        <v>دور معتمد للوحدة التنظيمية</v>
      </c>
      <c r="M159" s="18" t="str">
        <f aca="false">IFERROR(INDEX('نقاط التحقق'!$H$2:$H$31,MATCH($K159,'نقاط التحقق'!$A$2:$A$31,0))&amp;"","")</f>
        <v/>
      </c>
      <c r="N159" s="17" t="n">
        <v>53</v>
      </c>
      <c r="O159" s="17" t="n">
        <v>100</v>
      </c>
      <c r="P159" s="19" t="str">
        <f aca="false">IF($N159="","غير مقيّمة",IF($N159&gt;المرجع!$K$3,"مستوفاة بشكل متقدم",IF($N159&lt;=المرجع!$K$2,"مستوفاة بشكل أولي","مستوفاة بشكل جزئي")))</f>
        <v>مستوفاة بشكل جزئي</v>
      </c>
      <c r="Q159" s="22"/>
    </row>
    <row r="160" customFormat="false" ht="15" hidden="false" customHeight="true" outlineLevel="0" collapsed="false">
      <c r="A160" s="20" t="s">
        <v>553</v>
      </c>
      <c r="B160" s="20" t="s">
        <v>174</v>
      </c>
      <c r="C160" s="19" t="str">
        <f aca="false">IFERROR(INDEX('قائمة الوحدات'!$B$2:$B$41,MATCH($B160,'قائمة الوحدات'!$A$2:$A$41,0)),"")</f>
        <v>EXE</v>
      </c>
      <c r="D160" s="18" t="str">
        <f aca="false">IFERROR(INDEX('قائمة الوحدات'!$C$2:$C$41,MATCH($B160,'قائمة الوحدات'!$A$2:$A$41,0)),"")</f>
        <v>الشؤون التنفيذية</v>
      </c>
      <c r="E160" s="18" t="str">
        <f aca="false">IFERROR(INDEX('قائمة الوحدات'!$D$2:$D$41,MATCH($B160,'قائمة الوحدات'!$A$2:$A$41,0)),"")</f>
        <v>وكالة الشؤون الفنية</v>
      </c>
      <c r="F160" s="18" t="str">
        <f aca="false">IFERROR(INDEX('قائمة الوحدات'!$F$2:$F$41,MATCH($B160,'قائمة الوحدات'!$A$2:$A$41,0)),"")</f>
        <v>الإدارة العامة للأصول والمرافق</v>
      </c>
      <c r="G160" s="20" t="s">
        <v>62</v>
      </c>
      <c r="H160" s="18" t="str">
        <f aca="false">IFERROR(INDEX(المرجع!$A$2:$A$19,MATCH($G160,المرجع!$B$2:$B$19,0)),"")</f>
        <v>البناء المؤسسي</v>
      </c>
      <c r="I160" s="20" t="s">
        <v>49</v>
      </c>
      <c r="J160" s="18" t="str">
        <f aca="false">IFERROR(INDEX(المرجع!$D$2:$D$19,MATCH($I160,المرجع!$E$2:$E$19,0)),"")</f>
        <v>الأهداف ومؤشرات الأداء</v>
      </c>
      <c r="K160" s="20" t="s">
        <v>92</v>
      </c>
      <c r="L160" s="21" t="str">
        <f aca="false">IFERROR(INDEX('نقاط التحقق'!$G$2:$G$31,MATCH($K160,'نقاط التحقق'!$A$2:$A$31,0))&amp;"","")</f>
        <v>أهداف تشغيلية معتمدة من صاحب الصلاحية</v>
      </c>
      <c r="M160" s="18" t="str">
        <f aca="false">IFERROR(INDEX('نقاط التحقق'!$H$2:$H$31,MATCH($K160,'نقاط التحقق'!$A$2:$A$31,0))&amp;"","")</f>
        <v/>
      </c>
      <c r="N160" s="17" t="n">
        <v>100</v>
      </c>
      <c r="O160" s="17" t="n">
        <v>100</v>
      </c>
      <c r="P160" s="19" t="str">
        <f aca="false">IF($N160="","غير مقيّمة",IF($N160&gt;المرجع!$K$3,"مستوفاة بشكل متقدم",IF($N160&lt;=المرجع!$K$2,"مستوفاة بشكل أولي","مستوفاة بشكل جزئي")))</f>
        <v>مستوفاة بشكل متقدم</v>
      </c>
      <c r="Q160" s="22"/>
    </row>
    <row r="161" customFormat="false" ht="15" hidden="false" customHeight="true" outlineLevel="0" collapsed="false">
      <c r="A161" s="20" t="s">
        <v>554</v>
      </c>
      <c r="B161" s="20" t="s">
        <v>174</v>
      </c>
      <c r="C161" s="19" t="str">
        <f aca="false">IFERROR(INDEX('قائمة الوحدات'!$B$2:$B$41,MATCH($B161,'قائمة الوحدات'!$A$2:$A$41,0)),"")</f>
        <v>EXE</v>
      </c>
      <c r="D161" s="18" t="str">
        <f aca="false">IFERROR(INDEX('قائمة الوحدات'!$C$2:$C$41,MATCH($B161,'قائمة الوحدات'!$A$2:$A$41,0)),"")</f>
        <v>الشؤون التنفيذية</v>
      </c>
      <c r="E161" s="18" t="str">
        <f aca="false">IFERROR(INDEX('قائمة الوحدات'!$D$2:$D$41,MATCH($B161,'قائمة الوحدات'!$A$2:$A$41,0)),"")</f>
        <v>وكالة الشؤون الفنية</v>
      </c>
      <c r="F161" s="18" t="str">
        <f aca="false">IFERROR(INDEX('قائمة الوحدات'!$F$2:$F$41,MATCH($B161,'قائمة الوحدات'!$A$2:$A$41,0)),"")</f>
        <v>الإدارة العامة للأصول والمرافق</v>
      </c>
      <c r="G161" s="20" t="s">
        <v>62</v>
      </c>
      <c r="H161" s="18" t="str">
        <f aca="false">IFERROR(INDEX(المرجع!$A$2:$A$19,MATCH($G161,المرجع!$B$2:$B$19,0)),"")</f>
        <v>البناء المؤسسي</v>
      </c>
      <c r="I161" s="20" t="s">
        <v>49</v>
      </c>
      <c r="J161" s="18" t="str">
        <f aca="false">IFERROR(INDEX(المرجع!$D$2:$D$19,MATCH($I161,المرجع!$E$2:$E$19,0)),"")</f>
        <v>الأهداف ومؤشرات الأداء</v>
      </c>
      <c r="K161" s="20" t="s">
        <v>94</v>
      </c>
      <c r="L161" s="21" t="str">
        <f aca="false">IFERROR(INDEX('نقاط التحقق'!$G$2:$G$31,MATCH($K161,'نقاط التحقق'!$A$2:$A$31,0))&amp;"","")</f>
        <v>نشر الأهداف التشغيلية على موظفي الوحدة التنظيمية</v>
      </c>
      <c r="M161" s="18" t="str">
        <f aca="false">IFERROR(INDEX('نقاط التحقق'!$H$2:$H$31,MATCH($K161,'نقاط التحقق'!$A$2:$A$31,0))&amp;"","")</f>
        <v/>
      </c>
      <c r="N161" s="17" t="n">
        <v>75</v>
      </c>
      <c r="O161" s="17" t="n">
        <v>100</v>
      </c>
      <c r="P161" s="19" t="str">
        <f aca="false">IF($N161="","غير مقيّمة",IF($N161&gt;المرجع!$K$3,"مستوفاة بشكل متقدم",IF($N161&lt;=المرجع!$K$2,"مستوفاة بشكل أولي","مستوفاة بشكل جزئي")))</f>
        <v>مستوفاة بشكل متقدم</v>
      </c>
      <c r="Q161" s="22"/>
    </row>
    <row r="162" customFormat="false" ht="15" hidden="false" customHeight="true" outlineLevel="0" collapsed="false">
      <c r="A162" s="20" t="s">
        <v>555</v>
      </c>
      <c r="B162" s="20" t="s">
        <v>174</v>
      </c>
      <c r="C162" s="19" t="str">
        <f aca="false">IFERROR(INDEX('قائمة الوحدات'!$B$2:$B$41,MATCH($B162,'قائمة الوحدات'!$A$2:$A$41,0)),"")</f>
        <v>EXE</v>
      </c>
      <c r="D162" s="18" t="str">
        <f aca="false">IFERROR(INDEX('قائمة الوحدات'!$C$2:$C$41,MATCH($B162,'قائمة الوحدات'!$A$2:$A$41,0)),"")</f>
        <v>الشؤون التنفيذية</v>
      </c>
      <c r="E162" s="18" t="str">
        <f aca="false">IFERROR(INDEX('قائمة الوحدات'!$D$2:$D$41,MATCH($B162,'قائمة الوحدات'!$A$2:$A$41,0)),"")</f>
        <v>وكالة الشؤون الفنية</v>
      </c>
      <c r="F162" s="18" t="str">
        <f aca="false">IFERROR(INDEX('قائمة الوحدات'!$F$2:$F$41,MATCH($B162,'قائمة الوحدات'!$A$2:$A$41,0)),"")</f>
        <v>الإدارة العامة للأصول والمرافق</v>
      </c>
      <c r="G162" s="20" t="s">
        <v>62</v>
      </c>
      <c r="H162" s="18" t="str">
        <f aca="false">IFERROR(INDEX(المرجع!$A$2:$A$19,MATCH($G162,المرجع!$B$2:$B$19,0)),"")</f>
        <v>البناء المؤسسي</v>
      </c>
      <c r="I162" s="20" t="s">
        <v>52</v>
      </c>
      <c r="J162" s="18" t="str">
        <f aca="false">IFERROR(INDEX(المرجع!$D$2:$D$19,MATCH($I162,المرجع!$E$2:$E$19,0)),"")</f>
        <v>الحوكمة</v>
      </c>
      <c r="K162" s="20" t="s">
        <v>96</v>
      </c>
      <c r="L162" s="21" t="str">
        <f aca="false">IFERROR(INDEX('نقاط التحقق'!$G$2:$G$31,MATCH($K162,'نقاط التحقق'!$A$2:$A$31,0))&amp;"","")</f>
        <v>مصفوفة صلاحيات معتمدة ومعممة على أصحاب المصلحة</v>
      </c>
      <c r="M162" s="18" t="str">
        <f aca="false">IFERROR(INDEX('نقاط التحقق'!$H$2:$H$31,MATCH($K162,'نقاط التحقق'!$A$2:$A$31,0))&amp;"","")</f>
        <v/>
      </c>
      <c r="N162" s="17" t="n">
        <v>50</v>
      </c>
      <c r="O162" s="17" t="n">
        <v>85</v>
      </c>
      <c r="P162" s="19" t="str">
        <f aca="false">IF($N162="","غير مقيّمة",IF($N162&gt;المرجع!$K$3,"مستوفاة بشكل متقدم",IF($N162&lt;=المرجع!$K$2,"مستوفاة بشكل أولي","مستوفاة بشكل جزئي")))</f>
        <v>مستوفاة بشكل جزئي</v>
      </c>
      <c r="Q162" s="22"/>
    </row>
    <row r="163" customFormat="false" ht="15" hidden="false" customHeight="true" outlineLevel="0" collapsed="false">
      <c r="A163" s="20" t="s">
        <v>556</v>
      </c>
      <c r="B163" s="20" t="s">
        <v>174</v>
      </c>
      <c r="C163" s="19" t="str">
        <f aca="false">IFERROR(INDEX('قائمة الوحدات'!$B$2:$B$41,MATCH($B163,'قائمة الوحدات'!$A$2:$A$41,0)),"")</f>
        <v>EXE</v>
      </c>
      <c r="D163" s="18" t="str">
        <f aca="false">IFERROR(INDEX('قائمة الوحدات'!$C$2:$C$41,MATCH($B163,'قائمة الوحدات'!$A$2:$A$41,0)),"")</f>
        <v>الشؤون التنفيذية</v>
      </c>
      <c r="E163" s="18" t="str">
        <f aca="false">IFERROR(INDEX('قائمة الوحدات'!$D$2:$D$41,MATCH($B163,'قائمة الوحدات'!$A$2:$A$41,0)),"")</f>
        <v>وكالة الشؤون الفنية</v>
      </c>
      <c r="F163" s="18" t="str">
        <f aca="false">IFERROR(INDEX('قائمة الوحدات'!$F$2:$F$41,MATCH($B163,'قائمة الوحدات'!$A$2:$A$41,0)),"")</f>
        <v>الإدارة العامة للأصول والمرافق</v>
      </c>
      <c r="G163" s="20" t="s">
        <v>62</v>
      </c>
      <c r="H163" s="18" t="str">
        <f aca="false">IFERROR(INDEX(المرجع!$A$2:$A$19,MATCH($G163,المرجع!$B$2:$B$19,0)),"")</f>
        <v>البناء المؤسسي</v>
      </c>
      <c r="I163" s="20" t="s">
        <v>52</v>
      </c>
      <c r="J163" s="18" t="str">
        <f aca="false">IFERROR(INDEX(المرجع!$D$2:$D$19,MATCH($I163,المرجع!$E$2:$E$19,0)),"")</f>
        <v>الحوكمة</v>
      </c>
      <c r="K163" s="20" t="s">
        <v>98</v>
      </c>
      <c r="L163" s="21" t="str">
        <f aca="false">IFERROR(INDEX('نقاط التحقق'!$G$2:$G$31,MATCH($K163,'نقاط التحقق'!$A$2:$A$31,0))&amp;"","")</f>
        <v>سياسات معتمدة للتي تملكها الوحدة التنظيمية</v>
      </c>
      <c r="M163" s="18" t="str">
        <f aca="false">IFERROR(INDEX('نقاط التحقق'!$H$2:$H$31,MATCH($K163,'نقاط التحقق'!$A$2:$A$31,0))&amp;"","")</f>
        <v/>
      </c>
      <c r="N163" s="17" t="n">
        <v>50</v>
      </c>
      <c r="O163" s="17" t="n">
        <v>100</v>
      </c>
      <c r="P163" s="19" t="str">
        <f aca="false">IF($N163="","غير مقيّمة",IF($N163&gt;المرجع!$K$3,"مستوفاة بشكل متقدم",IF($N163&lt;=المرجع!$K$2,"مستوفاة بشكل أولي","مستوفاة بشكل جزئي")))</f>
        <v>مستوفاة بشكل جزئي</v>
      </c>
      <c r="Q163" s="22"/>
    </row>
    <row r="164" customFormat="false" ht="15" hidden="false" customHeight="true" outlineLevel="0" collapsed="false">
      <c r="A164" s="20" t="s">
        <v>557</v>
      </c>
      <c r="B164" s="20" t="s">
        <v>174</v>
      </c>
      <c r="C164" s="19" t="str">
        <f aca="false">IFERROR(INDEX('قائمة الوحدات'!$B$2:$B$41,MATCH($B164,'قائمة الوحدات'!$A$2:$A$41,0)),"")</f>
        <v>EXE</v>
      </c>
      <c r="D164" s="18" t="str">
        <f aca="false">IFERROR(INDEX('قائمة الوحدات'!$C$2:$C$41,MATCH($B164,'قائمة الوحدات'!$A$2:$A$41,0)),"")</f>
        <v>الشؤون التنفيذية</v>
      </c>
      <c r="E164" s="18" t="str">
        <f aca="false">IFERROR(INDEX('قائمة الوحدات'!$D$2:$D$41,MATCH($B164,'قائمة الوحدات'!$A$2:$A$41,0)),"")</f>
        <v>وكالة الشؤون الفنية</v>
      </c>
      <c r="F164" s="18" t="str">
        <f aca="false">IFERROR(INDEX('قائمة الوحدات'!$F$2:$F$41,MATCH($B164,'قائمة الوحدات'!$A$2:$A$41,0)),"")</f>
        <v>الإدارة العامة للأصول والمرافق</v>
      </c>
      <c r="G164" s="20" t="s">
        <v>62</v>
      </c>
      <c r="H164" s="18" t="str">
        <f aca="false">IFERROR(INDEX(المرجع!$A$2:$A$19,MATCH($G164,المرجع!$B$2:$B$19,0)),"")</f>
        <v>البناء المؤسسي</v>
      </c>
      <c r="I164" s="20" t="s">
        <v>52</v>
      </c>
      <c r="J164" s="18" t="str">
        <f aca="false">IFERROR(INDEX(المرجع!$D$2:$D$19,MATCH($I164,المرجع!$E$2:$E$19,0)),"")</f>
        <v>الحوكمة</v>
      </c>
      <c r="K164" s="20" t="s">
        <v>100</v>
      </c>
      <c r="L164" s="21" t="str">
        <f aca="false">IFERROR(INDEX('نقاط التحقق'!$G$2:$G$31,MATCH($K164,'نقاط التحقق'!$A$2:$A$31,0))&amp;"","")</f>
        <v>قرار تشكيل معتمد للجان ذات العلاقة</v>
      </c>
      <c r="M164" s="18" t="str">
        <f aca="false">IFERROR(INDEX('نقاط التحقق'!$H$2:$H$31,MATCH($K164,'نقاط التحقق'!$A$2:$A$31,0))&amp;"","")</f>
        <v/>
      </c>
      <c r="N164" s="17" t="n">
        <v>65</v>
      </c>
      <c r="O164" s="17" t="n">
        <v>85</v>
      </c>
      <c r="P164" s="19" t="str">
        <f aca="false">IF($N164="","غير مقيّمة",IF($N164&gt;المرجع!$K$3,"مستوفاة بشكل متقدم",IF($N164&lt;=المرجع!$K$2,"مستوفاة بشكل أولي","مستوفاة بشكل جزئي")))</f>
        <v>مستوفاة بشكل جزئي</v>
      </c>
      <c r="Q164" s="22"/>
    </row>
    <row r="165" customFormat="false" ht="15" hidden="false" customHeight="true" outlineLevel="0" collapsed="false">
      <c r="A165" s="20" t="s">
        <v>558</v>
      </c>
      <c r="B165" s="20" t="s">
        <v>174</v>
      </c>
      <c r="C165" s="19" t="str">
        <f aca="false">IFERROR(INDEX('قائمة الوحدات'!$B$2:$B$41,MATCH($B165,'قائمة الوحدات'!$A$2:$A$41,0)),"")</f>
        <v>EXE</v>
      </c>
      <c r="D165" s="18" t="str">
        <f aca="false">IFERROR(INDEX('قائمة الوحدات'!$C$2:$C$41,MATCH($B165,'قائمة الوحدات'!$A$2:$A$41,0)),"")</f>
        <v>الشؤون التنفيذية</v>
      </c>
      <c r="E165" s="18" t="str">
        <f aca="false">IFERROR(INDEX('قائمة الوحدات'!$D$2:$D$41,MATCH($B165,'قائمة الوحدات'!$A$2:$A$41,0)),"")</f>
        <v>وكالة الشؤون الفنية</v>
      </c>
      <c r="F165" s="18" t="str">
        <f aca="false">IFERROR(INDEX('قائمة الوحدات'!$F$2:$F$41,MATCH($B165,'قائمة الوحدات'!$A$2:$A$41,0)),"")</f>
        <v>الإدارة العامة للأصول والمرافق</v>
      </c>
      <c r="G165" s="20" t="s">
        <v>62</v>
      </c>
      <c r="H165" s="18" t="str">
        <f aca="false">IFERROR(INDEX(المرجع!$A$2:$A$19,MATCH($G165,المرجع!$B$2:$B$19,0)),"")</f>
        <v>البناء المؤسسي</v>
      </c>
      <c r="I165" s="20" t="s">
        <v>55</v>
      </c>
      <c r="J165" s="18" t="str">
        <f aca="false">IFERROR(INDEX(المرجع!$D$2:$D$19,MATCH($I165,المرجع!$E$2:$E$19,0)),"")</f>
        <v>التنظيم</v>
      </c>
      <c r="K165" s="20" t="s">
        <v>102</v>
      </c>
      <c r="L165" s="21" t="str">
        <f aca="false">IFERROR(INDEX('نقاط التحقق'!$G$2:$G$31,MATCH($K165,'نقاط التحقق'!$A$2:$A$31,0))&amp;"","")</f>
        <v>هيكل تنظيمي معتمد من صاحب الصلاحية</v>
      </c>
      <c r="M165" s="18" t="str">
        <f aca="false">IFERROR(INDEX('نقاط التحقق'!$H$2:$H$31,MATCH($K165,'نقاط التحقق'!$A$2:$A$31,0))&amp;"","")</f>
        <v/>
      </c>
      <c r="N165" s="17" t="n">
        <v>40</v>
      </c>
      <c r="O165" s="17" t="n">
        <v>100</v>
      </c>
      <c r="P165" s="19" t="str">
        <f aca="false">IF($N165="","غير مقيّمة",IF($N165&gt;المرجع!$K$3,"مستوفاة بشكل متقدم",IF($N165&lt;=المرجع!$K$2,"مستوفاة بشكل أولي","مستوفاة بشكل جزئي")))</f>
        <v>مستوفاة بشكل جزئي</v>
      </c>
      <c r="Q165" s="22"/>
    </row>
    <row r="166" customFormat="false" ht="15" hidden="false" customHeight="true" outlineLevel="0" collapsed="false">
      <c r="A166" s="20" t="s">
        <v>559</v>
      </c>
      <c r="B166" s="20" t="s">
        <v>174</v>
      </c>
      <c r="C166" s="19" t="str">
        <f aca="false">IFERROR(INDEX('قائمة الوحدات'!$B$2:$B$41,MATCH($B166,'قائمة الوحدات'!$A$2:$A$41,0)),"")</f>
        <v>EXE</v>
      </c>
      <c r="D166" s="18" t="str">
        <f aca="false">IFERROR(INDEX('قائمة الوحدات'!$C$2:$C$41,MATCH($B166,'قائمة الوحدات'!$A$2:$A$41,0)),"")</f>
        <v>الشؤون التنفيذية</v>
      </c>
      <c r="E166" s="18" t="str">
        <f aca="false">IFERROR(INDEX('قائمة الوحدات'!$D$2:$D$41,MATCH($B166,'قائمة الوحدات'!$A$2:$A$41,0)),"")</f>
        <v>وكالة الشؤون الفنية</v>
      </c>
      <c r="F166" s="18" t="str">
        <f aca="false">IFERROR(INDEX('قائمة الوحدات'!$F$2:$F$41,MATCH($B166,'قائمة الوحدات'!$A$2:$A$41,0)),"")</f>
        <v>الإدارة العامة للأصول والمرافق</v>
      </c>
      <c r="G166" s="20" t="s">
        <v>62</v>
      </c>
      <c r="H166" s="18" t="str">
        <f aca="false">IFERROR(INDEX(المرجع!$A$2:$A$19,MATCH($G166,المرجع!$B$2:$B$19,0)),"")</f>
        <v>البناء المؤسسي</v>
      </c>
      <c r="I166" s="20" t="s">
        <v>55</v>
      </c>
      <c r="J166" s="18" t="str">
        <f aca="false">IFERROR(INDEX(المرجع!$D$2:$D$19,MATCH($I166,المرجع!$E$2:$E$19,0)),"")</f>
        <v>التنظيم</v>
      </c>
      <c r="K166" s="20" t="s">
        <v>104</v>
      </c>
      <c r="L166" s="21" t="str">
        <f aca="false">IFERROR(INDEX('نقاط التحقق'!$G$2:$G$31,MATCH($K166,'نقاط التحقق'!$A$2:$A$31,0))&amp;"","")</f>
        <v>هيكل تنظيمي منشأ على نظام القوى العاملة</v>
      </c>
      <c r="M166" s="18" t="str">
        <f aca="false">IFERROR(INDEX('نقاط التحقق'!$H$2:$H$31,MATCH($K166,'نقاط التحقق'!$A$2:$A$31,0))&amp;"","")</f>
        <v/>
      </c>
      <c r="N166" s="17" t="n">
        <v>35</v>
      </c>
      <c r="O166" s="17" t="n">
        <v>95</v>
      </c>
      <c r="P166" s="19" t="str">
        <f aca="false">IF($N166="","غير مقيّمة",IF($N166&gt;المرجع!$K$3,"مستوفاة بشكل متقدم",IF($N166&lt;=المرجع!$K$2,"مستوفاة بشكل أولي","مستوفاة بشكل جزئي")))</f>
        <v>مستوفاة بشكل جزئي</v>
      </c>
      <c r="Q166" s="22"/>
    </row>
    <row r="167" customFormat="false" ht="15" hidden="false" customHeight="true" outlineLevel="0" collapsed="false">
      <c r="A167" s="20" t="s">
        <v>560</v>
      </c>
      <c r="B167" s="20" t="s">
        <v>174</v>
      </c>
      <c r="C167" s="19" t="str">
        <f aca="false">IFERROR(INDEX('قائمة الوحدات'!$B$2:$B$41,MATCH($B167,'قائمة الوحدات'!$A$2:$A$41,0)),"")</f>
        <v>EXE</v>
      </c>
      <c r="D167" s="18" t="str">
        <f aca="false">IFERROR(INDEX('قائمة الوحدات'!$C$2:$C$41,MATCH($B167,'قائمة الوحدات'!$A$2:$A$41,0)),"")</f>
        <v>الشؤون التنفيذية</v>
      </c>
      <c r="E167" s="18" t="str">
        <f aca="false">IFERROR(INDEX('قائمة الوحدات'!$D$2:$D$41,MATCH($B167,'قائمة الوحدات'!$A$2:$A$41,0)),"")</f>
        <v>وكالة الشؤون الفنية</v>
      </c>
      <c r="F167" s="18" t="str">
        <f aca="false">IFERROR(INDEX('قائمة الوحدات'!$F$2:$F$41,MATCH($B167,'قائمة الوحدات'!$A$2:$A$41,0)),"")</f>
        <v>الإدارة العامة للأصول والمرافق</v>
      </c>
      <c r="G167" s="20" t="s">
        <v>62</v>
      </c>
      <c r="H167" s="18" t="str">
        <f aca="false">IFERROR(INDEX(المرجع!$A$2:$A$19,MATCH($G167,المرجع!$B$2:$B$19,0)),"")</f>
        <v>البناء المؤسسي</v>
      </c>
      <c r="I167" s="20" t="s">
        <v>55</v>
      </c>
      <c r="J167" s="18" t="str">
        <f aca="false">IFERROR(INDEX(المرجع!$D$2:$D$19,MATCH($I167,المرجع!$E$2:$E$19,0)),"")</f>
        <v>التنظيم</v>
      </c>
      <c r="K167" s="20" t="s">
        <v>106</v>
      </c>
      <c r="L167" s="21" t="str">
        <f aca="false">IFERROR(INDEX('نقاط التحقق'!$G$2:$G$31,MATCH($K167,'نقاط التحقق'!$A$2:$A$31,0))&amp;"","")</f>
        <v>الموظفون المحددون مسكّنون على الهيكل التنظيمي المستهدف</v>
      </c>
      <c r="M167" s="18" t="str">
        <f aca="false">IFERROR(INDEX('نقاط التحقق'!$H$2:$H$31,MATCH($K167,'نقاط التحقق'!$A$2:$A$31,0))&amp;"","")</f>
        <v/>
      </c>
      <c r="N167" s="17" t="n">
        <v>40</v>
      </c>
      <c r="O167" s="17" t="n">
        <v>100</v>
      </c>
      <c r="P167" s="19" t="str">
        <f aca="false">IF($N167="","غير مقيّمة",IF($N167&gt;المرجع!$K$3,"مستوفاة بشكل متقدم",IF($N167&lt;=المرجع!$K$2,"مستوفاة بشكل أولي","مستوفاة بشكل جزئي")))</f>
        <v>مستوفاة بشكل جزئي</v>
      </c>
      <c r="Q167" s="22"/>
    </row>
    <row r="168" customFormat="false" ht="15" hidden="false" customHeight="true" outlineLevel="0" collapsed="false">
      <c r="A168" s="20" t="s">
        <v>561</v>
      </c>
      <c r="B168" s="20" t="s">
        <v>174</v>
      </c>
      <c r="C168" s="19" t="str">
        <f aca="false">IFERROR(INDEX('قائمة الوحدات'!$B$2:$B$41,MATCH($B168,'قائمة الوحدات'!$A$2:$A$41,0)),"")</f>
        <v>EXE</v>
      </c>
      <c r="D168" s="18" t="str">
        <f aca="false">IFERROR(INDEX('قائمة الوحدات'!$C$2:$C$41,MATCH($B168,'قائمة الوحدات'!$A$2:$A$41,0)),"")</f>
        <v>الشؤون التنفيذية</v>
      </c>
      <c r="E168" s="18" t="str">
        <f aca="false">IFERROR(INDEX('قائمة الوحدات'!$D$2:$D$41,MATCH($B168,'قائمة الوحدات'!$A$2:$A$41,0)),"")</f>
        <v>وكالة الشؤون الفنية</v>
      </c>
      <c r="F168" s="18" t="str">
        <f aca="false">IFERROR(INDEX('قائمة الوحدات'!$F$2:$F$41,MATCH($B168,'قائمة الوحدات'!$A$2:$A$41,0)),"")</f>
        <v>الإدارة العامة للأصول والمرافق</v>
      </c>
      <c r="G168" s="20" t="s">
        <v>62</v>
      </c>
      <c r="H168" s="18" t="str">
        <f aca="false">IFERROR(INDEX(المرجع!$A$2:$A$19,MATCH($G168,المرجع!$B$2:$B$19,0)),"")</f>
        <v>البناء المؤسسي</v>
      </c>
      <c r="I168" s="20" t="s">
        <v>57</v>
      </c>
      <c r="J168" s="18" t="str">
        <f aca="false">IFERROR(INDEX(المرجع!$D$2:$D$19,MATCH($I168,المرجع!$E$2:$E$19,0)),"")</f>
        <v>الموارد</v>
      </c>
      <c r="K168" s="20" t="s">
        <v>108</v>
      </c>
      <c r="L168" s="21" t="str">
        <f aca="false">IFERROR(INDEX('نقاط التحقق'!$G$2:$G$31,MATCH($K168,'نقاط التحقق'!$A$2:$A$31,0))&amp;"","")</f>
        <v>مدير الوحدة التنظيمية والموظفون الرئيسيون معينون/ملحقون</v>
      </c>
      <c r="M168" s="18" t="str">
        <f aca="false">IFERROR(INDEX('نقاط التحقق'!$H$2:$H$31,MATCH($K168,'نقاط التحقق'!$A$2:$A$31,0))&amp;"","")</f>
        <v/>
      </c>
      <c r="N168" s="17" t="n">
        <v>50</v>
      </c>
      <c r="O168" s="17" t="n">
        <v>100</v>
      </c>
      <c r="P168" s="19" t="str">
        <f aca="false">IF($N168="","غير مقيّمة",IF($N168&gt;المرجع!$K$3,"مستوفاة بشكل متقدم",IF($N168&lt;=المرجع!$K$2,"مستوفاة بشكل أولي","مستوفاة بشكل جزئي")))</f>
        <v>مستوفاة بشكل جزئي</v>
      </c>
      <c r="Q168" s="22"/>
    </row>
    <row r="169" customFormat="false" ht="15" hidden="false" customHeight="true" outlineLevel="0" collapsed="false">
      <c r="A169" s="20" t="s">
        <v>562</v>
      </c>
      <c r="B169" s="20" t="s">
        <v>174</v>
      </c>
      <c r="C169" s="19" t="str">
        <f aca="false">IFERROR(INDEX('قائمة الوحدات'!$B$2:$B$41,MATCH($B169,'قائمة الوحدات'!$A$2:$A$41,0)),"")</f>
        <v>EXE</v>
      </c>
      <c r="D169" s="18" t="str">
        <f aca="false">IFERROR(INDEX('قائمة الوحدات'!$C$2:$C$41,MATCH($B169,'قائمة الوحدات'!$A$2:$A$41,0)),"")</f>
        <v>الشؤون التنفيذية</v>
      </c>
      <c r="E169" s="18" t="str">
        <f aca="false">IFERROR(INDEX('قائمة الوحدات'!$D$2:$D$41,MATCH($B169,'قائمة الوحدات'!$A$2:$A$41,0)),"")</f>
        <v>وكالة الشؤون الفنية</v>
      </c>
      <c r="F169" s="18" t="str">
        <f aca="false">IFERROR(INDEX('قائمة الوحدات'!$F$2:$F$41,MATCH($B169,'قائمة الوحدات'!$A$2:$A$41,0)),"")</f>
        <v>الإدارة العامة للأصول والمرافق</v>
      </c>
      <c r="G169" s="20" t="s">
        <v>62</v>
      </c>
      <c r="H169" s="18" t="str">
        <f aca="false">IFERROR(INDEX(المرجع!$A$2:$A$19,MATCH($G169,المرجع!$B$2:$B$19,0)),"")</f>
        <v>البناء المؤسسي</v>
      </c>
      <c r="I169" s="20" t="s">
        <v>57</v>
      </c>
      <c r="J169" s="18" t="str">
        <f aca="false">IFERROR(INDEX(المرجع!$D$2:$D$19,MATCH($I169,المرجع!$E$2:$E$19,0)),"")</f>
        <v>الموارد</v>
      </c>
      <c r="K169" s="20" t="s">
        <v>110</v>
      </c>
      <c r="L169" s="21" t="str">
        <f aca="false">IFERROR(INDEX('نقاط التحقق'!$G$2:$G$31,MATCH($K169,'نقاط التحقق'!$A$2:$A$31,0))&amp;"","")</f>
        <v>خطة توظيف وتدريب مستكملة</v>
      </c>
      <c r="M169" s="18" t="str">
        <f aca="false">IFERROR(INDEX('نقاط التحقق'!$H$2:$H$31,MATCH($K169,'نقاط التحقق'!$A$2:$A$31,0))&amp;"","")</f>
        <v/>
      </c>
      <c r="N169" s="17" t="n">
        <v>50</v>
      </c>
      <c r="O169" s="17" t="n">
        <v>85</v>
      </c>
      <c r="P169" s="19" t="str">
        <f aca="false">IF($N169="","غير مقيّمة",IF($N169&gt;المرجع!$K$3,"مستوفاة بشكل متقدم",IF($N169&lt;=المرجع!$K$2,"مستوفاة بشكل أولي","مستوفاة بشكل جزئي")))</f>
        <v>مستوفاة بشكل جزئي</v>
      </c>
      <c r="Q169" s="22"/>
    </row>
    <row r="170" customFormat="false" ht="15" hidden="false" customHeight="true" outlineLevel="0" collapsed="false">
      <c r="A170" s="20" t="s">
        <v>563</v>
      </c>
      <c r="B170" s="20" t="s">
        <v>174</v>
      </c>
      <c r="C170" s="19" t="str">
        <f aca="false">IFERROR(INDEX('قائمة الوحدات'!$B$2:$B$41,MATCH($B170,'قائمة الوحدات'!$A$2:$A$41,0)),"")</f>
        <v>EXE</v>
      </c>
      <c r="D170" s="18" t="str">
        <f aca="false">IFERROR(INDEX('قائمة الوحدات'!$C$2:$C$41,MATCH($B170,'قائمة الوحدات'!$A$2:$A$41,0)),"")</f>
        <v>الشؤون التنفيذية</v>
      </c>
      <c r="E170" s="18" t="str">
        <f aca="false">IFERROR(INDEX('قائمة الوحدات'!$D$2:$D$41,MATCH($B170,'قائمة الوحدات'!$A$2:$A$41,0)),"")</f>
        <v>وكالة الشؤون الفنية</v>
      </c>
      <c r="F170" s="18" t="str">
        <f aca="false">IFERROR(INDEX('قائمة الوحدات'!$F$2:$F$41,MATCH($B170,'قائمة الوحدات'!$A$2:$A$41,0)),"")</f>
        <v>الإدارة العامة للأصول والمرافق</v>
      </c>
      <c r="G170" s="20" t="s">
        <v>62</v>
      </c>
      <c r="H170" s="18" t="str">
        <f aca="false">IFERROR(INDEX(المرجع!$A$2:$A$19,MATCH($G170,المرجع!$B$2:$B$19,0)),"")</f>
        <v>البناء المؤسسي</v>
      </c>
      <c r="I170" s="20" t="s">
        <v>57</v>
      </c>
      <c r="J170" s="18" t="str">
        <f aca="false">IFERROR(INDEX(المرجع!$D$2:$D$19,MATCH($I170,المرجع!$E$2:$E$19,0)),"")</f>
        <v>الموارد</v>
      </c>
      <c r="K170" s="20" t="s">
        <v>112</v>
      </c>
      <c r="L170" s="21" t="str">
        <f aca="false">IFERROR(INDEX('نقاط التحقق'!$G$2:$G$31,MATCH($K170,'نقاط التحقق'!$A$2:$A$31,0))&amp;"","")</f>
        <v>وجود مساحات مكتبية كافية</v>
      </c>
      <c r="M170" s="18" t="str">
        <f aca="false">IFERROR(INDEX('نقاط التحقق'!$H$2:$H$31,MATCH($K170,'نقاط التحقق'!$A$2:$A$31,0))&amp;"","")</f>
        <v/>
      </c>
      <c r="N170" s="17" t="n">
        <v>65</v>
      </c>
      <c r="O170" s="17" t="n">
        <v>85</v>
      </c>
      <c r="P170" s="19" t="str">
        <f aca="false">IF($N170="","غير مقيّمة",IF($N170&gt;المرجع!$K$3,"مستوفاة بشكل متقدم",IF($N170&lt;=المرجع!$K$2,"مستوفاة بشكل أولي","مستوفاة بشكل جزئي")))</f>
        <v>مستوفاة بشكل جزئي</v>
      </c>
      <c r="Q170" s="22"/>
    </row>
    <row r="171" customFormat="false" ht="15" hidden="false" customHeight="true" outlineLevel="0" collapsed="false">
      <c r="A171" s="20" t="s">
        <v>564</v>
      </c>
      <c r="B171" s="20" t="s">
        <v>174</v>
      </c>
      <c r="C171" s="19" t="str">
        <f aca="false">IFERROR(INDEX('قائمة الوحدات'!$B$2:$B$41,MATCH($B171,'قائمة الوحدات'!$A$2:$A$41,0)),"")</f>
        <v>EXE</v>
      </c>
      <c r="D171" s="18" t="str">
        <f aca="false">IFERROR(INDEX('قائمة الوحدات'!$C$2:$C$41,MATCH($B171,'قائمة الوحدات'!$A$2:$A$41,0)),"")</f>
        <v>الشؤون التنفيذية</v>
      </c>
      <c r="E171" s="18" t="str">
        <f aca="false">IFERROR(INDEX('قائمة الوحدات'!$D$2:$D$41,MATCH($B171,'قائمة الوحدات'!$A$2:$A$41,0)),"")</f>
        <v>وكالة الشؤون الفنية</v>
      </c>
      <c r="F171" s="18" t="str">
        <f aca="false">IFERROR(INDEX('قائمة الوحدات'!$F$2:$F$41,MATCH($B171,'قائمة الوحدات'!$A$2:$A$41,0)),"")</f>
        <v>الإدارة العامة للأصول والمرافق</v>
      </c>
      <c r="G171" s="20" t="s">
        <v>62</v>
      </c>
      <c r="H171" s="18" t="str">
        <f aca="false">IFERROR(INDEX(المرجع!$A$2:$A$19,MATCH($G171,المرجع!$B$2:$B$19,0)),"")</f>
        <v>البناء المؤسسي</v>
      </c>
      <c r="I171" s="20" t="s">
        <v>57</v>
      </c>
      <c r="J171" s="18" t="str">
        <f aca="false">IFERROR(INDEX(المرجع!$D$2:$D$19,MATCH($I171,المرجع!$E$2:$E$19,0)),"")</f>
        <v>الموارد</v>
      </c>
      <c r="K171" s="20" t="s">
        <v>114</v>
      </c>
      <c r="L171" s="21" t="str">
        <f aca="false">IFERROR(INDEX('نقاط التحقق'!$G$2:$G$31,MATCH($K171,'نقاط التحقق'!$A$2:$A$31,0))&amp;"","")</f>
        <v>وجود الاحتياجات التقنية الأساسية</v>
      </c>
      <c r="M171" s="18" t="str">
        <f aca="false">IFERROR(INDEX('نقاط التحقق'!$H$2:$H$31,MATCH($K171,'نقاط التحقق'!$A$2:$A$31,0))&amp;"","")</f>
        <v/>
      </c>
      <c r="N171" s="17" t="n">
        <v>65</v>
      </c>
      <c r="O171" s="17" t="n">
        <v>100</v>
      </c>
      <c r="P171" s="19" t="str">
        <f aca="false">IF($N171="","غير مقيّمة",IF($N171&gt;المرجع!$K$3,"مستوفاة بشكل متقدم",IF($N171&lt;=المرجع!$K$2,"مستوفاة بشكل أولي","مستوفاة بشكل جزئي")))</f>
        <v>مستوفاة بشكل جزئي</v>
      </c>
      <c r="Q171" s="22"/>
    </row>
    <row r="172" customFormat="false" ht="15" hidden="false" customHeight="true" outlineLevel="0" collapsed="false">
      <c r="A172" s="20" t="s">
        <v>565</v>
      </c>
      <c r="B172" s="20" t="s">
        <v>174</v>
      </c>
      <c r="C172" s="19" t="str">
        <f aca="false">IFERROR(INDEX('قائمة الوحدات'!$B$2:$B$41,MATCH($B172,'قائمة الوحدات'!$A$2:$A$41,0)),"")</f>
        <v>EXE</v>
      </c>
      <c r="D172" s="18" t="str">
        <f aca="false">IFERROR(INDEX('قائمة الوحدات'!$C$2:$C$41,MATCH($B172,'قائمة الوحدات'!$A$2:$A$41,0)),"")</f>
        <v>الشؤون التنفيذية</v>
      </c>
      <c r="E172" s="18" t="str">
        <f aca="false">IFERROR(INDEX('قائمة الوحدات'!$D$2:$D$41,MATCH($B172,'قائمة الوحدات'!$A$2:$A$41,0)),"")</f>
        <v>وكالة الشؤون الفنية</v>
      </c>
      <c r="F172" s="18" t="str">
        <f aca="false">IFERROR(INDEX('قائمة الوحدات'!$F$2:$F$41,MATCH($B172,'قائمة الوحدات'!$A$2:$A$41,0)),"")</f>
        <v>الإدارة العامة للأصول والمرافق</v>
      </c>
      <c r="G172" s="20" t="s">
        <v>62</v>
      </c>
      <c r="H172" s="18" t="str">
        <f aca="false">IFERROR(INDEX(المرجع!$A$2:$A$19,MATCH($G172,المرجع!$B$2:$B$19,0)),"")</f>
        <v>البناء المؤسسي</v>
      </c>
      <c r="I172" s="20" t="s">
        <v>60</v>
      </c>
      <c r="J172" s="18" t="str">
        <f aca="false">IFERROR(INDEX(المرجع!$D$2:$D$19,MATCH($I172,المرجع!$E$2:$E$19,0)),"")</f>
        <v>الإجراءات</v>
      </c>
      <c r="K172" s="20" t="s">
        <v>116</v>
      </c>
      <c r="L172" s="21" t="str">
        <f aca="false">IFERROR(INDEX('نقاط التحقق'!$G$2:$G$31,MATCH($K172,'نقاط التحقق'!$A$2:$A$31,0))&amp;"","")</f>
        <v>إجراءات معتمدة للوحدة التنظيمية</v>
      </c>
      <c r="M172" s="18" t="str">
        <f aca="false">IFERROR(INDEX('نقاط التحقق'!$H$2:$H$31,MATCH($K172,'نقاط التحقق'!$A$2:$A$31,0))&amp;"","")</f>
        <v/>
      </c>
      <c r="N172" s="17" t="n">
        <v>74</v>
      </c>
      <c r="O172" s="17" t="n">
        <v>95</v>
      </c>
      <c r="P172" s="19" t="str">
        <f aca="false">IF($N172="","غير مقيّمة",IF($N172&gt;المرجع!$K$3,"مستوفاة بشكل متقدم",IF($N172&lt;=المرجع!$K$2,"مستوفاة بشكل أولي","مستوفاة بشكل جزئي")))</f>
        <v>مستوفاة بشكل متقدم</v>
      </c>
      <c r="Q172" s="22"/>
    </row>
    <row r="173" customFormat="false" ht="15" hidden="false" customHeight="true" outlineLevel="0" collapsed="false">
      <c r="A173" s="20" t="s">
        <v>566</v>
      </c>
      <c r="B173" s="20" t="s">
        <v>174</v>
      </c>
      <c r="C173" s="19" t="str">
        <f aca="false">IFERROR(INDEX('قائمة الوحدات'!$B$2:$B$41,MATCH($B173,'قائمة الوحدات'!$A$2:$A$41,0)),"")</f>
        <v>EXE</v>
      </c>
      <c r="D173" s="18" t="str">
        <f aca="false">IFERROR(INDEX('قائمة الوحدات'!$C$2:$C$41,MATCH($B173,'قائمة الوحدات'!$A$2:$A$41,0)),"")</f>
        <v>الشؤون التنفيذية</v>
      </c>
      <c r="E173" s="18" t="str">
        <f aca="false">IFERROR(INDEX('قائمة الوحدات'!$D$2:$D$41,MATCH($B173,'قائمة الوحدات'!$A$2:$A$41,0)),"")</f>
        <v>وكالة الشؤون الفنية</v>
      </c>
      <c r="F173" s="18" t="str">
        <f aca="false">IFERROR(INDEX('قائمة الوحدات'!$F$2:$F$41,MATCH($B173,'قائمة الوحدات'!$A$2:$A$41,0)),"")</f>
        <v>الإدارة العامة للأصول والمرافق</v>
      </c>
      <c r="G173" s="20" t="s">
        <v>62</v>
      </c>
      <c r="H173" s="18" t="str">
        <f aca="false">IFERROR(INDEX(المرجع!$A$2:$A$19,MATCH($G173,المرجع!$B$2:$B$19,0)),"")</f>
        <v>البناء المؤسسي</v>
      </c>
      <c r="I173" s="20" t="s">
        <v>69</v>
      </c>
      <c r="J173" s="18" t="str">
        <f aca="false">IFERROR(INDEX(المرجع!$D$2:$D$19,MATCH($I173,المرجع!$E$2:$E$19,0)),"")</f>
        <v>إنتاج المخرج الأول</v>
      </c>
      <c r="K173" s="20" t="s">
        <v>118</v>
      </c>
      <c r="L173" s="21" t="str">
        <f aca="false">IFERROR(INDEX('نقاط التحقق'!$G$2:$G$31,MATCH($K173,'نقاط التحقق'!$A$2:$A$31,0))&amp;"","")</f>
        <v>إنتاج المخرج الأول من قبل الوحدة التنظيمية</v>
      </c>
      <c r="M173" s="18" t="str">
        <f aca="false">IFERROR(INDEX('نقاط التحقق'!$H$2:$H$31,MATCH($K173,'نقاط التحقق'!$A$2:$A$31,0))&amp;"","")</f>
        <v/>
      </c>
      <c r="N173" s="17" t="n">
        <v>42</v>
      </c>
      <c r="O173" s="17" t="n">
        <v>90</v>
      </c>
      <c r="P173" s="19" t="str">
        <f aca="false">IF($N173="","غير مقيّمة",IF($N173&gt;المرجع!$K$3,"مستوفاة بشكل متقدم",IF($N173&lt;=المرجع!$K$2,"مستوفاة بشكل أولي","مستوفاة بشكل جزئي")))</f>
        <v>مستوفاة بشكل جزئي</v>
      </c>
      <c r="Q173" s="22"/>
    </row>
    <row r="174" customFormat="false" ht="15" hidden="false" customHeight="true" outlineLevel="0" collapsed="false">
      <c r="A174" s="20" t="s">
        <v>567</v>
      </c>
      <c r="B174" s="20" t="s">
        <v>174</v>
      </c>
      <c r="C174" s="19" t="str">
        <f aca="false">IFERROR(INDEX('قائمة الوحدات'!$B$2:$B$41,MATCH($B174,'قائمة الوحدات'!$A$2:$A$41,0)),"")</f>
        <v>EXE</v>
      </c>
      <c r="D174" s="18" t="str">
        <f aca="false">IFERROR(INDEX('قائمة الوحدات'!$C$2:$C$41,MATCH($B174,'قائمة الوحدات'!$A$2:$A$41,0)),"")</f>
        <v>الشؤون التنفيذية</v>
      </c>
      <c r="E174" s="18" t="str">
        <f aca="false">IFERROR(INDEX('قائمة الوحدات'!$D$2:$D$41,MATCH($B174,'قائمة الوحدات'!$A$2:$A$41,0)),"")</f>
        <v>وكالة الشؤون الفنية</v>
      </c>
      <c r="F174" s="18" t="str">
        <f aca="false">IFERROR(INDEX('قائمة الوحدات'!$F$2:$F$41,MATCH($B174,'قائمة الوحدات'!$A$2:$A$41,0)),"")</f>
        <v>الإدارة العامة للأصول والمرافق</v>
      </c>
      <c r="G174" s="20" t="s">
        <v>66</v>
      </c>
      <c r="H174" s="18" t="str">
        <f aca="false">IFERROR(INDEX(المرجع!$A$2:$A$19,MATCH($G174,المرجع!$B$2:$B$19,0)),"")</f>
        <v>التشغيل</v>
      </c>
      <c r="I174" s="20" t="s">
        <v>49</v>
      </c>
      <c r="J174" s="18" t="str">
        <f aca="false">IFERROR(INDEX(المرجع!$D$2:$D$19,MATCH($I174,المرجع!$E$2:$E$19,0)),"")</f>
        <v>الأهداف ومؤشرات الأداء</v>
      </c>
      <c r="K174" s="20" t="s">
        <v>120</v>
      </c>
      <c r="L174" s="21" t="str">
        <f aca="false">IFERROR(INDEX('نقاط التحقق'!$G$2:$G$31,MATCH($K174,'نقاط التحقق'!$A$2:$A$31,0))&amp;"","")</f>
        <v>تحرك مؤشرات الأداء التشغيلي للوحدة التنظيمية بشكل إيجابي</v>
      </c>
      <c r="M174" s="18" t="str">
        <f aca="false">IFERROR(INDEX('نقاط التحقق'!$H$2:$H$31,MATCH($K174,'نقاط التحقق'!$A$2:$A$31,0))&amp;"","")</f>
        <v/>
      </c>
      <c r="N174" s="17" t="n">
        <v>70</v>
      </c>
      <c r="O174" s="17" t="n">
        <v>100</v>
      </c>
      <c r="P174" s="19" t="str">
        <f aca="false">IF($N174="","غير مقيّمة",IF($N174&gt;المرجع!$K$3,"مستوفاة بشكل متقدم",IF($N174&lt;=المرجع!$K$2,"مستوفاة بشكل أولي","مستوفاة بشكل جزئي")))</f>
        <v>مستوفاة بشكل جزئي</v>
      </c>
      <c r="Q174" s="22"/>
    </row>
    <row r="175" customFormat="false" ht="15" hidden="false" customHeight="true" outlineLevel="0" collapsed="false">
      <c r="A175" s="20" t="s">
        <v>568</v>
      </c>
      <c r="B175" s="20" t="s">
        <v>174</v>
      </c>
      <c r="C175" s="19" t="str">
        <f aca="false">IFERROR(INDEX('قائمة الوحدات'!$B$2:$B$41,MATCH($B175,'قائمة الوحدات'!$A$2:$A$41,0)),"")</f>
        <v>EXE</v>
      </c>
      <c r="D175" s="18" t="str">
        <f aca="false">IFERROR(INDEX('قائمة الوحدات'!$C$2:$C$41,MATCH($B175,'قائمة الوحدات'!$A$2:$A$41,0)),"")</f>
        <v>الشؤون التنفيذية</v>
      </c>
      <c r="E175" s="18" t="str">
        <f aca="false">IFERROR(INDEX('قائمة الوحدات'!$D$2:$D$41,MATCH($B175,'قائمة الوحدات'!$A$2:$A$41,0)),"")</f>
        <v>وكالة الشؤون الفنية</v>
      </c>
      <c r="F175" s="18" t="str">
        <f aca="false">IFERROR(INDEX('قائمة الوحدات'!$F$2:$F$41,MATCH($B175,'قائمة الوحدات'!$A$2:$A$41,0)),"")</f>
        <v>الإدارة العامة للأصول والمرافق</v>
      </c>
      <c r="G175" s="20" t="s">
        <v>66</v>
      </c>
      <c r="H175" s="18" t="str">
        <f aca="false">IFERROR(INDEX(المرجع!$A$2:$A$19,MATCH($G175,المرجع!$B$2:$B$19,0)),"")</f>
        <v>التشغيل</v>
      </c>
      <c r="I175" s="20" t="s">
        <v>49</v>
      </c>
      <c r="J175" s="18" t="str">
        <f aca="false">IFERROR(INDEX(المرجع!$D$2:$D$19,MATCH($I175,المرجع!$E$2:$E$19,0)),"")</f>
        <v>الأهداف ومؤشرات الأداء</v>
      </c>
      <c r="K175" s="20" t="s">
        <v>122</v>
      </c>
      <c r="L175" s="21" t="str">
        <f aca="false">IFERROR(INDEX('نقاط التحقق'!$G$2:$G$31,MATCH($K175,'نقاط التحقق'!$A$2:$A$31,0))&amp;"","")</f>
        <v>خطة سنوية معتمدة للوحدة التنظيمية</v>
      </c>
      <c r="M175" s="18" t="str">
        <f aca="false">IFERROR(INDEX('نقاط التحقق'!$H$2:$H$31,MATCH($K175,'نقاط التحقق'!$A$2:$A$31,0))&amp;"","")</f>
        <v/>
      </c>
      <c r="N175" s="17" t="n">
        <v>50</v>
      </c>
      <c r="O175" s="17" t="n">
        <v>80</v>
      </c>
      <c r="P175" s="19" t="str">
        <f aca="false">IF($N175="","غير مقيّمة",IF($N175&gt;المرجع!$K$3,"مستوفاة بشكل متقدم",IF($N175&lt;=المرجع!$K$2,"مستوفاة بشكل أولي","مستوفاة بشكل جزئي")))</f>
        <v>مستوفاة بشكل جزئي</v>
      </c>
      <c r="Q175" s="22"/>
    </row>
    <row r="176" customFormat="false" ht="15" hidden="false" customHeight="true" outlineLevel="0" collapsed="false">
      <c r="A176" s="20" t="s">
        <v>569</v>
      </c>
      <c r="B176" s="20" t="s">
        <v>174</v>
      </c>
      <c r="C176" s="19" t="str">
        <f aca="false">IFERROR(INDEX('قائمة الوحدات'!$B$2:$B$41,MATCH($B176,'قائمة الوحدات'!$A$2:$A$41,0)),"")</f>
        <v>EXE</v>
      </c>
      <c r="D176" s="18" t="str">
        <f aca="false">IFERROR(INDEX('قائمة الوحدات'!$C$2:$C$41,MATCH($B176,'قائمة الوحدات'!$A$2:$A$41,0)),"")</f>
        <v>الشؤون التنفيذية</v>
      </c>
      <c r="E176" s="18" t="str">
        <f aca="false">IFERROR(INDEX('قائمة الوحدات'!$D$2:$D$41,MATCH($B176,'قائمة الوحدات'!$A$2:$A$41,0)),"")</f>
        <v>وكالة الشؤون الفنية</v>
      </c>
      <c r="F176" s="18" t="str">
        <f aca="false">IFERROR(INDEX('قائمة الوحدات'!$F$2:$F$41,MATCH($B176,'قائمة الوحدات'!$A$2:$A$41,0)),"")</f>
        <v>الإدارة العامة للأصول والمرافق</v>
      </c>
      <c r="G176" s="20" t="s">
        <v>66</v>
      </c>
      <c r="H176" s="18" t="str">
        <f aca="false">IFERROR(INDEX(المرجع!$A$2:$A$19,MATCH($G176,المرجع!$B$2:$B$19,0)),"")</f>
        <v>التشغيل</v>
      </c>
      <c r="I176" s="20" t="s">
        <v>52</v>
      </c>
      <c r="J176" s="18" t="str">
        <f aca="false">IFERROR(INDEX(المرجع!$D$2:$D$19,MATCH($I176,المرجع!$E$2:$E$19,0)),"")</f>
        <v>الحوكمة</v>
      </c>
      <c r="K176" s="20" t="s">
        <v>124</v>
      </c>
      <c r="L176" s="21" t="str">
        <f aca="false">IFERROR(INDEX('نقاط التحقق'!$G$2:$G$31,MATCH($K176,'نقاط التحقق'!$A$2:$A$31,0))&amp;"","")</f>
        <v>محاضر لجان موثقة</v>
      </c>
      <c r="M176" s="18" t="str">
        <f aca="false">IFERROR(INDEX('نقاط التحقق'!$H$2:$H$31,MATCH($K176,'نقاط التحقق'!$A$2:$A$31,0))&amp;"","")</f>
        <v/>
      </c>
      <c r="N176" s="17" t="n">
        <v>65</v>
      </c>
      <c r="O176" s="17" t="n">
        <v>80</v>
      </c>
      <c r="P176" s="19" t="str">
        <f aca="false">IF($N176="","غير مقيّمة",IF($N176&gt;المرجع!$K$3,"مستوفاة بشكل متقدم",IF($N176&lt;=المرجع!$K$2,"مستوفاة بشكل أولي","مستوفاة بشكل جزئي")))</f>
        <v>مستوفاة بشكل جزئي</v>
      </c>
      <c r="Q176" s="22"/>
    </row>
    <row r="177" customFormat="false" ht="15" hidden="false" customHeight="true" outlineLevel="0" collapsed="false">
      <c r="A177" s="20" t="s">
        <v>570</v>
      </c>
      <c r="B177" s="20" t="s">
        <v>174</v>
      </c>
      <c r="C177" s="19" t="str">
        <f aca="false">IFERROR(INDEX('قائمة الوحدات'!$B$2:$B$41,MATCH($B177,'قائمة الوحدات'!$A$2:$A$41,0)),"")</f>
        <v>EXE</v>
      </c>
      <c r="D177" s="18" t="str">
        <f aca="false">IFERROR(INDEX('قائمة الوحدات'!$C$2:$C$41,MATCH($B177,'قائمة الوحدات'!$A$2:$A$41,0)),"")</f>
        <v>الشؤون التنفيذية</v>
      </c>
      <c r="E177" s="18" t="str">
        <f aca="false">IFERROR(INDEX('قائمة الوحدات'!$D$2:$D$41,MATCH($B177,'قائمة الوحدات'!$A$2:$A$41,0)),"")</f>
        <v>وكالة الشؤون الفنية</v>
      </c>
      <c r="F177" s="18" t="str">
        <f aca="false">IFERROR(INDEX('قائمة الوحدات'!$F$2:$F$41,MATCH($B177,'قائمة الوحدات'!$A$2:$A$41,0)),"")</f>
        <v>الإدارة العامة للأصول والمرافق</v>
      </c>
      <c r="G177" s="20" t="s">
        <v>66</v>
      </c>
      <c r="H177" s="18" t="str">
        <f aca="false">IFERROR(INDEX(المرجع!$A$2:$A$19,MATCH($G177,المرجع!$B$2:$B$19,0)),"")</f>
        <v>التشغيل</v>
      </c>
      <c r="I177" s="20" t="s">
        <v>52</v>
      </c>
      <c r="J177" s="18" t="str">
        <f aca="false">IFERROR(INDEX(المرجع!$D$2:$D$19,MATCH($I177,المرجع!$E$2:$E$19,0)),"")</f>
        <v>الحوكمة</v>
      </c>
      <c r="K177" s="20" t="s">
        <v>126</v>
      </c>
      <c r="L177" s="21" t="str">
        <f aca="false">IFERROR(INDEX('نقاط التحقق'!$G$2:$G$31,MATCH($K177,'نقاط التحقق'!$A$2:$A$31,0))&amp;"","")</f>
        <v>نشر السياسات التي تملكها الوحدة التنظيمية</v>
      </c>
      <c r="M177" s="18" t="str">
        <f aca="false">IFERROR(INDEX('نقاط التحقق'!$H$2:$H$31,MATCH($K177,'نقاط التحقق'!$A$2:$A$31,0))&amp;"","")</f>
        <v/>
      </c>
      <c r="N177" s="17" t="n">
        <v>40</v>
      </c>
      <c r="O177" s="17" t="n">
        <v>100</v>
      </c>
      <c r="P177" s="19" t="str">
        <f aca="false">IF($N177="","غير مقيّمة",IF($N177&gt;المرجع!$K$3,"مستوفاة بشكل متقدم",IF($N177&lt;=المرجع!$K$2,"مستوفاة بشكل أولي","مستوفاة بشكل جزئي")))</f>
        <v>مستوفاة بشكل جزئي</v>
      </c>
      <c r="Q177" s="22"/>
    </row>
    <row r="178" customFormat="false" ht="15" hidden="false" customHeight="true" outlineLevel="0" collapsed="false">
      <c r="A178" s="20" t="s">
        <v>571</v>
      </c>
      <c r="B178" s="20" t="s">
        <v>174</v>
      </c>
      <c r="C178" s="19" t="str">
        <f aca="false">IFERROR(INDEX('قائمة الوحدات'!$B$2:$B$41,MATCH($B178,'قائمة الوحدات'!$A$2:$A$41,0)),"")</f>
        <v>EXE</v>
      </c>
      <c r="D178" s="18" t="str">
        <f aca="false">IFERROR(INDEX('قائمة الوحدات'!$C$2:$C$41,MATCH($B178,'قائمة الوحدات'!$A$2:$A$41,0)),"")</f>
        <v>الشؤون التنفيذية</v>
      </c>
      <c r="E178" s="18" t="str">
        <f aca="false">IFERROR(INDEX('قائمة الوحدات'!$D$2:$D$41,MATCH($B178,'قائمة الوحدات'!$A$2:$A$41,0)),"")</f>
        <v>وكالة الشؤون الفنية</v>
      </c>
      <c r="F178" s="18" t="str">
        <f aca="false">IFERROR(INDEX('قائمة الوحدات'!$F$2:$F$41,MATCH($B178,'قائمة الوحدات'!$A$2:$A$41,0)),"")</f>
        <v>الإدارة العامة للأصول والمرافق</v>
      </c>
      <c r="G178" s="20" t="s">
        <v>66</v>
      </c>
      <c r="H178" s="18" t="str">
        <f aca="false">IFERROR(INDEX(المرجع!$A$2:$A$19,MATCH($G178,المرجع!$B$2:$B$19,0)),"")</f>
        <v>التشغيل</v>
      </c>
      <c r="I178" s="20" t="s">
        <v>52</v>
      </c>
      <c r="J178" s="18" t="str">
        <f aca="false">IFERROR(INDEX(المرجع!$D$2:$D$19,MATCH($I178,المرجع!$E$2:$E$19,0)),"")</f>
        <v>الحوكمة</v>
      </c>
      <c r="K178" s="20" t="s">
        <v>128</v>
      </c>
      <c r="L178" s="21" t="str">
        <f aca="false">IFERROR(INDEX('نقاط التحقق'!$G$2:$G$31,MATCH($K178,'نقاط التحقق'!$A$2:$A$31,0))&amp;"","")</f>
        <v>اتخاذ القرارات في نطاق الصلاحيات (وجود شواهد)</v>
      </c>
      <c r="M178" s="18" t="str">
        <f aca="false">IFERROR(INDEX('نقاط التحقق'!$H$2:$H$31,MATCH($K178,'نقاط التحقق'!$A$2:$A$31,0))&amp;"","")</f>
        <v/>
      </c>
      <c r="N178" s="17" t="n">
        <v>65</v>
      </c>
      <c r="O178" s="17" t="n">
        <v>90</v>
      </c>
      <c r="P178" s="19" t="str">
        <f aca="false">IF($N178="","غير مقيّمة",IF($N178&gt;المرجع!$K$3,"مستوفاة بشكل متقدم",IF($N178&lt;=المرجع!$K$2,"مستوفاة بشكل أولي","مستوفاة بشكل جزئي")))</f>
        <v>مستوفاة بشكل جزئي</v>
      </c>
      <c r="Q178" s="22"/>
    </row>
    <row r="179" customFormat="false" ht="15" hidden="false" customHeight="true" outlineLevel="0" collapsed="false">
      <c r="A179" s="20" t="s">
        <v>572</v>
      </c>
      <c r="B179" s="20" t="s">
        <v>174</v>
      </c>
      <c r="C179" s="19" t="str">
        <f aca="false">IFERROR(INDEX('قائمة الوحدات'!$B$2:$B$41,MATCH($B179,'قائمة الوحدات'!$A$2:$A$41,0)),"")</f>
        <v>EXE</v>
      </c>
      <c r="D179" s="18" t="str">
        <f aca="false">IFERROR(INDEX('قائمة الوحدات'!$C$2:$C$41,MATCH($B179,'قائمة الوحدات'!$A$2:$A$41,0)),"")</f>
        <v>الشؤون التنفيذية</v>
      </c>
      <c r="E179" s="18" t="str">
        <f aca="false">IFERROR(INDEX('قائمة الوحدات'!$D$2:$D$41,MATCH($B179,'قائمة الوحدات'!$A$2:$A$41,0)),"")</f>
        <v>وكالة الشؤون الفنية</v>
      </c>
      <c r="F179" s="18" t="str">
        <f aca="false">IFERROR(INDEX('قائمة الوحدات'!$F$2:$F$41,MATCH($B179,'قائمة الوحدات'!$A$2:$A$41,0)),"")</f>
        <v>الإدارة العامة للأصول والمرافق</v>
      </c>
      <c r="G179" s="20" t="s">
        <v>66</v>
      </c>
      <c r="H179" s="18" t="str">
        <f aca="false">IFERROR(INDEX(المرجع!$A$2:$A$19,MATCH($G179,المرجع!$B$2:$B$19,0)),"")</f>
        <v>التشغيل</v>
      </c>
      <c r="I179" s="20" t="s">
        <v>57</v>
      </c>
      <c r="J179" s="18" t="str">
        <f aca="false">IFERROR(INDEX(المرجع!$D$2:$D$19,MATCH($I179,المرجع!$E$2:$E$19,0)),"")</f>
        <v>الموارد</v>
      </c>
      <c r="K179" s="20" t="s">
        <v>130</v>
      </c>
      <c r="L179" s="21" t="str">
        <f aca="false">IFERROR(INDEX('نقاط التحقق'!$G$2:$G$31,MATCH($K179,'نقاط التحقق'!$A$2:$A$31,0))&amp;"","")</f>
        <v>موارد مستكملة للحد الأدنى الذي يغطي كافة محاور سلسلة القيمة</v>
      </c>
      <c r="M179" s="18" t="str">
        <f aca="false">IFERROR(INDEX('نقاط التحقق'!$H$2:$H$31,MATCH($K179,'نقاط التحقق'!$A$2:$A$31,0))&amp;"","")</f>
        <v/>
      </c>
      <c r="N179" s="17" t="n">
        <v>62</v>
      </c>
      <c r="O179" s="17" t="n">
        <v>95</v>
      </c>
      <c r="P179" s="19" t="str">
        <f aca="false">IF($N179="","غير مقيّمة",IF($N179&gt;المرجع!$K$3,"مستوفاة بشكل متقدم",IF($N179&lt;=المرجع!$K$2,"مستوفاة بشكل أولي","مستوفاة بشكل جزئي")))</f>
        <v>مستوفاة بشكل جزئي</v>
      </c>
      <c r="Q179" s="22"/>
    </row>
    <row r="180" customFormat="false" ht="15" hidden="false" customHeight="true" outlineLevel="0" collapsed="false">
      <c r="A180" s="20" t="s">
        <v>573</v>
      </c>
      <c r="B180" s="20" t="s">
        <v>174</v>
      </c>
      <c r="C180" s="19" t="str">
        <f aca="false">IFERROR(INDEX('قائمة الوحدات'!$B$2:$B$41,MATCH($B180,'قائمة الوحدات'!$A$2:$A$41,0)),"")</f>
        <v>EXE</v>
      </c>
      <c r="D180" s="18" t="str">
        <f aca="false">IFERROR(INDEX('قائمة الوحدات'!$C$2:$C$41,MATCH($B180,'قائمة الوحدات'!$A$2:$A$41,0)),"")</f>
        <v>الشؤون التنفيذية</v>
      </c>
      <c r="E180" s="18" t="str">
        <f aca="false">IFERROR(INDEX('قائمة الوحدات'!$D$2:$D$41,MATCH($B180,'قائمة الوحدات'!$A$2:$A$41,0)),"")</f>
        <v>وكالة الشؤون الفنية</v>
      </c>
      <c r="F180" s="18" t="str">
        <f aca="false">IFERROR(INDEX('قائمة الوحدات'!$F$2:$F$41,MATCH($B180,'قائمة الوحدات'!$A$2:$A$41,0)),"")</f>
        <v>الإدارة العامة للأصول والمرافق</v>
      </c>
      <c r="G180" s="20" t="s">
        <v>66</v>
      </c>
      <c r="H180" s="18" t="str">
        <f aca="false">IFERROR(INDEX(المرجع!$A$2:$A$19,MATCH($G180,المرجع!$B$2:$B$19,0)),"")</f>
        <v>التشغيل</v>
      </c>
      <c r="I180" s="20" t="s">
        <v>60</v>
      </c>
      <c r="J180" s="18" t="str">
        <f aca="false">IFERROR(INDEX(المرجع!$D$2:$D$19,MATCH($I180,المرجع!$E$2:$E$19,0)),"")</f>
        <v>الإجراءات</v>
      </c>
      <c r="K180" s="20" t="s">
        <v>132</v>
      </c>
      <c r="L180" s="21" t="str">
        <f aca="false">IFERROR(INDEX('نقاط التحقق'!$G$2:$G$31,MATCH($K180,'نقاط التحقق'!$A$2:$A$31,0))&amp;"","")</f>
        <v>تحقيق تقييم "مطبق بشكل كامل" من منهجية تقييم فعالية الإجراءات</v>
      </c>
      <c r="M180" s="18" t="str">
        <f aca="false">IFERROR(INDEX('نقاط التحقق'!$H$2:$H$31,MATCH($K180,'نقاط التحقق'!$A$2:$A$31,0))&amp;"","")</f>
        <v/>
      </c>
      <c r="N180" s="17" t="n">
        <v>33</v>
      </c>
      <c r="O180" s="17" t="n">
        <v>90</v>
      </c>
      <c r="P180" s="19" t="str">
        <f aca="false">IF($N180="","غير مقيّمة",IF($N180&gt;المرجع!$K$3,"مستوفاة بشكل متقدم",IF($N180&lt;=المرجع!$K$2,"مستوفاة بشكل أولي","مستوفاة بشكل جزئي")))</f>
        <v>مستوفاة بشكل جزئي</v>
      </c>
      <c r="Q180" s="22"/>
    </row>
    <row r="181" customFormat="false" ht="15" hidden="false" customHeight="true" outlineLevel="0" collapsed="false">
      <c r="A181" s="20" t="s">
        <v>574</v>
      </c>
      <c r="B181" s="20" t="s">
        <v>174</v>
      </c>
      <c r="C181" s="19" t="str">
        <f aca="false">IFERROR(INDEX('قائمة الوحدات'!$B$2:$B$41,MATCH($B181,'قائمة الوحدات'!$A$2:$A$41,0)),"")</f>
        <v>EXE</v>
      </c>
      <c r="D181" s="18" t="str">
        <f aca="false">IFERROR(INDEX('قائمة الوحدات'!$C$2:$C$41,MATCH($B181,'قائمة الوحدات'!$A$2:$A$41,0)),"")</f>
        <v>الشؤون التنفيذية</v>
      </c>
      <c r="E181" s="18" t="str">
        <f aca="false">IFERROR(INDEX('قائمة الوحدات'!$D$2:$D$41,MATCH($B181,'قائمة الوحدات'!$A$2:$A$41,0)),"")</f>
        <v>وكالة الشؤون الفنية</v>
      </c>
      <c r="F181" s="18" t="str">
        <f aca="false">IFERROR(INDEX('قائمة الوحدات'!$F$2:$F$41,MATCH($B181,'قائمة الوحدات'!$A$2:$A$41,0)),"")</f>
        <v>الإدارة العامة للأصول والمرافق</v>
      </c>
      <c r="G181" s="20" t="s">
        <v>66</v>
      </c>
      <c r="H181" s="18" t="str">
        <f aca="false">IFERROR(INDEX(المرجع!$A$2:$A$19,MATCH($G181,المرجع!$B$2:$B$19,0)),"")</f>
        <v>التشغيل</v>
      </c>
      <c r="I181" s="20" t="s">
        <v>71</v>
      </c>
      <c r="J181" s="18" t="str">
        <f aca="false">IFERROR(INDEX(المرجع!$D$2:$D$19,MATCH($I181,المرجع!$E$2:$E$19,0)),"")</f>
        <v>اكتمال المخرجات المستهدفة</v>
      </c>
      <c r="K181" s="20" t="s">
        <v>134</v>
      </c>
      <c r="L181" s="21" t="str">
        <f aca="false">IFERROR(INDEX('نقاط التحقق'!$G$2:$G$31,MATCH($K181,'نقاط التحقق'!$A$2:$A$31,0))&amp;"","")</f>
        <v>اكتمال مخرجات النموذج التشغيلي المستهدف للوحدة التنظيمية</v>
      </c>
      <c r="M181" s="18" t="str">
        <f aca="false">IFERROR(INDEX('نقاط التحقق'!$H$2:$H$31,MATCH($K181,'نقاط التحقق'!$A$2:$A$31,0))&amp;"","")</f>
        <v/>
      </c>
      <c r="N181" s="17" t="n">
        <v>41</v>
      </c>
      <c r="O181" s="17" t="n">
        <v>85</v>
      </c>
      <c r="P181" s="19" t="str">
        <f aca="false">IF($N181="","غير مقيّمة",IF($N181&gt;المرجع!$K$3,"مستوفاة بشكل متقدم",IF($N181&lt;=المرجع!$K$2,"مستوفاة بشكل أولي","مستوفاة بشكل جزئي")))</f>
        <v>مستوفاة بشكل جزئي</v>
      </c>
      <c r="Q181" s="22"/>
    </row>
    <row r="182" customFormat="false" ht="15" hidden="false" customHeight="true" outlineLevel="0" collapsed="false">
      <c r="A182" s="20" t="s">
        <v>575</v>
      </c>
      <c r="B182" s="20" t="s">
        <v>176</v>
      </c>
      <c r="C182" s="19" t="str">
        <f aca="false">IFERROR(INDEX('قائمة الوحدات'!$B$2:$B$41,MATCH($B182,'قائمة الوحدات'!$A$2:$A$41,0)),"")</f>
        <v>EXE</v>
      </c>
      <c r="D182" s="18" t="str">
        <f aca="false">IFERROR(INDEX('قائمة الوحدات'!$C$2:$C$41,MATCH($B182,'قائمة الوحدات'!$A$2:$A$41,0)),"")</f>
        <v>الشؤون التنفيذية</v>
      </c>
      <c r="E182" s="18" t="str">
        <f aca="false">IFERROR(INDEX('قائمة الوحدات'!$D$2:$D$41,MATCH($B182,'قائمة الوحدات'!$A$2:$A$41,0)),"")</f>
        <v>وكالة الشؤون الفنية</v>
      </c>
      <c r="F182" s="18" t="str">
        <f aca="false">IFERROR(INDEX('قائمة الوحدات'!$F$2:$F$41,MATCH($B182,'قائمة الوحدات'!$A$2:$A$41,0)),"")</f>
        <v>الإدارة العامة للأمن والحماية</v>
      </c>
      <c r="G182" s="20" t="s">
        <v>44</v>
      </c>
      <c r="H182" s="18" t="str">
        <f aca="false">IFERROR(INDEX(المرجع!$A$2:$A$19,MATCH($G182,المرجع!$B$2:$B$19,0)),"")</f>
        <v>التصميم</v>
      </c>
      <c r="I182" s="20" t="s">
        <v>46</v>
      </c>
      <c r="J182" s="18" t="str">
        <f aca="false">IFERROR(INDEX(المرجع!$D$2:$D$19,MATCH($I182,المرجع!$E$2:$E$19,0)),"")</f>
        <v>الدور</v>
      </c>
      <c r="K182" s="20" t="s">
        <v>76</v>
      </c>
      <c r="L182" s="21" t="str">
        <f aca="false">IFERROR(INDEX('نقاط التحقق'!$G$2:$G$31,MATCH($K182,'نقاط التحقق'!$A$2:$A$31,0))&amp;"","")</f>
        <v>دور مفصل للوحدة التنظيمية</v>
      </c>
      <c r="M182" s="18" t="str">
        <f aca="false">IFERROR(INDEX('نقاط التحقق'!$H$2:$H$31,MATCH($K182,'نقاط التحقق'!$A$2:$A$31,0))&amp;"","")</f>
        <v/>
      </c>
      <c r="N182" s="17" t="n">
        <v>78</v>
      </c>
      <c r="O182" s="17" t="n">
        <v>100</v>
      </c>
      <c r="P182" s="19" t="str">
        <f aca="false">IF($N182="","غير مقيّمة",IF($N182&gt;المرجع!$K$3,"مستوفاة بشكل متقدم",IF($N182&lt;=المرجع!$K$2,"مستوفاة بشكل أولي","مستوفاة بشكل جزئي")))</f>
        <v>مستوفاة بشكل متقدم</v>
      </c>
      <c r="Q182" s="22"/>
    </row>
    <row r="183" customFormat="false" ht="15" hidden="false" customHeight="true" outlineLevel="0" collapsed="false">
      <c r="A183" s="20" t="s">
        <v>576</v>
      </c>
      <c r="B183" s="20" t="s">
        <v>176</v>
      </c>
      <c r="C183" s="19" t="str">
        <f aca="false">IFERROR(INDEX('قائمة الوحدات'!$B$2:$B$41,MATCH($B183,'قائمة الوحدات'!$A$2:$A$41,0)),"")</f>
        <v>EXE</v>
      </c>
      <c r="D183" s="18" t="str">
        <f aca="false">IFERROR(INDEX('قائمة الوحدات'!$C$2:$C$41,MATCH($B183,'قائمة الوحدات'!$A$2:$A$41,0)),"")</f>
        <v>الشؤون التنفيذية</v>
      </c>
      <c r="E183" s="18" t="str">
        <f aca="false">IFERROR(INDEX('قائمة الوحدات'!$D$2:$D$41,MATCH($B183,'قائمة الوحدات'!$A$2:$A$41,0)),"")</f>
        <v>وكالة الشؤون الفنية</v>
      </c>
      <c r="F183" s="18" t="str">
        <f aca="false">IFERROR(INDEX('قائمة الوحدات'!$F$2:$F$41,MATCH($B183,'قائمة الوحدات'!$A$2:$A$41,0)),"")</f>
        <v>الإدارة العامة للأمن والحماية</v>
      </c>
      <c r="G183" s="20" t="s">
        <v>44</v>
      </c>
      <c r="H183" s="18" t="str">
        <f aca="false">IFERROR(INDEX(المرجع!$A$2:$A$19,MATCH($G183,المرجع!$B$2:$B$19,0)),"")</f>
        <v>التصميم</v>
      </c>
      <c r="I183" s="20" t="s">
        <v>49</v>
      </c>
      <c r="J183" s="18" t="str">
        <f aca="false">IFERROR(INDEX(المرجع!$D$2:$D$19,MATCH($I183,المرجع!$E$2:$E$19,0)),"")</f>
        <v>الأهداف ومؤشرات الأداء</v>
      </c>
      <c r="K183" s="20" t="s">
        <v>78</v>
      </c>
      <c r="L183" s="21" t="str">
        <f aca="false">IFERROR(INDEX('نقاط التحقق'!$G$2:$G$31,MATCH($K183,'نقاط التحقق'!$A$2:$A$31,0))&amp;"","")</f>
        <v>أهداف محددة للوحدة التنظيمية وربطها بمؤشرات أداء لقياسها</v>
      </c>
      <c r="M183" s="18" t="str">
        <f aca="false">IFERROR(INDEX('نقاط التحقق'!$H$2:$H$31,MATCH($K183,'نقاط التحقق'!$A$2:$A$31,0))&amp;"","")</f>
        <v/>
      </c>
      <c r="N183" s="17" t="n">
        <v>95</v>
      </c>
      <c r="O183" s="17" t="n">
        <v>100</v>
      </c>
      <c r="P183" s="19" t="str">
        <f aca="false">IF($N183="","غير مقيّمة",IF($N183&gt;المرجع!$K$3,"مستوفاة بشكل متقدم",IF($N183&lt;=المرجع!$K$2,"مستوفاة بشكل أولي","مستوفاة بشكل جزئي")))</f>
        <v>مستوفاة بشكل متقدم</v>
      </c>
      <c r="Q183" s="22"/>
    </row>
    <row r="184" customFormat="false" ht="15" hidden="false" customHeight="true" outlineLevel="0" collapsed="false">
      <c r="A184" s="20" t="s">
        <v>577</v>
      </c>
      <c r="B184" s="20" t="s">
        <v>176</v>
      </c>
      <c r="C184" s="19" t="str">
        <f aca="false">IFERROR(INDEX('قائمة الوحدات'!$B$2:$B$41,MATCH($B184,'قائمة الوحدات'!$A$2:$A$41,0)),"")</f>
        <v>EXE</v>
      </c>
      <c r="D184" s="18" t="str">
        <f aca="false">IFERROR(INDEX('قائمة الوحدات'!$C$2:$C$41,MATCH($B184,'قائمة الوحدات'!$A$2:$A$41,0)),"")</f>
        <v>الشؤون التنفيذية</v>
      </c>
      <c r="E184" s="18" t="str">
        <f aca="false">IFERROR(INDEX('قائمة الوحدات'!$D$2:$D$41,MATCH($B184,'قائمة الوحدات'!$A$2:$A$41,0)),"")</f>
        <v>وكالة الشؤون الفنية</v>
      </c>
      <c r="F184" s="18" t="str">
        <f aca="false">IFERROR(INDEX('قائمة الوحدات'!$F$2:$F$41,MATCH($B184,'قائمة الوحدات'!$A$2:$A$41,0)),"")</f>
        <v>الإدارة العامة للأمن والحماية</v>
      </c>
      <c r="G184" s="20" t="s">
        <v>44</v>
      </c>
      <c r="H184" s="18" t="str">
        <f aca="false">IFERROR(INDEX(المرجع!$A$2:$A$19,MATCH($G184,المرجع!$B$2:$B$19,0)),"")</f>
        <v>التصميم</v>
      </c>
      <c r="I184" s="20" t="s">
        <v>49</v>
      </c>
      <c r="J184" s="18" t="str">
        <f aca="false">IFERROR(INDEX(المرجع!$D$2:$D$19,MATCH($I184,المرجع!$E$2:$E$19,0)),"")</f>
        <v>الأهداف ومؤشرات الأداء</v>
      </c>
      <c r="K184" s="20" t="s">
        <v>80</v>
      </c>
      <c r="L184" s="21" t="str">
        <f aca="false">IFERROR(INDEX('نقاط التحقق'!$G$2:$G$31,MATCH($K184,'نقاط التحقق'!$A$2:$A$31,0))&amp;"","")</f>
        <v>مؤشرات أداء الوحدة التنظيمية</v>
      </c>
      <c r="M184" s="18" t="str">
        <f aca="false">IFERROR(INDEX('نقاط التحقق'!$H$2:$H$31,MATCH($K184,'نقاط التحقق'!$A$2:$A$31,0))&amp;"","")</f>
        <v/>
      </c>
      <c r="N184" s="17" t="n">
        <v>75</v>
      </c>
      <c r="O184" s="17" t="n">
        <v>90</v>
      </c>
      <c r="P184" s="19" t="str">
        <f aca="false">IF($N184="","غير مقيّمة",IF($N184&gt;المرجع!$K$3,"مستوفاة بشكل متقدم",IF($N184&lt;=المرجع!$K$2,"مستوفاة بشكل أولي","مستوفاة بشكل جزئي")))</f>
        <v>مستوفاة بشكل متقدم</v>
      </c>
      <c r="Q184" s="22"/>
    </row>
    <row r="185" customFormat="false" ht="15" hidden="false" customHeight="true" outlineLevel="0" collapsed="false">
      <c r="A185" s="20" t="s">
        <v>578</v>
      </c>
      <c r="B185" s="20" t="s">
        <v>176</v>
      </c>
      <c r="C185" s="19" t="str">
        <f aca="false">IFERROR(INDEX('قائمة الوحدات'!$B$2:$B$41,MATCH($B185,'قائمة الوحدات'!$A$2:$A$41,0)),"")</f>
        <v>EXE</v>
      </c>
      <c r="D185" s="18" t="str">
        <f aca="false">IFERROR(INDEX('قائمة الوحدات'!$C$2:$C$41,MATCH($B185,'قائمة الوحدات'!$A$2:$A$41,0)),"")</f>
        <v>الشؤون التنفيذية</v>
      </c>
      <c r="E185" s="18" t="str">
        <f aca="false">IFERROR(INDEX('قائمة الوحدات'!$D$2:$D$41,MATCH($B185,'قائمة الوحدات'!$A$2:$A$41,0)),"")</f>
        <v>وكالة الشؤون الفنية</v>
      </c>
      <c r="F185" s="18" t="str">
        <f aca="false">IFERROR(INDEX('قائمة الوحدات'!$F$2:$F$41,MATCH($B185,'قائمة الوحدات'!$A$2:$A$41,0)),"")</f>
        <v>الإدارة العامة للأمن والحماية</v>
      </c>
      <c r="G185" s="20" t="s">
        <v>44</v>
      </c>
      <c r="H185" s="18" t="str">
        <f aca="false">IFERROR(INDEX(المرجع!$A$2:$A$19,MATCH($G185,المرجع!$B$2:$B$19,0)),"")</f>
        <v>التصميم</v>
      </c>
      <c r="I185" s="20" t="s">
        <v>52</v>
      </c>
      <c r="J185" s="18" t="str">
        <f aca="false">IFERROR(INDEX(المرجع!$D$2:$D$19,MATCH($I185,المرجع!$E$2:$E$19,0)),"")</f>
        <v>الحوكمة</v>
      </c>
      <c r="K185" s="20" t="s">
        <v>82</v>
      </c>
      <c r="L185" s="21" t="str">
        <f aca="false">IFERROR(INDEX('نقاط التحقق'!$G$2:$G$31,MATCH($K185,'نقاط التحقق'!$A$2:$A$31,0))&amp;"","")</f>
        <v>تفصيل القرارات ومصفوفة الصلاحيات واللجان ذات العلاقة لاعتماد مخرجات الوحدة التنظيمية</v>
      </c>
      <c r="M185" s="18" t="str">
        <f aca="false">IFERROR(INDEX('نقاط التحقق'!$H$2:$H$31,MATCH($K185,'نقاط التحقق'!$A$2:$A$31,0))&amp;"","")</f>
        <v/>
      </c>
      <c r="N185" s="17" t="n">
        <v>74</v>
      </c>
      <c r="O185" s="17" t="n">
        <v>95</v>
      </c>
      <c r="P185" s="19" t="str">
        <f aca="false">IF($N185="","غير مقيّمة",IF($N185&gt;المرجع!$K$3,"مستوفاة بشكل متقدم",IF($N185&lt;=المرجع!$K$2,"مستوفاة بشكل أولي","مستوفاة بشكل جزئي")))</f>
        <v>مستوفاة بشكل متقدم</v>
      </c>
      <c r="Q185" s="22"/>
    </row>
    <row r="186" customFormat="false" ht="15" hidden="false" customHeight="true" outlineLevel="0" collapsed="false">
      <c r="A186" s="20" t="s">
        <v>579</v>
      </c>
      <c r="B186" s="20" t="s">
        <v>176</v>
      </c>
      <c r="C186" s="19" t="str">
        <f aca="false">IFERROR(INDEX('قائمة الوحدات'!$B$2:$B$41,MATCH($B186,'قائمة الوحدات'!$A$2:$A$41,0)),"")</f>
        <v>EXE</v>
      </c>
      <c r="D186" s="18" t="str">
        <f aca="false">IFERROR(INDEX('قائمة الوحدات'!$C$2:$C$41,MATCH($B186,'قائمة الوحدات'!$A$2:$A$41,0)),"")</f>
        <v>الشؤون التنفيذية</v>
      </c>
      <c r="E186" s="18" t="str">
        <f aca="false">IFERROR(INDEX('قائمة الوحدات'!$D$2:$D$41,MATCH($B186,'قائمة الوحدات'!$A$2:$A$41,0)),"")</f>
        <v>وكالة الشؤون الفنية</v>
      </c>
      <c r="F186" s="18" t="str">
        <f aca="false">IFERROR(INDEX('قائمة الوحدات'!$F$2:$F$41,MATCH($B186,'قائمة الوحدات'!$A$2:$A$41,0)),"")</f>
        <v>الإدارة العامة للأمن والحماية</v>
      </c>
      <c r="G186" s="20" t="s">
        <v>44</v>
      </c>
      <c r="H186" s="18" t="str">
        <f aca="false">IFERROR(INDEX(المرجع!$A$2:$A$19,MATCH($G186,المرجع!$B$2:$B$19,0)),"")</f>
        <v>التصميم</v>
      </c>
      <c r="I186" s="20" t="s">
        <v>55</v>
      </c>
      <c r="J186" s="18" t="str">
        <f aca="false">IFERROR(INDEX(المرجع!$D$2:$D$19,MATCH($I186,المرجع!$E$2:$E$19,0)),"")</f>
        <v>التنظيم</v>
      </c>
      <c r="K186" s="20" t="s">
        <v>84</v>
      </c>
      <c r="L186" s="21" t="str">
        <f aca="false">IFERROR(INDEX('نقاط التحقق'!$G$2:$G$31,MATCH($K186,'نقاط التحقق'!$A$2:$A$31,0))&amp;"","")</f>
        <v>تطوير الأدوار والمسؤوليات للوحدة التنظيمية وتفصيل الهيكل التنظيمي</v>
      </c>
      <c r="M186" s="18" t="str">
        <f aca="false">IFERROR(INDEX('نقاط التحقق'!$H$2:$H$31,MATCH($K186,'نقاط التحقق'!$A$2:$A$31,0))&amp;"","")</f>
        <v/>
      </c>
      <c r="N186" s="17" t="n">
        <v>94</v>
      </c>
      <c r="O186" s="17" t="n">
        <v>100</v>
      </c>
      <c r="P186" s="19" t="str">
        <f aca="false">IF($N186="","غير مقيّمة",IF($N186&gt;المرجع!$K$3,"مستوفاة بشكل متقدم",IF($N186&lt;=المرجع!$K$2,"مستوفاة بشكل أولي","مستوفاة بشكل جزئي")))</f>
        <v>مستوفاة بشكل متقدم</v>
      </c>
      <c r="Q186" s="22"/>
    </row>
    <row r="187" customFormat="false" ht="15" hidden="false" customHeight="true" outlineLevel="0" collapsed="false">
      <c r="A187" s="20" t="s">
        <v>580</v>
      </c>
      <c r="B187" s="20" t="s">
        <v>176</v>
      </c>
      <c r="C187" s="19" t="str">
        <f aca="false">IFERROR(INDEX('قائمة الوحدات'!$B$2:$B$41,MATCH($B187,'قائمة الوحدات'!$A$2:$A$41,0)),"")</f>
        <v>EXE</v>
      </c>
      <c r="D187" s="18" t="str">
        <f aca="false">IFERROR(INDEX('قائمة الوحدات'!$C$2:$C$41,MATCH($B187,'قائمة الوحدات'!$A$2:$A$41,0)),"")</f>
        <v>الشؤون التنفيذية</v>
      </c>
      <c r="E187" s="18" t="str">
        <f aca="false">IFERROR(INDEX('قائمة الوحدات'!$D$2:$D$41,MATCH($B187,'قائمة الوحدات'!$A$2:$A$41,0)),"")</f>
        <v>وكالة الشؤون الفنية</v>
      </c>
      <c r="F187" s="18" t="str">
        <f aca="false">IFERROR(INDEX('قائمة الوحدات'!$F$2:$F$41,MATCH($B187,'قائمة الوحدات'!$A$2:$A$41,0)),"")</f>
        <v>الإدارة العامة للأمن والحماية</v>
      </c>
      <c r="G187" s="20" t="s">
        <v>44</v>
      </c>
      <c r="H187" s="18" t="str">
        <f aca="false">IFERROR(INDEX(المرجع!$A$2:$A$19,MATCH($G187,المرجع!$B$2:$B$19,0)),"")</f>
        <v>التصميم</v>
      </c>
      <c r="I187" s="20" t="s">
        <v>57</v>
      </c>
      <c r="J187" s="18" t="str">
        <f aca="false">IFERROR(INDEX(المرجع!$D$2:$D$19,MATCH($I187,المرجع!$E$2:$E$19,0)),"")</f>
        <v>الموارد</v>
      </c>
      <c r="K187" s="20" t="s">
        <v>86</v>
      </c>
      <c r="L187" s="21" t="str">
        <f aca="false">IFERROR(INDEX('نقاط التحقق'!$G$2:$G$31,MATCH($K187,'نقاط التحقق'!$A$2:$A$31,0))&amp;"","")</f>
        <v>تفصيل احتياج الموارد البشرية للوحدة التنظيمية</v>
      </c>
      <c r="M187" s="18" t="str">
        <f aca="false">IFERROR(INDEX('نقاط التحقق'!$H$2:$H$31,MATCH($K187,'نقاط التحقق'!$A$2:$A$31,0))&amp;"","")</f>
        <v/>
      </c>
      <c r="N187" s="17" t="n">
        <v>75</v>
      </c>
      <c r="O187" s="17" t="n">
        <v>100</v>
      </c>
      <c r="P187" s="19" t="str">
        <f aca="false">IF($N187="","غير مقيّمة",IF($N187&gt;المرجع!$K$3,"مستوفاة بشكل متقدم",IF($N187&lt;=المرجع!$K$2,"مستوفاة بشكل أولي","مستوفاة بشكل جزئي")))</f>
        <v>مستوفاة بشكل متقدم</v>
      </c>
      <c r="Q187" s="22"/>
    </row>
    <row r="188" customFormat="false" ht="15" hidden="false" customHeight="true" outlineLevel="0" collapsed="false">
      <c r="A188" s="20" t="s">
        <v>581</v>
      </c>
      <c r="B188" s="20" t="s">
        <v>176</v>
      </c>
      <c r="C188" s="19" t="str">
        <f aca="false">IFERROR(INDEX('قائمة الوحدات'!$B$2:$B$41,MATCH($B188,'قائمة الوحدات'!$A$2:$A$41,0)),"")</f>
        <v>EXE</v>
      </c>
      <c r="D188" s="18" t="str">
        <f aca="false">IFERROR(INDEX('قائمة الوحدات'!$C$2:$C$41,MATCH($B188,'قائمة الوحدات'!$A$2:$A$41,0)),"")</f>
        <v>الشؤون التنفيذية</v>
      </c>
      <c r="E188" s="18" t="str">
        <f aca="false">IFERROR(INDEX('قائمة الوحدات'!$D$2:$D$41,MATCH($B188,'قائمة الوحدات'!$A$2:$A$41,0)),"")</f>
        <v>وكالة الشؤون الفنية</v>
      </c>
      <c r="F188" s="18" t="str">
        <f aca="false">IFERROR(INDEX('قائمة الوحدات'!$F$2:$F$41,MATCH($B188,'قائمة الوحدات'!$A$2:$A$41,0)),"")</f>
        <v>الإدارة العامة للأمن والحماية</v>
      </c>
      <c r="G188" s="20" t="s">
        <v>44</v>
      </c>
      <c r="H188" s="18" t="str">
        <f aca="false">IFERROR(INDEX(المرجع!$A$2:$A$19,MATCH($G188,المرجع!$B$2:$B$19,0)),"")</f>
        <v>التصميم</v>
      </c>
      <c r="I188" s="20" t="s">
        <v>60</v>
      </c>
      <c r="J188" s="18" t="str">
        <f aca="false">IFERROR(INDEX(المرجع!$D$2:$D$19,MATCH($I188,المرجع!$E$2:$E$19,0)),"")</f>
        <v>الإجراءات</v>
      </c>
      <c r="K188" s="20" t="s">
        <v>88</v>
      </c>
      <c r="L188" s="21" t="str">
        <f aca="false">IFERROR(INDEX('نقاط التحقق'!$G$2:$G$31,MATCH($K188,'نقاط التحقق'!$A$2:$A$31,0))&amp;"","")</f>
        <v>تفصيل المخرجات إلى إجراءات عالية المستوى</v>
      </c>
      <c r="M188" s="18" t="str">
        <f aca="false">IFERROR(INDEX('نقاط التحقق'!$H$2:$H$31,MATCH($K188,'نقاط التحقق'!$A$2:$A$31,0))&amp;"","")</f>
        <v/>
      </c>
      <c r="N188" s="17" t="n">
        <v>86</v>
      </c>
      <c r="O188" s="17" t="n">
        <v>90</v>
      </c>
      <c r="P188" s="19" t="str">
        <f aca="false">IF($N188="","غير مقيّمة",IF($N188&gt;المرجع!$K$3,"مستوفاة بشكل متقدم",IF($N188&lt;=المرجع!$K$2,"مستوفاة بشكل أولي","مستوفاة بشكل جزئي")))</f>
        <v>مستوفاة بشكل متقدم</v>
      </c>
      <c r="Q188" s="22"/>
    </row>
    <row r="189" customFormat="false" ht="15" hidden="false" customHeight="true" outlineLevel="0" collapsed="false">
      <c r="A189" s="20" t="s">
        <v>582</v>
      </c>
      <c r="B189" s="20" t="s">
        <v>176</v>
      </c>
      <c r="C189" s="19" t="str">
        <f aca="false">IFERROR(INDEX('قائمة الوحدات'!$B$2:$B$41,MATCH($B189,'قائمة الوحدات'!$A$2:$A$41,0)),"")</f>
        <v>EXE</v>
      </c>
      <c r="D189" s="18" t="str">
        <f aca="false">IFERROR(INDEX('قائمة الوحدات'!$C$2:$C$41,MATCH($B189,'قائمة الوحدات'!$A$2:$A$41,0)),"")</f>
        <v>الشؤون التنفيذية</v>
      </c>
      <c r="E189" s="18" t="str">
        <f aca="false">IFERROR(INDEX('قائمة الوحدات'!$D$2:$D$41,MATCH($B189,'قائمة الوحدات'!$A$2:$A$41,0)),"")</f>
        <v>وكالة الشؤون الفنية</v>
      </c>
      <c r="F189" s="18" t="str">
        <f aca="false">IFERROR(INDEX('قائمة الوحدات'!$F$2:$F$41,MATCH($B189,'قائمة الوحدات'!$A$2:$A$41,0)),"")</f>
        <v>الإدارة العامة للأمن والحماية</v>
      </c>
      <c r="G189" s="20" t="s">
        <v>62</v>
      </c>
      <c r="H189" s="18" t="str">
        <f aca="false">IFERROR(INDEX(المرجع!$A$2:$A$19,MATCH($G189,المرجع!$B$2:$B$19,0)),"")</f>
        <v>البناء المؤسسي</v>
      </c>
      <c r="I189" s="20" t="s">
        <v>46</v>
      </c>
      <c r="J189" s="18" t="str">
        <f aca="false">IFERROR(INDEX(المرجع!$D$2:$D$19,MATCH($I189,المرجع!$E$2:$E$19,0)),"")</f>
        <v>الدور</v>
      </c>
      <c r="K189" s="20" t="s">
        <v>90</v>
      </c>
      <c r="L189" s="21" t="str">
        <f aca="false">IFERROR(INDEX('نقاط التحقق'!$G$2:$G$31,MATCH($K189,'نقاط التحقق'!$A$2:$A$31,0))&amp;"","")</f>
        <v>دور معتمد للوحدة التنظيمية</v>
      </c>
      <c r="M189" s="18" t="str">
        <f aca="false">IFERROR(INDEX('نقاط التحقق'!$H$2:$H$31,MATCH($K189,'نقاط التحقق'!$A$2:$A$31,0))&amp;"","")</f>
        <v/>
      </c>
      <c r="N189" s="17" t="n">
        <v>54</v>
      </c>
      <c r="O189" s="17" t="n">
        <v>90</v>
      </c>
      <c r="P189" s="19" t="str">
        <f aca="false">IF($N189="","غير مقيّمة",IF($N189&gt;المرجع!$K$3,"مستوفاة بشكل متقدم",IF($N189&lt;=المرجع!$K$2,"مستوفاة بشكل أولي","مستوفاة بشكل جزئي")))</f>
        <v>مستوفاة بشكل جزئي</v>
      </c>
      <c r="Q189" s="22"/>
    </row>
    <row r="190" customFormat="false" ht="15" hidden="false" customHeight="true" outlineLevel="0" collapsed="false">
      <c r="A190" s="20" t="s">
        <v>583</v>
      </c>
      <c r="B190" s="20" t="s">
        <v>176</v>
      </c>
      <c r="C190" s="19" t="str">
        <f aca="false">IFERROR(INDEX('قائمة الوحدات'!$B$2:$B$41,MATCH($B190,'قائمة الوحدات'!$A$2:$A$41,0)),"")</f>
        <v>EXE</v>
      </c>
      <c r="D190" s="18" t="str">
        <f aca="false">IFERROR(INDEX('قائمة الوحدات'!$C$2:$C$41,MATCH($B190,'قائمة الوحدات'!$A$2:$A$41,0)),"")</f>
        <v>الشؤون التنفيذية</v>
      </c>
      <c r="E190" s="18" t="str">
        <f aca="false">IFERROR(INDEX('قائمة الوحدات'!$D$2:$D$41,MATCH($B190,'قائمة الوحدات'!$A$2:$A$41,0)),"")</f>
        <v>وكالة الشؤون الفنية</v>
      </c>
      <c r="F190" s="18" t="str">
        <f aca="false">IFERROR(INDEX('قائمة الوحدات'!$F$2:$F$41,MATCH($B190,'قائمة الوحدات'!$A$2:$A$41,0)),"")</f>
        <v>الإدارة العامة للأمن والحماية</v>
      </c>
      <c r="G190" s="20" t="s">
        <v>62</v>
      </c>
      <c r="H190" s="18" t="str">
        <f aca="false">IFERROR(INDEX(المرجع!$A$2:$A$19,MATCH($G190,المرجع!$B$2:$B$19,0)),"")</f>
        <v>البناء المؤسسي</v>
      </c>
      <c r="I190" s="20" t="s">
        <v>49</v>
      </c>
      <c r="J190" s="18" t="str">
        <f aca="false">IFERROR(INDEX(المرجع!$D$2:$D$19,MATCH($I190,المرجع!$E$2:$E$19,0)),"")</f>
        <v>الأهداف ومؤشرات الأداء</v>
      </c>
      <c r="K190" s="20" t="s">
        <v>92</v>
      </c>
      <c r="L190" s="21" t="str">
        <f aca="false">IFERROR(INDEX('نقاط التحقق'!$G$2:$G$31,MATCH($K190,'نقاط التحقق'!$A$2:$A$31,0))&amp;"","")</f>
        <v>أهداف تشغيلية معتمدة من صاحب الصلاحية</v>
      </c>
      <c r="M190" s="18" t="str">
        <f aca="false">IFERROR(INDEX('نقاط التحقق'!$H$2:$H$31,MATCH($K190,'نقاط التحقق'!$A$2:$A$31,0))&amp;"","")</f>
        <v/>
      </c>
      <c r="N190" s="17" t="n">
        <v>100</v>
      </c>
      <c r="O190" s="17" t="n">
        <v>100</v>
      </c>
      <c r="P190" s="19" t="str">
        <f aca="false">IF($N190="","غير مقيّمة",IF($N190&gt;المرجع!$K$3,"مستوفاة بشكل متقدم",IF($N190&lt;=المرجع!$K$2,"مستوفاة بشكل أولي","مستوفاة بشكل جزئي")))</f>
        <v>مستوفاة بشكل متقدم</v>
      </c>
      <c r="Q190" s="22"/>
    </row>
    <row r="191" customFormat="false" ht="15" hidden="false" customHeight="true" outlineLevel="0" collapsed="false">
      <c r="A191" s="20" t="s">
        <v>584</v>
      </c>
      <c r="B191" s="20" t="s">
        <v>176</v>
      </c>
      <c r="C191" s="19" t="str">
        <f aca="false">IFERROR(INDEX('قائمة الوحدات'!$B$2:$B$41,MATCH($B191,'قائمة الوحدات'!$A$2:$A$41,0)),"")</f>
        <v>EXE</v>
      </c>
      <c r="D191" s="18" t="str">
        <f aca="false">IFERROR(INDEX('قائمة الوحدات'!$C$2:$C$41,MATCH($B191,'قائمة الوحدات'!$A$2:$A$41,0)),"")</f>
        <v>الشؤون التنفيذية</v>
      </c>
      <c r="E191" s="18" t="str">
        <f aca="false">IFERROR(INDEX('قائمة الوحدات'!$D$2:$D$41,MATCH($B191,'قائمة الوحدات'!$A$2:$A$41,0)),"")</f>
        <v>وكالة الشؤون الفنية</v>
      </c>
      <c r="F191" s="18" t="str">
        <f aca="false">IFERROR(INDEX('قائمة الوحدات'!$F$2:$F$41,MATCH($B191,'قائمة الوحدات'!$A$2:$A$41,0)),"")</f>
        <v>الإدارة العامة للأمن والحماية</v>
      </c>
      <c r="G191" s="20" t="s">
        <v>62</v>
      </c>
      <c r="H191" s="18" t="str">
        <f aca="false">IFERROR(INDEX(المرجع!$A$2:$A$19,MATCH($G191,المرجع!$B$2:$B$19,0)),"")</f>
        <v>البناء المؤسسي</v>
      </c>
      <c r="I191" s="20" t="s">
        <v>49</v>
      </c>
      <c r="J191" s="18" t="str">
        <f aca="false">IFERROR(INDEX(المرجع!$D$2:$D$19,MATCH($I191,المرجع!$E$2:$E$19,0)),"")</f>
        <v>الأهداف ومؤشرات الأداء</v>
      </c>
      <c r="K191" s="20" t="s">
        <v>94</v>
      </c>
      <c r="L191" s="21" t="str">
        <f aca="false">IFERROR(INDEX('نقاط التحقق'!$G$2:$G$31,MATCH($K191,'نقاط التحقق'!$A$2:$A$31,0))&amp;"","")</f>
        <v>نشر الأهداف التشغيلية على موظفي الوحدة التنظيمية</v>
      </c>
      <c r="M191" s="18" t="str">
        <f aca="false">IFERROR(INDEX('نقاط التحقق'!$H$2:$H$31,MATCH($K191,'نقاط التحقق'!$A$2:$A$31,0))&amp;"","")</f>
        <v/>
      </c>
      <c r="N191" s="17" t="n">
        <v>100</v>
      </c>
      <c r="O191" s="17" t="n">
        <v>100</v>
      </c>
      <c r="P191" s="19" t="str">
        <f aca="false">IF($N191="","غير مقيّمة",IF($N191&gt;المرجع!$K$3,"مستوفاة بشكل متقدم",IF($N191&lt;=المرجع!$K$2,"مستوفاة بشكل أولي","مستوفاة بشكل جزئي")))</f>
        <v>مستوفاة بشكل متقدم</v>
      </c>
      <c r="Q191" s="22"/>
    </row>
    <row r="192" customFormat="false" ht="15" hidden="false" customHeight="true" outlineLevel="0" collapsed="false">
      <c r="A192" s="20" t="s">
        <v>585</v>
      </c>
      <c r="B192" s="20" t="s">
        <v>176</v>
      </c>
      <c r="C192" s="19" t="str">
        <f aca="false">IFERROR(INDEX('قائمة الوحدات'!$B$2:$B$41,MATCH($B192,'قائمة الوحدات'!$A$2:$A$41,0)),"")</f>
        <v>EXE</v>
      </c>
      <c r="D192" s="18" t="str">
        <f aca="false">IFERROR(INDEX('قائمة الوحدات'!$C$2:$C$41,MATCH($B192,'قائمة الوحدات'!$A$2:$A$41,0)),"")</f>
        <v>الشؤون التنفيذية</v>
      </c>
      <c r="E192" s="18" t="str">
        <f aca="false">IFERROR(INDEX('قائمة الوحدات'!$D$2:$D$41,MATCH($B192,'قائمة الوحدات'!$A$2:$A$41,0)),"")</f>
        <v>وكالة الشؤون الفنية</v>
      </c>
      <c r="F192" s="18" t="str">
        <f aca="false">IFERROR(INDEX('قائمة الوحدات'!$F$2:$F$41,MATCH($B192,'قائمة الوحدات'!$A$2:$A$41,0)),"")</f>
        <v>الإدارة العامة للأمن والحماية</v>
      </c>
      <c r="G192" s="20" t="s">
        <v>62</v>
      </c>
      <c r="H192" s="18" t="str">
        <f aca="false">IFERROR(INDEX(المرجع!$A$2:$A$19,MATCH($G192,المرجع!$B$2:$B$19,0)),"")</f>
        <v>البناء المؤسسي</v>
      </c>
      <c r="I192" s="20" t="s">
        <v>52</v>
      </c>
      <c r="J192" s="18" t="str">
        <f aca="false">IFERROR(INDEX(المرجع!$D$2:$D$19,MATCH($I192,المرجع!$E$2:$E$19,0)),"")</f>
        <v>الحوكمة</v>
      </c>
      <c r="K192" s="20" t="s">
        <v>96</v>
      </c>
      <c r="L192" s="21" t="str">
        <f aca="false">IFERROR(INDEX('نقاط التحقق'!$G$2:$G$31,MATCH($K192,'نقاط التحقق'!$A$2:$A$31,0))&amp;"","")</f>
        <v>مصفوفة صلاحيات معتمدة ومعممة على أصحاب المصلحة</v>
      </c>
      <c r="M192" s="18" t="str">
        <f aca="false">IFERROR(INDEX('نقاط التحقق'!$H$2:$H$31,MATCH($K192,'نقاط التحقق'!$A$2:$A$31,0))&amp;"","")</f>
        <v/>
      </c>
      <c r="N192" s="17" t="n">
        <v>60</v>
      </c>
      <c r="O192" s="17" t="n">
        <v>80</v>
      </c>
      <c r="P192" s="19" t="str">
        <f aca="false">IF($N192="","غير مقيّمة",IF($N192&gt;المرجع!$K$3,"مستوفاة بشكل متقدم",IF($N192&lt;=المرجع!$K$2,"مستوفاة بشكل أولي","مستوفاة بشكل جزئي")))</f>
        <v>مستوفاة بشكل جزئي</v>
      </c>
      <c r="Q192" s="22"/>
    </row>
    <row r="193" customFormat="false" ht="15" hidden="false" customHeight="true" outlineLevel="0" collapsed="false">
      <c r="A193" s="20" t="s">
        <v>586</v>
      </c>
      <c r="B193" s="20" t="s">
        <v>176</v>
      </c>
      <c r="C193" s="19" t="str">
        <f aca="false">IFERROR(INDEX('قائمة الوحدات'!$B$2:$B$41,MATCH($B193,'قائمة الوحدات'!$A$2:$A$41,0)),"")</f>
        <v>EXE</v>
      </c>
      <c r="D193" s="18" t="str">
        <f aca="false">IFERROR(INDEX('قائمة الوحدات'!$C$2:$C$41,MATCH($B193,'قائمة الوحدات'!$A$2:$A$41,0)),"")</f>
        <v>الشؤون التنفيذية</v>
      </c>
      <c r="E193" s="18" t="str">
        <f aca="false">IFERROR(INDEX('قائمة الوحدات'!$D$2:$D$41,MATCH($B193,'قائمة الوحدات'!$A$2:$A$41,0)),"")</f>
        <v>وكالة الشؤون الفنية</v>
      </c>
      <c r="F193" s="18" t="str">
        <f aca="false">IFERROR(INDEX('قائمة الوحدات'!$F$2:$F$41,MATCH($B193,'قائمة الوحدات'!$A$2:$A$41,0)),"")</f>
        <v>الإدارة العامة للأمن والحماية</v>
      </c>
      <c r="G193" s="20" t="s">
        <v>62</v>
      </c>
      <c r="H193" s="18" t="str">
        <f aca="false">IFERROR(INDEX(المرجع!$A$2:$A$19,MATCH($G193,المرجع!$B$2:$B$19,0)),"")</f>
        <v>البناء المؤسسي</v>
      </c>
      <c r="I193" s="20" t="s">
        <v>52</v>
      </c>
      <c r="J193" s="18" t="str">
        <f aca="false">IFERROR(INDEX(المرجع!$D$2:$D$19,MATCH($I193,المرجع!$E$2:$E$19,0)),"")</f>
        <v>الحوكمة</v>
      </c>
      <c r="K193" s="20" t="s">
        <v>98</v>
      </c>
      <c r="L193" s="21" t="str">
        <f aca="false">IFERROR(INDEX('نقاط التحقق'!$G$2:$G$31,MATCH($K193,'نقاط التحقق'!$A$2:$A$31,0))&amp;"","")</f>
        <v>سياسات معتمدة للتي تملكها الوحدة التنظيمية</v>
      </c>
      <c r="M193" s="18" t="str">
        <f aca="false">IFERROR(INDEX('نقاط التحقق'!$H$2:$H$31,MATCH($K193,'نقاط التحقق'!$A$2:$A$31,0))&amp;"","")</f>
        <v/>
      </c>
      <c r="N193" s="17" t="n">
        <v>60</v>
      </c>
      <c r="O193" s="17" t="n">
        <v>85</v>
      </c>
      <c r="P193" s="19" t="str">
        <f aca="false">IF($N193="","غير مقيّمة",IF($N193&gt;المرجع!$K$3,"مستوفاة بشكل متقدم",IF($N193&lt;=المرجع!$K$2,"مستوفاة بشكل أولي","مستوفاة بشكل جزئي")))</f>
        <v>مستوفاة بشكل جزئي</v>
      </c>
      <c r="Q193" s="22"/>
    </row>
    <row r="194" customFormat="false" ht="15" hidden="false" customHeight="true" outlineLevel="0" collapsed="false">
      <c r="A194" s="20" t="s">
        <v>587</v>
      </c>
      <c r="B194" s="20" t="s">
        <v>176</v>
      </c>
      <c r="C194" s="19" t="str">
        <f aca="false">IFERROR(INDEX('قائمة الوحدات'!$B$2:$B$41,MATCH($B194,'قائمة الوحدات'!$A$2:$A$41,0)),"")</f>
        <v>EXE</v>
      </c>
      <c r="D194" s="18" t="str">
        <f aca="false">IFERROR(INDEX('قائمة الوحدات'!$C$2:$C$41,MATCH($B194,'قائمة الوحدات'!$A$2:$A$41,0)),"")</f>
        <v>الشؤون التنفيذية</v>
      </c>
      <c r="E194" s="18" t="str">
        <f aca="false">IFERROR(INDEX('قائمة الوحدات'!$D$2:$D$41,MATCH($B194,'قائمة الوحدات'!$A$2:$A$41,0)),"")</f>
        <v>وكالة الشؤون الفنية</v>
      </c>
      <c r="F194" s="18" t="str">
        <f aca="false">IFERROR(INDEX('قائمة الوحدات'!$F$2:$F$41,MATCH($B194,'قائمة الوحدات'!$A$2:$A$41,0)),"")</f>
        <v>الإدارة العامة للأمن والحماية</v>
      </c>
      <c r="G194" s="20" t="s">
        <v>62</v>
      </c>
      <c r="H194" s="18" t="str">
        <f aca="false">IFERROR(INDEX(المرجع!$A$2:$A$19,MATCH($G194,المرجع!$B$2:$B$19,0)),"")</f>
        <v>البناء المؤسسي</v>
      </c>
      <c r="I194" s="20" t="s">
        <v>52</v>
      </c>
      <c r="J194" s="18" t="str">
        <f aca="false">IFERROR(INDEX(المرجع!$D$2:$D$19,MATCH($I194,المرجع!$E$2:$E$19,0)),"")</f>
        <v>الحوكمة</v>
      </c>
      <c r="K194" s="20" t="s">
        <v>100</v>
      </c>
      <c r="L194" s="21" t="str">
        <f aca="false">IFERROR(INDEX('نقاط التحقق'!$G$2:$G$31,MATCH($K194,'نقاط التحقق'!$A$2:$A$31,0))&amp;"","")</f>
        <v>قرار تشكيل معتمد للجان ذات العلاقة</v>
      </c>
      <c r="M194" s="18" t="str">
        <f aca="false">IFERROR(INDEX('نقاط التحقق'!$H$2:$H$31,MATCH($K194,'نقاط التحقق'!$A$2:$A$31,0))&amp;"","")</f>
        <v/>
      </c>
      <c r="N194" s="17" t="n">
        <v>45</v>
      </c>
      <c r="O194" s="17" t="n">
        <v>95</v>
      </c>
      <c r="P194" s="19" t="str">
        <f aca="false">IF($N194="","غير مقيّمة",IF($N194&gt;المرجع!$K$3,"مستوفاة بشكل متقدم",IF($N194&lt;=المرجع!$K$2,"مستوفاة بشكل أولي","مستوفاة بشكل جزئي")))</f>
        <v>مستوفاة بشكل جزئي</v>
      </c>
      <c r="Q194" s="22"/>
    </row>
    <row r="195" customFormat="false" ht="15" hidden="false" customHeight="true" outlineLevel="0" collapsed="false">
      <c r="A195" s="20" t="s">
        <v>588</v>
      </c>
      <c r="B195" s="20" t="s">
        <v>176</v>
      </c>
      <c r="C195" s="19" t="str">
        <f aca="false">IFERROR(INDEX('قائمة الوحدات'!$B$2:$B$41,MATCH($B195,'قائمة الوحدات'!$A$2:$A$41,0)),"")</f>
        <v>EXE</v>
      </c>
      <c r="D195" s="18" t="str">
        <f aca="false">IFERROR(INDEX('قائمة الوحدات'!$C$2:$C$41,MATCH($B195,'قائمة الوحدات'!$A$2:$A$41,0)),"")</f>
        <v>الشؤون التنفيذية</v>
      </c>
      <c r="E195" s="18" t="str">
        <f aca="false">IFERROR(INDEX('قائمة الوحدات'!$D$2:$D$41,MATCH($B195,'قائمة الوحدات'!$A$2:$A$41,0)),"")</f>
        <v>وكالة الشؤون الفنية</v>
      </c>
      <c r="F195" s="18" t="str">
        <f aca="false">IFERROR(INDEX('قائمة الوحدات'!$F$2:$F$41,MATCH($B195,'قائمة الوحدات'!$A$2:$A$41,0)),"")</f>
        <v>الإدارة العامة للأمن والحماية</v>
      </c>
      <c r="G195" s="20" t="s">
        <v>62</v>
      </c>
      <c r="H195" s="18" t="str">
        <f aca="false">IFERROR(INDEX(المرجع!$A$2:$A$19,MATCH($G195,المرجع!$B$2:$B$19,0)),"")</f>
        <v>البناء المؤسسي</v>
      </c>
      <c r="I195" s="20" t="s">
        <v>55</v>
      </c>
      <c r="J195" s="18" t="str">
        <f aca="false">IFERROR(INDEX(المرجع!$D$2:$D$19,MATCH($I195,المرجع!$E$2:$E$19,0)),"")</f>
        <v>التنظيم</v>
      </c>
      <c r="K195" s="20" t="s">
        <v>102</v>
      </c>
      <c r="L195" s="21" t="str">
        <f aca="false">IFERROR(INDEX('نقاط التحقق'!$G$2:$G$31,MATCH($K195,'نقاط التحقق'!$A$2:$A$31,0))&amp;"","")</f>
        <v>هيكل تنظيمي معتمد من صاحب الصلاحية</v>
      </c>
      <c r="M195" s="18" t="str">
        <f aca="false">IFERROR(INDEX('نقاط التحقق'!$H$2:$H$31,MATCH($K195,'نقاط التحقق'!$A$2:$A$31,0))&amp;"","")</f>
        <v/>
      </c>
      <c r="N195" s="17" t="n">
        <v>75</v>
      </c>
      <c r="O195" s="17" t="n">
        <v>85</v>
      </c>
      <c r="P195" s="19" t="str">
        <f aca="false">IF($N195="","غير مقيّمة",IF($N195&gt;المرجع!$K$3,"مستوفاة بشكل متقدم",IF($N195&lt;=المرجع!$K$2,"مستوفاة بشكل أولي","مستوفاة بشكل جزئي")))</f>
        <v>مستوفاة بشكل متقدم</v>
      </c>
      <c r="Q195" s="22"/>
    </row>
    <row r="196" customFormat="false" ht="15" hidden="false" customHeight="true" outlineLevel="0" collapsed="false">
      <c r="A196" s="20" t="s">
        <v>589</v>
      </c>
      <c r="B196" s="20" t="s">
        <v>176</v>
      </c>
      <c r="C196" s="19" t="str">
        <f aca="false">IFERROR(INDEX('قائمة الوحدات'!$B$2:$B$41,MATCH($B196,'قائمة الوحدات'!$A$2:$A$41,0)),"")</f>
        <v>EXE</v>
      </c>
      <c r="D196" s="18" t="str">
        <f aca="false">IFERROR(INDEX('قائمة الوحدات'!$C$2:$C$41,MATCH($B196,'قائمة الوحدات'!$A$2:$A$41,0)),"")</f>
        <v>الشؤون التنفيذية</v>
      </c>
      <c r="E196" s="18" t="str">
        <f aca="false">IFERROR(INDEX('قائمة الوحدات'!$D$2:$D$41,MATCH($B196,'قائمة الوحدات'!$A$2:$A$41,0)),"")</f>
        <v>وكالة الشؤون الفنية</v>
      </c>
      <c r="F196" s="18" t="str">
        <f aca="false">IFERROR(INDEX('قائمة الوحدات'!$F$2:$F$41,MATCH($B196,'قائمة الوحدات'!$A$2:$A$41,0)),"")</f>
        <v>الإدارة العامة للأمن والحماية</v>
      </c>
      <c r="G196" s="20" t="s">
        <v>62</v>
      </c>
      <c r="H196" s="18" t="str">
        <f aca="false">IFERROR(INDEX(المرجع!$A$2:$A$19,MATCH($G196,المرجع!$B$2:$B$19,0)),"")</f>
        <v>البناء المؤسسي</v>
      </c>
      <c r="I196" s="20" t="s">
        <v>55</v>
      </c>
      <c r="J196" s="18" t="str">
        <f aca="false">IFERROR(INDEX(المرجع!$D$2:$D$19,MATCH($I196,المرجع!$E$2:$E$19,0)),"")</f>
        <v>التنظيم</v>
      </c>
      <c r="K196" s="20" t="s">
        <v>104</v>
      </c>
      <c r="L196" s="21" t="str">
        <f aca="false">IFERROR(INDEX('نقاط التحقق'!$G$2:$G$31,MATCH($K196,'نقاط التحقق'!$A$2:$A$31,0))&amp;"","")</f>
        <v>هيكل تنظيمي منشأ على نظام القوى العاملة</v>
      </c>
      <c r="M196" s="18" t="str">
        <f aca="false">IFERROR(INDEX('نقاط التحقق'!$H$2:$H$31,MATCH($K196,'نقاط التحقق'!$A$2:$A$31,0))&amp;"","")</f>
        <v/>
      </c>
      <c r="N196" s="17" t="n">
        <v>70</v>
      </c>
      <c r="O196" s="17" t="n">
        <v>90</v>
      </c>
      <c r="P196" s="19" t="str">
        <f aca="false">IF($N196="","غير مقيّمة",IF($N196&gt;المرجع!$K$3,"مستوفاة بشكل متقدم",IF($N196&lt;=المرجع!$K$2,"مستوفاة بشكل أولي","مستوفاة بشكل جزئي")))</f>
        <v>مستوفاة بشكل جزئي</v>
      </c>
      <c r="Q196" s="22"/>
    </row>
    <row r="197" customFormat="false" ht="15" hidden="false" customHeight="true" outlineLevel="0" collapsed="false">
      <c r="A197" s="20" t="s">
        <v>590</v>
      </c>
      <c r="B197" s="20" t="s">
        <v>176</v>
      </c>
      <c r="C197" s="19" t="str">
        <f aca="false">IFERROR(INDEX('قائمة الوحدات'!$B$2:$B$41,MATCH($B197,'قائمة الوحدات'!$A$2:$A$41,0)),"")</f>
        <v>EXE</v>
      </c>
      <c r="D197" s="18" t="str">
        <f aca="false">IFERROR(INDEX('قائمة الوحدات'!$C$2:$C$41,MATCH($B197,'قائمة الوحدات'!$A$2:$A$41,0)),"")</f>
        <v>الشؤون التنفيذية</v>
      </c>
      <c r="E197" s="18" t="str">
        <f aca="false">IFERROR(INDEX('قائمة الوحدات'!$D$2:$D$41,MATCH($B197,'قائمة الوحدات'!$A$2:$A$41,0)),"")</f>
        <v>وكالة الشؤون الفنية</v>
      </c>
      <c r="F197" s="18" t="str">
        <f aca="false">IFERROR(INDEX('قائمة الوحدات'!$F$2:$F$41,MATCH($B197,'قائمة الوحدات'!$A$2:$A$41,0)),"")</f>
        <v>الإدارة العامة للأمن والحماية</v>
      </c>
      <c r="G197" s="20" t="s">
        <v>62</v>
      </c>
      <c r="H197" s="18" t="str">
        <f aca="false">IFERROR(INDEX(المرجع!$A$2:$A$19,MATCH($G197,المرجع!$B$2:$B$19,0)),"")</f>
        <v>البناء المؤسسي</v>
      </c>
      <c r="I197" s="20" t="s">
        <v>55</v>
      </c>
      <c r="J197" s="18" t="str">
        <f aca="false">IFERROR(INDEX(المرجع!$D$2:$D$19,MATCH($I197,المرجع!$E$2:$E$19,0)),"")</f>
        <v>التنظيم</v>
      </c>
      <c r="K197" s="20" t="s">
        <v>106</v>
      </c>
      <c r="L197" s="21" t="str">
        <f aca="false">IFERROR(INDEX('نقاط التحقق'!$G$2:$G$31,MATCH($K197,'نقاط التحقق'!$A$2:$A$31,0))&amp;"","")</f>
        <v>الموظفون المحددون مسكّنون على الهيكل التنظيمي المستهدف</v>
      </c>
      <c r="M197" s="18" t="str">
        <f aca="false">IFERROR(INDEX('نقاط التحقق'!$H$2:$H$31,MATCH($K197,'نقاط التحقق'!$A$2:$A$31,0))&amp;"","")</f>
        <v/>
      </c>
      <c r="N197" s="17" t="n">
        <v>85</v>
      </c>
      <c r="O197" s="17" t="n">
        <v>85</v>
      </c>
      <c r="P197" s="19" t="str">
        <f aca="false">IF($N197="","غير مقيّمة",IF($N197&gt;المرجع!$K$3,"مستوفاة بشكل متقدم",IF($N197&lt;=المرجع!$K$2,"مستوفاة بشكل أولي","مستوفاة بشكل جزئي")))</f>
        <v>مستوفاة بشكل متقدم</v>
      </c>
      <c r="Q197" s="22"/>
    </row>
    <row r="198" customFormat="false" ht="15" hidden="false" customHeight="true" outlineLevel="0" collapsed="false">
      <c r="A198" s="20" t="s">
        <v>591</v>
      </c>
      <c r="B198" s="20" t="s">
        <v>176</v>
      </c>
      <c r="C198" s="19" t="str">
        <f aca="false">IFERROR(INDEX('قائمة الوحدات'!$B$2:$B$41,MATCH($B198,'قائمة الوحدات'!$A$2:$A$41,0)),"")</f>
        <v>EXE</v>
      </c>
      <c r="D198" s="18" t="str">
        <f aca="false">IFERROR(INDEX('قائمة الوحدات'!$C$2:$C$41,MATCH($B198,'قائمة الوحدات'!$A$2:$A$41,0)),"")</f>
        <v>الشؤون التنفيذية</v>
      </c>
      <c r="E198" s="18" t="str">
        <f aca="false">IFERROR(INDEX('قائمة الوحدات'!$D$2:$D$41,MATCH($B198,'قائمة الوحدات'!$A$2:$A$41,0)),"")</f>
        <v>وكالة الشؤون الفنية</v>
      </c>
      <c r="F198" s="18" t="str">
        <f aca="false">IFERROR(INDEX('قائمة الوحدات'!$F$2:$F$41,MATCH($B198,'قائمة الوحدات'!$A$2:$A$41,0)),"")</f>
        <v>الإدارة العامة للأمن والحماية</v>
      </c>
      <c r="G198" s="20" t="s">
        <v>62</v>
      </c>
      <c r="H198" s="18" t="str">
        <f aca="false">IFERROR(INDEX(المرجع!$A$2:$A$19,MATCH($G198,المرجع!$B$2:$B$19,0)),"")</f>
        <v>البناء المؤسسي</v>
      </c>
      <c r="I198" s="20" t="s">
        <v>57</v>
      </c>
      <c r="J198" s="18" t="str">
        <f aca="false">IFERROR(INDEX(المرجع!$D$2:$D$19,MATCH($I198,المرجع!$E$2:$E$19,0)),"")</f>
        <v>الموارد</v>
      </c>
      <c r="K198" s="20" t="s">
        <v>108</v>
      </c>
      <c r="L198" s="21" t="str">
        <f aca="false">IFERROR(INDEX('نقاط التحقق'!$G$2:$G$31,MATCH($K198,'نقاط التحقق'!$A$2:$A$31,0))&amp;"","")</f>
        <v>مدير الوحدة التنظيمية والموظفون الرئيسيون معينون/ملحقون</v>
      </c>
      <c r="M198" s="18" t="str">
        <f aca="false">IFERROR(INDEX('نقاط التحقق'!$H$2:$H$31,MATCH($K198,'نقاط التحقق'!$A$2:$A$31,0))&amp;"","")</f>
        <v/>
      </c>
      <c r="N198" s="17" t="n">
        <v>70</v>
      </c>
      <c r="O198" s="17" t="n">
        <v>95</v>
      </c>
      <c r="P198" s="19" t="str">
        <f aca="false">IF($N198="","غير مقيّمة",IF($N198&gt;المرجع!$K$3,"مستوفاة بشكل متقدم",IF($N198&lt;=المرجع!$K$2,"مستوفاة بشكل أولي","مستوفاة بشكل جزئي")))</f>
        <v>مستوفاة بشكل جزئي</v>
      </c>
      <c r="Q198" s="22"/>
    </row>
    <row r="199" customFormat="false" ht="15" hidden="false" customHeight="true" outlineLevel="0" collapsed="false">
      <c r="A199" s="20" t="s">
        <v>592</v>
      </c>
      <c r="B199" s="20" t="s">
        <v>176</v>
      </c>
      <c r="C199" s="19" t="str">
        <f aca="false">IFERROR(INDEX('قائمة الوحدات'!$B$2:$B$41,MATCH($B199,'قائمة الوحدات'!$A$2:$A$41,0)),"")</f>
        <v>EXE</v>
      </c>
      <c r="D199" s="18" t="str">
        <f aca="false">IFERROR(INDEX('قائمة الوحدات'!$C$2:$C$41,MATCH($B199,'قائمة الوحدات'!$A$2:$A$41,0)),"")</f>
        <v>الشؤون التنفيذية</v>
      </c>
      <c r="E199" s="18" t="str">
        <f aca="false">IFERROR(INDEX('قائمة الوحدات'!$D$2:$D$41,MATCH($B199,'قائمة الوحدات'!$A$2:$A$41,0)),"")</f>
        <v>وكالة الشؤون الفنية</v>
      </c>
      <c r="F199" s="18" t="str">
        <f aca="false">IFERROR(INDEX('قائمة الوحدات'!$F$2:$F$41,MATCH($B199,'قائمة الوحدات'!$A$2:$A$41,0)),"")</f>
        <v>الإدارة العامة للأمن والحماية</v>
      </c>
      <c r="G199" s="20" t="s">
        <v>62</v>
      </c>
      <c r="H199" s="18" t="str">
        <f aca="false">IFERROR(INDEX(المرجع!$A$2:$A$19,MATCH($G199,المرجع!$B$2:$B$19,0)),"")</f>
        <v>البناء المؤسسي</v>
      </c>
      <c r="I199" s="20" t="s">
        <v>57</v>
      </c>
      <c r="J199" s="18" t="str">
        <f aca="false">IFERROR(INDEX(المرجع!$D$2:$D$19,MATCH($I199,المرجع!$E$2:$E$19,0)),"")</f>
        <v>الموارد</v>
      </c>
      <c r="K199" s="20" t="s">
        <v>110</v>
      </c>
      <c r="L199" s="21" t="str">
        <f aca="false">IFERROR(INDEX('نقاط التحقق'!$G$2:$G$31,MATCH($K199,'نقاط التحقق'!$A$2:$A$31,0))&amp;"","")</f>
        <v>خطة توظيف وتدريب مستكملة</v>
      </c>
      <c r="M199" s="18" t="str">
        <f aca="false">IFERROR(INDEX('نقاط التحقق'!$H$2:$H$31,MATCH($K199,'نقاط التحقق'!$A$2:$A$31,0))&amp;"","")</f>
        <v/>
      </c>
      <c r="N199" s="17" t="n">
        <v>65</v>
      </c>
      <c r="O199" s="17" t="n">
        <v>100</v>
      </c>
      <c r="P199" s="19" t="str">
        <f aca="false">IF($N199="","غير مقيّمة",IF($N199&gt;المرجع!$K$3,"مستوفاة بشكل متقدم",IF($N199&lt;=المرجع!$K$2,"مستوفاة بشكل أولي","مستوفاة بشكل جزئي")))</f>
        <v>مستوفاة بشكل جزئي</v>
      </c>
      <c r="Q199" s="22"/>
    </row>
    <row r="200" customFormat="false" ht="15" hidden="false" customHeight="true" outlineLevel="0" collapsed="false">
      <c r="A200" s="20" t="s">
        <v>593</v>
      </c>
      <c r="B200" s="20" t="s">
        <v>176</v>
      </c>
      <c r="C200" s="19" t="str">
        <f aca="false">IFERROR(INDEX('قائمة الوحدات'!$B$2:$B$41,MATCH($B200,'قائمة الوحدات'!$A$2:$A$41,0)),"")</f>
        <v>EXE</v>
      </c>
      <c r="D200" s="18" t="str">
        <f aca="false">IFERROR(INDEX('قائمة الوحدات'!$C$2:$C$41,MATCH($B200,'قائمة الوحدات'!$A$2:$A$41,0)),"")</f>
        <v>الشؤون التنفيذية</v>
      </c>
      <c r="E200" s="18" t="str">
        <f aca="false">IFERROR(INDEX('قائمة الوحدات'!$D$2:$D$41,MATCH($B200,'قائمة الوحدات'!$A$2:$A$41,0)),"")</f>
        <v>وكالة الشؤون الفنية</v>
      </c>
      <c r="F200" s="18" t="str">
        <f aca="false">IFERROR(INDEX('قائمة الوحدات'!$F$2:$F$41,MATCH($B200,'قائمة الوحدات'!$A$2:$A$41,0)),"")</f>
        <v>الإدارة العامة للأمن والحماية</v>
      </c>
      <c r="G200" s="20" t="s">
        <v>62</v>
      </c>
      <c r="H200" s="18" t="str">
        <f aca="false">IFERROR(INDEX(المرجع!$A$2:$A$19,MATCH($G200,المرجع!$B$2:$B$19,0)),"")</f>
        <v>البناء المؤسسي</v>
      </c>
      <c r="I200" s="20" t="s">
        <v>57</v>
      </c>
      <c r="J200" s="18" t="str">
        <f aca="false">IFERROR(INDEX(المرجع!$D$2:$D$19,MATCH($I200,المرجع!$E$2:$E$19,0)),"")</f>
        <v>الموارد</v>
      </c>
      <c r="K200" s="20" t="s">
        <v>112</v>
      </c>
      <c r="L200" s="21" t="str">
        <f aca="false">IFERROR(INDEX('نقاط التحقق'!$G$2:$G$31,MATCH($K200,'نقاط التحقق'!$A$2:$A$31,0))&amp;"","")</f>
        <v>وجود مساحات مكتبية كافية</v>
      </c>
      <c r="M200" s="18" t="str">
        <f aca="false">IFERROR(INDEX('نقاط التحقق'!$H$2:$H$31,MATCH($K200,'نقاط التحقق'!$A$2:$A$31,0))&amp;"","")</f>
        <v/>
      </c>
      <c r="N200" s="17" t="n">
        <v>85</v>
      </c>
      <c r="O200" s="17" t="n">
        <v>100</v>
      </c>
      <c r="P200" s="19" t="str">
        <f aca="false">IF($N200="","غير مقيّمة",IF($N200&gt;المرجع!$K$3,"مستوفاة بشكل متقدم",IF($N200&lt;=المرجع!$K$2,"مستوفاة بشكل أولي","مستوفاة بشكل جزئي")))</f>
        <v>مستوفاة بشكل متقدم</v>
      </c>
      <c r="Q200" s="22"/>
    </row>
    <row r="201" customFormat="false" ht="15" hidden="false" customHeight="true" outlineLevel="0" collapsed="false">
      <c r="A201" s="20" t="s">
        <v>594</v>
      </c>
      <c r="B201" s="20" t="s">
        <v>176</v>
      </c>
      <c r="C201" s="19" t="str">
        <f aca="false">IFERROR(INDEX('قائمة الوحدات'!$B$2:$B$41,MATCH($B201,'قائمة الوحدات'!$A$2:$A$41,0)),"")</f>
        <v>EXE</v>
      </c>
      <c r="D201" s="18" t="str">
        <f aca="false">IFERROR(INDEX('قائمة الوحدات'!$C$2:$C$41,MATCH($B201,'قائمة الوحدات'!$A$2:$A$41,0)),"")</f>
        <v>الشؤون التنفيذية</v>
      </c>
      <c r="E201" s="18" t="str">
        <f aca="false">IFERROR(INDEX('قائمة الوحدات'!$D$2:$D$41,MATCH($B201,'قائمة الوحدات'!$A$2:$A$41,0)),"")</f>
        <v>وكالة الشؤون الفنية</v>
      </c>
      <c r="F201" s="18" t="str">
        <f aca="false">IFERROR(INDEX('قائمة الوحدات'!$F$2:$F$41,MATCH($B201,'قائمة الوحدات'!$A$2:$A$41,0)),"")</f>
        <v>الإدارة العامة للأمن والحماية</v>
      </c>
      <c r="G201" s="20" t="s">
        <v>62</v>
      </c>
      <c r="H201" s="18" t="str">
        <f aca="false">IFERROR(INDEX(المرجع!$A$2:$A$19,MATCH($G201,المرجع!$B$2:$B$19,0)),"")</f>
        <v>البناء المؤسسي</v>
      </c>
      <c r="I201" s="20" t="s">
        <v>57</v>
      </c>
      <c r="J201" s="18" t="str">
        <f aca="false">IFERROR(INDEX(المرجع!$D$2:$D$19,MATCH($I201,المرجع!$E$2:$E$19,0)),"")</f>
        <v>الموارد</v>
      </c>
      <c r="K201" s="20" t="s">
        <v>114</v>
      </c>
      <c r="L201" s="21" t="str">
        <f aca="false">IFERROR(INDEX('نقاط التحقق'!$G$2:$G$31,MATCH($K201,'نقاط التحقق'!$A$2:$A$31,0))&amp;"","")</f>
        <v>وجود الاحتياجات التقنية الأساسية</v>
      </c>
      <c r="M201" s="18" t="str">
        <f aca="false">IFERROR(INDEX('نقاط التحقق'!$H$2:$H$31,MATCH($K201,'نقاط التحقق'!$A$2:$A$31,0))&amp;"","")</f>
        <v/>
      </c>
      <c r="N201" s="17" t="n">
        <v>75</v>
      </c>
      <c r="O201" s="17" t="n">
        <v>100</v>
      </c>
      <c r="P201" s="19" t="str">
        <f aca="false">IF($N201="","غير مقيّمة",IF($N201&gt;المرجع!$K$3,"مستوفاة بشكل متقدم",IF($N201&lt;=المرجع!$K$2,"مستوفاة بشكل أولي","مستوفاة بشكل جزئي")))</f>
        <v>مستوفاة بشكل متقدم</v>
      </c>
      <c r="Q201" s="22"/>
    </row>
    <row r="202" customFormat="false" ht="15" hidden="false" customHeight="true" outlineLevel="0" collapsed="false">
      <c r="A202" s="20" t="s">
        <v>595</v>
      </c>
      <c r="B202" s="20" t="s">
        <v>176</v>
      </c>
      <c r="C202" s="19" t="str">
        <f aca="false">IFERROR(INDEX('قائمة الوحدات'!$B$2:$B$41,MATCH($B202,'قائمة الوحدات'!$A$2:$A$41,0)),"")</f>
        <v>EXE</v>
      </c>
      <c r="D202" s="18" t="str">
        <f aca="false">IFERROR(INDEX('قائمة الوحدات'!$C$2:$C$41,MATCH($B202,'قائمة الوحدات'!$A$2:$A$41,0)),"")</f>
        <v>الشؤون التنفيذية</v>
      </c>
      <c r="E202" s="18" t="str">
        <f aca="false">IFERROR(INDEX('قائمة الوحدات'!$D$2:$D$41,MATCH($B202,'قائمة الوحدات'!$A$2:$A$41,0)),"")</f>
        <v>وكالة الشؤون الفنية</v>
      </c>
      <c r="F202" s="18" t="str">
        <f aca="false">IFERROR(INDEX('قائمة الوحدات'!$F$2:$F$41,MATCH($B202,'قائمة الوحدات'!$A$2:$A$41,0)),"")</f>
        <v>الإدارة العامة للأمن والحماية</v>
      </c>
      <c r="G202" s="20" t="s">
        <v>62</v>
      </c>
      <c r="H202" s="18" t="str">
        <f aca="false">IFERROR(INDEX(المرجع!$A$2:$A$19,MATCH($G202,المرجع!$B$2:$B$19,0)),"")</f>
        <v>البناء المؤسسي</v>
      </c>
      <c r="I202" s="20" t="s">
        <v>60</v>
      </c>
      <c r="J202" s="18" t="str">
        <f aca="false">IFERROR(INDEX(المرجع!$D$2:$D$19,MATCH($I202,المرجع!$E$2:$E$19,0)),"")</f>
        <v>الإجراءات</v>
      </c>
      <c r="K202" s="20" t="s">
        <v>116</v>
      </c>
      <c r="L202" s="21" t="str">
        <f aca="false">IFERROR(INDEX('نقاط التحقق'!$G$2:$G$31,MATCH($K202,'نقاط التحقق'!$A$2:$A$31,0))&amp;"","")</f>
        <v>إجراءات معتمدة للوحدة التنظيمية</v>
      </c>
      <c r="M202" s="18" t="str">
        <f aca="false">IFERROR(INDEX('نقاط التحقق'!$H$2:$H$31,MATCH($K202,'نقاط التحقق'!$A$2:$A$31,0))&amp;"","")</f>
        <v/>
      </c>
      <c r="N202" s="17" t="n">
        <v>57</v>
      </c>
      <c r="O202" s="17" t="n">
        <v>80</v>
      </c>
      <c r="P202" s="19" t="str">
        <f aca="false">IF($N202="","غير مقيّمة",IF($N202&gt;المرجع!$K$3,"مستوفاة بشكل متقدم",IF($N202&lt;=المرجع!$K$2,"مستوفاة بشكل أولي","مستوفاة بشكل جزئي")))</f>
        <v>مستوفاة بشكل جزئي</v>
      </c>
      <c r="Q202" s="22"/>
    </row>
    <row r="203" customFormat="false" ht="15" hidden="false" customHeight="true" outlineLevel="0" collapsed="false">
      <c r="A203" s="20" t="s">
        <v>596</v>
      </c>
      <c r="B203" s="20" t="s">
        <v>176</v>
      </c>
      <c r="C203" s="19" t="str">
        <f aca="false">IFERROR(INDEX('قائمة الوحدات'!$B$2:$B$41,MATCH($B203,'قائمة الوحدات'!$A$2:$A$41,0)),"")</f>
        <v>EXE</v>
      </c>
      <c r="D203" s="18" t="str">
        <f aca="false">IFERROR(INDEX('قائمة الوحدات'!$C$2:$C$41,MATCH($B203,'قائمة الوحدات'!$A$2:$A$41,0)),"")</f>
        <v>الشؤون التنفيذية</v>
      </c>
      <c r="E203" s="18" t="str">
        <f aca="false">IFERROR(INDEX('قائمة الوحدات'!$D$2:$D$41,MATCH($B203,'قائمة الوحدات'!$A$2:$A$41,0)),"")</f>
        <v>وكالة الشؤون الفنية</v>
      </c>
      <c r="F203" s="18" t="str">
        <f aca="false">IFERROR(INDEX('قائمة الوحدات'!$F$2:$F$41,MATCH($B203,'قائمة الوحدات'!$A$2:$A$41,0)),"")</f>
        <v>الإدارة العامة للأمن والحماية</v>
      </c>
      <c r="G203" s="20" t="s">
        <v>62</v>
      </c>
      <c r="H203" s="18" t="str">
        <f aca="false">IFERROR(INDEX(المرجع!$A$2:$A$19,MATCH($G203,المرجع!$B$2:$B$19,0)),"")</f>
        <v>البناء المؤسسي</v>
      </c>
      <c r="I203" s="20" t="s">
        <v>69</v>
      </c>
      <c r="J203" s="18" t="str">
        <f aca="false">IFERROR(INDEX(المرجع!$D$2:$D$19,MATCH($I203,المرجع!$E$2:$E$19,0)),"")</f>
        <v>إنتاج المخرج الأول</v>
      </c>
      <c r="K203" s="20" t="s">
        <v>118</v>
      </c>
      <c r="L203" s="21" t="str">
        <f aca="false">IFERROR(INDEX('نقاط التحقق'!$G$2:$G$31,MATCH($K203,'نقاط التحقق'!$A$2:$A$31,0))&amp;"","")</f>
        <v>إنتاج المخرج الأول من قبل الوحدة التنظيمية</v>
      </c>
      <c r="M203" s="18" t="str">
        <f aca="false">IFERROR(INDEX('نقاط التحقق'!$H$2:$H$31,MATCH($K203,'نقاط التحقق'!$A$2:$A$31,0))&amp;"","")</f>
        <v/>
      </c>
      <c r="N203" s="17" t="n">
        <v>68</v>
      </c>
      <c r="O203" s="17" t="n">
        <v>95</v>
      </c>
      <c r="P203" s="19" t="str">
        <f aca="false">IF($N203="","غير مقيّمة",IF($N203&gt;المرجع!$K$3,"مستوفاة بشكل متقدم",IF($N203&lt;=المرجع!$K$2,"مستوفاة بشكل أولي","مستوفاة بشكل جزئي")))</f>
        <v>مستوفاة بشكل جزئي</v>
      </c>
      <c r="Q203" s="22"/>
    </row>
    <row r="204" customFormat="false" ht="15" hidden="false" customHeight="true" outlineLevel="0" collapsed="false">
      <c r="A204" s="20" t="s">
        <v>597</v>
      </c>
      <c r="B204" s="20" t="s">
        <v>176</v>
      </c>
      <c r="C204" s="19" t="str">
        <f aca="false">IFERROR(INDEX('قائمة الوحدات'!$B$2:$B$41,MATCH($B204,'قائمة الوحدات'!$A$2:$A$41,0)),"")</f>
        <v>EXE</v>
      </c>
      <c r="D204" s="18" t="str">
        <f aca="false">IFERROR(INDEX('قائمة الوحدات'!$C$2:$C$41,MATCH($B204,'قائمة الوحدات'!$A$2:$A$41,0)),"")</f>
        <v>الشؤون التنفيذية</v>
      </c>
      <c r="E204" s="18" t="str">
        <f aca="false">IFERROR(INDEX('قائمة الوحدات'!$D$2:$D$41,MATCH($B204,'قائمة الوحدات'!$A$2:$A$41,0)),"")</f>
        <v>وكالة الشؤون الفنية</v>
      </c>
      <c r="F204" s="18" t="str">
        <f aca="false">IFERROR(INDEX('قائمة الوحدات'!$F$2:$F$41,MATCH($B204,'قائمة الوحدات'!$A$2:$A$41,0)),"")</f>
        <v>الإدارة العامة للأمن والحماية</v>
      </c>
      <c r="G204" s="20" t="s">
        <v>66</v>
      </c>
      <c r="H204" s="18" t="str">
        <f aca="false">IFERROR(INDEX(المرجع!$A$2:$A$19,MATCH($G204,المرجع!$B$2:$B$19,0)),"")</f>
        <v>التشغيل</v>
      </c>
      <c r="I204" s="20" t="s">
        <v>49</v>
      </c>
      <c r="J204" s="18" t="str">
        <f aca="false">IFERROR(INDEX(المرجع!$D$2:$D$19,MATCH($I204,المرجع!$E$2:$E$19,0)),"")</f>
        <v>الأهداف ومؤشرات الأداء</v>
      </c>
      <c r="K204" s="20" t="s">
        <v>120</v>
      </c>
      <c r="L204" s="21" t="str">
        <f aca="false">IFERROR(INDEX('نقاط التحقق'!$G$2:$G$31,MATCH($K204,'نقاط التحقق'!$A$2:$A$31,0))&amp;"","")</f>
        <v>تحرك مؤشرات الأداء التشغيلي للوحدة التنظيمية بشكل إيجابي</v>
      </c>
      <c r="M204" s="18" t="str">
        <f aca="false">IFERROR(INDEX('نقاط التحقق'!$H$2:$H$31,MATCH($K204,'نقاط التحقق'!$A$2:$A$31,0))&amp;"","")</f>
        <v/>
      </c>
      <c r="N204" s="17" t="n">
        <v>35</v>
      </c>
      <c r="O204" s="17" t="n">
        <v>100</v>
      </c>
      <c r="P204" s="19" t="str">
        <f aca="false">IF($N204="","غير مقيّمة",IF($N204&gt;المرجع!$K$3,"مستوفاة بشكل متقدم",IF($N204&lt;=المرجع!$K$2,"مستوفاة بشكل أولي","مستوفاة بشكل جزئي")))</f>
        <v>مستوفاة بشكل جزئي</v>
      </c>
      <c r="Q204" s="22"/>
    </row>
    <row r="205" customFormat="false" ht="15" hidden="false" customHeight="true" outlineLevel="0" collapsed="false">
      <c r="A205" s="20" t="s">
        <v>598</v>
      </c>
      <c r="B205" s="20" t="s">
        <v>176</v>
      </c>
      <c r="C205" s="19" t="str">
        <f aca="false">IFERROR(INDEX('قائمة الوحدات'!$B$2:$B$41,MATCH($B205,'قائمة الوحدات'!$A$2:$A$41,0)),"")</f>
        <v>EXE</v>
      </c>
      <c r="D205" s="18" t="str">
        <f aca="false">IFERROR(INDEX('قائمة الوحدات'!$C$2:$C$41,MATCH($B205,'قائمة الوحدات'!$A$2:$A$41,0)),"")</f>
        <v>الشؤون التنفيذية</v>
      </c>
      <c r="E205" s="18" t="str">
        <f aca="false">IFERROR(INDEX('قائمة الوحدات'!$D$2:$D$41,MATCH($B205,'قائمة الوحدات'!$A$2:$A$41,0)),"")</f>
        <v>وكالة الشؤون الفنية</v>
      </c>
      <c r="F205" s="18" t="str">
        <f aca="false">IFERROR(INDEX('قائمة الوحدات'!$F$2:$F$41,MATCH($B205,'قائمة الوحدات'!$A$2:$A$41,0)),"")</f>
        <v>الإدارة العامة للأمن والحماية</v>
      </c>
      <c r="G205" s="20" t="s">
        <v>66</v>
      </c>
      <c r="H205" s="18" t="str">
        <f aca="false">IFERROR(INDEX(المرجع!$A$2:$A$19,MATCH($G205,المرجع!$B$2:$B$19,0)),"")</f>
        <v>التشغيل</v>
      </c>
      <c r="I205" s="20" t="s">
        <v>49</v>
      </c>
      <c r="J205" s="18" t="str">
        <f aca="false">IFERROR(INDEX(المرجع!$D$2:$D$19,MATCH($I205,المرجع!$E$2:$E$19,0)),"")</f>
        <v>الأهداف ومؤشرات الأداء</v>
      </c>
      <c r="K205" s="20" t="s">
        <v>122</v>
      </c>
      <c r="L205" s="21" t="str">
        <f aca="false">IFERROR(INDEX('نقاط التحقق'!$G$2:$G$31,MATCH($K205,'نقاط التحقق'!$A$2:$A$31,0))&amp;"","")</f>
        <v>خطة سنوية معتمدة للوحدة التنظيمية</v>
      </c>
      <c r="M205" s="18" t="str">
        <f aca="false">IFERROR(INDEX('نقاط التحقق'!$H$2:$H$31,MATCH($K205,'نقاط التحقق'!$A$2:$A$31,0))&amp;"","")</f>
        <v/>
      </c>
      <c r="N205" s="17" t="n">
        <v>45</v>
      </c>
      <c r="O205" s="17" t="n">
        <v>90</v>
      </c>
      <c r="P205" s="19" t="str">
        <f aca="false">IF($N205="","غير مقيّمة",IF($N205&gt;المرجع!$K$3,"مستوفاة بشكل متقدم",IF($N205&lt;=المرجع!$K$2,"مستوفاة بشكل أولي","مستوفاة بشكل جزئي")))</f>
        <v>مستوفاة بشكل جزئي</v>
      </c>
      <c r="Q205" s="22"/>
    </row>
    <row r="206" customFormat="false" ht="15" hidden="false" customHeight="true" outlineLevel="0" collapsed="false">
      <c r="A206" s="20" t="s">
        <v>599</v>
      </c>
      <c r="B206" s="20" t="s">
        <v>176</v>
      </c>
      <c r="C206" s="19" t="str">
        <f aca="false">IFERROR(INDEX('قائمة الوحدات'!$B$2:$B$41,MATCH($B206,'قائمة الوحدات'!$A$2:$A$41,0)),"")</f>
        <v>EXE</v>
      </c>
      <c r="D206" s="18" t="str">
        <f aca="false">IFERROR(INDEX('قائمة الوحدات'!$C$2:$C$41,MATCH($B206,'قائمة الوحدات'!$A$2:$A$41,0)),"")</f>
        <v>الشؤون التنفيذية</v>
      </c>
      <c r="E206" s="18" t="str">
        <f aca="false">IFERROR(INDEX('قائمة الوحدات'!$D$2:$D$41,MATCH($B206,'قائمة الوحدات'!$A$2:$A$41,0)),"")</f>
        <v>وكالة الشؤون الفنية</v>
      </c>
      <c r="F206" s="18" t="str">
        <f aca="false">IFERROR(INDEX('قائمة الوحدات'!$F$2:$F$41,MATCH($B206,'قائمة الوحدات'!$A$2:$A$41,0)),"")</f>
        <v>الإدارة العامة للأمن والحماية</v>
      </c>
      <c r="G206" s="20" t="s">
        <v>66</v>
      </c>
      <c r="H206" s="18" t="str">
        <f aca="false">IFERROR(INDEX(المرجع!$A$2:$A$19,MATCH($G206,المرجع!$B$2:$B$19,0)),"")</f>
        <v>التشغيل</v>
      </c>
      <c r="I206" s="20" t="s">
        <v>52</v>
      </c>
      <c r="J206" s="18" t="str">
        <f aca="false">IFERROR(INDEX(المرجع!$D$2:$D$19,MATCH($I206,المرجع!$E$2:$E$19,0)),"")</f>
        <v>الحوكمة</v>
      </c>
      <c r="K206" s="20" t="s">
        <v>124</v>
      </c>
      <c r="L206" s="21" t="str">
        <f aca="false">IFERROR(INDEX('نقاط التحقق'!$G$2:$G$31,MATCH($K206,'نقاط التحقق'!$A$2:$A$31,0))&amp;"","")</f>
        <v>محاضر لجان موثقة</v>
      </c>
      <c r="M206" s="18" t="str">
        <f aca="false">IFERROR(INDEX('نقاط التحقق'!$H$2:$H$31,MATCH($K206,'نقاط التحقق'!$A$2:$A$31,0))&amp;"","")</f>
        <v/>
      </c>
      <c r="N206" s="17" t="n">
        <v>20</v>
      </c>
      <c r="O206" s="17" t="n">
        <v>100</v>
      </c>
      <c r="P206" s="19" t="str">
        <f aca="false">IF($N206="","غير مقيّمة",IF($N206&gt;المرجع!$K$3,"مستوفاة بشكل متقدم",IF($N206&lt;=المرجع!$K$2,"مستوفاة بشكل أولي","مستوفاة بشكل جزئي")))</f>
        <v>مستوفاة بشكل أولي</v>
      </c>
      <c r="Q206" s="22"/>
    </row>
    <row r="207" customFormat="false" ht="15" hidden="false" customHeight="true" outlineLevel="0" collapsed="false">
      <c r="A207" s="20" t="s">
        <v>600</v>
      </c>
      <c r="B207" s="20" t="s">
        <v>176</v>
      </c>
      <c r="C207" s="19" t="str">
        <f aca="false">IFERROR(INDEX('قائمة الوحدات'!$B$2:$B$41,MATCH($B207,'قائمة الوحدات'!$A$2:$A$41,0)),"")</f>
        <v>EXE</v>
      </c>
      <c r="D207" s="18" t="str">
        <f aca="false">IFERROR(INDEX('قائمة الوحدات'!$C$2:$C$41,MATCH($B207,'قائمة الوحدات'!$A$2:$A$41,0)),"")</f>
        <v>الشؤون التنفيذية</v>
      </c>
      <c r="E207" s="18" t="str">
        <f aca="false">IFERROR(INDEX('قائمة الوحدات'!$D$2:$D$41,MATCH($B207,'قائمة الوحدات'!$A$2:$A$41,0)),"")</f>
        <v>وكالة الشؤون الفنية</v>
      </c>
      <c r="F207" s="18" t="str">
        <f aca="false">IFERROR(INDEX('قائمة الوحدات'!$F$2:$F$41,MATCH($B207,'قائمة الوحدات'!$A$2:$A$41,0)),"")</f>
        <v>الإدارة العامة للأمن والحماية</v>
      </c>
      <c r="G207" s="20" t="s">
        <v>66</v>
      </c>
      <c r="H207" s="18" t="str">
        <f aca="false">IFERROR(INDEX(المرجع!$A$2:$A$19,MATCH($G207,المرجع!$B$2:$B$19,0)),"")</f>
        <v>التشغيل</v>
      </c>
      <c r="I207" s="20" t="s">
        <v>52</v>
      </c>
      <c r="J207" s="18" t="str">
        <f aca="false">IFERROR(INDEX(المرجع!$D$2:$D$19,MATCH($I207,المرجع!$E$2:$E$19,0)),"")</f>
        <v>الحوكمة</v>
      </c>
      <c r="K207" s="20" t="s">
        <v>126</v>
      </c>
      <c r="L207" s="21" t="str">
        <f aca="false">IFERROR(INDEX('نقاط التحقق'!$G$2:$G$31,MATCH($K207,'نقاط التحقق'!$A$2:$A$31,0))&amp;"","")</f>
        <v>نشر السياسات التي تملكها الوحدة التنظيمية</v>
      </c>
      <c r="M207" s="18" t="str">
        <f aca="false">IFERROR(INDEX('نقاط التحقق'!$H$2:$H$31,MATCH($K207,'نقاط التحقق'!$A$2:$A$31,0))&amp;"","")</f>
        <v/>
      </c>
      <c r="N207" s="17" t="n">
        <v>20</v>
      </c>
      <c r="O207" s="17" t="n">
        <v>100</v>
      </c>
      <c r="P207" s="19" t="str">
        <f aca="false">IF($N207="","غير مقيّمة",IF($N207&gt;المرجع!$K$3,"مستوفاة بشكل متقدم",IF($N207&lt;=المرجع!$K$2,"مستوفاة بشكل أولي","مستوفاة بشكل جزئي")))</f>
        <v>مستوفاة بشكل أولي</v>
      </c>
      <c r="Q207" s="22"/>
    </row>
    <row r="208" customFormat="false" ht="15" hidden="false" customHeight="true" outlineLevel="0" collapsed="false">
      <c r="A208" s="20" t="s">
        <v>601</v>
      </c>
      <c r="B208" s="20" t="s">
        <v>176</v>
      </c>
      <c r="C208" s="19" t="str">
        <f aca="false">IFERROR(INDEX('قائمة الوحدات'!$B$2:$B$41,MATCH($B208,'قائمة الوحدات'!$A$2:$A$41,0)),"")</f>
        <v>EXE</v>
      </c>
      <c r="D208" s="18" t="str">
        <f aca="false">IFERROR(INDEX('قائمة الوحدات'!$C$2:$C$41,MATCH($B208,'قائمة الوحدات'!$A$2:$A$41,0)),"")</f>
        <v>الشؤون التنفيذية</v>
      </c>
      <c r="E208" s="18" t="str">
        <f aca="false">IFERROR(INDEX('قائمة الوحدات'!$D$2:$D$41,MATCH($B208,'قائمة الوحدات'!$A$2:$A$41,0)),"")</f>
        <v>وكالة الشؤون الفنية</v>
      </c>
      <c r="F208" s="18" t="str">
        <f aca="false">IFERROR(INDEX('قائمة الوحدات'!$F$2:$F$41,MATCH($B208,'قائمة الوحدات'!$A$2:$A$41,0)),"")</f>
        <v>الإدارة العامة للأمن والحماية</v>
      </c>
      <c r="G208" s="20" t="s">
        <v>66</v>
      </c>
      <c r="H208" s="18" t="str">
        <f aca="false">IFERROR(INDEX(المرجع!$A$2:$A$19,MATCH($G208,المرجع!$B$2:$B$19,0)),"")</f>
        <v>التشغيل</v>
      </c>
      <c r="I208" s="20" t="s">
        <v>52</v>
      </c>
      <c r="J208" s="18" t="str">
        <f aca="false">IFERROR(INDEX(المرجع!$D$2:$D$19,MATCH($I208,المرجع!$E$2:$E$19,0)),"")</f>
        <v>الحوكمة</v>
      </c>
      <c r="K208" s="20" t="s">
        <v>128</v>
      </c>
      <c r="L208" s="21" t="str">
        <f aca="false">IFERROR(INDEX('نقاط التحقق'!$G$2:$G$31,MATCH($K208,'نقاط التحقق'!$A$2:$A$31,0))&amp;"","")</f>
        <v>اتخاذ القرارات في نطاق الصلاحيات (وجود شواهد)</v>
      </c>
      <c r="M208" s="18" t="str">
        <f aca="false">IFERROR(INDEX('نقاط التحقق'!$H$2:$H$31,MATCH($K208,'نقاط التحقق'!$A$2:$A$31,0))&amp;"","")</f>
        <v/>
      </c>
      <c r="N208" s="17" t="n">
        <v>35</v>
      </c>
      <c r="O208" s="17" t="n">
        <v>80</v>
      </c>
      <c r="P208" s="19" t="str">
        <f aca="false">IF($N208="","غير مقيّمة",IF($N208&gt;المرجع!$K$3,"مستوفاة بشكل متقدم",IF($N208&lt;=المرجع!$K$2,"مستوفاة بشكل أولي","مستوفاة بشكل جزئي")))</f>
        <v>مستوفاة بشكل جزئي</v>
      </c>
      <c r="Q208" s="22"/>
    </row>
    <row r="209" customFormat="false" ht="15" hidden="false" customHeight="true" outlineLevel="0" collapsed="false">
      <c r="A209" s="20" t="s">
        <v>602</v>
      </c>
      <c r="B209" s="20" t="s">
        <v>176</v>
      </c>
      <c r="C209" s="19" t="str">
        <f aca="false">IFERROR(INDEX('قائمة الوحدات'!$B$2:$B$41,MATCH($B209,'قائمة الوحدات'!$A$2:$A$41,0)),"")</f>
        <v>EXE</v>
      </c>
      <c r="D209" s="18" t="str">
        <f aca="false">IFERROR(INDEX('قائمة الوحدات'!$C$2:$C$41,MATCH($B209,'قائمة الوحدات'!$A$2:$A$41,0)),"")</f>
        <v>الشؤون التنفيذية</v>
      </c>
      <c r="E209" s="18" t="str">
        <f aca="false">IFERROR(INDEX('قائمة الوحدات'!$D$2:$D$41,MATCH($B209,'قائمة الوحدات'!$A$2:$A$41,0)),"")</f>
        <v>وكالة الشؤون الفنية</v>
      </c>
      <c r="F209" s="18" t="str">
        <f aca="false">IFERROR(INDEX('قائمة الوحدات'!$F$2:$F$41,MATCH($B209,'قائمة الوحدات'!$A$2:$A$41,0)),"")</f>
        <v>الإدارة العامة للأمن والحماية</v>
      </c>
      <c r="G209" s="20" t="s">
        <v>66</v>
      </c>
      <c r="H209" s="18" t="str">
        <f aca="false">IFERROR(INDEX(المرجع!$A$2:$A$19,MATCH($G209,المرجع!$B$2:$B$19,0)),"")</f>
        <v>التشغيل</v>
      </c>
      <c r="I209" s="20" t="s">
        <v>57</v>
      </c>
      <c r="J209" s="18" t="str">
        <f aca="false">IFERROR(INDEX(المرجع!$D$2:$D$19,MATCH($I209,المرجع!$E$2:$E$19,0)),"")</f>
        <v>الموارد</v>
      </c>
      <c r="K209" s="20" t="s">
        <v>130</v>
      </c>
      <c r="L209" s="21" t="str">
        <f aca="false">IFERROR(INDEX('نقاط التحقق'!$G$2:$G$31,MATCH($K209,'نقاط التحقق'!$A$2:$A$31,0))&amp;"","")</f>
        <v>موارد مستكملة للحد الأدنى الذي يغطي كافة محاور سلسلة القيمة</v>
      </c>
      <c r="M209" s="18" t="str">
        <f aca="false">IFERROR(INDEX('نقاط التحقق'!$H$2:$H$31,MATCH($K209,'نقاط التحقق'!$A$2:$A$31,0))&amp;"","")</f>
        <v/>
      </c>
      <c r="N209" s="17" t="n">
        <v>44</v>
      </c>
      <c r="O209" s="17" t="n">
        <v>100</v>
      </c>
      <c r="P209" s="19" t="str">
        <f aca="false">IF($N209="","غير مقيّمة",IF($N209&gt;المرجع!$K$3,"مستوفاة بشكل متقدم",IF($N209&lt;=المرجع!$K$2,"مستوفاة بشكل أولي","مستوفاة بشكل جزئي")))</f>
        <v>مستوفاة بشكل جزئي</v>
      </c>
      <c r="Q209" s="22"/>
    </row>
    <row r="210" customFormat="false" ht="15" hidden="false" customHeight="true" outlineLevel="0" collapsed="false">
      <c r="A210" s="20" t="s">
        <v>603</v>
      </c>
      <c r="B210" s="20" t="s">
        <v>176</v>
      </c>
      <c r="C210" s="19" t="str">
        <f aca="false">IFERROR(INDEX('قائمة الوحدات'!$B$2:$B$41,MATCH($B210,'قائمة الوحدات'!$A$2:$A$41,0)),"")</f>
        <v>EXE</v>
      </c>
      <c r="D210" s="18" t="str">
        <f aca="false">IFERROR(INDEX('قائمة الوحدات'!$C$2:$C$41,MATCH($B210,'قائمة الوحدات'!$A$2:$A$41,0)),"")</f>
        <v>الشؤون التنفيذية</v>
      </c>
      <c r="E210" s="18" t="str">
        <f aca="false">IFERROR(INDEX('قائمة الوحدات'!$D$2:$D$41,MATCH($B210,'قائمة الوحدات'!$A$2:$A$41,0)),"")</f>
        <v>وكالة الشؤون الفنية</v>
      </c>
      <c r="F210" s="18" t="str">
        <f aca="false">IFERROR(INDEX('قائمة الوحدات'!$F$2:$F$41,MATCH($B210,'قائمة الوحدات'!$A$2:$A$41,0)),"")</f>
        <v>الإدارة العامة للأمن والحماية</v>
      </c>
      <c r="G210" s="20" t="s">
        <v>66</v>
      </c>
      <c r="H210" s="18" t="str">
        <f aca="false">IFERROR(INDEX(المرجع!$A$2:$A$19,MATCH($G210,المرجع!$B$2:$B$19,0)),"")</f>
        <v>التشغيل</v>
      </c>
      <c r="I210" s="20" t="s">
        <v>60</v>
      </c>
      <c r="J210" s="18" t="str">
        <f aca="false">IFERROR(INDEX(المرجع!$D$2:$D$19,MATCH($I210,المرجع!$E$2:$E$19,0)),"")</f>
        <v>الإجراءات</v>
      </c>
      <c r="K210" s="20" t="s">
        <v>132</v>
      </c>
      <c r="L210" s="21" t="str">
        <f aca="false">IFERROR(INDEX('نقاط التحقق'!$G$2:$G$31,MATCH($K210,'نقاط التحقق'!$A$2:$A$31,0))&amp;"","")</f>
        <v>تحقيق تقييم "مطبق بشكل كامل" من منهجية تقييم فعالية الإجراءات</v>
      </c>
      <c r="M210" s="18" t="str">
        <f aca="false">IFERROR(INDEX('نقاط التحقق'!$H$2:$H$31,MATCH($K210,'نقاط التحقق'!$A$2:$A$31,0))&amp;"","")</f>
        <v/>
      </c>
      <c r="N210" s="17" t="n">
        <v>29</v>
      </c>
      <c r="O210" s="17" t="n">
        <v>100</v>
      </c>
      <c r="P210" s="19" t="str">
        <f aca="false">IF($N210="","غير مقيّمة",IF($N210&gt;المرجع!$K$3,"مستوفاة بشكل متقدم",IF($N210&lt;=المرجع!$K$2,"مستوفاة بشكل أولي","مستوفاة بشكل جزئي")))</f>
        <v>مستوفاة بشكل أولي</v>
      </c>
      <c r="Q210" s="22"/>
    </row>
    <row r="211" customFormat="false" ht="15" hidden="false" customHeight="true" outlineLevel="0" collapsed="false">
      <c r="A211" s="20" t="s">
        <v>604</v>
      </c>
      <c r="B211" s="20" t="s">
        <v>176</v>
      </c>
      <c r="C211" s="19" t="str">
        <f aca="false">IFERROR(INDEX('قائمة الوحدات'!$B$2:$B$41,MATCH($B211,'قائمة الوحدات'!$A$2:$A$41,0)),"")</f>
        <v>EXE</v>
      </c>
      <c r="D211" s="18" t="str">
        <f aca="false">IFERROR(INDEX('قائمة الوحدات'!$C$2:$C$41,MATCH($B211,'قائمة الوحدات'!$A$2:$A$41,0)),"")</f>
        <v>الشؤون التنفيذية</v>
      </c>
      <c r="E211" s="18" t="str">
        <f aca="false">IFERROR(INDEX('قائمة الوحدات'!$D$2:$D$41,MATCH($B211,'قائمة الوحدات'!$A$2:$A$41,0)),"")</f>
        <v>وكالة الشؤون الفنية</v>
      </c>
      <c r="F211" s="18" t="str">
        <f aca="false">IFERROR(INDEX('قائمة الوحدات'!$F$2:$F$41,MATCH($B211,'قائمة الوحدات'!$A$2:$A$41,0)),"")</f>
        <v>الإدارة العامة للأمن والحماية</v>
      </c>
      <c r="G211" s="20" t="s">
        <v>66</v>
      </c>
      <c r="H211" s="18" t="str">
        <f aca="false">IFERROR(INDEX(المرجع!$A$2:$A$19,MATCH($G211,المرجع!$B$2:$B$19,0)),"")</f>
        <v>التشغيل</v>
      </c>
      <c r="I211" s="20" t="s">
        <v>71</v>
      </c>
      <c r="J211" s="18" t="str">
        <f aca="false">IFERROR(INDEX(المرجع!$D$2:$D$19,MATCH($I211,المرجع!$E$2:$E$19,0)),"")</f>
        <v>اكتمال المخرجات المستهدفة</v>
      </c>
      <c r="K211" s="20" t="s">
        <v>134</v>
      </c>
      <c r="L211" s="21" t="str">
        <f aca="false">IFERROR(INDEX('نقاط التحقق'!$G$2:$G$31,MATCH($K211,'نقاط التحقق'!$A$2:$A$31,0))&amp;"","")</f>
        <v>اكتمال مخرجات النموذج التشغيلي المستهدف للوحدة التنظيمية</v>
      </c>
      <c r="M211" s="18" t="str">
        <f aca="false">IFERROR(INDEX('نقاط التحقق'!$H$2:$H$31,MATCH($K211,'نقاط التحقق'!$A$2:$A$31,0))&amp;"","")</f>
        <v/>
      </c>
      <c r="N211" s="17" t="n">
        <v>45</v>
      </c>
      <c r="O211" s="17" t="n">
        <v>80</v>
      </c>
      <c r="P211" s="19" t="str">
        <f aca="false">IF($N211="","غير مقيّمة",IF($N211&gt;المرجع!$K$3,"مستوفاة بشكل متقدم",IF($N211&lt;=المرجع!$K$2,"مستوفاة بشكل أولي","مستوفاة بشكل جزئي")))</f>
        <v>مستوفاة بشكل جزئي</v>
      </c>
      <c r="Q211" s="22"/>
    </row>
    <row r="212" customFormat="false" ht="15" hidden="false" customHeight="true" outlineLevel="0" collapsed="false">
      <c r="A212" s="20" t="s">
        <v>605</v>
      </c>
      <c r="B212" s="20" t="s">
        <v>178</v>
      </c>
      <c r="C212" s="19" t="str">
        <f aca="false">IFERROR(INDEX('قائمة الوحدات'!$B$2:$B$41,MATCH($B212,'قائمة الوحدات'!$A$2:$A$41,0)),"")</f>
        <v>EXE</v>
      </c>
      <c r="D212" s="18" t="str">
        <f aca="false">IFERROR(INDEX('قائمة الوحدات'!$C$2:$C$41,MATCH($B212,'قائمة الوحدات'!$A$2:$A$41,0)),"")</f>
        <v>الشؤون التنفيذية</v>
      </c>
      <c r="E212" s="18" t="str">
        <f aca="false">IFERROR(INDEX('قائمة الوحدات'!$D$2:$D$41,MATCH($B212,'قائمة الوحدات'!$A$2:$A$41,0)),"")</f>
        <v>وكالة الخدمات المساندة</v>
      </c>
      <c r="F212" s="18" t="str">
        <f aca="false">IFERROR(INDEX('قائمة الوحدات'!$F$2:$F$41,MATCH($B212,'قائمة الوحدات'!$A$2:$A$41,0)),"")</f>
        <v>الإدارة العامة للموارد البشرية</v>
      </c>
      <c r="G212" s="20" t="s">
        <v>44</v>
      </c>
      <c r="H212" s="18" t="str">
        <f aca="false">IFERROR(INDEX(المرجع!$A$2:$A$19,MATCH($G212,المرجع!$B$2:$B$19,0)),"")</f>
        <v>التصميم</v>
      </c>
      <c r="I212" s="20" t="s">
        <v>46</v>
      </c>
      <c r="J212" s="18" t="str">
        <f aca="false">IFERROR(INDEX(المرجع!$D$2:$D$19,MATCH($I212,المرجع!$E$2:$E$19,0)),"")</f>
        <v>الدور</v>
      </c>
      <c r="K212" s="20" t="s">
        <v>76</v>
      </c>
      <c r="L212" s="21" t="str">
        <f aca="false">IFERROR(INDEX('نقاط التحقق'!$G$2:$G$31,MATCH($K212,'نقاط التحقق'!$A$2:$A$31,0))&amp;"","")</f>
        <v>دور مفصل للوحدة التنظيمية</v>
      </c>
      <c r="M212" s="18" t="str">
        <f aca="false">IFERROR(INDEX('نقاط التحقق'!$H$2:$H$31,MATCH($K212,'نقاط التحقق'!$A$2:$A$31,0))&amp;"","")</f>
        <v/>
      </c>
      <c r="N212" s="17" t="n">
        <v>89</v>
      </c>
      <c r="O212" s="17" t="n">
        <v>95</v>
      </c>
      <c r="P212" s="19" t="str">
        <f aca="false">IF($N212="","غير مقيّمة",IF($N212&gt;المرجع!$K$3,"مستوفاة بشكل متقدم",IF($N212&lt;=المرجع!$K$2,"مستوفاة بشكل أولي","مستوفاة بشكل جزئي")))</f>
        <v>مستوفاة بشكل متقدم</v>
      </c>
      <c r="Q212" s="22"/>
    </row>
    <row r="213" customFormat="false" ht="15" hidden="false" customHeight="true" outlineLevel="0" collapsed="false">
      <c r="A213" s="20" t="s">
        <v>606</v>
      </c>
      <c r="B213" s="20" t="s">
        <v>178</v>
      </c>
      <c r="C213" s="19" t="str">
        <f aca="false">IFERROR(INDEX('قائمة الوحدات'!$B$2:$B$41,MATCH($B213,'قائمة الوحدات'!$A$2:$A$41,0)),"")</f>
        <v>EXE</v>
      </c>
      <c r="D213" s="18" t="str">
        <f aca="false">IFERROR(INDEX('قائمة الوحدات'!$C$2:$C$41,MATCH($B213,'قائمة الوحدات'!$A$2:$A$41,0)),"")</f>
        <v>الشؤون التنفيذية</v>
      </c>
      <c r="E213" s="18" t="str">
        <f aca="false">IFERROR(INDEX('قائمة الوحدات'!$D$2:$D$41,MATCH($B213,'قائمة الوحدات'!$A$2:$A$41,0)),"")</f>
        <v>وكالة الخدمات المساندة</v>
      </c>
      <c r="F213" s="18" t="str">
        <f aca="false">IFERROR(INDEX('قائمة الوحدات'!$F$2:$F$41,MATCH($B213,'قائمة الوحدات'!$A$2:$A$41,0)),"")</f>
        <v>الإدارة العامة للموارد البشرية</v>
      </c>
      <c r="G213" s="20" t="s">
        <v>44</v>
      </c>
      <c r="H213" s="18" t="str">
        <f aca="false">IFERROR(INDEX(المرجع!$A$2:$A$19,MATCH($G213,المرجع!$B$2:$B$19,0)),"")</f>
        <v>التصميم</v>
      </c>
      <c r="I213" s="20" t="s">
        <v>49</v>
      </c>
      <c r="J213" s="18" t="str">
        <f aca="false">IFERROR(INDEX(المرجع!$D$2:$D$19,MATCH($I213,المرجع!$E$2:$E$19,0)),"")</f>
        <v>الأهداف ومؤشرات الأداء</v>
      </c>
      <c r="K213" s="20" t="s">
        <v>78</v>
      </c>
      <c r="L213" s="21" t="str">
        <f aca="false">IFERROR(INDEX('نقاط التحقق'!$G$2:$G$31,MATCH($K213,'نقاط التحقق'!$A$2:$A$31,0))&amp;"","")</f>
        <v>أهداف محددة للوحدة التنظيمية وربطها بمؤشرات أداء لقياسها</v>
      </c>
      <c r="M213" s="18" t="str">
        <f aca="false">IFERROR(INDEX('نقاط التحقق'!$H$2:$H$31,MATCH($K213,'نقاط التحقق'!$A$2:$A$31,0))&amp;"","")</f>
        <v/>
      </c>
      <c r="N213" s="17" t="n">
        <v>70</v>
      </c>
      <c r="O213" s="17" t="n">
        <v>100</v>
      </c>
      <c r="P213" s="19" t="str">
        <f aca="false">IF($N213="","غير مقيّمة",IF($N213&gt;المرجع!$K$3,"مستوفاة بشكل متقدم",IF($N213&lt;=المرجع!$K$2,"مستوفاة بشكل أولي","مستوفاة بشكل جزئي")))</f>
        <v>مستوفاة بشكل جزئي</v>
      </c>
      <c r="Q213" s="22"/>
    </row>
    <row r="214" customFormat="false" ht="15" hidden="false" customHeight="true" outlineLevel="0" collapsed="false">
      <c r="A214" s="20" t="s">
        <v>607</v>
      </c>
      <c r="B214" s="20" t="s">
        <v>178</v>
      </c>
      <c r="C214" s="19" t="str">
        <f aca="false">IFERROR(INDEX('قائمة الوحدات'!$B$2:$B$41,MATCH($B214,'قائمة الوحدات'!$A$2:$A$41,0)),"")</f>
        <v>EXE</v>
      </c>
      <c r="D214" s="18" t="str">
        <f aca="false">IFERROR(INDEX('قائمة الوحدات'!$C$2:$C$41,MATCH($B214,'قائمة الوحدات'!$A$2:$A$41,0)),"")</f>
        <v>الشؤون التنفيذية</v>
      </c>
      <c r="E214" s="18" t="str">
        <f aca="false">IFERROR(INDEX('قائمة الوحدات'!$D$2:$D$41,MATCH($B214,'قائمة الوحدات'!$A$2:$A$41,0)),"")</f>
        <v>وكالة الخدمات المساندة</v>
      </c>
      <c r="F214" s="18" t="str">
        <f aca="false">IFERROR(INDEX('قائمة الوحدات'!$F$2:$F$41,MATCH($B214,'قائمة الوحدات'!$A$2:$A$41,0)),"")</f>
        <v>الإدارة العامة للموارد البشرية</v>
      </c>
      <c r="G214" s="20" t="s">
        <v>44</v>
      </c>
      <c r="H214" s="18" t="str">
        <f aca="false">IFERROR(INDEX(المرجع!$A$2:$A$19,MATCH($G214,المرجع!$B$2:$B$19,0)),"")</f>
        <v>التصميم</v>
      </c>
      <c r="I214" s="20" t="s">
        <v>49</v>
      </c>
      <c r="J214" s="18" t="str">
        <f aca="false">IFERROR(INDEX(المرجع!$D$2:$D$19,MATCH($I214,المرجع!$E$2:$E$19,0)),"")</f>
        <v>الأهداف ومؤشرات الأداء</v>
      </c>
      <c r="K214" s="20" t="s">
        <v>80</v>
      </c>
      <c r="L214" s="21" t="str">
        <f aca="false">IFERROR(INDEX('نقاط التحقق'!$G$2:$G$31,MATCH($K214,'نقاط التحقق'!$A$2:$A$31,0))&amp;"","")</f>
        <v>مؤشرات أداء الوحدة التنظيمية</v>
      </c>
      <c r="M214" s="18" t="str">
        <f aca="false">IFERROR(INDEX('نقاط التحقق'!$H$2:$H$31,MATCH($K214,'نقاط التحقق'!$A$2:$A$31,0))&amp;"","")</f>
        <v/>
      </c>
      <c r="N214" s="17" t="n">
        <v>60</v>
      </c>
      <c r="O214" s="17" t="n">
        <v>100</v>
      </c>
      <c r="P214" s="19" t="str">
        <f aca="false">IF($N214="","غير مقيّمة",IF($N214&gt;المرجع!$K$3,"مستوفاة بشكل متقدم",IF($N214&lt;=المرجع!$K$2,"مستوفاة بشكل أولي","مستوفاة بشكل جزئي")))</f>
        <v>مستوفاة بشكل جزئي</v>
      </c>
      <c r="Q214" s="22"/>
    </row>
    <row r="215" customFormat="false" ht="15" hidden="false" customHeight="true" outlineLevel="0" collapsed="false">
      <c r="A215" s="20" t="s">
        <v>608</v>
      </c>
      <c r="B215" s="20" t="s">
        <v>178</v>
      </c>
      <c r="C215" s="19" t="str">
        <f aca="false">IFERROR(INDEX('قائمة الوحدات'!$B$2:$B$41,MATCH($B215,'قائمة الوحدات'!$A$2:$A$41,0)),"")</f>
        <v>EXE</v>
      </c>
      <c r="D215" s="18" t="str">
        <f aca="false">IFERROR(INDEX('قائمة الوحدات'!$C$2:$C$41,MATCH($B215,'قائمة الوحدات'!$A$2:$A$41,0)),"")</f>
        <v>الشؤون التنفيذية</v>
      </c>
      <c r="E215" s="18" t="str">
        <f aca="false">IFERROR(INDEX('قائمة الوحدات'!$D$2:$D$41,MATCH($B215,'قائمة الوحدات'!$A$2:$A$41,0)),"")</f>
        <v>وكالة الخدمات المساندة</v>
      </c>
      <c r="F215" s="18" t="str">
        <f aca="false">IFERROR(INDEX('قائمة الوحدات'!$F$2:$F$41,MATCH($B215,'قائمة الوحدات'!$A$2:$A$41,0)),"")</f>
        <v>الإدارة العامة للموارد البشرية</v>
      </c>
      <c r="G215" s="20" t="s">
        <v>44</v>
      </c>
      <c r="H215" s="18" t="str">
        <f aca="false">IFERROR(INDEX(المرجع!$A$2:$A$19,MATCH($G215,المرجع!$B$2:$B$19,0)),"")</f>
        <v>التصميم</v>
      </c>
      <c r="I215" s="20" t="s">
        <v>52</v>
      </c>
      <c r="J215" s="18" t="str">
        <f aca="false">IFERROR(INDEX(المرجع!$D$2:$D$19,MATCH($I215,المرجع!$E$2:$E$19,0)),"")</f>
        <v>الحوكمة</v>
      </c>
      <c r="K215" s="20" t="s">
        <v>82</v>
      </c>
      <c r="L215" s="21" t="str">
        <f aca="false">IFERROR(INDEX('نقاط التحقق'!$G$2:$G$31,MATCH($K215,'نقاط التحقق'!$A$2:$A$31,0))&amp;"","")</f>
        <v>تفصيل القرارات ومصفوفة الصلاحيات واللجان ذات العلاقة لاعتماد مخرجات الوحدة التنظيمية</v>
      </c>
      <c r="M215" s="18" t="str">
        <f aca="false">IFERROR(INDEX('نقاط التحقق'!$H$2:$H$31,MATCH($K215,'نقاط التحقق'!$A$2:$A$31,0))&amp;"","")</f>
        <v/>
      </c>
      <c r="N215" s="17" t="n">
        <v>71</v>
      </c>
      <c r="O215" s="17" t="n">
        <v>100</v>
      </c>
      <c r="P215" s="19" t="str">
        <f aca="false">IF($N215="","غير مقيّمة",IF($N215&gt;المرجع!$K$3,"مستوفاة بشكل متقدم",IF($N215&lt;=المرجع!$K$2,"مستوفاة بشكل أولي","مستوفاة بشكل جزئي")))</f>
        <v>مستوفاة بشكل متقدم</v>
      </c>
      <c r="Q215" s="22"/>
    </row>
    <row r="216" customFormat="false" ht="15" hidden="false" customHeight="true" outlineLevel="0" collapsed="false">
      <c r="A216" s="20" t="s">
        <v>609</v>
      </c>
      <c r="B216" s="20" t="s">
        <v>178</v>
      </c>
      <c r="C216" s="19" t="str">
        <f aca="false">IFERROR(INDEX('قائمة الوحدات'!$B$2:$B$41,MATCH($B216,'قائمة الوحدات'!$A$2:$A$41,0)),"")</f>
        <v>EXE</v>
      </c>
      <c r="D216" s="18" t="str">
        <f aca="false">IFERROR(INDEX('قائمة الوحدات'!$C$2:$C$41,MATCH($B216,'قائمة الوحدات'!$A$2:$A$41,0)),"")</f>
        <v>الشؤون التنفيذية</v>
      </c>
      <c r="E216" s="18" t="str">
        <f aca="false">IFERROR(INDEX('قائمة الوحدات'!$D$2:$D$41,MATCH($B216,'قائمة الوحدات'!$A$2:$A$41,0)),"")</f>
        <v>وكالة الخدمات المساندة</v>
      </c>
      <c r="F216" s="18" t="str">
        <f aca="false">IFERROR(INDEX('قائمة الوحدات'!$F$2:$F$41,MATCH($B216,'قائمة الوحدات'!$A$2:$A$41,0)),"")</f>
        <v>الإدارة العامة للموارد البشرية</v>
      </c>
      <c r="G216" s="20" t="s">
        <v>44</v>
      </c>
      <c r="H216" s="18" t="str">
        <f aca="false">IFERROR(INDEX(المرجع!$A$2:$A$19,MATCH($G216,المرجع!$B$2:$B$19,0)),"")</f>
        <v>التصميم</v>
      </c>
      <c r="I216" s="20" t="s">
        <v>55</v>
      </c>
      <c r="J216" s="18" t="str">
        <f aca="false">IFERROR(INDEX(المرجع!$D$2:$D$19,MATCH($I216,المرجع!$E$2:$E$19,0)),"")</f>
        <v>التنظيم</v>
      </c>
      <c r="K216" s="20" t="s">
        <v>84</v>
      </c>
      <c r="L216" s="21" t="str">
        <f aca="false">IFERROR(INDEX('نقاط التحقق'!$G$2:$G$31,MATCH($K216,'نقاط التحقق'!$A$2:$A$31,0))&amp;"","")</f>
        <v>تطوير الأدوار والمسؤوليات للوحدة التنظيمية وتفصيل الهيكل التنظيمي</v>
      </c>
      <c r="M216" s="18" t="str">
        <f aca="false">IFERROR(INDEX('نقاط التحقق'!$H$2:$H$31,MATCH($K216,'نقاط التحقق'!$A$2:$A$31,0))&amp;"","")</f>
        <v/>
      </c>
      <c r="N216" s="17" t="n">
        <v>95</v>
      </c>
      <c r="O216" s="17" t="n">
        <v>95</v>
      </c>
      <c r="P216" s="19" t="str">
        <f aca="false">IF($N216="","غير مقيّمة",IF($N216&gt;المرجع!$K$3,"مستوفاة بشكل متقدم",IF($N216&lt;=المرجع!$K$2,"مستوفاة بشكل أولي","مستوفاة بشكل جزئي")))</f>
        <v>مستوفاة بشكل متقدم</v>
      </c>
      <c r="Q216" s="22"/>
    </row>
    <row r="217" customFormat="false" ht="15" hidden="false" customHeight="true" outlineLevel="0" collapsed="false">
      <c r="A217" s="20" t="s">
        <v>610</v>
      </c>
      <c r="B217" s="20" t="s">
        <v>178</v>
      </c>
      <c r="C217" s="19" t="str">
        <f aca="false">IFERROR(INDEX('قائمة الوحدات'!$B$2:$B$41,MATCH($B217,'قائمة الوحدات'!$A$2:$A$41,0)),"")</f>
        <v>EXE</v>
      </c>
      <c r="D217" s="18" t="str">
        <f aca="false">IFERROR(INDEX('قائمة الوحدات'!$C$2:$C$41,MATCH($B217,'قائمة الوحدات'!$A$2:$A$41,0)),"")</f>
        <v>الشؤون التنفيذية</v>
      </c>
      <c r="E217" s="18" t="str">
        <f aca="false">IFERROR(INDEX('قائمة الوحدات'!$D$2:$D$41,MATCH($B217,'قائمة الوحدات'!$A$2:$A$41,0)),"")</f>
        <v>وكالة الخدمات المساندة</v>
      </c>
      <c r="F217" s="18" t="str">
        <f aca="false">IFERROR(INDEX('قائمة الوحدات'!$F$2:$F$41,MATCH($B217,'قائمة الوحدات'!$A$2:$A$41,0)),"")</f>
        <v>الإدارة العامة للموارد البشرية</v>
      </c>
      <c r="G217" s="20" t="s">
        <v>44</v>
      </c>
      <c r="H217" s="18" t="str">
        <f aca="false">IFERROR(INDEX(المرجع!$A$2:$A$19,MATCH($G217,المرجع!$B$2:$B$19,0)),"")</f>
        <v>التصميم</v>
      </c>
      <c r="I217" s="20" t="s">
        <v>57</v>
      </c>
      <c r="J217" s="18" t="str">
        <f aca="false">IFERROR(INDEX(المرجع!$D$2:$D$19,MATCH($I217,المرجع!$E$2:$E$19,0)),"")</f>
        <v>الموارد</v>
      </c>
      <c r="K217" s="20" t="s">
        <v>86</v>
      </c>
      <c r="L217" s="21" t="str">
        <f aca="false">IFERROR(INDEX('نقاط التحقق'!$G$2:$G$31,MATCH($K217,'نقاط التحقق'!$A$2:$A$31,0))&amp;"","")</f>
        <v>تفصيل احتياج الموارد البشرية للوحدة التنظيمية</v>
      </c>
      <c r="M217" s="18" t="str">
        <f aca="false">IFERROR(INDEX('نقاط التحقق'!$H$2:$H$31,MATCH($K217,'نقاط التحقق'!$A$2:$A$31,0))&amp;"","")</f>
        <v/>
      </c>
      <c r="N217" s="17" t="n">
        <v>85</v>
      </c>
      <c r="O217" s="17" t="n">
        <v>95</v>
      </c>
      <c r="P217" s="19" t="str">
        <f aca="false">IF($N217="","غير مقيّمة",IF($N217&gt;المرجع!$K$3,"مستوفاة بشكل متقدم",IF($N217&lt;=المرجع!$K$2,"مستوفاة بشكل أولي","مستوفاة بشكل جزئي")))</f>
        <v>مستوفاة بشكل متقدم</v>
      </c>
      <c r="Q217" s="22"/>
    </row>
    <row r="218" customFormat="false" ht="15" hidden="false" customHeight="true" outlineLevel="0" collapsed="false">
      <c r="A218" s="20" t="s">
        <v>611</v>
      </c>
      <c r="B218" s="20" t="s">
        <v>178</v>
      </c>
      <c r="C218" s="19" t="str">
        <f aca="false">IFERROR(INDEX('قائمة الوحدات'!$B$2:$B$41,MATCH($B218,'قائمة الوحدات'!$A$2:$A$41,0)),"")</f>
        <v>EXE</v>
      </c>
      <c r="D218" s="18" t="str">
        <f aca="false">IFERROR(INDEX('قائمة الوحدات'!$C$2:$C$41,MATCH($B218,'قائمة الوحدات'!$A$2:$A$41,0)),"")</f>
        <v>الشؤون التنفيذية</v>
      </c>
      <c r="E218" s="18" t="str">
        <f aca="false">IFERROR(INDEX('قائمة الوحدات'!$D$2:$D$41,MATCH($B218,'قائمة الوحدات'!$A$2:$A$41,0)),"")</f>
        <v>وكالة الخدمات المساندة</v>
      </c>
      <c r="F218" s="18" t="str">
        <f aca="false">IFERROR(INDEX('قائمة الوحدات'!$F$2:$F$41,MATCH($B218,'قائمة الوحدات'!$A$2:$A$41,0)),"")</f>
        <v>الإدارة العامة للموارد البشرية</v>
      </c>
      <c r="G218" s="20" t="s">
        <v>44</v>
      </c>
      <c r="H218" s="18" t="str">
        <f aca="false">IFERROR(INDEX(المرجع!$A$2:$A$19,MATCH($G218,المرجع!$B$2:$B$19,0)),"")</f>
        <v>التصميم</v>
      </c>
      <c r="I218" s="20" t="s">
        <v>60</v>
      </c>
      <c r="J218" s="18" t="str">
        <f aca="false">IFERROR(INDEX(المرجع!$D$2:$D$19,MATCH($I218,المرجع!$E$2:$E$19,0)),"")</f>
        <v>الإجراءات</v>
      </c>
      <c r="K218" s="20" t="s">
        <v>88</v>
      </c>
      <c r="L218" s="21" t="str">
        <f aca="false">IFERROR(INDEX('نقاط التحقق'!$G$2:$G$31,MATCH($K218,'نقاط التحقق'!$A$2:$A$31,0))&amp;"","")</f>
        <v>تفصيل المخرجات إلى إجراءات عالية المستوى</v>
      </c>
      <c r="M218" s="18" t="str">
        <f aca="false">IFERROR(INDEX('نقاط التحقق'!$H$2:$H$31,MATCH($K218,'نقاط التحقق'!$A$2:$A$31,0))&amp;"","")</f>
        <v/>
      </c>
      <c r="N218" s="17" t="n">
        <v>77</v>
      </c>
      <c r="O218" s="17" t="n">
        <v>85</v>
      </c>
      <c r="P218" s="19" t="str">
        <f aca="false">IF($N218="","غير مقيّمة",IF($N218&gt;المرجع!$K$3,"مستوفاة بشكل متقدم",IF($N218&lt;=المرجع!$K$2,"مستوفاة بشكل أولي","مستوفاة بشكل جزئي")))</f>
        <v>مستوفاة بشكل متقدم</v>
      </c>
      <c r="Q218" s="22"/>
    </row>
    <row r="219" customFormat="false" ht="15" hidden="false" customHeight="true" outlineLevel="0" collapsed="false">
      <c r="A219" s="20" t="s">
        <v>612</v>
      </c>
      <c r="B219" s="20" t="s">
        <v>178</v>
      </c>
      <c r="C219" s="19" t="str">
        <f aca="false">IFERROR(INDEX('قائمة الوحدات'!$B$2:$B$41,MATCH($B219,'قائمة الوحدات'!$A$2:$A$41,0)),"")</f>
        <v>EXE</v>
      </c>
      <c r="D219" s="18" t="str">
        <f aca="false">IFERROR(INDEX('قائمة الوحدات'!$C$2:$C$41,MATCH($B219,'قائمة الوحدات'!$A$2:$A$41,0)),"")</f>
        <v>الشؤون التنفيذية</v>
      </c>
      <c r="E219" s="18" t="str">
        <f aca="false">IFERROR(INDEX('قائمة الوحدات'!$D$2:$D$41,MATCH($B219,'قائمة الوحدات'!$A$2:$A$41,0)),"")</f>
        <v>وكالة الخدمات المساندة</v>
      </c>
      <c r="F219" s="18" t="str">
        <f aca="false">IFERROR(INDEX('قائمة الوحدات'!$F$2:$F$41,MATCH($B219,'قائمة الوحدات'!$A$2:$A$41,0)),"")</f>
        <v>الإدارة العامة للموارد البشرية</v>
      </c>
      <c r="G219" s="20" t="s">
        <v>62</v>
      </c>
      <c r="H219" s="18" t="str">
        <f aca="false">IFERROR(INDEX(المرجع!$A$2:$A$19,MATCH($G219,المرجع!$B$2:$B$19,0)),"")</f>
        <v>البناء المؤسسي</v>
      </c>
      <c r="I219" s="20" t="s">
        <v>46</v>
      </c>
      <c r="J219" s="18" t="str">
        <f aca="false">IFERROR(INDEX(المرجع!$D$2:$D$19,MATCH($I219,المرجع!$E$2:$E$19,0)),"")</f>
        <v>الدور</v>
      </c>
      <c r="K219" s="20" t="s">
        <v>90</v>
      </c>
      <c r="L219" s="21" t="str">
        <f aca="false">IFERROR(INDEX('نقاط التحقق'!$G$2:$G$31,MATCH($K219,'نقاط التحقق'!$A$2:$A$31,0))&amp;"","")</f>
        <v>دور معتمد للوحدة التنظيمية</v>
      </c>
      <c r="M219" s="18" t="str">
        <f aca="false">IFERROR(INDEX('نقاط التحقق'!$H$2:$H$31,MATCH($K219,'نقاط التحقق'!$A$2:$A$31,0))&amp;"","")</f>
        <v/>
      </c>
      <c r="N219" s="17" t="n">
        <v>61</v>
      </c>
      <c r="O219" s="17" t="n">
        <v>95</v>
      </c>
      <c r="P219" s="19" t="str">
        <f aca="false">IF($N219="","غير مقيّمة",IF($N219&gt;المرجع!$K$3,"مستوفاة بشكل متقدم",IF($N219&lt;=المرجع!$K$2,"مستوفاة بشكل أولي","مستوفاة بشكل جزئي")))</f>
        <v>مستوفاة بشكل جزئي</v>
      </c>
      <c r="Q219" s="22"/>
    </row>
    <row r="220" customFormat="false" ht="15" hidden="false" customHeight="true" outlineLevel="0" collapsed="false">
      <c r="A220" s="20" t="s">
        <v>613</v>
      </c>
      <c r="B220" s="20" t="s">
        <v>178</v>
      </c>
      <c r="C220" s="19" t="str">
        <f aca="false">IFERROR(INDEX('قائمة الوحدات'!$B$2:$B$41,MATCH($B220,'قائمة الوحدات'!$A$2:$A$41,0)),"")</f>
        <v>EXE</v>
      </c>
      <c r="D220" s="18" t="str">
        <f aca="false">IFERROR(INDEX('قائمة الوحدات'!$C$2:$C$41,MATCH($B220,'قائمة الوحدات'!$A$2:$A$41,0)),"")</f>
        <v>الشؤون التنفيذية</v>
      </c>
      <c r="E220" s="18" t="str">
        <f aca="false">IFERROR(INDEX('قائمة الوحدات'!$D$2:$D$41,MATCH($B220,'قائمة الوحدات'!$A$2:$A$41,0)),"")</f>
        <v>وكالة الخدمات المساندة</v>
      </c>
      <c r="F220" s="18" t="str">
        <f aca="false">IFERROR(INDEX('قائمة الوحدات'!$F$2:$F$41,MATCH($B220,'قائمة الوحدات'!$A$2:$A$41,0)),"")</f>
        <v>الإدارة العامة للموارد البشرية</v>
      </c>
      <c r="G220" s="20" t="s">
        <v>62</v>
      </c>
      <c r="H220" s="18" t="str">
        <f aca="false">IFERROR(INDEX(المرجع!$A$2:$A$19,MATCH($G220,المرجع!$B$2:$B$19,0)),"")</f>
        <v>البناء المؤسسي</v>
      </c>
      <c r="I220" s="20" t="s">
        <v>49</v>
      </c>
      <c r="J220" s="18" t="str">
        <f aca="false">IFERROR(INDEX(المرجع!$D$2:$D$19,MATCH($I220,المرجع!$E$2:$E$19,0)),"")</f>
        <v>الأهداف ومؤشرات الأداء</v>
      </c>
      <c r="K220" s="20" t="s">
        <v>92</v>
      </c>
      <c r="L220" s="21" t="str">
        <f aca="false">IFERROR(INDEX('نقاط التحقق'!$G$2:$G$31,MATCH($K220,'نقاط التحقق'!$A$2:$A$31,0))&amp;"","")</f>
        <v>أهداف تشغيلية معتمدة من صاحب الصلاحية</v>
      </c>
      <c r="M220" s="18" t="str">
        <f aca="false">IFERROR(INDEX('نقاط التحقق'!$H$2:$H$31,MATCH($K220,'نقاط التحقق'!$A$2:$A$31,0))&amp;"","")</f>
        <v/>
      </c>
      <c r="N220" s="17" t="n">
        <v>55</v>
      </c>
      <c r="O220" s="17" t="n">
        <v>100</v>
      </c>
      <c r="P220" s="19" t="str">
        <f aca="false">IF($N220="","غير مقيّمة",IF($N220&gt;المرجع!$K$3,"مستوفاة بشكل متقدم",IF($N220&lt;=المرجع!$K$2,"مستوفاة بشكل أولي","مستوفاة بشكل جزئي")))</f>
        <v>مستوفاة بشكل جزئي</v>
      </c>
      <c r="Q220" s="22"/>
    </row>
    <row r="221" customFormat="false" ht="15" hidden="false" customHeight="true" outlineLevel="0" collapsed="false">
      <c r="A221" s="20" t="s">
        <v>614</v>
      </c>
      <c r="B221" s="20" t="s">
        <v>178</v>
      </c>
      <c r="C221" s="19" t="str">
        <f aca="false">IFERROR(INDEX('قائمة الوحدات'!$B$2:$B$41,MATCH($B221,'قائمة الوحدات'!$A$2:$A$41,0)),"")</f>
        <v>EXE</v>
      </c>
      <c r="D221" s="18" t="str">
        <f aca="false">IFERROR(INDEX('قائمة الوحدات'!$C$2:$C$41,MATCH($B221,'قائمة الوحدات'!$A$2:$A$41,0)),"")</f>
        <v>الشؤون التنفيذية</v>
      </c>
      <c r="E221" s="18" t="str">
        <f aca="false">IFERROR(INDEX('قائمة الوحدات'!$D$2:$D$41,MATCH($B221,'قائمة الوحدات'!$A$2:$A$41,0)),"")</f>
        <v>وكالة الخدمات المساندة</v>
      </c>
      <c r="F221" s="18" t="str">
        <f aca="false">IFERROR(INDEX('قائمة الوحدات'!$F$2:$F$41,MATCH($B221,'قائمة الوحدات'!$A$2:$A$41,0)),"")</f>
        <v>الإدارة العامة للموارد البشرية</v>
      </c>
      <c r="G221" s="20" t="s">
        <v>62</v>
      </c>
      <c r="H221" s="18" t="str">
        <f aca="false">IFERROR(INDEX(المرجع!$A$2:$A$19,MATCH($G221,المرجع!$B$2:$B$19,0)),"")</f>
        <v>البناء المؤسسي</v>
      </c>
      <c r="I221" s="20" t="s">
        <v>49</v>
      </c>
      <c r="J221" s="18" t="str">
        <f aca="false">IFERROR(INDEX(المرجع!$D$2:$D$19,MATCH($I221,المرجع!$E$2:$E$19,0)),"")</f>
        <v>الأهداف ومؤشرات الأداء</v>
      </c>
      <c r="K221" s="20" t="s">
        <v>94</v>
      </c>
      <c r="L221" s="21" t="str">
        <f aca="false">IFERROR(INDEX('نقاط التحقق'!$G$2:$G$31,MATCH($K221,'نقاط التحقق'!$A$2:$A$31,0))&amp;"","")</f>
        <v>نشر الأهداف التشغيلية على موظفي الوحدة التنظيمية</v>
      </c>
      <c r="M221" s="18" t="str">
        <f aca="false">IFERROR(INDEX('نقاط التحقق'!$H$2:$H$31,MATCH($K221,'نقاط التحقق'!$A$2:$A$31,0))&amp;"","")</f>
        <v/>
      </c>
      <c r="N221" s="17" t="n">
        <v>60</v>
      </c>
      <c r="O221" s="17" t="n">
        <v>100</v>
      </c>
      <c r="P221" s="19" t="str">
        <f aca="false">IF($N221="","غير مقيّمة",IF($N221&gt;المرجع!$K$3,"مستوفاة بشكل متقدم",IF($N221&lt;=المرجع!$K$2,"مستوفاة بشكل أولي","مستوفاة بشكل جزئي")))</f>
        <v>مستوفاة بشكل جزئي</v>
      </c>
      <c r="Q221" s="22"/>
    </row>
    <row r="222" customFormat="false" ht="15" hidden="false" customHeight="true" outlineLevel="0" collapsed="false">
      <c r="A222" s="20" t="s">
        <v>615</v>
      </c>
      <c r="B222" s="20" t="s">
        <v>178</v>
      </c>
      <c r="C222" s="19" t="str">
        <f aca="false">IFERROR(INDEX('قائمة الوحدات'!$B$2:$B$41,MATCH($B222,'قائمة الوحدات'!$A$2:$A$41,0)),"")</f>
        <v>EXE</v>
      </c>
      <c r="D222" s="18" t="str">
        <f aca="false">IFERROR(INDEX('قائمة الوحدات'!$C$2:$C$41,MATCH($B222,'قائمة الوحدات'!$A$2:$A$41,0)),"")</f>
        <v>الشؤون التنفيذية</v>
      </c>
      <c r="E222" s="18" t="str">
        <f aca="false">IFERROR(INDEX('قائمة الوحدات'!$D$2:$D$41,MATCH($B222,'قائمة الوحدات'!$A$2:$A$41,0)),"")</f>
        <v>وكالة الخدمات المساندة</v>
      </c>
      <c r="F222" s="18" t="str">
        <f aca="false">IFERROR(INDEX('قائمة الوحدات'!$F$2:$F$41,MATCH($B222,'قائمة الوحدات'!$A$2:$A$41,0)),"")</f>
        <v>الإدارة العامة للموارد البشرية</v>
      </c>
      <c r="G222" s="20" t="s">
        <v>62</v>
      </c>
      <c r="H222" s="18" t="str">
        <f aca="false">IFERROR(INDEX(المرجع!$A$2:$A$19,MATCH($G222,المرجع!$B$2:$B$19,0)),"")</f>
        <v>البناء المؤسسي</v>
      </c>
      <c r="I222" s="20" t="s">
        <v>52</v>
      </c>
      <c r="J222" s="18" t="str">
        <f aca="false">IFERROR(INDEX(المرجع!$D$2:$D$19,MATCH($I222,المرجع!$E$2:$E$19,0)),"")</f>
        <v>الحوكمة</v>
      </c>
      <c r="K222" s="20" t="s">
        <v>96</v>
      </c>
      <c r="L222" s="21" t="str">
        <f aca="false">IFERROR(INDEX('نقاط التحقق'!$G$2:$G$31,MATCH($K222,'نقاط التحقق'!$A$2:$A$31,0))&amp;"","")</f>
        <v>مصفوفة صلاحيات معتمدة ومعممة على أصحاب المصلحة</v>
      </c>
      <c r="M222" s="18" t="str">
        <f aca="false">IFERROR(INDEX('نقاط التحقق'!$H$2:$H$31,MATCH($K222,'نقاط التحقق'!$A$2:$A$31,0))&amp;"","")</f>
        <v/>
      </c>
      <c r="N222" s="17" t="n">
        <v>75</v>
      </c>
      <c r="O222" s="17" t="n">
        <v>90</v>
      </c>
      <c r="P222" s="19" t="str">
        <f aca="false">IF($N222="","غير مقيّمة",IF($N222&gt;المرجع!$K$3,"مستوفاة بشكل متقدم",IF($N222&lt;=المرجع!$K$2,"مستوفاة بشكل أولي","مستوفاة بشكل جزئي")))</f>
        <v>مستوفاة بشكل متقدم</v>
      </c>
      <c r="Q222" s="22"/>
    </row>
    <row r="223" customFormat="false" ht="15" hidden="false" customHeight="true" outlineLevel="0" collapsed="false">
      <c r="A223" s="20" t="s">
        <v>616</v>
      </c>
      <c r="B223" s="20" t="s">
        <v>178</v>
      </c>
      <c r="C223" s="19" t="str">
        <f aca="false">IFERROR(INDEX('قائمة الوحدات'!$B$2:$B$41,MATCH($B223,'قائمة الوحدات'!$A$2:$A$41,0)),"")</f>
        <v>EXE</v>
      </c>
      <c r="D223" s="18" t="str">
        <f aca="false">IFERROR(INDEX('قائمة الوحدات'!$C$2:$C$41,MATCH($B223,'قائمة الوحدات'!$A$2:$A$41,0)),"")</f>
        <v>الشؤون التنفيذية</v>
      </c>
      <c r="E223" s="18" t="str">
        <f aca="false">IFERROR(INDEX('قائمة الوحدات'!$D$2:$D$41,MATCH($B223,'قائمة الوحدات'!$A$2:$A$41,0)),"")</f>
        <v>وكالة الخدمات المساندة</v>
      </c>
      <c r="F223" s="18" t="str">
        <f aca="false">IFERROR(INDEX('قائمة الوحدات'!$F$2:$F$41,MATCH($B223,'قائمة الوحدات'!$A$2:$A$41,0)),"")</f>
        <v>الإدارة العامة للموارد البشرية</v>
      </c>
      <c r="G223" s="20" t="s">
        <v>62</v>
      </c>
      <c r="H223" s="18" t="str">
        <f aca="false">IFERROR(INDEX(المرجع!$A$2:$A$19,MATCH($G223,المرجع!$B$2:$B$19,0)),"")</f>
        <v>البناء المؤسسي</v>
      </c>
      <c r="I223" s="20" t="s">
        <v>52</v>
      </c>
      <c r="J223" s="18" t="str">
        <f aca="false">IFERROR(INDEX(المرجع!$D$2:$D$19,MATCH($I223,المرجع!$E$2:$E$19,0)),"")</f>
        <v>الحوكمة</v>
      </c>
      <c r="K223" s="20" t="s">
        <v>98</v>
      </c>
      <c r="L223" s="21" t="str">
        <f aca="false">IFERROR(INDEX('نقاط التحقق'!$G$2:$G$31,MATCH($K223,'نقاط التحقق'!$A$2:$A$31,0))&amp;"","")</f>
        <v>سياسات معتمدة للتي تملكها الوحدة التنظيمية</v>
      </c>
      <c r="M223" s="18" t="str">
        <f aca="false">IFERROR(INDEX('نقاط التحقق'!$H$2:$H$31,MATCH($K223,'نقاط التحقق'!$A$2:$A$31,0))&amp;"","")</f>
        <v/>
      </c>
      <c r="N223" s="17" t="n">
        <v>70</v>
      </c>
      <c r="O223" s="17" t="n">
        <v>80</v>
      </c>
      <c r="P223" s="19" t="str">
        <f aca="false">IF($N223="","غير مقيّمة",IF($N223&gt;المرجع!$K$3,"مستوفاة بشكل متقدم",IF($N223&lt;=المرجع!$K$2,"مستوفاة بشكل أولي","مستوفاة بشكل جزئي")))</f>
        <v>مستوفاة بشكل جزئي</v>
      </c>
      <c r="Q223" s="22"/>
    </row>
    <row r="224" customFormat="false" ht="15" hidden="false" customHeight="true" outlineLevel="0" collapsed="false">
      <c r="A224" s="20" t="s">
        <v>617</v>
      </c>
      <c r="B224" s="20" t="s">
        <v>178</v>
      </c>
      <c r="C224" s="19" t="str">
        <f aca="false">IFERROR(INDEX('قائمة الوحدات'!$B$2:$B$41,MATCH($B224,'قائمة الوحدات'!$A$2:$A$41,0)),"")</f>
        <v>EXE</v>
      </c>
      <c r="D224" s="18" t="str">
        <f aca="false">IFERROR(INDEX('قائمة الوحدات'!$C$2:$C$41,MATCH($B224,'قائمة الوحدات'!$A$2:$A$41,0)),"")</f>
        <v>الشؤون التنفيذية</v>
      </c>
      <c r="E224" s="18" t="str">
        <f aca="false">IFERROR(INDEX('قائمة الوحدات'!$D$2:$D$41,MATCH($B224,'قائمة الوحدات'!$A$2:$A$41,0)),"")</f>
        <v>وكالة الخدمات المساندة</v>
      </c>
      <c r="F224" s="18" t="str">
        <f aca="false">IFERROR(INDEX('قائمة الوحدات'!$F$2:$F$41,MATCH($B224,'قائمة الوحدات'!$A$2:$A$41,0)),"")</f>
        <v>الإدارة العامة للموارد البشرية</v>
      </c>
      <c r="G224" s="20" t="s">
        <v>62</v>
      </c>
      <c r="H224" s="18" t="str">
        <f aca="false">IFERROR(INDEX(المرجع!$A$2:$A$19,MATCH($G224,المرجع!$B$2:$B$19,0)),"")</f>
        <v>البناء المؤسسي</v>
      </c>
      <c r="I224" s="20" t="s">
        <v>52</v>
      </c>
      <c r="J224" s="18" t="str">
        <f aca="false">IFERROR(INDEX(المرجع!$D$2:$D$19,MATCH($I224,المرجع!$E$2:$E$19,0)),"")</f>
        <v>الحوكمة</v>
      </c>
      <c r="K224" s="20" t="s">
        <v>100</v>
      </c>
      <c r="L224" s="21" t="str">
        <f aca="false">IFERROR(INDEX('نقاط التحقق'!$G$2:$G$31,MATCH($K224,'نقاط التحقق'!$A$2:$A$31,0))&amp;"","")</f>
        <v>قرار تشكيل معتمد للجان ذات العلاقة</v>
      </c>
      <c r="M224" s="18" t="str">
        <f aca="false">IFERROR(INDEX('نقاط التحقق'!$H$2:$H$31,MATCH($K224,'نقاط التحقق'!$A$2:$A$31,0))&amp;"","")</f>
        <v/>
      </c>
      <c r="N224" s="17" t="n">
        <v>70</v>
      </c>
      <c r="O224" s="17" t="n">
        <v>100</v>
      </c>
      <c r="P224" s="19" t="str">
        <f aca="false">IF($N224="","غير مقيّمة",IF($N224&gt;المرجع!$K$3,"مستوفاة بشكل متقدم",IF($N224&lt;=المرجع!$K$2,"مستوفاة بشكل أولي","مستوفاة بشكل جزئي")))</f>
        <v>مستوفاة بشكل جزئي</v>
      </c>
      <c r="Q224" s="22"/>
    </row>
    <row r="225" customFormat="false" ht="15" hidden="false" customHeight="true" outlineLevel="0" collapsed="false">
      <c r="A225" s="20" t="s">
        <v>618</v>
      </c>
      <c r="B225" s="20" t="s">
        <v>178</v>
      </c>
      <c r="C225" s="19" t="str">
        <f aca="false">IFERROR(INDEX('قائمة الوحدات'!$B$2:$B$41,MATCH($B225,'قائمة الوحدات'!$A$2:$A$41,0)),"")</f>
        <v>EXE</v>
      </c>
      <c r="D225" s="18" t="str">
        <f aca="false">IFERROR(INDEX('قائمة الوحدات'!$C$2:$C$41,MATCH($B225,'قائمة الوحدات'!$A$2:$A$41,0)),"")</f>
        <v>الشؤون التنفيذية</v>
      </c>
      <c r="E225" s="18" t="str">
        <f aca="false">IFERROR(INDEX('قائمة الوحدات'!$D$2:$D$41,MATCH($B225,'قائمة الوحدات'!$A$2:$A$41,0)),"")</f>
        <v>وكالة الخدمات المساندة</v>
      </c>
      <c r="F225" s="18" t="str">
        <f aca="false">IFERROR(INDEX('قائمة الوحدات'!$F$2:$F$41,MATCH($B225,'قائمة الوحدات'!$A$2:$A$41,0)),"")</f>
        <v>الإدارة العامة للموارد البشرية</v>
      </c>
      <c r="G225" s="20" t="s">
        <v>62</v>
      </c>
      <c r="H225" s="18" t="str">
        <f aca="false">IFERROR(INDEX(المرجع!$A$2:$A$19,MATCH($G225,المرجع!$B$2:$B$19,0)),"")</f>
        <v>البناء المؤسسي</v>
      </c>
      <c r="I225" s="20" t="s">
        <v>55</v>
      </c>
      <c r="J225" s="18" t="str">
        <f aca="false">IFERROR(INDEX(المرجع!$D$2:$D$19,MATCH($I225,المرجع!$E$2:$E$19,0)),"")</f>
        <v>التنظيم</v>
      </c>
      <c r="K225" s="20" t="s">
        <v>102</v>
      </c>
      <c r="L225" s="21" t="str">
        <f aca="false">IFERROR(INDEX('نقاط التحقق'!$G$2:$G$31,MATCH($K225,'نقاط التحقق'!$A$2:$A$31,0))&amp;"","")</f>
        <v>هيكل تنظيمي معتمد من صاحب الصلاحية</v>
      </c>
      <c r="M225" s="18" t="str">
        <f aca="false">IFERROR(INDEX('نقاط التحقق'!$H$2:$H$31,MATCH($K225,'نقاط التحقق'!$A$2:$A$31,0))&amp;"","")</f>
        <v/>
      </c>
      <c r="N225" s="17" t="n">
        <v>90</v>
      </c>
      <c r="O225" s="17" t="n">
        <v>100</v>
      </c>
      <c r="P225" s="19" t="str">
        <f aca="false">IF($N225="","غير مقيّمة",IF($N225&gt;المرجع!$K$3,"مستوفاة بشكل متقدم",IF($N225&lt;=المرجع!$K$2,"مستوفاة بشكل أولي","مستوفاة بشكل جزئي")))</f>
        <v>مستوفاة بشكل متقدم</v>
      </c>
      <c r="Q225" s="22"/>
    </row>
    <row r="226" customFormat="false" ht="15" hidden="false" customHeight="true" outlineLevel="0" collapsed="false">
      <c r="A226" s="20" t="s">
        <v>619</v>
      </c>
      <c r="B226" s="20" t="s">
        <v>178</v>
      </c>
      <c r="C226" s="19" t="str">
        <f aca="false">IFERROR(INDEX('قائمة الوحدات'!$B$2:$B$41,MATCH($B226,'قائمة الوحدات'!$A$2:$A$41,0)),"")</f>
        <v>EXE</v>
      </c>
      <c r="D226" s="18" t="str">
        <f aca="false">IFERROR(INDEX('قائمة الوحدات'!$C$2:$C$41,MATCH($B226,'قائمة الوحدات'!$A$2:$A$41,0)),"")</f>
        <v>الشؤون التنفيذية</v>
      </c>
      <c r="E226" s="18" t="str">
        <f aca="false">IFERROR(INDEX('قائمة الوحدات'!$D$2:$D$41,MATCH($B226,'قائمة الوحدات'!$A$2:$A$41,0)),"")</f>
        <v>وكالة الخدمات المساندة</v>
      </c>
      <c r="F226" s="18" t="str">
        <f aca="false">IFERROR(INDEX('قائمة الوحدات'!$F$2:$F$41,MATCH($B226,'قائمة الوحدات'!$A$2:$A$41,0)),"")</f>
        <v>الإدارة العامة للموارد البشرية</v>
      </c>
      <c r="G226" s="20" t="s">
        <v>62</v>
      </c>
      <c r="H226" s="18" t="str">
        <f aca="false">IFERROR(INDEX(المرجع!$A$2:$A$19,MATCH($G226,المرجع!$B$2:$B$19,0)),"")</f>
        <v>البناء المؤسسي</v>
      </c>
      <c r="I226" s="20" t="s">
        <v>55</v>
      </c>
      <c r="J226" s="18" t="str">
        <f aca="false">IFERROR(INDEX(المرجع!$D$2:$D$19,MATCH($I226,المرجع!$E$2:$E$19,0)),"")</f>
        <v>التنظيم</v>
      </c>
      <c r="K226" s="20" t="s">
        <v>104</v>
      </c>
      <c r="L226" s="21" t="str">
        <f aca="false">IFERROR(INDEX('نقاط التحقق'!$G$2:$G$31,MATCH($K226,'نقاط التحقق'!$A$2:$A$31,0))&amp;"","")</f>
        <v>هيكل تنظيمي منشأ على نظام القوى العاملة</v>
      </c>
      <c r="M226" s="18" t="str">
        <f aca="false">IFERROR(INDEX('نقاط التحقق'!$H$2:$H$31,MATCH($K226,'نقاط التحقق'!$A$2:$A$31,0))&amp;"","")</f>
        <v/>
      </c>
      <c r="N226" s="17" t="n">
        <v>65</v>
      </c>
      <c r="O226" s="17" t="n">
        <v>95</v>
      </c>
      <c r="P226" s="19" t="str">
        <f aca="false">IF($N226="","غير مقيّمة",IF($N226&gt;المرجع!$K$3,"مستوفاة بشكل متقدم",IF($N226&lt;=المرجع!$K$2,"مستوفاة بشكل أولي","مستوفاة بشكل جزئي")))</f>
        <v>مستوفاة بشكل جزئي</v>
      </c>
      <c r="Q226" s="22"/>
    </row>
    <row r="227" customFormat="false" ht="15" hidden="false" customHeight="true" outlineLevel="0" collapsed="false">
      <c r="A227" s="20" t="s">
        <v>620</v>
      </c>
      <c r="B227" s="20" t="s">
        <v>178</v>
      </c>
      <c r="C227" s="19" t="str">
        <f aca="false">IFERROR(INDEX('قائمة الوحدات'!$B$2:$B$41,MATCH($B227,'قائمة الوحدات'!$A$2:$A$41,0)),"")</f>
        <v>EXE</v>
      </c>
      <c r="D227" s="18" t="str">
        <f aca="false">IFERROR(INDEX('قائمة الوحدات'!$C$2:$C$41,MATCH($B227,'قائمة الوحدات'!$A$2:$A$41,0)),"")</f>
        <v>الشؤون التنفيذية</v>
      </c>
      <c r="E227" s="18" t="str">
        <f aca="false">IFERROR(INDEX('قائمة الوحدات'!$D$2:$D$41,MATCH($B227,'قائمة الوحدات'!$A$2:$A$41,0)),"")</f>
        <v>وكالة الخدمات المساندة</v>
      </c>
      <c r="F227" s="18" t="str">
        <f aca="false">IFERROR(INDEX('قائمة الوحدات'!$F$2:$F$41,MATCH($B227,'قائمة الوحدات'!$A$2:$A$41,0)),"")</f>
        <v>الإدارة العامة للموارد البشرية</v>
      </c>
      <c r="G227" s="20" t="s">
        <v>62</v>
      </c>
      <c r="H227" s="18" t="str">
        <f aca="false">IFERROR(INDEX(المرجع!$A$2:$A$19,MATCH($G227,المرجع!$B$2:$B$19,0)),"")</f>
        <v>البناء المؤسسي</v>
      </c>
      <c r="I227" s="20" t="s">
        <v>55</v>
      </c>
      <c r="J227" s="18" t="str">
        <f aca="false">IFERROR(INDEX(المرجع!$D$2:$D$19,MATCH($I227,المرجع!$E$2:$E$19,0)),"")</f>
        <v>التنظيم</v>
      </c>
      <c r="K227" s="20" t="s">
        <v>106</v>
      </c>
      <c r="L227" s="21" t="str">
        <f aca="false">IFERROR(INDEX('نقاط التحقق'!$G$2:$G$31,MATCH($K227,'نقاط التحقق'!$A$2:$A$31,0))&amp;"","")</f>
        <v>الموظفون المحددون مسكّنون على الهيكل التنظيمي المستهدف</v>
      </c>
      <c r="M227" s="18" t="str">
        <f aca="false">IFERROR(INDEX('نقاط التحقق'!$H$2:$H$31,MATCH($K227,'نقاط التحقق'!$A$2:$A$31,0))&amp;"","")</f>
        <v/>
      </c>
      <c r="N227" s="17" t="n">
        <v>75</v>
      </c>
      <c r="O227" s="17" t="n">
        <v>95</v>
      </c>
      <c r="P227" s="19" t="str">
        <f aca="false">IF($N227="","غير مقيّمة",IF($N227&gt;المرجع!$K$3,"مستوفاة بشكل متقدم",IF($N227&lt;=المرجع!$K$2,"مستوفاة بشكل أولي","مستوفاة بشكل جزئي")))</f>
        <v>مستوفاة بشكل متقدم</v>
      </c>
      <c r="Q227" s="22"/>
    </row>
    <row r="228" customFormat="false" ht="15" hidden="false" customHeight="true" outlineLevel="0" collapsed="false">
      <c r="A228" s="20" t="s">
        <v>621</v>
      </c>
      <c r="B228" s="20" t="s">
        <v>178</v>
      </c>
      <c r="C228" s="19" t="str">
        <f aca="false">IFERROR(INDEX('قائمة الوحدات'!$B$2:$B$41,MATCH($B228,'قائمة الوحدات'!$A$2:$A$41,0)),"")</f>
        <v>EXE</v>
      </c>
      <c r="D228" s="18" t="str">
        <f aca="false">IFERROR(INDEX('قائمة الوحدات'!$C$2:$C$41,MATCH($B228,'قائمة الوحدات'!$A$2:$A$41,0)),"")</f>
        <v>الشؤون التنفيذية</v>
      </c>
      <c r="E228" s="18" t="str">
        <f aca="false">IFERROR(INDEX('قائمة الوحدات'!$D$2:$D$41,MATCH($B228,'قائمة الوحدات'!$A$2:$A$41,0)),"")</f>
        <v>وكالة الخدمات المساندة</v>
      </c>
      <c r="F228" s="18" t="str">
        <f aca="false">IFERROR(INDEX('قائمة الوحدات'!$F$2:$F$41,MATCH($B228,'قائمة الوحدات'!$A$2:$A$41,0)),"")</f>
        <v>الإدارة العامة للموارد البشرية</v>
      </c>
      <c r="G228" s="20" t="s">
        <v>62</v>
      </c>
      <c r="H228" s="18" t="str">
        <f aca="false">IFERROR(INDEX(المرجع!$A$2:$A$19,MATCH($G228,المرجع!$B$2:$B$19,0)),"")</f>
        <v>البناء المؤسسي</v>
      </c>
      <c r="I228" s="20" t="s">
        <v>57</v>
      </c>
      <c r="J228" s="18" t="str">
        <f aca="false">IFERROR(INDEX(المرجع!$D$2:$D$19,MATCH($I228,المرجع!$E$2:$E$19,0)),"")</f>
        <v>الموارد</v>
      </c>
      <c r="K228" s="20" t="s">
        <v>108</v>
      </c>
      <c r="L228" s="21" t="str">
        <f aca="false">IFERROR(INDEX('نقاط التحقق'!$G$2:$G$31,MATCH($K228,'نقاط التحقق'!$A$2:$A$31,0))&amp;"","")</f>
        <v>مدير الوحدة التنظيمية والموظفون الرئيسيون معينون/ملحقون</v>
      </c>
      <c r="M228" s="18" t="str">
        <f aca="false">IFERROR(INDEX('نقاط التحقق'!$H$2:$H$31,MATCH($K228,'نقاط التحقق'!$A$2:$A$31,0))&amp;"","")</f>
        <v/>
      </c>
      <c r="N228" s="17" t="n">
        <v>75</v>
      </c>
      <c r="O228" s="17" t="n">
        <v>95</v>
      </c>
      <c r="P228" s="19" t="str">
        <f aca="false">IF($N228="","غير مقيّمة",IF($N228&gt;المرجع!$K$3,"مستوفاة بشكل متقدم",IF($N228&lt;=المرجع!$K$2,"مستوفاة بشكل أولي","مستوفاة بشكل جزئي")))</f>
        <v>مستوفاة بشكل متقدم</v>
      </c>
      <c r="Q228" s="22"/>
    </row>
    <row r="229" customFormat="false" ht="15" hidden="false" customHeight="true" outlineLevel="0" collapsed="false">
      <c r="A229" s="20" t="s">
        <v>622</v>
      </c>
      <c r="B229" s="20" t="s">
        <v>178</v>
      </c>
      <c r="C229" s="19" t="str">
        <f aca="false">IFERROR(INDEX('قائمة الوحدات'!$B$2:$B$41,MATCH($B229,'قائمة الوحدات'!$A$2:$A$41,0)),"")</f>
        <v>EXE</v>
      </c>
      <c r="D229" s="18" t="str">
        <f aca="false">IFERROR(INDEX('قائمة الوحدات'!$C$2:$C$41,MATCH($B229,'قائمة الوحدات'!$A$2:$A$41,0)),"")</f>
        <v>الشؤون التنفيذية</v>
      </c>
      <c r="E229" s="18" t="str">
        <f aca="false">IFERROR(INDEX('قائمة الوحدات'!$D$2:$D$41,MATCH($B229,'قائمة الوحدات'!$A$2:$A$41,0)),"")</f>
        <v>وكالة الخدمات المساندة</v>
      </c>
      <c r="F229" s="18" t="str">
        <f aca="false">IFERROR(INDEX('قائمة الوحدات'!$F$2:$F$41,MATCH($B229,'قائمة الوحدات'!$A$2:$A$41,0)),"")</f>
        <v>الإدارة العامة للموارد البشرية</v>
      </c>
      <c r="G229" s="20" t="s">
        <v>62</v>
      </c>
      <c r="H229" s="18" t="str">
        <f aca="false">IFERROR(INDEX(المرجع!$A$2:$A$19,MATCH($G229,المرجع!$B$2:$B$19,0)),"")</f>
        <v>البناء المؤسسي</v>
      </c>
      <c r="I229" s="20" t="s">
        <v>57</v>
      </c>
      <c r="J229" s="18" t="str">
        <f aca="false">IFERROR(INDEX(المرجع!$D$2:$D$19,MATCH($I229,المرجع!$E$2:$E$19,0)),"")</f>
        <v>الموارد</v>
      </c>
      <c r="K229" s="20" t="s">
        <v>110</v>
      </c>
      <c r="L229" s="21" t="str">
        <f aca="false">IFERROR(INDEX('نقاط التحقق'!$G$2:$G$31,MATCH($K229,'نقاط التحقق'!$A$2:$A$31,0))&amp;"","")</f>
        <v>خطة توظيف وتدريب مستكملة</v>
      </c>
      <c r="M229" s="18" t="str">
        <f aca="false">IFERROR(INDEX('نقاط التحقق'!$H$2:$H$31,MATCH($K229,'نقاط التحقق'!$A$2:$A$31,0))&amp;"","")</f>
        <v/>
      </c>
      <c r="N229" s="17" t="n">
        <v>70</v>
      </c>
      <c r="O229" s="17" t="n">
        <v>100</v>
      </c>
      <c r="P229" s="19" t="str">
        <f aca="false">IF($N229="","غير مقيّمة",IF($N229&gt;المرجع!$K$3,"مستوفاة بشكل متقدم",IF($N229&lt;=المرجع!$K$2,"مستوفاة بشكل أولي","مستوفاة بشكل جزئي")))</f>
        <v>مستوفاة بشكل جزئي</v>
      </c>
      <c r="Q229" s="22"/>
    </row>
    <row r="230" customFormat="false" ht="15" hidden="false" customHeight="true" outlineLevel="0" collapsed="false">
      <c r="A230" s="20" t="s">
        <v>623</v>
      </c>
      <c r="B230" s="20" t="s">
        <v>178</v>
      </c>
      <c r="C230" s="19" t="str">
        <f aca="false">IFERROR(INDEX('قائمة الوحدات'!$B$2:$B$41,MATCH($B230,'قائمة الوحدات'!$A$2:$A$41,0)),"")</f>
        <v>EXE</v>
      </c>
      <c r="D230" s="18" t="str">
        <f aca="false">IFERROR(INDEX('قائمة الوحدات'!$C$2:$C$41,MATCH($B230,'قائمة الوحدات'!$A$2:$A$41,0)),"")</f>
        <v>الشؤون التنفيذية</v>
      </c>
      <c r="E230" s="18" t="str">
        <f aca="false">IFERROR(INDEX('قائمة الوحدات'!$D$2:$D$41,MATCH($B230,'قائمة الوحدات'!$A$2:$A$41,0)),"")</f>
        <v>وكالة الخدمات المساندة</v>
      </c>
      <c r="F230" s="18" t="str">
        <f aca="false">IFERROR(INDEX('قائمة الوحدات'!$F$2:$F$41,MATCH($B230,'قائمة الوحدات'!$A$2:$A$41,0)),"")</f>
        <v>الإدارة العامة للموارد البشرية</v>
      </c>
      <c r="G230" s="20" t="s">
        <v>62</v>
      </c>
      <c r="H230" s="18" t="str">
        <f aca="false">IFERROR(INDEX(المرجع!$A$2:$A$19,MATCH($G230,المرجع!$B$2:$B$19,0)),"")</f>
        <v>البناء المؤسسي</v>
      </c>
      <c r="I230" s="20" t="s">
        <v>57</v>
      </c>
      <c r="J230" s="18" t="str">
        <f aca="false">IFERROR(INDEX(المرجع!$D$2:$D$19,MATCH($I230,المرجع!$E$2:$E$19,0)),"")</f>
        <v>الموارد</v>
      </c>
      <c r="K230" s="20" t="s">
        <v>112</v>
      </c>
      <c r="L230" s="21" t="str">
        <f aca="false">IFERROR(INDEX('نقاط التحقق'!$G$2:$G$31,MATCH($K230,'نقاط التحقق'!$A$2:$A$31,0))&amp;"","")</f>
        <v>وجود مساحات مكتبية كافية</v>
      </c>
      <c r="M230" s="18" t="str">
        <f aca="false">IFERROR(INDEX('نقاط التحقق'!$H$2:$H$31,MATCH($K230,'نقاط التحقق'!$A$2:$A$31,0))&amp;"","")</f>
        <v/>
      </c>
      <c r="N230" s="17" t="n">
        <v>75</v>
      </c>
      <c r="O230" s="17" t="n">
        <v>80</v>
      </c>
      <c r="P230" s="19" t="str">
        <f aca="false">IF($N230="","غير مقيّمة",IF($N230&gt;المرجع!$K$3,"مستوفاة بشكل متقدم",IF($N230&lt;=المرجع!$K$2,"مستوفاة بشكل أولي","مستوفاة بشكل جزئي")))</f>
        <v>مستوفاة بشكل متقدم</v>
      </c>
      <c r="Q230" s="22"/>
    </row>
    <row r="231" customFormat="false" ht="15" hidden="false" customHeight="true" outlineLevel="0" collapsed="false">
      <c r="A231" s="20" t="s">
        <v>624</v>
      </c>
      <c r="B231" s="20" t="s">
        <v>178</v>
      </c>
      <c r="C231" s="19" t="str">
        <f aca="false">IFERROR(INDEX('قائمة الوحدات'!$B$2:$B$41,MATCH($B231,'قائمة الوحدات'!$A$2:$A$41,0)),"")</f>
        <v>EXE</v>
      </c>
      <c r="D231" s="18" t="str">
        <f aca="false">IFERROR(INDEX('قائمة الوحدات'!$C$2:$C$41,MATCH($B231,'قائمة الوحدات'!$A$2:$A$41,0)),"")</f>
        <v>الشؤون التنفيذية</v>
      </c>
      <c r="E231" s="18" t="str">
        <f aca="false">IFERROR(INDEX('قائمة الوحدات'!$D$2:$D$41,MATCH($B231,'قائمة الوحدات'!$A$2:$A$41,0)),"")</f>
        <v>وكالة الخدمات المساندة</v>
      </c>
      <c r="F231" s="18" t="str">
        <f aca="false">IFERROR(INDEX('قائمة الوحدات'!$F$2:$F$41,MATCH($B231,'قائمة الوحدات'!$A$2:$A$41,0)),"")</f>
        <v>الإدارة العامة للموارد البشرية</v>
      </c>
      <c r="G231" s="20" t="s">
        <v>62</v>
      </c>
      <c r="H231" s="18" t="str">
        <f aca="false">IFERROR(INDEX(المرجع!$A$2:$A$19,MATCH($G231,المرجع!$B$2:$B$19,0)),"")</f>
        <v>البناء المؤسسي</v>
      </c>
      <c r="I231" s="20" t="s">
        <v>57</v>
      </c>
      <c r="J231" s="18" t="str">
        <f aca="false">IFERROR(INDEX(المرجع!$D$2:$D$19,MATCH($I231,المرجع!$E$2:$E$19,0)),"")</f>
        <v>الموارد</v>
      </c>
      <c r="K231" s="20" t="s">
        <v>114</v>
      </c>
      <c r="L231" s="21" t="str">
        <f aca="false">IFERROR(INDEX('نقاط التحقق'!$G$2:$G$31,MATCH($K231,'نقاط التحقق'!$A$2:$A$31,0))&amp;"","")</f>
        <v>وجود الاحتياجات التقنية الأساسية</v>
      </c>
      <c r="M231" s="18" t="str">
        <f aca="false">IFERROR(INDEX('نقاط التحقق'!$H$2:$H$31,MATCH($K231,'نقاط التحقق'!$A$2:$A$31,0))&amp;"","")</f>
        <v/>
      </c>
      <c r="N231" s="17" t="n">
        <v>50</v>
      </c>
      <c r="O231" s="17" t="n">
        <v>100</v>
      </c>
      <c r="P231" s="19" t="str">
        <f aca="false">IF($N231="","غير مقيّمة",IF($N231&gt;المرجع!$K$3,"مستوفاة بشكل متقدم",IF($N231&lt;=المرجع!$K$2,"مستوفاة بشكل أولي","مستوفاة بشكل جزئي")))</f>
        <v>مستوفاة بشكل جزئي</v>
      </c>
      <c r="Q231" s="22"/>
    </row>
    <row r="232" customFormat="false" ht="15" hidden="false" customHeight="true" outlineLevel="0" collapsed="false">
      <c r="A232" s="20" t="s">
        <v>625</v>
      </c>
      <c r="B232" s="20" t="s">
        <v>178</v>
      </c>
      <c r="C232" s="19" t="str">
        <f aca="false">IFERROR(INDEX('قائمة الوحدات'!$B$2:$B$41,MATCH($B232,'قائمة الوحدات'!$A$2:$A$41,0)),"")</f>
        <v>EXE</v>
      </c>
      <c r="D232" s="18" t="str">
        <f aca="false">IFERROR(INDEX('قائمة الوحدات'!$C$2:$C$41,MATCH($B232,'قائمة الوحدات'!$A$2:$A$41,0)),"")</f>
        <v>الشؤون التنفيذية</v>
      </c>
      <c r="E232" s="18" t="str">
        <f aca="false">IFERROR(INDEX('قائمة الوحدات'!$D$2:$D$41,MATCH($B232,'قائمة الوحدات'!$A$2:$A$41,0)),"")</f>
        <v>وكالة الخدمات المساندة</v>
      </c>
      <c r="F232" s="18" t="str">
        <f aca="false">IFERROR(INDEX('قائمة الوحدات'!$F$2:$F$41,MATCH($B232,'قائمة الوحدات'!$A$2:$A$41,0)),"")</f>
        <v>الإدارة العامة للموارد البشرية</v>
      </c>
      <c r="G232" s="20" t="s">
        <v>62</v>
      </c>
      <c r="H232" s="18" t="str">
        <f aca="false">IFERROR(INDEX(المرجع!$A$2:$A$19,MATCH($G232,المرجع!$B$2:$B$19,0)),"")</f>
        <v>البناء المؤسسي</v>
      </c>
      <c r="I232" s="20" t="s">
        <v>60</v>
      </c>
      <c r="J232" s="18" t="str">
        <f aca="false">IFERROR(INDEX(المرجع!$D$2:$D$19,MATCH($I232,المرجع!$E$2:$E$19,0)),"")</f>
        <v>الإجراءات</v>
      </c>
      <c r="K232" s="20" t="s">
        <v>116</v>
      </c>
      <c r="L232" s="21" t="str">
        <f aca="false">IFERROR(INDEX('نقاط التحقق'!$G$2:$G$31,MATCH($K232,'نقاط التحقق'!$A$2:$A$31,0))&amp;"","")</f>
        <v>إجراءات معتمدة للوحدة التنظيمية</v>
      </c>
      <c r="M232" s="18" t="str">
        <f aca="false">IFERROR(INDEX('نقاط التحقق'!$H$2:$H$31,MATCH($K232,'نقاط التحقق'!$A$2:$A$31,0))&amp;"","")</f>
        <v/>
      </c>
      <c r="N232" s="17" t="n">
        <v>46</v>
      </c>
      <c r="O232" s="17" t="n">
        <v>85</v>
      </c>
      <c r="P232" s="19" t="str">
        <f aca="false">IF($N232="","غير مقيّمة",IF($N232&gt;المرجع!$K$3,"مستوفاة بشكل متقدم",IF($N232&lt;=المرجع!$K$2,"مستوفاة بشكل أولي","مستوفاة بشكل جزئي")))</f>
        <v>مستوفاة بشكل جزئي</v>
      </c>
      <c r="Q232" s="22"/>
    </row>
    <row r="233" customFormat="false" ht="15" hidden="false" customHeight="true" outlineLevel="0" collapsed="false">
      <c r="A233" s="20" t="s">
        <v>626</v>
      </c>
      <c r="B233" s="20" t="s">
        <v>178</v>
      </c>
      <c r="C233" s="19" t="str">
        <f aca="false">IFERROR(INDEX('قائمة الوحدات'!$B$2:$B$41,MATCH($B233,'قائمة الوحدات'!$A$2:$A$41,0)),"")</f>
        <v>EXE</v>
      </c>
      <c r="D233" s="18" t="str">
        <f aca="false">IFERROR(INDEX('قائمة الوحدات'!$C$2:$C$41,MATCH($B233,'قائمة الوحدات'!$A$2:$A$41,0)),"")</f>
        <v>الشؤون التنفيذية</v>
      </c>
      <c r="E233" s="18" t="str">
        <f aca="false">IFERROR(INDEX('قائمة الوحدات'!$D$2:$D$41,MATCH($B233,'قائمة الوحدات'!$A$2:$A$41,0)),"")</f>
        <v>وكالة الخدمات المساندة</v>
      </c>
      <c r="F233" s="18" t="str">
        <f aca="false">IFERROR(INDEX('قائمة الوحدات'!$F$2:$F$41,MATCH($B233,'قائمة الوحدات'!$A$2:$A$41,0)),"")</f>
        <v>الإدارة العامة للموارد البشرية</v>
      </c>
      <c r="G233" s="20" t="s">
        <v>62</v>
      </c>
      <c r="H233" s="18" t="str">
        <f aca="false">IFERROR(INDEX(المرجع!$A$2:$A$19,MATCH($G233,المرجع!$B$2:$B$19,0)),"")</f>
        <v>البناء المؤسسي</v>
      </c>
      <c r="I233" s="20" t="s">
        <v>69</v>
      </c>
      <c r="J233" s="18" t="str">
        <f aca="false">IFERROR(INDEX(المرجع!$D$2:$D$19,MATCH($I233,المرجع!$E$2:$E$19,0)),"")</f>
        <v>إنتاج المخرج الأول</v>
      </c>
      <c r="K233" s="20" t="s">
        <v>118</v>
      </c>
      <c r="L233" s="21" t="str">
        <f aca="false">IFERROR(INDEX('نقاط التحقق'!$G$2:$G$31,MATCH($K233,'نقاط التحقق'!$A$2:$A$31,0))&amp;"","")</f>
        <v>إنتاج المخرج الأول من قبل الوحدة التنظيمية</v>
      </c>
      <c r="M233" s="18" t="str">
        <f aca="false">IFERROR(INDEX('نقاط التحقق'!$H$2:$H$31,MATCH($K233,'نقاط التحقق'!$A$2:$A$31,0))&amp;"","")</f>
        <v/>
      </c>
      <c r="N233" s="17" t="n">
        <v>64</v>
      </c>
      <c r="O233" s="17" t="n">
        <v>85</v>
      </c>
      <c r="P233" s="19" t="str">
        <f aca="false">IF($N233="","غير مقيّمة",IF($N233&gt;المرجع!$K$3,"مستوفاة بشكل متقدم",IF($N233&lt;=المرجع!$K$2,"مستوفاة بشكل أولي","مستوفاة بشكل جزئي")))</f>
        <v>مستوفاة بشكل جزئي</v>
      </c>
      <c r="Q233" s="22"/>
    </row>
    <row r="234" customFormat="false" ht="15" hidden="false" customHeight="true" outlineLevel="0" collapsed="false">
      <c r="A234" s="20" t="s">
        <v>627</v>
      </c>
      <c r="B234" s="20" t="s">
        <v>178</v>
      </c>
      <c r="C234" s="19" t="str">
        <f aca="false">IFERROR(INDEX('قائمة الوحدات'!$B$2:$B$41,MATCH($B234,'قائمة الوحدات'!$A$2:$A$41,0)),"")</f>
        <v>EXE</v>
      </c>
      <c r="D234" s="18" t="str">
        <f aca="false">IFERROR(INDEX('قائمة الوحدات'!$C$2:$C$41,MATCH($B234,'قائمة الوحدات'!$A$2:$A$41,0)),"")</f>
        <v>الشؤون التنفيذية</v>
      </c>
      <c r="E234" s="18" t="str">
        <f aca="false">IFERROR(INDEX('قائمة الوحدات'!$D$2:$D$41,MATCH($B234,'قائمة الوحدات'!$A$2:$A$41,0)),"")</f>
        <v>وكالة الخدمات المساندة</v>
      </c>
      <c r="F234" s="18" t="str">
        <f aca="false">IFERROR(INDEX('قائمة الوحدات'!$F$2:$F$41,MATCH($B234,'قائمة الوحدات'!$A$2:$A$41,0)),"")</f>
        <v>الإدارة العامة للموارد البشرية</v>
      </c>
      <c r="G234" s="20" t="s">
        <v>66</v>
      </c>
      <c r="H234" s="18" t="str">
        <f aca="false">IFERROR(INDEX(المرجع!$A$2:$A$19,MATCH($G234,المرجع!$B$2:$B$19,0)),"")</f>
        <v>التشغيل</v>
      </c>
      <c r="I234" s="20" t="s">
        <v>49</v>
      </c>
      <c r="J234" s="18" t="str">
        <f aca="false">IFERROR(INDEX(المرجع!$D$2:$D$19,MATCH($I234,المرجع!$E$2:$E$19,0)),"")</f>
        <v>الأهداف ومؤشرات الأداء</v>
      </c>
      <c r="K234" s="20" t="s">
        <v>120</v>
      </c>
      <c r="L234" s="21" t="str">
        <f aca="false">IFERROR(INDEX('نقاط التحقق'!$G$2:$G$31,MATCH($K234,'نقاط التحقق'!$A$2:$A$31,0))&amp;"","")</f>
        <v>تحرك مؤشرات الأداء التشغيلي للوحدة التنظيمية بشكل إيجابي</v>
      </c>
      <c r="M234" s="18" t="str">
        <f aca="false">IFERROR(INDEX('نقاط التحقق'!$H$2:$H$31,MATCH($K234,'نقاط التحقق'!$A$2:$A$31,0))&amp;"","")</f>
        <v/>
      </c>
      <c r="N234" s="17" t="n">
        <v>40</v>
      </c>
      <c r="O234" s="17" t="n">
        <v>85</v>
      </c>
      <c r="P234" s="19" t="str">
        <f aca="false">IF($N234="","غير مقيّمة",IF($N234&gt;المرجع!$K$3,"مستوفاة بشكل متقدم",IF($N234&lt;=المرجع!$K$2,"مستوفاة بشكل أولي","مستوفاة بشكل جزئي")))</f>
        <v>مستوفاة بشكل جزئي</v>
      </c>
      <c r="Q234" s="22"/>
    </row>
    <row r="235" customFormat="false" ht="15" hidden="false" customHeight="true" outlineLevel="0" collapsed="false">
      <c r="A235" s="20" t="s">
        <v>628</v>
      </c>
      <c r="B235" s="20" t="s">
        <v>178</v>
      </c>
      <c r="C235" s="19" t="str">
        <f aca="false">IFERROR(INDEX('قائمة الوحدات'!$B$2:$B$41,MATCH($B235,'قائمة الوحدات'!$A$2:$A$41,0)),"")</f>
        <v>EXE</v>
      </c>
      <c r="D235" s="18" t="str">
        <f aca="false">IFERROR(INDEX('قائمة الوحدات'!$C$2:$C$41,MATCH($B235,'قائمة الوحدات'!$A$2:$A$41,0)),"")</f>
        <v>الشؤون التنفيذية</v>
      </c>
      <c r="E235" s="18" t="str">
        <f aca="false">IFERROR(INDEX('قائمة الوحدات'!$D$2:$D$41,MATCH($B235,'قائمة الوحدات'!$A$2:$A$41,0)),"")</f>
        <v>وكالة الخدمات المساندة</v>
      </c>
      <c r="F235" s="18" t="str">
        <f aca="false">IFERROR(INDEX('قائمة الوحدات'!$F$2:$F$41,MATCH($B235,'قائمة الوحدات'!$A$2:$A$41,0)),"")</f>
        <v>الإدارة العامة للموارد البشرية</v>
      </c>
      <c r="G235" s="20" t="s">
        <v>66</v>
      </c>
      <c r="H235" s="18" t="str">
        <f aca="false">IFERROR(INDEX(المرجع!$A$2:$A$19,MATCH($G235,المرجع!$B$2:$B$19,0)),"")</f>
        <v>التشغيل</v>
      </c>
      <c r="I235" s="20" t="s">
        <v>49</v>
      </c>
      <c r="J235" s="18" t="str">
        <f aca="false">IFERROR(INDEX(المرجع!$D$2:$D$19,MATCH($I235,المرجع!$E$2:$E$19,0)),"")</f>
        <v>الأهداف ومؤشرات الأداء</v>
      </c>
      <c r="K235" s="20" t="s">
        <v>122</v>
      </c>
      <c r="L235" s="21" t="str">
        <f aca="false">IFERROR(INDEX('نقاط التحقق'!$G$2:$G$31,MATCH($K235,'نقاط التحقق'!$A$2:$A$31,0))&amp;"","")</f>
        <v>خطة سنوية معتمدة للوحدة التنظيمية</v>
      </c>
      <c r="M235" s="18" t="str">
        <f aca="false">IFERROR(INDEX('نقاط التحقق'!$H$2:$H$31,MATCH($K235,'نقاط التحقق'!$A$2:$A$31,0))&amp;"","")</f>
        <v/>
      </c>
      <c r="N235" s="17" t="n">
        <v>30</v>
      </c>
      <c r="O235" s="17" t="n">
        <v>80</v>
      </c>
      <c r="P235" s="19" t="str">
        <f aca="false">IF($N235="","غير مقيّمة",IF($N235&gt;المرجع!$K$3,"مستوفاة بشكل متقدم",IF($N235&lt;=المرجع!$K$2,"مستوفاة بشكل أولي","مستوفاة بشكل جزئي")))</f>
        <v>مستوفاة بشكل أولي</v>
      </c>
      <c r="Q235" s="22"/>
    </row>
    <row r="236" customFormat="false" ht="15" hidden="false" customHeight="true" outlineLevel="0" collapsed="false">
      <c r="A236" s="20" t="s">
        <v>629</v>
      </c>
      <c r="B236" s="20" t="s">
        <v>178</v>
      </c>
      <c r="C236" s="19" t="str">
        <f aca="false">IFERROR(INDEX('قائمة الوحدات'!$B$2:$B$41,MATCH($B236,'قائمة الوحدات'!$A$2:$A$41,0)),"")</f>
        <v>EXE</v>
      </c>
      <c r="D236" s="18" t="str">
        <f aca="false">IFERROR(INDEX('قائمة الوحدات'!$C$2:$C$41,MATCH($B236,'قائمة الوحدات'!$A$2:$A$41,0)),"")</f>
        <v>الشؤون التنفيذية</v>
      </c>
      <c r="E236" s="18" t="str">
        <f aca="false">IFERROR(INDEX('قائمة الوحدات'!$D$2:$D$41,MATCH($B236,'قائمة الوحدات'!$A$2:$A$41,0)),"")</f>
        <v>وكالة الخدمات المساندة</v>
      </c>
      <c r="F236" s="18" t="str">
        <f aca="false">IFERROR(INDEX('قائمة الوحدات'!$F$2:$F$41,MATCH($B236,'قائمة الوحدات'!$A$2:$A$41,0)),"")</f>
        <v>الإدارة العامة للموارد البشرية</v>
      </c>
      <c r="G236" s="20" t="s">
        <v>66</v>
      </c>
      <c r="H236" s="18" t="str">
        <f aca="false">IFERROR(INDEX(المرجع!$A$2:$A$19,MATCH($G236,المرجع!$B$2:$B$19,0)),"")</f>
        <v>التشغيل</v>
      </c>
      <c r="I236" s="20" t="s">
        <v>52</v>
      </c>
      <c r="J236" s="18" t="str">
        <f aca="false">IFERROR(INDEX(المرجع!$D$2:$D$19,MATCH($I236,المرجع!$E$2:$E$19,0)),"")</f>
        <v>الحوكمة</v>
      </c>
      <c r="K236" s="20" t="s">
        <v>124</v>
      </c>
      <c r="L236" s="21" t="str">
        <f aca="false">IFERROR(INDEX('نقاط التحقق'!$G$2:$G$31,MATCH($K236,'نقاط التحقق'!$A$2:$A$31,0))&amp;"","")</f>
        <v>محاضر لجان موثقة</v>
      </c>
      <c r="M236" s="18" t="str">
        <f aca="false">IFERROR(INDEX('نقاط التحقق'!$H$2:$H$31,MATCH($K236,'نقاط التحقق'!$A$2:$A$31,0))&amp;"","")</f>
        <v/>
      </c>
      <c r="N236" s="17" t="n">
        <v>25</v>
      </c>
      <c r="O236" s="17" t="n">
        <v>85</v>
      </c>
      <c r="P236" s="19" t="str">
        <f aca="false">IF($N236="","غير مقيّمة",IF($N236&gt;المرجع!$K$3,"مستوفاة بشكل متقدم",IF($N236&lt;=المرجع!$K$2,"مستوفاة بشكل أولي","مستوفاة بشكل جزئي")))</f>
        <v>مستوفاة بشكل أولي</v>
      </c>
      <c r="Q236" s="22"/>
    </row>
    <row r="237" customFormat="false" ht="15" hidden="false" customHeight="true" outlineLevel="0" collapsed="false">
      <c r="A237" s="20" t="s">
        <v>630</v>
      </c>
      <c r="B237" s="20" t="s">
        <v>178</v>
      </c>
      <c r="C237" s="19" t="str">
        <f aca="false">IFERROR(INDEX('قائمة الوحدات'!$B$2:$B$41,MATCH($B237,'قائمة الوحدات'!$A$2:$A$41,0)),"")</f>
        <v>EXE</v>
      </c>
      <c r="D237" s="18" t="str">
        <f aca="false">IFERROR(INDEX('قائمة الوحدات'!$C$2:$C$41,MATCH($B237,'قائمة الوحدات'!$A$2:$A$41,0)),"")</f>
        <v>الشؤون التنفيذية</v>
      </c>
      <c r="E237" s="18" t="str">
        <f aca="false">IFERROR(INDEX('قائمة الوحدات'!$D$2:$D$41,MATCH($B237,'قائمة الوحدات'!$A$2:$A$41,0)),"")</f>
        <v>وكالة الخدمات المساندة</v>
      </c>
      <c r="F237" s="18" t="str">
        <f aca="false">IFERROR(INDEX('قائمة الوحدات'!$F$2:$F$41,MATCH($B237,'قائمة الوحدات'!$A$2:$A$41,0)),"")</f>
        <v>الإدارة العامة للموارد البشرية</v>
      </c>
      <c r="G237" s="20" t="s">
        <v>66</v>
      </c>
      <c r="H237" s="18" t="str">
        <f aca="false">IFERROR(INDEX(المرجع!$A$2:$A$19,MATCH($G237,المرجع!$B$2:$B$19,0)),"")</f>
        <v>التشغيل</v>
      </c>
      <c r="I237" s="20" t="s">
        <v>52</v>
      </c>
      <c r="J237" s="18" t="str">
        <f aca="false">IFERROR(INDEX(المرجع!$D$2:$D$19,MATCH($I237,المرجع!$E$2:$E$19,0)),"")</f>
        <v>الحوكمة</v>
      </c>
      <c r="K237" s="20" t="s">
        <v>126</v>
      </c>
      <c r="L237" s="21" t="str">
        <f aca="false">IFERROR(INDEX('نقاط التحقق'!$G$2:$G$31,MATCH($K237,'نقاط التحقق'!$A$2:$A$31,0))&amp;"","")</f>
        <v>نشر السياسات التي تملكها الوحدة التنظيمية</v>
      </c>
      <c r="M237" s="18" t="str">
        <f aca="false">IFERROR(INDEX('نقاط التحقق'!$H$2:$H$31,MATCH($K237,'نقاط التحقق'!$A$2:$A$31,0))&amp;"","")</f>
        <v/>
      </c>
      <c r="N237" s="17" t="n">
        <v>45</v>
      </c>
      <c r="O237" s="17" t="n">
        <v>100</v>
      </c>
      <c r="P237" s="19" t="str">
        <f aca="false">IF($N237="","غير مقيّمة",IF($N237&gt;المرجع!$K$3,"مستوفاة بشكل متقدم",IF($N237&lt;=المرجع!$K$2,"مستوفاة بشكل أولي","مستوفاة بشكل جزئي")))</f>
        <v>مستوفاة بشكل جزئي</v>
      </c>
      <c r="Q237" s="22"/>
    </row>
    <row r="238" customFormat="false" ht="15" hidden="false" customHeight="true" outlineLevel="0" collapsed="false">
      <c r="A238" s="20" t="s">
        <v>631</v>
      </c>
      <c r="B238" s="20" t="s">
        <v>178</v>
      </c>
      <c r="C238" s="19" t="str">
        <f aca="false">IFERROR(INDEX('قائمة الوحدات'!$B$2:$B$41,MATCH($B238,'قائمة الوحدات'!$A$2:$A$41,0)),"")</f>
        <v>EXE</v>
      </c>
      <c r="D238" s="18" t="str">
        <f aca="false">IFERROR(INDEX('قائمة الوحدات'!$C$2:$C$41,MATCH($B238,'قائمة الوحدات'!$A$2:$A$41,0)),"")</f>
        <v>الشؤون التنفيذية</v>
      </c>
      <c r="E238" s="18" t="str">
        <f aca="false">IFERROR(INDEX('قائمة الوحدات'!$D$2:$D$41,MATCH($B238,'قائمة الوحدات'!$A$2:$A$41,0)),"")</f>
        <v>وكالة الخدمات المساندة</v>
      </c>
      <c r="F238" s="18" t="str">
        <f aca="false">IFERROR(INDEX('قائمة الوحدات'!$F$2:$F$41,MATCH($B238,'قائمة الوحدات'!$A$2:$A$41,0)),"")</f>
        <v>الإدارة العامة للموارد البشرية</v>
      </c>
      <c r="G238" s="20" t="s">
        <v>66</v>
      </c>
      <c r="H238" s="18" t="str">
        <f aca="false">IFERROR(INDEX(المرجع!$A$2:$A$19,MATCH($G238,المرجع!$B$2:$B$19,0)),"")</f>
        <v>التشغيل</v>
      </c>
      <c r="I238" s="20" t="s">
        <v>52</v>
      </c>
      <c r="J238" s="18" t="str">
        <f aca="false">IFERROR(INDEX(المرجع!$D$2:$D$19,MATCH($I238,المرجع!$E$2:$E$19,0)),"")</f>
        <v>الحوكمة</v>
      </c>
      <c r="K238" s="20" t="s">
        <v>128</v>
      </c>
      <c r="L238" s="21" t="str">
        <f aca="false">IFERROR(INDEX('نقاط التحقق'!$G$2:$G$31,MATCH($K238,'نقاط التحقق'!$A$2:$A$31,0))&amp;"","")</f>
        <v>اتخاذ القرارات في نطاق الصلاحيات (وجود شواهد)</v>
      </c>
      <c r="M238" s="18" t="str">
        <f aca="false">IFERROR(INDEX('نقاط التحقق'!$H$2:$H$31,MATCH($K238,'نقاط التحقق'!$A$2:$A$31,0))&amp;"","")</f>
        <v/>
      </c>
      <c r="N238" s="17" t="n">
        <v>40</v>
      </c>
      <c r="O238" s="17" t="n">
        <v>95</v>
      </c>
      <c r="P238" s="19" t="str">
        <f aca="false">IF($N238="","غير مقيّمة",IF($N238&gt;المرجع!$K$3,"مستوفاة بشكل متقدم",IF($N238&lt;=المرجع!$K$2,"مستوفاة بشكل أولي","مستوفاة بشكل جزئي")))</f>
        <v>مستوفاة بشكل جزئي</v>
      </c>
      <c r="Q238" s="22"/>
    </row>
    <row r="239" customFormat="false" ht="15" hidden="false" customHeight="true" outlineLevel="0" collapsed="false">
      <c r="A239" s="20" t="s">
        <v>632</v>
      </c>
      <c r="B239" s="20" t="s">
        <v>178</v>
      </c>
      <c r="C239" s="19" t="str">
        <f aca="false">IFERROR(INDEX('قائمة الوحدات'!$B$2:$B$41,MATCH($B239,'قائمة الوحدات'!$A$2:$A$41,0)),"")</f>
        <v>EXE</v>
      </c>
      <c r="D239" s="18" t="str">
        <f aca="false">IFERROR(INDEX('قائمة الوحدات'!$C$2:$C$41,MATCH($B239,'قائمة الوحدات'!$A$2:$A$41,0)),"")</f>
        <v>الشؤون التنفيذية</v>
      </c>
      <c r="E239" s="18" t="str">
        <f aca="false">IFERROR(INDEX('قائمة الوحدات'!$D$2:$D$41,MATCH($B239,'قائمة الوحدات'!$A$2:$A$41,0)),"")</f>
        <v>وكالة الخدمات المساندة</v>
      </c>
      <c r="F239" s="18" t="str">
        <f aca="false">IFERROR(INDEX('قائمة الوحدات'!$F$2:$F$41,MATCH($B239,'قائمة الوحدات'!$A$2:$A$41,0)),"")</f>
        <v>الإدارة العامة للموارد البشرية</v>
      </c>
      <c r="G239" s="20" t="s">
        <v>66</v>
      </c>
      <c r="H239" s="18" t="str">
        <f aca="false">IFERROR(INDEX(المرجع!$A$2:$A$19,MATCH($G239,المرجع!$B$2:$B$19,0)),"")</f>
        <v>التشغيل</v>
      </c>
      <c r="I239" s="20" t="s">
        <v>57</v>
      </c>
      <c r="J239" s="18" t="str">
        <f aca="false">IFERROR(INDEX(المرجع!$D$2:$D$19,MATCH($I239,المرجع!$E$2:$E$19,0)),"")</f>
        <v>الموارد</v>
      </c>
      <c r="K239" s="20" t="s">
        <v>130</v>
      </c>
      <c r="L239" s="21" t="str">
        <f aca="false">IFERROR(INDEX('نقاط التحقق'!$G$2:$G$31,MATCH($K239,'نقاط التحقق'!$A$2:$A$31,0))&amp;"","")</f>
        <v>موارد مستكملة للحد الأدنى الذي يغطي كافة محاور سلسلة القيمة</v>
      </c>
      <c r="M239" s="18" t="str">
        <f aca="false">IFERROR(INDEX('نقاط التحقق'!$H$2:$H$31,MATCH($K239,'نقاط التحقق'!$A$2:$A$31,0))&amp;"","")</f>
        <v/>
      </c>
      <c r="N239" s="17" t="n">
        <v>50</v>
      </c>
      <c r="O239" s="17" t="n">
        <v>100</v>
      </c>
      <c r="P239" s="19" t="str">
        <f aca="false">IF($N239="","غير مقيّمة",IF($N239&gt;المرجع!$K$3,"مستوفاة بشكل متقدم",IF($N239&lt;=المرجع!$K$2,"مستوفاة بشكل أولي","مستوفاة بشكل جزئي")))</f>
        <v>مستوفاة بشكل جزئي</v>
      </c>
      <c r="Q239" s="22"/>
    </row>
    <row r="240" customFormat="false" ht="15" hidden="false" customHeight="true" outlineLevel="0" collapsed="false">
      <c r="A240" s="20" t="s">
        <v>633</v>
      </c>
      <c r="B240" s="20" t="s">
        <v>178</v>
      </c>
      <c r="C240" s="19" t="str">
        <f aca="false">IFERROR(INDEX('قائمة الوحدات'!$B$2:$B$41,MATCH($B240,'قائمة الوحدات'!$A$2:$A$41,0)),"")</f>
        <v>EXE</v>
      </c>
      <c r="D240" s="18" t="str">
        <f aca="false">IFERROR(INDEX('قائمة الوحدات'!$C$2:$C$41,MATCH($B240,'قائمة الوحدات'!$A$2:$A$41,0)),"")</f>
        <v>الشؤون التنفيذية</v>
      </c>
      <c r="E240" s="18" t="str">
        <f aca="false">IFERROR(INDEX('قائمة الوحدات'!$D$2:$D$41,MATCH($B240,'قائمة الوحدات'!$A$2:$A$41,0)),"")</f>
        <v>وكالة الخدمات المساندة</v>
      </c>
      <c r="F240" s="18" t="str">
        <f aca="false">IFERROR(INDEX('قائمة الوحدات'!$F$2:$F$41,MATCH($B240,'قائمة الوحدات'!$A$2:$A$41,0)),"")</f>
        <v>الإدارة العامة للموارد البشرية</v>
      </c>
      <c r="G240" s="20" t="s">
        <v>66</v>
      </c>
      <c r="H240" s="18" t="str">
        <f aca="false">IFERROR(INDEX(المرجع!$A$2:$A$19,MATCH($G240,المرجع!$B$2:$B$19,0)),"")</f>
        <v>التشغيل</v>
      </c>
      <c r="I240" s="20" t="s">
        <v>60</v>
      </c>
      <c r="J240" s="18" t="str">
        <f aca="false">IFERROR(INDEX(المرجع!$D$2:$D$19,MATCH($I240,المرجع!$E$2:$E$19,0)),"")</f>
        <v>الإجراءات</v>
      </c>
      <c r="K240" s="20" t="s">
        <v>132</v>
      </c>
      <c r="L240" s="21" t="str">
        <f aca="false">IFERROR(INDEX('نقاط التحقق'!$G$2:$G$31,MATCH($K240,'نقاط التحقق'!$A$2:$A$31,0))&amp;"","")</f>
        <v>تحقيق تقييم "مطبق بشكل كامل" من منهجية تقييم فعالية الإجراءات</v>
      </c>
      <c r="M240" s="18" t="str">
        <f aca="false">IFERROR(INDEX('نقاط التحقق'!$H$2:$H$31,MATCH($K240,'نقاط التحقق'!$A$2:$A$31,0))&amp;"","")</f>
        <v/>
      </c>
      <c r="N240" s="17" t="n">
        <v>60</v>
      </c>
      <c r="O240" s="17" t="n">
        <v>100</v>
      </c>
      <c r="P240" s="19" t="str">
        <f aca="false">IF($N240="","غير مقيّمة",IF($N240&gt;المرجع!$K$3,"مستوفاة بشكل متقدم",IF($N240&lt;=المرجع!$K$2,"مستوفاة بشكل أولي","مستوفاة بشكل جزئي")))</f>
        <v>مستوفاة بشكل جزئي</v>
      </c>
      <c r="Q240" s="22" t="s">
        <v>634</v>
      </c>
    </row>
    <row r="241" customFormat="false" ht="15" hidden="false" customHeight="true" outlineLevel="0" collapsed="false">
      <c r="A241" s="20" t="s">
        <v>635</v>
      </c>
      <c r="B241" s="20" t="s">
        <v>178</v>
      </c>
      <c r="C241" s="19" t="str">
        <f aca="false">IFERROR(INDEX('قائمة الوحدات'!$B$2:$B$41,MATCH($B241,'قائمة الوحدات'!$A$2:$A$41,0)),"")</f>
        <v>EXE</v>
      </c>
      <c r="D241" s="18" t="str">
        <f aca="false">IFERROR(INDEX('قائمة الوحدات'!$C$2:$C$41,MATCH($B241,'قائمة الوحدات'!$A$2:$A$41,0)),"")</f>
        <v>الشؤون التنفيذية</v>
      </c>
      <c r="E241" s="18" t="str">
        <f aca="false">IFERROR(INDEX('قائمة الوحدات'!$D$2:$D$41,MATCH($B241,'قائمة الوحدات'!$A$2:$A$41,0)),"")</f>
        <v>وكالة الخدمات المساندة</v>
      </c>
      <c r="F241" s="18" t="str">
        <f aca="false">IFERROR(INDEX('قائمة الوحدات'!$F$2:$F$41,MATCH($B241,'قائمة الوحدات'!$A$2:$A$41,0)),"")</f>
        <v>الإدارة العامة للموارد البشرية</v>
      </c>
      <c r="G241" s="20" t="s">
        <v>66</v>
      </c>
      <c r="H241" s="18" t="str">
        <f aca="false">IFERROR(INDEX(المرجع!$A$2:$A$19,MATCH($G241,المرجع!$B$2:$B$19,0)),"")</f>
        <v>التشغيل</v>
      </c>
      <c r="I241" s="20" t="s">
        <v>71</v>
      </c>
      <c r="J241" s="18" t="str">
        <f aca="false">IFERROR(INDEX(المرجع!$D$2:$D$19,MATCH($I241,المرجع!$E$2:$E$19,0)),"")</f>
        <v>اكتمال المخرجات المستهدفة</v>
      </c>
      <c r="K241" s="20" t="s">
        <v>134</v>
      </c>
      <c r="L241" s="21" t="str">
        <f aca="false">IFERROR(INDEX('نقاط التحقق'!$G$2:$G$31,MATCH($K241,'نقاط التحقق'!$A$2:$A$31,0))&amp;"","")</f>
        <v>اكتمال مخرجات النموذج التشغيلي المستهدف للوحدة التنظيمية</v>
      </c>
      <c r="M241" s="18" t="str">
        <f aca="false">IFERROR(INDEX('نقاط التحقق'!$H$2:$H$31,MATCH($K241,'نقاط التحقق'!$A$2:$A$31,0))&amp;"","")</f>
        <v/>
      </c>
      <c r="N241" s="17" t="n">
        <v>31</v>
      </c>
      <c r="O241" s="17" t="n">
        <v>85</v>
      </c>
      <c r="P241" s="19" t="str">
        <f aca="false">IF($N241="","غير مقيّمة",IF($N241&gt;المرجع!$K$3,"مستوفاة بشكل متقدم",IF($N241&lt;=المرجع!$K$2,"مستوفاة بشكل أولي","مستوفاة بشكل جزئي")))</f>
        <v>مستوفاة بشكل جزئي</v>
      </c>
      <c r="Q241" s="22" t="s">
        <v>634</v>
      </c>
    </row>
    <row r="242" customFormat="false" ht="15" hidden="false" customHeight="true" outlineLevel="0" collapsed="false">
      <c r="A242" s="20" t="s">
        <v>636</v>
      </c>
      <c r="B242" s="20" t="s">
        <v>181</v>
      </c>
      <c r="C242" s="19" t="str">
        <f aca="false">IFERROR(INDEX('قائمة الوحدات'!$B$2:$B$41,MATCH($B242,'قائمة الوحدات'!$A$2:$A$41,0)),"")</f>
        <v>EXE</v>
      </c>
      <c r="D242" s="18" t="str">
        <f aca="false">IFERROR(INDEX('قائمة الوحدات'!$C$2:$C$41,MATCH($B242,'قائمة الوحدات'!$A$2:$A$41,0)),"")</f>
        <v>الشؤون التنفيذية</v>
      </c>
      <c r="E242" s="18" t="str">
        <f aca="false">IFERROR(INDEX('قائمة الوحدات'!$D$2:$D$41,MATCH($B242,'قائمة الوحدات'!$A$2:$A$41,0)),"")</f>
        <v>وكالة الخدمات المساندة</v>
      </c>
      <c r="F242" s="18" t="str">
        <f aca="false">IFERROR(INDEX('قائمة الوحدات'!$F$2:$F$41,MATCH($B242,'قائمة الوحدات'!$A$2:$A$41,0)),"")</f>
        <v>الإدارة العامة للشؤون المالية</v>
      </c>
      <c r="G242" s="20" t="s">
        <v>44</v>
      </c>
      <c r="H242" s="18" t="str">
        <f aca="false">IFERROR(INDEX(المرجع!$A$2:$A$19,MATCH($G242,المرجع!$B$2:$B$19,0)),"")</f>
        <v>التصميم</v>
      </c>
      <c r="I242" s="20" t="s">
        <v>46</v>
      </c>
      <c r="J242" s="18" t="str">
        <f aca="false">IFERROR(INDEX(المرجع!$D$2:$D$19,MATCH($I242,المرجع!$E$2:$E$19,0)),"")</f>
        <v>الدور</v>
      </c>
      <c r="K242" s="20" t="s">
        <v>76</v>
      </c>
      <c r="L242" s="21" t="str">
        <f aca="false">IFERROR(INDEX('نقاط التحقق'!$G$2:$G$31,MATCH($K242,'نقاط التحقق'!$A$2:$A$31,0))&amp;"","")</f>
        <v>دور مفصل للوحدة التنظيمية</v>
      </c>
      <c r="M242" s="18" t="str">
        <f aca="false">IFERROR(INDEX('نقاط التحقق'!$H$2:$H$31,MATCH($K242,'نقاط التحقق'!$A$2:$A$31,0))&amp;"","")</f>
        <v/>
      </c>
      <c r="N242" s="17" t="n">
        <v>70</v>
      </c>
      <c r="O242" s="17" t="n">
        <v>100</v>
      </c>
      <c r="P242" s="19" t="str">
        <f aca="false">IF($N242="","غير مقيّمة",IF($N242&gt;المرجع!$K$3,"مستوفاة بشكل متقدم",IF($N242&lt;=المرجع!$K$2,"مستوفاة بشكل أولي","مستوفاة بشكل جزئي")))</f>
        <v>مستوفاة بشكل جزئي</v>
      </c>
      <c r="Q242" s="22" t="s">
        <v>634</v>
      </c>
    </row>
    <row r="243" customFormat="false" ht="15" hidden="false" customHeight="true" outlineLevel="0" collapsed="false">
      <c r="A243" s="20" t="s">
        <v>637</v>
      </c>
      <c r="B243" s="20" t="s">
        <v>181</v>
      </c>
      <c r="C243" s="19" t="str">
        <f aca="false">IFERROR(INDEX('قائمة الوحدات'!$B$2:$B$41,MATCH($B243,'قائمة الوحدات'!$A$2:$A$41,0)),"")</f>
        <v>EXE</v>
      </c>
      <c r="D243" s="18" t="str">
        <f aca="false">IFERROR(INDEX('قائمة الوحدات'!$C$2:$C$41,MATCH($B243,'قائمة الوحدات'!$A$2:$A$41,0)),"")</f>
        <v>الشؤون التنفيذية</v>
      </c>
      <c r="E243" s="18" t="str">
        <f aca="false">IFERROR(INDEX('قائمة الوحدات'!$D$2:$D$41,MATCH($B243,'قائمة الوحدات'!$A$2:$A$41,0)),"")</f>
        <v>وكالة الخدمات المساندة</v>
      </c>
      <c r="F243" s="18" t="str">
        <f aca="false">IFERROR(INDEX('قائمة الوحدات'!$F$2:$F$41,MATCH($B243,'قائمة الوحدات'!$A$2:$A$41,0)),"")</f>
        <v>الإدارة العامة للشؤون المالية</v>
      </c>
      <c r="G243" s="20" t="s">
        <v>44</v>
      </c>
      <c r="H243" s="18" t="str">
        <f aca="false">IFERROR(INDEX(المرجع!$A$2:$A$19,MATCH($G243,المرجع!$B$2:$B$19,0)),"")</f>
        <v>التصميم</v>
      </c>
      <c r="I243" s="20" t="s">
        <v>49</v>
      </c>
      <c r="J243" s="18" t="str">
        <f aca="false">IFERROR(INDEX(المرجع!$D$2:$D$19,MATCH($I243,المرجع!$E$2:$E$19,0)),"")</f>
        <v>الأهداف ومؤشرات الأداء</v>
      </c>
      <c r="K243" s="20" t="s">
        <v>78</v>
      </c>
      <c r="L243" s="21" t="str">
        <f aca="false">IFERROR(INDEX('نقاط التحقق'!$G$2:$G$31,MATCH($K243,'نقاط التحقق'!$A$2:$A$31,0))&amp;"","")</f>
        <v>أهداف محددة للوحدة التنظيمية وربطها بمؤشرات أداء لقياسها</v>
      </c>
      <c r="M243" s="18" t="str">
        <f aca="false">IFERROR(INDEX('نقاط التحقق'!$H$2:$H$31,MATCH($K243,'نقاط التحقق'!$A$2:$A$31,0))&amp;"","")</f>
        <v/>
      </c>
      <c r="N243" s="17" t="n">
        <v>95</v>
      </c>
      <c r="O243" s="17" t="n">
        <v>100</v>
      </c>
      <c r="P243" s="19" t="str">
        <f aca="false">IF($N243="","غير مقيّمة",IF($N243&gt;المرجع!$K$3,"مستوفاة بشكل متقدم",IF($N243&lt;=المرجع!$K$2,"مستوفاة بشكل أولي","مستوفاة بشكل جزئي")))</f>
        <v>مستوفاة بشكل متقدم</v>
      </c>
      <c r="Q243" s="22" t="s">
        <v>634</v>
      </c>
    </row>
    <row r="244" customFormat="false" ht="15" hidden="false" customHeight="true" outlineLevel="0" collapsed="false">
      <c r="A244" s="20" t="s">
        <v>638</v>
      </c>
      <c r="B244" s="20" t="s">
        <v>181</v>
      </c>
      <c r="C244" s="19" t="str">
        <f aca="false">IFERROR(INDEX('قائمة الوحدات'!$B$2:$B$41,MATCH($B244,'قائمة الوحدات'!$A$2:$A$41,0)),"")</f>
        <v>EXE</v>
      </c>
      <c r="D244" s="18" t="str">
        <f aca="false">IFERROR(INDEX('قائمة الوحدات'!$C$2:$C$41,MATCH($B244,'قائمة الوحدات'!$A$2:$A$41,0)),"")</f>
        <v>الشؤون التنفيذية</v>
      </c>
      <c r="E244" s="18" t="str">
        <f aca="false">IFERROR(INDEX('قائمة الوحدات'!$D$2:$D$41,MATCH($B244,'قائمة الوحدات'!$A$2:$A$41,0)),"")</f>
        <v>وكالة الخدمات المساندة</v>
      </c>
      <c r="F244" s="18" t="str">
        <f aca="false">IFERROR(INDEX('قائمة الوحدات'!$F$2:$F$41,MATCH($B244,'قائمة الوحدات'!$A$2:$A$41,0)),"")</f>
        <v>الإدارة العامة للشؤون المالية</v>
      </c>
      <c r="G244" s="20" t="s">
        <v>44</v>
      </c>
      <c r="H244" s="18" t="str">
        <f aca="false">IFERROR(INDEX(المرجع!$A$2:$A$19,MATCH($G244,المرجع!$B$2:$B$19,0)),"")</f>
        <v>التصميم</v>
      </c>
      <c r="I244" s="20" t="s">
        <v>49</v>
      </c>
      <c r="J244" s="18" t="str">
        <f aca="false">IFERROR(INDEX(المرجع!$D$2:$D$19,MATCH($I244,المرجع!$E$2:$E$19,0)),"")</f>
        <v>الأهداف ومؤشرات الأداء</v>
      </c>
      <c r="K244" s="20" t="s">
        <v>80</v>
      </c>
      <c r="L244" s="21" t="str">
        <f aca="false">IFERROR(INDEX('نقاط التحقق'!$G$2:$G$31,MATCH($K244,'نقاط التحقق'!$A$2:$A$31,0))&amp;"","")</f>
        <v>مؤشرات أداء الوحدة التنظيمية</v>
      </c>
      <c r="M244" s="18" t="str">
        <f aca="false">IFERROR(INDEX('نقاط التحقق'!$H$2:$H$31,MATCH($K244,'نقاط التحقق'!$A$2:$A$31,0))&amp;"","")</f>
        <v/>
      </c>
      <c r="N244" s="17" t="n">
        <v>70</v>
      </c>
      <c r="O244" s="17" t="n">
        <v>100</v>
      </c>
      <c r="P244" s="19" t="str">
        <f aca="false">IF($N244="","غير مقيّمة",IF($N244&gt;المرجع!$K$3,"مستوفاة بشكل متقدم",IF($N244&lt;=المرجع!$K$2,"مستوفاة بشكل أولي","مستوفاة بشكل جزئي")))</f>
        <v>مستوفاة بشكل جزئي</v>
      </c>
      <c r="Q244" s="22" t="s">
        <v>634</v>
      </c>
    </row>
    <row r="245" customFormat="false" ht="15" hidden="false" customHeight="true" outlineLevel="0" collapsed="false">
      <c r="A245" s="20" t="s">
        <v>639</v>
      </c>
      <c r="B245" s="20" t="s">
        <v>181</v>
      </c>
      <c r="C245" s="19" t="str">
        <f aca="false">IFERROR(INDEX('قائمة الوحدات'!$B$2:$B$41,MATCH($B245,'قائمة الوحدات'!$A$2:$A$41,0)),"")</f>
        <v>EXE</v>
      </c>
      <c r="D245" s="18" t="str">
        <f aca="false">IFERROR(INDEX('قائمة الوحدات'!$C$2:$C$41,MATCH($B245,'قائمة الوحدات'!$A$2:$A$41,0)),"")</f>
        <v>الشؤون التنفيذية</v>
      </c>
      <c r="E245" s="18" t="str">
        <f aca="false">IFERROR(INDEX('قائمة الوحدات'!$D$2:$D$41,MATCH($B245,'قائمة الوحدات'!$A$2:$A$41,0)),"")</f>
        <v>وكالة الخدمات المساندة</v>
      </c>
      <c r="F245" s="18" t="str">
        <f aca="false">IFERROR(INDEX('قائمة الوحدات'!$F$2:$F$41,MATCH($B245,'قائمة الوحدات'!$A$2:$A$41,0)),"")</f>
        <v>الإدارة العامة للشؤون المالية</v>
      </c>
      <c r="G245" s="20" t="s">
        <v>44</v>
      </c>
      <c r="H245" s="18" t="str">
        <f aca="false">IFERROR(INDEX(المرجع!$A$2:$A$19,MATCH($G245,المرجع!$B$2:$B$19,0)),"")</f>
        <v>التصميم</v>
      </c>
      <c r="I245" s="20" t="s">
        <v>52</v>
      </c>
      <c r="J245" s="18" t="str">
        <f aca="false">IFERROR(INDEX(المرجع!$D$2:$D$19,MATCH($I245,المرجع!$E$2:$E$19,0)),"")</f>
        <v>الحوكمة</v>
      </c>
      <c r="K245" s="20" t="s">
        <v>82</v>
      </c>
      <c r="L245" s="21" t="str">
        <f aca="false">IFERROR(INDEX('نقاط التحقق'!$G$2:$G$31,MATCH($K245,'نقاط التحقق'!$A$2:$A$31,0))&amp;"","")</f>
        <v>تفصيل القرارات ومصفوفة الصلاحيات واللجان ذات العلاقة لاعتماد مخرجات الوحدة التنظيمية</v>
      </c>
      <c r="M245" s="18" t="str">
        <f aca="false">IFERROR(INDEX('نقاط التحقق'!$H$2:$H$31,MATCH($K245,'نقاط التحقق'!$A$2:$A$31,0))&amp;"","")</f>
        <v/>
      </c>
      <c r="N245" s="17" t="n">
        <v>71</v>
      </c>
      <c r="O245" s="17" t="n">
        <v>95</v>
      </c>
      <c r="P245" s="19" t="str">
        <f aca="false">IF($N245="","غير مقيّمة",IF($N245&gt;المرجع!$K$3,"مستوفاة بشكل متقدم",IF($N245&lt;=المرجع!$K$2,"مستوفاة بشكل أولي","مستوفاة بشكل جزئي")))</f>
        <v>مستوفاة بشكل متقدم</v>
      </c>
      <c r="Q245" s="22" t="s">
        <v>634</v>
      </c>
    </row>
    <row r="246" customFormat="false" ht="15" hidden="false" customHeight="true" outlineLevel="0" collapsed="false">
      <c r="A246" s="20" t="s">
        <v>640</v>
      </c>
      <c r="B246" s="20" t="s">
        <v>181</v>
      </c>
      <c r="C246" s="19" t="str">
        <f aca="false">IFERROR(INDEX('قائمة الوحدات'!$B$2:$B$41,MATCH($B246,'قائمة الوحدات'!$A$2:$A$41,0)),"")</f>
        <v>EXE</v>
      </c>
      <c r="D246" s="18" t="str">
        <f aca="false">IFERROR(INDEX('قائمة الوحدات'!$C$2:$C$41,MATCH($B246,'قائمة الوحدات'!$A$2:$A$41,0)),"")</f>
        <v>الشؤون التنفيذية</v>
      </c>
      <c r="E246" s="18" t="str">
        <f aca="false">IFERROR(INDEX('قائمة الوحدات'!$D$2:$D$41,MATCH($B246,'قائمة الوحدات'!$A$2:$A$41,0)),"")</f>
        <v>وكالة الخدمات المساندة</v>
      </c>
      <c r="F246" s="18" t="str">
        <f aca="false">IFERROR(INDEX('قائمة الوحدات'!$F$2:$F$41,MATCH($B246,'قائمة الوحدات'!$A$2:$A$41,0)),"")</f>
        <v>الإدارة العامة للشؤون المالية</v>
      </c>
      <c r="G246" s="20" t="s">
        <v>44</v>
      </c>
      <c r="H246" s="18" t="str">
        <f aca="false">IFERROR(INDEX(المرجع!$A$2:$A$19,MATCH($G246,المرجع!$B$2:$B$19,0)),"")</f>
        <v>التصميم</v>
      </c>
      <c r="I246" s="20" t="s">
        <v>55</v>
      </c>
      <c r="J246" s="18" t="str">
        <f aca="false">IFERROR(INDEX(المرجع!$D$2:$D$19,MATCH($I246,المرجع!$E$2:$E$19,0)),"")</f>
        <v>التنظيم</v>
      </c>
      <c r="K246" s="20" t="s">
        <v>84</v>
      </c>
      <c r="L246" s="21" t="str">
        <f aca="false">IFERROR(INDEX('نقاط التحقق'!$G$2:$G$31,MATCH($K246,'نقاط التحقق'!$A$2:$A$31,0))&amp;"","")</f>
        <v>تطوير الأدوار والمسؤوليات للوحدة التنظيمية وتفصيل الهيكل التنظيمي</v>
      </c>
      <c r="M246" s="18" t="str">
        <f aca="false">IFERROR(INDEX('نقاط التحقق'!$H$2:$H$31,MATCH($K246,'نقاط التحقق'!$A$2:$A$31,0))&amp;"","")</f>
        <v/>
      </c>
      <c r="N246" s="17" t="n">
        <v>80</v>
      </c>
      <c r="O246" s="17" t="n">
        <v>100</v>
      </c>
      <c r="P246" s="19" t="str">
        <f aca="false">IF($N246="","غير مقيّمة",IF($N246&gt;المرجع!$K$3,"مستوفاة بشكل متقدم",IF($N246&lt;=المرجع!$K$2,"مستوفاة بشكل أولي","مستوفاة بشكل جزئي")))</f>
        <v>مستوفاة بشكل متقدم</v>
      </c>
      <c r="Q246" s="22" t="s">
        <v>634</v>
      </c>
    </row>
    <row r="247" customFormat="false" ht="15" hidden="false" customHeight="true" outlineLevel="0" collapsed="false">
      <c r="A247" s="20" t="s">
        <v>641</v>
      </c>
      <c r="B247" s="20" t="s">
        <v>181</v>
      </c>
      <c r="C247" s="19" t="str">
        <f aca="false">IFERROR(INDEX('قائمة الوحدات'!$B$2:$B$41,MATCH($B247,'قائمة الوحدات'!$A$2:$A$41,0)),"")</f>
        <v>EXE</v>
      </c>
      <c r="D247" s="18" t="str">
        <f aca="false">IFERROR(INDEX('قائمة الوحدات'!$C$2:$C$41,MATCH($B247,'قائمة الوحدات'!$A$2:$A$41,0)),"")</f>
        <v>الشؤون التنفيذية</v>
      </c>
      <c r="E247" s="18" t="str">
        <f aca="false">IFERROR(INDEX('قائمة الوحدات'!$D$2:$D$41,MATCH($B247,'قائمة الوحدات'!$A$2:$A$41,0)),"")</f>
        <v>وكالة الخدمات المساندة</v>
      </c>
      <c r="F247" s="18" t="str">
        <f aca="false">IFERROR(INDEX('قائمة الوحدات'!$F$2:$F$41,MATCH($B247,'قائمة الوحدات'!$A$2:$A$41,0)),"")</f>
        <v>الإدارة العامة للشؤون المالية</v>
      </c>
      <c r="G247" s="20" t="s">
        <v>44</v>
      </c>
      <c r="H247" s="18" t="str">
        <f aca="false">IFERROR(INDEX(المرجع!$A$2:$A$19,MATCH($G247,المرجع!$B$2:$B$19,0)),"")</f>
        <v>التصميم</v>
      </c>
      <c r="I247" s="20" t="s">
        <v>57</v>
      </c>
      <c r="J247" s="18" t="str">
        <f aca="false">IFERROR(INDEX(المرجع!$D$2:$D$19,MATCH($I247,المرجع!$E$2:$E$19,0)),"")</f>
        <v>الموارد</v>
      </c>
      <c r="K247" s="20" t="s">
        <v>86</v>
      </c>
      <c r="L247" s="21" t="str">
        <f aca="false">IFERROR(INDEX('نقاط التحقق'!$G$2:$G$31,MATCH($K247,'نقاط التحقق'!$A$2:$A$31,0))&amp;"","")</f>
        <v>تفصيل احتياج الموارد البشرية للوحدة التنظيمية</v>
      </c>
      <c r="M247" s="18" t="str">
        <f aca="false">IFERROR(INDEX('نقاط التحقق'!$H$2:$H$31,MATCH($K247,'نقاط التحقق'!$A$2:$A$31,0))&amp;"","")</f>
        <v/>
      </c>
      <c r="N247" s="17" t="n">
        <v>89</v>
      </c>
      <c r="O247" s="17" t="n">
        <v>90</v>
      </c>
      <c r="P247" s="19" t="str">
        <f aca="false">IF($N247="","غير مقيّمة",IF($N247&gt;المرجع!$K$3,"مستوفاة بشكل متقدم",IF($N247&lt;=المرجع!$K$2,"مستوفاة بشكل أولي","مستوفاة بشكل جزئي")))</f>
        <v>مستوفاة بشكل متقدم</v>
      </c>
      <c r="Q247" s="22" t="s">
        <v>634</v>
      </c>
    </row>
    <row r="248" customFormat="false" ht="15" hidden="false" customHeight="true" outlineLevel="0" collapsed="false">
      <c r="A248" s="20" t="s">
        <v>642</v>
      </c>
      <c r="B248" s="20" t="s">
        <v>181</v>
      </c>
      <c r="C248" s="19" t="str">
        <f aca="false">IFERROR(INDEX('قائمة الوحدات'!$B$2:$B$41,MATCH($B248,'قائمة الوحدات'!$A$2:$A$41,0)),"")</f>
        <v>EXE</v>
      </c>
      <c r="D248" s="18" t="str">
        <f aca="false">IFERROR(INDEX('قائمة الوحدات'!$C$2:$C$41,MATCH($B248,'قائمة الوحدات'!$A$2:$A$41,0)),"")</f>
        <v>الشؤون التنفيذية</v>
      </c>
      <c r="E248" s="18" t="str">
        <f aca="false">IFERROR(INDEX('قائمة الوحدات'!$D$2:$D$41,MATCH($B248,'قائمة الوحدات'!$A$2:$A$41,0)),"")</f>
        <v>وكالة الخدمات المساندة</v>
      </c>
      <c r="F248" s="18" t="str">
        <f aca="false">IFERROR(INDEX('قائمة الوحدات'!$F$2:$F$41,MATCH($B248,'قائمة الوحدات'!$A$2:$A$41,0)),"")</f>
        <v>الإدارة العامة للشؤون المالية</v>
      </c>
      <c r="G248" s="20" t="s">
        <v>44</v>
      </c>
      <c r="H248" s="18" t="str">
        <f aca="false">IFERROR(INDEX(المرجع!$A$2:$A$19,MATCH($G248,المرجع!$B$2:$B$19,0)),"")</f>
        <v>التصميم</v>
      </c>
      <c r="I248" s="20" t="s">
        <v>60</v>
      </c>
      <c r="J248" s="18" t="str">
        <f aca="false">IFERROR(INDEX(المرجع!$D$2:$D$19,MATCH($I248,المرجع!$E$2:$E$19,0)),"")</f>
        <v>الإجراءات</v>
      </c>
      <c r="K248" s="20" t="s">
        <v>88</v>
      </c>
      <c r="L248" s="21" t="str">
        <f aca="false">IFERROR(INDEX('نقاط التحقق'!$G$2:$G$31,MATCH($K248,'نقاط التحقق'!$A$2:$A$31,0))&amp;"","")</f>
        <v>تفصيل المخرجات إلى إجراءات عالية المستوى</v>
      </c>
      <c r="M248" s="18" t="str">
        <f aca="false">IFERROR(INDEX('نقاط التحقق'!$H$2:$H$31,MATCH($K248,'نقاط التحقق'!$A$2:$A$31,0))&amp;"","")</f>
        <v/>
      </c>
      <c r="N248" s="17" t="n">
        <v>81</v>
      </c>
      <c r="O248" s="17" t="n">
        <v>85</v>
      </c>
      <c r="P248" s="19" t="str">
        <f aca="false">IF($N248="","غير مقيّمة",IF($N248&gt;المرجع!$K$3,"مستوفاة بشكل متقدم",IF($N248&lt;=المرجع!$K$2,"مستوفاة بشكل أولي","مستوفاة بشكل جزئي")))</f>
        <v>مستوفاة بشكل متقدم</v>
      </c>
      <c r="Q248" s="22" t="s">
        <v>634</v>
      </c>
    </row>
    <row r="249" customFormat="false" ht="15" hidden="false" customHeight="true" outlineLevel="0" collapsed="false">
      <c r="A249" s="20" t="s">
        <v>643</v>
      </c>
      <c r="B249" s="20" t="s">
        <v>181</v>
      </c>
      <c r="C249" s="19" t="str">
        <f aca="false">IFERROR(INDEX('قائمة الوحدات'!$B$2:$B$41,MATCH($B249,'قائمة الوحدات'!$A$2:$A$41,0)),"")</f>
        <v>EXE</v>
      </c>
      <c r="D249" s="18" t="str">
        <f aca="false">IFERROR(INDEX('قائمة الوحدات'!$C$2:$C$41,MATCH($B249,'قائمة الوحدات'!$A$2:$A$41,0)),"")</f>
        <v>الشؤون التنفيذية</v>
      </c>
      <c r="E249" s="18" t="str">
        <f aca="false">IFERROR(INDEX('قائمة الوحدات'!$D$2:$D$41,MATCH($B249,'قائمة الوحدات'!$A$2:$A$41,0)),"")</f>
        <v>وكالة الخدمات المساندة</v>
      </c>
      <c r="F249" s="18" t="str">
        <f aca="false">IFERROR(INDEX('قائمة الوحدات'!$F$2:$F$41,MATCH($B249,'قائمة الوحدات'!$A$2:$A$41,0)),"")</f>
        <v>الإدارة العامة للشؤون المالية</v>
      </c>
      <c r="G249" s="20" t="s">
        <v>62</v>
      </c>
      <c r="H249" s="18" t="str">
        <f aca="false">IFERROR(INDEX(المرجع!$A$2:$A$19,MATCH($G249,المرجع!$B$2:$B$19,0)),"")</f>
        <v>البناء المؤسسي</v>
      </c>
      <c r="I249" s="20" t="s">
        <v>46</v>
      </c>
      <c r="J249" s="18" t="str">
        <f aca="false">IFERROR(INDEX(المرجع!$D$2:$D$19,MATCH($I249,المرجع!$E$2:$E$19,0)),"")</f>
        <v>الدور</v>
      </c>
      <c r="K249" s="20" t="s">
        <v>90</v>
      </c>
      <c r="L249" s="21" t="str">
        <f aca="false">IFERROR(INDEX('نقاط التحقق'!$G$2:$G$31,MATCH($K249,'نقاط التحقق'!$A$2:$A$31,0))&amp;"","")</f>
        <v>دور معتمد للوحدة التنظيمية</v>
      </c>
      <c r="M249" s="18" t="str">
        <f aca="false">IFERROR(INDEX('نقاط التحقق'!$H$2:$H$31,MATCH($K249,'نقاط التحقق'!$A$2:$A$31,0))&amp;"","")</f>
        <v/>
      </c>
      <c r="N249" s="17" t="n">
        <v>53</v>
      </c>
      <c r="O249" s="17" t="n">
        <v>100</v>
      </c>
      <c r="P249" s="19" t="str">
        <f aca="false">IF($N249="","غير مقيّمة",IF($N249&gt;المرجع!$K$3,"مستوفاة بشكل متقدم",IF($N249&lt;=المرجع!$K$2,"مستوفاة بشكل أولي","مستوفاة بشكل جزئي")))</f>
        <v>مستوفاة بشكل جزئي</v>
      </c>
      <c r="Q249" s="22" t="s">
        <v>634</v>
      </c>
    </row>
    <row r="250" customFormat="false" ht="15" hidden="false" customHeight="true" outlineLevel="0" collapsed="false">
      <c r="A250" s="20" t="s">
        <v>644</v>
      </c>
      <c r="B250" s="20" t="s">
        <v>181</v>
      </c>
      <c r="C250" s="19" t="str">
        <f aca="false">IFERROR(INDEX('قائمة الوحدات'!$B$2:$B$41,MATCH($B250,'قائمة الوحدات'!$A$2:$A$41,0)),"")</f>
        <v>EXE</v>
      </c>
      <c r="D250" s="18" t="str">
        <f aca="false">IFERROR(INDEX('قائمة الوحدات'!$C$2:$C$41,MATCH($B250,'قائمة الوحدات'!$A$2:$A$41,0)),"")</f>
        <v>الشؤون التنفيذية</v>
      </c>
      <c r="E250" s="18" t="str">
        <f aca="false">IFERROR(INDEX('قائمة الوحدات'!$D$2:$D$41,MATCH($B250,'قائمة الوحدات'!$A$2:$A$41,0)),"")</f>
        <v>وكالة الخدمات المساندة</v>
      </c>
      <c r="F250" s="18" t="str">
        <f aca="false">IFERROR(INDEX('قائمة الوحدات'!$F$2:$F$41,MATCH($B250,'قائمة الوحدات'!$A$2:$A$41,0)),"")</f>
        <v>الإدارة العامة للشؤون المالية</v>
      </c>
      <c r="G250" s="20" t="s">
        <v>62</v>
      </c>
      <c r="H250" s="18" t="str">
        <f aca="false">IFERROR(INDEX(المرجع!$A$2:$A$19,MATCH($G250,المرجع!$B$2:$B$19,0)),"")</f>
        <v>البناء المؤسسي</v>
      </c>
      <c r="I250" s="20" t="s">
        <v>49</v>
      </c>
      <c r="J250" s="18" t="str">
        <f aca="false">IFERROR(INDEX(المرجع!$D$2:$D$19,MATCH($I250,المرجع!$E$2:$E$19,0)),"")</f>
        <v>الأهداف ومؤشرات الأداء</v>
      </c>
      <c r="K250" s="20" t="s">
        <v>92</v>
      </c>
      <c r="L250" s="21" t="str">
        <f aca="false">IFERROR(INDEX('نقاط التحقق'!$G$2:$G$31,MATCH($K250,'نقاط التحقق'!$A$2:$A$31,0))&amp;"","")</f>
        <v>أهداف تشغيلية معتمدة من صاحب الصلاحية</v>
      </c>
      <c r="M250" s="18" t="str">
        <f aca="false">IFERROR(INDEX('نقاط التحقق'!$H$2:$H$31,MATCH($K250,'نقاط التحقق'!$A$2:$A$31,0))&amp;"","")</f>
        <v/>
      </c>
      <c r="N250" s="17" t="n">
        <v>90</v>
      </c>
      <c r="O250" s="17" t="n">
        <v>100</v>
      </c>
      <c r="P250" s="19" t="str">
        <f aca="false">IF($N250="","غير مقيّمة",IF($N250&gt;المرجع!$K$3,"مستوفاة بشكل متقدم",IF($N250&lt;=المرجع!$K$2,"مستوفاة بشكل أولي","مستوفاة بشكل جزئي")))</f>
        <v>مستوفاة بشكل متقدم</v>
      </c>
      <c r="Q250" s="22" t="s">
        <v>634</v>
      </c>
    </row>
    <row r="251" customFormat="false" ht="15" hidden="false" customHeight="true" outlineLevel="0" collapsed="false">
      <c r="A251" s="20" t="s">
        <v>645</v>
      </c>
      <c r="B251" s="20" t="s">
        <v>181</v>
      </c>
      <c r="C251" s="19" t="str">
        <f aca="false">IFERROR(INDEX('قائمة الوحدات'!$B$2:$B$41,MATCH($B251,'قائمة الوحدات'!$A$2:$A$41,0)),"")</f>
        <v>EXE</v>
      </c>
      <c r="D251" s="18" t="str">
        <f aca="false">IFERROR(INDEX('قائمة الوحدات'!$C$2:$C$41,MATCH($B251,'قائمة الوحدات'!$A$2:$A$41,0)),"")</f>
        <v>الشؤون التنفيذية</v>
      </c>
      <c r="E251" s="18" t="str">
        <f aca="false">IFERROR(INDEX('قائمة الوحدات'!$D$2:$D$41,MATCH($B251,'قائمة الوحدات'!$A$2:$A$41,0)),"")</f>
        <v>وكالة الخدمات المساندة</v>
      </c>
      <c r="F251" s="18" t="str">
        <f aca="false">IFERROR(INDEX('قائمة الوحدات'!$F$2:$F$41,MATCH($B251,'قائمة الوحدات'!$A$2:$A$41,0)),"")</f>
        <v>الإدارة العامة للشؤون المالية</v>
      </c>
      <c r="G251" s="20" t="s">
        <v>62</v>
      </c>
      <c r="H251" s="18" t="str">
        <f aca="false">IFERROR(INDEX(المرجع!$A$2:$A$19,MATCH($G251,المرجع!$B$2:$B$19,0)),"")</f>
        <v>البناء المؤسسي</v>
      </c>
      <c r="I251" s="20" t="s">
        <v>49</v>
      </c>
      <c r="J251" s="18" t="str">
        <f aca="false">IFERROR(INDEX(المرجع!$D$2:$D$19,MATCH($I251,المرجع!$E$2:$E$19,0)),"")</f>
        <v>الأهداف ومؤشرات الأداء</v>
      </c>
      <c r="K251" s="20" t="s">
        <v>94</v>
      </c>
      <c r="L251" s="21" t="str">
        <f aca="false">IFERROR(INDEX('نقاط التحقق'!$G$2:$G$31,MATCH($K251,'نقاط التحقق'!$A$2:$A$31,0))&amp;"","")</f>
        <v>نشر الأهداف التشغيلية على موظفي الوحدة التنظيمية</v>
      </c>
      <c r="M251" s="18" t="str">
        <f aca="false">IFERROR(INDEX('نقاط التحقق'!$H$2:$H$31,MATCH($K251,'نقاط التحقق'!$A$2:$A$31,0))&amp;"","")</f>
        <v/>
      </c>
      <c r="N251" s="17" t="n">
        <v>75</v>
      </c>
      <c r="O251" s="17" t="n">
        <v>85</v>
      </c>
      <c r="P251" s="19" t="str">
        <f aca="false">IF($N251="","غير مقيّمة",IF($N251&gt;المرجع!$K$3,"مستوفاة بشكل متقدم",IF($N251&lt;=المرجع!$K$2,"مستوفاة بشكل أولي","مستوفاة بشكل جزئي")))</f>
        <v>مستوفاة بشكل متقدم</v>
      </c>
      <c r="Q251" s="22" t="s">
        <v>634</v>
      </c>
    </row>
    <row r="252" customFormat="false" ht="15" hidden="false" customHeight="true" outlineLevel="0" collapsed="false">
      <c r="A252" s="20" t="s">
        <v>646</v>
      </c>
      <c r="B252" s="20" t="s">
        <v>181</v>
      </c>
      <c r="C252" s="19" t="str">
        <f aca="false">IFERROR(INDEX('قائمة الوحدات'!$B$2:$B$41,MATCH($B252,'قائمة الوحدات'!$A$2:$A$41,0)),"")</f>
        <v>EXE</v>
      </c>
      <c r="D252" s="18" t="str">
        <f aca="false">IFERROR(INDEX('قائمة الوحدات'!$C$2:$C$41,MATCH($B252,'قائمة الوحدات'!$A$2:$A$41,0)),"")</f>
        <v>الشؤون التنفيذية</v>
      </c>
      <c r="E252" s="18" t="str">
        <f aca="false">IFERROR(INDEX('قائمة الوحدات'!$D$2:$D$41,MATCH($B252,'قائمة الوحدات'!$A$2:$A$41,0)),"")</f>
        <v>وكالة الخدمات المساندة</v>
      </c>
      <c r="F252" s="18" t="str">
        <f aca="false">IFERROR(INDEX('قائمة الوحدات'!$F$2:$F$41,MATCH($B252,'قائمة الوحدات'!$A$2:$A$41,0)),"")</f>
        <v>الإدارة العامة للشؤون المالية</v>
      </c>
      <c r="G252" s="20" t="s">
        <v>62</v>
      </c>
      <c r="H252" s="18" t="str">
        <f aca="false">IFERROR(INDEX(المرجع!$A$2:$A$19,MATCH($G252,المرجع!$B$2:$B$19,0)),"")</f>
        <v>البناء المؤسسي</v>
      </c>
      <c r="I252" s="20" t="s">
        <v>52</v>
      </c>
      <c r="J252" s="18" t="str">
        <f aca="false">IFERROR(INDEX(المرجع!$D$2:$D$19,MATCH($I252,المرجع!$E$2:$E$19,0)),"")</f>
        <v>الحوكمة</v>
      </c>
      <c r="K252" s="20" t="s">
        <v>96</v>
      </c>
      <c r="L252" s="21" t="str">
        <f aca="false">IFERROR(INDEX('نقاط التحقق'!$G$2:$G$31,MATCH($K252,'نقاط التحقق'!$A$2:$A$31,0))&amp;"","")</f>
        <v>مصفوفة صلاحيات معتمدة ومعممة على أصحاب المصلحة</v>
      </c>
      <c r="M252" s="18" t="str">
        <f aca="false">IFERROR(INDEX('نقاط التحقق'!$H$2:$H$31,MATCH($K252,'نقاط التحقق'!$A$2:$A$31,0))&amp;"","")</f>
        <v/>
      </c>
      <c r="N252" s="17" t="n">
        <v>95</v>
      </c>
      <c r="O252" s="17" t="n">
        <v>95</v>
      </c>
      <c r="P252" s="19" t="str">
        <f aca="false">IF($N252="","غير مقيّمة",IF($N252&gt;المرجع!$K$3,"مستوفاة بشكل متقدم",IF($N252&lt;=المرجع!$K$2,"مستوفاة بشكل أولي","مستوفاة بشكل جزئي")))</f>
        <v>مستوفاة بشكل متقدم</v>
      </c>
      <c r="Q252" s="22" t="s">
        <v>634</v>
      </c>
    </row>
    <row r="253" customFormat="false" ht="15" hidden="false" customHeight="true" outlineLevel="0" collapsed="false">
      <c r="A253" s="20" t="s">
        <v>647</v>
      </c>
      <c r="B253" s="20" t="s">
        <v>181</v>
      </c>
      <c r="C253" s="19" t="str">
        <f aca="false">IFERROR(INDEX('قائمة الوحدات'!$B$2:$B$41,MATCH($B253,'قائمة الوحدات'!$A$2:$A$41,0)),"")</f>
        <v>EXE</v>
      </c>
      <c r="D253" s="18" t="str">
        <f aca="false">IFERROR(INDEX('قائمة الوحدات'!$C$2:$C$41,MATCH($B253,'قائمة الوحدات'!$A$2:$A$41,0)),"")</f>
        <v>الشؤون التنفيذية</v>
      </c>
      <c r="E253" s="18" t="str">
        <f aca="false">IFERROR(INDEX('قائمة الوحدات'!$D$2:$D$41,MATCH($B253,'قائمة الوحدات'!$A$2:$A$41,0)),"")</f>
        <v>وكالة الخدمات المساندة</v>
      </c>
      <c r="F253" s="18" t="str">
        <f aca="false">IFERROR(INDEX('قائمة الوحدات'!$F$2:$F$41,MATCH($B253,'قائمة الوحدات'!$A$2:$A$41,0)),"")</f>
        <v>الإدارة العامة للشؤون المالية</v>
      </c>
      <c r="G253" s="20" t="s">
        <v>62</v>
      </c>
      <c r="H253" s="18" t="str">
        <f aca="false">IFERROR(INDEX(المرجع!$A$2:$A$19,MATCH($G253,المرجع!$B$2:$B$19,0)),"")</f>
        <v>البناء المؤسسي</v>
      </c>
      <c r="I253" s="20" t="s">
        <v>52</v>
      </c>
      <c r="J253" s="18" t="str">
        <f aca="false">IFERROR(INDEX(المرجع!$D$2:$D$19,MATCH($I253,المرجع!$E$2:$E$19,0)),"")</f>
        <v>الحوكمة</v>
      </c>
      <c r="K253" s="20" t="s">
        <v>98</v>
      </c>
      <c r="L253" s="21" t="str">
        <f aca="false">IFERROR(INDEX('نقاط التحقق'!$G$2:$G$31,MATCH($K253,'نقاط التحقق'!$A$2:$A$31,0))&amp;"","")</f>
        <v>سياسات معتمدة للتي تملكها الوحدة التنظيمية</v>
      </c>
      <c r="M253" s="18" t="str">
        <f aca="false">IFERROR(INDEX('نقاط التحقق'!$H$2:$H$31,MATCH($K253,'نقاط التحقق'!$A$2:$A$31,0))&amp;"","")</f>
        <v/>
      </c>
      <c r="N253" s="17" t="n">
        <v>90</v>
      </c>
      <c r="O253" s="17" t="n">
        <v>90</v>
      </c>
      <c r="P253" s="19" t="str">
        <f aca="false">IF($N253="","غير مقيّمة",IF($N253&gt;المرجع!$K$3,"مستوفاة بشكل متقدم",IF($N253&lt;=المرجع!$K$2,"مستوفاة بشكل أولي","مستوفاة بشكل جزئي")))</f>
        <v>مستوفاة بشكل متقدم</v>
      </c>
      <c r="Q253" s="22" t="s">
        <v>634</v>
      </c>
    </row>
    <row r="254" customFormat="false" ht="15" hidden="false" customHeight="true" outlineLevel="0" collapsed="false">
      <c r="A254" s="20" t="s">
        <v>648</v>
      </c>
      <c r="B254" s="20" t="s">
        <v>181</v>
      </c>
      <c r="C254" s="19" t="str">
        <f aca="false">IFERROR(INDEX('قائمة الوحدات'!$B$2:$B$41,MATCH($B254,'قائمة الوحدات'!$A$2:$A$41,0)),"")</f>
        <v>EXE</v>
      </c>
      <c r="D254" s="18" t="str">
        <f aca="false">IFERROR(INDEX('قائمة الوحدات'!$C$2:$C$41,MATCH($B254,'قائمة الوحدات'!$A$2:$A$41,0)),"")</f>
        <v>الشؤون التنفيذية</v>
      </c>
      <c r="E254" s="18" t="str">
        <f aca="false">IFERROR(INDEX('قائمة الوحدات'!$D$2:$D$41,MATCH($B254,'قائمة الوحدات'!$A$2:$A$41,0)),"")</f>
        <v>وكالة الخدمات المساندة</v>
      </c>
      <c r="F254" s="18" t="str">
        <f aca="false">IFERROR(INDEX('قائمة الوحدات'!$F$2:$F$41,MATCH($B254,'قائمة الوحدات'!$A$2:$A$41,0)),"")</f>
        <v>الإدارة العامة للشؤون المالية</v>
      </c>
      <c r="G254" s="20" t="s">
        <v>62</v>
      </c>
      <c r="H254" s="18" t="str">
        <f aca="false">IFERROR(INDEX(المرجع!$A$2:$A$19,MATCH($G254,المرجع!$B$2:$B$19,0)),"")</f>
        <v>البناء المؤسسي</v>
      </c>
      <c r="I254" s="20" t="s">
        <v>52</v>
      </c>
      <c r="J254" s="18" t="str">
        <f aca="false">IFERROR(INDEX(المرجع!$D$2:$D$19,MATCH($I254,المرجع!$E$2:$E$19,0)),"")</f>
        <v>الحوكمة</v>
      </c>
      <c r="K254" s="20" t="s">
        <v>100</v>
      </c>
      <c r="L254" s="21" t="str">
        <f aca="false">IFERROR(INDEX('نقاط التحقق'!$G$2:$G$31,MATCH($K254,'نقاط التحقق'!$A$2:$A$31,0))&amp;"","")</f>
        <v>قرار تشكيل معتمد للجان ذات العلاقة</v>
      </c>
      <c r="M254" s="18" t="str">
        <f aca="false">IFERROR(INDEX('نقاط التحقق'!$H$2:$H$31,MATCH($K254,'نقاط التحقق'!$A$2:$A$31,0))&amp;"","")</f>
        <v/>
      </c>
      <c r="N254" s="17" t="n">
        <v>95</v>
      </c>
      <c r="O254" s="17" t="n">
        <v>100</v>
      </c>
      <c r="P254" s="19" t="str">
        <f aca="false">IF($N254="","غير مقيّمة",IF($N254&gt;المرجع!$K$3,"مستوفاة بشكل متقدم",IF($N254&lt;=المرجع!$K$2,"مستوفاة بشكل أولي","مستوفاة بشكل جزئي")))</f>
        <v>مستوفاة بشكل متقدم</v>
      </c>
      <c r="Q254" s="22" t="s">
        <v>634</v>
      </c>
    </row>
    <row r="255" customFormat="false" ht="15" hidden="false" customHeight="true" outlineLevel="0" collapsed="false">
      <c r="A255" s="20" t="s">
        <v>649</v>
      </c>
      <c r="B255" s="20" t="s">
        <v>181</v>
      </c>
      <c r="C255" s="19" t="str">
        <f aca="false">IFERROR(INDEX('قائمة الوحدات'!$B$2:$B$41,MATCH($B255,'قائمة الوحدات'!$A$2:$A$41,0)),"")</f>
        <v>EXE</v>
      </c>
      <c r="D255" s="18" t="str">
        <f aca="false">IFERROR(INDEX('قائمة الوحدات'!$C$2:$C$41,MATCH($B255,'قائمة الوحدات'!$A$2:$A$41,0)),"")</f>
        <v>الشؤون التنفيذية</v>
      </c>
      <c r="E255" s="18" t="str">
        <f aca="false">IFERROR(INDEX('قائمة الوحدات'!$D$2:$D$41,MATCH($B255,'قائمة الوحدات'!$A$2:$A$41,0)),"")</f>
        <v>وكالة الخدمات المساندة</v>
      </c>
      <c r="F255" s="18" t="str">
        <f aca="false">IFERROR(INDEX('قائمة الوحدات'!$F$2:$F$41,MATCH($B255,'قائمة الوحدات'!$A$2:$A$41,0)),"")</f>
        <v>الإدارة العامة للشؤون المالية</v>
      </c>
      <c r="G255" s="20" t="s">
        <v>62</v>
      </c>
      <c r="H255" s="18" t="str">
        <f aca="false">IFERROR(INDEX(المرجع!$A$2:$A$19,MATCH($G255,المرجع!$B$2:$B$19,0)),"")</f>
        <v>البناء المؤسسي</v>
      </c>
      <c r="I255" s="20" t="s">
        <v>55</v>
      </c>
      <c r="J255" s="18" t="str">
        <f aca="false">IFERROR(INDEX(المرجع!$D$2:$D$19,MATCH($I255,المرجع!$E$2:$E$19,0)),"")</f>
        <v>التنظيم</v>
      </c>
      <c r="K255" s="20" t="s">
        <v>102</v>
      </c>
      <c r="L255" s="21" t="str">
        <f aca="false">IFERROR(INDEX('نقاط التحقق'!$G$2:$G$31,MATCH($K255,'نقاط التحقق'!$A$2:$A$31,0))&amp;"","")</f>
        <v>هيكل تنظيمي معتمد من صاحب الصلاحية</v>
      </c>
      <c r="M255" s="18" t="str">
        <f aca="false">IFERROR(INDEX('نقاط التحقق'!$H$2:$H$31,MATCH($K255,'نقاط التحقق'!$A$2:$A$31,0))&amp;"","")</f>
        <v/>
      </c>
      <c r="N255" s="17" t="n">
        <v>55</v>
      </c>
      <c r="O255" s="17" t="n">
        <v>100</v>
      </c>
      <c r="P255" s="19" t="str">
        <f aca="false">IF($N255="","غير مقيّمة",IF($N255&gt;المرجع!$K$3,"مستوفاة بشكل متقدم",IF($N255&lt;=المرجع!$K$2,"مستوفاة بشكل أولي","مستوفاة بشكل جزئي")))</f>
        <v>مستوفاة بشكل جزئي</v>
      </c>
      <c r="Q255" s="22" t="s">
        <v>634</v>
      </c>
    </row>
    <row r="256" customFormat="false" ht="15" hidden="false" customHeight="true" outlineLevel="0" collapsed="false">
      <c r="A256" s="20" t="s">
        <v>650</v>
      </c>
      <c r="B256" s="20" t="s">
        <v>181</v>
      </c>
      <c r="C256" s="19" t="str">
        <f aca="false">IFERROR(INDEX('قائمة الوحدات'!$B$2:$B$41,MATCH($B256,'قائمة الوحدات'!$A$2:$A$41,0)),"")</f>
        <v>EXE</v>
      </c>
      <c r="D256" s="18" t="str">
        <f aca="false">IFERROR(INDEX('قائمة الوحدات'!$C$2:$C$41,MATCH($B256,'قائمة الوحدات'!$A$2:$A$41,0)),"")</f>
        <v>الشؤون التنفيذية</v>
      </c>
      <c r="E256" s="18" t="str">
        <f aca="false">IFERROR(INDEX('قائمة الوحدات'!$D$2:$D$41,MATCH($B256,'قائمة الوحدات'!$A$2:$A$41,0)),"")</f>
        <v>وكالة الخدمات المساندة</v>
      </c>
      <c r="F256" s="18" t="str">
        <f aca="false">IFERROR(INDEX('قائمة الوحدات'!$F$2:$F$41,MATCH($B256,'قائمة الوحدات'!$A$2:$A$41,0)),"")</f>
        <v>الإدارة العامة للشؤون المالية</v>
      </c>
      <c r="G256" s="20" t="s">
        <v>62</v>
      </c>
      <c r="H256" s="18" t="str">
        <f aca="false">IFERROR(INDEX(المرجع!$A$2:$A$19,MATCH($G256,المرجع!$B$2:$B$19,0)),"")</f>
        <v>البناء المؤسسي</v>
      </c>
      <c r="I256" s="20" t="s">
        <v>55</v>
      </c>
      <c r="J256" s="18" t="str">
        <f aca="false">IFERROR(INDEX(المرجع!$D$2:$D$19,MATCH($I256,المرجع!$E$2:$E$19,0)),"")</f>
        <v>التنظيم</v>
      </c>
      <c r="K256" s="20" t="s">
        <v>104</v>
      </c>
      <c r="L256" s="21" t="str">
        <f aca="false">IFERROR(INDEX('نقاط التحقق'!$G$2:$G$31,MATCH($K256,'نقاط التحقق'!$A$2:$A$31,0))&amp;"","")</f>
        <v>هيكل تنظيمي منشأ على نظام القوى العاملة</v>
      </c>
      <c r="M256" s="18" t="str">
        <f aca="false">IFERROR(INDEX('نقاط التحقق'!$H$2:$H$31,MATCH($K256,'نقاط التحقق'!$A$2:$A$31,0))&amp;"","")</f>
        <v/>
      </c>
      <c r="N256" s="17" t="n">
        <v>50</v>
      </c>
      <c r="O256" s="17" t="n">
        <v>100</v>
      </c>
      <c r="P256" s="19" t="str">
        <f aca="false">IF($N256="","غير مقيّمة",IF($N256&gt;المرجع!$K$3,"مستوفاة بشكل متقدم",IF($N256&lt;=المرجع!$K$2,"مستوفاة بشكل أولي","مستوفاة بشكل جزئي")))</f>
        <v>مستوفاة بشكل جزئي</v>
      </c>
      <c r="Q256" s="22" t="s">
        <v>634</v>
      </c>
    </row>
    <row r="257" customFormat="false" ht="15" hidden="false" customHeight="true" outlineLevel="0" collapsed="false">
      <c r="A257" s="20" t="s">
        <v>651</v>
      </c>
      <c r="B257" s="20" t="s">
        <v>181</v>
      </c>
      <c r="C257" s="19" t="str">
        <f aca="false">IFERROR(INDEX('قائمة الوحدات'!$B$2:$B$41,MATCH($B257,'قائمة الوحدات'!$A$2:$A$41,0)),"")</f>
        <v>EXE</v>
      </c>
      <c r="D257" s="18" t="str">
        <f aca="false">IFERROR(INDEX('قائمة الوحدات'!$C$2:$C$41,MATCH($B257,'قائمة الوحدات'!$A$2:$A$41,0)),"")</f>
        <v>الشؤون التنفيذية</v>
      </c>
      <c r="E257" s="18" t="str">
        <f aca="false">IFERROR(INDEX('قائمة الوحدات'!$D$2:$D$41,MATCH($B257,'قائمة الوحدات'!$A$2:$A$41,0)),"")</f>
        <v>وكالة الخدمات المساندة</v>
      </c>
      <c r="F257" s="18" t="str">
        <f aca="false">IFERROR(INDEX('قائمة الوحدات'!$F$2:$F$41,MATCH($B257,'قائمة الوحدات'!$A$2:$A$41,0)),"")</f>
        <v>الإدارة العامة للشؤون المالية</v>
      </c>
      <c r="G257" s="20" t="s">
        <v>62</v>
      </c>
      <c r="H257" s="18" t="str">
        <f aca="false">IFERROR(INDEX(المرجع!$A$2:$A$19,MATCH($G257,المرجع!$B$2:$B$19,0)),"")</f>
        <v>البناء المؤسسي</v>
      </c>
      <c r="I257" s="20" t="s">
        <v>55</v>
      </c>
      <c r="J257" s="18" t="str">
        <f aca="false">IFERROR(INDEX(المرجع!$D$2:$D$19,MATCH($I257,المرجع!$E$2:$E$19,0)),"")</f>
        <v>التنظيم</v>
      </c>
      <c r="K257" s="20" t="s">
        <v>106</v>
      </c>
      <c r="L257" s="21" t="str">
        <f aca="false">IFERROR(INDEX('نقاط التحقق'!$G$2:$G$31,MATCH($K257,'نقاط التحقق'!$A$2:$A$31,0))&amp;"","")</f>
        <v>الموظفون المحددون مسكّنون على الهيكل التنظيمي المستهدف</v>
      </c>
      <c r="M257" s="18" t="str">
        <f aca="false">IFERROR(INDEX('نقاط التحقق'!$H$2:$H$31,MATCH($K257,'نقاط التحقق'!$A$2:$A$31,0))&amp;"","")</f>
        <v/>
      </c>
      <c r="N257" s="17" t="n">
        <v>65</v>
      </c>
      <c r="O257" s="17" t="n">
        <v>80</v>
      </c>
      <c r="P257" s="19" t="str">
        <f aca="false">IF($N257="","غير مقيّمة",IF($N257&gt;المرجع!$K$3,"مستوفاة بشكل متقدم",IF($N257&lt;=المرجع!$K$2,"مستوفاة بشكل أولي","مستوفاة بشكل جزئي")))</f>
        <v>مستوفاة بشكل جزئي</v>
      </c>
      <c r="Q257" s="22" t="s">
        <v>634</v>
      </c>
    </row>
    <row r="258" customFormat="false" ht="15" hidden="false" customHeight="true" outlineLevel="0" collapsed="false">
      <c r="A258" s="20" t="s">
        <v>652</v>
      </c>
      <c r="B258" s="20" t="s">
        <v>181</v>
      </c>
      <c r="C258" s="19" t="str">
        <f aca="false">IFERROR(INDEX('قائمة الوحدات'!$B$2:$B$41,MATCH($B258,'قائمة الوحدات'!$A$2:$A$41,0)),"")</f>
        <v>EXE</v>
      </c>
      <c r="D258" s="18" t="str">
        <f aca="false">IFERROR(INDEX('قائمة الوحدات'!$C$2:$C$41,MATCH($B258,'قائمة الوحدات'!$A$2:$A$41,0)),"")</f>
        <v>الشؤون التنفيذية</v>
      </c>
      <c r="E258" s="18" t="str">
        <f aca="false">IFERROR(INDEX('قائمة الوحدات'!$D$2:$D$41,MATCH($B258,'قائمة الوحدات'!$A$2:$A$41,0)),"")</f>
        <v>وكالة الخدمات المساندة</v>
      </c>
      <c r="F258" s="18" t="str">
        <f aca="false">IFERROR(INDEX('قائمة الوحدات'!$F$2:$F$41,MATCH($B258,'قائمة الوحدات'!$A$2:$A$41,0)),"")</f>
        <v>الإدارة العامة للشؤون المالية</v>
      </c>
      <c r="G258" s="20" t="s">
        <v>62</v>
      </c>
      <c r="H258" s="18" t="str">
        <f aca="false">IFERROR(INDEX(المرجع!$A$2:$A$19,MATCH($G258,المرجع!$B$2:$B$19,0)),"")</f>
        <v>البناء المؤسسي</v>
      </c>
      <c r="I258" s="20" t="s">
        <v>57</v>
      </c>
      <c r="J258" s="18" t="str">
        <f aca="false">IFERROR(INDEX(المرجع!$D$2:$D$19,MATCH($I258,المرجع!$E$2:$E$19,0)),"")</f>
        <v>الموارد</v>
      </c>
      <c r="K258" s="20" t="s">
        <v>108</v>
      </c>
      <c r="L258" s="21" t="str">
        <f aca="false">IFERROR(INDEX('نقاط التحقق'!$G$2:$G$31,MATCH($K258,'نقاط التحقق'!$A$2:$A$31,0))&amp;"","")</f>
        <v>مدير الوحدة التنظيمية والموظفون الرئيسيون معينون/ملحقون</v>
      </c>
      <c r="M258" s="18" t="str">
        <f aca="false">IFERROR(INDEX('نقاط التحقق'!$H$2:$H$31,MATCH($K258,'نقاط التحقق'!$A$2:$A$31,0))&amp;"","")</f>
        <v/>
      </c>
      <c r="N258" s="17" t="n">
        <v>65</v>
      </c>
      <c r="O258" s="17" t="n">
        <v>100</v>
      </c>
      <c r="P258" s="19" t="str">
        <f aca="false">IF($N258="","غير مقيّمة",IF($N258&gt;المرجع!$K$3,"مستوفاة بشكل متقدم",IF($N258&lt;=المرجع!$K$2,"مستوفاة بشكل أولي","مستوفاة بشكل جزئي")))</f>
        <v>مستوفاة بشكل جزئي</v>
      </c>
      <c r="Q258" s="22" t="s">
        <v>634</v>
      </c>
    </row>
    <row r="259" customFormat="false" ht="15" hidden="false" customHeight="true" outlineLevel="0" collapsed="false">
      <c r="A259" s="20" t="s">
        <v>653</v>
      </c>
      <c r="B259" s="20" t="s">
        <v>181</v>
      </c>
      <c r="C259" s="19" t="str">
        <f aca="false">IFERROR(INDEX('قائمة الوحدات'!$B$2:$B$41,MATCH($B259,'قائمة الوحدات'!$A$2:$A$41,0)),"")</f>
        <v>EXE</v>
      </c>
      <c r="D259" s="18" t="str">
        <f aca="false">IFERROR(INDEX('قائمة الوحدات'!$C$2:$C$41,MATCH($B259,'قائمة الوحدات'!$A$2:$A$41,0)),"")</f>
        <v>الشؤون التنفيذية</v>
      </c>
      <c r="E259" s="18" t="str">
        <f aca="false">IFERROR(INDEX('قائمة الوحدات'!$D$2:$D$41,MATCH($B259,'قائمة الوحدات'!$A$2:$A$41,0)),"")</f>
        <v>وكالة الخدمات المساندة</v>
      </c>
      <c r="F259" s="18" t="str">
        <f aca="false">IFERROR(INDEX('قائمة الوحدات'!$F$2:$F$41,MATCH($B259,'قائمة الوحدات'!$A$2:$A$41,0)),"")</f>
        <v>الإدارة العامة للشؤون المالية</v>
      </c>
      <c r="G259" s="20" t="s">
        <v>62</v>
      </c>
      <c r="H259" s="18" t="str">
        <f aca="false">IFERROR(INDEX(المرجع!$A$2:$A$19,MATCH($G259,المرجع!$B$2:$B$19,0)),"")</f>
        <v>البناء المؤسسي</v>
      </c>
      <c r="I259" s="20" t="s">
        <v>57</v>
      </c>
      <c r="J259" s="18" t="str">
        <f aca="false">IFERROR(INDEX(المرجع!$D$2:$D$19,MATCH($I259,المرجع!$E$2:$E$19,0)),"")</f>
        <v>الموارد</v>
      </c>
      <c r="K259" s="20" t="s">
        <v>110</v>
      </c>
      <c r="L259" s="21" t="str">
        <f aca="false">IFERROR(INDEX('نقاط التحقق'!$G$2:$G$31,MATCH($K259,'نقاط التحقق'!$A$2:$A$31,0))&amp;"","")</f>
        <v>خطة توظيف وتدريب مستكملة</v>
      </c>
      <c r="M259" s="18" t="str">
        <f aca="false">IFERROR(INDEX('نقاط التحقق'!$H$2:$H$31,MATCH($K259,'نقاط التحقق'!$A$2:$A$31,0))&amp;"","")</f>
        <v/>
      </c>
      <c r="N259" s="17" t="n">
        <v>60</v>
      </c>
      <c r="O259" s="17" t="n">
        <v>100</v>
      </c>
      <c r="P259" s="19" t="str">
        <f aca="false">IF($N259="","غير مقيّمة",IF($N259&gt;المرجع!$K$3,"مستوفاة بشكل متقدم",IF($N259&lt;=المرجع!$K$2,"مستوفاة بشكل أولي","مستوفاة بشكل جزئي")))</f>
        <v>مستوفاة بشكل جزئي</v>
      </c>
      <c r="Q259" s="22" t="s">
        <v>634</v>
      </c>
    </row>
    <row r="260" customFormat="false" ht="15" hidden="false" customHeight="true" outlineLevel="0" collapsed="false">
      <c r="A260" s="20" t="s">
        <v>654</v>
      </c>
      <c r="B260" s="20" t="s">
        <v>181</v>
      </c>
      <c r="C260" s="19" t="str">
        <f aca="false">IFERROR(INDEX('قائمة الوحدات'!$B$2:$B$41,MATCH($B260,'قائمة الوحدات'!$A$2:$A$41,0)),"")</f>
        <v>EXE</v>
      </c>
      <c r="D260" s="18" t="str">
        <f aca="false">IFERROR(INDEX('قائمة الوحدات'!$C$2:$C$41,MATCH($B260,'قائمة الوحدات'!$A$2:$A$41,0)),"")</f>
        <v>الشؤون التنفيذية</v>
      </c>
      <c r="E260" s="18" t="str">
        <f aca="false">IFERROR(INDEX('قائمة الوحدات'!$D$2:$D$41,MATCH($B260,'قائمة الوحدات'!$A$2:$A$41,0)),"")</f>
        <v>وكالة الخدمات المساندة</v>
      </c>
      <c r="F260" s="18" t="str">
        <f aca="false">IFERROR(INDEX('قائمة الوحدات'!$F$2:$F$41,MATCH($B260,'قائمة الوحدات'!$A$2:$A$41,0)),"")</f>
        <v>الإدارة العامة للشؤون المالية</v>
      </c>
      <c r="G260" s="20" t="s">
        <v>62</v>
      </c>
      <c r="H260" s="18" t="str">
        <f aca="false">IFERROR(INDEX(المرجع!$A$2:$A$19,MATCH($G260,المرجع!$B$2:$B$19,0)),"")</f>
        <v>البناء المؤسسي</v>
      </c>
      <c r="I260" s="20" t="s">
        <v>57</v>
      </c>
      <c r="J260" s="18" t="str">
        <f aca="false">IFERROR(INDEX(المرجع!$D$2:$D$19,MATCH($I260,المرجع!$E$2:$E$19,0)),"")</f>
        <v>الموارد</v>
      </c>
      <c r="K260" s="20" t="s">
        <v>112</v>
      </c>
      <c r="L260" s="21" t="str">
        <f aca="false">IFERROR(INDEX('نقاط التحقق'!$G$2:$G$31,MATCH($K260,'نقاط التحقق'!$A$2:$A$31,0))&amp;"","")</f>
        <v>وجود مساحات مكتبية كافية</v>
      </c>
      <c r="M260" s="18" t="str">
        <f aca="false">IFERROR(INDEX('نقاط التحقق'!$H$2:$H$31,MATCH($K260,'نقاط التحقق'!$A$2:$A$31,0))&amp;"","")</f>
        <v/>
      </c>
      <c r="N260" s="17" t="n">
        <v>65</v>
      </c>
      <c r="O260" s="17" t="n">
        <v>85</v>
      </c>
      <c r="P260" s="19" t="str">
        <f aca="false">IF($N260="","غير مقيّمة",IF($N260&gt;المرجع!$K$3,"مستوفاة بشكل متقدم",IF($N260&lt;=المرجع!$K$2,"مستوفاة بشكل أولي","مستوفاة بشكل جزئي")))</f>
        <v>مستوفاة بشكل جزئي</v>
      </c>
      <c r="Q260" s="22" t="s">
        <v>634</v>
      </c>
    </row>
    <row r="261" customFormat="false" ht="15" hidden="false" customHeight="true" outlineLevel="0" collapsed="false">
      <c r="A261" s="20" t="s">
        <v>655</v>
      </c>
      <c r="B261" s="20" t="s">
        <v>181</v>
      </c>
      <c r="C261" s="19" t="str">
        <f aca="false">IFERROR(INDEX('قائمة الوحدات'!$B$2:$B$41,MATCH($B261,'قائمة الوحدات'!$A$2:$A$41,0)),"")</f>
        <v>EXE</v>
      </c>
      <c r="D261" s="18" t="str">
        <f aca="false">IFERROR(INDEX('قائمة الوحدات'!$C$2:$C$41,MATCH($B261,'قائمة الوحدات'!$A$2:$A$41,0)),"")</f>
        <v>الشؤون التنفيذية</v>
      </c>
      <c r="E261" s="18" t="str">
        <f aca="false">IFERROR(INDEX('قائمة الوحدات'!$D$2:$D$41,MATCH($B261,'قائمة الوحدات'!$A$2:$A$41,0)),"")</f>
        <v>وكالة الخدمات المساندة</v>
      </c>
      <c r="F261" s="18" t="str">
        <f aca="false">IFERROR(INDEX('قائمة الوحدات'!$F$2:$F$41,MATCH($B261,'قائمة الوحدات'!$A$2:$A$41,0)),"")</f>
        <v>الإدارة العامة للشؤون المالية</v>
      </c>
      <c r="G261" s="20" t="s">
        <v>62</v>
      </c>
      <c r="H261" s="18" t="str">
        <f aca="false">IFERROR(INDEX(المرجع!$A$2:$A$19,MATCH($G261,المرجع!$B$2:$B$19,0)),"")</f>
        <v>البناء المؤسسي</v>
      </c>
      <c r="I261" s="20" t="s">
        <v>57</v>
      </c>
      <c r="J261" s="18" t="str">
        <f aca="false">IFERROR(INDEX(المرجع!$D$2:$D$19,MATCH($I261,المرجع!$E$2:$E$19,0)),"")</f>
        <v>الموارد</v>
      </c>
      <c r="K261" s="20" t="s">
        <v>114</v>
      </c>
      <c r="L261" s="21" t="str">
        <f aca="false">IFERROR(INDEX('نقاط التحقق'!$G$2:$G$31,MATCH($K261,'نقاط التحقق'!$A$2:$A$31,0))&amp;"","")</f>
        <v>وجود الاحتياجات التقنية الأساسية</v>
      </c>
      <c r="M261" s="18" t="str">
        <f aca="false">IFERROR(INDEX('نقاط التحقق'!$H$2:$H$31,MATCH($K261,'نقاط التحقق'!$A$2:$A$31,0))&amp;"","")</f>
        <v/>
      </c>
      <c r="N261" s="17" t="n">
        <v>35</v>
      </c>
      <c r="O261" s="17" t="n">
        <v>95</v>
      </c>
      <c r="P261" s="19" t="str">
        <f aca="false">IF($N261="","غير مقيّمة",IF($N261&gt;المرجع!$K$3,"مستوفاة بشكل متقدم",IF($N261&lt;=المرجع!$K$2,"مستوفاة بشكل أولي","مستوفاة بشكل جزئي")))</f>
        <v>مستوفاة بشكل جزئي</v>
      </c>
      <c r="Q261" s="22" t="s">
        <v>634</v>
      </c>
    </row>
    <row r="262" customFormat="false" ht="15" hidden="false" customHeight="true" outlineLevel="0" collapsed="false">
      <c r="A262" s="20" t="s">
        <v>656</v>
      </c>
      <c r="B262" s="20" t="s">
        <v>181</v>
      </c>
      <c r="C262" s="19" t="str">
        <f aca="false">IFERROR(INDEX('قائمة الوحدات'!$B$2:$B$41,MATCH($B262,'قائمة الوحدات'!$A$2:$A$41,0)),"")</f>
        <v>EXE</v>
      </c>
      <c r="D262" s="18" t="str">
        <f aca="false">IFERROR(INDEX('قائمة الوحدات'!$C$2:$C$41,MATCH($B262,'قائمة الوحدات'!$A$2:$A$41,0)),"")</f>
        <v>الشؤون التنفيذية</v>
      </c>
      <c r="E262" s="18" t="str">
        <f aca="false">IFERROR(INDEX('قائمة الوحدات'!$D$2:$D$41,MATCH($B262,'قائمة الوحدات'!$A$2:$A$41,0)),"")</f>
        <v>وكالة الخدمات المساندة</v>
      </c>
      <c r="F262" s="18" t="str">
        <f aca="false">IFERROR(INDEX('قائمة الوحدات'!$F$2:$F$41,MATCH($B262,'قائمة الوحدات'!$A$2:$A$41,0)),"")</f>
        <v>الإدارة العامة للشؤون المالية</v>
      </c>
      <c r="G262" s="20" t="s">
        <v>62</v>
      </c>
      <c r="H262" s="18" t="str">
        <f aca="false">IFERROR(INDEX(المرجع!$A$2:$A$19,MATCH($G262,المرجع!$B$2:$B$19,0)),"")</f>
        <v>البناء المؤسسي</v>
      </c>
      <c r="I262" s="20" t="s">
        <v>60</v>
      </c>
      <c r="J262" s="18" t="str">
        <f aca="false">IFERROR(INDEX(المرجع!$D$2:$D$19,MATCH($I262,المرجع!$E$2:$E$19,0)),"")</f>
        <v>الإجراءات</v>
      </c>
      <c r="K262" s="20" t="s">
        <v>116</v>
      </c>
      <c r="L262" s="21" t="str">
        <f aca="false">IFERROR(INDEX('نقاط التحقق'!$G$2:$G$31,MATCH($K262,'نقاط التحقق'!$A$2:$A$31,0))&amp;"","")</f>
        <v>إجراءات معتمدة للوحدة التنظيمية</v>
      </c>
      <c r="M262" s="18" t="str">
        <f aca="false">IFERROR(INDEX('نقاط التحقق'!$H$2:$H$31,MATCH($K262,'نقاط التحقق'!$A$2:$A$31,0))&amp;"","")</f>
        <v/>
      </c>
      <c r="N262" s="17" t="n">
        <v>66</v>
      </c>
      <c r="O262" s="17" t="n">
        <v>100</v>
      </c>
      <c r="P262" s="19" t="str">
        <f aca="false">IF($N262="","غير مقيّمة",IF($N262&gt;المرجع!$K$3,"مستوفاة بشكل متقدم",IF($N262&lt;=المرجع!$K$2,"مستوفاة بشكل أولي","مستوفاة بشكل جزئي")))</f>
        <v>مستوفاة بشكل جزئي</v>
      </c>
      <c r="Q262" s="22" t="s">
        <v>634</v>
      </c>
    </row>
    <row r="263" customFormat="false" ht="15" hidden="false" customHeight="true" outlineLevel="0" collapsed="false">
      <c r="A263" s="20" t="s">
        <v>657</v>
      </c>
      <c r="B263" s="20" t="s">
        <v>181</v>
      </c>
      <c r="C263" s="19" t="str">
        <f aca="false">IFERROR(INDEX('قائمة الوحدات'!$B$2:$B$41,MATCH($B263,'قائمة الوحدات'!$A$2:$A$41,0)),"")</f>
        <v>EXE</v>
      </c>
      <c r="D263" s="18" t="str">
        <f aca="false">IFERROR(INDEX('قائمة الوحدات'!$C$2:$C$41,MATCH($B263,'قائمة الوحدات'!$A$2:$A$41,0)),"")</f>
        <v>الشؤون التنفيذية</v>
      </c>
      <c r="E263" s="18" t="str">
        <f aca="false">IFERROR(INDEX('قائمة الوحدات'!$D$2:$D$41,MATCH($B263,'قائمة الوحدات'!$A$2:$A$41,0)),"")</f>
        <v>وكالة الخدمات المساندة</v>
      </c>
      <c r="F263" s="18" t="str">
        <f aca="false">IFERROR(INDEX('قائمة الوحدات'!$F$2:$F$41,MATCH($B263,'قائمة الوحدات'!$A$2:$A$41,0)),"")</f>
        <v>الإدارة العامة للشؤون المالية</v>
      </c>
      <c r="G263" s="20" t="s">
        <v>62</v>
      </c>
      <c r="H263" s="18" t="str">
        <f aca="false">IFERROR(INDEX(المرجع!$A$2:$A$19,MATCH($G263,المرجع!$B$2:$B$19,0)),"")</f>
        <v>البناء المؤسسي</v>
      </c>
      <c r="I263" s="20" t="s">
        <v>69</v>
      </c>
      <c r="J263" s="18" t="str">
        <f aca="false">IFERROR(INDEX(المرجع!$D$2:$D$19,MATCH($I263,المرجع!$E$2:$E$19,0)),"")</f>
        <v>إنتاج المخرج الأول</v>
      </c>
      <c r="K263" s="20" t="s">
        <v>118</v>
      </c>
      <c r="L263" s="21" t="str">
        <f aca="false">IFERROR(INDEX('نقاط التحقق'!$G$2:$G$31,MATCH($K263,'نقاط التحقق'!$A$2:$A$31,0))&amp;"","")</f>
        <v>إنتاج المخرج الأول من قبل الوحدة التنظيمية</v>
      </c>
      <c r="M263" s="18" t="str">
        <f aca="false">IFERROR(INDEX('نقاط التحقق'!$H$2:$H$31,MATCH($K263,'نقاط التحقق'!$A$2:$A$31,0))&amp;"","")</f>
        <v/>
      </c>
      <c r="N263" s="17" t="n">
        <v>43</v>
      </c>
      <c r="O263" s="17" t="n">
        <v>85</v>
      </c>
      <c r="P263" s="19" t="str">
        <f aca="false">IF($N263="","غير مقيّمة",IF($N263&gt;المرجع!$K$3,"مستوفاة بشكل متقدم",IF($N263&lt;=المرجع!$K$2,"مستوفاة بشكل أولي","مستوفاة بشكل جزئي")))</f>
        <v>مستوفاة بشكل جزئي</v>
      </c>
      <c r="Q263" s="22" t="s">
        <v>634</v>
      </c>
    </row>
    <row r="264" customFormat="false" ht="15" hidden="false" customHeight="true" outlineLevel="0" collapsed="false">
      <c r="A264" s="20" t="s">
        <v>658</v>
      </c>
      <c r="B264" s="20" t="s">
        <v>181</v>
      </c>
      <c r="C264" s="19" t="str">
        <f aca="false">IFERROR(INDEX('قائمة الوحدات'!$B$2:$B$41,MATCH($B264,'قائمة الوحدات'!$A$2:$A$41,0)),"")</f>
        <v>EXE</v>
      </c>
      <c r="D264" s="18" t="str">
        <f aca="false">IFERROR(INDEX('قائمة الوحدات'!$C$2:$C$41,MATCH($B264,'قائمة الوحدات'!$A$2:$A$41,0)),"")</f>
        <v>الشؤون التنفيذية</v>
      </c>
      <c r="E264" s="18" t="str">
        <f aca="false">IFERROR(INDEX('قائمة الوحدات'!$D$2:$D$41,MATCH($B264,'قائمة الوحدات'!$A$2:$A$41,0)),"")</f>
        <v>وكالة الخدمات المساندة</v>
      </c>
      <c r="F264" s="18" t="str">
        <f aca="false">IFERROR(INDEX('قائمة الوحدات'!$F$2:$F$41,MATCH($B264,'قائمة الوحدات'!$A$2:$A$41,0)),"")</f>
        <v>الإدارة العامة للشؤون المالية</v>
      </c>
      <c r="G264" s="20" t="s">
        <v>66</v>
      </c>
      <c r="H264" s="18" t="str">
        <f aca="false">IFERROR(INDEX(المرجع!$A$2:$A$19,MATCH($G264,المرجع!$B$2:$B$19,0)),"")</f>
        <v>التشغيل</v>
      </c>
      <c r="I264" s="20" t="s">
        <v>49</v>
      </c>
      <c r="J264" s="18" t="str">
        <f aca="false">IFERROR(INDEX(المرجع!$D$2:$D$19,MATCH($I264,المرجع!$E$2:$E$19,0)),"")</f>
        <v>الأهداف ومؤشرات الأداء</v>
      </c>
      <c r="K264" s="20" t="s">
        <v>120</v>
      </c>
      <c r="L264" s="21" t="str">
        <f aca="false">IFERROR(INDEX('نقاط التحقق'!$G$2:$G$31,MATCH($K264,'نقاط التحقق'!$A$2:$A$31,0))&amp;"","")</f>
        <v>تحرك مؤشرات الأداء التشغيلي للوحدة التنظيمية بشكل إيجابي</v>
      </c>
      <c r="M264" s="18" t="str">
        <f aca="false">IFERROR(INDEX('نقاط التحقق'!$H$2:$H$31,MATCH($K264,'نقاط التحقق'!$A$2:$A$31,0))&amp;"","")</f>
        <v/>
      </c>
      <c r="N264" s="17" t="n">
        <v>30</v>
      </c>
      <c r="O264" s="17" t="n">
        <v>100</v>
      </c>
      <c r="P264" s="19" t="str">
        <f aca="false">IF($N264="","غير مقيّمة",IF($N264&gt;المرجع!$K$3,"مستوفاة بشكل متقدم",IF($N264&lt;=المرجع!$K$2,"مستوفاة بشكل أولي","مستوفاة بشكل جزئي")))</f>
        <v>مستوفاة بشكل أولي</v>
      </c>
      <c r="Q264" s="22" t="s">
        <v>634</v>
      </c>
    </row>
    <row r="265" customFormat="false" ht="15" hidden="false" customHeight="true" outlineLevel="0" collapsed="false">
      <c r="A265" s="20" t="s">
        <v>659</v>
      </c>
      <c r="B265" s="20" t="s">
        <v>181</v>
      </c>
      <c r="C265" s="19" t="str">
        <f aca="false">IFERROR(INDEX('قائمة الوحدات'!$B$2:$B$41,MATCH($B265,'قائمة الوحدات'!$A$2:$A$41,0)),"")</f>
        <v>EXE</v>
      </c>
      <c r="D265" s="18" t="str">
        <f aca="false">IFERROR(INDEX('قائمة الوحدات'!$C$2:$C$41,MATCH($B265,'قائمة الوحدات'!$A$2:$A$41,0)),"")</f>
        <v>الشؤون التنفيذية</v>
      </c>
      <c r="E265" s="18" t="str">
        <f aca="false">IFERROR(INDEX('قائمة الوحدات'!$D$2:$D$41,MATCH($B265,'قائمة الوحدات'!$A$2:$A$41,0)),"")</f>
        <v>وكالة الخدمات المساندة</v>
      </c>
      <c r="F265" s="18" t="str">
        <f aca="false">IFERROR(INDEX('قائمة الوحدات'!$F$2:$F$41,MATCH($B265,'قائمة الوحدات'!$A$2:$A$41,0)),"")</f>
        <v>الإدارة العامة للشؤون المالية</v>
      </c>
      <c r="G265" s="20" t="s">
        <v>66</v>
      </c>
      <c r="H265" s="18" t="str">
        <f aca="false">IFERROR(INDEX(المرجع!$A$2:$A$19,MATCH($G265,المرجع!$B$2:$B$19,0)),"")</f>
        <v>التشغيل</v>
      </c>
      <c r="I265" s="20" t="s">
        <v>49</v>
      </c>
      <c r="J265" s="18" t="str">
        <f aca="false">IFERROR(INDEX(المرجع!$D$2:$D$19,MATCH($I265,المرجع!$E$2:$E$19,0)),"")</f>
        <v>الأهداف ومؤشرات الأداء</v>
      </c>
      <c r="K265" s="20" t="s">
        <v>122</v>
      </c>
      <c r="L265" s="21" t="str">
        <f aca="false">IFERROR(INDEX('نقاط التحقق'!$G$2:$G$31,MATCH($K265,'نقاط التحقق'!$A$2:$A$31,0))&amp;"","")</f>
        <v>خطة سنوية معتمدة للوحدة التنظيمية</v>
      </c>
      <c r="M265" s="18" t="str">
        <f aca="false">IFERROR(INDEX('نقاط التحقق'!$H$2:$H$31,MATCH($K265,'نقاط التحقق'!$A$2:$A$31,0))&amp;"","")</f>
        <v/>
      </c>
      <c r="N265" s="17" t="n">
        <v>20</v>
      </c>
      <c r="O265" s="17" t="n">
        <v>100</v>
      </c>
      <c r="P265" s="19" t="str">
        <f aca="false">IF($N265="","غير مقيّمة",IF($N265&gt;المرجع!$K$3,"مستوفاة بشكل متقدم",IF($N265&lt;=المرجع!$K$2,"مستوفاة بشكل أولي","مستوفاة بشكل جزئي")))</f>
        <v>مستوفاة بشكل أولي</v>
      </c>
      <c r="Q265" s="22" t="s">
        <v>634</v>
      </c>
    </row>
    <row r="266" customFormat="false" ht="15" hidden="false" customHeight="true" outlineLevel="0" collapsed="false">
      <c r="A266" s="20" t="s">
        <v>660</v>
      </c>
      <c r="B266" s="20" t="s">
        <v>181</v>
      </c>
      <c r="C266" s="19" t="str">
        <f aca="false">IFERROR(INDEX('قائمة الوحدات'!$B$2:$B$41,MATCH($B266,'قائمة الوحدات'!$A$2:$A$41,0)),"")</f>
        <v>EXE</v>
      </c>
      <c r="D266" s="18" t="str">
        <f aca="false">IFERROR(INDEX('قائمة الوحدات'!$C$2:$C$41,MATCH($B266,'قائمة الوحدات'!$A$2:$A$41,0)),"")</f>
        <v>الشؤون التنفيذية</v>
      </c>
      <c r="E266" s="18" t="str">
        <f aca="false">IFERROR(INDEX('قائمة الوحدات'!$D$2:$D$41,MATCH($B266,'قائمة الوحدات'!$A$2:$A$41,0)),"")</f>
        <v>وكالة الخدمات المساندة</v>
      </c>
      <c r="F266" s="18" t="str">
        <f aca="false">IFERROR(INDEX('قائمة الوحدات'!$F$2:$F$41,MATCH($B266,'قائمة الوحدات'!$A$2:$A$41,0)),"")</f>
        <v>الإدارة العامة للشؤون المالية</v>
      </c>
      <c r="G266" s="20" t="s">
        <v>66</v>
      </c>
      <c r="H266" s="18" t="str">
        <f aca="false">IFERROR(INDEX(المرجع!$A$2:$A$19,MATCH($G266,المرجع!$B$2:$B$19,0)),"")</f>
        <v>التشغيل</v>
      </c>
      <c r="I266" s="20" t="s">
        <v>52</v>
      </c>
      <c r="J266" s="18" t="str">
        <f aca="false">IFERROR(INDEX(المرجع!$D$2:$D$19,MATCH($I266,المرجع!$E$2:$E$19,0)),"")</f>
        <v>الحوكمة</v>
      </c>
      <c r="K266" s="20" t="s">
        <v>124</v>
      </c>
      <c r="L266" s="21" t="str">
        <f aca="false">IFERROR(INDEX('نقاط التحقق'!$G$2:$G$31,MATCH($K266,'نقاط التحقق'!$A$2:$A$31,0))&amp;"","")</f>
        <v>محاضر لجان موثقة</v>
      </c>
      <c r="M266" s="18" t="str">
        <f aca="false">IFERROR(INDEX('نقاط التحقق'!$H$2:$H$31,MATCH($K266,'نقاط التحقق'!$A$2:$A$31,0))&amp;"","")</f>
        <v/>
      </c>
      <c r="N266" s="17" t="n">
        <v>35</v>
      </c>
      <c r="O266" s="17" t="n">
        <v>85</v>
      </c>
      <c r="P266" s="19" t="str">
        <f aca="false">IF($N266="","غير مقيّمة",IF($N266&gt;المرجع!$K$3,"مستوفاة بشكل متقدم",IF($N266&lt;=المرجع!$K$2,"مستوفاة بشكل أولي","مستوفاة بشكل جزئي")))</f>
        <v>مستوفاة بشكل جزئي</v>
      </c>
      <c r="Q266" s="22" t="s">
        <v>634</v>
      </c>
    </row>
    <row r="267" customFormat="false" ht="15" hidden="false" customHeight="true" outlineLevel="0" collapsed="false">
      <c r="A267" s="20" t="s">
        <v>661</v>
      </c>
      <c r="B267" s="20" t="s">
        <v>181</v>
      </c>
      <c r="C267" s="19" t="str">
        <f aca="false">IFERROR(INDEX('قائمة الوحدات'!$B$2:$B$41,MATCH($B267,'قائمة الوحدات'!$A$2:$A$41,0)),"")</f>
        <v>EXE</v>
      </c>
      <c r="D267" s="18" t="str">
        <f aca="false">IFERROR(INDEX('قائمة الوحدات'!$C$2:$C$41,MATCH($B267,'قائمة الوحدات'!$A$2:$A$41,0)),"")</f>
        <v>الشؤون التنفيذية</v>
      </c>
      <c r="E267" s="18" t="str">
        <f aca="false">IFERROR(INDEX('قائمة الوحدات'!$D$2:$D$41,MATCH($B267,'قائمة الوحدات'!$A$2:$A$41,0)),"")</f>
        <v>وكالة الخدمات المساندة</v>
      </c>
      <c r="F267" s="18" t="str">
        <f aca="false">IFERROR(INDEX('قائمة الوحدات'!$F$2:$F$41,MATCH($B267,'قائمة الوحدات'!$A$2:$A$41,0)),"")</f>
        <v>الإدارة العامة للشؤون المالية</v>
      </c>
      <c r="G267" s="20" t="s">
        <v>66</v>
      </c>
      <c r="H267" s="18" t="str">
        <f aca="false">IFERROR(INDEX(المرجع!$A$2:$A$19,MATCH($G267,المرجع!$B$2:$B$19,0)),"")</f>
        <v>التشغيل</v>
      </c>
      <c r="I267" s="20" t="s">
        <v>52</v>
      </c>
      <c r="J267" s="18" t="str">
        <f aca="false">IFERROR(INDEX(المرجع!$D$2:$D$19,MATCH($I267,المرجع!$E$2:$E$19,0)),"")</f>
        <v>الحوكمة</v>
      </c>
      <c r="K267" s="20" t="s">
        <v>126</v>
      </c>
      <c r="L267" s="21" t="str">
        <f aca="false">IFERROR(INDEX('نقاط التحقق'!$G$2:$G$31,MATCH($K267,'نقاط التحقق'!$A$2:$A$31,0))&amp;"","")</f>
        <v>نشر السياسات التي تملكها الوحدة التنظيمية</v>
      </c>
      <c r="M267" s="18" t="str">
        <f aca="false">IFERROR(INDEX('نقاط التحقق'!$H$2:$H$31,MATCH($K267,'نقاط التحقق'!$A$2:$A$31,0))&amp;"","")</f>
        <v/>
      </c>
      <c r="N267" s="17" t="n">
        <v>20</v>
      </c>
      <c r="O267" s="17" t="n">
        <v>80</v>
      </c>
      <c r="P267" s="19" t="str">
        <f aca="false">IF($N267="","غير مقيّمة",IF($N267&gt;المرجع!$K$3,"مستوفاة بشكل متقدم",IF($N267&lt;=المرجع!$K$2,"مستوفاة بشكل أولي","مستوفاة بشكل جزئي")))</f>
        <v>مستوفاة بشكل أولي</v>
      </c>
      <c r="Q267" s="22" t="s">
        <v>634</v>
      </c>
    </row>
    <row r="268" customFormat="false" ht="15" hidden="false" customHeight="true" outlineLevel="0" collapsed="false">
      <c r="A268" s="20" t="s">
        <v>662</v>
      </c>
      <c r="B268" s="20" t="s">
        <v>181</v>
      </c>
      <c r="C268" s="19" t="str">
        <f aca="false">IFERROR(INDEX('قائمة الوحدات'!$B$2:$B$41,MATCH($B268,'قائمة الوحدات'!$A$2:$A$41,0)),"")</f>
        <v>EXE</v>
      </c>
      <c r="D268" s="18" t="str">
        <f aca="false">IFERROR(INDEX('قائمة الوحدات'!$C$2:$C$41,MATCH($B268,'قائمة الوحدات'!$A$2:$A$41,0)),"")</f>
        <v>الشؤون التنفيذية</v>
      </c>
      <c r="E268" s="18" t="str">
        <f aca="false">IFERROR(INDEX('قائمة الوحدات'!$D$2:$D$41,MATCH($B268,'قائمة الوحدات'!$A$2:$A$41,0)),"")</f>
        <v>وكالة الخدمات المساندة</v>
      </c>
      <c r="F268" s="18" t="str">
        <f aca="false">IFERROR(INDEX('قائمة الوحدات'!$F$2:$F$41,MATCH($B268,'قائمة الوحدات'!$A$2:$A$41,0)),"")</f>
        <v>الإدارة العامة للشؤون المالية</v>
      </c>
      <c r="G268" s="20" t="s">
        <v>66</v>
      </c>
      <c r="H268" s="18" t="str">
        <f aca="false">IFERROR(INDEX(المرجع!$A$2:$A$19,MATCH($G268,المرجع!$B$2:$B$19,0)),"")</f>
        <v>التشغيل</v>
      </c>
      <c r="I268" s="20" t="s">
        <v>52</v>
      </c>
      <c r="J268" s="18" t="str">
        <f aca="false">IFERROR(INDEX(المرجع!$D$2:$D$19,MATCH($I268,المرجع!$E$2:$E$19,0)),"")</f>
        <v>الحوكمة</v>
      </c>
      <c r="K268" s="20" t="s">
        <v>128</v>
      </c>
      <c r="L268" s="21" t="str">
        <f aca="false">IFERROR(INDEX('نقاط التحقق'!$G$2:$G$31,MATCH($K268,'نقاط التحقق'!$A$2:$A$31,0))&amp;"","")</f>
        <v>اتخاذ القرارات في نطاق الصلاحيات (وجود شواهد)</v>
      </c>
      <c r="M268" s="18" t="str">
        <f aca="false">IFERROR(INDEX('نقاط التحقق'!$H$2:$H$31,MATCH($K268,'نقاط التحقق'!$A$2:$A$31,0))&amp;"","")</f>
        <v/>
      </c>
      <c r="N268" s="17" t="n">
        <v>30</v>
      </c>
      <c r="O268" s="17" t="n">
        <v>90</v>
      </c>
      <c r="P268" s="19" t="str">
        <f aca="false">IF($N268="","غير مقيّمة",IF($N268&gt;المرجع!$K$3,"مستوفاة بشكل متقدم",IF($N268&lt;=المرجع!$K$2,"مستوفاة بشكل أولي","مستوفاة بشكل جزئي")))</f>
        <v>مستوفاة بشكل أولي</v>
      </c>
      <c r="Q268" s="22" t="s">
        <v>634</v>
      </c>
    </row>
    <row r="269" customFormat="false" ht="15" hidden="false" customHeight="true" outlineLevel="0" collapsed="false">
      <c r="A269" s="20" t="s">
        <v>663</v>
      </c>
      <c r="B269" s="20" t="s">
        <v>181</v>
      </c>
      <c r="C269" s="19" t="str">
        <f aca="false">IFERROR(INDEX('قائمة الوحدات'!$B$2:$B$41,MATCH($B269,'قائمة الوحدات'!$A$2:$A$41,0)),"")</f>
        <v>EXE</v>
      </c>
      <c r="D269" s="18" t="str">
        <f aca="false">IFERROR(INDEX('قائمة الوحدات'!$C$2:$C$41,MATCH($B269,'قائمة الوحدات'!$A$2:$A$41,0)),"")</f>
        <v>الشؤون التنفيذية</v>
      </c>
      <c r="E269" s="18" t="str">
        <f aca="false">IFERROR(INDEX('قائمة الوحدات'!$D$2:$D$41,MATCH($B269,'قائمة الوحدات'!$A$2:$A$41,0)),"")</f>
        <v>وكالة الخدمات المساندة</v>
      </c>
      <c r="F269" s="18" t="str">
        <f aca="false">IFERROR(INDEX('قائمة الوحدات'!$F$2:$F$41,MATCH($B269,'قائمة الوحدات'!$A$2:$A$41,0)),"")</f>
        <v>الإدارة العامة للشؤون المالية</v>
      </c>
      <c r="G269" s="20" t="s">
        <v>66</v>
      </c>
      <c r="H269" s="18" t="str">
        <f aca="false">IFERROR(INDEX(المرجع!$A$2:$A$19,MATCH($G269,المرجع!$B$2:$B$19,0)),"")</f>
        <v>التشغيل</v>
      </c>
      <c r="I269" s="20" t="s">
        <v>57</v>
      </c>
      <c r="J269" s="18" t="str">
        <f aca="false">IFERROR(INDEX(المرجع!$D$2:$D$19,MATCH($I269,المرجع!$E$2:$E$19,0)),"")</f>
        <v>الموارد</v>
      </c>
      <c r="K269" s="20" t="s">
        <v>130</v>
      </c>
      <c r="L269" s="21" t="str">
        <f aca="false">IFERROR(INDEX('نقاط التحقق'!$G$2:$G$31,MATCH($K269,'نقاط التحقق'!$A$2:$A$31,0))&amp;"","")</f>
        <v>موارد مستكملة للحد الأدنى الذي يغطي كافة محاور سلسلة القيمة</v>
      </c>
      <c r="M269" s="18" t="str">
        <f aca="false">IFERROR(INDEX('نقاط التحقق'!$H$2:$H$31,MATCH($K269,'نقاط التحقق'!$A$2:$A$31,0))&amp;"","")</f>
        <v/>
      </c>
      <c r="N269" s="17" t="n">
        <v>36</v>
      </c>
      <c r="O269" s="17" t="n">
        <v>85</v>
      </c>
      <c r="P269" s="19" t="str">
        <f aca="false">IF($N269="","غير مقيّمة",IF($N269&gt;المرجع!$K$3,"مستوفاة بشكل متقدم",IF($N269&lt;=المرجع!$K$2,"مستوفاة بشكل أولي","مستوفاة بشكل جزئي")))</f>
        <v>مستوفاة بشكل جزئي</v>
      </c>
      <c r="Q269" s="22" t="s">
        <v>634</v>
      </c>
    </row>
    <row r="270" customFormat="false" ht="15" hidden="false" customHeight="true" outlineLevel="0" collapsed="false">
      <c r="A270" s="20" t="s">
        <v>664</v>
      </c>
      <c r="B270" s="20" t="s">
        <v>181</v>
      </c>
      <c r="C270" s="19" t="str">
        <f aca="false">IFERROR(INDEX('قائمة الوحدات'!$B$2:$B$41,MATCH($B270,'قائمة الوحدات'!$A$2:$A$41,0)),"")</f>
        <v>EXE</v>
      </c>
      <c r="D270" s="18" t="str">
        <f aca="false">IFERROR(INDEX('قائمة الوحدات'!$C$2:$C$41,MATCH($B270,'قائمة الوحدات'!$A$2:$A$41,0)),"")</f>
        <v>الشؤون التنفيذية</v>
      </c>
      <c r="E270" s="18" t="str">
        <f aca="false">IFERROR(INDEX('قائمة الوحدات'!$D$2:$D$41,MATCH($B270,'قائمة الوحدات'!$A$2:$A$41,0)),"")</f>
        <v>وكالة الخدمات المساندة</v>
      </c>
      <c r="F270" s="18" t="str">
        <f aca="false">IFERROR(INDEX('قائمة الوحدات'!$F$2:$F$41,MATCH($B270,'قائمة الوحدات'!$A$2:$A$41,0)),"")</f>
        <v>الإدارة العامة للشؤون المالية</v>
      </c>
      <c r="G270" s="20" t="s">
        <v>66</v>
      </c>
      <c r="H270" s="18" t="str">
        <f aca="false">IFERROR(INDEX(المرجع!$A$2:$A$19,MATCH($G270,المرجع!$B$2:$B$19,0)),"")</f>
        <v>التشغيل</v>
      </c>
      <c r="I270" s="20" t="s">
        <v>60</v>
      </c>
      <c r="J270" s="18" t="str">
        <f aca="false">IFERROR(INDEX(المرجع!$D$2:$D$19,MATCH($I270,المرجع!$E$2:$E$19,0)),"")</f>
        <v>الإجراءات</v>
      </c>
      <c r="K270" s="20" t="s">
        <v>132</v>
      </c>
      <c r="L270" s="21" t="str">
        <f aca="false">IFERROR(INDEX('نقاط التحقق'!$G$2:$G$31,MATCH($K270,'نقاط التحقق'!$A$2:$A$31,0))&amp;"","")</f>
        <v>تحقيق تقييم "مطبق بشكل كامل" من منهجية تقييم فعالية الإجراءات</v>
      </c>
      <c r="M270" s="18" t="str">
        <f aca="false">IFERROR(INDEX('نقاط التحقق'!$H$2:$H$31,MATCH($K270,'نقاط التحقق'!$A$2:$A$31,0))&amp;"","")</f>
        <v/>
      </c>
      <c r="N270" s="17" t="n">
        <v>32</v>
      </c>
      <c r="O270" s="17" t="n">
        <v>90</v>
      </c>
      <c r="P270" s="19" t="str">
        <f aca="false">IF($N270="","غير مقيّمة",IF($N270&gt;المرجع!$K$3,"مستوفاة بشكل متقدم",IF($N270&lt;=المرجع!$K$2,"مستوفاة بشكل أولي","مستوفاة بشكل جزئي")))</f>
        <v>مستوفاة بشكل جزئي</v>
      </c>
      <c r="Q270" s="22" t="s">
        <v>634</v>
      </c>
    </row>
    <row r="271" customFormat="false" ht="15" hidden="false" customHeight="true" outlineLevel="0" collapsed="false">
      <c r="A271" s="20" t="s">
        <v>665</v>
      </c>
      <c r="B271" s="20" t="s">
        <v>181</v>
      </c>
      <c r="C271" s="19" t="str">
        <f aca="false">IFERROR(INDEX('قائمة الوحدات'!$B$2:$B$41,MATCH($B271,'قائمة الوحدات'!$A$2:$A$41,0)),"")</f>
        <v>EXE</v>
      </c>
      <c r="D271" s="18" t="str">
        <f aca="false">IFERROR(INDEX('قائمة الوحدات'!$C$2:$C$41,MATCH($B271,'قائمة الوحدات'!$A$2:$A$41,0)),"")</f>
        <v>الشؤون التنفيذية</v>
      </c>
      <c r="E271" s="18" t="str">
        <f aca="false">IFERROR(INDEX('قائمة الوحدات'!$D$2:$D$41,MATCH($B271,'قائمة الوحدات'!$A$2:$A$41,0)),"")</f>
        <v>وكالة الخدمات المساندة</v>
      </c>
      <c r="F271" s="18" t="str">
        <f aca="false">IFERROR(INDEX('قائمة الوحدات'!$F$2:$F$41,MATCH($B271,'قائمة الوحدات'!$A$2:$A$41,0)),"")</f>
        <v>الإدارة العامة للشؤون المالية</v>
      </c>
      <c r="G271" s="20" t="s">
        <v>66</v>
      </c>
      <c r="H271" s="18" t="str">
        <f aca="false">IFERROR(INDEX(المرجع!$A$2:$A$19,MATCH($G271,المرجع!$B$2:$B$19,0)),"")</f>
        <v>التشغيل</v>
      </c>
      <c r="I271" s="20" t="s">
        <v>71</v>
      </c>
      <c r="J271" s="18" t="str">
        <f aca="false">IFERROR(INDEX(المرجع!$D$2:$D$19,MATCH($I271,المرجع!$E$2:$E$19,0)),"")</f>
        <v>اكتمال المخرجات المستهدفة</v>
      </c>
      <c r="K271" s="20" t="s">
        <v>134</v>
      </c>
      <c r="L271" s="21" t="str">
        <f aca="false">IFERROR(INDEX('نقاط التحقق'!$G$2:$G$31,MATCH($K271,'نقاط التحقق'!$A$2:$A$31,0))&amp;"","")</f>
        <v>اكتمال مخرجات النموذج التشغيلي المستهدف للوحدة التنظيمية</v>
      </c>
      <c r="M271" s="18" t="str">
        <f aca="false">IFERROR(INDEX('نقاط التحقق'!$H$2:$H$31,MATCH($K271,'نقاط التحقق'!$A$2:$A$31,0))&amp;"","")</f>
        <v/>
      </c>
      <c r="N271" s="17" t="n">
        <v>57</v>
      </c>
      <c r="O271" s="17" t="n">
        <v>100</v>
      </c>
      <c r="P271" s="19" t="str">
        <f aca="false">IF($N271="","غير مقيّمة",IF($N271&gt;المرجع!$K$3,"مستوفاة بشكل متقدم",IF($N271&lt;=المرجع!$K$2,"مستوفاة بشكل أولي","مستوفاة بشكل جزئي")))</f>
        <v>مستوفاة بشكل جزئي</v>
      </c>
      <c r="Q271" s="22" t="s">
        <v>634</v>
      </c>
    </row>
    <row r="272" customFormat="false" ht="15" hidden="false" customHeight="true" outlineLevel="0" collapsed="false">
      <c r="A272" s="20" t="s">
        <v>666</v>
      </c>
      <c r="B272" s="20" t="s">
        <v>183</v>
      </c>
      <c r="C272" s="19" t="str">
        <f aca="false">IFERROR(INDEX('قائمة الوحدات'!$B$2:$B$41,MATCH($B272,'قائمة الوحدات'!$A$2:$A$41,0)),"")</f>
        <v>EXE</v>
      </c>
      <c r="D272" s="18" t="str">
        <f aca="false">IFERROR(INDEX('قائمة الوحدات'!$C$2:$C$41,MATCH($B272,'قائمة الوحدات'!$A$2:$A$41,0)),"")</f>
        <v>الشؤون التنفيذية</v>
      </c>
      <c r="E272" s="18" t="str">
        <f aca="false">IFERROR(INDEX('قائمة الوحدات'!$D$2:$D$41,MATCH($B272,'قائمة الوحدات'!$A$2:$A$41,0)),"")</f>
        <v>وكالة الخدمات المساندة</v>
      </c>
      <c r="F272" s="18" t="str">
        <f aca="false">IFERROR(INDEX('قائمة الوحدات'!$F$2:$F$41,MATCH($B272,'قائمة الوحدات'!$A$2:$A$41,0)),"")</f>
        <v>الإدارة العامة لتقنية المعلومات</v>
      </c>
      <c r="G272" s="20" t="s">
        <v>44</v>
      </c>
      <c r="H272" s="18" t="str">
        <f aca="false">IFERROR(INDEX(المرجع!$A$2:$A$19,MATCH($G272,المرجع!$B$2:$B$19,0)),"")</f>
        <v>التصميم</v>
      </c>
      <c r="I272" s="20" t="s">
        <v>46</v>
      </c>
      <c r="J272" s="18" t="str">
        <f aca="false">IFERROR(INDEX(المرجع!$D$2:$D$19,MATCH($I272,المرجع!$E$2:$E$19,0)),"")</f>
        <v>الدور</v>
      </c>
      <c r="K272" s="20" t="s">
        <v>76</v>
      </c>
      <c r="L272" s="21" t="str">
        <f aca="false">IFERROR(INDEX('نقاط التحقق'!$G$2:$G$31,MATCH($K272,'نقاط التحقق'!$A$2:$A$31,0))&amp;"","")</f>
        <v>دور مفصل للوحدة التنظيمية</v>
      </c>
      <c r="M272" s="18" t="str">
        <f aca="false">IFERROR(INDEX('نقاط التحقق'!$H$2:$H$31,MATCH($K272,'نقاط التحقق'!$A$2:$A$31,0))&amp;"","")</f>
        <v/>
      </c>
      <c r="N272" s="17" t="n">
        <v>85</v>
      </c>
      <c r="O272" s="17" t="n">
        <v>85</v>
      </c>
      <c r="P272" s="19" t="str">
        <f aca="false">IF($N272="","غير مقيّمة",IF($N272&gt;المرجع!$K$3,"مستوفاة بشكل متقدم",IF($N272&lt;=المرجع!$K$2,"مستوفاة بشكل أولي","مستوفاة بشكل جزئي")))</f>
        <v>مستوفاة بشكل متقدم</v>
      </c>
      <c r="Q272" s="22" t="s">
        <v>634</v>
      </c>
    </row>
    <row r="273" customFormat="false" ht="15" hidden="false" customHeight="true" outlineLevel="0" collapsed="false">
      <c r="A273" s="20" t="s">
        <v>667</v>
      </c>
      <c r="B273" s="20" t="s">
        <v>183</v>
      </c>
      <c r="C273" s="19" t="str">
        <f aca="false">IFERROR(INDEX('قائمة الوحدات'!$B$2:$B$41,MATCH($B273,'قائمة الوحدات'!$A$2:$A$41,0)),"")</f>
        <v>EXE</v>
      </c>
      <c r="D273" s="18" t="str">
        <f aca="false">IFERROR(INDEX('قائمة الوحدات'!$C$2:$C$41,MATCH($B273,'قائمة الوحدات'!$A$2:$A$41,0)),"")</f>
        <v>الشؤون التنفيذية</v>
      </c>
      <c r="E273" s="18" t="str">
        <f aca="false">IFERROR(INDEX('قائمة الوحدات'!$D$2:$D$41,MATCH($B273,'قائمة الوحدات'!$A$2:$A$41,0)),"")</f>
        <v>وكالة الخدمات المساندة</v>
      </c>
      <c r="F273" s="18" t="str">
        <f aca="false">IFERROR(INDEX('قائمة الوحدات'!$F$2:$F$41,MATCH($B273,'قائمة الوحدات'!$A$2:$A$41,0)),"")</f>
        <v>الإدارة العامة لتقنية المعلومات</v>
      </c>
      <c r="G273" s="20" t="s">
        <v>44</v>
      </c>
      <c r="H273" s="18" t="str">
        <f aca="false">IFERROR(INDEX(المرجع!$A$2:$A$19,MATCH($G273,المرجع!$B$2:$B$19,0)),"")</f>
        <v>التصميم</v>
      </c>
      <c r="I273" s="20" t="s">
        <v>49</v>
      </c>
      <c r="J273" s="18" t="str">
        <f aca="false">IFERROR(INDEX(المرجع!$D$2:$D$19,MATCH($I273,المرجع!$E$2:$E$19,0)),"")</f>
        <v>الأهداف ومؤشرات الأداء</v>
      </c>
      <c r="K273" s="20" t="s">
        <v>78</v>
      </c>
      <c r="L273" s="21" t="str">
        <f aca="false">IFERROR(INDEX('نقاط التحقق'!$G$2:$G$31,MATCH($K273,'نقاط التحقق'!$A$2:$A$31,0))&amp;"","")</f>
        <v>أهداف محددة للوحدة التنظيمية وربطها بمؤشرات أداء لقياسها</v>
      </c>
      <c r="M273" s="18" t="str">
        <f aca="false">IFERROR(INDEX('نقاط التحقق'!$H$2:$H$31,MATCH($K273,'نقاط التحقق'!$A$2:$A$31,0))&amp;"","")</f>
        <v/>
      </c>
      <c r="N273" s="17" t="n">
        <v>70</v>
      </c>
      <c r="O273" s="17" t="n">
        <v>100</v>
      </c>
      <c r="P273" s="19" t="str">
        <f aca="false">IF($N273="","غير مقيّمة",IF($N273&gt;المرجع!$K$3,"مستوفاة بشكل متقدم",IF($N273&lt;=المرجع!$K$2,"مستوفاة بشكل أولي","مستوفاة بشكل جزئي")))</f>
        <v>مستوفاة بشكل جزئي</v>
      </c>
      <c r="Q273" s="22" t="s">
        <v>634</v>
      </c>
    </row>
    <row r="274" customFormat="false" ht="15" hidden="false" customHeight="true" outlineLevel="0" collapsed="false">
      <c r="A274" s="20" t="s">
        <v>668</v>
      </c>
      <c r="B274" s="20" t="s">
        <v>183</v>
      </c>
      <c r="C274" s="19" t="str">
        <f aca="false">IFERROR(INDEX('قائمة الوحدات'!$B$2:$B$41,MATCH($B274,'قائمة الوحدات'!$A$2:$A$41,0)),"")</f>
        <v>EXE</v>
      </c>
      <c r="D274" s="18" t="str">
        <f aca="false">IFERROR(INDEX('قائمة الوحدات'!$C$2:$C$41,MATCH($B274,'قائمة الوحدات'!$A$2:$A$41,0)),"")</f>
        <v>الشؤون التنفيذية</v>
      </c>
      <c r="E274" s="18" t="str">
        <f aca="false">IFERROR(INDEX('قائمة الوحدات'!$D$2:$D$41,MATCH($B274,'قائمة الوحدات'!$A$2:$A$41,0)),"")</f>
        <v>وكالة الخدمات المساندة</v>
      </c>
      <c r="F274" s="18" t="str">
        <f aca="false">IFERROR(INDEX('قائمة الوحدات'!$F$2:$F$41,MATCH($B274,'قائمة الوحدات'!$A$2:$A$41,0)),"")</f>
        <v>الإدارة العامة لتقنية المعلومات</v>
      </c>
      <c r="G274" s="20" t="s">
        <v>44</v>
      </c>
      <c r="H274" s="18" t="str">
        <f aca="false">IFERROR(INDEX(المرجع!$A$2:$A$19,MATCH($G274,المرجع!$B$2:$B$19,0)),"")</f>
        <v>التصميم</v>
      </c>
      <c r="I274" s="20" t="s">
        <v>49</v>
      </c>
      <c r="J274" s="18" t="str">
        <f aca="false">IFERROR(INDEX(المرجع!$D$2:$D$19,MATCH($I274,المرجع!$E$2:$E$19,0)),"")</f>
        <v>الأهداف ومؤشرات الأداء</v>
      </c>
      <c r="K274" s="20" t="s">
        <v>80</v>
      </c>
      <c r="L274" s="21" t="str">
        <f aca="false">IFERROR(INDEX('نقاط التحقق'!$G$2:$G$31,MATCH($K274,'نقاط التحقق'!$A$2:$A$31,0))&amp;"","")</f>
        <v>مؤشرات أداء الوحدة التنظيمية</v>
      </c>
      <c r="M274" s="18" t="str">
        <f aca="false">IFERROR(INDEX('نقاط التحقق'!$H$2:$H$31,MATCH($K274,'نقاط التحقق'!$A$2:$A$31,0))&amp;"","")</f>
        <v/>
      </c>
      <c r="N274" s="17" t="n">
        <v>65</v>
      </c>
      <c r="O274" s="17" t="n">
        <v>100</v>
      </c>
      <c r="P274" s="19" t="str">
        <f aca="false">IF($N274="","غير مقيّمة",IF($N274&gt;المرجع!$K$3,"مستوفاة بشكل متقدم",IF($N274&lt;=المرجع!$K$2,"مستوفاة بشكل أولي","مستوفاة بشكل جزئي")))</f>
        <v>مستوفاة بشكل جزئي</v>
      </c>
      <c r="Q274" s="22" t="s">
        <v>634</v>
      </c>
    </row>
    <row r="275" customFormat="false" ht="15" hidden="false" customHeight="true" outlineLevel="0" collapsed="false">
      <c r="A275" s="20" t="s">
        <v>669</v>
      </c>
      <c r="B275" s="20" t="s">
        <v>183</v>
      </c>
      <c r="C275" s="19" t="str">
        <f aca="false">IFERROR(INDEX('قائمة الوحدات'!$B$2:$B$41,MATCH($B275,'قائمة الوحدات'!$A$2:$A$41,0)),"")</f>
        <v>EXE</v>
      </c>
      <c r="D275" s="18" t="str">
        <f aca="false">IFERROR(INDEX('قائمة الوحدات'!$C$2:$C$41,MATCH($B275,'قائمة الوحدات'!$A$2:$A$41,0)),"")</f>
        <v>الشؤون التنفيذية</v>
      </c>
      <c r="E275" s="18" t="str">
        <f aca="false">IFERROR(INDEX('قائمة الوحدات'!$D$2:$D$41,MATCH($B275,'قائمة الوحدات'!$A$2:$A$41,0)),"")</f>
        <v>وكالة الخدمات المساندة</v>
      </c>
      <c r="F275" s="18" t="str">
        <f aca="false">IFERROR(INDEX('قائمة الوحدات'!$F$2:$F$41,MATCH($B275,'قائمة الوحدات'!$A$2:$A$41,0)),"")</f>
        <v>الإدارة العامة لتقنية المعلومات</v>
      </c>
      <c r="G275" s="20" t="s">
        <v>44</v>
      </c>
      <c r="H275" s="18" t="str">
        <f aca="false">IFERROR(INDEX(المرجع!$A$2:$A$19,MATCH($G275,المرجع!$B$2:$B$19,0)),"")</f>
        <v>التصميم</v>
      </c>
      <c r="I275" s="20" t="s">
        <v>52</v>
      </c>
      <c r="J275" s="18" t="str">
        <f aca="false">IFERROR(INDEX(المرجع!$D$2:$D$19,MATCH($I275,المرجع!$E$2:$E$19,0)),"")</f>
        <v>الحوكمة</v>
      </c>
      <c r="K275" s="20" t="s">
        <v>82</v>
      </c>
      <c r="L275" s="21" t="str">
        <f aca="false">IFERROR(INDEX('نقاط التحقق'!$G$2:$G$31,MATCH($K275,'نقاط التحقق'!$A$2:$A$31,0))&amp;"","")</f>
        <v>تفصيل القرارات ومصفوفة الصلاحيات واللجان ذات العلاقة لاعتماد مخرجات الوحدة التنظيمية</v>
      </c>
      <c r="M275" s="18" t="str">
        <f aca="false">IFERROR(INDEX('نقاط التحقق'!$H$2:$H$31,MATCH($K275,'نقاط التحقق'!$A$2:$A$31,0))&amp;"","")</f>
        <v/>
      </c>
      <c r="N275" s="17" t="n">
        <v>69</v>
      </c>
      <c r="O275" s="17" t="n">
        <v>90</v>
      </c>
      <c r="P275" s="19" t="str">
        <f aca="false">IF($N275="","غير مقيّمة",IF($N275&gt;المرجع!$K$3,"مستوفاة بشكل متقدم",IF($N275&lt;=المرجع!$K$2,"مستوفاة بشكل أولي","مستوفاة بشكل جزئي")))</f>
        <v>مستوفاة بشكل جزئي</v>
      </c>
      <c r="Q275" s="22" t="s">
        <v>634</v>
      </c>
    </row>
    <row r="276" customFormat="false" ht="15" hidden="false" customHeight="true" outlineLevel="0" collapsed="false">
      <c r="A276" s="20" t="s">
        <v>670</v>
      </c>
      <c r="B276" s="20" t="s">
        <v>183</v>
      </c>
      <c r="C276" s="19" t="str">
        <f aca="false">IFERROR(INDEX('قائمة الوحدات'!$B$2:$B$41,MATCH($B276,'قائمة الوحدات'!$A$2:$A$41,0)),"")</f>
        <v>EXE</v>
      </c>
      <c r="D276" s="18" t="str">
        <f aca="false">IFERROR(INDEX('قائمة الوحدات'!$C$2:$C$41,MATCH($B276,'قائمة الوحدات'!$A$2:$A$41,0)),"")</f>
        <v>الشؤون التنفيذية</v>
      </c>
      <c r="E276" s="18" t="str">
        <f aca="false">IFERROR(INDEX('قائمة الوحدات'!$D$2:$D$41,MATCH($B276,'قائمة الوحدات'!$A$2:$A$41,0)),"")</f>
        <v>وكالة الخدمات المساندة</v>
      </c>
      <c r="F276" s="18" t="str">
        <f aca="false">IFERROR(INDEX('قائمة الوحدات'!$F$2:$F$41,MATCH($B276,'قائمة الوحدات'!$A$2:$A$41,0)),"")</f>
        <v>الإدارة العامة لتقنية المعلومات</v>
      </c>
      <c r="G276" s="20" t="s">
        <v>44</v>
      </c>
      <c r="H276" s="18" t="str">
        <f aca="false">IFERROR(INDEX(المرجع!$A$2:$A$19,MATCH($G276,المرجع!$B$2:$B$19,0)),"")</f>
        <v>التصميم</v>
      </c>
      <c r="I276" s="20" t="s">
        <v>55</v>
      </c>
      <c r="J276" s="18" t="str">
        <f aca="false">IFERROR(INDEX(المرجع!$D$2:$D$19,MATCH($I276,المرجع!$E$2:$E$19,0)),"")</f>
        <v>التنظيم</v>
      </c>
      <c r="K276" s="20" t="s">
        <v>84</v>
      </c>
      <c r="L276" s="21" t="str">
        <f aca="false">IFERROR(INDEX('نقاط التحقق'!$G$2:$G$31,MATCH($K276,'نقاط التحقق'!$A$2:$A$31,0))&amp;"","")</f>
        <v>تطوير الأدوار والمسؤوليات للوحدة التنظيمية وتفصيل الهيكل التنظيمي</v>
      </c>
      <c r="M276" s="18" t="str">
        <f aca="false">IFERROR(INDEX('نقاط التحقق'!$H$2:$H$31,MATCH($K276,'نقاط التحقق'!$A$2:$A$31,0))&amp;"","")</f>
        <v/>
      </c>
      <c r="N276" s="17" t="n">
        <v>71</v>
      </c>
      <c r="O276" s="17" t="n">
        <v>90</v>
      </c>
      <c r="P276" s="19" t="str">
        <f aca="false">IF($N276="","غير مقيّمة",IF($N276&gt;المرجع!$K$3,"مستوفاة بشكل متقدم",IF($N276&lt;=المرجع!$K$2,"مستوفاة بشكل أولي","مستوفاة بشكل جزئي")))</f>
        <v>مستوفاة بشكل متقدم</v>
      </c>
      <c r="Q276" s="22" t="s">
        <v>634</v>
      </c>
    </row>
    <row r="277" customFormat="false" ht="15" hidden="false" customHeight="true" outlineLevel="0" collapsed="false">
      <c r="A277" s="20" t="s">
        <v>671</v>
      </c>
      <c r="B277" s="20" t="s">
        <v>183</v>
      </c>
      <c r="C277" s="19" t="str">
        <f aca="false">IFERROR(INDEX('قائمة الوحدات'!$B$2:$B$41,MATCH($B277,'قائمة الوحدات'!$A$2:$A$41,0)),"")</f>
        <v>EXE</v>
      </c>
      <c r="D277" s="18" t="str">
        <f aca="false">IFERROR(INDEX('قائمة الوحدات'!$C$2:$C$41,MATCH($B277,'قائمة الوحدات'!$A$2:$A$41,0)),"")</f>
        <v>الشؤون التنفيذية</v>
      </c>
      <c r="E277" s="18" t="str">
        <f aca="false">IFERROR(INDEX('قائمة الوحدات'!$D$2:$D$41,MATCH($B277,'قائمة الوحدات'!$A$2:$A$41,0)),"")</f>
        <v>وكالة الخدمات المساندة</v>
      </c>
      <c r="F277" s="18" t="str">
        <f aca="false">IFERROR(INDEX('قائمة الوحدات'!$F$2:$F$41,MATCH($B277,'قائمة الوحدات'!$A$2:$A$41,0)),"")</f>
        <v>الإدارة العامة لتقنية المعلومات</v>
      </c>
      <c r="G277" s="20" t="s">
        <v>44</v>
      </c>
      <c r="H277" s="18" t="str">
        <f aca="false">IFERROR(INDEX(المرجع!$A$2:$A$19,MATCH($G277,المرجع!$B$2:$B$19,0)),"")</f>
        <v>التصميم</v>
      </c>
      <c r="I277" s="20" t="s">
        <v>57</v>
      </c>
      <c r="J277" s="18" t="str">
        <f aca="false">IFERROR(INDEX(المرجع!$D$2:$D$19,MATCH($I277,المرجع!$E$2:$E$19,0)),"")</f>
        <v>الموارد</v>
      </c>
      <c r="K277" s="20" t="s">
        <v>86</v>
      </c>
      <c r="L277" s="21" t="str">
        <f aca="false">IFERROR(INDEX('نقاط التحقق'!$G$2:$G$31,MATCH($K277,'نقاط التحقق'!$A$2:$A$31,0))&amp;"","")</f>
        <v>تفصيل احتياج الموارد البشرية للوحدة التنظيمية</v>
      </c>
      <c r="M277" s="18" t="str">
        <f aca="false">IFERROR(INDEX('نقاط التحقق'!$H$2:$H$31,MATCH($K277,'نقاط التحقق'!$A$2:$A$31,0))&amp;"","")</f>
        <v/>
      </c>
      <c r="N277" s="17" t="n">
        <v>68</v>
      </c>
      <c r="O277" s="17" t="n">
        <v>100</v>
      </c>
      <c r="P277" s="19" t="str">
        <f aca="false">IF($N277="","غير مقيّمة",IF($N277&gt;المرجع!$K$3,"مستوفاة بشكل متقدم",IF($N277&lt;=المرجع!$K$2,"مستوفاة بشكل أولي","مستوفاة بشكل جزئي")))</f>
        <v>مستوفاة بشكل جزئي</v>
      </c>
      <c r="Q277" s="22" t="s">
        <v>634</v>
      </c>
    </row>
    <row r="278" customFormat="false" ht="15" hidden="false" customHeight="true" outlineLevel="0" collapsed="false">
      <c r="A278" s="20" t="s">
        <v>672</v>
      </c>
      <c r="B278" s="20" t="s">
        <v>183</v>
      </c>
      <c r="C278" s="19" t="str">
        <f aca="false">IFERROR(INDEX('قائمة الوحدات'!$B$2:$B$41,MATCH($B278,'قائمة الوحدات'!$A$2:$A$41,0)),"")</f>
        <v>EXE</v>
      </c>
      <c r="D278" s="18" t="str">
        <f aca="false">IFERROR(INDEX('قائمة الوحدات'!$C$2:$C$41,MATCH($B278,'قائمة الوحدات'!$A$2:$A$41,0)),"")</f>
        <v>الشؤون التنفيذية</v>
      </c>
      <c r="E278" s="18" t="str">
        <f aca="false">IFERROR(INDEX('قائمة الوحدات'!$D$2:$D$41,MATCH($B278,'قائمة الوحدات'!$A$2:$A$41,0)),"")</f>
        <v>وكالة الخدمات المساندة</v>
      </c>
      <c r="F278" s="18" t="str">
        <f aca="false">IFERROR(INDEX('قائمة الوحدات'!$F$2:$F$41,MATCH($B278,'قائمة الوحدات'!$A$2:$A$41,0)),"")</f>
        <v>الإدارة العامة لتقنية المعلومات</v>
      </c>
      <c r="G278" s="20" t="s">
        <v>44</v>
      </c>
      <c r="H278" s="18" t="str">
        <f aca="false">IFERROR(INDEX(المرجع!$A$2:$A$19,MATCH($G278,المرجع!$B$2:$B$19,0)),"")</f>
        <v>التصميم</v>
      </c>
      <c r="I278" s="20" t="s">
        <v>60</v>
      </c>
      <c r="J278" s="18" t="str">
        <f aca="false">IFERROR(INDEX(المرجع!$D$2:$D$19,MATCH($I278,المرجع!$E$2:$E$19,0)),"")</f>
        <v>الإجراءات</v>
      </c>
      <c r="K278" s="20" t="s">
        <v>88</v>
      </c>
      <c r="L278" s="21" t="str">
        <f aca="false">IFERROR(INDEX('نقاط التحقق'!$G$2:$G$31,MATCH($K278,'نقاط التحقق'!$A$2:$A$31,0))&amp;"","")</f>
        <v>تفصيل المخرجات إلى إجراءات عالية المستوى</v>
      </c>
      <c r="M278" s="18" t="str">
        <f aca="false">IFERROR(INDEX('نقاط التحقق'!$H$2:$H$31,MATCH($K278,'نقاط التحقق'!$A$2:$A$31,0))&amp;"","")</f>
        <v/>
      </c>
      <c r="N278" s="17" t="n">
        <v>77</v>
      </c>
      <c r="O278" s="17" t="n">
        <v>95</v>
      </c>
      <c r="P278" s="19" t="str">
        <f aca="false">IF($N278="","غير مقيّمة",IF($N278&gt;المرجع!$K$3,"مستوفاة بشكل متقدم",IF($N278&lt;=المرجع!$K$2,"مستوفاة بشكل أولي","مستوفاة بشكل جزئي")))</f>
        <v>مستوفاة بشكل متقدم</v>
      </c>
      <c r="Q278" s="22" t="s">
        <v>634</v>
      </c>
    </row>
    <row r="279" customFormat="false" ht="15" hidden="false" customHeight="true" outlineLevel="0" collapsed="false">
      <c r="A279" s="20" t="s">
        <v>673</v>
      </c>
      <c r="B279" s="20" t="s">
        <v>183</v>
      </c>
      <c r="C279" s="19" t="str">
        <f aca="false">IFERROR(INDEX('قائمة الوحدات'!$B$2:$B$41,MATCH($B279,'قائمة الوحدات'!$A$2:$A$41,0)),"")</f>
        <v>EXE</v>
      </c>
      <c r="D279" s="18" t="str">
        <f aca="false">IFERROR(INDEX('قائمة الوحدات'!$C$2:$C$41,MATCH($B279,'قائمة الوحدات'!$A$2:$A$41,0)),"")</f>
        <v>الشؤون التنفيذية</v>
      </c>
      <c r="E279" s="18" t="str">
        <f aca="false">IFERROR(INDEX('قائمة الوحدات'!$D$2:$D$41,MATCH($B279,'قائمة الوحدات'!$A$2:$A$41,0)),"")</f>
        <v>وكالة الخدمات المساندة</v>
      </c>
      <c r="F279" s="18" t="str">
        <f aca="false">IFERROR(INDEX('قائمة الوحدات'!$F$2:$F$41,MATCH($B279,'قائمة الوحدات'!$A$2:$A$41,0)),"")</f>
        <v>الإدارة العامة لتقنية المعلومات</v>
      </c>
      <c r="G279" s="20" t="s">
        <v>62</v>
      </c>
      <c r="H279" s="18" t="str">
        <f aca="false">IFERROR(INDEX(المرجع!$A$2:$A$19,MATCH($G279,المرجع!$B$2:$B$19,0)),"")</f>
        <v>البناء المؤسسي</v>
      </c>
      <c r="I279" s="20" t="s">
        <v>46</v>
      </c>
      <c r="J279" s="18" t="str">
        <f aca="false">IFERROR(INDEX(المرجع!$D$2:$D$19,MATCH($I279,المرجع!$E$2:$E$19,0)),"")</f>
        <v>الدور</v>
      </c>
      <c r="K279" s="20" t="s">
        <v>90</v>
      </c>
      <c r="L279" s="21" t="str">
        <f aca="false">IFERROR(INDEX('نقاط التحقق'!$G$2:$G$31,MATCH($K279,'نقاط التحقق'!$A$2:$A$31,0))&amp;"","")</f>
        <v>دور معتمد للوحدة التنظيمية</v>
      </c>
      <c r="M279" s="18" t="str">
        <f aca="false">IFERROR(INDEX('نقاط التحقق'!$H$2:$H$31,MATCH($K279,'نقاط التحقق'!$A$2:$A$31,0))&amp;"","")</f>
        <v/>
      </c>
      <c r="N279" s="17" t="n">
        <v>58</v>
      </c>
      <c r="O279" s="17" t="n">
        <v>100</v>
      </c>
      <c r="P279" s="19" t="str">
        <f aca="false">IF($N279="","غير مقيّمة",IF($N279&gt;المرجع!$K$3,"مستوفاة بشكل متقدم",IF($N279&lt;=المرجع!$K$2,"مستوفاة بشكل أولي","مستوفاة بشكل جزئي")))</f>
        <v>مستوفاة بشكل جزئي</v>
      </c>
      <c r="Q279" s="22" t="s">
        <v>634</v>
      </c>
    </row>
    <row r="280" customFormat="false" ht="15" hidden="false" customHeight="true" outlineLevel="0" collapsed="false">
      <c r="A280" s="20" t="s">
        <v>674</v>
      </c>
      <c r="B280" s="20" t="s">
        <v>183</v>
      </c>
      <c r="C280" s="19" t="str">
        <f aca="false">IFERROR(INDEX('قائمة الوحدات'!$B$2:$B$41,MATCH($B280,'قائمة الوحدات'!$A$2:$A$41,0)),"")</f>
        <v>EXE</v>
      </c>
      <c r="D280" s="18" t="str">
        <f aca="false">IFERROR(INDEX('قائمة الوحدات'!$C$2:$C$41,MATCH($B280,'قائمة الوحدات'!$A$2:$A$41,0)),"")</f>
        <v>الشؤون التنفيذية</v>
      </c>
      <c r="E280" s="18" t="str">
        <f aca="false">IFERROR(INDEX('قائمة الوحدات'!$D$2:$D$41,MATCH($B280,'قائمة الوحدات'!$A$2:$A$41,0)),"")</f>
        <v>وكالة الخدمات المساندة</v>
      </c>
      <c r="F280" s="18" t="str">
        <f aca="false">IFERROR(INDEX('قائمة الوحدات'!$F$2:$F$41,MATCH($B280,'قائمة الوحدات'!$A$2:$A$41,0)),"")</f>
        <v>الإدارة العامة لتقنية المعلومات</v>
      </c>
      <c r="G280" s="20" t="s">
        <v>62</v>
      </c>
      <c r="H280" s="18" t="str">
        <f aca="false">IFERROR(INDEX(المرجع!$A$2:$A$19,MATCH($G280,المرجع!$B$2:$B$19,0)),"")</f>
        <v>البناء المؤسسي</v>
      </c>
      <c r="I280" s="20" t="s">
        <v>49</v>
      </c>
      <c r="J280" s="18" t="str">
        <f aca="false">IFERROR(INDEX(المرجع!$D$2:$D$19,MATCH($I280,المرجع!$E$2:$E$19,0)),"")</f>
        <v>الأهداف ومؤشرات الأداء</v>
      </c>
      <c r="K280" s="20" t="s">
        <v>92</v>
      </c>
      <c r="L280" s="21" t="str">
        <f aca="false">IFERROR(INDEX('نقاط التحقق'!$G$2:$G$31,MATCH($K280,'نقاط التحقق'!$A$2:$A$31,0))&amp;"","")</f>
        <v>أهداف تشغيلية معتمدة من صاحب الصلاحية</v>
      </c>
      <c r="M280" s="18" t="str">
        <f aca="false">IFERROR(INDEX('نقاط التحقق'!$H$2:$H$31,MATCH($K280,'نقاط التحقق'!$A$2:$A$31,0))&amp;"","")</f>
        <v/>
      </c>
      <c r="N280" s="17" t="n">
        <v>80</v>
      </c>
      <c r="O280" s="17" t="n">
        <v>85</v>
      </c>
      <c r="P280" s="19" t="str">
        <f aca="false">IF($N280="","غير مقيّمة",IF($N280&gt;المرجع!$K$3,"مستوفاة بشكل متقدم",IF($N280&lt;=المرجع!$K$2,"مستوفاة بشكل أولي","مستوفاة بشكل جزئي")))</f>
        <v>مستوفاة بشكل متقدم</v>
      </c>
      <c r="Q280" s="22" t="s">
        <v>634</v>
      </c>
    </row>
    <row r="281" customFormat="false" ht="15" hidden="false" customHeight="true" outlineLevel="0" collapsed="false">
      <c r="A281" s="20" t="s">
        <v>675</v>
      </c>
      <c r="B281" s="20" t="s">
        <v>183</v>
      </c>
      <c r="C281" s="19" t="str">
        <f aca="false">IFERROR(INDEX('قائمة الوحدات'!$B$2:$B$41,MATCH($B281,'قائمة الوحدات'!$A$2:$A$41,0)),"")</f>
        <v>EXE</v>
      </c>
      <c r="D281" s="18" t="str">
        <f aca="false">IFERROR(INDEX('قائمة الوحدات'!$C$2:$C$41,MATCH($B281,'قائمة الوحدات'!$A$2:$A$41,0)),"")</f>
        <v>الشؤون التنفيذية</v>
      </c>
      <c r="E281" s="18" t="str">
        <f aca="false">IFERROR(INDEX('قائمة الوحدات'!$D$2:$D$41,MATCH($B281,'قائمة الوحدات'!$A$2:$A$41,0)),"")</f>
        <v>وكالة الخدمات المساندة</v>
      </c>
      <c r="F281" s="18" t="str">
        <f aca="false">IFERROR(INDEX('قائمة الوحدات'!$F$2:$F$41,MATCH($B281,'قائمة الوحدات'!$A$2:$A$41,0)),"")</f>
        <v>الإدارة العامة لتقنية المعلومات</v>
      </c>
      <c r="G281" s="20" t="s">
        <v>62</v>
      </c>
      <c r="H281" s="18" t="str">
        <f aca="false">IFERROR(INDEX(المرجع!$A$2:$A$19,MATCH($G281,المرجع!$B$2:$B$19,0)),"")</f>
        <v>البناء المؤسسي</v>
      </c>
      <c r="I281" s="20" t="s">
        <v>49</v>
      </c>
      <c r="J281" s="18" t="str">
        <f aca="false">IFERROR(INDEX(المرجع!$D$2:$D$19,MATCH($I281,المرجع!$E$2:$E$19,0)),"")</f>
        <v>الأهداف ومؤشرات الأداء</v>
      </c>
      <c r="K281" s="20" t="s">
        <v>94</v>
      </c>
      <c r="L281" s="21" t="str">
        <f aca="false">IFERROR(INDEX('نقاط التحقق'!$G$2:$G$31,MATCH($K281,'نقاط التحقق'!$A$2:$A$31,0))&amp;"","")</f>
        <v>نشر الأهداف التشغيلية على موظفي الوحدة التنظيمية</v>
      </c>
      <c r="M281" s="18" t="str">
        <f aca="false">IFERROR(INDEX('نقاط التحقق'!$H$2:$H$31,MATCH($K281,'نقاط التحقق'!$A$2:$A$31,0))&amp;"","")</f>
        <v/>
      </c>
      <c r="N281" s="17" t="n">
        <v>70</v>
      </c>
      <c r="O281" s="17" t="n">
        <v>80</v>
      </c>
      <c r="P281" s="19" t="str">
        <f aca="false">IF($N281="","غير مقيّمة",IF($N281&gt;المرجع!$K$3,"مستوفاة بشكل متقدم",IF($N281&lt;=المرجع!$K$2,"مستوفاة بشكل أولي","مستوفاة بشكل جزئي")))</f>
        <v>مستوفاة بشكل جزئي</v>
      </c>
      <c r="Q281" s="22" t="s">
        <v>634</v>
      </c>
    </row>
    <row r="282" customFormat="false" ht="15" hidden="false" customHeight="true" outlineLevel="0" collapsed="false">
      <c r="A282" s="20" t="s">
        <v>676</v>
      </c>
      <c r="B282" s="20" t="s">
        <v>183</v>
      </c>
      <c r="C282" s="19" t="str">
        <f aca="false">IFERROR(INDEX('قائمة الوحدات'!$B$2:$B$41,MATCH($B282,'قائمة الوحدات'!$A$2:$A$41,0)),"")</f>
        <v>EXE</v>
      </c>
      <c r="D282" s="18" t="str">
        <f aca="false">IFERROR(INDEX('قائمة الوحدات'!$C$2:$C$41,MATCH($B282,'قائمة الوحدات'!$A$2:$A$41,0)),"")</f>
        <v>الشؤون التنفيذية</v>
      </c>
      <c r="E282" s="18" t="str">
        <f aca="false">IFERROR(INDEX('قائمة الوحدات'!$D$2:$D$41,MATCH($B282,'قائمة الوحدات'!$A$2:$A$41,0)),"")</f>
        <v>وكالة الخدمات المساندة</v>
      </c>
      <c r="F282" s="18" t="str">
        <f aca="false">IFERROR(INDEX('قائمة الوحدات'!$F$2:$F$41,MATCH($B282,'قائمة الوحدات'!$A$2:$A$41,0)),"")</f>
        <v>الإدارة العامة لتقنية المعلومات</v>
      </c>
      <c r="G282" s="20" t="s">
        <v>62</v>
      </c>
      <c r="H282" s="18" t="str">
        <f aca="false">IFERROR(INDEX(المرجع!$A$2:$A$19,MATCH($G282,المرجع!$B$2:$B$19,0)),"")</f>
        <v>البناء المؤسسي</v>
      </c>
      <c r="I282" s="20" t="s">
        <v>52</v>
      </c>
      <c r="J282" s="18" t="str">
        <f aca="false">IFERROR(INDEX(المرجع!$D$2:$D$19,MATCH($I282,المرجع!$E$2:$E$19,0)),"")</f>
        <v>الحوكمة</v>
      </c>
      <c r="K282" s="20" t="s">
        <v>96</v>
      </c>
      <c r="L282" s="21" t="str">
        <f aca="false">IFERROR(INDEX('نقاط التحقق'!$G$2:$G$31,MATCH($K282,'نقاط التحقق'!$A$2:$A$31,0))&amp;"","")</f>
        <v>مصفوفة صلاحيات معتمدة ومعممة على أصحاب المصلحة</v>
      </c>
      <c r="M282" s="18" t="str">
        <f aca="false">IFERROR(INDEX('نقاط التحقق'!$H$2:$H$31,MATCH($K282,'نقاط التحقق'!$A$2:$A$31,0))&amp;"","")</f>
        <v/>
      </c>
      <c r="N282" s="17" t="n">
        <v>35</v>
      </c>
      <c r="O282" s="17" t="n">
        <v>100</v>
      </c>
      <c r="P282" s="19" t="str">
        <f aca="false">IF($N282="","غير مقيّمة",IF($N282&gt;المرجع!$K$3,"مستوفاة بشكل متقدم",IF($N282&lt;=المرجع!$K$2,"مستوفاة بشكل أولي","مستوفاة بشكل جزئي")))</f>
        <v>مستوفاة بشكل جزئي</v>
      </c>
      <c r="Q282" s="22" t="s">
        <v>634</v>
      </c>
    </row>
    <row r="283" customFormat="false" ht="15" hidden="false" customHeight="true" outlineLevel="0" collapsed="false">
      <c r="A283" s="20" t="s">
        <v>677</v>
      </c>
      <c r="B283" s="20" t="s">
        <v>183</v>
      </c>
      <c r="C283" s="19" t="str">
        <f aca="false">IFERROR(INDEX('قائمة الوحدات'!$B$2:$B$41,MATCH($B283,'قائمة الوحدات'!$A$2:$A$41,0)),"")</f>
        <v>EXE</v>
      </c>
      <c r="D283" s="18" t="str">
        <f aca="false">IFERROR(INDEX('قائمة الوحدات'!$C$2:$C$41,MATCH($B283,'قائمة الوحدات'!$A$2:$A$41,0)),"")</f>
        <v>الشؤون التنفيذية</v>
      </c>
      <c r="E283" s="18" t="str">
        <f aca="false">IFERROR(INDEX('قائمة الوحدات'!$D$2:$D$41,MATCH($B283,'قائمة الوحدات'!$A$2:$A$41,0)),"")</f>
        <v>وكالة الخدمات المساندة</v>
      </c>
      <c r="F283" s="18" t="str">
        <f aca="false">IFERROR(INDEX('قائمة الوحدات'!$F$2:$F$41,MATCH($B283,'قائمة الوحدات'!$A$2:$A$41,0)),"")</f>
        <v>الإدارة العامة لتقنية المعلومات</v>
      </c>
      <c r="G283" s="20" t="s">
        <v>62</v>
      </c>
      <c r="H283" s="18" t="str">
        <f aca="false">IFERROR(INDEX(المرجع!$A$2:$A$19,MATCH($G283,المرجع!$B$2:$B$19,0)),"")</f>
        <v>البناء المؤسسي</v>
      </c>
      <c r="I283" s="20" t="s">
        <v>52</v>
      </c>
      <c r="J283" s="18" t="str">
        <f aca="false">IFERROR(INDEX(المرجع!$D$2:$D$19,MATCH($I283,المرجع!$E$2:$E$19,0)),"")</f>
        <v>الحوكمة</v>
      </c>
      <c r="K283" s="20" t="s">
        <v>98</v>
      </c>
      <c r="L283" s="21" t="str">
        <f aca="false">IFERROR(INDEX('نقاط التحقق'!$G$2:$G$31,MATCH($K283,'نقاط التحقق'!$A$2:$A$31,0))&amp;"","")</f>
        <v>سياسات معتمدة للتي تملكها الوحدة التنظيمية</v>
      </c>
      <c r="M283" s="18" t="str">
        <f aca="false">IFERROR(INDEX('نقاط التحقق'!$H$2:$H$31,MATCH($K283,'نقاط التحقق'!$A$2:$A$31,0))&amp;"","")</f>
        <v/>
      </c>
      <c r="N283" s="17" t="n">
        <v>45</v>
      </c>
      <c r="O283" s="17" t="n">
        <v>90</v>
      </c>
      <c r="P283" s="19" t="str">
        <f aca="false">IF($N283="","غير مقيّمة",IF($N283&gt;المرجع!$K$3,"مستوفاة بشكل متقدم",IF($N283&lt;=المرجع!$K$2,"مستوفاة بشكل أولي","مستوفاة بشكل جزئي")))</f>
        <v>مستوفاة بشكل جزئي</v>
      </c>
      <c r="Q283" s="22" t="s">
        <v>634</v>
      </c>
    </row>
    <row r="284" customFormat="false" ht="15" hidden="false" customHeight="true" outlineLevel="0" collapsed="false">
      <c r="A284" s="20" t="s">
        <v>678</v>
      </c>
      <c r="B284" s="20" t="s">
        <v>183</v>
      </c>
      <c r="C284" s="19" t="str">
        <f aca="false">IFERROR(INDEX('قائمة الوحدات'!$B$2:$B$41,MATCH($B284,'قائمة الوحدات'!$A$2:$A$41,0)),"")</f>
        <v>EXE</v>
      </c>
      <c r="D284" s="18" t="str">
        <f aca="false">IFERROR(INDEX('قائمة الوحدات'!$C$2:$C$41,MATCH($B284,'قائمة الوحدات'!$A$2:$A$41,0)),"")</f>
        <v>الشؤون التنفيذية</v>
      </c>
      <c r="E284" s="18" t="str">
        <f aca="false">IFERROR(INDEX('قائمة الوحدات'!$D$2:$D$41,MATCH($B284,'قائمة الوحدات'!$A$2:$A$41,0)),"")</f>
        <v>وكالة الخدمات المساندة</v>
      </c>
      <c r="F284" s="18" t="str">
        <f aca="false">IFERROR(INDEX('قائمة الوحدات'!$F$2:$F$41,MATCH($B284,'قائمة الوحدات'!$A$2:$A$41,0)),"")</f>
        <v>الإدارة العامة لتقنية المعلومات</v>
      </c>
      <c r="G284" s="20" t="s">
        <v>62</v>
      </c>
      <c r="H284" s="18" t="str">
        <f aca="false">IFERROR(INDEX(المرجع!$A$2:$A$19,MATCH($G284,المرجع!$B$2:$B$19,0)),"")</f>
        <v>البناء المؤسسي</v>
      </c>
      <c r="I284" s="20" t="s">
        <v>52</v>
      </c>
      <c r="J284" s="18" t="str">
        <f aca="false">IFERROR(INDEX(المرجع!$D$2:$D$19,MATCH($I284,المرجع!$E$2:$E$19,0)),"")</f>
        <v>الحوكمة</v>
      </c>
      <c r="K284" s="20" t="s">
        <v>100</v>
      </c>
      <c r="L284" s="21" t="str">
        <f aca="false">IFERROR(INDEX('نقاط التحقق'!$G$2:$G$31,MATCH($K284,'نقاط التحقق'!$A$2:$A$31,0))&amp;"","")</f>
        <v>قرار تشكيل معتمد للجان ذات العلاقة</v>
      </c>
      <c r="M284" s="18" t="str">
        <f aca="false">IFERROR(INDEX('نقاط التحقق'!$H$2:$H$31,MATCH($K284,'نقاط التحقق'!$A$2:$A$31,0))&amp;"","")</f>
        <v/>
      </c>
      <c r="N284" s="17" t="n">
        <v>65</v>
      </c>
      <c r="O284" s="17" t="n">
        <v>95</v>
      </c>
      <c r="P284" s="19" t="str">
        <f aca="false">IF($N284="","غير مقيّمة",IF($N284&gt;المرجع!$K$3,"مستوفاة بشكل متقدم",IF($N284&lt;=المرجع!$K$2,"مستوفاة بشكل أولي","مستوفاة بشكل جزئي")))</f>
        <v>مستوفاة بشكل جزئي</v>
      </c>
      <c r="Q284" s="22" t="s">
        <v>634</v>
      </c>
    </row>
    <row r="285" customFormat="false" ht="15" hidden="false" customHeight="true" outlineLevel="0" collapsed="false">
      <c r="A285" s="20" t="s">
        <v>679</v>
      </c>
      <c r="B285" s="20" t="s">
        <v>183</v>
      </c>
      <c r="C285" s="19" t="str">
        <f aca="false">IFERROR(INDEX('قائمة الوحدات'!$B$2:$B$41,MATCH($B285,'قائمة الوحدات'!$A$2:$A$41,0)),"")</f>
        <v>EXE</v>
      </c>
      <c r="D285" s="18" t="str">
        <f aca="false">IFERROR(INDEX('قائمة الوحدات'!$C$2:$C$41,MATCH($B285,'قائمة الوحدات'!$A$2:$A$41,0)),"")</f>
        <v>الشؤون التنفيذية</v>
      </c>
      <c r="E285" s="18" t="str">
        <f aca="false">IFERROR(INDEX('قائمة الوحدات'!$D$2:$D$41,MATCH($B285,'قائمة الوحدات'!$A$2:$A$41,0)),"")</f>
        <v>وكالة الخدمات المساندة</v>
      </c>
      <c r="F285" s="18" t="str">
        <f aca="false">IFERROR(INDEX('قائمة الوحدات'!$F$2:$F$41,MATCH($B285,'قائمة الوحدات'!$A$2:$A$41,0)),"")</f>
        <v>الإدارة العامة لتقنية المعلومات</v>
      </c>
      <c r="G285" s="20" t="s">
        <v>62</v>
      </c>
      <c r="H285" s="18" t="str">
        <f aca="false">IFERROR(INDEX(المرجع!$A$2:$A$19,MATCH($G285,المرجع!$B$2:$B$19,0)),"")</f>
        <v>البناء المؤسسي</v>
      </c>
      <c r="I285" s="20" t="s">
        <v>55</v>
      </c>
      <c r="J285" s="18" t="str">
        <f aca="false">IFERROR(INDEX(المرجع!$D$2:$D$19,MATCH($I285,المرجع!$E$2:$E$19,0)),"")</f>
        <v>التنظيم</v>
      </c>
      <c r="K285" s="20" t="s">
        <v>102</v>
      </c>
      <c r="L285" s="21" t="str">
        <f aca="false">IFERROR(INDEX('نقاط التحقق'!$G$2:$G$31,MATCH($K285,'نقاط التحقق'!$A$2:$A$31,0))&amp;"","")</f>
        <v>هيكل تنظيمي معتمد من صاحب الصلاحية</v>
      </c>
      <c r="M285" s="18" t="str">
        <f aca="false">IFERROR(INDEX('نقاط التحقق'!$H$2:$H$31,MATCH($K285,'نقاط التحقق'!$A$2:$A$31,0))&amp;"","")</f>
        <v/>
      </c>
      <c r="N285" s="17" t="n">
        <v>50</v>
      </c>
      <c r="O285" s="17" t="n">
        <v>100</v>
      </c>
      <c r="P285" s="19" t="str">
        <f aca="false">IF($N285="","غير مقيّمة",IF($N285&gt;المرجع!$K$3,"مستوفاة بشكل متقدم",IF($N285&lt;=المرجع!$K$2,"مستوفاة بشكل أولي","مستوفاة بشكل جزئي")))</f>
        <v>مستوفاة بشكل جزئي</v>
      </c>
      <c r="Q285" s="22" t="s">
        <v>634</v>
      </c>
    </row>
    <row r="286" customFormat="false" ht="15" hidden="false" customHeight="true" outlineLevel="0" collapsed="false">
      <c r="A286" s="20" t="s">
        <v>680</v>
      </c>
      <c r="B286" s="20" t="s">
        <v>183</v>
      </c>
      <c r="C286" s="19" t="str">
        <f aca="false">IFERROR(INDEX('قائمة الوحدات'!$B$2:$B$41,MATCH($B286,'قائمة الوحدات'!$A$2:$A$41,0)),"")</f>
        <v>EXE</v>
      </c>
      <c r="D286" s="18" t="str">
        <f aca="false">IFERROR(INDEX('قائمة الوحدات'!$C$2:$C$41,MATCH($B286,'قائمة الوحدات'!$A$2:$A$41,0)),"")</f>
        <v>الشؤون التنفيذية</v>
      </c>
      <c r="E286" s="18" t="str">
        <f aca="false">IFERROR(INDEX('قائمة الوحدات'!$D$2:$D$41,MATCH($B286,'قائمة الوحدات'!$A$2:$A$41,0)),"")</f>
        <v>وكالة الخدمات المساندة</v>
      </c>
      <c r="F286" s="18" t="str">
        <f aca="false">IFERROR(INDEX('قائمة الوحدات'!$F$2:$F$41,MATCH($B286,'قائمة الوحدات'!$A$2:$A$41,0)),"")</f>
        <v>الإدارة العامة لتقنية المعلومات</v>
      </c>
      <c r="G286" s="20" t="s">
        <v>62</v>
      </c>
      <c r="H286" s="18" t="str">
        <f aca="false">IFERROR(INDEX(المرجع!$A$2:$A$19,MATCH($G286,المرجع!$B$2:$B$19,0)),"")</f>
        <v>البناء المؤسسي</v>
      </c>
      <c r="I286" s="20" t="s">
        <v>55</v>
      </c>
      <c r="J286" s="18" t="str">
        <f aca="false">IFERROR(INDEX(المرجع!$D$2:$D$19,MATCH($I286,المرجع!$E$2:$E$19,0)),"")</f>
        <v>التنظيم</v>
      </c>
      <c r="K286" s="20" t="s">
        <v>104</v>
      </c>
      <c r="L286" s="21" t="str">
        <f aca="false">IFERROR(INDEX('نقاط التحقق'!$G$2:$G$31,MATCH($K286,'نقاط التحقق'!$A$2:$A$31,0))&amp;"","")</f>
        <v>هيكل تنظيمي منشأ على نظام القوى العاملة</v>
      </c>
      <c r="M286" s="18" t="str">
        <f aca="false">IFERROR(INDEX('نقاط التحقق'!$H$2:$H$31,MATCH($K286,'نقاط التحقق'!$A$2:$A$31,0))&amp;"","")</f>
        <v/>
      </c>
      <c r="N286" s="17" t="n">
        <v>40</v>
      </c>
      <c r="O286" s="17" t="n">
        <v>100</v>
      </c>
      <c r="P286" s="19" t="str">
        <f aca="false">IF($N286="","غير مقيّمة",IF($N286&gt;المرجع!$K$3,"مستوفاة بشكل متقدم",IF($N286&lt;=المرجع!$K$2,"مستوفاة بشكل أولي","مستوفاة بشكل جزئي")))</f>
        <v>مستوفاة بشكل جزئي</v>
      </c>
      <c r="Q286" s="22" t="s">
        <v>634</v>
      </c>
    </row>
    <row r="287" customFormat="false" ht="15" hidden="false" customHeight="true" outlineLevel="0" collapsed="false">
      <c r="A287" s="20" t="s">
        <v>681</v>
      </c>
      <c r="B287" s="20" t="s">
        <v>183</v>
      </c>
      <c r="C287" s="19" t="str">
        <f aca="false">IFERROR(INDEX('قائمة الوحدات'!$B$2:$B$41,MATCH($B287,'قائمة الوحدات'!$A$2:$A$41,0)),"")</f>
        <v>EXE</v>
      </c>
      <c r="D287" s="18" t="str">
        <f aca="false">IFERROR(INDEX('قائمة الوحدات'!$C$2:$C$41,MATCH($B287,'قائمة الوحدات'!$A$2:$A$41,0)),"")</f>
        <v>الشؤون التنفيذية</v>
      </c>
      <c r="E287" s="18" t="str">
        <f aca="false">IFERROR(INDEX('قائمة الوحدات'!$D$2:$D$41,MATCH($B287,'قائمة الوحدات'!$A$2:$A$41,0)),"")</f>
        <v>وكالة الخدمات المساندة</v>
      </c>
      <c r="F287" s="18" t="str">
        <f aca="false">IFERROR(INDEX('قائمة الوحدات'!$F$2:$F$41,MATCH($B287,'قائمة الوحدات'!$A$2:$A$41,0)),"")</f>
        <v>الإدارة العامة لتقنية المعلومات</v>
      </c>
      <c r="G287" s="20" t="s">
        <v>62</v>
      </c>
      <c r="H287" s="18" t="str">
        <f aca="false">IFERROR(INDEX(المرجع!$A$2:$A$19,MATCH($G287,المرجع!$B$2:$B$19,0)),"")</f>
        <v>البناء المؤسسي</v>
      </c>
      <c r="I287" s="20" t="s">
        <v>55</v>
      </c>
      <c r="J287" s="18" t="str">
        <f aca="false">IFERROR(INDEX(المرجع!$D$2:$D$19,MATCH($I287,المرجع!$E$2:$E$19,0)),"")</f>
        <v>التنظيم</v>
      </c>
      <c r="K287" s="20" t="s">
        <v>106</v>
      </c>
      <c r="L287" s="21" t="str">
        <f aca="false">IFERROR(INDEX('نقاط التحقق'!$G$2:$G$31,MATCH($K287,'نقاط التحقق'!$A$2:$A$31,0))&amp;"","")</f>
        <v>الموظفون المحددون مسكّنون على الهيكل التنظيمي المستهدف</v>
      </c>
      <c r="M287" s="18" t="str">
        <f aca="false">IFERROR(INDEX('نقاط التحقق'!$H$2:$H$31,MATCH($K287,'نقاط التحقق'!$A$2:$A$31,0))&amp;"","")</f>
        <v/>
      </c>
      <c r="N287" s="17" t="n">
        <v>35</v>
      </c>
      <c r="O287" s="17" t="n">
        <v>100</v>
      </c>
      <c r="P287" s="19" t="str">
        <f aca="false">IF($N287="","غير مقيّمة",IF($N287&gt;المرجع!$K$3,"مستوفاة بشكل متقدم",IF($N287&lt;=المرجع!$K$2,"مستوفاة بشكل أولي","مستوفاة بشكل جزئي")))</f>
        <v>مستوفاة بشكل جزئي</v>
      </c>
      <c r="Q287" s="22" t="s">
        <v>634</v>
      </c>
    </row>
    <row r="288" customFormat="false" ht="15" hidden="false" customHeight="true" outlineLevel="0" collapsed="false">
      <c r="A288" s="20" t="s">
        <v>682</v>
      </c>
      <c r="B288" s="20" t="s">
        <v>183</v>
      </c>
      <c r="C288" s="19" t="str">
        <f aca="false">IFERROR(INDEX('قائمة الوحدات'!$B$2:$B$41,MATCH($B288,'قائمة الوحدات'!$A$2:$A$41,0)),"")</f>
        <v>EXE</v>
      </c>
      <c r="D288" s="18" t="str">
        <f aca="false">IFERROR(INDEX('قائمة الوحدات'!$C$2:$C$41,MATCH($B288,'قائمة الوحدات'!$A$2:$A$41,0)),"")</f>
        <v>الشؤون التنفيذية</v>
      </c>
      <c r="E288" s="18" t="str">
        <f aca="false">IFERROR(INDEX('قائمة الوحدات'!$D$2:$D$41,MATCH($B288,'قائمة الوحدات'!$A$2:$A$41,0)),"")</f>
        <v>وكالة الخدمات المساندة</v>
      </c>
      <c r="F288" s="18" t="str">
        <f aca="false">IFERROR(INDEX('قائمة الوحدات'!$F$2:$F$41,MATCH($B288,'قائمة الوحدات'!$A$2:$A$41,0)),"")</f>
        <v>الإدارة العامة لتقنية المعلومات</v>
      </c>
      <c r="G288" s="20" t="s">
        <v>62</v>
      </c>
      <c r="H288" s="18" t="str">
        <f aca="false">IFERROR(INDEX(المرجع!$A$2:$A$19,MATCH($G288,المرجع!$B$2:$B$19,0)),"")</f>
        <v>البناء المؤسسي</v>
      </c>
      <c r="I288" s="20" t="s">
        <v>57</v>
      </c>
      <c r="J288" s="18" t="str">
        <f aca="false">IFERROR(INDEX(المرجع!$D$2:$D$19,MATCH($I288,المرجع!$E$2:$E$19,0)),"")</f>
        <v>الموارد</v>
      </c>
      <c r="K288" s="20" t="s">
        <v>108</v>
      </c>
      <c r="L288" s="21" t="str">
        <f aca="false">IFERROR(INDEX('نقاط التحقق'!$G$2:$G$31,MATCH($K288,'نقاط التحقق'!$A$2:$A$31,0))&amp;"","")</f>
        <v>مدير الوحدة التنظيمية والموظفون الرئيسيون معينون/ملحقون</v>
      </c>
      <c r="M288" s="18" t="str">
        <f aca="false">IFERROR(INDEX('نقاط التحقق'!$H$2:$H$31,MATCH($K288,'نقاط التحقق'!$A$2:$A$31,0))&amp;"","")</f>
        <v/>
      </c>
      <c r="N288" s="17" t="n">
        <v>75</v>
      </c>
      <c r="O288" s="17" t="n">
        <v>100</v>
      </c>
      <c r="P288" s="19" t="str">
        <f aca="false">IF($N288="","غير مقيّمة",IF($N288&gt;المرجع!$K$3,"مستوفاة بشكل متقدم",IF($N288&lt;=المرجع!$K$2,"مستوفاة بشكل أولي","مستوفاة بشكل جزئي")))</f>
        <v>مستوفاة بشكل متقدم</v>
      </c>
      <c r="Q288" s="22" t="s">
        <v>634</v>
      </c>
    </row>
    <row r="289" customFormat="false" ht="15" hidden="false" customHeight="true" outlineLevel="0" collapsed="false">
      <c r="A289" s="20" t="s">
        <v>683</v>
      </c>
      <c r="B289" s="20" t="s">
        <v>183</v>
      </c>
      <c r="C289" s="19" t="str">
        <f aca="false">IFERROR(INDEX('قائمة الوحدات'!$B$2:$B$41,MATCH($B289,'قائمة الوحدات'!$A$2:$A$41,0)),"")</f>
        <v>EXE</v>
      </c>
      <c r="D289" s="18" t="str">
        <f aca="false">IFERROR(INDEX('قائمة الوحدات'!$C$2:$C$41,MATCH($B289,'قائمة الوحدات'!$A$2:$A$41,0)),"")</f>
        <v>الشؤون التنفيذية</v>
      </c>
      <c r="E289" s="18" t="str">
        <f aca="false">IFERROR(INDEX('قائمة الوحدات'!$D$2:$D$41,MATCH($B289,'قائمة الوحدات'!$A$2:$A$41,0)),"")</f>
        <v>وكالة الخدمات المساندة</v>
      </c>
      <c r="F289" s="18" t="str">
        <f aca="false">IFERROR(INDEX('قائمة الوحدات'!$F$2:$F$41,MATCH($B289,'قائمة الوحدات'!$A$2:$A$41,0)),"")</f>
        <v>الإدارة العامة لتقنية المعلومات</v>
      </c>
      <c r="G289" s="20" t="s">
        <v>62</v>
      </c>
      <c r="H289" s="18" t="str">
        <f aca="false">IFERROR(INDEX(المرجع!$A$2:$A$19,MATCH($G289,المرجع!$B$2:$B$19,0)),"")</f>
        <v>البناء المؤسسي</v>
      </c>
      <c r="I289" s="20" t="s">
        <v>57</v>
      </c>
      <c r="J289" s="18" t="str">
        <f aca="false">IFERROR(INDEX(المرجع!$D$2:$D$19,MATCH($I289,المرجع!$E$2:$E$19,0)),"")</f>
        <v>الموارد</v>
      </c>
      <c r="K289" s="20" t="s">
        <v>110</v>
      </c>
      <c r="L289" s="21" t="str">
        <f aca="false">IFERROR(INDEX('نقاط التحقق'!$G$2:$G$31,MATCH($K289,'نقاط التحقق'!$A$2:$A$31,0))&amp;"","")</f>
        <v>خطة توظيف وتدريب مستكملة</v>
      </c>
      <c r="M289" s="18" t="str">
        <f aca="false">IFERROR(INDEX('نقاط التحقق'!$H$2:$H$31,MATCH($K289,'نقاط التحقق'!$A$2:$A$31,0))&amp;"","")</f>
        <v/>
      </c>
      <c r="N289" s="17" t="n">
        <v>90</v>
      </c>
      <c r="O289" s="17" t="n">
        <v>95</v>
      </c>
      <c r="P289" s="19" t="str">
        <f aca="false">IF($N289="","غير مقيّمة",IF($N289&gt;المرجع!$K$3,"مستوفاة بشكل متقدم",IF($N289&lt;=المرجع!$K$2,"مستوفاة بشكل أولي","مستوفاة بشكل جزئي")))</f>
        <v>مستوفاة بشكل متقدم</v>
      </c>
      <c r="Q289" s="22" t="s">
        <v>634</v>
      </c>
    </row>
    <row r="290" customFormat="false" ht="15" hidden="false" customHeight="true" outlineLevel="0" collapsed="false">
      <c r="A290" s="20" t="s">
        <v>684</v>
      </c>
      <c r="B290" s="20" t="s">
        <v>183</v>
      </c>
      <c r="C290" s="19" t="str">
        <f aca="false">IFERROR(INDEX('قائمة الوحدات'!$B$2:$B$41,MATCH($B290,'قائمة الوحدات'!$A$2:$A$41,0)),"")</f>
        <v>EXE</v>
      </c>
      <c r="D290" s="18" t="str">
        <f aca="false">IFERROR(INDEX('قائمة الوحدات'!$C$2:$C$41,MATCH($B290,'قائمة الوحدات'!$A$2:$A$41,0)),"")</f>
        <v>الشؤون التنفيذية</v>
      </c>
      <c r="E290" s="18" t="str">
        <f aca="false">IFERROR(INDEX('قائمة الوحدات'!$D$2:$D$41,MATCH($B290,'قائمة الوحدات'!$A$2:$A$41,0)),"")</f>
        <v>وكالة الخدمات المساندة</v>
      </c>
      <c r="F290" s="18" t="str">
        <f aca="false">IFERROR(INDEX('قائمة الوحدات'!$F$2:$F$41,MATCH($B290,'قائمة الوحدات'!$A$2:$A$41,0)),"")</f>
        <v>الإدارة العامة لتقنية المعلومات</v>
      </c>
      <c r="G290" s="20" t="s">
        <v>62</v>
      </c>
      <c r="H290" s="18" t="str">
        <f aca="false">IFERROR(INDEX(المرجع!$A$2:$A$19,MATCH($G290,المرجع!$B$2:$B$19,0)),"")</f>
        <v>البناء المؤسسي</v>
      </c>
      <c r="I290" s="20" t="s">
        <v>57</v>
      </c>
      <c r="J290" s="18" t="str">
        <f aca="false">IFERROR(INDEX(المرجع!$D$2:$D$19,MATCH($I290,المرجع!$E$2:$E$19,0)),"")</f>
        <v>الموارد</v>
      </c>
      <c r="K290" s="20" t="s">
        <v>112</v>
      </c>
      <c r="L290" s="21" t="str">
        <f aca="false">IFERROR(INDEX('نقاط التحقق'!$G$2:$G$31,MATCH($K290,'نقاط التحقق'!$A$2:$A$31,0))&amp;"","")</f>
        <v>وجود مساحات مكتبية كافية</v>
      </c>
      <c r="M290" s="18" t="str">
        <f aca="false">IFERROR(INDEX('نقاط التحقق'!$H$2:$H$31,MATCH($K290,'نقاط التحقق'!$A$2:$A$31,0))&amp;"","")</f>
        <v/>
      </c>
      <c r="N290" s="17" t="n">
        <v>90</v>
      </c>
      <c r="O290" s="17" t="n">
        <v>100</v>
      </c>
      <c r="P290" s="19" t="str">
        <f aca="false">IF($N290="","غير مقيّمة",IF($N290&gt;المرجع!$K$3,"مستوفاة بشكل متقدم",IF($N290&lt;=المرجع!$K$2,"مستوفاة بشكل أولي","مستوفاة بشكل جزئي")))</f>
        <v>مستوفاة بشكل متقدم</v>
      </c>
      <c r="Q290" s="22" t="s">
        <v>634</v>
      </c>
    </row>
    <row r="291" customFormat="false" ht="15" hidden="false" customHeight="true" outlineLevel="0" collapsed="false">
      <c r="A291" s="20" t="s">
        <v>685</v>
      </c>
      <c r="B291" s="20" t="s">
        <v>183</v>
      </c>
      <c r="C291" s="19" t="str">
        <f aca="false">IFERROR(INDEX('قائمة الوحدات'!$B$2:$B$41,MATCH($B291,'قائمة الوحدات'!$A$2:$A$41,0)),"")</f>
        <v>EXE</v>
      </c>
      <c r="D291" s="18" t="str">
        <f aca="false">IFERROR(INDEX('قائمة الوحدات'!$C$2:$C$41,MATCH($B291,'قائمة الوحدات'!$A$2:$A$41,0)),"")</f>
        <v>الشؤون التنفيذية</v>
      </c>
      <c r="E291" s="18" t="str">
        <f aca="false">IFERROR(INDEX('قائمة الوحدات'!$D$2:$D$41,MATCH($B291,'قائمة الوحدات'!$A$2:$A$41,0)),"")</f>
        <v>وكالة الخدمات المساندة</v>
      </c>
      <c r="F291" s="18" t="str">
        <f aca="false">IFERROR(INDEX('قائمة الوحدات'!$F$2:$F$41,MATCH($B291,'قائمة الوحدات'!$A$2:$A$41,0)),"")</f>
        <v>الإدارة العامة لتقنية المعلومات</v>
      </c>
      <c r="G291" s="20" t="s">
        <v>62</v>
      </c>
      <c r="H291" s="18" t="str">
        <f aca="false">IFERROR(INDEX(المرجع!$A$2:$A$19,MATCH($G291,المرجع!$B$2:$B$19,0)),"")</f>
        <v>البناء المؤسسي</v>
      </c>
      <c r="I291" s="20" t="s">
        <v>57</v>
      </c>
      <c r="J291" s="18" t="str">
        <f aca="false">IFERROR(INDEX(المرجع!$D$2:$D$19,MATCH($I291,المرجع!$E$2:$E$19,0)),"")</f>
        <v>الموارد</v>
      </c>
      <c r="K291" s="20" t="s">
        <v>114</v>
      </c>
      <c r="L291" s="21" t="str">
        <f aca="false">IFERROR(INDEX('نقاط التحقق'!$G$2:$G$31,MATCH($K291,'نقاط التحقق'!$A$2:$A$31,0))&amp;"","")</f>
        <v>وجود الاحتياجات التقنية الأساسية</v>
      </c>
      <c r="M291" s="18" t="str">
        <f aca="false">IFERROR(INDEX('نقاط التحقق'!$H$2:$H$31,MATCH($K291,'نقاط التحقق'!$A$2:$A$31,0))&amp;"","")</f>
        <v/>
      </c>
      <c r="N291" s="17" t="n">
        <v>70</v>
      </c>
      <c r="O291" s="17" t="n">
        <v>100</v>
      </c>
      <c r="P291" s="19" t="str">
        <f aca="false">IF($N291="","غير مقيّمة",IF($N291&gt;المرجع!$K$3,"مستوفاة بشكل متقدم",IF($N291&lt;=المرجع!$K$2,"مستوفاة بشكل أولي","مستوفاة بشكل جزئي")))</f>
        <v>مستوفاة بشكل جزئي</v>
      </c>
      <c r="Q291" s="22" t="s">
        <v>634</v>
      </c>
    </row>
    <row r="292" customFormat="false" ht="15" hidden="false" customHeight="true" outlineLevel="0" collapsed="false">
      <c r="A292" s="20" t="s">
        <v>686</v>
      </c>
      <c r="B292" s="20" t="s">
        <v>183</v>
      </c>
      <c r="C292" s="19" t="str">
        <f aca="false">IFERROR(INDEX('قائمة الوحدات'!$B$2:$B$41,MATCH($B292,'قائمة الوحدات'!$A$2:$A$41,0)),"")</f>
        <v>EXE</v>
      </c>
      <c r="D292" s="18" t="str">
        <f aca="false">IFERROR(INDEX('قائمة الوحدات'!$C$2:$C$41,MATCH($B292,'قائمة الوحدات'!$A$2:$A$41,0)),"")</f>
        <v>الشؤون التنفيذية</v>
      </c>
      <c r="E292" s="18" t="str">
        <f aca="false">IFERROR(INDEX('قائمة الوحدات'!$D$2:$D$41,MATCH($B292,'قائمة الوحدات'!$A$2:$A$41,0)),"")</f>
        <v>وكالة الخدمات المساندة</v>
      </c>
      <c r="F292" s="18" t="str">
        <f aca="false">IFERROR(INDEX('قائمة الوحدات'!$F$2:$F$41,MATCH($B292,'قائمة الوحدات'!$A$2:$A$41,0)),"")</f>
        <v>الإدارة العامة لتقنية المعلومات</v>
      </c>
      <c r="G292" s="20" t="s">
        <v>62</v>
      </c>
      <c r="H292" s="18" t="str">
        <f aca="false">IFERROR(INDEX(المرجع!$A$2:$A$19,MATCH($G292,المرجع!$B$2:$B$19,0)),"")</f>
        <v>البناء المؤسسي</v>
      </c>
      <c r="I292" s="20" t="s">
        <v>60</v>
      </c>
      <c r="J292" s="18" t="str">
        <f aca="false">IFERROR(INDEX(المرجع!$D$2:$D$19,MATCH($I292,المرجع!$E$2:$E$19,0)),"")</f>
        <v>الإجراءات</v>
      </c>
      <c r="K292" s="20" t="s">
        <v>116</v>
      </c>
      <c r="L292" s="21" t="str">
        <f aca="false">IFERROR(INDEX('نقاط التحقق'!$G$2:$G$31,MATCH($K292,'نقاط التحقق'!$A$2:$A$31,0))&amp;"","")</f>
        <v>إجراءات معتمدة للوحدة التنظيمية</v>
      </c>
      <c r="M292" s="18" t="str">
        <f aca="false">IFERROR(INDEX('نقاط التحقق'!$H$2:$H$31,MATCH($K292,'نقاط التحقق'!$A$2:$A$31,0))&amp;"","")</f>
        <v/>
      </c>
      <c r="N292" s="17" t="n">
        <v>74</v>
      </c>
      <c r="O292" s="17" t="n">
        <v>85</v>
      </c>
      <c r="P292" s="19" t="str">
        <f aca="false">IF($N292="","غير مقيّمة",IF($N292&gt;المرجع!$K$3,"مستوفاة بشكل متقدم",IF($N292&lt;=المرجع!$K$2,"مستوفاة بشكل أولي","مستوفاة بشكل جزئي")))</f>
        <v>مستوفاة بشكل متقدم</v>
      </c>
      <c r="Q292" s="22" t="s">
        <v>634</v>
      </c>
    </row>
    <row r="293" customFormat="false" ht="15" hidden="false" customHeight="true" outlineLevel="0" collapsed="false">
      <c r="A293" s="20" t="s">
        <v>687</v>
      </c>
      <c r="B293" s="20" t="s">
        <v>183</v>
      </c>
      <c r="C293" s="19" t="str">
        <f aca="false">IFERROR(INDEX('قائمة الوحدات'!$B$2:$B$41,MATCH($B293,'قائمة الوحدات'!$A$2:$A$41,0)),"")</f>
        <v>EXE</v>
      </c>
      <c r="D293" s="18" t="str">
        <f aca="false">IFERROR(INDEX('قائمة الوحدات'!$C$2:$C$41,MATCH($B293,'قائمة الوحدات'!$A$2:$A$41,0)),"")</f>
        <v>الشؤون التنفيذية</v>
      </c>
      <c r="E293" s="18" t="str">
        <f aca="false">IFERROR(INDEX('قائمة الوحدات'!$D$2:$D$41,MATCH($B293,'قائمة الوحدات'!$A$2:$A$41,0)),"")</f>
        <v>وكالة الخدمات المساندة</v>
      </c>
      <c r="F293" s="18" t="str">
        <f aca="false">IFERROR(INDEX('قائمة الوحدات'!$F$2:$F$41,MATCH($B293,'قائمة الوحدات'!$A$2:$A$41,0)),"")</f>
        <v>الإدارة العامة لتقنية المعلومات</v>
      </c>
      <c r="G293" s="20" t="s">
        <v>62</v>
      </c>
      <c r="H293" s="18" t="str">
        <f aca="false">IFERROR(INDEX(المرجع!$A$2:$A$19,MATCH($G293,المرجع!$B$2:$B$19,0)),"")</f>
        <v>البناء المؤسسي</v>
      </c>
      <c r="I293" s="20" t="s">
        <v>69</v>
      </c>
      <c r="J293" s="18" t="str">
        <f aca="false">IFERROR(INDEX(المرجع!$D$2:$D$19,MATCH($I293,المرجع!$E$2:$E$19,0)),"")</f>
        <v>إنتاج المخرج الأول</v>
      </c>
      <c r="K293" s="20" t="s">
        <v>118</v>
      </c>
      <c r="L293" s="21" t="str">
        <f aca="false">IFERROR(INDEX('نقاط التحقق'!$G$2:$G$31,MATCH($K293,'نقاط التحقق'!$A$2:$A$31,0))&amp;"","")</f>
        <v>إنتاج المخرج الأول من قبل الوحدة التنظيمية</v>
      </c>
      <c r="M293" s="18" t="str">
        <f aca="false">IFERROR(INDEX('نقاط التحقق'!$H$2:$H$31,MATCH($K293,'نقاط التحقق'!$A$2:$A$31,0))&amp;"","")</f>
        <v/>
      </c>
      <c r="N293" s="17" t="n">
        <v>85</v>
      </c>
      <c r="O293" s="17" t="n">
        <v>100</v>
      </c>
      <c r="P293" s="19" t="str">
        <f aca="false">IF($N293="","غير مقيّمة",IF($N293&gt;المرجع!$K$3,"مستوفاة بشكل متقدم",IF($N293&lt;=المرجع!$K$2,"مستوفاة بشكل أولي","مستوفاة بشكل جزئي")))</f>
        <v>مستوفاة بشكل متقدم</v>
      </c>
      <c r="Q293" s="22" t="s">
        <v>634</v>
      </c>
    </row>
    <row r="294" customFormat="false" ht="15" hidden="false" customHeight="true" outlineLevel="0" collapsed="false">
      <c r="A294" s="20" t="s">
        <v>688</v>
      </c>
      <c r="B294" s="20" t="s">
        <v>183</v>
      </c>
      <c r="C294" s="19" t="str">
        <f aca="false">IFERROR(INDEX('قائمة الوحدات'!$B$2:$B$41,MATCH($B294,'قائمة الوحدات'!$A$2:$A$41,0)),"")</f>
        <v>EXE</v>
      </c>
      <c r="D294" s="18" t="str">
        <f aca="false">IFERROR(INDEX('قائمة الوحدات'!$C$2:$C$41,MATCH($B294,'قائمة الوحدات'!$A$2:$A$41,0)),"")</f>
        <v>الشؤون التنفيذية</v>
      </c>
      <c r="E294" s="18" t="str">
        <f aca="false">IFERROR(INDEX('قائمة الوحدات'!$D$2:$D$41,MATCH($B294,'قائمة الوحدات'!$A$2:$A$41,0)),"")</f>
        <v>وكالة الخدمات المساندة</v>
      </c>
      <c r="F294" s="18" t="str">
        <f aca="false">IFERROR(INDEX('قائمة الوحدات'!$F$2:$F$41,MATCH($B294,'قائمة الوحدات'!$A$2:$A$41,0)),"")</f>
        <v>الإدارة العامة لتقنية المعلومات</v>
      </c>
      <c r="G294" s="20" t="s">
        <v>66</v>
      </c>
      <c r="H294" s="18" t="str">
        <f aca="false">IFERROR(INDEX(المرجع!$A$2:$A$19,MATCH($G294,المرجع!$B$2:$B$19,0)),"")</f>
        <v>التشغيل</v>
      </c>
      <c r="I294" s="20" t="s">
        <v>49</v>
      </c>
      <c r="J294" s="18" t="str">
        <f aca="false">IFERROR(INDEX(المرجع!$D$2:$D$19,MATCH($I294,المرجع!$E$2:$E$19,0)),"")</f>
        <v>الأهداف ومؤشرات الأداء</v>
      </c>
      <c r="K294" s="20" t="s">
        <v>120</v>
      </c>
      <c r="L294" s="21" t="str">
        <f aca="false">IFERROR(INDEX('نقاط التحقق'!$G$2:$G$31,MATCH($K294,'نقاط التحقق'!$A$2:$A$31,0))&amp;"","")</f>
        <v>تحرك مؤشرات الأداء التشغيلي للوحدة التنظيمية بشكل إيجابي</v>
      </c>
      <c r="M294" s="18" t="str">
        <f aca="false">IFERROR(INDEX('نقاط التحقق'!$H$2:$H$31,MATCH($K294,'نقاط التحقق'!$A$2:$A$31,0))&amp;"","")</f>
        <v/>
      </c>
      <c r="N294" s="17" t="n">
        <v>55</v>
      </c>
      <c r="O294" s="17" t="n">
        <v>85</v>
      </c>
      <c r="P294" s="19" t="str">
        <f aca="false">IF($N294="","غير مقيّمة",IF($N294&gt;المرجع!$K$3,"مستوفاة بشكل متقدم",IF($N294&lt;=المرجع!$K$2,"مستوفاة بشكل أولي","مستوفاة بشكل جزئي")))</f>
        <v>مستوفاة بشكل جزئي</v>
      </c>
      <c r="Q294" s="22" t="s">
        <v>634</v>
      </c>
    </row>
    <row r="295" customFormat="false" ht="15" hidden="false" customHeight="true" outlineLevel="0" collapsed="false">
      <c r="A295" s="20" t="s">
        <v>689</v>
      </c>
      <c r="B295" s="20" t="s">
        <v>183</v>
      </c>
      <c r="C295" s="19" t="str">
        <f aca="false">IFERROR(INDEX('قائمة الوحدات'!$B$2:$B$41,MATCH($B295,'قائمة الوحدات'!$A$2:$A$41,0)),"")</f>
        <v>EXE</v>
      </c>
      <c r="D295" s="18" t="str">
        <f aca="false">IFERROR(INDEX('قائمة الوحدات'!$C$2:$C$41,MATCH($B295,'قائمة الوحدات'!$A$2:$A$41,0)),"")</f>
        <v>الشؤون التنفيذية</v>
      </c>
      <c r="E295" s="18" t="str">
        <f aca="false">IFERROR(INDEX('قائمة الوحدات'!$D$2:$D$41,MATCH($B295,'قائمة الوحدات'!$A$2:$A$41,0)),"")</f>
        <v>وكالة الخدمات المساندة</v>
      </c>
      <c r="F295" s="18" t="str">
        <f aca="false">IFERROR(INDEX('قائمة الوحدات'!$F$2:$F$41,MATCH($B295,'قائمة الوحدات'!$A$2:$A$41,0)),"")</f>
        <v>الإدارة العامة لتقنية المعلومات</v>
      </c>
      <c r="G295" s="20" t="s">
        <v>66</v>
      </c>
      <c r="H295" s="18" t="str">
        <f aca="false">IFERROR(INDEX(المرجع!$A$2:$A$19,MATCH($G295,المرجع!$B$2:$B$19,0)),"")</f>
        <v>التشغيل</v>
      </c>
      <c r="I295" s="20" t="s">
        <v>49</v>
      </c>
      <c r="J295" s="18" t="str">
        <f aca="false">IFERROR(INDEX(المرجع!$D$2:$D$19,MATCH($I295,المرجع!$E$2:$E$19,0)),"")</f>
        <v>الأهداف ومؤشرات الأداء</v>
      </c>
      <c r="K295" s="20" t="s">
        <v>122</v>
      </c>
      <c r="L295" s="21" t="str">
        <f aca="false">IFERROR(INDEX('نقاط التحقق'!$G$2:$G$31,MATCH($K295,'نقاط التحقق'!$A$2:$A$31,0))&amp;"","")</f>
        <v>خطة سنوية معتمدة للوحدة التنظيمية</v>
      </c>
      <c r="M295" s="18" t="str">
        <f aca="false">IFERROR(INDEX('نقاط التحقق'!$H$2:$H$31,MATCH($K295,'نقاط التحقق'!$A$2:$A$31,0))&amp;"","")</f>
        <v/>
      </c>
      <c r="N295" s="17" t="n">
        <v>70</v>
      </c>
      <c r="O295" s="17" t="n">
        <v>100</v>
      </c>
      <c r="P295" s="19" t="str">
        <f aca="false">IF($N295="","غير مقيّمة",IF($N295&gt;المرجع!$K$3,"مستوفاة بشكل متقدم",IF($N295&lt;=المرجع!$K$2,"مستوفاة بشكل أولي","مستوفاة بشكل جزئي")))</f>
        <v>مستوفاة بشكل جزئي</v>
      </c>
      <c r="Q295" s="22" t="s">
        <v>634</v>
      </c>
    </row>
    <row r="296" customFormat="false" ht="15" hidden="false" customHeight="true" outlineLevel="0" collapsed="false">
      <c r="A296" s="20" t="s">
        <v>690</v>
      </c>
      <c r="B296" s="20" t="s">
        <v>183</v>
      </c>
      <c r="C296" s="19" t="str">
        <f aca="false">IFERROR(INDEX('قائمة الوحدات'!$B$2:$B$41,MATCH($B296,'قائمة الوحدات'!$A$2:$A$41,0)),"")</f>
        <v>EXE</v>
      </c>
      <c r="D296" s="18" t="str">
        <f aca="false">IFERROR(INDEX('قائمة الوحدات'!$C$2:$C$41,MATCH($B296,'قائمة الوحدات'!$A$2:$A$41,0)),"")</f>
        <v>الشؤون التنفيذية</v>
      </c>
      <c r="E296" s="18" t="str">
        <f aca="false">IFERROR(INDEX('قائمة الوحدات'!$D$2:$D$41,MATCH($B296,'قائمة الوحدات'!$A$2:$A$41,0)),"")</f>
        <v>وكالة الخدمات المساندة</v>
      </c>
      <c r="F296" s="18" t="str">
        <f aca="false">IFERROR(INDEX('قائمة الوحدات'!$F$2:$F$41,MATCH($B296,'قائمة الوحدات'!$A$2:$A$41,0)),"")</f>
        <v>الإدارة العامة لتقنية المعلومات</v>
      </c>
      <c r="G296" s="20" t="s">
        <v>66</v>
      </c>
      <c r="H296" s="18" t="str">
        <f aca="false">IFERROR(INDEX(المرجع!$A$2:$A$19,MATCH($G296,المرجع!$B$2:$B$19,0)),"")</f>
        <v>التشغيل</v>
      </c>
      <c r="I296" s="20" t="s">
        <v>52</v>
      </c>
      <c r="J296" s="18" t="str">
        <f aca="false">IFERROR(INDEX(المرجع!$D$2:$D$19,MATCH($I296,المرجع!$E$2:$E$19,0)),"")</f>
        <v>الحوكمة</v>
      </c>
      <c r="K296" s="20" t="s">
        <v>124</v>
      </c>
      <c r="L296" s="21" t="str">
        <f aca="false">IFERROR(INDEX('نقاط التحقق'!$G$2:$G$31,MATCH($K296,'نقاط التحقق'!$A$2:$A$31,0))&amp;"","")</f>
        <v>محاضر لجان موثقة</v>
      </c>
      <c r="M296" s="18" t="str">
        <f aca="false">IFERROR(INDEX('نقاط التحقق'!$H$2:$H$31,MATCH($K296,'نقاط التحقق'!$A$2:$A$31,0))&amp;"","")</f>
        <v/>
      </c>
      <c r="N296" s="17" t="n">
        <v>10</v>
      </c>
      <c r="O296" s="17" t="n">
        <v>100</v>
      </c>
      <c r="P296" s="19" t="str">
        <f aca="false">IF($N296="","غير مقيّمة",IF($N296&gt;المرجع!$K$3,"مستوفاة بشكل متقدم",IF($N296&lt;=المرجع!$K$2,"مستوفاة بشكل أولي","مستوفاة بشكل جزئي")))</f>
        <v>مستوفاة بشكل أولي</v>
      </c>
      <c r="Q296" s="22" t="s">
        <v>634</v>
      </c>
    </row>
    <row r="297" customFormat="false" ht="15" hidden="false" customHeight="true" outlineLevel="0" collapsed="false">
      <c r="A297" s="20" t="s">
        <v>691</v>
      </c>
      <c r="B297" s="20" t="s">
        <v>183</v>
      </c>
      <c r="C297" s="19" t="str">
        <f aca="false">IFERROR(INDEX('قائمة الوحدات'!$B$2:$B$41,MATCH($B297,'قائمة الوحدات'!$A$2:$A$41,0)),"")</f>
        <v>EXE</v>
      </c>
      <c r="D297" s="18" t="str">
        <f aca="false">IFERROR(INDEX('قائمة الوحدات'!$C$2:$C$41,MATCH($B297,'قائمة الوحدات'!$A$2:$A$41,0)),"")</f>
        <v>الشؤون التنفيذية</v>
      </c>
      <c r="E297" s="18" t="str">
        <f aca="false">IFERROR(INDEX('قائمة الوحدات'!$D$2:$D$41,MATCH($B297,'قائمة الوحدات'!$A$2:$A$41,0)),"")</f>
        <v>وكالة الخدمات المساندة</v>
      </c>
      <c r="F297" s="18" t="str">
        <f aca="false">IFERROR(INDEX('قائمة الوحدات'!$F$2:$F$41,MATCH($B297,'قائمة الوحدات'!$A$2:$A$41,0)),"")</f>
        <v>الإدارة العامة لتقنية المعلومات</v>
      </c>
      <c r="G297" s="20" t="s">
        <v>66</v>
      </c>
      <c r="H297" s="18" t="str">
        <f aca="false">IFERROR(INDEX(المرجع!$A$2:$A$19,MATCH($G297,المرجع!$B$2:$B$19,0)),"")</f>
        <v>التشغيل</v>
      </c>
      <c r="I297" s="20" t="s">
        <v>52</v>
      </c>
      <c r="J297" s="18" t="str">
        <f aca="false">IFERROR(INDEX(المرجع!$D$2:$D$19,MATCH($I297,المرجع!$E$2:$E$19,0)),"")</f>
        <v>الحوكمة</v>
      </c>
      <c r="K297" s="20" t="s">
        <v>126</v>
      </c>
      <c r="L297" s="21" t="str">
        <f aca="false">IFERROR(INDEX('نقاط التحقق'!$G$2:$G$31,MATCH($K297,'نقاط التحقق'!$A$2:$A$31,0))&amp;"","")</f>
        <v>نشر السياسات التي تملكها الوحدة التنظيمية</v>
      </c>
      <c r="M297" s="18" t="str">
        <f aca="false">IFERROR(INDEX('نقاط التحقق'!$H$2:$H$31,MATCH($K297,'نقاط التحقق'!$A$2:$A$31,0))&amp;"","")</f>
        <v/>
      </c>
      <c r="N297" s="17" t="n">
        <v>25</v>
      </c>
      <c r="O297" s="17" t="n">
        <v>80</v>
      </c>
      <c r="P297" s="19" t="str">
        <f aca="false">IF($N297="","غير مقيّمة",IF($N297&gt;المرجع!$K$3,"مستوفاة بشكل متقدم",IF($N297&lt;=المرجع!$K$2,"مستوفاة بشكل أولي","مستوفاة بشكل جزئي")))</f>
        <v>مستوفاة بشكل أولي</v>
      </c>
      <c r="Q297" s="22" t="s">
        <v>634</v>
      </c>
    </row>
    <row r="298" customFormat="false" ht="15" hidden="false" customHeight="true" outlineLevel="0" collapsed="false">
      <c r="A298" s="20" t="s">
        <v>692</v>
      </c>
      <c r="B298" s="20" t="s">
        <v>183</v>
      </c>
      <c r="C298" s="19" t="str">
        <f aca="false">IFERROR(INDEX('قائمة الوحدات'!$B$2:$B$41,MATCH($B298,'قائمة الوحدات'!$A$2:$A$41,0)),"")</f>
        <v>EXE</v>
      </c>
      <c r="D298" s="18" t="str">
        <f aca="false">IFERROR(INDEX('قائمة الوحدات'!$C$2:$C$41,MATCH($B298,'قائمة الوحدات'!$A$2:$A$41,0)),"")</f>
        <v>الشؤون التنفيذية</v>
      </c>
      <c r="E298" s="18" t="str">
        <f aca="false">IFERROR(INDEX('قائمة الوحدات'!$D$2:$D$41,MATCH($B298,'قائمة الوحدات'!$A$2:$A$41,0)),"")</f>
        <v>وكالة الخدمات المساندة</v>
      </c>
      <c r="F298" s="18" t="str">
        <f aca="false">IFERROR(INDEX('قائمة الوحدات'!$F$2:$F$41,MATCH($B298,'قائمة الوحدات'!$A$2:$A$41,0)),"")</f>
        <v>الإدارة العامة لتقنية المعلومات</v>
      </c>
      <c r="G298" s="20" t="s">
        <v>66</v>
      </c>
      <c r="H298" s="18" t="str">
        <f aca="false">IFERROR(INDEX(المرجع!$A$2:$A$19,MATCH($G298,المرجع!$B$2:$B$19,0)),"")</f>
        <v>التشغيل</v>
      </c>
      <c r="I298" s="20" t="s">
        <v>52</v>
      </c>
      <c r="J298" s="18" t="str">
        <f aca="false">IFERROR(INDEX(المرجع!$D$2:$D$19,MATCH($I298,المرجع!$E$2:$E$19,0)),"")</f>
        <v>الحوكمة</v>
      </c>
      <c r="K298" s="20" t="s">
        <v>128</v>
      </c>
      <c r="L298" s="21" t="str">
        <f aca="false">IFERROR(INDEX('نقاط التحقق'!$G$2:$G$31,MATCH($K298,'نقاط التحقق'!$A$2:$A$31,0))&amp;"","")</f>
        <v>اتخاذ القرارات في نطاق الصلاحيات (وجود شواهد)</v>
      </c>
      <c r="M298" s="18" t="str">
        <f aca="false">IFERROR(INDEX('نقاط التحقق'!$H$2:$H$31,MATCH($K298,'نقاط التحقق'!$A$2:$A$31,0))&amp;"","")</f>
        <v/>
      </c>
      <c r="N298" s="17" t="n">
        <v>5</v>
      </c>
      <c r="O298" s="17" t="n">
        <v>100</v>
      </c>
      <c r="P298" s="19" t="str">
        <f aca="false">IF($N298="","غير مقيّمة",IF($N298&gt;المرجع!$K$3,"مستوفاة بشكل متقدم",IF($N298&lt;=المرجع!$K$2,"مستوفاة بشكل أولي","مستوفاة بشكل جزئي")))</f>
        <v>مستوفاة بشكل أولي</v>
      </c>
      <c r="Q298" s="22" t="s">
        <v>634</v>
      </c>
    </row>
    <row r="299" customFormat="false" ht="15" hidden="false" customHeight="true" outlineLevel="0" collapsed="false">
      <c r="A299" s="20" t="s">
        <v>693</v>
      </c>
      <c r="B299" s="20" t="s">
        <v>183</v>
      </c>
      <c r="C299" s="19" t="str">
        <f aca="false">IFERROR(INDEX('قائمة الوحدات'!$B$2:$B$41,MATCH($B299,'قائمة الوحدات'!$A$2:$A$41,0)),"")</f>
        <v>EXE</v>
      </c>
      <c r="D299" s="18" t="str">
        <f aca="false">IFERROR(INDEX('قائمة الوحدات'!$C$2:$C$41,MATCH($B299,'قائمة الوحدات'!$A$2:$A$41,0)),"")</f>
        <v>الشؤون التنفيذية</v>
      </c>
      <c r="E299" s="18" t="str">
        <f aca="false">IFERROR(INDEX('قائمة الوحدات'!$D$2:$D$41,MATCH($B299,'قائمة الوحدات'!$A$2:$A$41,0)),"")</f>
        <v>وكالة الخدمات المساندة</v>
      </c>
      <c r="F299" s="18" t="str">
        <f aca="false">IFERROR(INDEX('قائمة الوحدات'!$F$2:$F$41,MATCH($B299,'قائمة الوحدات'!$A$2:$A$41,0)),"")</f>
        <v>الإدارة العامة لتقنية المعلومات</v>
      </c>
      <c r="G299" s="20" t="s">
        <v>66</v>
      </c>
      <c r="H299" s="18" t="str">
        <f aca="false">IFERROR(INDEX(المرجع!$A$2:$A$19,MATCH($G299,المرجع!$B$2:$B$19,0)),"")</f>
        <v>التشغيل</v>
      </c>
      <c r="I299" s="20" t="s">
        <v>57</v>
      </c>
      <c r="J299" s="18" t="str">
        <f aca="false">IFERROR(INDEX(المرجع!$D$2:$D$19,MATCH($I299,المرجع!$E$2:$E$19,0)),"")</f>
        <v>الموارد</v>
      </c>
      <c r="K299" s="20" t="s">
        <v>130</v>
      </c>
      <c r="L299" s="21" t="str">
        <f aca="false">IFERROR(INDEX('نقاط التحقق'!$G$2:$G$31,MATCH($K299,'نقاط التحقق'!$A$2:$A$31,0))&amp;"","")</f>
        <v>موارد مستكملة للحد الأدنى الذي يغطي كافة محاور سلسلة القيمة</v>
      </c>
      <c r="M299" s="18" t="str">
        <f aca="false">IFERROR(INDEX('نقاط التحقق'!$H$2:$H$31,MATCH($K299,'نقاط التحقق'!$A$2:$A$31,0))&amp;"","")</f>
        <v/>
      </c>
      <c r="N299" s="17" t="n">
        <v>46</v>
      </c>
      <c r="O299" s="17" t="n">
        <v>95</v>
      </c>
      <c r="P299" s="19" t="str">
        <f aca="false">IF($N299="","غير مقيّمة",IF($N299&gt;المرجع!$K$3,"مستوفاة بشكل متقدم",IF($N299&lt;=المرجع!$K$2,"مستوفاة بشكل أولي","مستوفاة بشكل جزئي")))</f>
        <v>مستوفاة بشكل جزئي</v>
      </c>
      <c r="Q299" s="22" t="s">
        <v>634</v>
      </c>
    </row>
    <row r="300" customFormat="false" ht="15" hidden="false" customHeight="true" outlineLevel="0" collapsed="false">
      <c r="A300" s="20" t="s">
        <v>694</v>
      </c>
      <c r="B300" s="20" t="s">
        <v>183</v>
      </c>
      <c r="C300" s="19" t="str">
        <f aca="false">IFERROR(INDEX('قائمة الوحدات'!$B$2:$B$41,MATCH($B300,'قائمة الوحدات'!$A$2:$A$41,0)),"")</f>
        <v>EXE</v>
      </c>
      <c r="D300" s="18" t="str">
        <f aca="false">IFERROR(INDEX('قائمة الوحدات'!$C$2:$C$41,MATCH($B300,'قائمة الوحدات'!$A$2:$A$41,0)),"")</f>
        <v>الشؤون التنفيذية</v>
      </c>
      <c r="E300" s="18" t="str">
        <f aca="false">IFERROR(INDEX('قائمة الوحدات'!$D$2:$D$41,MATCH($B300,'قائمة الوحدات'!$A$2:$A$41,0)),"")</f>
        <v>وكالة الخدمات المساندة</v>
      </c>
      <c r="F300" s="18" t="str">
        <f aca="false">IFERROR(INDEX('قائمة الوحدات'!$F$2:$F$41,MATCH($B300,'قائمة الوحدات'!$A$2:$A$41,0)),"")</f>
        <v>الإدارة العامة لتقنية المعلومات</v>
      </c>
      <c r="G300" s="20" t="s">
        <v>66</v>
      </c>
      <c r="H300" s="18" t="str">
        <f aca="false">IFERROR(INDEX(المرجع!$A$2:$A$19,MATCH($G300,المرجع!$B$2:$B$19,0)),"")</f>
        <v>التشغيل</v>
      </c>
      <c r="I300" s="20" t="s">
        <v>60</v>
      </c>
      <c r="J300" s="18" t="str">
        <f aca="false">IFERROR(INDEX(المرجع!$D$2:$D$19,MATCH($I300,المرجع!$E$2:$E$19,0)),"")</f>
        <v>الإجراءات</v>
      </c>
      <c r="K300" s="20" t="s">
        <v>132</v>
      </c>
      <c r="L300" s="21" t="str">
        <f aca="false">IFERROR(INDEX('نقاط التحقق'!$G$2:$G$31,MATCH($K300,'نقاط التحقق'!$A$2:$A$31,0))&amp;"","")</f>
        <v>تحقيق تقييم "مطبق بشكل كامل" من منهجية تقييم فعالية الإجراءات</v>
      </c>
      <c r="M300" s="18" t="str">
        <f aca="false">IFERROR(INDEX('نقاط التحقق'!$H$2:$H$31,MATCH($K300,'نقاط التحقق'!$A$2:$A$31,0))&amp;"","")</f>
        <v/>
      </c>
      <c r="N300" s="17" t="n">
        <v>56</v>
      </c>
      <c r="O300" s="17" t="n">
        <v>100</v>
      </c>
      <c r="P300" s="19" t="str">
        <f aca="false">IF($N300="","غير مقيّمة",IF($N300&gt;المرجع!$K$3,"مستوفاة بشكل متقدم",IF($N300&lt;=المرجع!$K$2,"مستوفاة بشكل أولي","مستوفاة بشكل جزئي")))</f>
        <v>مستوفاة بشكل جزئي</v>
      </c>
      <c r="Q300" s="22" t="s">
        <v>634</v>
      </c>
    </row>
    <row r="301" customFormat="false" ht="15" hidden="false" customHeight="true" outlineLevel="0" collapsed="false">
      <c r="A301" s="20" t="s">
        <v>695</v>
      </c>
      <c r="B301" s="20" t="s">
        <v>183</v>
      </c>
      <c r="C301" s="19" t="str">
        <f aca="false">IFERROR(INDEX('قائمة الوحدات'!$B$2:$B$41,MATCH($B301,'قائمة الوحدات'!$A$2:$A$41,0)),"")</f>
        <v>EXE</v>
      </c>
      <c r="D301" s="18" t="str">
        <f aca="false">IFERROR(INDEX('قائمة الوحدات'!$C$2:$C$41,MATCH($B301,'قائمة الوحدات'!$A$2:$A$41,0)),"")</f>
        <v>الشؤون التنفيذية</v>
      </c>
      <c r="E301" s="18" t="str">
        <f aca="false">IFERROR(INDEX('قائمة الوحدات'!$D$2:$D$41,MATCH($B301,'قائمة الوحدات'!$A$2:$A$41,0)),"")</f>
        <v>وكالة الخدمات المساندة</v>
      </c>
      <c r="F301" s="18" t="str">
        <f aca="false">IFERROR(INDEX('قائمة الوحدات'!$F$2:$F$41,MATCH($B301,'قائمة الوحدات'!$A$2:$A$41,0)),"")</f>
        <v>الإدارة العامة لتقنية المعلومات</v>
      </c>
      <c r="G301" s="20" t="s">
        <v>66</v>
      </c>
      <c r="H301" s="18" t="str">
        <f aca="false">IFERROR(INDEX(المرجع!$A$2:$A$19,MATCH($G301,المرجع!$B$2:$B$19,0)),"")</f>
        <v>التشغيل</v>
      </c>
      <c r="I301" s="20" t="s">
        <v>71</v>
      </c>
      <c r="J301" s="18" t="str">
        <f aca="false">IFERROR(INDEX(المرجع!$D$2:$D$19,MATCH($I301,المرجع!$E$2:$E$19,0)),"")</f>
        <v>اكتمال المخرجات المستهدفة</v>
      </c>
      <c r="K301" s="20" t="s">
        <v>134</v>
      </c>
      <c r="L301" s="21" t="str">
        <f aca="false">IFERROR(INDEX('نقاط التحقق'!$G$2:$G$31,MATCH($K301,'نقاط التحقق'!$A$2:$A$31,0))&amp;"","")</f>
        <v>اكتمال مخرجات النموذج التشغيلي المستهدف للوحدة التنظيمية</v>
      </c>
      <c r="M301" s="18" t="str">
        <f aca="false">IFERROR(INDEX('نقاط التحقق'!$H$2:$H$31,MATCH($K301,'نقاط التحقق'!$A$2:$A$31,0))&amp;"","")</f>
        <v/>
      </c>
      <c r="N301" s="17" t="n">
        <v>48</v>
      </c>
      <c r="O301" s="17" t="n">
        <v>85</v>
      </c>
      <c r="P301" s="19" t="str">
        <f aca="false">IF($N301="","غير مقيّمة",IF($N301&gt;المرجع!$K$3,"مستوفاة بشكل متقدم",IF($N301&lt;=المرجع!$K$2,"مستوفاة بشكل أولي","مستوفاة بشكل جزئي")))</f>
        <v>مستوفاة بشكل جزئي</v>
      </c>
      <c r="Q301" s="22" t="s">
        <v>634</v>
      </c>
    </row>
    <row r="302" customFormat="false" ht="15" hidden="false" customHeight="true" outlineLevel="0" collapsed="false">
      <c r="A302" s="20" t="s">
        <v>696</v>
      </c>
      <c r="B302" s="20" t="s">
        <v>185</v>
      </c>
      <c r="C302" s="19" t="str">
        <f aca="false">IFERROR(INDEX('قائمة الوحدات'!$B$2:$B$41,MATCH($B302,'قائمة الوحدات'!$A$2:$A$41,0)),"")</f>
        <v>EXE</v>
      </c>
      <c r="D302" s="18" t="str">
        <f aca="false">IFERROR(INDEX('قائمة الوحدات'!$C$2:$C$41,MATCH($B302,'قائمة الوحدات'!$A$2:$A$41,0)),"")</f>
        <v>الشؤون التنفيذية</v>
      </c>
      <c r="E302" s="18" t="str">
        <f aca="false">IFERROR(INDEX('قائمة الوحدات'!$D$2:$D$41,MATCH($B302,'قائمة الوحدات'!$A$2:$A$41,0)),"")</f>
        <v>وكالة الشؤون الاستراتيجية</v>
      </c>
      <c r="F302" s="18" t="str">
        <f aca="false">IFERROR(INDEX('قائمة الوحدات'!$F$2:$F$41,MATCH($B302,'قائمة الوحدات'!$A$2:$A$41,0)),"")</f>
        <v>وكالة الشؤون الاستراتيجية</v>
      </c>
      <c r="G302" s="20" t="s">
        <v>44</v>
      </c>
      <c r="H302" s="18" t="str">
        <f aca="false">IFERROR(INDEX(المرجع!$A$2:$A$19,MATCH($G302,المرجع!$B$2:$B$19,0)),"")</f>
        <v>التصميم</v>
      </c>
      <c r="I302" s="20" t="s">
        <v>46</v>
      </c>
      <c r="J302" s="18" t="str">
        <f aca="false">IFERROR(INDEX(المرجع!$D$2:$D$19,MATCH($I302,المرجع!$E$2:$E$19,0)),"")</f>
        <v>الدور</v>
      </c>
      <c r="K302" s="20" t="s">
        <v>76</v>
      </c>
      <c r="L302" s="21" t="str">
        <f aca="false">IFERROR(INDEX('نقاط التحقق'!$G$2:$G$31,MATCH($K302,'نقاط التحقق'!$A$2:$A$31,0))&amp;"","")</f>
        <v>دور مفصل للوحدة التنظيمية</v>
      </c>
      <c r="M302" s="18" t="str">
        <f aca="false">IFERROR(INDEX('نقاط التحقق'!$H$2:$H$31,MATCH($K302,'نقاط التحقق'!$A$2:$A$31,0))&amp;"","")</f>
        <v/>
      </c>
      <c r="N302" s="17" t="n">
        <v>82</v>
      </c>
      <c r="O302" s="17" t="n">
        <v>100</v>
      </c>
      <c r="P302" s="19" t="str">
        <f aca="false">IF($N302="","غير مقيّمة",IF($N302&gt;المرجع!$K$3,"مستوفاة بشكل متقدم",IF($N302&lt;=المرجع!$K$2,"مستوفاة بشكل أولي","مستوفاة بشكل جزئي")))</f>
        <v>مستوفاة بشكل متقدم</v>
      </c>
      <c r="Q302" s="22" t="s">
        <v>634</v>
      </c>
    </row>
    <row r="303" customFormat="false" ht="15" hidden="false" customHeight="true" outlineLevel="0" collapsed="false">
      <c r="A303" s="20" t="s">
        <v>697</v>
      </c>
      <c r="B303" s="20" t="s">
        <v>185</v>
      </c>
      <c r="C303" s="19" t="str">
        <f aca="false">IFERROR(INDEX('قائمة الوحدات'!$B$2:$B$41,MATCH($B303,'قائمة الوحدات'!$A$2:$A$41,0)),"")</f>
        <v>EXE</v>
      </c>
      <c r="D303" s="18" t="str">
        <f aca="false">IFERROR(INDEX('قائمة الوحدات'!$C$2:$C$41,MATCH($B303,'قائمة الوحدات'!$A$2:$A$41,0)),"")</f>
        <v>الشؤون التنفيذية</v>
      </c>
      <c r="E303" s="18" t="str">
        <f aca="false">IFERROR(INDEX('قائمة الوحدات'!$D$2:$D$41,MATCH($B303,'قائمة الوحدات'!$A$2:$A$41,0)),"")</f>
        <v>وكالة الشؤون الاستراتيجية</v>
      </c>
      <c r="F303" s="18" t="str">
        <f aca="false">IFERROR(INDEX('قائمة الوحدات'!$F$2:$F$41,MATCH($B303,'قائمة الوحدات'!$A$2:$A$41,0)),"")</f>
        <v>وكالة الشؤون الاستراتيجية</v>
      </c>
      <c r="G303" s="20" t="s">
        <v>44</v>
      </c>
      <c r="H303" s="18" t="str">
        <f aca="false">IFERROR(INDEX(المرجع!$A$2:$A$19,MATCH($G303,المرجع!$B$2:$B$19,0)),"")</f>
        <v>التصميم</v>
      </c>
      <c r="I303" s="20" t="s">
        <v>49</v>
      </c>
      <c r="J303" s="18" t="str">
        <f aca="false">IFERROR(INDEX(المرجع!$D$2:$D$19,MATCH($I303,المرجع!$E$2:$E$19,0)),"")</f>
        <v>الأهداف ومؤشرات الأداء</v>
      </c>
      <c r="K303" s="20" t="s">
        <v>78</v>
      </c>
      <c r="L303" s="21" t="str">
        <f aca="false">IFERROR(INDEX('نقاط التحقق'!$G$2:$G$31,MATCH($K303,'نقاط التحقق'!$A$2:$A$31,0))&amp;"","")</f>
        <v>أهداف محددة للوحدة التنظيمية وربطها بمؤشرات أداء لقياسها</v>
      </c>
      <c r="M303" s="18" t="str">
        <f aca="false">IFERROR(INDEX('نقاط التحقق'!$H$2:$H$31,MATCH($K303,'نقاط التحقق'!$A$2:$A$31,0))&amp;"","")</f>
        <v/>
      </c>
      <c r="N303" s="17" t="n">
        <v>100</v>
      </c>
      <c r="O303" s="17" t="n">
        <v>100</v>
      </c>
      <c r="P303" s="19" t="str">
        <f aca="false">IF($N303="","غير مقيّمة",IF($N303&gt;المرجع!$K$3,"مستوفاة بشكل متقدم",IF($N303&lt;=المرجع!$K$2,"مستوفاة بشكل أولي","مستوفاة بشكل جزئي")))</f>
        <v>مستوفاة بشكل متقدم</v>
      </c>
      <c r="Q303" s="22" t="s">
        <v>634</v>
      </c>
    </row>
    <row r="304" customFormat="false" ht="15" hidden="false" customHeight="true" outlineLevel="0" collapsed="false">
      <c r="A304" s="20" t="s">
        <v>698</v>
      </c>
      <c r="B304" s="20" t="s">
        <v>185</v>
      </c>
      <c r="C304" s="19" t="str">
        <f aca="false">IFERROR(INDEX('قائمة الوحدات'!$B$2:$B$41,MATCH($B304,'قائمة الوحدات'!$A$2:$A$41,0)),"")</f>
        <v>EXE</v>
      </c>
      <c r="D304" s="18" t="str">
        <f aca="false">IFERROR(INDEX('قائمة الوحدات'!$C$2:$C$41,MATCH($B304,'قائمة الوحدات'!$A$2:$A$41,0)),"")</f>
        <v>الشؤون التنفيذية</v>
      </c>
      <c r="E304" s="18" t="str">
        <f aca="false">IFERROR(INDEX('قائمة الوحدات'!$D$2:$D$41,MATCH($B304,'قائمة الوحدات'!$A$2:$A$41,0)),"")</f>
        <v>وكالة الشؤون الاستراتيجية</v>
      </c>
      <c r="F304" s="18" t="str">
        <f aca="false">IFERROR(INDEX('قائمة الوحدات'!$F$2:$F$41,MATCH($B304,'قائمة الوحدات'!$A$2:$A$41,0)),"")</f>
        <v>وكالة الشؤون الاستراتيجية</v>
      </c>
      <c r="G304" s="20" t="s">
        <v>44</v>
      </c>
      <c r="H304" s="18" t="str">
        <f aca="false">IFERROR(INDEX(المرجع!$A$2:$A$19,MATCH($G304,المرجع!$B$2:$B$19,0)),"")</f>
        <v>التصميم</v>
      </c>
      <c r="I304" s="20" t="s">
        <v>49</v>
      </c>
      <c r="J304" s="18" t="str">
        <f aca="false">IFERROR(INDEX(المرجع!$D$2:$D$19,MATCH($I304,المرجع!$E$2:$E$19,0)),"")</f>
        <v>الأهداف ومؤشرات الأداء</v>
      </c>
      <c r="K304" s="20" t="s">
        <v>80</v>
      </c>
      <c r="L304" s="21" t="str">
        <f aca="false">IFERROR(INDEX('نقاط التحقق'!$G$2:$G$31,MATCH($K304,'نقاط التحقق'!$A$2:$A$31,0))&amp;"","")</f>
        <v>مؤشرات أداء الوحدة التنظيمية</v>
      </c>
      <c r="M304" s="18" t="str">
        <f aca="false">IFERROR(INDEX('نقاط التحقق'!$H$2:$H$31,MATCH($K304,'نقاط التحقق'!$A$2:$A$31,0))&amp;"","")</f>
        <v/>
      </c>
      <c r="N304" s="17" t="n">
        <v>100</v>
      </c>
      <c r="O304" s="17" t="n">
        <v>100</v>
      </c>
      <c r="P304" s="19" t="str">
        <f aca="false">IF($N304="","غير مقيّمة",IF($N304&gt;المرجع!$K$3,"مستوفاة بشكل متقدم",IF($N304&lt;=المرجع!$K$2,"مستوفاة بشكل أولي","مستوفاة بشكل جزئي")))</f>
        <v>مستوفاة بشكل متقدم</v>
      </c>
      <c r="Q304" s="22" t="s">
        <v>634</v>
      </c>
    </row>
    <row r="305" customFormat="false" ht="15" hidden="false" customHeight="true" outlineLevel="0" collapsed="false">
      <c r="A305" s="20" t="s">
        <v>699</v>
      </c>
      <c r="B305" s="20" t="s">
        <v>185</v>
      </c>
      <c r="C305" s="19" t="str">
        <f aca="false">IFERROR(INDEX('قائمة الوحدات'!$B$2:$B$41,MATCH($B305,'قائمة الوحدات'!$A$2:$A$41,0)),"")</f>
        <v>EXE</v>
      </c>
      <c r="D305" s="18" t="str">
        <f aca="false">IFERROR(INDEX('قائمة الوحدات'!$C$2:$C$41,MATCH($B305,'قائمة الوحدات'!$A$2:$A$41,0)),"")</f>
        <v>الشؤون التنفيذية</v>
      </c>
      <c r="E305" s="18" t="str">
        <f aca="false">IFERROR(INDEX('قائمة الوحدات'!$D$2:$D$41,MATCH($B305,'قائمة الوحدات'!$A$2:$A$41,0)),"")</f>
        <v>وكالة الشؤون الاستراتيجية</v>
      </c>
      <c r="F305" s="18" t="str">
        <f aca="false">IFERROR(INDEX('قائمة الوحدات'!$F$2:$F$41,MATCH($B305,'قائمة الوحدات'!$A$2:$A$41,0)),"")</f>
        <v>وكالة الشؤون الاستراتيجية</v>
      </c>
      <c r="G305" s="20" t="s">
        <v>44</v>
      </c>
      <c r="H305" s="18" t="str">
        <f aca="false">IFERROR(INDEX(المرجع!$A$2:$A$19,MATCH($G305,المرجع!$B$2:$B$19,0)),"")</f>
        <v>التصميم</v>
      </c>
      <c r="I305" s="20" t="s">
        <v>52</v>
      </c>
      <c r="J305" s="18" t="str">
        <f aca="false">IFERROR(INDEX(المرجع!$D$2:$D$19,MATCH($I305,المرجع!$E$2:$E$19,0)),"")</f>
        <v>الحوكمة</v>
      </c>
      <c r="K305" s="20" t="s">
        <v>82</v>
      </c>
      <c r="L305" s="21" t="str">
        <f aca="false">IFERROR(INDEX('نقاط التحقق'!$G$2:$G$31,MATCH($K305,'نقاط التحقق'!$A$2:$A$31,0))&amp;"","")</f>
        <v>تفصيل القرارات ومصفوفة الصلاحيات واللجان ذات العلاقة لاعتماد مخرجات الوحدة التنظيمية</v>
      </c>
      <c r="M305" s="18" t="str">
        <f aca="false">IFERROR(INDEX('نقاط التحقق'!$H$2:$H$31,MATCH($K305,'نقاط التحقق'!$A$2:$A$31,0))&amp;"","")</f>
        <v/>
      </c>
      <c r="N305" s="17" t="n">
        <v>72</v>
      </c>
      <c r="O305" s="17" t="n">
        <v>100</v>
      </c>
      <c r="P305" s="19" t="str">
        <f aca="false">IF($N305="","غير مقيّمة",IF($N305&gt;المرجع!$K$3,"مستوفاة بشكل متقدم",IF($N305&lt;=المرجع!$K$2,"مستوفاة بشكل أولي","مستوفاة بشكل جزئي")))</f>
        <v>مستوفاة بشكل متقدم</v>
      </c>
      <c r="Q305" s="22" t="s">
        <v>634</v>
      </c>
    </row>
    <row r="306" customFormat="false" ht="15" hidden="false" customHeight="true" outlineLevel="0" collapsed="false">
      <c r="A306" s="20" t="s">
        <v>700</v>
      </c>
      <c r="B306" s="20" t="s">
        <v>185</v>
      </c>
      <c r="C306" s="19" t="str">
        <f aca="false">IFERROR(INDEX('قائمة الوحدات'!$B$2:$B$41,MATCH($B306,'قائمة الوحدات'!$A$2:$A$41,0)),"")</f>
        <v>EXE</v>
      </c>
      <c r="D306" s="18" t="str">
        <f aca="false">IFERROR(INDEX('قائمة الوحدات'!$C$2:$C$41,MATCH($B306,'قائمة الوحدات'!$A$2:$A$41,0)),"")</f>
        <v>الشؤون التنفيذية</v>
      </c>
      <c r="E306" s="18" t="str">
        <f aca="false">IFERROR(INDEX('قائمة الوحدات'!$D$2:$D$41,MATCH($B306,'قائمة الوحدات'!$A$2:$A$41,0)),"")</f>
        <v>وكالة الشؤون الاستراتيجية</v>
      </c>
      <c r="F306" s="18" t="str">
        <f aca="false">IFERROR(INDEX('قائمة الوحدات'!$F$2:$F$41,MATCH($B306,'قائمة الوحدات'!$A$2:$A$41,0)),"")</f>
        <v>وكالة الشؤون الاستراتيجية</v>
      </c>
      <c r="G306" s="20" t="s">
        <v>44</v>
      </c>
      <c r="H306" s="18" t="str">
        <f aca="false">IFERROR(INDEX(المرجع!$A$2:$A$19,MATCH($G306,المرجع!$B$2:$B$19,0)),"")</f>
        <v>التصميم</v>
      </c>
      <c r="I306" s="20" t="s">
        <v>55</v>
      </c>
      <c r="J306" s="18" t="str">
        <f aca="false">IFERROR(INDEX(المرجع!$D$2:$D$19,MATCH($I306,المرجع!$E$2:$E$19,0)),"")</f>
        <v>التنظيم</v>
      </c>
      <c r="K306" s="20" t="s">
        <v>84</v>
      </c>
      <c r="L306" s="21" t="str">
        <f aca="false">IFERROR(INDEX('نقاط التحقق'!$G$2:$G$31,MATCH($K306,'نقاط التحقق'!$A$2:$A$31,0))&amp;"","")</f>
        <v>تطوير الأدوار والمسؤوليات للوحدة التنظيمية وتفصيل الهيكل التنظيمي</v>
      </c>
      <c r="M306" s="18" t="str">
        <f aca="false">IFERROR(INDEX('نقاط التحقق'!$H$2:$H$31,MATCH($K306,'نقاط التحقق'!$A$2:$A$31,0))&amp;"","")</f>
        <v/>
      </c>
      <c r="N306" s="17" t="n">
        <v>90</v>
      </c>
      <c r="O306" s="17" t="n">
        <v>90</v>
      </c>
      <c r="P306" s="19" t="str">
        <f aca="false">IF($N306="","غير مقيّمة",IF($N306&gt;المرجع!$K$3,"مستوفاة بشكل متقدم",IF($N306&lt;=المرجع!$K$2,"مستوفاة بشكل أولي","مستوفاة بشكل جزئي")))</f>
        <v>مستوفاة بشكل متقدم</v>
      </c>
      <c r="Q306" s="22" t="s">
        <v>634</v>
      </c>
    </row>
    <row r="307" customFormat="false" ht="15" hidden="false" customHeight="true" outlineLevel="0" collapsed="false">
      <c r="A307" s="20" t="s">
        <v>701</v>
      </c>
      <c r="B307" s="20" t="s">
        <v>185</v>
      </c>
      <c r="C307" s="19" t="str">
        <f aca="false">IFERROR(INDEX('قائمة الوحدات'!$B$2:$B$41,MATCH($B307,'قائمة الوحدات'!$A$2:$A$41,0)),"")</f>
        <v>EXE</v>
      </c>
      <c r="D307" s="18" t="str">
        <f aca="false">IFERROR(INDEX('قائمة الوحدات'!$C$2:$C$41,MATCH($B307,'قائمة الوحدات'!$A$2:$A$41,0)),"")</f>
        <v>الشؤون التنفيذية</v>
      </c>
      <c r="E307" s="18" t="str">
        <f aca="false">IFERROR(INDEX('قائمة الوحدات'!$D$2:$D$41,MATCH($B307,'قائمة الوحدات'!$A$2:$A$41,0)),"")</f>
        <v>وكالة الشؤون الاستراتيجية</v>
      </c>
      <c r="F307" s="18" t="str">
        <f aca="false">IFERROR(INDEX('قائمة الوحدات'!$F$2:$F$41,MATCH($B307,'قائمة الوحدات'!$A$2:$A$41,0)),"")</f>
        <v>وكالة الشؤون الاستراتيجية</v>
      </c>
      <c r="G307" s="20" t="s">
        <v>44</v>
      </c>
      <c r="H307" s="18" t="str">
        <f aca="false">IFERROR(INDEX(المرجع!$A$2:$A$19,MATCH($G307,المرجع!$B$2:$B$19,0)),"")</f>
        <v>التصميم</v>
      </c>
      <c r="I307" s="20" t="s">
        <v>57</v>
      </c>
      <c r="J307" s="18" t="str">
        <f aca="false">IFERROR(INDEX(المرجع!$D$2:$D$19,MATCH($I307,المرجع!$E$2:$E$19,0)),"")</f>
        <v>الموارد</v>
      </c>
      <c r="K307" s="20" t="s">
        <v>86</v>
      </c>
      <c r="L307" s="21" t="str">
        <f aca="false">IFERROR(INDEX('نقاط التحقق'!$G$2:$G$31,MATCH($K307,'نقاط التحقق'!$A$2:$A$31,0))&amp;"","")</f>
        <v>تفصيل احتياج الموارد البشرية للوحدة التنظيمية</v>
      </c>
      <c r="M307" s="18" t="str">
        <f aca="false">IFERROR(INDEX('نقاط التحقق'!$H$2:$H$31,MATCH($K307,'نقاط التحقق'!$A$2:$A$31,0))&amp;"","")</f>
        <v/>
      </c>
      <c r="N307" s="17" t="n">
        <v>76</v>
      </c>
      <c r="O307" s="17" t="n">
        <v>85</v>
      </c>
      <c r="P307" s="19" t="str">
        <f aca="false">IF($N307="","غير مقيّمة",IF($N307&gt;المرجع!$K$3,"مستوفاة بشكل متقدم",IF($N307&lt;=المرجع!$K$2,"مستوفاة بشكل أولي","مستوفاة بشكل جزئي")))</f>
        <v>مستوفاة بشكل متقدم</v>
      </c>
      <c r="Q307" s="22" t="s">
        <v>634</v>
      </c>
    </row>
    <row r="308" customFormat="false" ht="15" hidden="false" customHeight="true" outlineLevel="0" collapsed="false">
      <c r="A308" s="20" t="s">
        <v>702</v>
      </c>
      <c r="B308" s="20" t="s">
        <v>185</v>
      </c>
      <c r="C308" s="19" t="str">
        <f aca="false">IFERROR(INDEX('قائمة الوحدات'!$B$2:$B$41,MATCH($B308,'قائمة الوحدات'!$A$2:$A$41,0)),"")</f>
        <v>EXE</v>
      </c>
      <c r="D308" s="18" t="str">
        <f aca="false">IFERROR(INDEX('قائمة الوحدات'!$C$2:$C$41,MATCH($B308,'قائمة الوحدات'!$A$2:$A$41,0)),"")</f>
        <v>الشؤون التنفيذية</v>
      </c>
      <c r="E308" s="18" t="str">
        <f aca="false">IFERROR(INDEX('قائمة الوحدات'!$D$2:$D$41,MATCH($B308,'قائمة الوحدات'!$A$2:$A$41,0)),"")</f>
        <v>وكالة الشؤون الاستراتيجية</v>
      </c>
      <c r="F308" s="18" t="str">
        <f aca="false">IFERROR(INDEX('قائمة الوحدات'!$F$2:$F$41,MATCH($B308,'قائمة الوحدات'!$A$2:$A$41,0)),"")</f>
        <v>وكالة الشؤون الاستراتيجية</v>
      </c>
      <c r="G308" s="20" t="s">
        <v>44</v>
      </c>
      <c r="H308" s="18" t="str">
        <f aca="false">IFERROR(INDEX(المرجع!$A$2:$A$19,MATCH($G308,المرجع!$B$2:$B$19,0)),"")</f>
        <v>التصميم</v>
      </c>
      <c r="I308" s="20" t="s">
        <v>60</v>
      </c>
      <c r="J308" s="18" t="str">
        <f aca="false">IFERROR(INDEX(المرجع!$D$2:$D$19,MATCH($I308,المرجع!$E$2:$E$19,0)),"")</f>
        <v>الإجراءات</v>
      </c>
      <c r="K308" s="20" t="s">
        <v>88</v>
      </c>
      <c r="L308" s="21" t="str">
        <f aca="false">IFERROR(INDEX('نقاط التحقق'!$G$2:$G$31,MATCH($K308,'نقاط التحقق'!$A$2:$A$31,0))&amp;"","")</f>
        <v>تفصيل المخرجات إلى إجراءات عالية المستوى</v>
      </c>
      <c r="M308" s="18" t="str">
        <f aca="false">IFERROR(INDEX('نقاط التحقق'!$H$2:$H$31,MATCH($K308,'نقاط التحقق'!$A$2:$A$31,0))&amp;"","")</f>
        <v/>
      </c>
      <c r="N308" s="17" t="n">
        <v>97</v>
      </c>
      <c r="O308" s="17" t="n">
        <v>97</v>
      </c>
      <c r="P308" s="19" t="str">
        <f aca="false">IF($N308="","غير مقيّمة",IF($N308&gt;المرجع!$K$3,"مستوفاة بشكل متقدم",IF($N308&lt;=المرجع!$K$2,"مستوفاة بشكل أولي","مستوفاة بشكل جزئي")))</f>
        <v>مستوفاة بشكل متقدم</v>
      </c>
      <c r="Q308" s="22" t="s">
        <v>634</v>
      </c>
    </row>
    <row r="309" customFormat="false" ht="15" hidden="false" customHeight="true" outlineLevel="0" collapsed="false">
      <c r="A309" s="20" t="s">
        <v>703</v>
      </c>
      <c r="B309" s="20" t="s">
        <v>185</v>
      </c>
      <c r="C309" s="19" t="str">
        <f aca="false">IFERROR(INDEX('قائمة الوحدات'!$B$2:$B$41,MATCH($B309,'قائمة الوحدات'!$A$2:$A$41,0)),"")</f>
        <v>EXE</v>
      </c>
      <c r="D309" s="18" t="str">
        <f aca="false">IFERROR(INDEX('قائمة الوحدات'!$C$2:$C$41,MATCH($B309,'قائمة الوحدات'!$A$2:$A$41,0)),"")</f>
        <v>الشؤون التنفيذية</v>
      </c>
      <c r="E309" s="18" t="str">
        <f aca="false">IFERROR(INDEX('قائمة الوحدات'!$D$2:$D$41,MATCH($B309,'قائمة الوحدات'!$A$2:$A$41,0)),"")</f>
        <v>وكالة الشؤون الاستراتيجية</v>
      </c>
      <c r="F309" s="18" t="str">
        <f aca="false">IFERROR(INDEX('قائمة الوحدات'!$F$2:$F$41,MATCH($B309,'قائمة الوحدات'!$A$2:$A$41,0)),"")</f>
        <v>وكالة الشؤون الاستراتيجية</v>
      </c>
      <c r="G309" s="20" t="s">
        <v>62</v>
      </c>
      <c r="H309" s="18" t="str">
        <f aca="false">IFERROR(INDEX(المرجع!$A$2:$A$19,MATCH($G309,المرجع!$B$2:$B$19,0)),"")</f>
        <v>البناء المؤسسي</v>
      </c>
      <c r="I309" s="20" t="s">
        <v>46</v>
      </c>
      <c r="J309" s="18" t="str">
        <f aca="false">IFERROR(INDEX(المرجع!$D$2:$D$19,MATCH($I309,المرجع!$E$2:$E$19,0)),"")</f>
        <v>الدور</v>
      </c>
      <c r="K309" s="20" t="s">
        <v>90</v>
      </c>
      <c r="L309" s="21" t="str">
        <f aca="false">IFERROR(INDEX('نقاط التحقق'!$G$2:$G$31,MATCH($K309,'نقاط التحقق'!$A$2:$A$31,0))&amp;"","")</f>
        <v>دور معتمد للوحدة التنظيمية</v>
      </c>
      <c r="M309" s="18" t="str">
        <f aca="false">IFERROR(INDEX('نقاط التحقق'!$H$2:$H$31,MATCH($K309,'نقاط التحقق'!$A$2:$A$31,0))&amp;"","")</f>
        <v/>
      </c>
      <c r="N309" s="17" t="n">
        <v>77</v>
      </c>
      <c r="O309" s="17" t="n">
        <v>95</v>
      </c>
      <c r="P309" s="19" t="str">
        <f aca="false">IF($N309="","غير مقيّمة",IF($N309&gt;المرجع!$K$3,"مستوفاة بشكل متقدم",IF($N309&lt;=المرجع!$K$2,"مستوفاة بشكل أولي","مستوفاة بشكل جزئي")))</f>
        <v>مستوفاة بشكل متقدم</v>
      </c>
      <c r="Q309" s="22" t="s">
        <v>634</v>
      </c>
    </row>
    <row r="310" customFormat="false" ht="15" hidden="false" customHeight="true" outlineLevel="0" collapsed="false">
      <c r="A310" s="20" t="s">
        <v>704</v>
      </c>
      <c r="B310" s="20" t="s">
        <v>185</v>
      </c>
      <c r="C310" s="19" t="str">
        <f aca="false">IFERROR(INDEX('قائمة الوحدات'!$B$2:$B$41,MATCH($B310,'قائمة الوحدات'!$A$2:$A$41,0)),"")</f>
        <v>EXE</v>
      </c>
      <c r="D310" s="18" t="str">
        <f aca="false">IFERROR(INDEX('قائمة الوحدات'!$C$2:$C$41,MATCH($B310,'قائمة الوحدات'!$A$2:$A$41,0)),"")</f>
        <v>الشؤون التنفيذية</v>
      </c>
      <c r="E310" s="18" t="str">
        <f aca="false">IFERROR(INDEX('قائمة الوحدات'!$D$2:$D$41,MATCH($B310,'قائمة الوحدات'!$A$2:$A$41,0)),"")</f>
        <v>وكالة الشؤون الاستراتيجية</v>
      </c>
      <c r="F310" s="18" t="str">
        <f aca="false">IFERROR(INDEX('قائمة الوحدات'!$F$2:$F$41,MATCH($B310,'قائمة الوحدات'!$A$2:$A$41,0)),"")</f>
        <v>وكالة الشؤون الاستراتيجية</v>
      </c>
      <c r="G310" s="20" t="s">
        <v>62</v>
      </c>
      <c r="H310" s="18" t="str">
        <f aca="false">IFERROR(INDEX(المرجع!$A$2:$A$19,MATCH($G310,المرجع!$B$2:$B$19,0)),"")</f>
        <v>البناء المؤسسي</v>
      </c>
      <c r="I310" s="20" t="s">
        <v>49</v>
      </c>
      <c r="J310" s="18" t="str">
        <f aca="false">IFERROR(INDEX(المرجع!$D$2:$D$19,MATCH($I310,المرجع!$E$2:$E$19,0)),"")</f>
        <v>الأهداف ومؤشرات الأداء</v>
      </c>
      <c r="K310" s="20" t="s">
        <v>92</v>
      </c>
      <c r="L310" s="21" t="str">
        <f aca="false">IFERROR(INDEX('نقاط التحقق'!$G$2:$G$31,MATCH($K310,'نقاط التحقق'!$A$2:$A$31,0))&amp;"","")</f>
        <v>أهداف تشغيلية معتمدة من صاحب الصلاحية</v>
      </c>
      <c r="M310" s="18" t="str">
        <f aca="false">IFERROR(INDEX('نقاط التحقق'!$H$2:$H$31,MATCH($K310,'نقاط التحقق'!$A$2:$A$31,0))&amp;"","")</f>
        <v/>
      </c>
      <c r="N310" s="17" t="n">
        <v>45</v>
      </c>
      <c r="O310" s="17" t="n">
        <v>100</v>
      </c>
      <c r="P310" s="19" t="str">
        <f aca="false">IF($N310="","غير مقيّمة",IF($N310&gt;المرجع!$K$3,"مستوفاة بشكل متقدم",IF($N310&lt;=المرجع!$K$2,"مستوفاة بشكل أولي","مستوفاة بشكل جزئي")))</f>
        <v>مستوفاة بشكل جزئي</v>
      </c>
      <c r="Q310" s="22" t="s">
        <v>634</v>
      </c>
    </row>
    <row r="311" customFormat="false" ht="15" hidden="false" customHeight="true" outlineLevel="0" collapsed="false">
      <c r="A311" s="20" t="s">
        <v>705</v>
      </c>
      <c r="B311" s="20" t="s">
        <v>185</v>
      </c>
      <c r="C311" s="19" t="str">
        <f aca="false">IFERROR(INDEX('قائمة الوحدات'!$B$2:$B$41,MATCH($B311,'قائمة الوحدات'!$A$2:$A$41,0)),"")</f>
        <v>EXE</v>
      </c>
      <c r="D311" s="18" t="str">
        <f aca="false">IFERROR(INDEX('قائمة الوحدات'!$C$2:$C$41,MATCH($B311,'قائمة الوحدات'!$A$2:$A$41,0)),"")</f>
        <v>الشؤون التنفيذية</v>
      </c>
      <c r="E311" s="18" t="str">
        <f aca="false">IFERROR(INDEX('قائمة الوحدات'!$D$2:$D$41,MATCH($B311,'قائمة الوحدات'!$A$2:$A$41,0)),"")</f>
        <v>وكالة الشؤون الاستراتيجية</v>
      </c>
      <c r="F311" s="18" t="str">
        <f aca="false">IFERROR(INDEX('قائمة الوحدات'!$F$2:$F$41,MATCH($B311,'قائمة الوحدات'!$A$2:$A$41,0)),"")</f>
        <v>وكالة الشؤون الاستراتيجية</v>
      </c>
      <c r="G311" s="20" t="s">
        <v>62</v>
      </c>
      <c r="H311" s="18" t="str">
        <f aca="false">IFERROR(INDEX(المرجع!$A$2:$A$19,MATCH($G311,المرجع!$B$2:$B$19,0)),"")</f>
        <v>البناء المؤسسي</v>
      </c>
      <c r="I311" s="20" t="s">
        <v>49</v>
      </c>
      <c r="J311" s="18" t="str">
        <f aca="false">IFERROR(INDEX(المرجع!$D$2:$D$19,MATCH($I311,المرجع!$E$2:$E$19,0)),"")</f>
        <v>الأهداف ومؤشرات الأداء</v>
      </c>
      <c r="K311" s="20" t="s">
        <v>94</v>
      </c>
      <c r="L311" s="21" t="str">
        <f aca="false">IFERROR(INDEX('نقاط التحقق'!$G$2:$G$31,MATCH($K311,'نقاط التحقق'!$A$2:$A$31,0))&amp;"","")</f>
        <v>نشر الأهداف التشغيلية على موظفي الوحدة التنظيمية</v>
      </c>
      <c r="M311" s="18" t="str">
        <f aca="false">IFERROR(INDEX('نقاط التحقق'!$H$2:$H$31,MATCH($K311,'نقاط التحقق'!$A$2:$A$31,0))&amp;"","")</f>
        <v/>
      </c>
      <c r="N311" s="17" t="n">
        <v>50</v>
      </c>
      <c r="O311" s="17" t="n">
        <v>100</v>
      </c>
      <c r="P311" s="19" t="str">
        <f aca="false">IF($N311="","غير مقيّمة",IF($N311&gt;المرجع!$K$3,"مستوفاة بشكل متقدم",IF($N311&lt;=المرجع!$K$2,"مستوفاة بشكل أولي","مستوفاة بشكل جزئي")))</f>
        <v>مستوفاة بشكل جزئي</v>
      </c>
      <c r="Q311" s="22" t="s">
        <v>634</v>
      </c>
    </row>
    <row r="312" customFormat="false" ht="15" hidden="false" customHeight="true" outlineLevel="0" collapsed="false">
      <c r="A312" s="20" t="s">
        <v>706</v>
      </c>
      <c r="B312" s="20" t="s">
        <v>185</v>
      </c>
      <c r="C312" s="19" t="str">
        <f aca="false">IFERROR(INDEX('قائمة الوحدات'!$B$2:$B$41,MATCH($B312,'قائمة الوحدات'!$A$2:$A$41,0)),"")</f>
        <v>EXE</v>
      </c>
      <c r="D312" s="18" t="str">
        <f aca="false">IFERROR(INDEX('قائمة الوحدات'!$C$2:$C$41,MATCH($B312,'قائمة الوحدات'!$A$2:$A$41,0)),"")</f>
        <v>الشؤون التنفيذية</v>
      </c>
      <c r="E312" s="18" t="str">
        <f aca="false">IFERROR(INDEX('قائمة الوحدات'!$D$2:$D$41,MATCH($B312,'قائمة الوحدات'!$A$2:$A$41,0)),"")</f>
        <v>وكالة الشؤون الاستراتيجية</v>
      </c>
      <c r="F312" s="18" t="str">
        <f aca="false">IFERROR(INDEX('قائمة الوحدات'!$F$2:$F$41,MATCH($B312,'قائمة الوحدات'!$A$2:$A$41,0)),"")</f>
        <v>وكالة الشؤون الاستراتيجية</v>
      </c>
      <c r="G312" s="20" t="s">
        <v>62</v>
      </c>
      <c r="H312" s="18" t="str">
        <f aca="false">IFERROR(INDEX(المرجع!$A$2:$A$19,MATCH($G312,المرجع!$B$2:$B$19,0)),"")</f>
        <v>البناء المؤسسي</v>
      </c>
      <c r="I312" s="20" t="s">
        <v>52</v>
      </c>
      <c r="J312" s="18" t="str">
        <f aca="false">IFERROR(INDEX(المرجع!$D$2:$D$19,MATCH($I312,المرجع!$E$2:$E$19,0)),"")</f>
        <v>الحوكمة</v>
      </c>
      <c r="K312" s="20" t="s">
        <v>96</v>
      </c>
      <c r="L312" s="21" t="str">
        <f aca="false">IFERROR(INDEX('نقاط التحقق'!$G$2:$G$31,MATCH($K312,'نقاط التحقق'!$A$2:$A$31,0))&amp;"","")</f>
        <v>مصفوفة صلاحيات معتمدة ومعممة على أصحاب المصلحة</v>
      </c>
      <c r="M312" s="18" t="str">
        <f aca="false">IFERROR(INDEX('نقاط التحقق'!$H$2:$H$31,MATCH($K312,'نقاط التحقق'!$A$2:$A$31,0))&amp;"","")</f>
        <v/>
      </c>
      <c r="N312" s="17" t="n">
        <v>60</v>
      </c>
      <c r="O312" s="17" t="n">
        <v>80</v>
      </c>
      <c r="P312" s="19" t="str">
        <f aca="false">IF($N312="","غير مقيّمة",IF($N312&gt;المرجع!$K$3,"مستوفاة بشكل متقدم",IF($N312&lt;=المرجع!$K$2,"مستوفاة بشكل أولي","مستوفاة بشكل جزئي")))</f>
        <v>مستوفاة بشكل جزئي</v>
      </c>
      <c r="Q312" s="22" t="s">
        <v>634</v>
      </c>
    </row>
    <row r="313" customFormat="false" ht="15" hidden="false" customHeight="true" outlineLevel="0" collapsed="false">
      <c r="A313" s="20" t="s">
        <v>707</v>
      </c>
      <c r="B313" s="20" t="s">
        <v>185</v>
      </c>
      <c r="C313" s="19" t="str">
        <f aca="false">IFERROR(INDEX('قائمة الوحدات'!$B$2:$B$41,MATCH($B313,'قائمة الوحدات'!$A$2:$A$41,0)),"")</f>
        <v>EXE</v>
      </c>
      <c r="D313" s="18" t="str">
        <f aca="false">IFERROR(INDEX('قائمة الوحدات'!$C$2:$C$41,MATCH($B313,'قائمة الوحدات'!$A$2:$A$41,0)),"")</f>
        <v>الشؤون التنفيذية</v>
      </c>
      <c r="E313" s="18" t="str">
        <f aca="false">IFERROR(INDEX('قائمة الوحدات'!$D$2:$D$41,MATCH($B313,'قائمة الوحدات'!$A$2:$A$41,0)),"")</f>
        <v>وكالة الشؤون الاستراتيجية</v>
      </c>
      <c r="F313" s="18" t="str">
        <f aca="false">IFERROR(INDEX('قائمة الوحدات'!$F$2:$F$41,MATCH($B313,'قائمة الوحدات'!$A$2:$A$41,0)),"")</f>
        <v>وكالة الشؤون الاستراتيجية</v>
      </c>
      <c r="G313" s="20" t="s">
        <v>62</v>
      </c>
      <c r="H313" s="18" t="str">
        <f aca="false">IFERROR(INDEX(المرجع!$A$2:$A$19,MATCH($G313,المرجع!$B$2:$B$19,0)),"")</f>
        <v>البناء المؤسسي</v>
      </c>
      <c r="I313" s="20" t="s">
        <v>52</v>
      </c>
      <c r="J313" s="18" t="str">
        <f aca="false">IFERROR(INDEX(المرجع!$D$2:$D$19,MATCH($I313,المرجع!$E$2:$E$19,0)),"")</f>
        <v>الحوكمة</v>
      </c>
      <c r="K313" s="20" t="s">
        <v>98</v>
      </c>
      <c r="L313" s="21" t="str">
        <f aca="false">IFERROR(INDEX('نقاط التحقق'!$G$2:$G$31,MATCH($K313,'نقاط التحقق'!$A$2:$A$31,0))&amp;"","")</f>
        <v>سياسات معتمدة للتي تملكها الوحدة التنظيمية</v>
      </c>
      <c r="M313" s="18" t="str">
        <f aca="false">IFERROR(INDEX('نقاط التحقق'!$H$2:$H$31,MATCH($K313,'نقاط التحقق'!$A$2:$A$31,0))&amp;"","")</f>
        <v/>
      </c>
      <c r="N313" s="17" t="n">
        <v>40</v>
      </c>
      <c r="O313" s="17" t="n">
        <v>100</v>
      </c>
      <c r="P313" s="19" t="str">
        <f aca="false">IF($N313="","غير مقيّمة",IF($N313&gt;المرجع!$K$3,"مستوفاة بشكل متقدم",IF($N313&lt;=المرجع!$K$2,"مستوفاة بشكل أولي","مستوفاة بشكل جزئي")))</f>
        <v>مستوفاة بشكل جزئي</v>
      </c>
      <c r="Q313" s="22" t="s">
        <v>634</v>
      </c>
    </row>
    <row r="314" customFormat="false" ht="15" hidden="false" customHeight="true" outlineLevel="0" collapsed="false">
      <c r="A314" s="20" t="s">
        <v>708</v>
      </c>
      <c r="B314" s="20" t="s">
        <v>185</v>
      </c>
      <c r="C314" s="19" t="str">
        <f aca="false">IFERROR(INDEX('قائمة الوحدات'!$B$2:$B$41,MATCH($B314,'قائمة الوحدات'!$A$2:$A$41,0)),"")</f>
        <v>EXE</v>
      </c>
      <c r="D314" s="18" t="str">
        <f aca="false">IFERROR(INDEX('قائمة الوحدات'!$C$2:$C$41,MATCH($B314,'قائمة الوحدات'!$A$2:$A$41,0)),"")</f>
        <v>الشؤون التنفيذية</v>
      </c>
      <c r="E314" s="18" t="str">
        <f aca="false">IFERROR(INDEX('قائمة الوحدات'!$D$2:$D$41,MATCH($B314,'قائمة الوحدات'!$A$2:$A$41,0)),"")</f>
        <v>وكالة الشؤون الاستراتيجية</v>
      </c>
      <c r="F314" s="18" t="str">
        <f aca="false">IFERROR(INDEX('قائمة الوحدات'!$F$2:$F$41,MATCH($B314,'قائمة الوحدات'!$A$2:$A$41,0)),"")</f>
        <v>وكالة الشؤون الاستراتيجية</v>
      </c>
      <c r="G314" s="20" t="s">
        <v>62</v>
      </c>
      <c r="H314" s="18" t="str">
        <f aca="false">IFERROR(INDEX(المرجع!$A$2:$A$19,MATCH($G314,المرجع!$B$2:$B$19,0)),"")</f>
        <v>البناء المؤسسي</v>
      </c>
      <c r="I314" s="20" t="s">
        <v>52</v>
      </c>
      <c r="J314" s="18" t="str">
        <f aca="false">IFERROR(INDEX(المرجع!$D$2:$D$19,MATCH($I314,المرجع!$E$2:$E$19,0)),"")</f>
        <v>الحوكمة</v>
      </c>
      <c r="K314" s="20" t="s">
        <v>100</v>
      </c>
      <c r="L314" s="21" t="str">
        <f aca="false">IFERROR(INDEX('نقاط التحقق'!$G$2:$G$31,MATCH($K314,'نقاط التحقق'!$A$2:$A$31,0))&amp;"","")</f>
        <v>قرار تشكيل معتمد للجان ذات العلاقة</v>
      </c>
      <c r="M314" s="18" t="str">
        <f aca="false">IFERROR(INDEX('نقاط التحقق'!$H$2:$H$31,MATCH($K314,'نقاط التحقق'!$A$2:$A$31,0))&amp;"","")</f>
        <v/>
      </c>
      <c r="N314" s="17" t="n">
        <v>55</v>
      </c>
      <c r="O314" s="17" t="n">
        <v>80</v>
      </c>
      <c r="P314" s="19" t="str">
        <f aca="false">IF($N314="","غير مقيّمة",IF($N314&gt;المرجع!$K$3,"مستوفاة بشكل متقدم",IF($N314&lt;=المرجع!$K$2,"مستوفاة بشكل أولي","مستوفاة بشكل جزئي")))</f>
        <v>مستوفاة بشكل جزئي</v>
      </c>
      <c r="Q314" s="22" t="s">
        <v>634</v>
      </c>
    </row>
    <row r="315" customFormat="false" ht="15" hidden="false" customHeight="true" outlineLevel="0" collapsed="false">
      <c r="A315" s="20" t="s">
        <v>709</v>
      </c>
      <c r="B315" s="20" t="s">
        <v>185</v>
      </c>
      <c r="C315" s="19" t="str">
        <f aca="false">IFERROR(INDEX('قائمة الوحدات'!$B$2:$B$41,MATCH($B315,'قائمة الوحدات'!$A$2:$A$41,0)),"")</f>
        <v>EXE</v>
      </c>
      <c r="D315" s="18" t="str">
        <f aca="false">IFERROR(INDEX('قائمة الوحدات'!$C$2:$C$41,MATCH($B315,'قائمة الوحدات'!$A$2:$A$41,0)),"")</f>
        <v>الشؤون التنفيذية</v>
      </c>
      <c r="E315" s="18" t="str">
        <f aca="false">IFERROR(INDEX('قائمة الوحدات'!$D$2:$D$41,MATCH($B315,'قائمة الوحدات'!$A$2:$A$41,0)),"")</f>
        <v>وكالة الشؤون الاستراتيجية</v>
      </c>
      <c r="F315" s="18" t="str">
        <f aca="false">IFERROR(INDEX('قائمة الوحدات'!$F$2:$F$41,MATCH($B315,'قائمة الوحدات'!$A$2:$A$41,0)),"")</f>
        <v>وكالة الشؤون الاستراتيجية</v>
      </c>
      <c r="G315" s="20" t="s">
        <v>62</v>
      </c>
      <c r="H315" s="18" t="str">
        <f aca="false">IFERROR(INDEX(المرجع!$A$2:$A$19,MATCH($G315,المرجع!$B$2:$B$19,0)),"")</f>
        <v>البناء المؤسسي</v>
      </c>
      <c r="I315" s="20" t="s">
        <v>55</v>
      </c>
      <c r="J315" s="18" t="str">
        <f aca="false">IFERROR(INDEX(المرجع!$D$2:$D$19,MATCH($I315,المرجع!$E$2:$E$19,0)),"")</f>
        <v>التنظيم</v>
      </c>
      <c r="K315" s="20" t="s">
        <v>102</v>
      </c>
      <c r="L315" s="21" t="str">
        <f aca="false">IFERROR(INDEX('نقاط التحقق'!$G$2:$G$31,MATCH($K315,'نقاط التحقق'!$A$2:$A$31,0))&amp;"","")</f>
        <v>هيكل تنظيمي معتمد من صاحب الصلاحية</v>
      </c>
      <c r="M315" s="18" t="str">
        <f aca="false">IFERROR(INDEX('نقاط التحقق'!$H$2:$H$31,MATCH($K315,'نقاط التحقق'!$A$2:$A$31,0))&amp;"","")</f>
        <v/>
      </c>
      <c r="N315" s="17" t="n">
        <v>65</v>
      </c>
      <c r="O315" s="17" t="n">
        <v>90</v>
      </c>
      <c r="P315" s="19" t="str">
        <f aca="false">IF($N315="","غير مقيّمة",IF($N315&gt;المرجع!$K$3,"مستوفاة بشكل متقدم",IF($N315&lt;=المرجع!$K$2,"مستوفاة بشكل أولي","مستوفاة بشكل جزئي")))</f>
        <v>مستوفاة بشكل جزئي</v>
      </c>
      <c r="Q315" s="22" t="s">
        <v>634</v>
      </c>
    </row>
    <row r="316" customFormat="false" ht="15" hidden="false" customHeight="true" outlineLevel="0" collapsed="false">
      <c r="A316" s="20" t="s">
        <v>710</v>
      </c>
      <c r="B316" s="20" t="s">
        <v>185</v>
      </c>
      <c r="C316" s="19" t="str">
        <f aca="false">IFERROR(INDEX('قائمة الوحدات'!$B$2:$B$41,MATCH($B316,'قائمة الوحدات'!$A$2:$A$41,0)),"")</f>
        <v>EXE</v>
      </c>
      <c r="D316" s="18" t="str">
        <f aca="false">IFERROR(INDEX('قائمة الوحدات'!$C$2:$C$41,MATCH($B316,'قائمة الوحدات'!$A$2:$A$41,0)),"")</f>
        <v>الشؤون التنفيذية</v>
      </c>
      <c r="E316" s="18" t="str">
        <f aca="false">IFERROR(INDEX('قائمة الوحدات'!$D$2:$D$41,MATCH($B316,'قائمة الوحدات'!$A$2:$A$41,0)),"")</f>
        <v>وكالة الشؤون الاستراتيجية</v>
      </c>
      <c r="F316" s="18" t="str">
        <f aca="false">IFERROR(INDEX('قائمة الوحدات'!$F$2:$F$41,MATCH($B316,'قائمة الوحدات'!$A$2:$A$41,0)),"")</f>
        <v>وكالة الشؤون الاستراتيجية</v>
      </c>
      <c r="G316" s="20" t="s">
        <v>62</v>
      </c>
      <c r="H316" s="18" t="str">
        <f aca="false">IFERROR(INDEX(المرجع!$A$2:$A$19,MATCH($G316,المرجع!$B$2:$B$19,0)),"")</f>
        <v>البناء المؤسسي</v>
      </c>
      <c r="I316" s="20" t="s">
        <v>55</v>
      </c>
      <c r="J316" s="18" t="str">
        <f aca="false">IFERROR(INDEX(المرجع!$D$2:$D$19,MATCH($I316,المرجع!$E$2:$E$19,0)),"")</f>
        <v>التنظيم</v>
      </c>
      <c r="K316" s="20" t="s">
        <v>104</v>
      </c>
      <c r="L316" s="21" t="str">
        <f aca="false">IFERROR(INDEX('نقاط التحقق'!$G$2:$G$31,MATCH($K316,'نقاط التحقق'!$A$2:$A$31,0))&amp;"","")</f>
        <v>هيكل تنظيمي منشأ على نظام القوى العاملة</v>
      </c>
      <c r="M316" s="18" t="str">
        <f aca="false">IFERROR(INDEX('نقاط التحقق'!$H$2:$H$31,MATCH($K316,'نقاط التحقق'!$A$2:$A$31,0))&amp;"","")</f>
        <v/>
      </c>
      <c r="N316" s="17" t="n">
        <v>50</v>
      </c>
      <c r="O316" s="17" t="n">
        <v>100</v>
      </c>
      <c r="P316" s="19" t="str">
        <f aca="false">IF($N316="","غير مقيّمة",IF($N316&gt;المرجع!$K$3,"مستوفاة بشكل متقدم",IF($N316&lt;=المرجع!$K$2,"مستوفاة بشكل أولي","مستوفاة بشكل جزئي")))</f>
        <v>مستوفاة بشكل جزئي</v>
      </c>
      <c r="Q316" s="22" t="s">
        <v>634</v>
      </c>
    </row>
    <row r="317" customFormat="false" ht="15" hidden="false" customHeight="true" outlineLevel="0" collapsed="false">
      <c r="A317" s="20" t="s">
        <v>711</v>
      </c>
      <c r="B317" s="20" t="s">
        <v>185</v>
      </c>
      <c r="C317" s="19" t="str">
        <f aca="false">IFERROR(INDEX('قائمة الوحدات'!$B$2:$B$41,MATCH($B317,'قائمة الوحدات'!$A$2:$A$41,0)),"")</f>
        <v>EXE</v>
      </c>
      <c r="D317" s="18" t="str">
        <f aca="false">IFERROR(INDEX('قائمة الوحدات'!$C$2:$C$41,MATCH($B317,'قائمة الوحدات'!$A$2:$A$41,0)),"")</f>
        <v>الشؤون التنفيذية</v>
      </c>
      <c r="E317" s="18" t="str">
        <f aca="false">IFERROR(INDEX('قائمة الوحدات'!$D$2:$D$41,MATCH($B317,'قائمة الوحدات'!$A$2:$A$41,0)),"")</f>
        <v>وكالة الشؤون الاستراتيجية</v>
      </c>
      <c r="F317" s="18" t="str">
        <f aca="false">IFERROR(INDEX('قائمة الوحدات'!$F$2:$F$41,MATCH($B317,'قائمة الوحدات'!$A$2:$A$41,0)),"")</f>
        <v>وكالة الشؤون الاستراتيجية</v>
      </c>
      <c r="G317" s="20" t="s">
        <v>62</v>
      </c>
      <c r="H317" s="18" t="str">
        <f aca="false">IFERROR(INDEX(المرجع!$A$2:$A$19,MATCH($G317,المرجع!$B$2:$B$19,0)),"")</f>
        <v>البناء المؤسسي</v>
      </c>
      <c r="I317" s="20" t="s">
        <v>55</v>
      </c>
      <c r="J317" s="18" t="str">
        <f aca="false">IFERROR(INDEX(المرجع!$D$2:$D$19,MATCH($I317,المرجع!$E$2:$E$19,0)),"")</f>
        <v>التنظيم</v>
      </c>
      <c r="K317" s="20" t="s">
        <v>106</v>
      </c>
      <c r="L317" s="21" t="str">
        <f aca="false">IFERROR(INDEX('نقاط التحقق'!$G$2:$G$31,MATCH($K317,'نقاط التحقق'!$A$2:$A$31,0))&amp;"","")</f>
        <v>الموظفون المحددون مسكّنون على الهيكل التنظيمي المستهدف</v>
      </c>
      <c r="M317" s="18" t="str">
        <f aca="false">IFERROR(INDEX('نقاط التحقق'!$H$2:$H$31,MATCH($K317,'نقاط التحقق'!$A$2:$A$31,0))&amp;"","")</f>
        <v/>
      </c>
      <c r="N317" s="17" t="n">
        <v>45</v>
      </c>
      <c r="O317" s="17" t="n">
        <v>100</v>
      </c>
      <c r="P317" s="19" t="str">
        <f aca="false">IF($N317="","غير مقيّمة",IF($N317&gt;المرجع!$K$3,"مستوفاة بشكل متقدم",IF($N317&lt;=المرجع!$K$2,"مستوفاة بشكل أولي","مستوفاة بشكل جزئي")))</f>
        <v>مستوفاة بشكل جزئي</v>
      </c>
      <c r="Q317" s="22" t="s">
        <v>634</v>
      </c>
    </row>
    <row r="318" customFormat="false" ht="15" hidden="false" customHeight="true" outlineLevel="0" collapsed="false">
      <c r="A318" s="20" t="s">
        <v>712</v>
      </c>
      <c r="B318" s="20" t="s">
        <v>185</v>
      </c>
      <c r="C318" s="19" t="str">
        <f aca="false">IFERROR(INDEX('قائمة الوحدات'!$B$2:$B$41,MATCH($B318,'قائمة الوحدات'!$A$2:$A$41,0)),"")</f>
        <v>EXE</v>
      </c>
      <c r="D318" s="18" t="str">
        <f aca="false">IFERROR(INDEX('قائمة الوحدات'!$C$2:$C$41,MATCH($B318,'قائمة الوحدات'!$A$2:$A$41,0)),"")</f>
        <v>الشؤون التنفيذية</v>
      </c>
      <c r="E318" s="18" t="str">
        <f aca="false">IFERROR(INDEX('قائمة الوحدات'!$D$2:$D$41,MATCH($B318,'قائمة الوحدات'!$A$2:$A$41,0)),"")</f>
        <v>وكالة الشؤون الاستراتيجية</v>
      </c>
      <c r="F318" s="18" t="str">
        <f aca="false">IFERROR(INDEX('قائمة الوحدات'!$F$2:$F$41,MATCH($B318,'قائمة الوحدات'!$A$2:$A$41,0)),"")</f>
        <v>وكالة الشؤون الاستراتيجية</v>
      </c>
      <c r="G318" s="20" t="s">
        <v>62</v>
      </c>
      <c r="H318" s="18" t="str">
        <f aca="false">IFERROR(INDEX(المرجع!$A$2:$A$19,MATCH($G318,المرجع!$B$2:$B$19,0)),"")</f>
        <v>البناء المؤسسي</v>
      </c>
      <c r="I318" s="20" t="s">
        <v>57</v>
      </c>
      <c r="J318" s="18" t="str">
        <f aca="false">IFERROR(INDEX(المرجع!$D$2:$D$19,MATCH($I318,المرجع!$E$2:$E$19,0)),"")</f>
        <v>الموارد</v>
      </c>
      <c r="K318" s="20" t="s">
        <v>108</v>
      </c>
      <c r="L318" s="21" t="str">
        <f aca="false">IFERROR(INDEX('نقاط التحقق'!$G$2:$G$31,MATCH($K318,'نقاط التحقق'!$A$2:$A$31,0))&amp;"","")</f>
        <v>مدير الوحدة التنظيمية والموظفون الرئيسيون معينون/ملحقون</v>
      </c>
      <c r="M318" s="18" t="str">
        <f aca="false">IFERROR(INDEX('نقاط التحقق'!$H$2:$H$31,MATCH($K318,'نقاط التحقق'!$A$2:$A$31,0))&amp;"","")</f>
        <v/>
      </c>
      <c r="N318" s="17" t="n">
        <v>60</v>
      </c>
      <c r="O318" s="17" t="n">
        <v>100</v>
      </c>
      <c r="P318" s="19" t="str">
        <f aca="false">IF($N318="","غير مقيّمة",IF($N318&gt;المرجع!$K$3,"مستوفاة بشكل متقدم",IF($N318&lt;=المرجع!$K$2,"مستوفاة بشكل أولي","مستوفاة بشكل جزئي")))</f>
        <v>مستوفاة بشكل جزئي</v>
      </c>
      <c r="Q318" s="22" t="s">
        <v>634</v>
      </c>
    </row>
    <row r="319" customFormat="false" ht="15" hidden="false" customHeight="true" outlineLevel="0" collapsed="false">
      <c r="A319" s="20" t="s">
        <v>713</v>
      </c>
      <c r="B319" s="20" t="s">
        <v>185</v>
      </c>
      <c r="C319" s="19" t="str">
        <f aca="false">IFERROR(INDEX('قائمة الوحدات'!$B$2:$B$41,MATCH($B319,'قائمة الوحدات'!$A$2:$A$41,0)),"")</f>
        <v>EXE</v>
      </c>
      <c r="D319" s="18" t="str">
        <f aca="false">IFERROR(INDEX('قائمة الوحدات'!$C$2:$C$41,MATCH($B319,'قائمة الوحدات'!$A$2:$A$41,0)),"")</f>
        <v>الشؤون التنفيذية</v>
      </c>
      <c r="E319" s="18" t="str">
        <f aca="false">IFERROR(INDEX('قائمة الوحدات'!$D$2:$D$41,MATCH($B319,'قائمة الوحدات'!$A$2:$A$41,0)),"")</f>
        <v>وكالة الشؤون الاستراتيجية</v>
      </c>
      <c r="F319" s="18" t="str">
        <f aca="false">IFERROR(INDEX('قائمة الوحدات'!$F$2:$F$41,MATCH($B319,'قائمة الوحدات'!$A$2:$A$41,0)),"")</f>
        <v>وكالة الشؤون الاستراتيجية</v>
      </c>
      <c r="G319" s="20" t="s">
        <v>62</v>
      </c>
      <c r="H319" s="18" t="str">
        <f aca="false">IFERROR(INDEX(المرجع!$A$2:$A$19,MATCH($G319,المرجع!$B$2:$B$19,0)),"")</f>
        <v>البناء المؤسسي</v>
      </c>
      <c r="I319" s="20" t="s">
        <v>57</v>
      </c>
      <c r="J319" s="18" t="str">
        <f aca="false">IFERROR(INDEX(المرجع!$D$2:$D$19,MATCH($I319,المرجع!$E$2:$E$19,0)),"")</f>
        <v>الموارد</v>
      </c>
      <c r="K319" s="20" t="s">
        <v>110</v>
      </c>
      <c r="L319" s="21" t="str">
        <f aca="false">IFERROR(INDEX('نقاط التحقق'!$G$2:$G$31,MATCH($K319,'نقاط التحقق'!$A$2:$A$31,0))&amp;"","")</f>
        <v>خطة توظيف وتدريب مستكملة</v>
      </c>
      <c r="M319" s="18" t="str">
        <f aca="false">IFERROR(INDEX('نقاط التحقق'!$H$2:$H$31,MATCH($K319,'نقاط التحقق'!$A$2:$A$31,0))&amp;"","")</f>
        <v/>
      </c>
      <c r="N319" s="17" t="n">
        <v>75</v>
      </c>
      <c r="O319" s="17" t="n">
        <v>100</v>
      </c>
      <c r="P319" s="19" t="str">
        <f aca="false">IF($N319="","غير مقيّمة",IF($N319&gt;المرجع!$K$3,"مستوفاة بشكل متقدم",IF($N319&lt;=المرجع!$K$2,"مستوفاة بشكل أولي","مستوفاة بشكل جزئي")))</f>
        <v>مستوفاة بشكل متقدم</v>
      </c>
      <c r="Q319" s="22" t="s">
        <v>634</v>
      </c>
    </row>
    <row r="320" customFormat="false" ht="15" hidden="false" customHeight="true" outlineLevel="0" collapsed="false">
      <c r="A320" s="20" t="s">
        <v>714</v>
      </c>
      <c r="B320" s="20" t="s">
        <v>185</v>
      </c>
      <c r="C320" s="19" t="str">
        <f aca="false">IFERROR(INDEX('قائمة الوحدات'!$B$2:$B$41,MATCH($B320,'قائمة الوحدات'!$A$2:$A$41,0)),"")</f>
        <v>EXE</v>
      </c>
      <c r="D320" s="18" t="str">
        <f aca="false">IFERROR(INDEX('قائمة الوحدات'!$C$2:$C$41,MATCH($B320,'قائمة الوحدات'!$A$2:$A$41,0)),"")</f>
        <v>الشؤون التنفيذية</v>
      </c>
      <c r="E320" s="18" t="str">
        <f aca="false">IFERROR(INDEX('قائمة الوحدات'!$D$2:$D$41,MATCH($B320,'قائمة الوحدات'!$A$2:$A$41,0)),"")</f>
        <v>وكالة الشؤون الاستراتيجية</v>
      </c>
      <c r="F320" s="18" t="str">
        <f aca="false">IFERROR(INDEX('قائمة الوحدات'!$F$2:$F$41,MATCH($B320,'قائمة الوحدات'!$A$2:$A$41,0)),"")</f>
        <v>وكالة الشؤون الاستراتيجية</v>
      </c>
      <c r="G320" s="20" t="s">
        <v>62</v>
      </c>
      <c r="H320" s="18" t="str">
        <f aca="false">IFERROR(INDEX(المرجع!$A$2:$A$19,MATCH($G320,المرجع!$B$2:$B$19,0)),"")</f>
        <v>البناء المؤسسي</v>
      </c>
      <c r="I320" s="20" t="s">
        <v>57</v>
      </c>
      <c r="J320" s="18" t="str">
        <f aca="false">IFERROR(INDEX(المرجع!$D$2:$D$19,MATCH($I320,المرجع!$E$2:$E$19,0)),"")</f>
        <v>الموارد</v>
      </c>
      <c r="K320" s="20" t="s">
        <v>112</v>
      </c>
      <c r="L320" s="21" t="str">
        <f aca="false">IFERROR(INDEX('نقاط التحقق'!$G$2:$G$31,MATCH($K320,'نقاط التحقق'!$A$2:$A$31,0))&amp;"","")</f>
        <v>وجود مساحات مكتبية كافية</v>
      </c>
      <c r="M320" s="18" t="str">
        <f aca="false">IFERROR(INDEX('نقاط التحقق'!$H$2:$H$31,MATCH($K320,'نقاط التحقق'!$A$2:$A$31,0))&amp;"","")</f>
        <v/>
      </c>
      <c r="N320" s="17" t="n">
        <v>90</v>
      </c>
      <c r="O320" s="17" t="n">
        <v>95</v>
      </c>
      <c r="P320" s="19" t="str">
        <f aca="false">IF($N320="","غير مقيّمة",IF($N320&gt;المرجع!$K$3,"مستوفاة بشكل متقدم",IF($N320&lt;=المرجع!$K$2,"مستوفاة بشكل أولي","مستوفاة بشكل جزئي")))</f>
        <v>مستوفاة بشكل متقدم</v>
      </c>
      <c r="Q320" s="22" t="s">
        <v>634</v>
      </c>
    </row>
    <row r="321" customFormat="false" ht="15" hidden="false" customHeight="true" outlineLevel="0" collapsed="false">
      <c r="A321" s="20" t="s">
        <v>715</v>
      </c>
      <c r="B321" s="20" t="s">
        <v>185</v>
      </c>
      <c r="C321" s="19" t="str">
        <f aca="false">IFERROR(INDEX('قائمة الوحدات'!$B$2:$B$41,MATCH($B321,'قائمة الوحدات'!$A$2:$A$41,0)),"")</f>
        <v>EXE</v>
      </c>
      <c r="D321" s="18" t="str">
        <f aca="false">IFERROR(INDEX('قائمة الوحدات'!$C$2:$C$41,MATCH($B321,'قائمة الوحدات'!$A$2:$A$41,0)),"")</f>
        <v>الشؤون التنفيذية</v>
      </c>
      <c r="E321" s="18" t="str">
        <f aca="false">IFERROR(INDEX('قائمة الوحدات'!$D$2:$D$41,MATCH($B321,'قائمة الوحدات'!$A$2:$A$41,0)),"")</f>
        <v>وكالة الشؤون الاستراتيجية</v>
      </c>
      <c r="F321" s="18" t="str">
        <f aca="false">IFERROR(INDEX('قائمة الوحدات'!$F$2:$F$41,MATCH($B321,'قائمة الوحدات'!$A$2:$A$41,0)),"")</f>
        <v>وكالة الشؤون الاستراتيجية</v>
      </c>
      <c r="G321" s="20" t="s">
        <v>62</v>
      </c>
      <c r="H321" s="18" t="str">
        <f aca="false">IFERROR(INDEX(المرجع!$A$2:$A$19,MATCH($G321,المرجع!$B$2:$B$19,0)),"")</f>
        <v>البناء المؤسسي</v>
      </c>
      <c r="I321" s="20" t="s">
        <v>57</v>
      </c>
      <c r="J321" s="18" t="str">
        <f aca="false">IFERROR(INDEX(المرجع!$D$2:$D$19,MATCH($I321,المرجع!$E$2:$E$19,0)),"")</f>
        <v>الموارد</v>
      </c>
      <c r="K321" s="20" t="s">
        <v>114</v>
      </c>
      <c r="L321" s="21" t="str">
        <f aca="false">IFERROR(INDEX('نقاط التحقق'!$G$2:$G$31,MATCH($K321,'نقاط التحقق'!$A$2:$A$31,0))&amp;"","")</f>
        <v>وجود الاحتياجات التقنية الأساسية</v>
      </c>
      <c r="M321" s="18" t="str">
        <f aca="false">IFERROR(INDEX('نقاط التحقق'!$H$2:$H$31,MATCH($K321,'نقاط التحقق'!$A$2:$A$31,0))&amp;"","")</f>
        <v/>
      </c>
      <c r="N321" s="17" t="n">
        <v>80</v>
      </c>
      <c r="O321" s="17" t="n">
        <v>100</v>
      </c>
      <c r="P321" s="19" t="str">
        <f aca="false">IF($N321="","غير مقيّمة",IF($N321&gt;المرجع!$K$3,"مستوفاة بشكل متقدم",IF($N321&lt;=المرجع!$K$2,"مستوفاة بشكل أولي","مستوفاة بشكل جزئي")))</f>
        <v>مستوفاة بشكل متقدم</v>
      </c>
      <c r="Q321" s="22" t="s">
        <v>634</v>
      </c>
    </row>
    <row r="322" customFormat="false" ht="15" hidden="false" customHeight="true" outlineLevel="0" collapsed="false">
      <c r="A322" s="20" t="s">
        <v>716</v>
      </c>
      <c r="B322" s="20" t="s">
        <v>185</v>
      </c>
      <c r="C322" s="19" t="str">
        <f aca="false">IFERROR(INDEX('قائمة الوحدات'!$B$2:$B$41,MATCH($B322,'قائمة الوحدات'!$A$2:$A$41,0)),"")</f>
        <v>EXE</v>
      </c>
      <c r="D322" s="18" t="str">
        <f aca="false">IFERROR(INDEX('قائمة الوحدات'!$C$2:$C$41,MATCH($B322,'قائمة الوحدات'!$A$2:$A$41,0)),"")</f>
        <v>الشؤون التنفيذية</v>
      </c>
      <c r="E322" s="18" t="str">
        <f aca="false">IFERROR(INDEX('قائمة الوحدات'!$D$2:$D$41,MATCH($B322,'قائمة الوحدات'!$A$2:$A$41,0)),"")</f>
        <v>وكالة الشؤون الاستراتيجية</v>
      </c>
      <c r="F322" s="18" t="str">
        <f aca="false">IFERROR(INDEX('قائمة الوحدات'!$F$2:$F$41,MATCH($B322,'قائمة الوحدات'!$A$2:$A$41,0)),"")</f>
        <v>وكالة الشؤون الاستراتيجية</v>
      </c>
      <c r="G322" s="20" t="s">
        <v>62</v>
      </c>
      <c r="H322" s="18" t="str">
        <f aca="false">IFERROR(INDEX(المرجع!$A$2:$A$19,MATCH($G322,المرجع!$B$2:$B$19,0)),"")</f>
        <v>البناء المؤسسي</v>
      </c>
      <c r="I322" s="20" t="s">
        <v>60</v>
      </c>
      <c r="J322" s="18" t="str">
        <f aca="false">IFERROR(INDEX(المرجع!$D$2:$D$19,MATCH($I322,المرجع!$E$2:$E$19,0)),"")</f>
        <v>الإجراءات</v>
      </c>
      <c r="K322" s="20" t="s">
        <v>116</v>
      </c>
      <c r="L322" s="21" t="str">
        <f aca="false">IFERROR(INDEX('نقاط التحقق'!$G$2:$G$31,MATCH($K322,'نقاط التحقق'!$A$2:$A$31,0))&amp;"","")</f>
        <v>إجراءات معتمدة للوحدة التنظيمية</v>
      </c>
      <c r="M322" s="18" t="str">
        <f aca="false">IFERROR(INDEX('نقاط التحقق'!$H$2:$H$31,MATCH($K322,'نقاط التحقق'!$A$2:$A$31,0))&amp;"","")</f>
        <v/>
      </c>
      <c r="N322" s="17" t="n">
        <v>78</v>
      </c>
      <c r="O322" s="17" t="n">
        <v>100</v>
      </c>
      <c r="P322" s="19" t="str">
        <f aca="false">IF($N322="","غير مقيّمة",IF($N322&gt;المرجع!$K$3,"مستوفاة بشكل متقدم",IF($N322&lt;=المرجع!$K$2,"مستوفاة بشكل أولي","مستوفاة بشكل جزئي")))</f>
        <v>مستوفاة بشكل متقدم</v>
      </c>
      <c r="Q322" s="22" t="s">
        <v>634</v>
      </c>
    </row>
    <row r="323" customFormat="false" ht="15" hidden="false" customHeight="true" outlineLevel="0" collapsed="false">
      <c r="A323" s="20" t="s">
        <v>717</v>
      </c>
      <c r="B323" s="20" t="s">
        <v>185</v>
      </c>
      <c r="C323" s="19" t="str">
        <f aca="false">IFERROR(INDEX('قائمة الوحدات'!$B$2:$B$41,MATCH($B323,'قائمة الوحدات'!$A$2:$A$41,0)),"")</f>
        <v>EXE</v>
      </c>
      <c r="D323" s="18" t="str">
        <f aca="false">IFERROR(INDEX('قائمة الوحدات'!$C$2:$C$41,MATCH($B323,'قائمة الوحدات'!$A$2:$A$41,0)),"")</f>
        <v>الشؤون التنفيذية</v>
      </c>
      <c r="E323" s="18" t="str">
        <f aca="false">IFERROR(INDEX('قائمة الوحدات'!$D$2:$D$41,MATCH($B323,'قائمة الوحدات'!$A$2:$A$41,0)),"")</f>
        <v>وكالة الشؤون الاستراتيجية</v>
      </c>
      <c r="F323" s="18" t="str">
        <f aca="false">IFERROR(INDEX('قائمة الوحدات'!$F$2:$F$41,MATCH($B323,'قائمة الوحدات'!$A$2:$A$41,0)),"")</f>
        <v>وكالة الشؤون الاستراتيجية</v>
      </c>
      <c r="G323" s="20" t="s">
        <v>62</v>
      </c>
      <c r="H323" s="18" t="str">
        <f aca="false">IFERROR(INDEX(المرجع!$A$2:$A$19,MATCH($G323,المرجع!$B$2:$B$19,0)),"")</f>
        <v>البناء المؤسسي</v>
      </c>
      <c r="I323" s="20" t="s">
        <v>69</v>
      </c>
      <c r="J323" s="18" t="str">
        <f aca="false">IFERROR(INDEX(المرجع!$D$2:$D$19,MATCH($I323,المرجع!$E$2:$E$19,0)),"")</f>
        <v>إنتاج المخرج الأول</v>
      </c>
      <c r="K323" s="20" t="s">
        <v>118</v>
      </c>
      <c r="L323" s="21" t="str">
        <f aca="false">IFERROR(INDEX('نقاط التحقق'!$G$2:$G$31,MATCH($K323,'نقاط التحقق'!$A$2:$A$31,0))&amp;"","")</f>
        <v>إنتاج المخرج الأول من قبل الوحدة التنظيمية</v>
      </c>
      <c r="M323" s="18" t="str">
        <f aca="false">IFERROR(INDEX('نقاط التحقق'!$H$2:$H$31,MATCH($K323,'نقاط التحقق'!$A$2:$A$31,0))&amp;"","")</f>
        <v/>
      </c>
      <c r="N323" s="17" t="n">
        <v>48</v>
      </c>
      <c r="O323" s="17" t="n">
        <v>80</v>
      </c>
      <c r="P323" s="19" t="str">
        <f aca="false">IF($N323="","غير مقيّمة",IF($N323&gt;المرجع!$K$3,"مستوفاة بشكل متقدم",IF($N323&lt;=المرجع!$K$2,"مستوفاة بشكل أولي","مستوفاة بشكل جزئي")))</f>
        <v>مستوفاة بشكل جزئي</v>
      </c>
      <c r="Q323" s="22" t="s">
        <v>634</v>
      </c>
    </row>
    <row r="324" customFormat="false" ht="15" hidden="false" customHeight="true" outlineLevel="0" collapsed="false">
      <c r="A324" s="20" t="s">
        <v>718</v>
      </c>
      <c r="B324" s="20" t="s">
        <v>185</v>
      </c>
      <c r="C324" s="19" t="str">
        <f aca="false">IFERROR(INDEX('قائمة الوحدات'!$B$2:$B$41,MATCH($B324,'قائمة الوحدات'!$A$2:$A$41,0)),"")</f>
        <v>EXE</v>
      </c>
      <c r="D324" s="18" t="str">
        <f aca="false">IFERROR(INDEX('قائمة الوحدات'!$C$2:$C$41,MATCH($B324,'قائمة الوحدات'!$A$2:$A$41,0)),"")</f>
        <v>الشؤون التنفيذية</v>
      </c>
      <c r="E324" s="18" t="str">
        <f aca="false">IFERROR(INDEX('قائمة الوحدات'!$D$2:$D$41,MATCH($B324,'قائمة الوحدات'!$A$2:$A$41,0)),"")</f>
        <v>وكالة الشؤون الاستراتيجية</v>
      </c>
      <c r="F324" s="18" t="str">
        <f aca="false">IFERROR(INDEX('قائمة الوحدات'!$F$2:$F$41,MATCH($B324,'قائمة الوحدات'!$A$2:$A$41,0)),"")</f>
        <v>وكالة الشؤون الاستراتيجية</v>
      </c>
      <c r="G324" s="20" t="s">
        <v>66</v>
      </c>
      <c r="H324" s="18" t="str">
        <f aca="false">IFERROR(INDEX(المرجع!$A$2:$A$19,MATCH($G324,المرجع!$B$2:$B$19,0)),"")</f>
        <v>التشغيل</v>
      </c>
      <c r="I324" s="20" t="s">
        <v>49</v>
      </c>
      <c r="J324" s="18" t="str">
        <f aca="false">IFERROR(INDEX(المرجع!$D$2:$D$19,MATCH($I324,المرجع!$E$2:$E$19,0)),"")</f>
        <v>الأهداف ومؤشرات الأداء</v>
      </c>
      <c r="K324" s="20" t="s">
        <v>120</v>
      </c>
      <c r="L324" s="21" t="str">
        <f aca="false">IFERROR(INDEX('نقاط التحقق'!$G$2:$G$31,MATCH($K324,'نقاط التحقق'!$A$2:$A$31,0))&amp;"","")</f>
        <v>تحرك مؤشرات الأداء التشغيلي للوحدة التنظيمية بشكل إيجابي</v>
      </c>
      <c r="M324" s="18" t="str">
        <f aca="false">IFERROR(INDEX('نقاط التحقق'!$H$2:$H$31,MATCH($K324,'نقاط التحقق'!$A$2:$A$31,0))&amp;"","")</f>
        <v/>
      </c>
      <c r="N324" s="17" t="n">
        <v>35</v>
      </c>
      <c r="O324" s="17" t="n">
        <v>100</v>
      </c>
      <c r="P324" s="19" t="str">
        <f aca="false">IF($N324="","غير مقيّمة",IF($N324&gt;المرجع!$K$3,"مستوفاة بشكل متقدم",IF($N324&lt;=المرجع!$K$2,"مستوفاة بشكل أولي","مستوفاة بشكل جزئي")))</f>
        <v>مستوفاة بشكل جزئي</v>
      </c>
      <c r="Q324" s="22" t="s">
        <v>634</v>
      </c>
    </row>
    <row r="325" customFormat="false" ht="15" hidden="false" customHeight="true" outlineLevel="0" collapsed="false">
      <c r="A325" s="20" t="s">
        <v>719</v>
      </c>
      <c r="B325" s="20" t="s">
        <v>185</v>
      </c>
      <c r="C325" s="19" t="str">
        <f aca="false">IFERROR(INDEX('قائمة الوحدات'!$B$2:$B$41,MATCH($B325,'قائمة الوحدات'!$A$2:$A$41,0)),"")</f>
        <v>EXE</v>
      </c>
      <c r="D325" s="18" t="str">
        <f aca="false">IFERROR(INDEX('قائمة الوحدات'!$C$2:$C$41,MATCH($B325,'قائمة الوحدات'!$A$2:$A$41,0)),"")</f>
        <v>الشؤون التنفيذية</v>
      </c>
      <c r="E325" s="18" t="str">
        <f aca="false">IFERROR(INDEX('قائمة الوحدات'!$D$2:$D$41,MATCH($B325,'قائمة الوحدات'!$A$2:$A$41,0)),"")</f>
        <v>وكالة الشؤون الاستراتيجية</v>
      </c>
      <c r="F325" s="18" t="str">
        <f aca="false">IFERROR(INDEX('قائمة الوحدات'!$F$2:$F$41,MATCH($B325,'قائمة الوحدات'!$A$2:$A$41,0)),"")</f>
        <v>وكالة الشؤون الاستراتيجية</v>
      </c>
      <c r="G325" s="20" t="s">
        <v>66</v>
      </c>
      <c r="H325" s="18" t="str">
        <f aca="false">IFERROR(INDEX(المرجع!$A$2:$A$19,MATCH($G325,المرجع!$B$2:$B$19,0)),"")</f>
        <v>التشغيل</v>
      </c>
      <c r="I325" s="20" t="s">
        <v>49</v>
      </c>
      <c r="J325" s="18" t="str">
        <f aca="false">IFERROR(INDEX(المرجع!$D$2:$D$19,MATCH($I325,المرجع!$E$2:$E$19,0)),"")</f>
        <v>الأهداف ومؤشرات الأداء</v>
      </c>
      <c r="K325" s="20" t="s">
        <v>122</v>
      </c>
      <c r="L325" s="21" t="str">
        <f aca="false">IFERROR(INDEX('نقاط التحقق'!$G$2:$G$31,MATCH($K325,'نقاط التحقق'!$A$2:$A$31,0))&amp;"","")</f>
        <v>خطة سنوية معتمدة للوحدة التنظيمية</v>
      </c>
      <c r="M325" s="18" t="str">
        <f aca="false">IFERROR(INDEX('نقاط التحقق'!$H$2:$H$31,MATCH($K325,'نقاط التحقق'!$A$2:$A$31,0))&amp;"","")</f>
        <v/>
      </c>
      <c r="N325" s="17" t="n">
        <v>35</v>
      </c>
      <c r="O325" s="17" t="n">
        <v>80</v>
      </c>
      <c r="P325" s="19" t="str">
        <f aca="false">IF($N325="","غير مقيّمة",IF($N325&gt;المرجع!$K$3,"مستوفاة بشكل متقدم",IF($N325&lt;=المرجع!$K$2,"مستوفاة بشكل أولي","مستوفاة بشكل جزئي")))</f>
        <v>مستوفاة بشكل جزئي</v>
      </c>
      <c r="Q325" s="22" t="s">
        <v>634</v>
      </c>
    </row>
    <row r="326" customFormat="false" ht="15" hidden="false" customHeight="true" outlineLevel="0" collapsed="false">
      <c r="A326" s="20" t="s">
        <v>720</v>
      </c>
      <c r="B326" s="20" t="s">
        <v>185</v>
      </c>
      <c r="C326" s="19" t="str">
        <f aca="false">IFERROR(INDEX('قائمة الوحدات'!$B$2:$B$41,MATCH($B326,'قائمة الوحدات'!$A$2:$A$41,0)),"")</f>
        <v>EXE</v>
      </c>
      <c r="D326" s="18" t="str">
        <f aca="false">IFERROR(INDEX('قائمة الوحدات'!$C$2:$C$41,MATCH($B326,'قائمة الوحدات'!$A$2:$A$41,0)),"")</f>
        <v>الشؤون التنفيذية</v>
      </c>
      <c r="E326" s="18" t="str">
        <f aca="false">IFERROR(INDEX('قائمة الوحدات'!$D$2:$D$41,MATCH($B326,'قائمة الوحدات'!$A$2:$A$41,0)),"")</f>
        <v>وكالة الشؤون الاستراتيجية</v>
      </c>
      <c r="F326" s="18" t="str">
        <f aca="false">IFERROR(INDEX('قائمة الوحدات'!$F$2:$F$41,MATCH($B326,'قائمة الوحدات'!$A$2:$A$41,0)),"")</f>
        <v>وكالة الشؤون الاستراتيجية</v>
      </c>
      <c r="G326" s="20" t="s">
        <v>66</v>
      </c>
      <c r="H326" s="18" t="str">
        <f aca="false">IFERROR(INDEX(المرجع!$A$2:$A$19,MATCH($G326,المرجع!$B$2:$B$19,0)),"")</f>
        <v>التشغيل</v>
      </c>
      <c r="I326" s="20" t="s">
        <v>52</v>
      </c>
      <c r="J326" s="18" t="str">
        <f aca="false">IFERROR(INDEX(المرجع!$D$2:$D$19,MATCH($I326,المرجع!$E$2:$E$19,0)),"")</f>
        <v>الحوكمة</v>
      </c>
      <c r="K326" s="20" t="s">
        <v>124</v>
      </c>
      <c r="L326" s="21" t="str">
        <f aca="false">IFERROR(INDEX('نقاط التحقق'!$G$2:$G$31,MATCH($K326,'نقاط التحقق'!$A$2:$A$31,0))&amp;"","")</f>
        <v>محاضر لجان موثقة</v>
      </c>
      <c r="M326" s="18" t="str">
        <f aca="false">IFERROR(INDEX('نقاط التحقق'!$H$2:$H$31,MATCH($K326,'نقاط التحقق'!$A$2:$A$31,0))&amp;"","")</f>
        <v/>
      </c>
      <c r="N326" s="17" t="n">
        <v>70</v>
      </c>
      <c r="O326" s="17" t="n">
        <v>85</v>
      </c>
      <c r="P326" s="19" t="str">
        <f aca="false">IF($N326="","غير مقيّمة",IF($N326&gt;المرجع!$K$3,"مستوفاة بشكل متقدم",IF($N326&lt;=المرجع!$K$2,"مستوفاة بشكل أولي","مستوفاة بشكل جزئي")))</f>
        <v>مستوفاة بشكل جزئي</v>
      </c>
      <c r="Q326" s="22" t="s">
        <v>634</v>
      </c>
    </row>
    <row r="327" customFormat="false" ht="15" hidden="false" customHeight="true" outlineLevel="0" collapsed="false">
      <c r="A327" s="20" t="s">
        <v>721</v>
      </c>
      <c r="B327" s="20" t="s">
        <v>185</v>
      </c>
      <c r="C327" s="19" t="str">
        <f aca="false">IFERROR(INDEX('قائمة الوحدات'!$B$2:$B$41,MATCH($B327,'قائمة الوحدات'!$A$2:$A$41,0)),"")</f>
        <v>EXE</v>
      </c>
      <c r="D327" s="18" t="str">
        <f aca="false">IFERROR(INDEX('قائمة الوحدات'!$C$2:$C$41,MATCH($B327,'قائمة الوحدات'!$A$2:$A$41,0)),"")</f>
        <v>الشؤون التنفيذية</v>
      </c>
      <c r="E327" s="18" t="str">
        <f aca="false">IFERROR(INDEX('قائمة الوحدات'!$D$2:$D$41,MATCH($B327,'قائمة الوحدات'!$A$2:$A$41,0)),"")</f>
        <v>وكالة الشؤون الاستراتيجية</v>
      </c>
      <c r="F327" s="18" t="str">
        <f aca="false">IFERROR(INDEX('قائمة الوحدات'!$F$2:$F$41,MATCH($B327,'قائمة الوحدات'!$A$2:$A$41,0)),"")</f>
        <v>وكالة الشؤون الاستراتيجية</v>
      </c>
      <c r="G327" s="20" t="s">
        <v>66</v>
      </c>
      <c r="H327" s="18" t="str">
        <f aca="false">IFERROR(INDEX(المرجع!$A$2:$A$19,MATCH($G327,المرجع!$B$2:$B$19,0)),"")</f>
        <v>التشغيل</v>
      </c>
      <c r="I327" s="20" t="s">
        <v>52</v>
      </c>
      <c r="J327" s="18" t="str">
        <f aca="false">IFERROR(INDEX(المرجع!$D$2:$D$19,MATCH($I327,المرجع!$E$2:$E$19,0)),"")</f>
        <v>الحوكمة</v>
      </c>
      <c r="K327" s="20" t="s">
        <v>126</v>
      </c>
      <c r="L327" s="21" t="str">
        <f aca="false">IFERROR(INDEX('نقاط التحقق'!$G$2:$G$31,MATCH($K327,'نقاط التحقق'!$A$2:$A$31,0))&amp;"","")</f>
        <v>نشر السياسات التي تملكها الوحدة التنظيمية</v>
      </c>
      <c r="M327" s="18" t="str">
        <f aca="false">IFERROR(INDEX('نقاط التحقق'!$H$2:$H$31,MATCH($K327,'نقاط التحقق'!$A$2:$A$31,0))&amp;"","")</f>
        <v/>
      </c>
      <c r="N327" s="17" t="n">
        <v>50</v>
      </c>
      <c r="O327" s="17" t="n">
        <v>85</v>
      </c>
      <c r="P327" s="19" t="str">
        <f aca="false">IF($N327="","غير مقيّمة",IF($N327&gt;المرجع!$K$3,"مستوفاة بشكل متقدم",IF($N327&lt;=المرجع!$K$2,"مستوفاة بشكل أولي","مستوفاة بشكل جزئي")))</f>
        <v>مستوفاة بشكل جزئي</v>
      </c>
      <c r="Q327" s="22" t="s">
        <v>634</v>
      </c>
    </row>
    <row r="328" customFormat="false" ht="15" hidden="false" customHeight="true" outlineLevel="0" collapsed="false">
      <c r="A328" s="20" t="s">
        <v>722</v>
      </c>
      <c r="B328" s="20" t="s">
        <v>185</v>
      </c>
      <c r="C328" s="19" t="str">
        <f aca="false">IFERROR(INDEX('قائمة الوحدات'!$B$2:$B$41,MATCH($B328,'قائمة الوحدات'!$A$2:$A$41,0)),"")</f>
        <v>EXE</v>
      </c>
      <c r="D328" s="18" t="str">
        <f aca="false">IFERROR(INDEX('قائمة الوحدات'!$C$2:$C$41,MATCH($B328,'قائمة الوحدات'!$A$2:$A$41,0)),"")</f>
        <v>الشؤون التنفيذية</v>
      </c>
      <c r="E328" s="18" t="str">
        <f aca="false">IFERROR(INDEX('قائمة الوحدات'!$D$2:$D$41,MATCH($B328,'قائمة الوحدات'!$A$2:$A$41,0)),"")</f>
        <v>وكالة الشؤون الاستراتيجية</v>
      </c>
      <c r="F328" s="18" t="str">
        <f aca="false">IFERROR(INDEX('قائمة الوحدات'!$F$2:$F$41,MATCH($B328,'قائمة الوحدات'!$A$2:$A$41,0)),"")</f>
        <v>وكالة الشؤون الاستراتيجية</v>
      </c>
      <c r="G328" s="20" t="s">
        <v>66</v>
      </c>
      <c r="H328" s="18" t="str">
        <f aca="false">IFERROR(INDEX(المرجع!$A$2:$A$19,MATCH($G328,المرجع!$B$2:$B$19,0)),"")</f>
        <v>التشغيل</v>
      </c>
      <c r="I328" s="20" t="s">
        <v>52</v>
      </c>
      <c r="J328" s="18" t="str">
        <f aca="false">IFERROR(INDEX(المرجع!$D$2:$D$19,MATCH($I328,المرجع!$E$2:$E$19,0)),"")</f>
        <v>الحوكمة</v>
      </c>
      <c r="K328" s="20" t="s">
        <v>128</v>
      </c>
      <c r="L328" s="21" t="str">
        <f aca="false">IFERROR(INDEX('نقاط التحقق'!$G$2:$G$31,MATCH($K328,'نقاط التحقق'!$A$2:$A$31,0))&amp;"","")</f>
        <v>اتخاذ القرارات في نطاق الصلاحيات (وجود شواهد)</v>
      </c>
      <c r="M328" s="18" t="str">
        <f aca="false">IFERROR(INDEX('نقاط التحقق'!$H$2:$H$31,MATCH($K328,'نقاط التحقق'!$A$2:$A$31,0))&amp;"","")</f>
        <v/>
      </c>
      <c r="N328" s="17" t="n">
        <v>70</v>
      </c>
      <c r="O328" s="17" t="n">
        <v>90</v>
      </c>
      <c r="P328" s="19" t="str">
        <f aca="false">IF($N328="","غير مقيّمة",IF($N328&gt;المرجع!$K$3,"مستوفاة بشكل متقدم",IF($N328&lt;=المرجع!$K$2,"مستوفاة بشكل أولي","مستوفاة بشكل جزئي")))</f>
        <v>مستوفاة بشكل جزئي</v>
      </c>
      <c r="Q328" s="22" t="s">
        <v>634</v>
      </c>
    </row>
    <row r="329" customFormat="false" ht="15" hidden="false" customHeight="true" outlineLevel="0" collapsed="false">
      <c r="A329" s="20" t="s">
        <v>723</v>
      </c>
      <c r="B329" s="20" t="s">
        <v>185</v>
      </c>
      <c r="C329" s="19" t="str">
        <f aca="false">IFERROR(INDEX('قائمة الوحدات'!$B$2:$B$41,MATCH($B329,'قائمة الوحدات'!$A$2:$A$41,0)),"")</f>
        <v>EXE</v>
      </c>
      <c r="D329" s="18" t="str">
        <f aca="false">IFERROR(INDEX('قائمة الوحدات'!$C$2:$C$41,MATCH($B329,'قائمة الوحدات'!$A$2:$A$41,0)),"")</f>
        <v>الشؤون التنفيذية</v>
      </c>
      <c r="E329" s="18" t="str">
        <f aca="false">IFERROR(INDEX('قائمة الوحدات'!$D$2:$D$41,MATCH($B329,'قائمة الوحدات'!$A$2:$A$41,0)),"")</f>
        <v>وكالة الشؤون الاستراتيجية</v>
      </c>
      <c r="F329" s="18" t="str">
        <f aca="false">IFERROR(INDEX('قائمة الوحدات'!$F$2:$F$41,MATCH($B329,'قائمة الوحدات'!$A$2:$A$41,0)),"")</f>
        <v>وكالة الشؤون الاستراتيجية</v>
      </c>
      <c r="G329" s="20" t="s">
        <v>66</v>
      </c>
      <c r="H329" s="18" t="str">
        <f aca="false">IFERROR(INDEX(المرجع!$A$2:$A$19,MATCH($G329,المرجع!$B$2:$B$19,0)),"")</f>
        <v>التشغيل</v>
      </c>
      <c r="I329" s="20" t="s">
        <v>57</v>
      </c>
      <c r="J329" s="18" t="str">
        <f aca="false">IFERROR(INDEX(المرجع!$D$2:$D$19,MATCH($I329,المرجع!$E$2:$E$19,0)),"")</f>
        <v>الموارد</v>
      </c>
      <c r="K329" s="20" t="s">
        <v>130</v>
      </c>
      <c r="L329" s="21" t="str">
        <f aca="false">IFERROR(INDEX('نقاط التحقق'!$G$2:$G$31,MATCH($K329,'نقاط التحقق'!$A$2:$A$31,0))&amp;"","")</f>
        <v>موارد مستكملة للحد الأدنى الذي يغطي كافة محاور سلسلة القيمة</v>
      </c>
      <c r="M329" s="18" t="str">
        <f aca="false">IFERROR(INDEX('نقاط التحقق'!$H$2:$H$31,MATCH($K329,'نقاط التحقق'!$A$2:$A$31,0))&amp;"","")</f>
        <v/>
      </c>
      <c r="N329" s="17" t="n">
        <v>38</v>
      </c>
      <c r="O329" s="17" t="n">
        <v>80</v>
      </c>
      <c r="P329" s="19" t="str">
        <f aca="false">IF($N329="","غير مقيّمة",IF($N329&gt;المرجع!$K$3,"مستوفاة بشكل متقدم",IF($N329&lt;=المرجع!$K$2,"مستوفاة بشكل أولي","مستوفاة بشكل جزئي")))</f>
        <v>مستوفاة بشكل جزئي</v>
      </c>
      <c r="Q329" s="22" t="s">
        <v>634</v>
      </c>
    </row>
    <row r="330" customFormat="false" ht="15" hidden="false" customHeight="true" outlineLevel="0" collapsed="false">
      <c r="A330" s="20" t="s">
        <v>724</v>
      </c>
      <c r="B330" s="20" t="s">
        <v>185</v>
      </c>
      <c r="C330" s="19" t="str">
        <f aca="false">IFERROR(INDEX('قائمة الوحدات'!$B$2:$B$41,MATCH($B330,'قائمة الوحدات'!$A$2:$A$41,0)),"")</f>
        <v>EXE</v>
      </c>
      <c r="D330" s="18" t="str">
        <f aca="false">IFERROR(INDEX('قائمة الوحدات'!$C$2:$C$41,MATCH($B330,'قائمة الوحدات'!$A$2:$A$41,0)),"")</f>
        <v>الشؤون التنفيذية</v>
      </c>
      <c r="E330" s="18" t="str">
        <f aca="false">IFERROR(INDEX('قائمة الوحدات'!$D$2:$D$41,MATCH($B330,'قائمة الوحدات'!$A$2:$A$41,0)),"")</f>
        <v>وكالة الشؤون الاستراتيجية</v>
      </c>
      <c r="F330" s="18" t="str">
        <f aca="false">IFERROR(INDEX('قائمة الوحدات'!$F$2:$F$41,MATCH($B330,'قائمة الوحدات'!$A$2:$A$41,0)),"")</f>
        <v>وكالة الشؤون الاستراتيجية</v>
      </c>
      <c r="G330" s="20" t="s">
        <v>66</v>
      </c>
      <c r="H330" s="18" t="str">
        <f aca="false">IFERROR(INDEX(المرجع!$A$2:$A$19,MATCH($G330,المرجع!$B$2:$B$19,0)),"")</f>
        <v>التشغيل</v>
      </c>
      <c r="I330" s="20" t="s">
        <v>60</v>
      </c>
      <c r="J330" s="18" t="str">
        <f aca="false">IFERROR(INDEX(المرجع!$D$2:$D$19,MATCH($I330,المرجع!$E$2:$E$19,0)),"")</f>
        <v>الإجراءات</v>
      </c>
      <c r="K330" s="20" t="s">
        <v>132</v>
      </c>
      <c r="L330" s="21" t="str">
        <f aca="false">IFERROR(INDEX('نقاط التحقق'!$G$2:$G$31,MATCH($K330,'نقاط التحقق'!$A$2:$A$31,0))&amp;"","")</f>
        <v>تحقيق تقييم "مطبق بشكل كامل" من منهجية تقييم فعالية الإجراءات</v>
      </c>
      <c r="M330" s="18" t="str">
        <f aca="false">IFERROR(INDEX('نقاط التحقق'!$H$2:$H$31,MATCH($K330,'نقاط التحقق'!$A$2:$A$31,0))&amp;"","")</f>
        <v/>
      </c>
      <c r="N330" s="17" t="n">
        <v>57</v>
      </c>
      <c r="O330" s="17" t="n">
        <v>100</v>
      </c>
      <c r="P330" s="19" t="str">
        <f aca="false">IF($N330="","غير مقيّمة",IF($N330&gt;المرجع!$K$3,"مستوفاة بشكل متقدم",IF($N330&lt;=المرجع!$K$2,"مستوفاة بشكل أولي","مستوفاة بشكل جزئي")))</f>
        <v>مستوفاة بشكل جزئي</v>
      </c>
      <c r="Q330" s="22" t="s">
        <v>634</v>
      </c>
    </row>
    <row r="331" customFormat="false" ht="15" hidden="false" customHeight="true" outlineLevel="0" collapsed="false">
      <c r="A331" s="20" t="s">
        <v>725</v>
      </c>
      <c r="B331" s="20" t="s">
        <v>185</v>
      </c>
      <c r="C331" s="19" t="str">
        <f aca="false">IFERROR(INDEX('قائمة الوحدات'!$B$2:$B$41,MATCH($B331,'قائمة الوحدات'!$A$2:$A$41,0)),"")</f>
        <v>EXE</v>
      </c>
      <c r="D331" s="18" t="str">
        <f aca="false">IFERROR(INDEX('قائمة الوحدات'!$C$2:$C$41,MATCH($B331,'قائمة الوحدات'!$A$2:$A$41,0)),"")</f>
        <v>الشؤون التنفيذية</v>
      </c>
      <c r="E331" s="18" t="str">
        <f aca="false">IFERROR(INDEX('قائمة الوحدات'!$D$2:$D$41,MATCH($B331,'قائمة الوحدات'!$A$2:$A$41,0)),"")</f>
        <v>وكالة الشؤون الاستراتيجية</v>
      </c>
      <c r="F331" s="18" t="str">
        <f aca="false">IFERROR(INDEX('قائمة الوحدات'!$F$2:$F$41,MATCH($B331,'قائمة الوحدات'!$A$2:$A$41,0)),"")</f>
        <v>وكالة الشؤون الاستراتيجية</v>
      </c>
      <c r="G331" s="20" t="s">
        <v>66</v>
      </c>
      <c r="H331" s="18" t="str">
        <f aca="false">IFERROR(INDEX(المرجع!$A$2:$A$19,MATCH($G331,المرجع!$B$2:$B$19,0)),"")</f>
        <v>التشغيل</v>
      </c>
      <c r="I331" s="20" t="s">
        <v>71</v>
      </c>
      <c r="J331" s="18" t="str">
        <f aca="false">IFERROR(INDEX(المرجع!$D$2:$D$19,MATCH($I331,المرجع!$E$2:$E$19,0)),"")</f>
        <v>اكتمال المخرجات المستهدفة</v>
      </c>
      <c r="K331" s="20" t="s">
        <v>134</v>
      </c>
      <c r="L331" s="21" t="str">
        <f aca="false">IFERROR(INDEX('نقاط التحقق'!$G$2:$G$31,MATCH($K331,'نقاط التحقق'!$A$2:$A$31,0))&amp;"","")</f>
        <v>اكتمال مخرجات النموذج التشغيلي المستهدف للوحدة التنظيمية</v>
      </c>
      <c r="M331" s="18" t="str">
        <f aca="false">IFERROR(INDEX('نقاط التحقق'!$H$2:$H$31,MATCH($K331,'نقاط التحقق'!$A$2:$A$31,0))&amp;"","")</f>
        <v/>
      </c>
      <c r="N331" s="17" t="n">
        <v>28</v>
      </c>
      <c r="O331" s="17" t="n">
        <v>80</v>
      </c>
      <c r="P331" s="19" t="str">
        <f aca="false">IF($N331="","غير مقيّمة",IF($N331&gt;المرجع!$K$3,"مستوفاة بشكل متقدم",IF($N331&lt;=المرجع!$K$2,"مستوفاة بشكل أولي","مستوفاة بشكل جزئي")))</f>
        <v>مستوفاة بشكل أولي</v>
      </c>
      <c r="Q331" s="22" t="s">
        <v>634</v>
      </c>
    </row>
    <row r="332" customFormat="false" ht="15" hidden="false" customHeight="true" outlineLevel="0" collapsed="false">
      <c r="A332" s="20" t="s">
        <v>726</v>
      </c>
      <c r="B332" s="20" t="s">
        <v>188</v>
      </c>
      <c r="C332" s="19" t="str">
        <f aca="false">IFERROR(INDEX('قائمة الوحدات'!$B$2:$B$41,MATCH($B332,'قائمة الوحدات'!$A$2:$A$41,0)),"")</f>
        <v>EXE</v>
      </c>
      <c r="D332" s="18" t="str">
        <f aca="false">IFERROR(INDEX('قائمة الوحدات'!$C$2:$C$41,MATCH($B332,'قائمة الوحدات'!$A$2:$A$41,0)),"")</f>
        <v>الشؤون التنفيذية</v>
      </c>
      <c r="E332" s="18" t="str">
        <f aca="false">IFERROR(INDEX('قائمة الوحدات'!$D$2:$D$41,MATCH($B332,'قائمة الوحدات'!$A$2:$A$41,0)),"")</f>
        <v>وكالة التحول الرقمي</v>
      </c>
      <c r="F332" s="18" t="str">
        <f aca="false">IFERROR(INDEX('قائمة الوحدات'!$F$2:$F$41,MATCH($B332,'قائمة الوحدات'!$A$2:$A$41,0)),"")</f>
        <v>وكالة التحول الرقمي</v>
      </c>
      <c r="G332" s="20" t="s">
        <v>44</v>
      </c>
      <c r="H332" s="18" t="str">
        <f aca="false">IFERROR(INDEX(المرجع!$A$2:$A$19,MATCH($G332,المرجع!$B$2:$B$19,0)),"")</f>
        <v>التصميم</v>
      </c>
      <c r="I332" s="20" t="s">
        <v>46</v>
      </c>
      <c r="J332" s="18" t="str">
        <f aca="false">IFERROR(INDEX(المرجع!$D$2:$D$19,MATCH($I332,المرجع!$E$2:$E$19,0)),"")</f>
        <v>الدور</v>
      </c>
      <c r="K332" s="20" t="s">
        <v>76</v>
      </c>
      <c r="L332" s="21" t="str">
        <f aca="false">IFERROR(INDEX('نقاط التحقق'!$G$2:$G$31,MATCH($K332,'نقاط التحقق'!$A$2:$A$31,0))&amp;"","")</f>
        <v>دور مفصل للوحدة التنظيمية</v>
      </c>
      <c r="M332" s="18" t="str">
        <f aca="false">IFERROR(INDEX('نقاط التحقق'!$H$2:$H$31,MATCH($K332,'نقاط التحقق'!$A$2:$A$31,0))&amp;"","")</f>
        <v/>
      </c>
      <c r="N332" s="17" t="n">
        <v>80</v>
      </c>
      <c r="O332" s="17" t="n">
        <v>100</v>
      </c>
      <c r="P332" s="19" t="str">
        <f aca="false">IF($N332="","غير مقيّمة",IF($N332&gt;المرجع!$K$3,"مستوفاة بشكل متقدم",IF($N332&lt;=المرجع!$K$2,"مستوفاة بشكل أولي","مستوفاة بشكل جزئي")))</f>
        <v>مستوفاة بشكل متقدم</v>
      </c>
      <c r="Q332" s="22" t="s">
        <v>634</v>
      </c>
    </row>
    <row r="333" customFormat="false" ht="15" hidden="false" customHeight="true" outlineLevel="0" collapsed="false">
      <c r="A333" s="20" t="s">
        <v>727</v>
      </c>
      <c r="B333" s="20" t="s">
        <v>188</v>
      </c>
      <c r="C333" s="19" t="str">
        <f aca="false">IFERROR(INDEX('قائمة الوحدات'!$B$2:$B$41,MATCH($B333,'قائمة الوحدات'!$A$2:$A$41,0)),"")</f>
        <v>EXE</v>
      </c>
      <c r="D333" s="18" t="str">
        <f aca="false">IFERROR(INDEX('قائمة الوحدات'!$C$2:$C$41,MATCH($B333,'قائمة الوحدات'!$A$2:$A$41,0)),"")</f>
        <v>الشؤون التنفيذية</v>
      </c>
      <c r="E333" s="18" t="str">
        <f aca="false">IFERROR(INDEX('قائمة الوحدات'!$D$2:$D$41,MATCH($B333,'قائمة الوحدات'!$A$2:$A$41,0)),"")</f>
        <v>وكالة التحول الرقمي</v>
      </c>
      <c r="F333" s="18" t="str">
        <f aca="false">IFERROR(INDEX('قائمة الوحدات'!$F$2:$F$41,MATCH($B333,'قائمة الوحدات'!$A$2:$A$41,0)),"")</f>
        <v>وكالة التحول الرقمي</v>
      </c>
      <c r="G333" s="20" t="s">
        <v>44</v>
      </c>
      <c r="H333" s="18" t="str">
        <f aca="false">IFERROR(INDEX(المرجع!$A$2:$A$19,MATCH($G333,المرجع!$B$2:$B$19,0)),"")</f>
        <v>التصميم</v>
      </c>
      <c r="I333" s="20" t="s">
        <v>49</v>
      </c>
      <c r="J333" s="18" t="str">
        <f aca="false">IFERROR(INDEX(المرجع!$D$2:$D$19,MATCH($I333,المرجع!$E$2:$E$19,0)),"")</f>
        <v>الأهداف ومؤشرات الأداء</v>
      </c>
      <c r="K333" s="20" t="s">
        <v>78</v>
      </c>
      <c r="L333" s="21" t="str">
        <f aca="false">IFERROR(INDEX('نقاط التحقق'!$G$2:$G$31,MATCH($K333,'نقاط التحقق'!$A$2:$A$31,0))&amp;"","")</f>
        <v>أهداف محددة للوحدة التنظيمية وربطها بمؤشرات أداء لقياسها</v>
      </c>
      <c r="M333" s="18" t="str">
        <f aca="false">IFERROR(INDEX('نقاط التحقق'!$H$2:$H$31,MATCH($K333,'نقاط التحقق'!$A$2:$A$31,0))&amp;"","")</f>
        <v/>
      </c>
      <c r="N333" s="17" t="n">
        <v>75</v>
      </c>
      <c r="O333" s="17" t="n">
        <v>95</v>
      </c>
      <c r="P333" s="19" t="str">
        <f aca="false">IF($N333="","غير مقيّمة",IF($N333&gt;المرجع!$K$3,"مستوفاة بشكل متقدم",IF($N333&lt;=المرجع!$K$2,"مستوفاة بشكل أولي","مستوفاة بشكل جزئي")))</f>
        <v>مستوفاة بشكل متقدم</v>
      </c>
      <c r="Q333" s="22" t="s">
        <v>634</v>
      </c>
    </row>
    <row r="334" customFormat="false" ht="15" hidden="false" customHeight="true" outlineLevel="0" collapsed="false">
      <c r="A334" s="20" t="s">
        <v>728</v>
      </c>
      <c r="B334" s="20" t="s">
        <v>188</v>
      </c>
      <c r="C334" s="19" t="str">
        <f aca="false">IFERROR(INDEX('قائمة الوحدات'!$B$2:$B$41,MATCH($B334,'قائمة الوحدات'!$A$2:$A$41,0)),"")</f>
        <v>EXE</v>
      </c>
      <c r="D334" s="18" t="str">
        <f aca="false">IFERROR(INDEX('قائمة الوحدات'!$C$2:$C$41,MATCH($B334,'قائمة الوحدات'!$A$2:$A$41,0)),"")</f>
        <v>الشؤون التنفيذية</v>
      </c>
      <c r="E334" s="18" t="str">
        <f aca="false">IFERROR(INDEX('قائمة الوحدات'!$D$2:$D$41,MATCH($B334,'قائمة الوحدات'!$A$2:$A$41,0)),"")</f>
        <v>وكالة التحول الرقمي</v>
      </c>
      <c r="F334" s="18" t="str">
        <f aca="false">IFERROR(INDEX('قائمة الوحدات'!$F$2:$F$41,MATCH($B334,'قائمة الوحدات'!$A$2:$A$41,0)),"")</f>
        <v>وكالة التحول الرقمي</v>
      </c>
      <c r="G334" s="20" t="s">
        <v>44</v>
      </c>
      <c r="H334" s="18" t="str">
        <f aca="false">IFERROR(INDEX(المرجع!$A$2:$A$19,MATCH($G334,المرجع!$B$2:$B$19,0)),"")</f>
        <v>التصميم</v>
      </c>
      <c r="I334" s="20" t="s">
        <v>49</v>
      </c>
      <c r="J334" s="18" t="str">
        <f aca="false">IFERROR(INDEX(المرجع!$D$2:$D$19,MATCH($I334,المرجع!$E$2:$E$19,0)),"")</f>
        <v>الأهداف ومؤشرات الأداء</v>
      </c>
      <c r="K334" s="20" t="s">
        <v>80</v>
      </c>
      <c r="L334" s="21" t="str">
        <f aca="false">IFERROR(INDEX('نقاط التحقق'!$G$2:$G$31,MATCH($K334,'نقاط التحقق'!$A$2:$A$31,0))&amp;"","")</f>
        <v>مؤشرات أداء الوحدة التنظيمية</v>
      </c>
      <c r="M334" s="18" t="str">
        <f aca="false">IFERROR(INDEX('نقاط التحقق'!$H$2:$H$31,MATCH($K334,'نقاط التحقق'!$A$2:$A$31,0))&amp;"","")</f>
        <v/>
      </c>
      <c r="N334" s="17" t="n">
        <v>90</v>
      </c>
      <c r="O334" s="17" t="n">
        <v>100</v>
      </c>
      <c r="P334" s="19" t="str">
        <f aca="false">IF($N334="","غير مقيّمة",IF($N334&gt;المرجع!$K$3,"مستوفاة بشكل متقدم",IF($N334&lt;=المرجع!$K$2,"مستوفاة بشكل أولي","مستوفاة بشكل جزئي")))</f>
        <v>مستوفاة بشكل متقدم</v>
      </c>
      <c r="Q334" s="22" t="s">
        <v>634</v>
      </c>
    </row>
    <row r="335" customFormat="false" ht="15" hidden="false" customHeight="true" outlineLevel="0" collapsed="false">
      <c r="A335" s="20" t="s">
        <v>729</v>
      </c>
      <c r="B335" s="20" t="s">
        <v>188</v>
      </c>
      <c r="C335" s="19" t="str">
        <f aca="false">IFERROR(INDEX('قائمة الوحدات'!$B$2:$B$41,MATCH($B335,'قائمة الوحدات'!$A$2:$A$41,0)),"")</f>
        <v>EXE</v>
      </c>
      <c r="D335" s="18" t="str">
        <f aca="false">IFERROR(INDEX('قائمة الوحدات'!$C$2:$C$41,MATCH($B335,'قائمة الوحدات'!$A$2:$A$41,0)),"")</f>
        <v>الشؤون التنفيذية</v>
      </c>
      <c r="E335" s="18" t="str">
        <f aca="false">IFERROR(INDEX('قائمة الوحدات'!$D$2:$D$41,MATCH($B335,'قائمة الوحدات'!$A$2:$A$41,0)),"")</f>
        <v>وكالة التحول الرقمي</v>
      </c>
      <c r="F335" s="18" t="str">
        <f aca="false">IFERROR(INDEX('قائمة الوحدات'!$F$2:$F$41,MATCH($B335,'قائمة الوحدات'!$A$2:$A$41,0)),"")</f>
        <v>وكالة التحول الرقمي</v>
      </c>
      <c r="G335" s="20" t="s">
        <v>44</v>
      </c>
      <c r="H335" s="18" t="str">
        <f aca="false">IFERROR(INDEX(المرجع!$A$2:$A$19,MATCH($G335,المرجع!$B$2:$B$19,0)),"")</f>
        <v>التصميم</v>
      </c>
      <c r="I335" s="20" t="s">
        <v>52</v>
      </c>
      <c r="J335" s="18" t="str">
        <f aca="false">IFERROR(INDEX(المرجع!$D$2:$D$19,MATCH($I335,المرجع!$E$2:$E$19,0)),"")</f>
        <v>الحوكمة</v>
      </c>
      <c r="K335" s="20" t="s">
        <v>82</v>
      </c>
      <c r="L335" s="21" t="str">
        <f aca="false">IFERROR(INDEX('نقاط التحقق'!$G$2:$G$31,MATCH($K335,'نقاط التحقق'!$A$2:$A$31,0))&amp;"","")</f>
        <v>تفصيل القرارات ومصفوفة الصلاحيات واللجان ذات العلاقة لاعتماد مخرجات الوحدة التنظيمية</v>
      </c>
      <c r="M335" s="18" t="str">
        <f aca="false">IFERROR(INDEX('نقاط التحقق'!$H$2:$H$31,MATCH($K335,'نقاط التحقق'!$A$2:$A$31,0))&amp;"","")</f>
        <v/>
      </c>
      <c r="N335" s="17" t="n">
        <v>69</v>
      </c>
      <c r="O335" s="17" t="n">
        <v>80</v>
      </c>
      <c r="P335" s="19" t="str">
        <f aca="false">IF($N335="","غير مقيّمة",IF($N335&gt;المرجع!$K$3,"مستوفاة بشكل متقدم",IF($N335&lt;=المرجع!$K$2,"مستوفاة بشكل أولي","مستوفاة بشكل جزئي")))</f>
        <v>مستوفاة بشكل جزئي</v>
      </c>
      <c r="Q335" s="22" t="s">
        <v>634</v>
      </c>
    </row>
    <row r="336" customFormat="false" ht="15" hidden="false" customHeight="true" outlineLevel="0" collapsed="false">
      <c r="A336" s="20" t="s">
        <v>730</v>
      </c>
      <c r="B336" s="20" t="s">
        <v>188</v>
      </c>
      <c r="C336" s="19" t="str">
        <f aca="false">IFERROR(INDEX('قائمة الوحدات'!$B$2:$B$41,MATCH($B336,'قائمة الوحدات'!$A$2:$A$41,0)),"")</f>
        <v>EXE</v>
      </c>
      <c r="D336" s="18" t="str">
        <f aca="false">IFERROR(INDEX('قائمة الوحدات'!$C$2:$C$41,MATCH($B336,'قائمة الوحدات'!$A$2:$A$41,0)),"")</f>
        <v>الشؤون التنفيذية</v>
      </c>
      <c r="E336" s="18" t="str">
        <f aca="false">IFERROR(INDEX('قائمة الوحدات'!$D$2:$D$41,MATCH($B336,'قائمة الوحدات'!$A$2:$A$41,0)),"")</f>
        <v>وكالة التحول الرقمي</v>
      </c>
      <c r="F336" s="18" t="str">
        <f aca="false">IFERROR(INDEX('قائمة الوحدات'!$F$2:$F$41,MATCH($B336,'قائمة الوحدات'!$A$2:$A$41,0)),"")</f>
        <v>وكالة التحول الرقمي</v>
      </c>
      <c r="G336" s="20" t="s">
        <v>44</v>
      </c>
      <c r="H336" s="18" t="str">
        <f aca="false">IFERROR(INDEX(المرجع!$A$2:$A$19,MATCH($G336,المرجع!$B$2:$B$19,0)),"")</f>
        <v>التصميم</v>
      </c>
      <c r="I336" s="20" t="s">
        <v>55</v>
      </c>
      <c r="J336" s="18" t="str">
        <f aca="false">IFERROR(INDEX(المرجع!$D$2:$D$19,MATCH($I336,المرجع!$E$2:$E$19,0)),"")</f>
        <v>التنظيم</v>
      </c>
      <c r="K336" s="20" t="s">
        <v>84</v>
      </c>
      <c r="L336" s="21" t="str">
        <f aca="false">IFERROR(INDEX('نقاط التحقق'!$G$2:$G$31,MATCH($K336,'نقاط التحقق'!$A$2:$A$31,0))&amp;"","")</f>
        <v>تطوير الأدوار والمسؤوليات للوحدة التنظيمية وتفصيل الهيكل التنظيمي</v>
      </c>
      <c r="M336" s="18" t="str">
        <f aca="false">IFERROR(INDEX('نقاط التحقق'!$H$2:$H$31,MATCH($K336,'نقاط التحقق'!$A$2:$A$31,0))&amp;"","")</f>
        <v/>
      </c>
      <c r="N336" s="17" t="n">
        <v>77</v>
      </c>
      <c r="O336" s="17" t="n">
        <v>100</v>
      </c>
      <c r="P336" s="19" t="str">
        <f aca="false">IF($N336="","غير مقيّمة",IF($N336&gt;المرجع!$K$3,"مستوفاة بشكل متقدم",IF($N336&lt;=المرجع!$K$2,"مستوفاة بشكل أولي","مستوفاة بشكل جزئي")))</f>
        <v>مستوفاة بشكل متقدم</v>
      </c>
      <c r="Q336" s="22" t="s">
        <v>634</v>
      </c>
    </row>
    <row r="337" customFormat="false" ht="15" hidden="false" customHeight="true" outlineLevel="0" collapsed="false">
      <c r="A337" s="20" t="s">
        <v>731</v>
      </c>
      <c r="B337" s="20" t="s">
        <v>188</v>
      </c>
      <c r="C337" s="19" t="str">
        <f aca="false">IFERROR(INDEX('قائمة الوحدات'!$B$2:$B$41,MATCH($B337,'قائمة الوحدات'!$A$2:$A$41,0)),"")</f>
        <v>EXE</v>
      </c>
      <c r="D337" s="18" t="str">
        <f aca="false">IFERROR(INDEX('قائمة الوحدات'!$C$2:$C$41,MATCH($B337,'قائمة الوحدات'!$A$2:$A$41,0)),"")</f>
        <v>الشؤون التنفيذية</v>
      </c>
      <c r="E337" s="18" t="str">
        <f aca="false">IFERROR(INDEX('قائمة الوحدات'!$D$2:$D$41,MATCH($B337,'قائمة الوحدات'!$A$2:$A$41,0)),"")</f>
        <v>وكالة التحول الرقمي</v>
      </c>
      <c r="F337" s="18" t="str">
        <f aca="false">IFERROR(INDEX('قائمة الوحدات'!$F$2:$F$41,MATCH($B337,'قائمة الوحدات'!$A$2:$A$41,0)),"")</f>
        <v>وكالة التحول الرقمي</v>
      </c>
      <c r="G337" s="20" t="s">
        <v>44</v>
      </c>
      <c r="H337" s="18" t="str">
        <f aca="false">IFERROR(INDEX(المرجع!$A$2:$A$19,MATCH($G337,المرجع!$B$2:$B$19,0)),"")</f>
        <v>التصميم</v>
      </c>
      <c r="I337" s="20" t="s">
        <v>57</v>
      </c>
      <c r="J337" s="18" t="str">
        <f aca="false">IFERROR(INDEX(المرجع!$D$2:$D$19,MATCH($I337,المرجع!$E$2:$E$19,0)),"")</f>
        <v>الموارد</v>
      </c>
      <c r="K337" s="20" t="s">
        <v>86</v>
      </c>
      <c r="L337" s="21" t="str">
        <f aca="false">IFERROR(INDEX('نقاط التحقق'!$G$2:$G$31,MATCH($K337,'نقاط التحقق'!$A$2:$A$31,0))&amp;"","")</f>
        <v>تفصيل احتياج الموارد البشرية للوحدة التنظيمية</v>
      </c>
      <c r="M337" s="18" t="str">
        <f aca="false">IFERROR(INDEX('نقاط التحقق'!$H$2:$H$31,MATCH($K337,'نقاط التحقق'!$A$2:$A$31,0))&amp;"","")</f>
        <v/>
      </c>
      <c r="N337" s="17" t="n">
        <v>93</v>
      </c>
      <c r="O337" s="17" t="n">
        <v>93</v>
      </c>
      <c r="P337" s="19" t="str">
        <f aca="false">IF($N337="","غير مقيّمة",IF($N337&gt;المرجع!$K$3,"مستوفاة بشكل متقدم",IF($N337&lt;=المرجع!$K$2,"مستوفاة بشكل أولي","مستوفاة بشكل جزئي")))</f>
        <v>مستوفاة بشكل متقدم</v>
      </c>
      <c r="Q337" s="22" t="s">
        <v>634</v>
      </c>
    </row>
    <row r="338" customFormat="false" ht="15" hidden="false" customHeight="true" outlineLevel="0" collapsed="false">
      <c r="A338" s="20" t="s">
        <v>732</v>
      </c>
      <c r="B338" s="20" t="s">
        <v>188</v>
      </c>
      <c r="C338" s="19" t="str">
        <f aca="false">IFERROR(INDEX('قائمة الوحدات'!$B$2:$B$41,MATCH($B338,'قائمة الوحدات'!$A$2:$A$41,0)),"")</f>
        <v>EXE</v>
      </c>
      <c r="D338" s="18" t="str">
        <f aca="false">IFERROR(INDEX('قائمة الوحدات'!$C$2:$C$41,MATCH($B338,'قائمة الوحدات'!$A$2:$A$41,0)),"")</f>
        <v>الشؤون التنفيذية</v>
      </c>
      <c r="E338" s="18" t="str">
        <f aca="false">IFERROR(INDEX('قائمة الوحدات'!$D$2:$D$41,MATCH($B338,'قائمة الوحدات'!$A$2:$A$41,0)),"")</f>
        <v>وكالة التحول الرقمي</v>
      </c>
      <c r="F338" s="18" t="str">
        <f aca="false">IFERROR(INDEX('قائمة الوحدات'!$F$2:$F$41,MATCH($B338,'قائمة الوحدات'!$A$2:$A$41,0)),"")</f>
        <v>وكالة التحول الرقمي</v>
      </c>
      <c r="G338" s="20" t="s">
        <v>44</v>
      </c>
      <c r="H338" s="18" t="str">
        <f aca="false">IFERROR(INDEX(المرجع!$A$2:$A$19,MATCH($G338,المرجع!$B$2:$B$19,0)),"")</f>
        <v>التصميم</v>
      </c>
      <c r="I338" s="20" t="s">
        <v>60</v>
      </c>
      <c r="J338" s="18" t="str">
        <f aca="false">IFERROR(INDEX(المرجع!$D$2:$D$19,MATCH($I338,المرجع!$E$2:$E$19,0)),"")</f>
        <v>الإجراءات</v>
      </c>
      <c r="K338" s="20" t="s">
        <v>88</v>
      </c>
      <c r="L338" s="21" t="str">
        <f aca="false">IFERROR(INDEX('نقاط التحقق'!$G$2:$G$31,MATCH($K338,'نقاط التحقق'!$A$2:$A$31,0))&amp;"","")</f>
        <v>تفصيل المخرجات إلى إجراءات عالية المستوى</v>
      </c>
      <c r="M338" s="18" t="str">
        <f aca="false">IFERROR(INDEX('نقاط التحقق'!$H$2:$H$31,MATCH($K338,'نقاط التحقق'!$A$2:$A$31,0))&amp;"","")</f>
        <v/>
      </c>
      <c r="N338" s="17" t="n">
        <v>71</v>
      </c>
      <c r="O338" s="17" t="n">
        <v>95</v>
      </c>
      <c r="P338" s="19" t="str">
        <f aca="false">IF($N338="","غير مقيّمة",IF($N338&gt;المرجع!$K$3,"مستوفاة بشكل متقدم",IF($N338&lt;=المرجع!$K$2,"مستوفاة بشكل أولي","مستوفاة بشكل جزئي")))</f>
        <v>مستوفاة بشكل متقدم</v>
      </c>
      <c r="Q338" s="22" t="s">
        <v>634</v>
      </c>
    </row>
    <row r="339" customFormat="false" ht="15" hidden="false" customHeight="true" outlineLevel="0" collapsed="false">
      <c r="A339" s="20" t="s">
        <v>733</v>
      </c>
      <c r="B339" s="20" t="s">
        <v>188</v>
      </c>
      <c r="C339" s="19" t="str">
        <f aca="false">IFERROR(INDEX('قائمة الوحدات'!$B$2:$B$41,MATCH($B339,'قائمة الوحدات'!$A$2:$A$41,0)),"")</f>
        <v>EXE</v>
      </c>
      <c r="D339" s="18" t="str">
        <f aca="false">IFERROR(INDEX('قائمة الوحدات'!$C$2:$C$41,MATCH($B339,'قائمة الوحدات'!$A$2:$A$41,0)),"")</f>
        <v>الشؤون التنفيذية</v>
      </c>
      <c r="E339" s="18" t="str">
        <f aca="false">IFERROR(INDEX('قائمة الوحدات'!$D$2:$D$41,MATCH($B339,'قائمة الوحدات'!$A$2:$A$41,0)),"")</f>
        <v>وكالة التحول الرقمي</v>
      </c>
      <c r="F339" s="18" t="str">
        <f aca="false">IFERROR(INDEX('قائمة الوحدات'!$F$2:$F$41,MATCH($B339,'قائمة الوحدات'!$A$2:$A$41,0)),"")</f>
        <v>وكالة التحول الرقمي</v>
      </c>
      <c r="G339" s="20" t="s">
        <v>62</v>
      </c>
      <c r="H339" s="18" t="str">
        <f aca="false">IFERROR(INDEX(المرجع!$A$2:$A$19,MATCH($G339,المرجع!$B$2:$B$19,0)),"")</f>
        <v>البناء المؤسسي</v>
      </c>
      <c r="I339" s="20" t="s">
        <v>46</v>
      </c>
      <c r="J339" s="18" t="str">
        <f aca="false">IFERROR(INDEX(المرجع!$D$2:$D$19,MATCH($I339,المرجع!$E$2:$E$19,0)),"")</f>
        <v>الدور</v>
      </c>
      <c r="K339" s="20" t="s">
        <v>90</v>
      </c>
      <c r="L339" s="21" t="str">
        <f aca="false">IFERROR(INDEX('نقاط التحقق'!$G$2:$G$31,MATCH($K339,'نقاط التحقق'!$A$2:$A$31,0))&amp;"","")</f>
        <v>دور معتمد للوحدة التنظيمية</v>
      </c>
      <c r="M339" s="18" t="str">
        <f aca="false">IFERROR(INDEX('نقاط التحقق'!$H$2:$H$31,MATCH($K339,'نقاط التحقق'!$A$2:$A$31,0))&amp;"","")</f>
        <v/>
      </c>
      <c r="N339" s="17" t="n">
        <v>66</v>
      </c>
      <c r="O339" s="17" t="n">
        <v>90</v>
      </c>
      <c r="P339" s="19" t="str">
        <f aca="false">IF($N339="","غير مقيّمة",IF($N339&gt;المرجع!$K$3,"مستوفاة بشكل متقدم",IF($N339&lt;=المرجع!$K$2,"مستوفاة بشكل أولي","مستوفاة بشكل جزئي")))</f>
        <v>مستوفاة بشكل جزئي</v>
      </c>
      <c r="Q339" s="22" t="s">
        <v>634</v>
      </c>
    </row>
    <row r="340" customFormat="false" ht="15" hidden="false" customHeight="true" outlineLevel="0" collapsed="false">
      <c r="A340" s="20" t="s">
        <v>734</v>
      </c>
      <c r="B340" s="20" t="s">
        <v>188</v>
      </c>
      <c r="C340" s="19" t="str">
        <f aca="false">IFERROR(INDEX('قائمة الوحدات'!$B$2:$B$41,MATCH($B340,'قائمة الوحدات'!$A$2:$A$41,0)),"")</f>
        <v>EXE</v>
      </c>
      <c r="D340" s="18" t="str">
        <f aca="false">IFERROR(INDEX('قائمة الوحدات'!$C$2:$C$41,MATCH($B340,'قائمة الوحدات'!$A$2:$A$41,0)),"")</f>
        <v>الشؤون التنفيذية</v>
      </c>
      <c r="E340" s="18" t="str">
        <f aca="false">IFERROR(INDEX('قائمة الوحدات'!$D$2:$D$41,MATCH($B340,'قائمة الوحدات'!$A$2:$A$41,0)),"")</f>
        <v>وكالة التحول الرقمي</v>
      </c>
      <c r="F340" s="18" t="str">
        <f aca="false">IFERROR(INDEX('قائمة الوحدات'!$F$2:$F$41,MATCH($B340,'قائمة الوحدات'!$A$2:$A$41,0)),"")</f>
        <v>وكالة التحول الرقمي</v>
      </c>
      <c r="G340" s="20" t="s">
        <v>62</v>
      </c>
      <c r="H340" s="18" t="str">
        <f aca="false">IFERROR(INDEX(المرجع!$A$2:$A$19,MATCH($G340,المرجع!$B$2:$B$19,0)),"")</f>
        <v>البناء المؤسسي</v>
      </c>
      <c r="I340" s="20" t="s">
        <v>49</v>
      </c>
      <c r="J340" s="18" t="str">
        <f aca="false">IFERROR(INDEX(المرجع!$D$2:$D$19,MATCH($I340,المرجع!$E$2:$E$19,0)),"")</f>
        <v>الأهداف ومؤشرات الأداء</v>
      </c>
      <c r="K340" s="20" t="s">
        <v>92</v>
      </c>
      <c r="L340" s="21" t="str">
        <f aca="false">IFERROR(INDEX('نقاط التحقق'!$G$2:$G$31,MATCH($K340,'نقاط التحقق'!$A$2:$A$31,0))&amp;"","")</f>
        <v>أهداف تشغيلية معتمدة من صاحب الصلاحية</v>
      </c>
      <c r="M340" s="18" t="str">
        <f aca="false">IFERROR(INDEX('نقاط التحقق'!$H$2:$H$31,MATCH($K340,'نقاط التحقق'!$A$2:$A$31,0))&amp;"","")</f>
        <v/>
      </c>
      <c r="N340" s="17" t="n">
        <v>65</v>
      </c>
      <c r="O340" s="17" t="n">
        <v>100</v>
      </c>
      <c r="P340" s="19" t="str">
        <f aca="false">IF($N340="","غير مقيّمة",IF($N340&gt;المرجع!$K$3,"مستوفاة بشكل متقدم",IF($N340&lt;=المرجع!$K$2,"مستوفاة بشكل أولي","مستوفاة بشكل جزئي")))</f>
        <v>مستوفاة بشكل جزئي</v>
      </c>
      <c r="Q340" s="22" t="s">
        <v>634</v>
      </c>
    </row>
    <row r="341" customFormat="false" ht="15" hidden="false" customHeight="true" outlineLevel="0" collapsed="false">
      <c r="A341" s="20" t="s">
        <v>735</v>
      </c>
      <c r="B341" s="20" t="s">
        <v>188</v>
      </c>
      <c r="C341" s="19" t="str">
        <f aca="false">IFERROR(INDEX('قائمة الوحدات'!$B$2:$B$41,MATCH($B341,'قائمة الوحدات'!$A$2:$A$41,0)),"")</f>
        <v>EXE</v>
      </c>
      <c r="D341" s="18" t="str">
        <f aca="false">IFERROR(INDEX('قائمة الوحدات'!$C$2:$C$41,MATCH($B341,'قائمة الوحدات'!$A$2:$A$41,0)),"")</f>
        <v>الشؤون التنفيذية</v>
      </c>
      <c r="E341" s="18" t="str">
        <f aca="false">IFERROR(INDEX('قائمة الوحدات'!$D$2:$D$41,MATCH($B341,'قائمة الوحدات'!$A$2:$A$41,0)),"")</f>
        <v>وكالة التحول الرقمي</v>
      </c>
      <c r="F341" s="18" t="str">
        <f aca="false">IFERROR(INDEX('قائمة الوحدات'!$F$2:$F$41,MATCH($B341,'قائمة الوحدات'!$A$2:$A$41,0)),"")</f>
        <v>وكالة التحول الرقمي</v>
      </c>
      <c r="G341" s="20" t="s">
        <v>62</v>
      </c>
      <c r="H341" s="18" t="str">
        <f aca="false">IFERROR(INDEX(المرجع!$A$2:$A$19,MATCH($G341,المرجع!$B$2:$B$19,0)),"")</f>
        <v>البناء المؤسسي</v>
      </c>
      <c r="I341" s="20" t="s">
        <v>49</v>
      </c>
      <c r="J341" s="18" t="str">
        <f aca="false">IFERROR(INDEX(المرجع!$D$2:$D$19,MATCH($I341,المرجع!$E$2:$E$19,0)),"")</f>
        <v>الأهداف ومؤشرات الأداء</v>
      </c>
      <c r="K341" s="20" t="s">
        <v>94</v>
      </c>
      <c r="L341" s="21" t="str">
        <f aca="false">IFERROR(INDEX('نقاط التحقق'!$G$2:$G$31,MATCH($K341,'نقاط التحقق'!$A$2:$A$31,0))&amp;"","")</f>
        <v>نشر الأهداف التشغيلية على موظفي الوحدة التنظيمية</v>
      </c>
      <c r="M341" s="18" t="str">
        <f aca="false">IFERROR(INDEX('نقاط التحقق'!$H$2:$H$31,MATCH($K341,'نقاط التحقق'!$A$2:$A$31,0))&amp;"","")</f>
        <v/>
      </c>
      <c r="N341" s="17" t="n">
        <v>55</v>
      </c>
      <c r="O341" s="17" t="n">
        <v>100</v>
      </c>
      <c r="P341" s="19" t="str">
        <f aca="false">IF($N341="","غير مقيّمة",IF($N341&gt;المرجع!$K$3,"مستوفاة بشكل متقدم",IF($N341&lt;=المرجع!$K$2,"مستوفاة بشكل أولي","مستوفاة بشكل جزئي")))</f>
        <v>مستوفاة بشكل جزئي</v>
      </c>
      <c r="Q341" s="22" t="s">
        <v>634</v>
      </c>
    </row>
    <row r="342" customFormat="false" ht="15" hidden="false" customHeight="true" outlineLevel="0" collapsed="false">
      <c r="A342" s="20" t="s">
        <v>736</v>
      </c>
      <c r="B342" s="20" t="s">
        <v>188</v>
      </c>
      <c r="C342" s="19" t="str">
        <f aca="false">IFERROR(INDEX('قائمة الوحدات'!$B$2:$B$41,MATCH($B342,'قائمة الوحدات'!$A$2:$A$41,0)),"")</f>
        <v>EXE</v>
      </c>
      <c r="D342" s="18" t="str">
        <f aca="false">IFERROR(INDEX('قائمة الوحدات'!$C$2:$C$41,MATCH($B342,'قائمة الوحدات'!$A$2:$A$41,0)),"")</f>
        <v>الشؤون التنفيذية</v>
      </c>
      <c r="E342" s="18" t="str">
        <f aca="false">IFERROR(INDEX('قائمة الوحدات'!$D$2:$D$41,MATCH($B342,'قائمة الوحدات'!$A$2:$A$41,0)),"")</f>
        <v>وكالة التحول الرقمي</v>
      </c>
      <c r="F342" s="18" t="str">
        <f aca="false">IFERROR(INDEX('قائمة الوحدات'!$F$2:$F$41,MATCH($B342,'قائمة الوحدات'!$A$2:$A$41,0)),"")</f>
        <v>وكالة التحول الرقمي</v>
      </c>
      <c r="G342" s="20" t="s">
        <v>62</v>
      </c>
      <c r="H342" s="18" t="str">
        <f aca="false">IFERROR(INDEX(المرجع!$A$2:$A$19,MATCH($G342,المرجع!$B$2:$B$19,0)),"")</f>
        <v>البناء المؤسسي</v>
      </c>
      <c r="I342" s="20" t="s">
        <v>52</v>
      </c>
      <c r="J342" s="18" t="str">
        <f aca="false">IFERROR(INDEX(المرجع!$D$2:$D$19,MATCH($I342,المرجع!$E$2:$E$19,0)),"")</f>
        <v>الحوكمة</v>
      </c>
      <c r="K342" s="20" t="s">
        <v>96</v>
      </c>
      <c r="L342" s="21" t="str">
        <f aca="false">IFERROR(INDEX('نقاط التحقق'!$G$2:$G$31,MATCH($K342,'نقاط التحقق'!$A$2:$A$31,0))&amp;"","")</f>
        <v>مصفوفة صلاحيات معتمدة ومعممة على أصحاب المصلحة</v>
      </c>
      <c r="M342" s="18" t="str">
        <f aca="false">IFERROR(INDEX('نقاط التحقق'!$H$2:$H$31,MATCH($K342,'نقاط التحقق'!$A$2:$A$31,0))&amp;"","")</f>
        <v/>
      </c>
      <c r="N342" s="17" t="n">
        <v>50</v>
      </c>
      <c r="O342" s="17" t="n">
        <v>100</v>
      </c>
      <c r="P342" s="19" t="str">
        <f aca="false">IF($N342="","غير مقيّمة",IF($N342&gt;المرجع!$K$3,"مستوفاة بشكل متقدم",IF($N342&lt;=المرجع!$K$2,"مستوفاة بشكل أولي","مستوفاة بشكل جزئي")))</f>
        <v>مستوفاة بشكل جزئي</v>
      </c>
      <c r="Q342" s="22" t="s">
        <v>634</v>
      </c>
    </row>
    <row r="343" customFormat="false" ht="15" hidden="false" customHeight="true" outlineLevel="0" collapsed="false">
      <c r="A343" s="20" t="s">
        <v>737</v>
      </c>
      <c r="B343" s="20" t="s">
        <v>188</v>
      </c>
      <c r="C343" s="19" t="str">
        <f aca="false">IFERROR(INDEX('قائمة الوحدات'!$B$2:$B$41,MATCH($B343,'قائمة الوحدات'!$A$2:$A$41,0)),"")</f>
        <v>EXE</v>
      </c>
      <c r="D343" s="18" t="str">
        <f aca="false">IFERROR(INDEX('قائمة الوحدات'!$C$2:$C$41,MATCH($B343,'قائمة الوحدات'!$A$2:$A$41,0)),"")</f>
        <v>الشؤون التنفيذية</v>
      </c>
      <c r="E343" s="18" t="str">
        <f aca="false">IFERROR(INDEX('قائمة الوحدات'!$D$2:$D$41,MATCH($B343,'قائمة الوحدات'!$A$2:$A$41,0)),"")</f>
        <v>وكالة التحول الرقمي</v>
      </c>
      <c r="F343" s="18" t="str">
        <f aca="false">IFERROR(INDEX('قائمة الوحدات'!$F$2:$F$41,MATCH($B343,'قائمة الوحدات'!$A$2:$A$41,0)),"")</f>
        <v>وكالة التحول الرقمي</v>
      </c>
      <c r="G343" s="20" t="s">
        <v>62</v>
      </c>
      <c r="H343" s="18" t="str">
        <f aca="false">IFERROR(INDEX(المرجع!$A$2:$A$19,MATCH($G343,المرجع!$B$2:$B$19,0)),"")</f>
        <v>البناء المؤسسي</v>
      </c>
      <c r="I343" s="20" t="s">
        <v>52</v>
      </c>
      <c r="J343" s="18" t="str">
        <f aca="false">IFERROR(INDEX(المرجع!$D$2:$D$19,MATCH($I343,المرجع!$E$2:$E$19,0)),"")</f>
        <v>الحوكمة</v>
      </c>
      <c r="K343" s="20" t="s">
        <v>98</v>
      </c>
      <c r="L343" s="21" t="str">
        <f aca="false">IFERROR(INDEX('نقاط التحقق'!$G$2:$G$31,MATCH($K343,'نقاط التحقق'!$A$2:$A$31,0))&amp;"","")</f>
        <v>سياسات معتمدة للتي تملكها الوحدة التنظيمية</v>
      </c>
      <c r="M343" s="18" t="str">
        <f aca="false">IFERROR(INDEX('نقاط التحقق'!$H$2:$H$31,MATCH($K343,'نقاط التحقق'!$A$2:$A$31,0))&amp;"","")</f>
        <v/>
      </c>
      <c r="N343" s="17" t="n">
        <v>40</v>
      </c>
      <c r="O343" s="17" t="n">
        <v>100</v>
      </c>
      <c r="P343" s="19" t="str">
        <f aca="false">IF($N343="","غير مقيّمة",IF($N343&gt;المرجع!$K$3,"مستوفاة بشكل متقدم",IF($N343&lt;=المرجع!$K$2,"مستوفاة بشكل أولي","مستوفاة بشكل جزئي")))</f>
        <v>مستوفاة بشكل جزئي</v>
      </c>
      <c r="Q343" s="22" t="s">
        <v>634</v>
      </c>
    </row>
    <row r="344" customFormat="false" ht="15" hidden="false" customHeight="true" outlineLevel="0" collapsed="false">
      <c r="A344" s="20" t="s">
        <v>738</v>
      </c>
      <c r="B344" s="20" t="s">
        <v>188</v>
      </c>
      <c r="C344" s="19" t="str">
        <f aca="false">IFERROR(INDEX('قائمة الوحدات'!$B$2:$B$41,MATCH($B344,'قائمة الوحدات'!$A$2:$A$41,0)),"")</f>
        <v>EXE</v>
      </c>
      <c r="D344" s="18" t="str">
        <f aca="false">IFERROR(INDEX('قائمة الوحدات'!$C$2:$C$41,MATCH($B344,'قائمة الوحدات'!$A$2:$A$41,0)),"")</f>
        <v>الشؤون التنفيذية</v>
      </c>
      <c r="E344" s="18" t="str">
        <f aca="false">IFERROR(INDEX('قائمة الوحدات'!$D$2:$D$41,MATCH($B344,'قائمة الوحدات'!$A$2:$A$41,0)),"")</f>
        <v>وكالة التحول الرقمي</v>
      </c>
      <c r="F344" s="18" t="str">
        <f aca="false">IFERROR(INDEX('قائمة الوحدات'!$F$2:$F$41,MATCH($B344,'قائمة الوحدات'!$A$2:$A$41,0)),"")</f>
        <v>وكالة التحول الرقمي</v>
      </c>
      <c r="G344" s="20" t="s">
        <v>62</v>
      </c>
      <c r="H344" s="18" t="str">
        <f aca="false">IFERROR(INDEX(المرجع!$A$2:$A$19,MATCH($G344,المرجع!$B$2:$B$19,0)),"")</f>
        <v>البناء المؤسسي</v>
      </c>
      <c r="I344" s="20" t="s">
        <v>52</v>
      </c>
      <c r="J344" s="18" t="str">
        <f aca="false">IFERROR(INDEX(المرجع!$D$2:$D$19,MATCH($I344,المرجع!$E$2:$E$19,0)),"")</f>
        <v>الحوكمة</v>
      </c>
      <c r="K344" s="20" t="s">
        <v>100</v>
      </c>
      <c r="L344" s="21" t="str">
        <f aca="false">IFERROR(INDEX('نقاط التحقق'!$G$2:$G$31,MATCH($K344,'نقاط التحقق'!$A$2:$A$31,0))&amp;"","")</f>
        <v>قرار تشكيل معتمد للجان ذات العلاقة</v>
      </c>
      <c r="M344" s="18" t="str">
        <f aca="false">IFERROR(INDEX('نقاط التحقق'!$H$2:$H$31,MATCH($K344,'نقاط التحقق'!$A$2:$A$31,0))&amp;"","")</f>
        <v/>
      </c>
      <c r="N344" s="17" t="n">
        <v>40</v>
      </c>
      <c r="O344" s="17" t="n">
        <v>85</v>
      </c>
      <c r="P344" s="19" t="str">
        <f aca="false">IF($N344="","غير مقيّمة",IF($N344&gt;المرجع!$K$3,"مستوفاة بشكل متقدم",IF($N344&lt;=المرجع!$K$2,"مستوفاة بشكل أولي","مستوفاة بشكل جزئي")))</f>
        <v>مستوفاة بشكل جزئي</v>
      </c>
      <c r="Q344" s="22" t="s">
        <v>634</v>
      </c>
    </row>
    <row r="345" customFormat="false" ht="15" hidden="false" customHeight="true" outlineLevel="0" collapsed="false">
      <c r="A345" s="20" t="s">
        <v>739</v>
      </c>
      <c r="B345" s="20" t="s">
        <v>188</v>
      </c>
      <c r="C345" s="19" t="str">
        <f aca="false">IFERROR(INDEX('قائمة الوحدات'!$B$2:$B$41,MATCH($B345,'قائمة الوحدات'!$A$2:$A$41,0)),"")</f>
        <v>EXE</v>
      </c>
      <c r="D345" s="18" t="str">
        <f aca="false">IFERROR(INDEX('قائمة الوحدات'!$C$2:$C$41,MATCH($B345,'قائمة الوحدات'!$A$2:$A$41,0)),"")</f>
        <v>الشؤون التنفيذية</v>
      </c>
      <c r="E345" s="18" t="str">
        <f aca="false">IFERROR(INDEX('قائمة الوحدات'!$D$2:$D$41,MATCH($B345,'قائمة الوحدات'!$A$2:$A$41,0)),"")</f>
        <v>وكالة التحول الرقمي</v>
      </c>
      <c r="F345" s="18" t="str">
        <f aca="false">IFERROR(INDEX('قائمة الوحدات'!$F$2:$F$41,MATCH($B345,'قائمة الوحدات'!$A$2:$A$41,0)),"")</f>
        <v>وكالة التحول الرقمي</v>
      </c>
      <c r="G345" s="20" t="s">
        <v>62</v>
      </c>
      <c r="H345" s="18" t="str">
        <f aca="false">IFERROR(INDEX(المرجع!$A$2:$A$19,MATCH($G345,المرجع!$B$2:$B$19,0)),"")</f>
        <v>البناء المؤسسي</v>
      </c>
      <c r="I345" s="20" t="s">
        <v>55</v>
      </c>
      <c r="J345" s="18" t="str">
        <f aca="false">IFERROR(INDEX(المرجع!$D$2:$D$19,MATCH($I345,المرجع!$E$2:$E$19,0)),"")</f>
        <v>التنظيم</v>
      </c>
      <c r="K345" s="20" t="s">
        <v>102</v>
      </c>
      <c r="L345" s="21" t="str">
        <f aca="false">IFERROR(INDEX('نقاط التحقق'!$G$2:$G$31,MATCH($K345,'نقاط التحقق'!$A$2:$A$31,0))&amp;"","")</f>
        <v>هيكل تنظيمي معتمد من صاحب الصلاحية</v>
      </c>
      <c r="M345" s="18" t="str">
        <f aca="false">IFERROR(INDEX('نقاط التحقق'!$H$2:$H$31,MATCH($K345,'نقاط التحقق'!$A$2:$A$31,0))&amp;"","")</f>
        <v/>
      </c>
      <c r="N345" s="17" t="n">
        <v>65</v>
      </c>
      <c r="O345" s="17" t="n">
        <v>100</v>
      </c>
      <c r="P345" s="19" t="str">
        <f aca="false">IF($N345="","غير مقيّمة",IF($N345&gt;المرجع!$K$3,"مستوفاة بشكل متقدم",IF($N345&lt;=المرجع!$K$2,"مستوفاة بشكل أولي","مستوفاة بشكل جزئي")))</f>
        <v>مستوفاة بشكل جزئي</v>
      </c>
      <c r="Q345" s="22" t="s">
        <v>634</v>
      </c>
    </row>
    <row r="346" customFormat="false" ht="15" hidden="false" customHeight="true" outlineLevel="0" collapsed="false">
      <c r="A346" s="20" t="s">
        <v>740</v>
      </c>
      <c r="B346" s="20" t="s">
        <v>188</v>
      </c>
      <c r="C346" s="19" t="str">
        <f aca="false">IFERROR(INDEX('قائمة الوحدات'!$B$2:$B$41,MATCH($B346,'قائمة الوحدات'!$A$2:$A$41,0)),"")</f>
        <v>EXE</v>
      </c>
      <c r="D346" s="18" t="str">
        <f aca="false">IFERROR(INDEX('قائمة الوحدات'!$C$2:$C$41,MATCH($B346,'قائمة الوحدات'!$A$2:$A$41,0)),"")</f>
        <v>الشؤون التنفيذية</v>
      </c>
      <c r="E346" s="18" t="str">
        <f aca="false">IFERROR(INDEX('قائمة الوحدات'!$D$2:$D$41,MATCH($B346,'قائمة الوحدات'!$A$2:$A$41,0)),"")</f>
        <v>وكالة التحول الرقمي</v>
      </c>
      <c r="F346" s="18" t="str">
        <f aca="false">IFERROR(INDEX('قائمة الوحدات'!$F$2:$F$41,MATCH($B346,'قائمة الوحدات'!$A$2:$A$41,0)),"")</f>
        <v>وكالة التحول الرقمي</v>
      </c>
      <c r="G346" s="20" t="s">
        <v>62</v>
      </c>
      <c r="H346" s="18" t="str">
        <f aca="false">IFERROR(INDEX(المرجع!$A$2:$A$19,MATCH($G346,المرجع!$B$2:$B$19,0)),"")</f>
        <v>البناء المؤسسي</v>
      </c>
      <c r="I346" s="20" t="s">
        <v>55</v>
      </c>
      <c r="J346" s="18" t="str">
        <f aca="false">IFERROR(INDEX(المرجع!$D$2:$D$19,MATCH($I346,المرجع!$E$2:$E$19,0)),"")</f>
        <v>التنظيم</v>
      </c>
      <c r="K346" s="20" t="s">
        <v>104</v>
      </c>
      <c r="L346" s="21" t="str">
        <f aca="false">IFERROR(INDEX('نقاط التحقق'!$G$2:$G$31,MATCH($K346,'نقاط التحقق'!$A$2:$A$31,0))&amp;"","")</f>
        <v>هيكل تنظيمي منشأ على نظام القوى العاملة</v>
      </c>
      <c r="M346" s="18" t="str">
        <f aca="false">IFERROR(INDEX('نقاط التحقق'!$H$2:$H$31,MATCH($K346,'نقاط التحقق'!$A$2:$A$31,0))&amp;"","")</f>
        <v/>
      </c>
      <c r="N346" s="17" t="n">
        <v>60</v>
      </c>
      <c r="O346" s="17" t="n">
        <v>90</v>
      </c>
      <c r="P346" s="19" t="str">
        <f aca="false">IF($N346="","غير مقيّمة",IF($N346&gt;المرجع!$K$3,"مستوفاة بشكل متقدم",IF($N346&lt;=المرجع!$K$2,"مستوفاة بشكل أولي","مستوفاة بشكل جزئي")))</f>
        <v>مستوفاة بشكل جزئي</v>
      </c>
      <c r="Q346" s="22" t="s">
        <v>634</v>
      </c>
    </row>
    <row r="347" customFormat="false" ht="15" hidden="false" customHeight="true" outlineLevel="0" collapsed="false">
      <c r="A347" s="20" t="s">
        <v>741</v>
      </c>
      <c r="B347" s="20" t="s">
        <v>188</v>
      </c>
      <c r="C347" s="19" t="str">
        <f aca="false">IFERROR(INDEX('قائمة الوحدات'!$B$2:$B$41,MATCH($B347,'قائمة الوحدات'!$A$2:$A$41,0)),"")</f>
        <v>EXE</v>
      </c>
      <c r="D347" s="18" t="str">
        <f aca="false">IFERROR(INDEX('قائمة الوحدات'!$C$2:$C$41,MATCH($B347,'قائمة الوحدات'!$A$2:$A$41,0)),"")</f>
        <v>الشؤون التنفيذية</v>
      </c>
      <c r="E347" s="18" t="str">
        <f aca="false">IFERROR(INDEX('قائمة الوحدات'!$D$2:$D$41,MATCH($B347,'قائمة الوحدات'!$A$2:$A$41,0)),"")</f>
        <v>وكالة التحول الرقمي</v>
      </c>
      <c r="F347" s="18" t="str">
        <f aca="false">IFERROR(INDEX('قائمة الوحدات'!$F$2:$F$41,MATCH($B347,'قائمة الوحدات'!$A$2:$A$41,0)),"")</f>
        <v>وكالة التحول الرقمي</v>
      </c>
      <c r="G347" s="20" t="s">
        <v>62</v>
      </c>
      <c r="H347" s="18" t="str">
        <f aca="false">IFERROR(INDEX(المرجع!$A$2:$A$19,MATCH($G347,المرجع!$B$2:$B$19,0)),"")</f>
        <v>البناء المؤسسي</v>
      </c>
      <c r="I347" s="20" t="s">
        <v>55</v>
      </c>
      <c r="J347" s="18" t="str">
        <f aca="false">IFERROR(INDEX(المرجع!$D$2:$D$19,MATCH($I347,المرجع!$E$2:$E$19,0)),"")</f>
        <v>التنظيم</v>
      </c>
      <c r="K347" s="20" t="s">
        <v>106</v>
      </c>
      <c r="L347" s="21" t="str">
        <f aca="false">IFERROR(INDEX('نقاط التحقق'!$G$2:$G$31,MATCH($K347,'نقاط التحقق'!$A$2:$A$31,0))&amp;"","")</f>
        <v>الموظفون المحددون مسكّنون على الهيكل التنظيمي المستهدف</v>
      </c>
      <c r="M347" s="18" t="str">
        <f aca="false">IFERROR(INDEX('نقاط التحقق'!$H$2:$H$31,MATCH($K347,'نقاط التحقق'!$A$2:$A$31,0))&amp;"","")</f>
        <v/>
      </c>
      <c r="N347" s="17" t="n">
        <v>60</v>
      </c>
      <c r="O347" s="17" t="n">
        <v>95</v>
      </c>
      <c r="P347" s="19" t="str">
        <f aca="false">IF($N347="","غير مقيّمة",IF($N347&gt;المرجع!$K$3,"مستوفاة بشكل متقدم",IF($N347&lt;=المرجع!$K$2,"مستوفاة بشكل أولي","مستوفاة بشكل جزئي")))</f>
        <v>مستوفاة بشكل جزئي</v>
      </c>
      <c r="Q347" s="22" t="s">
        <v>634</v>
      </c>
    </row>
    <row r="348" customFormat="false" ht="15" hidden="false" customHeight="true" outlineLevel="0" collapsed="false">
      <c r="A348" s="20" t="s">
        <v>742</v>
      </c>
      <c r="B348" s="20" t="s">
        <v>188</v>
      </c>
      <c r="C348" s="19" t="str">
        <f aca="false">IFERROR(INDEX('قائمة الوحدات'!$B$2:$B$41,MATCH($B348,'قائمة الوحدات'!$A$2:$A$41,0)),"")</f>
        <v>EXE</v>
      </c>
      <c r="D348" s="18" t="str">
        <f aca="false">IFERROR(INDEX('قائمة الوحدات'!$C$2:$C$41,MATCH($B348,'قائمة الوحدات'!$A$2:$A$41,0)),"")</f>
        <v>الشؤون التنفيذية</v>
      </c>
      <c r="E348" s="18" t="str">
        <f aca="false">IFERROR(INDEX('قائمة الوحدات'!$D$2:$D$41,MATCH($B348,'قائمة الوحدات'!$A$2:$A$41,0)),"")</f>
        <v>وكالة التحول الرقمي</v>
      </c>
      <c r="F348" s="18" t="str">
        <f aca="false">IFERROR(INDEX('قائمة الوحدات'!$F$2:$F$41,MATCH($B348,'قائمة الوحدات'!$A$2:$A$41,0)),"")</f>
        <v>وكالة التحول الرقمي</v>
      </c>
      <c r="G348" s="20" t="s">
        <v>62</v>
      </c>
      <c r="H348" s="18" t="str">
        <f aca="false">IFERROR(INDEX(المرجع!$A$2:$A$19,MATCH($G348,المرجع!$B$2:$B$19,0)),"")</f>
        <v>البناء المؤسسي</v>
      </c>
      <c r="I348" s="20" t="s">
        <v>57</v>
      </c>
      <c r="J348" s="18" t="str">
        <f aca="false">IFERROR(INDEX(المرجع!$D$2:$D$19,MATCH($I348,المرجع!$E$2:$E$19,0)),"")</f>
        <v>الموارد</v>
      </c>
      <c r="K348" s="20" t="s">
        <v>108</v>
      </c>
      <c r="L348" s="21" t="str">
        <f aca="false">IFERROR(INDEX('نقاط التحقق'!$G$2:$G$31,MATCH($K348,'نقاط التحقق'!$A$2:$A$31,0))&amp;"","")</f>
        <v>مدير الوحدة التنظيمية والموظفون الرئيسيون معينون/ملحقون</v>
      </c>
      <c r="M348" s="18" t="str">
        <f aca="false">IFERROR(INDEX('نقاط التحقق'!$H$2:$H$31,MATCH($K348,'نقاط التحقق'!$A$2:$A$31,0))&amp;"","")</f>
        <v/>
      </c>
      <c r="N348" s="17" t="n">
        <v>60</v>
      </c>
      <c r="O348" s="17" t="n">
        <v>100</v>
      </c>
      <c r="P348" s="19" t="str">
        <f aca="false">IF($N348="","غير مقيّمة",IF($N348&gt;المرجع!$K$3,"مستوفاة بشكل متقدم",IF($N348&lt;=المرجع!$K$2,"مستوفاة بشكل أولي","مستوفاة بشكل جزئي")))</f>
        <v>مستوفاة بشكل جزئي</v>
      </c>
      <c r="Q348" s="22" t="s">
        <v>634</v>
      </c>
    </row>
    <row r="349" customFormat="false" ht="15" hidden="false" customHeight="true" outlineLevel="0" collapsed="false">
      <c r="A349" s="20" t="s">
        <v>743</v>
      </c>
      <c r="B349" s="20" t="s">
        <v>188</v>
      </c>
      <c r="C349" s="19" t="str">
        <f aca="false">IFERROR(INDEX('قائمة الوحدات'!$B$2:$B$41,MATCH($B349,'قائمة الوحدات'!$A$2:$A$41,0)),"")</f>
        <v>EXE</v>
      </c>
      <c r="D349" s="18" t="str">
        <f aca="false">IFERROR(INDEX('قائمة الوحدات'!$C$2:$C$41,MATCH($B349,'قائمة الوحدات'!$A$2:$A$41,0)),"")</f>
        <v>الشؤون التنفيذية</v>
      </c>
      <c r="E349" s="18" t="str">
        <f aca="false">IFERROR(INDEX('قائمة الوحدات'!$D$2:$D$41,MATCH($B349,'قائمة الوحدات'!$A$2:$A$41,0)),"")</f>
        <v>وكالة التحول الرقمي</v>
      </c>
      <c r="F349" s="18" t="str">
        <f aca="false">IFERROR(INDEX('قائمة الوحدات'!$F$2:$F$41,MATCH($B349,'قائمة الوحدات'!$A$2:$A$41,0)),"")</f>
        <v>وكالة التحول الرقمي</v>
      </c>
      <c r="G349" s="20" t="s">
        <v>62</v>
      </c>
      <c r="H349" s="18" t="str">
        <f aca="false">IFERROR(INDEX(المرجع!$A$2:$A$19,MATCH($G349,المرجع!$B$2:$B$19,0)),"")</f>
        <v>البناء المؤسسي</v>
      </c>
      <c r="I349" s="20" t="s">
        <v>57</v>
      </c>
      <c r="J349" s="18" t="str">
        <f aca="false">IFERROR(INDEX(المرجع!$D$2:$D$19,MATCH($I349,المرجع!$E$2:$E$19,0)),"")</f>
        <v>الموارد</v>
      </c>
      <c r="K349" s="20" t="s">
        <v>110</v>
      </c>
      <c r="L349" s="21" t="str">
        <f aca="false">IFERROR(INDEX('نقاط التحقق'!$G$2:$G$31,MATCH($K349,'نقاط التحقق'!$A$2:$A$31,0))&amp;"","")</f>
        <v>خطة توظيف وتدريب مستكملة</v>
      </c>
      <c r="M349" s="18" t="str">
        <f aca="false">IFERROR(INDEX('نقاط التحقق'!$H$2:$H$31,MATCH($K349,'نقاط التحقق'!$A$2:$A$31,0))&amp;"","")</f>
        <v/>
      </c>
      <c r="N349" s="17" t="n">
        <v>70</v>
      </c>
      <c r="O349" s="17" t="n">
        <v>100</v>
      </c>
      <c r="P349" s="19" t="str">
        <f aca="false">IF($N349="","غير مقيّمة",IF($N349&gt;المرجع!$K$3,"مستوفاة بشكل متقدم",IF($N349&lt;=المرجع!$K$2,"مستوفاة بشكل أولي","مستوفاة بشكل جزئي")))</f>
        <v>مستوفاة بشكل جزئي</v>
      </c>
      <c r="Q349" s="22" t="s">
        <v>634</v>
      </c>
    </row>
    <row r="350" customFormat="false" ht="15" hidden="false" customHeight="true" outlineLevel="0" collapsed="false">
      <c r="A350" s="20" t="s">
        <v>744</v>
      </c>
      <c r="B350" s="20" t="s">
        <v>188</v>
      </c>
      <c r="C350" s="19" t="str">
        <f aca="false">IFERROR(INDEX('قائمة الوحدات'!$B$2:$B$41,MATCH($B350,'قائمة الوحدات'!$A$2:$A$41,0)),"")</f>
        <v>EXE</v>
      </c>
      <c r="D350" s="18" t="str">
        <f aca="false">IFERROR(INDEX('قائمة الوحدات'!$C$2:$C$41,MATCH($B350,'قائمة الوحدات'!$A$2:$A$41,0)),"")</f>
        <v>الشؤون التنفيذية</v>
      </c>
      <c r="E350" s="18" t="str">
        <f aca="false">IFERROR(INDEX('قائمة الوحدات'!$D$2:$D$41,MATCH($B350,'قائمة الوحدات'!$A$2:$A$41,0)),"")</f>
        <v>وكالة التحول الرقمي</v>
      </c>
      <c r="F350" s="18" t="str">
        <f aca="false">IFERROR(INDEX('قائمة الوحدات'!$F$2:$F$41,MATCH($B350,'قائمة الوحدات'!$A$2:$A$41,0)),"")</f>
        <v>وكالة التحول الرقمي</v>
      </c>
      <c r="G350" s="20" t="s">
        <v>62</v>
      </c>
      <c r="H350" s="18" t="str">
        <f aca="false">IFERROR(INDEX(المرجع!$A$2:$A$19,MATCH($G350,المرجع!$B$2:$B$19,0)),"")</f>
        <v>البناء المؤسسي</v>
      </c>
      <c r="I350" s="20" t="s">
        <v>57</v>
      </c>
      <c r="J350" s="18" t="str">
        <f aca="false">IFERROR(INDEX(المرجع!$D$2:$D$19,MATCH($I350,المرجع!$E$2:$E$19,0)),"")</f>
        <v>الموارد</v>
      </c>
      <c r="K350" s="20" t="s">
        <v>112</v>
      </c>
      <c r="L350" s="21" t="str">
        <f aca="false">IFERROR(INDEX('نقاط التحقق'!$G$2:$G$31,MATCH($K350,'نقاط التحقق'!$A$2:$A$31,0))&amp;"","")</f>
        <v>وجود مساحات مكتبية كافية</v>
      </c>
      <c r="M350" s="18" t="str">
        <f aca="false">IFERROR(INDEX('نقاط التحقق'!$H$2:$H$31,MATCH($K350,'نقاط التحقق'!$A$2:$A$31,0))&amp;"","")</f>
        <v/>
      </c>
      <c r="N350" s="17" t="n">
        <v>45</v>
      </c>
      <c r="O350" s="17" t="n">
        <v>100</v>
      </c>
      <c r="P350" s="19" t="str">
        <f aca="false">IF($N350="","غير مقيّمة",IF($N350&gt;المرجع!$K$3,"مستوفاة بشكل متقدم",IF($N350&lt;=المرجع!$K$2,"مستوفاة بشكل أولي","مستوفاة بشكل جزئي")))</f>
        <v>مستوفاة بشكل جزئي</v>
      </c>
      <c r="Q350" s="22" t="s">
        <v>634</v>
      </c>
    </row>
    <row r="351" customFormat="false" ht="15" hidden="false" customHeight="true" outlineLevel="0" collapsed="false">
      <c r="A351" s="20" t="s">
        <v>745</v>
      </c>
      <c r="B351" s="20" t="s">
        <v>188</v>
      </c>
      <c r="C351" s="19" t="str">
        <f aca="false">IFERROR(INDEX('قائمة الوحدات'!$B$2:$B$41,MATCH($B351,'قائمة الوحدات'!$A$2:$A$41,0)),"")</f>
        <v>EXE</v>
      </c>
      <c r="D351" s="18" t="str">
        <f aca="false">IFERROR(INDEX('قائمة الوحدات'!$C$2:$C$41,MATCH($B351,'قائمة الوحدات'!$A$2:$A$41,0)),"")</f>
        <v>الشؤون التنفيذية</v>
      </c>
      <c r="E351" s="18" t="str">
        <f aca="false">IFERROR(INDEX('قائمة الوحدات'!$D$2:$D$41,MATCH($B351,'قائمة الوحدات'!$A$2:$A$41,0)),"")</f>
        <v>وكالة التحول الرقمي</v>
      </c>
      <c r="F351" s="18" t="str">
        <f aca="false">IFERROR(INDEX('قائمة الوحدات'!$F$2:$F$41,MATCH($B351,'قائمة الوحدات'!$A$2:$A$41,0)),"")</f>
        <v>وكالة التحول الرقمي</v>
      </c>
      <c r="G351" s="20" t="s">
        <v>62</v>
      </c>
      <c r="H351" s="18" t="str">
        <f aca="false">IFERROR(INDEX(المرجع!$A$2:$A$19,MATCH($G351,المرجع!$B$2:$B$19,0)),"")</f>
        <v>البناء المؤسسي</v>
      </c>
      <c r="I351" s="20" t="s">
        <v>57</v>
      </c>
      <c r="J351" s="18" t="str">
        <f aca="false">IFERROR(INDEX(المرجع!$D$2:$D$19,MATCH($I351,المرجع!$E$2:$E$19,0)),"")</f>
        <v>الموارد</v>
      </c>
      <c r="K351" s="20" t="s">
        <v>114</v>
      </c>
      <c r="L351" s="21" t="str">
        <f aca="false">IFERROR(INDEX('نقاط التحقق'!$G$2:$G$31,MATCH($K351,'نقاط التحقق'!$A$2:$A$31,0))&amp;"","")</f>
        <v>وجود الاحتياجات التقنية الأساسية</v>
      </c>
      <c r="M351" s="18" t="str">
        <f aca="false">IFERROR(INDEX('نقاط التحقق'!$H$2:$H$31,MATCH($K351,'نقاط التحقق'!$A$2:$A$31,0))&amp;"","")</f>
        <v/>
      </c>
      <c r="N351" s="17" t="n">
        <v>40</v>
      </c>
      <c r="O351" s="17" t="n">
        <v>95</v>
      </c>
      <c r="P351" s="19" t="str">
        <f aca="false">IF($N351="","غير مقيّمة",IF($N351&gt;المرجع!$K$3,"مستوفاة بشكل متقدم",IF($N351&lt;=المرجع!$K$2,"مستوفاة بشكل أولي","مستوفاة بشكل جزئي")))</f>
        <v>مستوفاة بشكل جزئي</v>
      </c>
      <c r="Q351" s="22" t="s">
        <v>634</v>
      </c>
    </row>
    <row r="352" customFormat="false" ht="15" hidden="false" customHeight="true" outlineLevel="0" collapsed="false">
      <c r="A352" s="20" t="s">
        <v>746</v>
      </c>
      <c r="B352" s="20" t="s">
        <v>188</v>
      </c>
      <c r="C352" s="19" t="str">
        <f aca="false">IFERROR(INDEX('قائمة الوحدات'!$B$2:$B$41,MATCH($B352,'قائمة الوحدات'!$A$2:$A$41,0)),"")</f>
        <v>EXE</v>
      </c>
      <c r="D352" s="18" t="str">
        <f aca="false">IFERROR(INDEX('قائمة الوحدات'!$C$2:$C$41,MATCH($B352,'قائمة الوحدات'!$A$2:$A$41,0)),"")</f>
        <v>الشؤون التنفيذية</v>
      </c>
      <c r="E352" s="18" t="str">
        <f aca="false">IFERROR(INDEX('قائمة الوحدات'!$D$2:$D$41,MATCH($B352,'قائمة الوحدات'!$A$2:$A$41,0)),"")</f>
        <v>وكالة التحول الرقمي</v>
      </c>
      <c r="F352" s="18" t="str">
        <f aca="false">IFERROR(INDEX('قائمة الوحدات'!$F$2:$F$41,MATCH($B352,'قائمة الوحدات'!$A$2:$A$41,0)),"")</f>
        <v>وكالة التحول الرقمي</v>
      </c>
      <c r="G352" s="20" t="s">
        <v>62</v>
      </c>
      <c r="H352" s="18" t="str">
        <f aca="false">IFERROR(INDEX(المرجع!$A$2:$A$19,MATCH($G352,المرجع!$B$2:$B$19,0)),"")</f>
        <v>البناء المؤسسي</v>
      </c>
      <c r="I352" s="20" t="s">
        <v>60</v>
      </c>
      <c r="J352" s="18" t="str">
        <f aca="false">IFERROR(INDEX(المرجع!$D$2:$D$19,MATCH($I352,المرجع!$E$2:$E$19,0)),"")</f>
        <v>الإجراءات</v>
      </c>
      <c r="K352" s="20" t="s">
        <v>116</v>
      </c>
      <c r="L352" s="21" t="str">
        <f aca="false">IFERROR(INDEX('نقاط التحقق'!$G$2:$G$31,MATCH($K352,'نقاط التحقق'!$A$2:$A$31,0))&amp;"","")</f>
        <v>إجراءات معتمدة للوحدة التنظيمية</v>
      </c>
      <c r="M352" s="18" t="str">
        <f aca="false">IFERROR(INDEX('نقاط التحقق'!$H$2:$H$31,MATCH($K352,'نقاط التحقق'!$A$2:$A$31,0))&amp;"","")</f>
        <v/>
      </c>
      <c r="N352" s="17" t="n">
        <v>72</v>
      </c>
      <c r="O352" s="17" t="n">
        <v>100</v>
      </c>
      <c r="P352" s="19" t="str">
        <f aca="false">IF($N352="","غير مقيّمة",IF($N352&gt;المرجع!$K$3,"مستوفاة بشكل متقدم",IF($N352&lt;=المرجع!$K$2,"مستوفاة بشكل أولي","مستوفاة بشكل جزئي")))</f>
        <v>مستوفاة بشكل متقدم</v>
      </c>
      <c r="Q352" s="22" t="s">
        <v>634</v>
      </c>
    </row>
    <row r="353" customFormat="false" ht="15" hidden="false" customHeight="true" outlineLevel="0" collapsed="false">
      <c r="A353" s="20" t="s">
        <v>747</v>
      </c>
      <c r="B353" s="20" t="s">
        <v>188</v>
      </c>
      <c r="C353" s="19" t="str">
        <f aca="false">IFERROR(INDEX('قائمة الوحدات'!$B$2:$B$41,MATCH($B353,'قائمة الوحدات'!$A$2:$A$41,0)),"")</f>
        <v>EXE</v>
      </c>
      <c r="D353" s="18" t="str">
        <f aca="false">IFERROR(INDEX('قائمة الوحدات'!$C$2:$C$41,MATCH($B353,'قائمة الوحدات'!$A$2:$A$41,0)),"")</f>
        <v>الشؤون التنفيذية</v>
      </c>
      <c r="E353" s="18" t="str">
        <f aca="false">IFERROR(INDEX('قائمة الوحدات'!$D$2:$D$41,MATCH($B353,'قائمة الوحدات'!$A$2:$A$41,0)),"")</f>
        <v>وكالة التحول الرقمي</v>
      </c>
      <c r="F353" s="18" t="str">
        <f aca="false">IFERROR(INDEX('قائمة الوحدات'!$F$2:$F$41,MATCH($B353,'قائمة الوحدات'!$A$2:$A$41,0)),"")</f>
        <v>وكالة التحول الرقمي</v>
      </c>
      <c r="G353" s="20" t="s">
        <v>62</v>
      </c>
      <c r="H353" s="18" t="str">
        <f aca="false">IFERROR(INDEX(المرجع!$A$2:$A$19,MATCH($G353,المرجع!$B$2:$B$19,0)),"")</f>
        <v>البناء المؤسسي</v>
      </c>
      <c r="I353" s="20" t="s">
        <v>69</v>
      </c>
      <c r="J353" s="18" t="str">
        <f aca="false">IFERROR(INDEX(المرجع!$D$2:$D$19,MATCH($I353,المرجع!$E$2:$E$19,0)),"")</f>
        <v>إنتاج المخرج الأول</v>
      </c>
      <c r="K353" s="20" t="s">
        <v>118</v>
      </c>
      <c r="L353" s="21" t="str">
        <f aca="false">IFERROR(INDEX('نقاط التحقق'!$G$2:$G$31,MATCH($K353,'نقاط التحقق'!$A$2:$A$31,0))&amp;"","")</f>
        <v>إنتاج المخرج الأول من قبل الوحدة التنظيمية</v>
      </c>
      <c r="M353" s="18" t="str">
        <f aca="false">IFERROR(INDEX('نقاط التحقق'!$H$2:$H$31,MATCH($K353,'نقاط التحقق'!$A$2:$A$31,0))&amp;"","")</f>
        <v/>
      </c>
      <c r="N353" s="17" t="n">
        <v>49</v>
      </c>
      <c r="O353" s="17" t="n">
        <v>85</v>
      </c>
      <c r="P353" s="19" t="str">
        <f aca="false">IF($N353="","غير مقيّمة",IF($N353&gt;المرجع!$K$3,"مستوفاة بشكل متقدم",IF($N353&lt;=المرجع!$K$2,"مستوفاة بشكل أولي","مستوفاة بشكل جزئي")))</f>
        <v>مستوفاة بشكل جزئي</v>
      </c>
      <c r="Q353" s="22" t="s">
        <v>634</v>
      </c>
    </row>
    <row r="354" customFormat="false" ht="15" hidden="false" customHeight="true" outlineLevel="0" collapsed="false">
      <c r="A354" s="20" t="s">
        <v>748</v>
      </c>
      <c r="B354" s="20" t="s">
        <v>188</v>
      </c>
      <c r="C354" s="19" t="str">
        <f aca="false">IFERROR(INDEX('قائمة الوحدات'!$B$2:$B$41,MATCH($B354,'قائمة الوحدات'!$A$2:$A$41,0)),"")</f>
        <v>EXE</v>
      </c>
      <c r="D354" s="18" t="str">
        <f aca="false">IFERROR(INDEX('قائمة الوحدات'!$C$2:$C$41,MATCH($B354,'قائمة الوحدات'!$A$2:$A$41,0)),"")</f>
        <v>الشؤون التنفيذية</v>
      </c>
      <c r="E354" s="18" t="str">
        <f aca="false">IFERROR(INDEX('قائمة الوحدات'!$D$2:$D$41,MATCH($B354,'قائمة الوحدات'!$A$2:$A$41,0)),"")</f>
        <v>وكالة التحول الرقمي</v>
      </c>
      <c r="F354" s="18" t="str">
        <f aca="false">IFERROR(INDEX('قائمة الوحدات'!$F$2:$F$41,MATCH($B354,'قائمة الوحدات'!$A$2:$A$41,0)),"")</f>
        <v>وكالة التحول الرقمي</v>
      </c>
      <c r="G354" s="20" t="s">
        <v>66</v>
      </c>
      <c r="H354" s="18" t="str">
        <f aca="false">IFERROR(INDEX(المرجع!$A$2:$A$19,MATCH($G354,المرجع!$B$2:$B$19,0)),"")</f>
        <v>التشغيل</v>
      </c>
      <c r="I354" s="20" t="s">
        <v>49</v>
      </c>
      <c r="J354" s="18" t="str">
        <f aca="false">IFERROR(INDEX(المرجع!$D$2:$D$19,MATCH($I354,المرجع!$E$2:$E$19,0)),"")</f>
        <v>الأهداف ومؤشرات الأداء</v>
      </c>
      <c r="K354" s="20" t="s">
        <v>120</v>
      </c>
      <c r="L354" s="21" t="str">
        <f aca="false">IFERROR(INDEX('نقاط التحقق'!$G$2:$G$31,MATCH($K354,'نقاط التحقق'!$A$2:$A$31,0))&amp;"","")</f>
        <v>تحرك مؤشرات الأداء التشغيلي للوحدة التنظيمية بشكل إيجابي</v>
      </c>
      <c r="M354" s="18" t="str">
        <f aca="false">IFERROR(INDEX('نقاط التحقق'!$H$2:$H$31,MATCH($K354,'نقاط التحقق'!$A$2:$A$31,0))&amp;"","")</f>
        <v/>
      </c>
      <c r="N354" s="17" t="n">
        <v>5</v>
      </c>
      <c r="O354" s="17" t="n">
        <v>100</v>
      </c>
      <c r="P354" s="19" t="str">
        <f aca="false">IF($N354="","غير مقيّمة",IF($N354&gt;المرجع!$K$3,"مستوفاة بشكل متقدم",IF($N354&lt;=المرجع!$K$2,"مستوفاة بشكل أولي","مستوفاة بشكل جزئي")))</f>
        <v>مستوفاة بشكل أولي</v>
      </c>
      <c r="Q354" s="22" t="s">
        <v>634</v>
      </c>
    </row>
    <row r="355" customFormat="false" ht="15" hidden="false" customHeight="true" outlineLevel="0" collapsed="false">
      <c r="A355" s="20" t="s">
        <v>749</v>
      </c>
      <c r="B355" s="20" t="s">
        <v>188</v>
      </c>
      <c r="C355" s="19" t="str">
        <f aca="false">IFERROR(INDEX('قائمة الوحدات'!$B$2:$B$41,MATCH($B355,'قائمة الوحدات'!$A$2:$A$41,0)),"")</f>
        <v>EXE</v>
      </c>
      <c r="D355" s="18" t="str">
        <f aca="false">IFERROR(INDEX('قائمة الوحدات'!$C$2:$C$41,MATCH($B355,'قائمة الوحدات'!$A$2:$A$41,0)),"")</f>
        <v>الشؤون التنفيذية</v>
      </c>
      <c r="E355" s="18" t="str">
        <f aca="false">IFERROR(INDEX('قائمة الوحدات'!$D$2:$D$41,MATCH($B355,'قائمة الوحدات'!$A$2:$A$41,0)),"")</f>
        <v>وكالة التحول الرقمي</v>
      </c>
      <c r="F355" s="18" t="str">
        <f aca="false">IFERROR(INDEX('قائمة الوحدات'!$F$2:$F$41,MATCH($B355,'قائمة الوحدات'!$A$2:$A$41,0)),"")</f>
        <v>وكالة التحول الرقمي</v>
      </c>
      <c r="G355" s="20" t="s">
        <v>66</v>
      </c>
      <c r="H355" s="18" t="str">
        <f aca="false">IFERROR(INDEX(المرجع!$A$2:$A$19,MATCH($G355,المرجع!$B$2:$B$19,0)),"")</f>
        <v>التشغيل</v>
      </c>
      <c r="I355" s="20" t="s">
        <v>49</v>
      </c>
      <c r="J355" s="18" t="str">
        <f aca="false">IFERROR(INDEX(المرجع!$D$2:$D$19,MATCH($I355,المرجع!$E$2:$E$19,0)),"")</f>
        <v>الأهداف ومؤشرات الأداء</v>
      </c>
      <c r="K355" s="20" t="s">
        <v>122</v>
      </c>
      <c r="L355" s="21" t="str">
        <f aca="false">IFERROR(INDEX('نقاط التحقق'!$G$2:$G$31,MATCH($K355,'نقاط التحقق'!$A$2:$A$31,0))&amp;"","")</f>
        <v>خطة سنوية معتمدة للوحدة التنظيمية</v>
      </c>
      <c r="M355" s="18" t="str">
        <f aca="false">IFERROR(INDEX('نقاط التحقق'!$H$2:$H$31,MATCH($K355,'نقاط التحقق'!$A$2:$A$31,0))&amp;"","")</f>
        <v/>
      </c>
      <c r="N355" s="17" t="n">
        <v>15</v>
      </c>
      <c r="O355" s="17" t="n">
        <v>100</v>
      </c>
      <c r="P355" s="19" t="str">
        <f aca="false">IF($N355="","غير مقيّمة",IF($N355&gt;المرجع!$K$3,"مستوفاة بشكل متقدم",IF($N355&lt;=المرجع!$K$2,"مستوفاة بشكل أولي","مستوفاة بشكل جزئي")))</f>
        <v>مستوفاة بشكل أولي</v>
      </c>
      <c r="Q355" s="22" t="s">
        <v>634</v>
      </c>
    </row>
    <row r="356" customFormat="false" ht="15" hidden="false" customHeight="true" outlineLevel="0" collapsed="false">
      <c r="A356" s="20" t="s">
        <v>750</v>
      </c>
      <c r="B356" s="20" t="s">
        <v>188</v>
      </c>
      <c r="C356" s="19" t="str">
        <f aca="false">IFERROR(INDEX('قائمة الوحدات'!$B$2:$B$41,MATCH($B356,'قائمة الوحدات'!$A$2:$A$41,0)),"")</f>
        <v>EXE</v>
      </c>
      <c r="D356" s="18" t="str">
        <f aca="false">IFERROR(INDEX('قائمة الوحدات'!$C$2:$C$41,MATCH($B356,'قائمة الوحدات'!$A$2:$A$41,0)),"")</f>
        <v>الشؤون التنفيذية</v>
      </c>
      <c r="E356" s="18" t="str">
        <f aca="false">IFERROR(INDEX('قائمة الوحدات'!$D$2:$D$41,MATCH($B356,'قائمة الوحدات'!$A$2:$A$41,0)),"")</f>
        <v>وكالة التحول الرقمي</v>
      </c>
      <c r="F356" s="18" t="str">
        <f aca="false">IFERROR(INDEX('قائمة الوحدات'!$F$2:$F$41,MATCH($B356,'قائمة الوحدات'!$A$2:$A$41,0)),"")</f>
        <v>وكالة التحول الرقمي</v>
      </c>
      <c r="G356" s="20" t="s">
        <v>66</v>
      </c>
      <c r="H356" s="18" t="str">
        <f aca="false">IFERROR(INDEX(المرجع!$A$2:$A$19,MATCH($G356,المرجع!$B$2:$B$19,0)),"")</f>
        <v>التشغيل</v>
      </c>
      <c r="I356" s="20" t="s">
        <v>52</v>
      </c>
      <c r="J356" s="18" t="str">
        <f aca="false">IFERROR(INDEX(المرجع!$D$2:$D$19,MATCH($I356,المرجع!$E$2:$E$19,0)),"")</f>
        <v>الحوكمة</v>
      </c>
      <c r="K356" s="20" t="s">
        <v>124</v>
      </c>
      <c r="L356" s="21" t="str">
        <f aca="false">IFERROR(INDEX('نقاط التحقق'!$G$2:$G$31,MATCH($K356,'نقاط التحقق'!$A$2:$A$31,0))&amp;"","")</f>
        <v>محاضر لجان موثقة</v>
      </c>
      <c r="M356" s="18" t="str">
        <f aca="false">IFERROR(INDEX('نقاط التحقق'!$H$2:$H$31,MATCH($K356,'نقاط التحقق'!$A$2:$A$31,0))&amp;"","")</f>
        <v/>
      </c>
      <c r="N356" s="17" t="n">
        <v>50</v>
      </c>
      <c r="O356" s="17" t="n">
        <v>90</v>
      </c>
      <c r="P356" s="19" t="str">
        <f aca="false">IF($N356="","غير مقيّمة",IF($N356&gt;المرجع!$K$3,"مستوفاة بشكل متقدم",IF($N356&lt;=المرجع!$K$2,"مستوفاة بشكل أولي","مستوفاة بشكل جزئي")))</f>
        <v>مستوفاة بشكل جزئي</v>
      </c>
      <c r="Q356" s="22" t="s">
        <v>634</v>
      </c>
    </row>
    <row r="357" customFormat="false" ht="15" hidden="false" customHeight="true" outlineLevel="0" collapsed="false">
      <c r="A357" s="20" t="s">
        <v>751</v>
      </c>
      <c r="B357" s="20" t="s">
        <v>188</v>
      </c>
      <c r="C357" s="19" t="str">
        <f aca="false">IFERROR(INDEX('قائمة الوحدات'!$B$2:$B$41,MATCH($B357,'قائمة الوحدات'!$A$2:$A$41,0)),"")</f>
        <v>EXE</v>
      </c>
      <c r="D357" s="18" t="str">
        <f aca="false">IFERROR(INDEX('قائمة الوحدات'!$C$2:$C$41,MATCH($B357,'قائمة الوحدات'!$A$2:$A$41,0)),"")</f>
        <v>الشؤون التنفيذية</v>
      </c>
      <c r="E357" s="18" t="str">
        <f aca="false">IFERROR(INDEX('قائمة الوحدات'!$D$2:$D$41,MATCH($B357,'قائمة الوحدات'!$A$2:$A$41,0)),"")</f>
        <v>وكالة التحول الرقمي</v>
      </c>
      <c r="F357" s="18" t="str">
        <f aca="false">IFERROR(INDEX('قائمة الوحدات'!$F$2:$F$41,MATCH($B357,'قائمة الوحدات'!$A$2:$A$41,0)),"")</f>
        <v>وكالة التحول الرقمي</v>
      </c>
      <c r="G357" s="20" t="s">
        <v>66</v>
      </c>
      <c r="H357" s="18" t="str">
        <f aca="false">IFERROR(INDEX(المرجع!$A$2:$A$19,MATCH($G357,المرجع!$B$2:$B$19,0)),"")</f>
        <v>التشغيل</v>
      </c>
      <c r="I357" s="20" t="s">
        <v>52</v>
      </c>
      <c r="J357" s="18" t="str">
        <f aca="false">IFERROR(INDEX(المرجع!$D$2:$D$19,MATCH($I357,المرجع!$E$2:$E$19,0)),"")</f>
        <v>الحوكمة</v>
      </c>
      <c r="K357" s="20" t="s">
        <v>126</v>
      </c>
      <c r="L357" s="21" t="str">
        <f aca="false">IFERROR(INDEX('نقاط التحقق'!$G$2:$G$31,MATCH($K357,'نقاط التحقق'!$A$2:$A$31,0))&amp;"","")</f>
        <v>نشر السياسات التي تملكها الوحدة التنظيمية</v>
      </c>
      <c r="M357" s="18" t="str">
        <f aca="false">IFERROR(INDEX('نقاط التحقق'!$H$2:$H$31,MATCH($K357,'نقاط التحقق'!$A$2:$A$31,0))&amp;"","")</f>
        <v/>
      </c>
      <c r="N357" s="17" t="n">
        <v>35</v>
      </c>
      <c r="O357" s="17" t="n">
        <v>100</v>
      </c>
      <c r="P357" s="19" t="str">
        <f aca="false">IF($N357="","غير مقيّمة",IF($N357&gt;المرجع!$K$3,"مستوفاة بشكل متقدم",IF($N357&lt;=المرجع!$K$2,"مستوفاة بشكل أولي","مستوفاة بشكل جزئي")))</f>
        <v>مستوفاة بشكل جزئي</v>
      </c>
      <c r="Q357" s="22" t="s">
        <v>634</v>
      </c>
    </row>
    <row r="358" customFormat="false" ht="15" hidden="false" customHeight="true" outlineLevel="0" collapsed="false">
      <c r="A358" s="20" t="s">
        <v>752</v>
      </c>
      <c r="B358" s="20" t="s">
        <v>188</v>
      </c>
      <c r="C358" s="19" t="str">
        <f aca="false">IFERROR(INDEX('قائمة الوحدات'!$B$2:$B$41,MATCH($B358,'قائمة الوحدات'!$A$2:$A$41,0)),"")</f>
        <v>EXE</v>
      </c>
      <c r="D358" s="18" t="str">
        <f aca="false">IFERROR(INDEX('قائمة الوحدات'!$C$2:$C$41,MATCH($B358,'قائمة الوحدات'!$A$2:$A$41,0)),"")</f>
        <v>الشؤون التنفيذية</v>
      </c>
      <c r="E358" s="18" t="str">
        <f aca="false">IFERROR(INDEX('قائمة الوحدات'!$D$2:$D$41,MATCH($B358,'قائمة الوحدات'!$A$2:$A$41,0)),"")</f>
        <v>وكالة التحول الرقمي</v>
      </c>
      <c r="F358" s="18" t="str">
        <f aca="false">IFERROR(INDEX('قائمة الوحدات'!$F$2:$F$41,MATCH($B358,'قائمة الوحدات'!$A$2:$A$41,0)),"")</f>
        <v>وكالة التحول الرقمي</v>
      </c>
      <c r="G358" s="20" t="s">
        <v>66</v>
      </c>
      <c r="H358" s="18" t="str">
        <f aca="false">IFERROR(INDEX(المرجع!$A$2:$A$19,MATCH($G358,المرجع!$B$2:$B$19,0)),"")</f>
        <v>التشغيل</v>
      </c>
      <c r="I358" s="20" t="s">
        <v>52</v>
      </c>
      <c r="J358" s="18" t="str">
        <f aca="false">IFERROR(INDEX(المرجع!$D$2:$D$19,MATCH($I358,المرجع!$E$2:$E$19,0)),"")</f>
        <v>الحوكمة</v>
      </c>
      <c r="K358" s="20" t="s">
        <v>128</v>
      </c>
      <c r="L358" s="21" t="str">
        <f aca="false">IFERROR(INDEX('نقاط التحقق'!$G$2:$G$31,MATCH($K358,'نقاط التحقق'!$A$2:$A$31,0))&amp;"","")</f>
        <v>اتخاذ القرارات في نطاق الصلاحيات (وجود شواهد)</v>
      </c>
      <c r="M358" s="18" t="str">
        <f aca="false">IFERROR(INDEX('نقاط التحقق'!$H$2:$H$31,MATCH($K358,'نقاط التحقق'!$A$2:$A$31,0))&amp;"","")</f>
        <v/>
      </c>
      <c r="N358" s="17" t="n">
        <v>20</v>
      </c>
      <c r="O358" s="17" t="n">
        <v>85</v>
      </c>
      <c r="P358" s="19" t="str">
        <f aca="false">IF($N358="","غير مقيّمة",IF($N358&gt;المرجع!$K$3,"مستوفاة بشكل متقدم",IF($N358&lt;=المرجع!$K$2,"مستوفاة بشكل أولي","مستوفاة بشكل جزئي")))</f>
        <v>مستوفاة بشكل أولي</v>
      </c>
      <c r="Q358" s="22" t="s">
        <v>634</v>
      </c>
    </row>
    <row r="359" customFormat="false" ht="15" hidden="false" customHeight="true" outlineLevel="0" collapsed="false">
      <c r="A359" s="20" t="s">
        <v>753</v>
      </c>
      <c r="B359" s="20" t="s">
        <v>188</v>
      </c>
      <c r="C359" s="19" t="str">
        <f aca="false">IFERROR(INDEX('قائمة الوحدات'!$B$2:$B$41,MATCH($B359,'قائمة الوحدات'!$A$2:$A$41,0)),"")</f>
        <v>EXE</v>
      </c>
      <c r="D359" s="18" t="str">
        <f aca="false">IFERROR(INDEX('قائمة الوحدات'!$C$2:$C$41,MATCH($B359,'قائمة الوحدات'!$A$2:$A$41,0)),"")</f>
        <v>الشؤون التنفيذية</v>
      </c>
      <c r="E359" s="18" t="str">
        <f aca="false">IFERROR(INDEX('قائمة الوحدات'!$D$2:$D$41,MATCH($B359,'قائمة الوحدات'!$A$2:$A$41,0)),"")</f>
        <v>وكالة التحول الرقمي</v>
      </c>
      <c r="F359" s="18" t="str">
        <f aca="false">IFERROR(INDEX('قائمة الوحدات'!$F$2:$F$41,MATCH($B359,'قائمة الوحدات'!$A$2:$A$41,0)),"")</f>
        <v>وكالة التحول الرقمي</v>
      </c>
      <c r="G359" s="20" t="s">
        <v>66</v>
      </c>
      <c r="H359" s="18" t="str">
        <f aca="false">IFERROR(INDEX(المرجع!$A$2:$A$19,MATCH($G359,المرجع!$B$2:$B$19,0)),"")</f>
        <v>التشغيل</v>
      </c>
      <c r="I359" s="20" t="s">
        <v>57</v>
      </c>
      <c r="J359" s="18" t="str">
        <f aca="false">IFERROR(INDEX(المرجع!$D$2:$D$19,MATCH($I359,المرجع!$E$2:$E$19,0)),"")</f>
        <v>الموارد</v>
      </c>
      <c r="K359" s="20" t="s">
        <v>130</v>
      </c>
      <c r="L359" s="21" t="str">
        <f aca="false">IFERROR(INDEX('نقاط التحقق'!$G$2:$G$31,MATCH($K359,'نقاط التحقق'!$A$2:$A$31,0))&amp;"","")</f>
        <v>موارد مستكملة للحد الأدنى الذي يغطي كافة محاور سلسلة القيمة</v>
      </c>
      <c r="M359" s="18" t="str">
        <f aca="false">IFERROR(INDEX('نقاط التحقق'!$H$2:$H$31,MATCH($K359,'نقاط التحقق'!$A$2:$A$31,0))&amp;"","")</f>
        <v/>
      </c>
      <c r="N359" s="17" t="n">
        <v>35</v>
      </c>
      <c r="O359" s="17" t="n">
        <v>100</v>
      </c>
      <c r="P359" s="19" t="str">
        <f aca="false">IF($N359="","غير مقيّمة",IF($N359&gt;المرجع!$K$3,"مستوفاة بشكل متقدم",IF($N359&lt;=المرجع!$K$2,"مستوفاة بشكل أولي","مستوفاة بشكل جزئي")))</f>
        <v>مستوفاة بشكل جزئي</v>
      </c>
      <c r="Q359" s="22" t="s">
        <v>634</v>
      </c>
    </row>
    <row r="360" customFormat="false" ht="15" hidden="false" customHeight="true" outlineLevel="0" collapsed="false">
      <c r="A360" s="20" t="s">
        <v>754</v>
      </c>
      <c r="B360" s="20" t="s">
        <v>188</v>
      </c>
      <c r="C360" s="19" t="str">
        <f aca="false">IFERROR(INDEX('قائمة الوحدات'!$B$2:$B$41,MATCH($B360,'قائمة الوحدات'!$A$2:$A$41,0)),"")</f>
        <v>EXE</v>
      </c>
      <c r="D360" s="18" t="str">
        <f aca="false">IFERROR(INDEX('قائمة الوحدات'!$C$2:$C$41,MATCH($B360,'قائمة الوحدات'!$A$2:$A$41,0)),"")</f>
        <v>الشؤون التنفيذية</v>
      </c>
      <c r="E360" s="18" t="str">
        <f aca="false">IFERROR(INDEX('قائمة الوحدات'!$D$2:$D$41,MATCH($B360,'قائمة الوحدات'!$A$2:$A$41,0)),"")</f>
        <v>وكالة التحول الرقمي</v>
      </c>
      <c r="F360" s="18" t="str">
        <f aca="false">IFERROR(INDEX('قائمة الوحدات'!$F$2:$F$41,MATCH($B360,'قائمة الوحدات'!$A$2:$A$41,0)),"")</f>
        <v>وكالة التحول الرقمي</v>
      </c>
      <c r="G360" s="20" t="s">
        <v>66</v>
      </c>
      <c r="H360" s="18" t="str">
        <f aca="false">IFERROR(INDEX(المرجع!$A$2:$A$19,MATCH($G360,المرجع!$B$2:$B$19,0)),"")</f>
        <v>التشغيل</v>
      </c>
      <c r="I360" s="20" t="s">
        <v>60</v>
      </c>
      <c r="J360" s="18" t="str">
        <f aca="false">IFERROR(INDEX(المرجع!$D$2:$D$19,MATCH($I360,المرجع!$E$2:$E$19,0)),"")</f>
        <v>الإجراءات</v>
      </c>
      <c r="K360" s="20" t="s">
        <v>132</v>
      </c>
      <c r="L360" s="21" t="str">
        <f aca="false">IFERROR(INDEX('نقاط التحقق'!$G$2:$G$31,MATCH($K360,'نقاط التحقق'!$A$2:$A$31,0))&amp;"","")</f>
        <v>تحقيق تقييم "مطبق بشكل كامل" من منهجية تقييم فعالية الإجراءات</v>
      </c>
      <c r="M360" s="18" t="str">
        <f aca="false">IFERROR(INDEX('نقاط التحقق'!$H$2:$H$31,MATCH($K360,'نقاط التحقق'!$A$2:$A$31,0))&amp;"","")</f>
        <v/>
      </c>
      <c r="N360" s="17" t="n">
        <v>25</v>
      </c>
      <c r="O360" s="17" t="n">
        <v>95</v>
      </c>
      <c r="P360" s="19" t="str">
        <f aca="false">IF($N360="","غير مقيّمة",IF($N360&gt;المرجع!$K$3,"مستوفاة بشكل متقدم",IF($N360&lt;=المرجع!$K$2,"مستوفاة بشكل أولي","مستوفاة بشكل جزئي")))</f>
        <v>مستوفاة بشكل أولي</v>
      </c>
      <c r="Q360" s="22" t="s">
        <v>634</v>
      </c>
    </row>
    <row r="361" customFormat="false" ht="15" hidden="false" customHeight="true" outlineLevel="0" collapsed="false">
      <c r="A361" s="20" t="s">
        <v>755</v>
      </c>
      <c r="B361" s="20" t="s">
        <v>188</v>
      </c>
      <c r="C361" s="19" t="str">
        <f aca="false">IFERROR(INDEX('قائمة الوحدات'!$B$2:$B$41,MATCH($B361,'قائمة الوحدات'!$A$2:$A$41,0)),"")</f>
        <v>EXE</v>
      </c>
      <c r="D361" s="18" t="str">
        <f aca="false">IFERROR(INDEX('قائمة الوحدات'!$C$2:$C$41,MATCH($B361,'قائمة الوحدات'!$A$2:$A$41,0)),"")</f>
        <v>الشؤون التنفيذية</v>
      </c>
      <c r="E361" s="18" t="str">
        <f aca="false">IFERROR(INDEX('قائمة الوحدات'!$D$2:$D$41,MATCH($B361,'قائمة الوحدات'!$A$2:$A$41,0)),"")</f>
        <v>وكالة التحول الرقمي</v>
      </c>
      <c r="F361" s="18" t="str">
        <f aca="false">IFERROR(INDEX('قائمة الوحدات'!$F$2:$F$41,MATCH($B361,'قائمة الوحدات'!$A$2:$A$41,0)),"")</f>
        <v>وكالة التحول الرقمي</v>
      </c>
      <c r="G361" s="20" t="s">
        <v>66</v>
      </c>
      <c r="H361" s="18" t="str">
        <f aca="false">IFERROR(INDEX(المرجع!$A$2:$A$19,MATCH($G361,المرجع!$B$2:$B$19,0)),"")</f>
        <v>التشغيل</v>
      </c>
      <c r="I361" s="20" t="s">
        <v>71</v>
      </c>
      <c r="J361" s="18" t="str">
        <f aca="false">IFERROR(INDEX(المرجع!$D$2:$D$19,MATCH($I361,المرجع!$E$2:$E$19,0)),"")</f>
        <v>اكتمال المخرجات المستهدفة</v>
      </c>
      <c r="K361" s="20" t="s">
        <v>134</v>
      </c>
      <c r="L361" s="21" t="str">
        <f aca="false">IFERROR(INDEX('نقاط التحقق'!$G$2:$G$31,MATCH($K361,'نقاط التحقق'!$A$2:$A$31,0))&amp;"","")</f>
        <v>اكتمال مخرجات النموذج التشغيلي المستهدف للوحدة التنظيمية</v>
      </c>
      <c r="M361" s="18" t="str">
        <f aca="false">IFERROR(INDEX('نقاط التحقق'!$H$2:$H$31,MATCH($K361,'نقاط التحقق'!$A$2:$A$31,0))&amp;"","")</f>
        <v/>
      </c>
      <c r="N361" s="17" t="n">
        <v>43</v>
      </c>
      <c r="O361" s="17" t="n">
        <v>85</v>
      </c>
      <c r="P361" s="19" t="str">
        <f aca="false">IF($N361="","غير مقيّمة",IF($N361&gt;المرجع!$K$3,"مستوفاة بشكل متقدم",IF($N361&lt;=المرجع!$K$2,"مستوفاة بشكل أولي","مستوفاة بشكل جزئي")))</f>
        <v>مستوفاة بشكل جزئي</v>
      </c>
      <c r="Q361" s="22" t="s">
        <v>634</v>
      </c>
    </row>
    <row r="362" customFormat="false" ht="15" hidden="false" customHeight="true" outlineLevel="0" collapsed="false">
      <c r="A362" s="20" t="s">
        <v>756</v>
      </c>
      <c r="B362" s="20" t="s">
        <v>190</v>
      </c>
      <c r="C362" s="19" t="str">
        <f aca="false">IFERROR(INDEX('قائمة الوحدات'!$B$2:$B$41,MATCH($B362,'قائمة الوحدات'!$A$2:$A$41,0)),"")</f>
        <v>EXE</v>
      </c>
      <c r="D362" s="18" t="str">
        <f aca="false">IFERROR(INDEX('قائمة الوحدات'!$C$2:$C$41,MATCH($B362,'قائمة الوحدات'!$A$2:$A$41,0)),"")</f>
        <v>الشؤون التنفيذية</v>
      </c>
      <c r="E362" s="18" t="str">
        <f aca="false">IFERROR(INDEX('قائمة الوحدات'!$D$2:$D$41,MATCH($B362,'قائمة الوحدات'!$A$2:$A$41,0)),"")</f>
        <v>وكالة الاتصال المؤسسي</v>
      </c>
      <c r="F362" s="18" t="str">
        <f aca="false">IFERROR(INDEX('قائمة الوحدات'!$F$2:$F$41,MATCH($B362,'قائمة الوحدات'!$A$2:$A$41,0)),"")</f>
        <v>وكالة الاتصال المؤسسي</v>
      </c>
      <c r="G362" s="20" t="s">
        <v>44</v>
      </c>
      <c r="H362" s="18" t="str">
        <f aca="false">IFERROR(INDEX(المرجع!$A$2:$A$19,MATCH($G362,المرجع!$B$2:$B$19,0)),"")</f>
        <v>التصميم</v>
      </c>
      <c r="I362" s="20" t="s">
        <v>46</v>
      </c>
      <c r="J362" s="18" t="str">
        <f aca="false">IFERROR(INDEX(المرجع!$D$2:$D$19,MATCH($I362,المرجع!$E$2:$E$19,0)),"")</f>
        <v>الدور</v>
      </c>
      <c r="K362" s="20" t="s">
        <v>76</v>
      </c>
      <c r="L362" s="21" t="str">
        <f aca="false">IFERROR(INDEX('نقاط التحقق'!$G$2:$G$31,MATCH($K362,'نقاط التحقق'!$A$2:$A$31,0))&amp;"","")</f>
        <v>دور مفصل للوحدة التنظيمية</v>
      </c>
      <c r="M362" s="18" t="str">
        <f aca="false">IFERROR(INDEX('نقاط التحقق'!$H$2:$H$31,MATCH($K362,'نقاط التحقق'!$A$2:$A$31,0))&amp;"","")</f>
        <v/>
      </c>
      <c r="N362" s="17" t="n">
        <v>77</v>
      </c>
      <c r="O362" s="17" t="n">
        <v>95</v>
      </c>
      <c r="P362" s="19" t="str">
        <f aca="false">IF($N362="","غير مقيّمة",IF($N362&gt;المرجع!$K$3,"مستوفاة بشكل متقدم",IF($N362&lt;=المرجع!$K$2,"مستوفاة بشكل أولي","مستوفاة بشكل جزئي")))</f>
        <v>مستوفاة بشكل متقدم</v>
      </c>
      <c r="Q362" s="22" t="s">
        <v>634</v>
      </c>
    </row>
    <row r="363" customFormat="false" ht="15" hidden="false" customHeight="true" outlineLevel="0" collapsed="false">
      <c r="A363" s="20" t="s">
        <v>757</v>
      </c>
      <c r="B363" s="20" t="s">
        <v>190</v>
      </c>
      <c r="C363" s="19" t="str">
        <f aca="false">IFERROR(INDEX('قائمة الوحدات'!$B$2:$B$41,MATCH($B363,'قائمة الوحدات'!$A$2:$A$41,0)),"")</f>
        <v>EXE</v>
      </c>
      <c r="D363" s="18" t="str">
        <f aca="false">IFERROR(INDEX('قائمة الوحدات'!$C$2:$C$41,MATCH($B363,'قائمة الوحدات'!$A$2:$A$41,0)),"")</f>
        <v>الشؤون التنفيذية</v>
      </c>
      <c r="E363" s="18" t="str">
        <f aca="false">IFERROR(INDEX('قائمة الوحدات'!$D$2:$D$41,MATCH($B363,'قائمة الوحدات'!$A$2:$A$41,0)),"")</f>
        <v>وكالة الاتصال المؤسسي</v>
      </c>
      <c r="F363" s="18" t="str">
        <f aca="false">IFERROR(INDEX('قائمة الوحدات'!$F$2:$F$41,MATCH($B363,'قائمة الوحدات'!$A$2:$A$41,0)),"")</f>
        <v>وكالة الاتصال المؤسسي</v>
      </c>
      <c r="G363" s="20" t="s">
        <v>44</v>
      </c>
      <c r="H363" s="18" t="str">
        <f aca="false">IFERROR(INDEX(المرجع!$A$2:$A$19,MATCH($G363,المرجع!$B$2:$B$19,0)),"")</f>
        <v>التصميم</v>
      </c>
      <c r="I363" s="20" t="s">
        <v>49</v>
      </c>
      <c r="J363" s="18" t="str">
        <f aca="false">IFERROR(INDEX(المرجع!$D$2:$D$19,MATCH($I363,المرجع!$E$2:$E$19,0)),"")</f>
        <v>الأهداف ومؤشرات الأداء</v>
      </c>
      <c r="K363" s="20" t="s">
        <v>78</v>
      </c>
      <c r="L363" s="21" t="str">
        <f aca="false">IFERROR(INDEX('نقاط التحقق'!$G$2:$G$31,MATCH($K363,'نقاط التحقق'!$A$2:$A$31,0))&amp;"","")</f>
        <v>أهداف محددة للوحدة التنظيمية وربطها بمؤشرات أداء لقياسها</v>
      </c>
      <c r="M363" s="18" t="str">
        <f aca="false">IFERROR(INDEX('نقاط التحقق'!$H$2:$H$31,MATCH($K363,'نقاط التحقق'!$A$2:$A$31,0))&amp;"","")</f>
        <v/>
      </c>
      <c r="N363" s="17" t="n">
        <v>100</v>
      </c>
      <c r="O363" s="17" t="n">
        <v>100</v>
      </c>
      <c r="P363" s="19" t="str">
        <f aca="false">IF($N363="","غير مقيّمة",IF($N363&gt;المرجع!$K$3,"مستوفاة بشكل متقدم",IF($N363&lt;=المرجع!$K$2,"مستوفاة بشكل أولي","مستوفاة بشكل جزئي")))</f>
        <v>مستوفاة بشكل متقدم</v>
      </c>
      <c r="Q363" s="22" t="s">
        <v>634</v>
      </c>
    </row>
    <row r="364" customFormat="false" ht="15" hidden="false" customHeight="true" outlineLevel="0" collapsed="false">
      <c r="A364" s="20" t="s">
        <v>758</v>
      </c>
      <c r="B364" s="20" t="s">
        <v>190</v>
      </c>
      <c r="C364" s="19" t="str">
        <f aca="false">IFERROR(INDEX('قائمة الوحدات'!$B$2:$B$41,MATCH($B364,'قائمة الوحدات'!$A$2:$A$41,0)),"")</f>
        <v>EXE</v>
      </c>
      <c r="D364" s="18" t="str">
        <f aca="false">IFERROR(INDEX('قائمة الوحدات'!$C$2:$C$41,MATCH($B364,'قائمة الوحدات'!$A$2:$A$41,0)),"")</f>
        <v>الشؤون التنفيذية</v>
      </c>
      <c r="E364" s="18" t="str">
        <f aca="false">IFERROR(INDEX('قائمة الوحدات'!$D$2:$D$41,MATCH($B364,'قائمة الوحدات'!$A$2:$A$41,0)),"")</f>
        <v>وكالة الاتصال المؤسسي</v>
      </c>
      <c r="F364" s="18" t="str">
        <f aca="false">IFERROR(INDEX('قائمة الوحدات'!$F$2:$F$41,MATCH($B364,'قائمة الوحدات'!$A$2:$A$41,0)),"")</f>
        <v>وكالة الاتصال المؤسسي</v>
      </c>
      <c r="G364" s="20" t="s">
        <v>44</v>
      </c>
      <c r="H364" s="18" t="str">
        <f aca="false">IFERROR(INDEX(المرجع!$A$2:$A$19,MATCH($G364,المرجع!$B$2:$B$19,0)),"")</f>
        <v>التصميم</v>
      </c>
      <c r="I364" s="20" t="s">
        <v>49</v>
      </c>
      <c r="J364" s="18" t="str">
        <f aca="false">IFERROR(INDEX(المرجع!$D$2:$D$19,MATCH($I364,المرجع!$E$2:$E$19,0)),"")</f>
        <v>الأهداف ومؤشرات الأداء</v>
      </c>
      <c r="K364" s="20" t="s">
        <v>80</v>
      </c>
      <c r="L364" s="21" t="str">
        <f aca="false">IFERROR(INDEX('نقاط التحقق'!$G$2:$G$31,MATCH($K364,'نقاط التحقق'!$A$2:$A$31,0))&amp;"","")</f>
        <v>مؤشرات أداء الوحدة التنظيمية</v>
      </c>
      <c r="M364" s="18" t="str">
        <f aca="false">IFERROR(INDEX('نقاط التحقق'!$H$2:$H$31,MATCH($K364,'نقاط التحقق'!$A$2:$A$31,0))&amp;"","")</f>
        <v/>
      </c>
      <c r="N364" s="17" t="n">
        <v>100</v>
      </c>
      <c r="O364" s="17" t="n">
        <v>100</v>
      </c>
      <c r="P364" s="19" t="str">
        <f aca="false">IF($N364="","غير مقيّمة",IF($N364&gt;المرجع!$K$3,"مستوفاة بشكل متقدم",IF($N364&lt;=المرجع!$K$2,"مستوفاة بشكل أولي","مستوفاة بشكل جزئي")))</f>
        <v>مستوفاة بشكل متقدم</v>
      </c>
      <c r="Q364" s="22" t="s">
        <v>634</v>
      </c>
    </row>
    <row r="365" customFormat="false" ht="15" hidden="false" customHeight="true" outlineLevel="0" collapsed="false">
      <c r="A365" s="20" t="s">
        <v>759</v>
      </c>
      <c r="B365" s="20" t="s">
        <v>190</v>
      </c>
      <c r="C365" s="19" t="str">
        <f aca="false">IFERROR(INDEX('قائمة الوحدات'!$B$2:$B$41,MATCH($B365,'قائمة الوحدات'!$A$2:$A$41,0)),"")</f>
        <v>EXE</v>
      </c>
      <c r="D365" s="18" t="str">
        <f aca="false">IFERROR(INDEX('قائمة الوحدات'!$C$2:$C$41,MATCH($B365,'قائمة الوحدات'!$A$2:$A$41,0)),"")</f>
        <v>الشؤون التنفيذية</v>
      </c>
      <c r="E365" s="18" t="str">
        <f aca="false">IFERROR(INDEX('قائمة الوحدات'!$D$2:$D$41,MATCH($B365,'قائمة الوحدات'!$A$2:$A$41,0)),"")</f>
        <v>وكالة الاتصال المؤسسي</v>
      </c>
      <c r="F365" s="18" t="str">
        <f aca="false">IFERROR(INDEX('قائمة الوحدات'!$F$2:$F$41,MATCH($B365,'قائمة الوحدات'!$A$2:$A$41,0)),"")</f>
        <v>وكالة الاتصال المؤسسي</v>
      </c>
      <c r="G365" s="20" t="s">
        <v>44</v>
      </c>
      <c r="H365" s="18" t="str">
        <f aca="false">IFERROR(INDEX(المرجع!$A$2:$A$19,MATCH($G365,المرجع!$B$2:$B$19,0)),"")</f>
        <v>التصميم</v>
      </c>
      <c r="I365" s="20" t="s">
        <v>52</v>
      </c>
      <c r="J365" s="18" t="str">
        <f aca="false">IFERROR(INDEX(المرجع!$D$2:$D$19,MATCH($I365,المرجع!$E$2:$E$19,0)),"")</f>
        <v>الحوكمة</v>
      </c>
      <c r="K365" s="20" t="s">
        <v>82</v>
      </c>
      <c r="L365" s="21" t="str">
        <f aca="false">IFERROR(INDEX('نقاط التحقق'!$G$2:$G$31,MATCH($K365,'نقاط التحقق'!$A$2:$A$31,0))&amp;"","")</f>
        <v>تفصيل القرارات ومصفوفة الصلاحيات واللجان ذات العلاقة لاعتماد مخرجات الوحدة التنظيمية</v>
      </c>
      <c r="M365" s="18" t="str">
        <f aca="false">IFERROR(INDEX('نقاط التحقق'!$H$2:$H$31,MATCH($K365,'نقاط التحقق'!$A$2:$A$31,0))&amp;"","")</f>
        <v/>
      </c>
      <c r="N365" s="17" t="n">
        <v>68</v>
      </c>
      <c r="O365" s="17" t="n">
        <v>95</v>
      </c>
      <c r="P365" s="19" t="str">
        <f aca="false">IF($N365="","غير مقيّمة",IF($N365&gt;المرجع!$K$3,"مستوفاة بشكل متقدم",IF($N365&lt;=المرجع!$K$2,"مستوفاة بشكل أولي","مستوفاة بشكل جزئي")))</f>
        <v>مستوفاة بشكل جزئي</v>
      </c>
      <c r="Q365" s="22" t="s">
        <v>634</v>
      </c>
    </row>
    <row r="366" customFormat="false" ht="15" hidden="false" customHeight="true" outlineLevel="0" collapsed="false">
      <c r="A366" s="20" t="s">
        <v>760</v>
      </c>
      <c r="B366" s="20" t="s">
        <v>190</v>
      </c>
      <c r="C366" s="19" t="str">
        <f aca="false">IFERROR(INDEX('قائمة الوحدات'!$B$2:$B$41,MATCH($B366,'قائمة الوحدات'!$A$2:$A$41,0)),"")</f>
        <v>EXE</v>
      </c>
      <c r="D366" s="18" t="str">
        <f aca="false">IFERROR(INDEX('قائمة الوحدات'!$C$2:$C$41,MATCH($B366,'قائمة الوحدات'!$A$2:$A$41,0)),"")</f>
        <v>الشؤون التنفيذية</v>
      </c>
      <c r="E366" s="18" t="str">
        <f aca="false">IFERROR(INDEX('قائمة الوحدات'!$D$2:$D$41,MATCH($B366,'قائمة الوحدات'!$A$2:$A$41,0)),"")</f>
        <v>وكالة الاتصال المؤسسي</v>
      </c>
      <c r="F366" s="18" t="str">
        <f aca="false">IFERROR(INDEX('قائمة الوحدات'!$F$2:$F$41,MATCH($B366,'قائمة الوحدات'!$A$2:$A$41,0)),"")</f>
        <v>وكالة الاتصال المؤسسي</v>
      </c>
      <c r="G366" s="20" t="s">
        <v>44</v>
      </c>
      <c r="H366" s="18" t="str">
        <f aca="false">IFERROR(INDEX(المرجع!$A$2:$A$19,MATCH($G366,المرجع!$B$2:$B$19,0)),"")</f>
        <v>التصميم</v>
      </c>
      <c r="I366" s="20" t="s">
        <v>55</v>
      </c>
      <c r="J366" s="18" t="str">
        <f aca="false">IFERROR(INDEX(المرجع!$D$2:$D$19,MATCH($I366,المرجع!$E$2:$E$19,0)),"")</f>
        <v>التنظيم</v>
      </c>
      <c r="K366" s="20" t="s">
        <v>84</v>
      </c>
      <c r="L366" s="21" t="str">
        <f aca="false">IFERROR(INDEX('نقاط التحقق'!$G$2:$G$31,MATCH($K366,'نقاط التحقق'!$A$2:$A$31,0))&amp;"","")</f>
        <v>تطوير الأدوار والمسؤوليات للوحدة التنظيمية وتفصيل الهيكل التنظيمي</v>
      </c>
      <c r="M366" s="18" t="str">
        <f aca="false">IFERROR(INDEX('نقاط التحقق'!$H$2:$H$31,MATCH($K366,'نقاط التحقق'!$A$2:$A$31,0))&amp;"","")</f>
        <v/>
      </c>
      <c r="N366" s="17" t="n">
        <v>82</v>
      </c>
      <c r="O366" s="17" t="n">
        <v>90</v>
      </c>
      <c r="P366" s="19" t="str">
        <f aca="false">IF($N366="","غير مقيّمة",IF($N366&gt;المرجع!$K$3,"مستوفاة بشكل متقدم",IF($N366&lt;=المرجع!$K$2,"مستوفاة بشكل أولي","مستوفاة بشكل جزئي")))</f>
        <v>مستوفاة بشكل متقدم</v>
      </c>
      <c r="Q366" s="22" t="s">
        <v>634</v>
      </c>
    </row>
    <row r="367" customFormat="false" ht="15" hidden="false" customHeight="true" outlineLevel="0" collapsed="false">
      <c r="A367" s="20" t="s">
        <v>761</v>
      </c>
      <c r="B367" s="20" t="s">
        <v>190</v>
      </c>
      <c r="C367" s="19" t="str">
        <f aca="false">IFERROR(INDEX('قائمة الوحدات'!$B$2:$B$41,MATCH($B367,'قائمة الوحدات'!$A$2:$A$41,0)),"")</f>
        <v>EXE</v>
      </c>
      <c r="D367" s="18" t="str">
        <f aca="false">IFERROR(INDEX('قائمة الوحدات'!$C$2:$C$41,MATCH($B367,'قائمة الوحدات'!$A$2:$A$41,0)),"")</f>
        <v>الشؤون التنفيذية</v>
      </c>
      <c r="E367" s="18" t="str">
        <f aca="false">IFERROR(INDEX('قائمة الوحدات'!$D$2:$D$41,MATCH($B367,'قائمة الوحدات'!$A$2:$A$41,0)),"")</f>
        <v>وكالة الاتصال المؤسسي</v>
      </c>
      <c r="F367" s="18" t="str">
        <f aca="false">IFERROR(INDEX('قائمة الوحدات'!$F$2:$F$41,MATCH($B367,'قائمة الوحدات'!$A$2:$A$41,0)),"")</f>
        <v>وكالة الاتصال المؤسسي</v>
      </c>
      <c r="G367" s="20" t="s">
        <v>44</v>
      </c>
      <c r="H367" s="18" t="str">
        <f aca="false">IFERROR(INDEX(المرجع!$A$2:$A$19,MATCH($G367,المرجع!$B$2:$B$19,0)),"")</f>
        <v>التصميم</v>
      </c>
      <c r="I367" s="20" t="s">
        <v>57</v>
      </c>
      <c r="J367" s="18" t="str">
        <f aca="false">IFERROR(INDEX(المرجع!$D$2:$D$19,MATCH($I367,المرجع!$E$2:$E$19,0)),"")</f>
        <v>الموارد</v>
      </c>
      <c r="K367" s="20" t="s">
        <v>86</v>
      </c>
      <c r="L367" s="21" t="str">
        <f aca="false">IFERROR(INDEX('نقاط التحقق'!$G$2:$G$31,MATCH($K367,'نقاط التحقق'!$A$2:$A$31,0))&amp;"","")</f>
        <v>تفصيل احتياج الموارد البشرية للوحدة التنظيمية</v>
      </c>
      <c r="M367" s="18" t="str">
        <f aca="false">IFERROR(INDEX('نقاط التحقق'!$H$2:$H$31,MATCH($K367,'نقاط التحقق'!$A$2:$A$31,0))&amp;"","")</f>
        <v/>
      </c>
      <c r="N367" s="17" t="n">
        <v>91</v>
      </c>
      <c r="O367" s="17" t="n">
        <v>91</v>
      </c>
      <c r="P367" s="19" t="str">
        <f aca="false">IF($N367="","غير مقيّمة",IF($N367&gt;المرجع!$K$3,"مستوفاة بشكل متقدم",IF($N367&lt;=المرجع!$K$2,"مستوفاة بشكل أولي","مستوفاة بشكل جزئي")))</f>
        <v>مستوفاة بشكل متقدم</v>
      </c>
      <c r="Q367" s="22" t="s">
        <v>634</v>
      </c>
    </row>
    <row r="368" customFormat="false" ht="15" hidden="false" customHeight="true" outlineLevel="0" collapsed="false">
      <c r="A368" s="20" t="s">
        <v>762</v>
      </c>
      <c r="B368" s="20" t="s">
        <v>190</v>
      </c>
      <c r="C368" s="19" t="str">
        <f aca="false">IFERROR(INDEX('قائمة الوحدات'!$B$2:$B$41,MATCH($B368,'قائمة الوحدات'!$A$2:$A$41,0)),"")</f>
        <v>EXE</v>
      </c>
      <c r="D368" s="18" t="str">
        <f aca="false">IFERROR(INDEX('قائمة الوحدات'!$C$2:$C$41,MATCH($B368,'قائمة الوحدات'!$A$2:$A$41,0)),"")</f>
        <v>الشؤون التنفيذية</v>
      </c>
      <c r="E368" s="18" t="str">
        <f aca="false">IFERROR(INDEX('قائمة الوحدات'!$D$2:$D$41,MATCH($B368,'قائمة الوحدات'!$A$2:$A$41,0)),"")</f>
        <v>وكالة الاتصال المؤسسي</v>
      </c>
      <c r="F368" s="18" t="str">
        <f aca="false">IFERROR(INDEX('قائمة الوحدات'!$F$2:$F$41,MATCH($B368,'قائمة الوحدات'!$A$2:$A$41,0)),"")</f>
        <v>وكالة الاتصال المؤسسي</v>
      </c>
      <c r="G368" s="20" t="s">
        <v>44</v>
      </c>
      <c r="H368" s="18" t="str">
        <f aca="false">IFERROR(INDEX(المرجع!$A$2:$A$19,MATCH($G368,المرجع!$B$2:$B$19,0)),"")</f>
        <v>التصميم</v>
      </c>
      <c r="I368" s="20" t="s">
        <v>60</v>
      </c>
      <c r="J368" s="18" t="str">
        <f aca="false">IFERROR(INDEX(المرجع!$D$2:$D$19,MATCH($I368,المرجع!$E$2:$E$19,0)),"")</f>
        <v>الإجراءات</v>
      </c>
      <c r="K368" s="20" t="s">
        <v>88</v>
      </c>
      <c r="L368" s="21" t="str">
        <f aca="false">IFERROR(INDEX('نقاط التحقق'!$G$2:$G$31,MATCH($K368,'نقاط التحقق'!$A$2:$A$31,0))&amp;"","")</f>
        <v>تفصيل المخرجات إلى إجراءات عالية المستوى</v>
      </c>
      <c r="M368" s="18" t="str">
        <f aca="false">IFERROR(INDEX('نقاط التحقق'!$H$2:$H$31,MATCH($K368,'نقاط التحقق'!$A$2:$A$31,0))&amp;"","")</f>
        <v/>
      </c>
      <c r="N368" s="17" t="n">
        <v>79</v>
      </c>
      <c r="O368" s="17" t="n">
        <v>100</v>
      </c>
      <c r="P368" s="19" t="str">
        <f aca="false">IF($N368="","غير مقيّمة",IF($N368&gt;المرجع!$K$3,"مستوفاة بشكل متقدم",IF($N368&lt;=المرجع!$K$2,"مستوفاة بشكل أولي","مستوفاة بشكل جزئي")))</f>
        <v>مستوفاة بشكل متقدم</v>
      </c>
      <c r="Q368" s="22" t="s">
        <v>634</v>
      </c>
    </row>
    <row r="369" customFormat="false" ht="15" hidden="false" customHeight="true" outlineLevel="0" collapsed="false">
      <c r="A369" s="20" t="s">
        <v>763</v>
      </c>
      <c r="B369" s="20" t="s">
        <v>190</v>
      </c>
      <c r="C369" s="19" t="str">
        <f aca="false">IFERROR(INDEX('قائمة الوحدات'!$B$2:$B$41,MATCH($B369,'قائمة الوحدات'!$A$2:$A$41,0)),"")</f>
        <v>EXE</v>
      </c>
      <c r="D369" s="18" t="str">
        <f aca="false">IFERROR(INDEX('قائمة الوحدات'!$C$2:$C$41,MATCH($B369,'قائمة الوحدات'!$A$2:$A$41,0)),"")</f>
        <v>الشؤون التنفيذية</v>
      </c>
      <c r="E369" s="18" t="str">
        <f aca="false">IFERROR(INDEX('قائمة الوحدات'!$D$2:$D$41,MATCH($B369,'قائمة الوحدات'!$A$2:$A$41,0)),"")</f>
        <v>وكالة الاتصال المؤسسي</v>
      </c>
      <c r="F369" s="18" t="str">
        <f aca="false">IFERROR(INDEX('قائمة الوحدات'!$F$2:$F$41,MATCH($B369,'قائمة الوحدات'!$A$2:$A$41,0)),"")</f>
        <v>وكالة الاتصال المؤسسي</v>
      </c>
      <c r="G369" s="20" t="s">
        <v>62</v>
      </c>
      <c r="H369" s="18" t="str">
        <f aca="false">IFERROR(INDEX(المرجع!$A$2:$A$19,MATCH($G369,المرجع!$B$2:$B$19,0)),"")</f>
        <v>البناء المؤسسي</v>
      </c>
      <c r="I369" s="20" t="s">
        <v>46</v>
      </c>
      <c r="J369" s="18" t="str">
        <f aca="false">IFERROR(INDEX(المرجع!$D$2:$D$19,MATCH($I369,المرجع!$E$2:$E$19,0)),"")</f>
        <v>الدور</v>
      </c>
      <c r="K369" s="20" t="s">
        <v>90</v>
      </c>
      <c r="L369" s="21" t="str">
        <f aca="false">IFERROR(INDEX('نقاط التحقق'!$G$2:$G$31,MATCH($K369,'نقاط التحقق'!$A$2:$A$31,0))&amp;"","")</f>
        <v>دور معتمد للوحدة التنظيمية</v>
      </c>
      <c r="M369" s="18" t="str">
        <f aca="false">IFERROR(INDEX('نقاط التحقق'!$H$2:$H$31,MATCH($K369,'نقاط التحقق'!$A$2:$A$31,0))&amp;"","")</f>
        <v/>
      </c>
      <c r="N369" s="17" t="n">
        <v>48</v>
      </c>
      <c r="O369" s="17" t="n">
        <v>85</v>
      </c>
      <c r="P369" s="19" t="str">
        <f aca="false">IF($N369="","غير مقيّمة",IF($N369&gt;المرجع!$K$3,"مستوفاة بشكل متقدم",IF($N369&lt;=المرجع!$K$2,"مستوفاة بشكل أولي","مستوفاة بشكل جزئي")))</f>
        <v>مستوفاة بشكل جزئي</v>
      </c>
      <c r="Q369" s="22" t="s">
        <v>634</v>
      </c>
    </row>
    <row r="370" customFormat="false" ht="15" hidden="false" customHeight="true" outlineLevel="0" collapsed="false">
      <c r="A370" s="20" t="s">
        <v>764</v>
      </c>
      <c r="B370" s="20" t="s">
        <v>190</v>
      </c>
      <c r="C370" s="19" t="str">
        <f aca="false">IFERROR(INDEX('قائمة الوحدات'!$B$2:$B$41,MATCH($B370,'قائمة الوحدات'!$A$2:$A$41,0)),"")</f>
        <v>EXE</v>
      </c>
      <c r="D370" s="18" t="str">
        <f aca="false">IFERROR(INDEX('قائمة الوحدات'!$C$2:$C$41,MATCH($B370,'قائمة الوحدات'!$A$2:$A$41,0)),"")</f>
        <v>الشؤون التنفيذية</v>
      </c>
      <c r="E370" s="18" t="str">
        <f aca="false">IFERROR(INDEX('قائمة الوحدات'!$D$2:$D$41,MATCH($B370,'قائمة الوحدات'!$A$2:$A$41,0)),"")</f>
        <v>وكالة الاتصال المؤسسي</v>
      </c>
      <c r="F370" s="18" t="str">
        <f aca="false">IFERROR(INDEX('قائمة الوحدات'!$F$2:$F$41,MATCH($B370,'قائمة الوحدات'!$A$2:$A$41,0)),"")</f>
        <v>وكالة الاتصال المؤسسي</v>
      </c>
      <c r="G370" s="20" t="s">
        <v>62</v>
      </c>
      <c r="H370" s="18" t="str">
        <f aca="false">IFERROR(INDEX(المرجع!$A$2:$A$19,MATCH($G370,المرجع!$B$2:$B$19,0)),"")</f>
        <v>البناء المؤسسي</v>
      </c>
      <c r="I370" s="20" t="s">
        <v>49</v>
      </c>
      <c r="J370" s="18" t="str">
        <f aca="false">IFERROR(INDEX(المرجع!$D$2:$D$19,MATCH($I370,المرجع!$E$2:$E$19,0)),"")</f>
        <v>الأهداف ومؤشرات الأداء</v>
      </c>
      <c r="K370" s="20" t="s">
        <v>92</v>
      </c>
      <c r="L370" s="21" t="str">
        <f aca="false">IFERROR(INDEX('نقاط التحقق'!$G$2:$G$31,MATCH($K370,'نقاط التحقق'!$A$2:$A$31,0))&amp;"","")</f>
        <v>أهداف تشغيلية معتمدة من صاحب الصلاحية</v>
      </c>
      <c r="M370" s="18" t="str">
        <f aca="false">IFERROR(INDEX('نقاط التحقق'!$H$2:$H$31,MATCH($K370,'نقاط التحقق'!$A$2:$A$31,0))&amp;"","")</f>
        <v/>
      </c>
      <c r="N370" s="17" t="n">
        <v>75</v>
      </c>
      <c r="O370" s="17" t="n">
        <v>95</v>
      </c>
      <c r="P370" s="19" t="str">
        <f aca="false">IF($N370="","غير مقيّمة",IF($N370&gt;المرجع!$K$3,"مستوفاة بشكل متقدم",IF($N370&lt;=المرجع!$K$2,"مستوفاة بشكل أولي","مستوفاة بشكل جزئي")))</f>
        <v>مستوفاة بشكل متقدم</v>
      </c>
      <c r="Q370" s="22" t="s">
        <v>634</v>
      </c>
    </row>
    <row r="371" customFormat="false" ht="15" hidden="false" customHeight="true" outlineLevel="0" collapsed="false">
      <c r="A371" s="20" t="s">
        <v>765</v>
      </c>
      <c r="B371" s="20" t="s">
        <v>190</v>
      </c>
      <c r="C371" s="19" t="str">
        <f aca="false">IFERROR(INDEX('قائمة الوحدات'!$B$2:$B$41,MATCH($B371,'قائمة الوحدات'!$A$2:$A$41,0)),"")</f>
        <v>EXE</v>
      </c>
      <c r="D371" s="18" t="str">
        <f aca="false">IFERROR(INDEX('قائمة الوحدات'!$C$2:$C$41,MATCH($B371,'قائمة الوحدات'!$A$2:$A$41,0)),"")</f>
        <v>الشؤون التنفيذية</v>
      </c>
      <c r="E371" s="18" t="str">
        <f aca="false">IFERROR(INDEX('قائمة الوحدات'!$D$2:$D$41,MATCH($B371,'قائمة الوحدات'!$A$2:$A$41,0)),"")</f>
        <v>وكالة الاتصال المؤسسي</v>
      </c>
      <c r="F371" s="18" t="str">
        <f aca="false">IFERROR(INDEX('قائمة الوحدات'!$F$2:$F$41,MATCH($B371,'قائمة الوحدات'!$A$2:$A$41,0)),"")</f>
        <v>وكالة الاتصال المؤسسي</v>
      </c>
      <c r="G371" s="20" t="s">
        <v>62</v>
      </c>
      <c r="H371" s="18" t="str">
        <f aca="false">IFERROR(INDEX(المرجع!$A$2:$A$19,MATCH($G371,المرجع!$B$2:$B$19,0)),"")</f>
        <v>البناء المؤسسي</v>
      </c>
      <c r="I371" s="20" t="s">
        <v>49</v>
      </c>
      <c r="J371" s="18" t="str">
        <f aca="false">IFERROR(INDEX(المرجع!$D$2:$D$19,MATCH($I371,المرجع!$E$2:$E$19,0)),"")</f>
        <v>الأهداف ومؤشرات الأداء</v>
      </c>
      <c r="K371" s="20" t="s">
        <v>94</v>
      </c>
      <c r="L371" s="21" t="str">
        <f aca="false">IFERROR(INDEX('نقاط التحقق'!$G$2:$G$31,MATCH($K371,'نقاط التحقق'!$A$2:$A$31,0))&amp;"","")</f>
        <v>نشر الأهداف التشغيلية على موظفي الوحدة التنظيمية</v>
      </c>
      <c r="M371" s="18" t="str">
        <f aca="false">IFERROR(INDEX('نقاط التحقق'!$H$2:$H$31,MATCH($K371,'نقاط التحقق'!$A$2:$A$31,0))&amp;"","")</f>
        <v/>
      </c>
      <c r="N371" s="17" t="n">
        <v>60</v>
      </c>
      <c r="O371" s="17" t="n">
        <v>80</v>
      </c>
      <c r="P371" s="19" t="str">
        <f aca="false">IF($N371="","غير مقيّمة",IF($N371&gt;المرجع!$K$3,"مستوفاة بشكل متقدم",IF($N371&lt;=المرجع!$K$2,"مستوفاة بشكل أولي","مستوفاة بشكل جزئي")))</f>
        <v>مستوفاة بشكل جزئي</v>
      </c>
      <c r="Q371" s="22" t="s">
        <v>634</v>
      </c>
    </row>
    <row r="372" customFormat="false" ht="15" hidden="false" customHeight="true" outlineLevel="0" collapsed="false">
      <c r="A372" s="20" t="s">
        <v>766</v>
      </c>
      <c r="B372" s="20" t="s">
        <v>190</v>
      </c>
      <c r="C372" s="19" t="str">
        <f aca="false">IFERROR(INDEX('قائمة الوحدات'!$B$2:$B$41,MATCH($B372,'قائمة الوحدات'!$A$2:$A$41,0)),"")</f>
        <v>EXE</v>
      </c>
      <c r="D372" s="18" t="str">
        <f aca="false">IFERROR(INDEX('قائمة الوحدات'!$C$2:$C$41,MATCH($B372,'قائمة الوحدات'!$A$2:$A$41,0)),"")</f>
        <v>الشؤون التنفيذية</v>
      </c>
      <c r="E372" s="18" t="str">
        <f aca="false">IFERROR(INDEX('قائمة الوحدات'!$D$2:$D$41,MATCH($B372,'قائمة الوحدات'!$A$2:$A$41,0)),"")</f>
        <v>وكالة الاتصال المؤسسي</v>
      </c>
      <c r="F372" s="18" t="str">
        <f aca="false">IFERROR(INDEX('قائمة الوحدات'!$F$2:$F$41,MATCH($B372,'قائمة الوحدات'!$A$2:$A$41,0)),"")</f>
        <v>وكالة الاتصال المؤسسي</v>
      </c>
      <c r="G372" s="20" t="s">
        <v>62</v>
      </c>
      <c r="H372" s="18" t="str">
        <f aca="false">IFERROR(INDEX(المرجع!$A$2:$A$19,MATCH($G372,المرجع!$B$2:$B$19,0)),"")</f>
        <v>البناء المؤسسي</v>
      </c>
      <c r="I372" s="20" t="s">
        <v>52</v>
      </c>
      <c r="J372" s="18" t="str">
        <f aca="false">IFERROR(INDEX(المرجع!$D$2:$D$19,MATCH($I372,المرجع!$E$2:$E$19,0)),"")</f>
        <v>الحوكمة</v>
      </c>
      <c r="K372" s="20" t="s">
        <v>96</v>
      </c>
      <c r="L372" s="21" t="str">
        <f aca="false">IFERROR(INDEX('نقاط التحقق'!$G$2:$G$31,MATCH($K372,'نقاط التحقق'!$A$2:$A$31,0))&amp;"","")</f>
        <v>مصفوفة صلاحيات معتمدة ومعممة على أصحاب المصلحة</v>
      </c>
      <c r="M372" s="18" t="str">
        <f aca="false">IFERROR(INDEX('نقاط التحقق'!$H$2:$H$31,MATCH($K372,'نقاط التحقق'!$A$2:$A$31,0))&amp;"","")</f>
        <v/>
      </c>
      <c r="N372" s="17" t="n">
        <v>75</v>
      </c>
      <c r="O372" s="17" t="n">
        <v>85</v>
      </c>
      <c r="P372" s="19" t="str">
        <f aca="false">IF($N372="","غير مقيّمة",IF($N372&gt;المرجع!$K$3,"مستوفاة بشكل متقدم",IF($N372&lt;=المرجع!$K$2,"مستوفاة بشكل أولي","مستوفاة بشكل جزئي")))</f>
        <v>مستوفاة بشكل متقدم</v>
      </c>
      <c r="Q372" s="22" t="s">
        <v>634</v>
      </c>
    </row>
    <row r="373" customFormat="false" ht="15" hidden="false" customHeight="true" outlineLevel="0" collapsed="false">
      <c r="A373" s="20" t="s">
        <v>767</v>
      </c>
      <c r="B373" s="20" t="s">
        <v>190</v>
      </c>
      <c r="C373" s="19" t="str">
        <f aca="false">IFERROR(INDEX('قائمة الوحدات'!$B$2:$B$41,MATCH($B373,'قائمة الوحدات'!$A$2:$A$41,0)),"")</f>
        <v>EXE</v>
      </c>
      <c r="D373" s="18" t="str">
        <f aca="false">IFERROR(INDEX('قائمة الوحدات'!$C$2:$C$41,MATCH($B373,'قائمة الوحدات'!$A$2:$A$41,0)),"")</f>
        <v>الشؤون التنفيذية</v>
      </c>
      <c r="E373" s="18" t="str">
        <f aca="false">IFERROR(INDEX('قائمة الوحدات'!$D$2:$D$41,MATCH($B373,'قائمة الوحدات'!$A$2:$A$41,0)),"")</f>
        <v>وكالة الاتصال المؤسسي</v>
      </c>
      <c r="F373" s="18" t="str">
        <f aca="false">IFERROR(INDEX('قائمة الوحدات'!$F$2:$F$41,MATCH($B373,'قائمة الوحدات'!$A$2:$A$41,0)),"")</f>
        <v>وكالة الاتصال المؤسسي</v>
      </c>
      <c r="G373" s="20" t="s">
        <v>62</v>
      </c>
      <c r="H373" s="18" t="str">
        <f aca="false">IFERROR(INDEX(المرجع!$A$2:$A$19,MATCH($G373,المرجع!$B$2:$B$19,0)),"")</f>
        <v>البناء المؤسسي</v>
      </c>
      <c r="I373" s="20" t="s">
        <v>52</v>
      </c>
      <c r="J373" s="18" t="str">
        <f aca="false">IFERROR(INDEX(المرجع!$D$2:$D$19,MATCH($I373,المرجع!$E$2:$E$19,0)),"")</f>
        <v>الحوكمة</v>
      </c>
      <c r="K373" s="20" t="s">
        <v>98</v>
      </c>
      <c r="L373" s="21" t="str">
        <f aca="false">IFERROR(INDEX('نقاط التحقق'!$G$2:$G$31,MATCH($K373,'نقاط التحقق'!$A$2:$A$31,0))&amp;"","")</f>
        <v>سياسات معتمدة للتي تملكها الوحدة التنظيمية</v>
      </c>
      <c r="M373" s="18" t="str">
        <f aca="false">IFERROR(INDEX('نقاط التحقق'!$H$2:$H$31,MATCH($K373,'نقاط التحقق'!$A$2:$A$31,0))&amp;"","")</f>
        <v/>
      </c>
      <c r="N373" s="17" t="n">
        <v>90</v>
      </c>
      <c r="O373" s="17" t="n">
        <v>100</v>
      </c>
      <c r="P373" s="19" t="str">
        <f aca="false">IF($N373="","غير مقيّمة",IF($N373&gt;المرجع!$K$3,"مستوفاة بشكل متقدم",IF($N373&lt;=المرجع!$K$2,"مستوفاة بشكل أولي","مستوفاة بشكل جزئي")))</f>
        <v>مستوفاة بشكل متقدم</v>
      </c>
      <c r="Q373" s="22" t="s">
        <v>634</v>
      </c>
    </row>
    <row r="374" customFormat="false" ht="15" hidden="false" customHeight="true" outlineLevel="0" collapsed="false">
      <c r="A374" s="20" t="s">
        <v>768</v>
      </c>
      <c r="B374" s="20" t="s">
        <v>190</v>
      </c>
      <c r="C374" s="19" t="str">
        <f aca="false">IFERROR(INDEX('قائمة الوحدات'!$B$2:$B$41,MATCH($B374,'قائمة الوحدات'!$A$2:$A$41,0)),"")</f>
        <v>EXE</v>
      </c>
      <c r="D374" s="18" t="str">
        <f aca="false">IFERROR(INDEX('قائمة الوحدات'!$C$2:$C$41,MATCH($B374,'قائمة الوحدات'!$A$2:$A$41,0)),"")</f>
        <v>الشؤون التنفيذية</v>
      </c>
      <c r="E374" s="18" t="str">
        <f aca="false">IFERROR(INDEX('قائمة الوحدات'!$D$2:$D$41,MATCH($B374,'قائمة الوحدات'!$A$2:$A$41,0)),"")</f>
        <v>وكالة الاتصال المؤسسي</v>
      </c>
      <c r="F374" s="18" t="str">
        <f aca="false">IFERROR(INDEX('قائمة الوحدات'!$F$2:$F$41,MATCH($B374,'قائمة الوحدات'!$A$2:$A$41,0)),"")</f>
        <v>وكالة الاتصال المؤسسي</v>
      </c>
      <c r="G374" s="20" t="s">
        <v>62</v>
      </c>
      <c r="H374" s="18" t="str">
        <f aca="false">IFERROR(INDEX(المرجع!$A$2:$A$19,MATCH($G374,المرجع!$B$2:$B$19,0)),"")</f>
        <v>البناء المؤسسي</v>
      </c>
      <c r="I374" s="20" t="s">
        <v>52</v>
      </c>
      <c r="J374" s="18" t="str">
        <f aca="false">IFERROR(INDEX(المرجع!$D$2:$D$19,MATCH($I374,المرجع!$E$2:$E$19,0)),"")</f>
        <v>الحوكمة</v>
      </c>
      <c r="K374" s="20" t="s">
        <v>100</v>
      </c>
      <c r="L374" s="21" t="str">
        <f aca="false">IFERROR(INDEX('نقاط التحقق'!$G$2:$G$31,MATCH($K374,'نقاط التحقق'!$A$2:$A$31,0))&amp;"","")</f>
        <v>قرار تشكيل معتمد للجان ذات العلاقة</v>
      </c>
      <c r="M374" s="18" t="str">
        <f aca="false">IFERROR(INDEX('نقاط التحقق'!$H$2:$H$31,MATCH($K374,'نقاط التحقق'!$A$2:$A$31,0))&amp;"","")</f>
        <v/>
      </c>
      <c r="N374" s="17" t="n">
        <v>80</v>
      </c>
      <c r="O374" s="17" t="n">
        <v>90</v>
      </c>
      <c r="P374" s="19" t="str">
        <f aca="false">IF($N374="","غير مقيّمة",IF($N374&gt;المرجع!$K$3,"مستوفاة بشكل متقدم",IF($N374&lt;=المرجع!$K$2,"مستوفاة بشكل أولي","مستوفاة بشكل جزئي")))</f>
        <v>مستوفاة بشكل متقدم</v>
      </c>
      <c r="Q374" s="22" t="s">
        <v>634</v>
      </c>
    </row>
    <row r="375" customFormat="false" ht="15" hidden="false" customHeight="true" outlineLevel="0" collapsed="false">
      <c r="A375" s="20" t="s">
        <v>769</v>
      </c>
      <c r="B375" s="20" t="s">
        <v>190</v>
      </c>
      <c r="C375" s="19" t="str">
        <f aca="false">IFERROR(INDEX('قائمة الوحدات'!$B$2:$B$41,MATCH($B375,'قائمة الوحدات'!$A$2:$A$41,0)),"")</f>
        <v>EXE</v>
      </c>
      <c r="D375" s="18" t="str">
        <f aca="false">IFERROR(INDEX('قائمة الوحدات'!$C$2:$C$41,MATCH($B375,'قائمة الوحدات'!$A$2:$A$41,0)),"")</f>
        <v>الشؤون التنفيذية</v>
      </c>
      <c r="E375" s="18" t="str">
        <f aca="false">IFERROR(INDEX('قائمة الوحدات'!$D$2:$D$41,MATCH($B375,'قائمة الوحدات'!$A$2:$A$41,0)),"")</f>
        <v>وكالة الاتصال المؤسسي</v>
      </c>
      <c r="F375" s="18" t="str">
        <f aca="false">IFERROR(INDEX('قائمة الوحدات'!$F$2:$F$41,MATCH($B375,'قائمة الوحدات'!$A$2:$A$41,0)),"")</f>
        <v>وكالة الاتصال المؤسسي</v>
      </c>
      <c r="G375" s="20" t="s">
        <v>62</v>
      </c>
      <c r="H375" s="18" t="str">
        <f aca="false">IFERROR(INDEX(المرجع!$A$2:$A$19,MATCH($G375,المرجع!$B$2:$B$19,0)),"")</f>
        <v>البناء المؤسسي</v>
      </c>
      <c r="I375" s="20" t="s">
        <v>55</v>
      </c>
      <c r="J375" s="18" t="str">
        <f aca="false">IFERROR(INDEX(المرجع!$D$2:$D$19,MATCH($I375,المرجع!$E$2:$E$19,0)),"")</f>
        <v>التنظيم</v>
      </c>
      <c r="K375" s="20" t="s">
        <v>102</v>
      </c>
      <c r="L375" s="21" t="str">
        <f aca="false">IFERROR(INDEX('نقاط التحقق'!$G$2:$G$31,MATCH($K375,'نقاط التحقق'!$A$2:$A$31,0))&amp;"","")</f>
        <v>هيكل تنظيمي معتمد من صاحب الصلاحية</v>
      </c>
      <c r="M375" s="18" t="str">
        <f aca="false">IFERROR(INDEX('نقاط التحقق'!$H$2:$H$31,MATCH($K375,'نقاط التحقق'!$A$2:$A$31,0))&amp;"","")</f>
        <v/>
      </c>
      <c r="N375" s="17" t="n">
        <v>55</v>
      </c>
      <c r="O375" s="17" t="n">
        <v>100</v>
      </c>
      <c r="P375" s="19" t="str">
        <f aca="false">IF($N375="","غير مقيّمة",IF($N375&gt;المرجع!$K$3,"مستوفاة بشكل متقدم",IF($N375&lt;=المرجع!$K$2,"مستوفاة بشكل أولي","مستوفاة بشكل جزئي")))</f>
        <v>مستوفاة بشكل جزئي</v>
      </c>
      <c r="Q375" s="22" t="s">
        <v>634</v>
      </c>
    </row>
    <row r="376" customFormat="false" ht="15" hidden="false" customHeight="true" outlineLevel="0" collapsed="false">
      <c r="A376" s="20" t="s">
        <v>770</v>
      </c>
      <c r="B376" s="20" t="s">
        <v>190</v>
      </c>
      <c r="C376" s="19" t="str">
        <f aca="false">IFERROR(INDEX('قائمة الوحدات'!$B$2:$B$41,MATCH($B376,'قائمة الوحدات'!$A$2:$A$41,0)),"")</f>
        <v>EXE</v>
      </c>
      <c r="D376" s="18" t="str">
        <f aca="false">IFERROR(INDEX('قائمة الوحدات'!$C$2:$C$41,MATCH($B376,'قائمة الوحدات'!$A$2:$A$41,0)),"")</f>
        <v>الشؤون التنفيذية</v>
      </c>
      <c r="E376" s="18" t="str">
        <f aca="false">IFERROR(INDEX('قائمة الوحدات'!$D$2:$D$41,MATCH($B376,'قائمة الوحدات'!$A$2:$A$41,0)),"")</f>
        <v>وكالة الاتصال المؤسسي</v>
      </c>
      <c r="F376" s="18" t="str">
        <f aca="false">IFERROR(INDEX('قائمة الوحدات'!$F$2:$F$41,MATCH($B376,'قائمة الوحدات'!$A$2:$A$41,0)),"")</f>
        <v>وكالة الاتصال المؤسسي</v>
      </c>
      <c r="G376" s="20" t="s">
        <v>62</v>
      </c>
      <c r="H376" s="18" t="str">
        <f aca="false">IFERROR(INDEX(المرجع!$A$2:$A$19,MATCH($G376,المرجع!$B$2:$B$19,0)),"")</f>
        <v>البناء المؤسسي</v>
      </c>
      <c r="I376" s="20" t="s">
        <v>55</v>
      </c>
      <c r="J376" s="18" t="str">
        <f aca="false">IFERROR(INDEX(المرجع!$D$2:$D$19,MATCH($I376,المرجع!$E$2:$E$19,0)),"")</f>
        <v>التنظيم</v>
      </c>
      <c r="K376" s="20" t="s">
        <v>104</v>
      </c>
      <c r="L376" s="21" t="str">
        <f aca="false">IFERROR(INDEX('نقاط التحقق'!$G$2:$G$31,MATCH($K376,'نقاط التحقق'!$A$2:$A$31,0))&amp;"","")</f>
        <v>هيكل تنظيمي منشأ على نظام القوى العاملة</v>
      </c>
      <c r="M376" s="18" t="str">
        <f aca="false">IFERROR(INDEX('نقاط التحقق'!$H$2:$H$31,MATCH($K376,'نقاط التحقق'!$A$2:$A$31,0))&amp;"","")</f>
        <v/>
      </c>
      <c r="N376" s="17" t="n">
        <v>55</v>
      </c>
      <c r="O376" s="17" t="n">
        <v>80</v>
      </c>
      <c r="P376" s="19" t="str">
        <f aca="false">IF($N376="","غير مقيّمة",IF($N376&gt;المرجع!$K$3,"مستوفاة بشكل متقدم",IF($N376&lt;=المرجع!$K$2,"مستوفاة بشكل أولي","مستوفاة بشكل جزئي")))</f>
        <v>مستوفاة بشكل جزئي</v>
      </c>
      <c r="Q376" s="22" t="s">
        <v>634</v>
      </c>
    </row>
    <row r="377" customFormat="false" ht="15" hidden="false" customHeight="true" outlineLevel="0" collapsed="false">
      <c r="A377" s="20" t="s">
        <v>771</v>
      </c>
      <c r="B377" s="20" t="s">
        <v>190</v>
      </c>
      <c r="C377" s="19" t="str">
        <f aca="false">IFERROR(INDEX('قائمة الوحدات'!$B$2:$B$41,MATCH($B377,'قائمة الوحدات'!$A$2:$A$41,0)),"")</f>
        <v>EXE</v>
      </c>
      <c r="D377" s="18" t="str">
        <f aca="false">IFERROR(INDEX('قائمة الوحدات'!$C$2:$C$41,MATCH($B377,'قائمة الوحدات'!$A$2:$A$41,0)),"")</f>
        <v>الشؤون التنفيذية</v>
      </c>
      <c r="E377" s="18" t="str">
        <f aca="false">IFERROR(INDEX('قائمة الوحدات'!$D$2:$D$41,MATCH($B377,'قائمة الوحدات'!$A$2:$A$41,0)),"")</f>
        <v>وكالة الاتصال المؤسسي</v>
      </c>
      <c r="F377" s="18" t="str">
        <f aca="false">IFERROR(INDEX('قائمة الوحدات'!$F$2:$F$41,MATCH($B377,'قائمة الوحدات'!$A$2:$A$41,0)),"")</f>
        <v>وكالة الاتصال المؤسسي</v>
      </c>
      <c r="G377" s="20" t="s">
        <v>62</v>
      </c>
      <c r="H377" s="18" t="str">
        <f aca="false">IFERROR(INDEX(المرجع!$A$2:$A$19,MATCH($G377,المرجع!$B$2:$B$19,0)),"")</f>
        <v>البناء المؤسسي</v>
      </c>
      <c r="I377" s="20" t="s">
        <v>55</v>
      </c>
      <c r="J377" s="18" t="str">
        <f aca="false">IFERROR(INDEX(المرجع!$D$2:$D$19,MATCH($I377,المرجع!$E$2:$E$19,0)),"")</f>
        <v>التنظيم</v>
      </c>
      <c r="K377" s="20" t="s">
        <v>106</v>
      </c>
      <c r="L377" s="21" t="str">
        <f aca="false">IFERROR(INDEX('نقاط التحقق'!$G$2:$G$31,MATCH($K377,'نقاط التحقق'!$A$2:$A$31,0))&amp;"","")</f>
        <v>الموظفون المحددون مسكّنون على الهيكل التنظيمي المستهدف</v>
      </c>
      <c r="M377" s="18" t="str">
        <f aca="false">IFERROR(INDEX('نقاط التحقق'!$H$2:$H$31,MATCH($K377,'نقاط التحقق'!$A$2:$A$31,0))&amp;"","")</f>
        <v/>
      </c>
      <c r="N377" s="17" t="n">
        <v>40</v>
      </c>
      <c r="O377" s="17" t="n">
        <v>100</v>
      </c>
      <c r="P377" s="19" t="str">
        <f aca="false">IF($N377="","غير مقيّمة",IF($N377&gt;المرجع!$K$3,"مستوفاة بشكل متقدم",IF($N377&lt;=المرجع!$K$2,"مستوفاة بشكل أولي","مستوفاة بشكل جزئي")))</f>
        <v>مستوفاة بشكل جزئي</v>
      </c>
      <c r="Q377" s="22" t="s">
        <v>634</v>
      </c>
    </row>
    <row r="378" customFormat="false" ht="15" hidden="false" customHeight="true" outlineLevel="0" collapsed="false">
      <c r="A378" s="20" t="s">
        <v>772</v>
      </c>
      <c r="B378" s="20" t="s">
        <v>190</v>
      </c>
      <c r="C378" s="19" t="str">
        <f aca="false">IFERROR(INDEX('قائمة الوحدات'!$B$2:$B$41,MATCH($B378,'قائمة الوحدات'!$A$2:$A$41,0)),"")</f>
        <v>EXE</v>
      </c>
      <c r="D378" s="18" t="str">
        <f aca="false">IFERROR(INDEX('قائمة الوحدات'!$C$2:$C$41,MATCH($B378,'قائمة الوحدات'!$A$2:$A$41,0)),"")</f>
        <v>الشؤون التنفيذية</v>
      </c>
      <c r="E378" s="18" t="str">
        <f aca="false">IFERROR(INDEX('قائمة الوحدات'!$D$2:$D$41,MATCH($B378,'قائمة الوحدات'!$A$2:$A$41,0)),"")</f>
        <v>وكالة الاتصال المؤسسي</v>
      </c>
      <c r="F378" s="18" t="str">
        <f aca="false">IFERROR(INDEX('قائمة الوحدات'!$F$2:$F$41,MATCH($B378,'قائمة الوحدات'!$A$2:$A$41,0)),"")</f>
        <v>وكالة الاتصال المؤسسي</v>
      </c>
      <c r="G378" s="20" t="s">
        <v>62</v>
      </c>
      <c r="H378" s="18" t="str">
        <f aca="false">IFERROR(INDEX(المرجع!$A$2:$A$19,MATCH($G378,المرجع!$B$2:$B$19,0)),"")</f>
        <v>البناء المؤسسي</v>
      </c>
      <c r="I378" s="20" t="s">
        <v>57</v>
      </c>
      <c r="J378" s="18" t="str">
        <f aca="false">IFERROR(INDEX(المرجع!$D$2:$D$19,MATCH($I378,المرجع!$E$2:$E$19,0)),"")</f>
        <v>الموارد</v>
      </c>
      <c r="K378" s="20" t="s">
        <v>108</v>
      </c>
      <c r="L378" s="21" t="str">
        <f aca="false">IFERROR(INDEX('نقاط التحقق'!$G$2:$G$31,MATCH($K378,'نقاط التحقق'!$A$2:$A$31,0))&amp;"","")</f>
        <v>مدير الوحدة التنظيمية والموظفون الرئيسيون معينون/ملحقون</v>
      </c>
      <c r="M378" s="18" t="str">
        <f aca="false">IFERROR(INDEX('نقاط التحقق'!$H$2:$H$31,MATCH($K378,'نقاط التحقق'!$A$2:$A$31,0))&amp;"","")</f>
        <v/>
      </c>
      <c r="N378" s="17" t="n">
        <v>45</v>
      </c>
      <c r="O378" s="17" t="n">
        <v>85</v>
      </c>
      <c r="P378" s="19" t="str">
        <f aca="false">IF($N378="","غير مقيّمة",IF($N378&gt;المرجع!$K$3,"مستوفاة بشكل متقدم",IF($N378&lt;=المرجع!$K$2,"مستوفاة بشكل أولي","مستوفاة بشكل جزئي")))</f>
        <v>مستوفاة بشكل جزئي</v>
      </c>
      <c r="Q378" s="22" t="s">
        <v>634</v>
      </c>
    </row>
    <row r="379" customFormat="false" ht="15" hidden="false" customHeight="true" outlineLevel="0" collapsed="false">
      <c r="A379" s="20" t="s">
        <v>773</v>
      </c>
      <c r="B379" s="20" t="s">
        <v>190</v>
      </c>
      <c r="C379" s="19" t="str">
        <f aca="false">IFERROR(INDEX('قائمة الوحدات'!$B$2:$B$41,MATCH($B379,'قائمة الوحدات'!$A$2:$A$41,0)),"")</f>
        <v>EXE</v>
      </c>
      <c r="D379" s="18" t="str">
        <f aca="false">IFERROR(INDEX('قائمة الوحدات'!$C$2:$C$41,MATCH($B379,'قائمة الوحدات'!$A$2:$A$41,0)),"")</f>
        <v>الشؤون التنفيذية</v>
      </c>
      <c r="E379" s="18" t="str">
        <f aca="false">IFERROR(INDEX('قائمة الوحدات'!$D$2:$D$41,MATCH($B379,'قائمة الوحدات'!$A$2:$A$41,0)),"")</f>
        <v>وكالة الاتصال المؤسسي</v>
      </c>
      <c r="F379" s="18" t="str">
        <f aca="false">IFERROR(INDEX('قائمة الوحدات'!$F$2:$F$41,MATCH($B379,'قائمة الوحدات'!$A$2:$A$41,0)),"")</f>
        <v>وكالة الاتصال المؤسسي</v>
      </c>
      <c r="G379" s="20" t="s">
        <v>62</v>
      </c>
      <c r="H379" s="18" t="str">
        <f aca="false">IFERROR(INDEX(المرجع!$A$2:$A$19,MATCH($G379,المرجع!$B$2:$B$19,0)),"")</f>
        <v>البناء المؤسسي</v>
      </c>
      <c r="I379" s="20" t="s">
        <v>57</v>
      </c>
      <c r="J379" s="18" t="str">
        <f aca="false">IFERROR(INDEX(المرجع!$D$2:$D$19,MATCH($I379,المرجع!$E$2:$E$19,0)),"")</f>
        <v>الموارد</v>
      </c>
      <c r="K379" s="20" t="s">
        <v>110</v>
      </c>
      <c r="L379" s="21" t="str">
        <f aca="false">IFERROR(INDEX('نقاط التحقق'!$G$2:$G$31,MATCH($K379,'نقاط التحقق'!$A$2:$A$31,0))&amp;"","")</f>
        <v>خطة توظيف وتدريب مستكملة</v>
      </c>
      <c r="M379" s="18" t="str">
        <f aca="false">IFERROR(INDEX('نقاط التحقق'!$H$2:$H$31,MATCH($K379,'نقاط التحقق'!$A$2:$A$31,0))&amp;"","")</f>
        <v/>
      </c>
      <c r="N379" s="17" t="n">
        <v>50</v>
      </c>
      <c r="O379" s="17" t="n">
        <v>100</v>
      </c>
      <c r="P379" s="19" t="str">
        <f aca="false">IF($N379="","غير مقيّمة",IF($N379&gt;المرجع!$K$3,"مستوفاة بشكل متقدم",IF($N379&lt;=المرجع!$K$2,"مستوفاة بشكل أولي","مستوفاة بشكل جزئي")))</f>
        <v>مستوفاة بشكل جزئي</v>
      </c>
      <c r="Q379" s="22" t="s">
        <v>634</v>
      </c>
    </row>
    <row r="380" customFormat="false" ht="15" hidden="false" customHeight="true" outlineLevel="0" collapsed="false">
      <c r="A380" s="20" t="s">
        <v>774</v>
      </c>
      <c r="B380" s="20" t="s">
        <v>190</v>
      </c>
      <c r="C380" s="19" t="str">
        <f aca="false">IFERROR(INDEX('قائمة الوحدات'!$B$2:$B$41,MATCH($B380,'قائمة الوحدات'!$A$2:$A$41,0)),"")</f>
        <v>EXE</v>
      </c>
      <c r="D380" s="18" t="str">
        <f aca="false">IFERROR(INDEX('قائمة الوحدات'!$C$2:$C$41,MATCH($B380,'قائمة الوحدات'!$A$2:$A$41,0)),"")</f>
        <v>الشؤون التنفيذية</v>
      </c>
      <c r="E380" s="18" t="str">
        <f aca="false">IFERROR(INDEX('قائمة الوحدات'!$D$2:$D$41,MATCH($B380,'قائمة الوحدات'!$A$2:$A$41,0)),"")</f>
        <v>وكالة الاتصال المؤسسي</v>
      </c>
      <c r="F380" s="18" t="str">
        <f aca="false">IFERROR(INDEX('قائمة الوحدات'!$F$2:$F$41,MATCH($B380,'قائمة الوحدات'!$A$2:$A$41,0)),"")</f>
        <v>وكالة الاتصال المؤسسي</v>
      </c>
      <c r="G380" s="20" t="s">
        <v>62</v>
      </c>
      <c r="H380" s="18" t="str">
        <f aca="false">IFERROR(INDEX(المرجع!$A$2:$A$19,MATCH($G380,المرجع!$B$2:$B$19,0)),"")</f>
        <v>البناء المؤسسي</v>
      </c>
      <c r="I380" s="20" t="s">
        <v>57</v>
      </c>
      <c r="J380" s="18" t="str">
        <f aca="false">IFERROR(INDEX(المرجع!$D$2:$D$19,MATCH($I380,المرجع!$E$2:$E$19,0)),"")</f>
        <v>الموارد</v>
      </c>
      <c r="K380" s="20" t="s">
        <v>112</v>
      </c>
      <c r="L380" s="21" t="str">
        <f aca="false">IFERROR(INDEX('نقاط التحقق'!$G$2:$G$31,MATCH($K380,'نقاط التحقق'!$A$2:$A$31,0))&amp;"","")</f>
        <v>وجود مساحات مكتبية كافية</v>
      </c>
      <c r="M380" s="18" t="str">
        <f aca="false">IFERROR(INDEX('نقاط التحقق'!$H$2:$H$31,MATCH($K380,'نقاط التحقق'!$A$2:$A$31,0))&amp;"","")</f>
        <v/>
      </c>
      <c r="N380" s="17" t="n">
        <v>65</v>
      </c>
      <c r="O380" s="17" t="n">
        <v>100</v>
      </c>
      <c r="P380" s="19" t="str">
        <f aca="false">IF($N380="","غير مقيّمة",IF($N380&gt;المرجع!$K$3,"مستوفاة بشكل متقدم",IF($N380&lt;=المرجع!$K$2,"مستوفاة بشكل أولي","مستوفاة بشكل جزئي")))</f>
        <v>مستوفاة بشكل جزئي</v>
      </c>
      <c r="Q380" s="22" t="s">
        <v>634</v>
      </c>
    </row>
    <row r="381" customFormat="false" ht="15" hidden="false" customHeight="true" outlineLevel="0" collapsed="false">
      <c r="A381" s="20" t="s">
        <v>775</v>
      </c>
      <c r="B381" s="20" t="s">
        <v>190</v>
      </c>
      <c r="C381" s="19" t="str">
        <f aca="false">IFERROR(INDEX('قائمة الوحدات'!$B$2:$B$41,MATCH($B381,'قائمة الوحدات'!$A$2:$A$41,0)),"")</f>
        <v>EXE</v>
      </c>
      <c r="D381" s="18" t="str">
        <f aca="false">IFERROR(INDEX('قائمة الوحدات'!$C$2:$C$41,MATCH($B381,'قائمة الوحدات'!$A$2:$A$41,0)),"")</f>
        <v>الشؤون التنفيذية</v>
      </c>
      <c r="E381" s="18" t="str">
        <f aca="false">IFERROR(INDEX('قائمة الوحدات'!$D$2:$D$41,MATCH($B381,'قائمة الوحدات'!$A$2:$A$41,0)),"")</f>
        <v>وكالة الاتصال المؤسسي</v>
      </c>
      <c r="F381" s="18" t="str">
        <f aca="false">IFERROR(INDEX('قائمة الوحدات'!$F$2:$F$41,MATCH($B381,'قائمة الوحدات'!$A$2:$A$41,0)),"")</f>
        <v>وكالة الاتصال المؤسسي</v>
      </c>
      <c r="G381" s="20" t="s">
        <v>62</v>
      </c>
      <c r="H381" s="18" t="str">
        <f aca="false">IFERROR(INDEX(المرجع!$A$2:$A$19,MATCH($G381,المرجع!$B$2:$B$19,0)),"")</f>
        <v>البناء المؤسسي</v>
      </c>
      <c r="I381" s="20" t="s">
        <v>57</v>
      </c>
      <c r="J381" s="18" t="str">
        <f aca="false">IFERROR(INDEX(المرجع!$D$2:$D$19,MATCH($I381,المرجع!$E$2:$E$19,0)),"")</f>
        <v>الموارد</v>
      </c>
      <c r="K381" s="20" t="s">
        <v>114</v>
      </c>
      <c r="L381" s="21" t="str">
        <f aca="false">IFERROR(INDEX('نقاط التحقق'!$G$2:$G$31,MATCH($K381,'نقاط التحقق'!$A$2:$A$31,0))&amp;"","")</f>
        <v>وجود الاحتياجات التقنية الأساسية</v>
      </c>
      <c r="M381" s="18" t="str">
        <f aca="false">IFERROR(INDEX('نقاط التحقق'!$H$2:$H$31,MATCH($K381,'نقاط التحقق'!$A$2:$A$31,0))&amp;"","")</f>
        <v/>
      </c>
      <c r="N381" s="17" t="n">
        <v>55</v>
      </c>
      <c r="O381" s="17" t="n">
        <v>100</v>
      </c>
      <c r="P381" s="19" t="str">
        <f aca="false">IF($N381="","غير مقيّمة",IF($N381&gt;المرجع!$K$3,"مستوفاة بشكل متقدم",IF($N381&lt;=المرجع!$K$2,"مستوفاة بشكل أولي","مستوفاة بشكل جزئي")))</f>
        <v>مستوفاة بشكل جزئي</v>
      </c>
      <c r="Q381" s="22" t="s">
        <v>634</v>
      </c>
    </row>
    <row r="382" customFormat="false" ht="15" hidden="false" customHeight="true" outlineLevel="0" collapsed="false">
      <c r="A382" s="20" t="s">
        <v>776</v>
      </c>
      <c r="B382" s="20" t="s">
        <v>190</v>
      </c>
      <c r="C382" s="19" t="str">
        <f aca="false">IFERROR(INDEX('قائمة الوحدات'!$B$2:$B$41,MATCH($B382,'قائمة الوحدات'!$A$2:$A$41,0)),"")</f>
        <v>EXE</v>
      </c>
      <c r="D382" s="18" t="str">
        <f aca="false">IFERROR(INDEX('قائمة الوحدات'!$C$2:$C$41,MATCH($B382,'قائمة الوحدات'!$A$2:$A$41,0)),"")</f>
        <v>الشؤون التنفيذية</v>
      </c>
      <c r="E382" s="18" t="str">
        <f aca="false">IFERROR(INDEX('قائمة الوحدات'!$D$2:$D$41,MATCH($B382,'قائمة الوحدات'!$A$2:$A$41,0)),"")</f>
        <v>وكالة الاتصال المؤسسي</v>
      </c>
      <c r="F382" s="18" t="str">
        <f aca="false">IFERROR(INDEX('قائمة الوحدات'!$F$2:$F$41,MATCH($B382,'قائمة الوحدات'!$A$2:$A$41,0)),"")</f>
        <v>وكالة الاتصال المؤسسي</v>
      </c>
      <c r="G382" s="20" t="s">
        <v>62</v>
      </c>
      <c r="H382" s="18" t="str">
        <f aca="false">IFERROR(INDEX(المرجع!$A$2:$A$19,MATCH($G382,المرجع!$B$2:$B$19,0)),"")</f>
        <v>البناء المؤسسي</v>
      </c>
      <c r="I382" s="20" t="s">
        <v>60</v>
      </c>
      <c r="J382" s="18" t="str">
        <f aca="false">IFERROR(INDEX(المرجع!$D$2:$D$19,MATCH($I382,المرجع!$E$2:$E$19,0)),"")</f>
        <v>الإجراءات</v>
      </c>
      <c r="K382" s="20" t="s">
        <v>116</v>
      </c>
      <c r="L382" s="21" t="str">
        <f aca="false">IFERROR(INDEX('نقاط التحقق'!$G$2:$G$31,MATCH($K382,'نقاط التحقق'!$A$2:$A$31,0))&amp;"","")</f>
        <v>إجراءات معتمدة للوحدة التنظيمية</v>
      </c>
      <c r="M382" s="18" t="str">
        <f aca="false">IFERROR(INDEX('نقاط التحقق'!$H$2:$H$31,MATCH($K382,'نقاط التحقق'!$A$2:$A$31,0))&amp;"","")</f>
        <v/>
      </c>
      <c r="N382" s="17" t="n">
        <v>58</v>
      </c>
      <c r="O382" s="17" t="n">
        <v>90</v>
      </c>
      <c r="P382" s="19" t="str">
        <f aca="false">IF($N382="","غير مقيّمة",IF($N382&gt;المرجع!$K$3,"مستوفاة بشكل متقدم",IF($N382&lt;=المرجع!$K$2,"مستوفاة بشكل أولي","مستوفاة بشكل جزئي")))</f>
        <v>مستوفاة بشكل جزئي</v>
      </c>
      <c r="Q382" s="22" t="s">
        <v>634</v>
      </c>
    </row>
    <row r="383" customFormat="false" ht="15" hidden="false" customHeight="true" outlineLevel="0" collapsed="false">
      <c r="A383" s="20" t="s">
        <v>777</v>
      </c>
      <c r="B383" s="20" t="s">
        <v>190</v>
      </c>
      <c r="C383" s="19" t="str">
        <f aca="false">IFERROR(INDEX('قائمة الوحدات'!$B$2:$B$41,MATCH($B383,'قائمة الوحدات'!$A$2:$A$41,0)),"")</f>
        <v>EXE</v>
      </c>
      <c r="D383" s="18" t="str">
        <f aca="false">IFERROR(INDEX('قائمة الوحدات'!$C$2:$C$41,MATCH($B383,'قائمة الوحدات'!$A$2:$A$41,0)),"")</f>
        <v>الشؤون التنفيذية</v>
      </c>
      <c r="E383" s="18" t="str">
        <f aca="false">IFERROR(INDEX('قائمة الوحدات'!$D$2:$D$41,MATCH($B383,'قائمة الوحدات'!$A$2:$A$41,0)),"")</f>
        <v>وكالة الاتصال المؤسسي</v>
      </c>
      <c r="F383" s="18" t="str">
        <f aca="false">IFERROR(INDEX('قائمة الوحدات'!$F$2:$F$41,MATCH($B383,'قائمة الوحدات'!$A$2:$A$41,0)),"")</f>
        <v>وكالة الاتصال المؤسسي</v>
      </c>
      <c r="G383" s="20" t="s">
        <v>62</v>
      </c>
      <c r="H383" s="18" t="str">
        <f aca="false">IFERROR(INDEX(المرجع!$A$2:$A$19,MATCH($G383,المرجع!$B$2:$B$19,0)),"")</f>
        <v>البناء المؤسسي</v>
      </c>
      <c r="I383" s="20" t="s">
        <v>69</v>
      </c>
      <c r="J383" s="18" t="str">
        <f aca="false">IFERROR(INDEX(المرجع!$D$2:$D$19,MATCH($I383,المرجع!$E$2:$E$19,0)),"")</f>
        <v>إنتاج المخرج الأول</v>
      </c>
      <c r="K383" s="20" t="s">
        <v>118</v>
      </c>
      <c r="L383" s="21" t="str">
        <f aca="false">IFERROR(INDEX('نقاط التحقق'!$G$2:$G$31,MATCH($K383,'نقاط التحقق'!$A$2:$A$31,0))&amp;"","")</f>
        <v>إنتاج المخرج الأول من قبل الوحدة التنظيمية</v>
      </c>
      <c r="M383" s="18" t="str">
        <f aca="false">IFERROR(INDEX('نقاط التحقق'!$H$2:$H$31,MATCH($K383,'نقاط التحقق'!$A$2:$A$31,0))&amp;"","")</f>
        <v/>
      </c>
      <c r="N383" s="17" t="n">
        <v>87</v>
      </c>
      <c r="O383" s="17" t="n">
        <v>87</v>
      </c>
      <c r="P383" s="19" t="str">
        <f aca="false">IF($N383="","غير مقيّمة",IF($N383&gt;المرجع!$K$3,"مستوفاة بشكل متقدم",IF($N383&lt;=المرجع!$K$2,"مستوفاة بشكل أولي","مستوفاة بشكل جزئي")))</f>
        <v>مستوفاة بشكل متقدم</v>
      </c>
      <c r="Q383" s="22" t="s">
        <v>634</v>
      </c>
    </row>
    <row r="384" customFormat="false" ht="15" hidden="false" customHeight="true" outlineLevel="0" collapsed="false">
      <c r="A384" s="20" t="s">
        <v>778</v>
      </c>
      <c r="B384" s="20" t="s">
        <v>190</v>
      </c>
      <c r="C384" s="19" t="str">
        <f aca="false">IFERROR(INDEX('قائمة الوحدات'!$B$2:$B$41,MATCH($B384,'قائمة الوحدات'!$A$2:$A$41,0)),"")</f>
        <v>EXE</v>
      </c>
      <c r="D384" s="18" t="str">
        <f aca="false">IFERROR(INDEX('قائمة الوحدات'!$C$2:$C$41,MATCH($B384,'قائمة الوحدات'!$A$2:$A$41,0)),"")</f>
        <v>الشؤون التنفيذية</v>
      </c>
      <c r="E384" s="18" t="str">
        <f aca="false">IFERROR(INDEX('قائمة الوحدات'!$D$2:$D$41,MATCH($B384,'قائمة الوحدات'!$A$2:$A$41,0)),"")</f>
        <v>وكالة الاتصال المؤسسي</v>
      </c>
      <c r="F384" s="18" t="str">
        <f aca="false">IFERROR(INDEX('قائمة الوحدات'!$F$2:$F$41,MATCH($B384,'قائمة الوحدات'!$A$2:$A$41,0)),"")</f>
        <v>وكالة الاتصال المؤسسي</v>
      </c>
      <c r="G384" s="20" t="s">
        <v>66</v>
      </c>
      <c r="H384" s="18" t="str">
        <f aca="false">IFERROR(INDEX(المرجع!$A$2:$A$19,MATCH($G384,المرجع!$B$2:$B$19,0)),"")</f>
        <v>التشغيل</v>
      </c>
      <c r="I384" s="20" t="s">
        <v>49</v>
      </c>
      <c r="J384" s="18" t="str">
        <f aca="false">IFERROR(INDEX(المرجع!$D$2:$D$19,MATCH($I384,المرجع!$E$2:$E$19,0)),"")</f>
        <v>الأهداف ومؤشرات الأداء</v>
      </c>
      <c r="K384" s="20" t="s">
        <v>120</v>
      </c>
      <c r="L384" s="21" t="str">
        <f aca="false">IFERROR(INDEX('نقاط التحقق'!$G$2:$G$31,MATCH($K384,'نقاط التحقق'!$A$2:$A$31,0))&amp;"","")</f>
        <v>تحرك مؤشرات الأداء التشغيلي للوحدة التنظيمية بشكل إيجابي</v>
      </c>
      <c r="M384" s="18" t="str">
        <f aca="false">IFERROR(INDEX('نقاط التحقق'!$H$2:$H$31,MATCH($K384,'نقاط التحقق'!$A$2:$A$31,0))&amp;"","")</f>
        <v/>
      </c>
      <c r="N384" s="17" t="n">
        <v>50</v>
      </c>
      <c r="O384" s="17" t="n">
        <v>90</v>
      </c>
      <c r="P384" s="19" t="str">
        <f aca="false">IF($N384="","غير مقيّمة",IF($N384&gt;المرجع!$K$3,"مستوفاة بشكل متقدم",IF($N384&lt;=المرجع!$K$2,"مستوفاة بشكل أولي","مستوفاة بشكل جزئي")))</f>
        <v>مستوفاة بشكل جزئي</v>
      </c>
      <c r="Q384" s="22" t="s">
        <v>634</v>
      </c>
    </row>
    <row r="385" customFormat="false" ht="15" hidden="false" customHeight="true" outlineLevel="0" collapsed="false">
      <c r="A385" s="20" t="s">
        <v>779</v>
      </c>
      <c r="B385" s="20" t="s">
        <v>190</v>
      </c>
      <c r="C385" s="19" t="str">
        <f aca="false">IFERROR(INDEX('قائمة الوحدات'!$B$2:$B$41,MATCH($B385,'قائمة الوحدات'!$A$2:$A$41,0)),"")</f>
        <v>EXE</v>
      </c>
      <c r="D385" s="18" t="str">
        <f aca="false">IFERROR(INDEX('قائمة الوحدات'!$C$2:$C$41,MATCH($B385,'قائمة الوحدات'!$A$2:$A$41,0)),"")</f>
        <v>الشؤون التنفيذية</v>
      </c>
      <c r="E385" s="18" t="str">
        <f aca="false">IFERROR(INDEX('قائمة الوحدات'!$D$2:$D$41,MATCH($B385,'قائمة الوحدات'!$A$2:$A$41,0)),"")</f>
        <v>وكالة الاتصال المؤسسي</v>
      </c>
      <c r="F385" s="18" t="str">
        <f aca="false">IFERROR(INDEX('قائمة الوحدات'!$F$2:$F$41,MATCH($B385,'قائمة الوحدات'!$A$2:$A$41,0)),"")</f>
        <v>وكالة الاتصال المؤسسي</v>
      </c>
      <c r="G385" s="20" t="s">
        <v>66</v>
      </c>
      <c r="H385" s="18" t="str">
        <f aca="false">IFERROR(INDEX(المرجع!$A$2:$A$19,MATCH($G385,المرجع!$B$2:$B$19,0)),"")</f>
        <v>التشغيل</v>
      </c>
      <c r="I385" s="20" t="s">
        <v>49</v>
      </c>
      <c r="J385" s="18" t="str">
        <f aca="false">IFERROR(INDEX(المرجع!$D$2:$D$19,MATCH($I385,المرجع!$E$2:$E$19,0)),"")</f>
        <v>الأهداف ومؤشرات الأداء</v>
      </c>
      <c r="K385" s="20" t="s">
        <v>122</v>
      </c>
      <c r="L385" s="21" t="str">
        <f aca="false">IFERROR(INDEX('نقاط التحقق'!$G$2:$G$31,MATCH($K385,'نقاط التحقق'!$A$2:$A$31,0))&amp;"","")</f>
        <v>خطة سنوية معتمدة للوحدة التنظيمية</v>
      </c>
      <c r="M385" s="18" t="str">
        <f aca="false">IFERROR(INDEX('نقاط التحقق'!$H$2:$H$31,MATCH($K385,'نقاط التحقق'!$A$2:$A$31,0))&amp;"","")</f>
        <v/>
      </c>
      <c r="N385" s="17" t="n">
        <v>45</v>
      </c>
      <c r="O385" s="17" t="n">
        <v>85</v>
      </c>
      <c r="P385" s="19" t="str">
        <f aca="false">IF($N385="","غير مقيّمة",IF($N385&gt;المرجع!$K$3,"مستوفاة بشكل متقدم",IF($N385&lt;=المرجع!$K$2,"مستوفاة بشكل أولي","مستوفاة بشكل جزئي")))</f>
        <v>مستوفاة بشكل جزئي</v>
      </c>
      <c r="Q385" s="22" t="s">
        <v>634</v>
      </c>
    </row>
    <row r="386" customFormat="false" ht="15" hidden="false" customHeight="true" outlineLevel="0" collapsed="false">
      <c r="A386" s="20" t="s">
        <v>780</v>
      </c>
      <c r="B386" s="20" t="s">
        <v>190</v>
      </c>
      <c r="C386" s="19" t="str">
        <f aca="false">IFERROR(INDEX('قائمة الوحدات'!$B$2:$B$41,MATCH($B386,'قائمة الوحدات'!$A$2:$A$41,0)),"")</f>
        <v>EXE</v>
      </c>
      <c r="D386" s="18" t="str">
        <f aca="false">IFERROR(INDEX('قائمة الوحدات'!$C$2:$C$41,MATCH($B386,'قائمة الوحدات'!$A$2:$A$41,0)),"")</f>
        <v>الشؤون التنفيذية</v>
      </c>
      <c r="E386" s="18" t="str">
        <f aca="false">IFERROR(INDEX('قائمة الوحدات'!$D$2:$D$41,MATCH($B386,'قائمة الوحدات'!$A$2:$A$41,0)),"")</f>
        <v>وكالة الاتصال المؤسسي</v>
      </c>
      <c r="F386" s="18" t="str">
        <f aca="false">IFERROR(INDEX('قائمة الوحدات'!$F$2:$F$41,MATCH($B386,'قائمة الوحدات'!$A$2:$A$41,0)),"")</f>
        <v>وكالة الاتصال المؤسسي</v>
      </c>
      <c r="G386" s="20" t="s">
        <v>66</v>
      </c>
      <c r="H386" s="18" t="str">
        <f aca="false">IFERROR(INDEX(المرجع!$A$2:$A$19,MATCH($G386,المرجع!$B$2:$B$19,0)),"")</f>
        <v>التشغيل</v>
      </c>
      <c r="I386" s="20" t="s">
        <v>52</v>
      </c>
      <c r="J386" s="18" t="str">
        <f aca="false">IFERROR(INDEX(المرجع!$D$2:$D$19,MATCH($I386,المرجع!$E$2:$E$19,0)),"")</f>
        <v>الحوكمة</v>
      </c>
      <c r="K386" s="20" t="s">
        <v>124</v>
      </c>
      <c r="L386" s="21" t="str">
        <f aca="false">IFERROR(INDEX('نقاط التحقق'!$G$2:$G$31,MATCH($K386,'نقاط التحقق'!$A$2:$A$31,0))&amp;"","")</f>
        <v>محاضر لجان موثقة</v>
      </c>
      <c r="M386" s="18" t="str">
        <f aca="false">IFERROR(INDEX('نقاط التحقق'!$H$2:$H$31,MATCH($K386,'نقاط التحقق'!$A$2:$A$31,0))&amp;"","")</f>
        <v/>
      </c>
      <c r="N386" s="17" t="n">
        <v>35</v>
      </c>
      <c r="O386" s="17" t="n">
        <v>95</v>
      </c>
      <c r="P386" s="19" t="str">
        <f aca="false">IF($N386="","غير مقيّمة",IF($N386&gt;المرجع!$K$3,"مستوفاة بشكل متقدم",IF($N386&lt;=المرجع!$K$2,"مستوفاة بشكل أولي","مستوفاة بشكل جزئي")))</f>
        <v>مستوفاة بشكل جزئي</v>
      </c>
      <c r="Q386" s="22" t="s">
        <v>634</v>
      </c>
    </row>
    <row r="387" customFormat="false" ht="15" hidden="false" customHeight="true" outlineLevel="0" collapsed="false">
      <c r="A387" s="20" t="s">
        <v>781</v>
      </c>
      <c r="B387" s="20" t="s">
        <v>190</v>
      </c>
      <c r="C387" s="19" t="str">
        <f aca="false">IFERROR(INDEX('قائمة الوحدات'!$B$2:$B$41,MATCH($B387,'قائمة الوحدات'!$A$2:$A$41,0)),"")</f>
        <v>EXE</v>
      </c>
      <c r="D387" s="18" t="str">
        <f aca="false">IFERROR(INDEX('قائمة الوحدات'!$C$2:$C$41,MATCH($B387,'قائمة الوحدات'!$A$2:$A$41,0)),"")</f>
        <v>الشؤون التنفيذية</v>
      </c>
      <c r="E387" s="18" t="str">
        <f aca="false">IFERROR(INDEX('قائمة الوحدات'!$D$2:$D$41,MATCH($B387,'قائمة الوحدات'!$A$2:$A$41,0)),"")</f>
        <v>وكالة الاتصال المؤسسي</v>
      </c>
      <c r="F387" s="18" t="str">
        <f aca="false">IFERROR(INDEX('قائمة الوحدات'!$F$2:$F$41,MATCH($B387,'قائمة الوحدات'!$A$2:$A$41,0)),"")</f>
        <v>وكالة الاتصال المؤسسي</v>
      </c>
      <c r="G387" s="20" t="s">
        <v>66</v>
      </c>
      <c r="H387" s="18" t="str">
        <f aca="false">IFERROR(INDEX(المرجع!$A$2:$A$19,MATCH($G387,المرجع!$B$2:$B$19,0)),"")</f>
        <v>التشغيل</v>
      </c>
      <c r="I387" s="20" t="s">
        <v>52</v>
      </c>
      <c r="J387" s="18" t="str">
        <f aca="false">IFERROR(INDEX(المرجع!$D$2:$D$19,MATCH($I387,المرجع!$E$2:$E$19,0)),"")</f>
        <v>الحوكمة</v>
      </c>
      <c r="K387" s="20" t="s">
        <v>126</v>
      </c>
      <c r="L387" s="21" t="str">
        <f aca="false">IFERROR(INDEX('نقاط التحقق'!$G$2:$G$31,MATCH($K387,'نقاط التحقق'!$A$2:$A$31,0))&amp;"","")</f>
        <v>نشر السياسات التي تملكها الوحدة التنظيمية</v>
      </c>
      <c r="M387" s="18" t="str">
        <f aca="false">IFERROR(INDEX('نقاط التحقق'!$H$2:$H$31,MATCH($K387,'نقاط التحقق'!$A$2:$A$31,0))&amp;"","")</f>
        <v/>
      </c>
      <c r="N387" s="17" t="n">
        <v>10</v>
      </c>
      <c r="O387" s="17" t="n">
        <v>85</v>
      </c>
      <c r="P387" s="19" t="str">
        <f aca="false">IF($N387="","غير مقيّمة",IF($N387&gt;المرجع!$K$3,"مستوفاة بشكل متقدم",IF($N387&lt;=المرجع!$K$2,"مستوفاة بشكل أولي","مستوفاة بشكل جزئي")))</f>
        <v>مستوفاة بشكل أولي</v>
      </c>
      <c r="Q387" s="22" t="s">
        <v>634</v>
      </c>
    </row>
    <row r="388" customFormat="false" ht="15" hidden="false" customHeight="true" outlineLevel="0" collapsed="false">
      <c r="A388" s="20" t="s">
        <v>782</v>
      </c>
      <c r="B388" s="20" t="s">
        <v>190</v>
      </c>
      <c r="C388" s="19" t="str">
        <f aca="false">IFERROR(INDEX('قائمة الوحدات'!$B$2:$B$41,MATCH($B388,'قائمة الوحدات'!$A$2:$A$41,0)),"")</f>
        <v>EXE</v>
      </c>
      <c r="D388" s="18" t="str">
        <f aca="false">IFERROR(INDEX('قائمة الوحدات'!$C$2:$C$41,MATCH($B388,'قائمة الوحدات'!$A$2:$A$41,0)),"")</f>
        <v>الشؤون التنفيذية</v>
      </c>
      <c r="E388" s="18" t="str">
        <f aca="false">IFERROR(INDEX('قائمة الوحدات'!$D$2:$D$41,MATCH($B388,'قائمة الوحدات'!$A$2:$A$41,0)),"")</f>
        <v>وكالة الاتصال المؤسسي</v>
      </c>
      <c r="F388" s="18" t="str">
        <f aca="false">IFERROR(INDEX('قائمة الوحدات'!$F$2:$F$41,MATCH($B388,'قائمة الوحدات'!$A$2:$A$41,0)),"")</f>
        <v>وكالة الاتصال المؤسسي</v>
      </c>
      <c r="G388" s="20" t="s">
        <v>66</v>
      </c>
      <c r="H388" s="18" t="str">
        <f aca="false">IFERROR(INDEX(المرجع!$A$2:$A$19,MATCH($G388,المرجع!$B$2:$B$19,0)),"")</f>
        <v>التشغيل</v>
      </c>
      <c r="I388" s="20" t="s">
        <v>52</v>
      </c>
      <c r="J388" s="18" t="str">
        <f aca="false">IFERROR(INDEX(المرجع!$D$2:$D$19,MATCH($I388,المرجع!$E$2:$E$19,0)),"")</f>
        <v>الحوكمة</v>
      </c>
      <c r="K388" s="20" t="s">
        <v>128</v>
      </c>
      <c r="L388" s="21" t="str">
        <f aca="false">IFERROR(INDEX('نقاط التحقق'!$G$2:$G$31,MATCH($K388,'نقاط التحقق'!$A$2:$A$31,0))&amp;"","")</f>
        <v>اتخاذ القرارات في نطاق الصلاحيات (وجود شواهد)</v>
      </c>
      <c r="M388" s="18" t="str">
        <f aca="false">IFERROR(INDEX('نقاط التحقق'!$H$2:$H$31,MATCH($K388,'نقاط التحقق'!$A$2:$A$31,0))&amp;"","")</f>
        <v/>
      </c>
      <c r="N388" s="17" t="n">
        <v>25</v>
      </c>
      <c r="O388" s="17" t="n">
        <v>100</v>
      </c>
      <c r="P388" s="19" t="str">
        <f aca="false">IF($N388="","غير مقيّمة",IF($N388&gt;المرجع!$K$3,"مستوفاة بشكل متقدم",IF($N388&lt;=المرجع!$K$2,"مستوفاة بشكل أولي","مستوفاة بشكل جزئي")))</f>
        <v>مستوفاة بشكل أولي</v>
      </c>
      <c r="Q388" s="22" t="s">
        <v>634</v>
      </c>
    </row>
    <row r="389" customFormat="false" ht="15" hidden="false" customHeight="true" outlineLevel="0" collapsed="false">
      <c r="A389" s="20" t="s">
        <v>783</v>
      </c>
      <c r="B389" s="20" t="s">
        <v>190</v>
      </c>
      <c r="C389" s="19" t="str">
        <f aca="false">IFERROR(INDEX('قائمة الوحدات'!$B$2:$B$41,MATCH($B389,'قائمة الوحدات'!$A$2:$A$41,0)),"")</f>
        <v>EXE</v>
      </c>
      <c r="D389" s="18" t="str">
        <f aca="false">IFERROR(INDEX('قائمة الوحدات'!$C$2:$C$41,MATCH($B389,'قائمة الوحدات'!$A$2:$A$41,0)),"")</f>
        <v>الشؤون التنفيذية</v>
      </c>
      <c r="E389" s="18" t="str">
        <f aca="false">IFERROR(INDEX('قائمة الوحدات'!$D$2:$D$41,MATCH($B389,'قائمة الوحدات'!$A$2:$A$41,0)),"")</f>
        <v>وكالة الاتصال المؤسسي</v>
      </c>
      <c r="F389" s="18" t="str">
        <f aca="false">IFERROR(INDEX('قائمة الوحدات'!$F$2:$F$41,MATCH($B389,'قائمة الوحدات'!$A$2:$A$41,0)),"")</f>
        <v>وكالة الاتصال المؤسسي</v>
      </c>
      <c r="G389" s="20" t="s">
        <v>66</v>
      </c>
      <c r="H389" s="18" t="str">
        <f aca="false">IFERROR(INDEX(المرجع!$A$2:$A$19,MATCH($G389,المرجع!$B$2:$B$19,0)),"")</f>
        <v>التشغيل</v>
      </c>
      <c r="I389" s="20" t="s">
        <v>57</v>
      </c>
      <c r="J389" s="18" t="str">
        <f aca="false">IFERROR(INDEX(المرجع!$D$2:$D$19,MATCH($I389,المرجع!$E$2:$E$19,0)),"")</f>
        <v>الموارد</v>
      </c>
      <c r="K389" s="20" t="s">
        <v>130</v>
      </c>
      <c r="L389" s="21" t="str">
        <f aca="false">IFERROR(INDEX('نقاط التحقق'!$G$2:$G$31,MATCH($K389,'نقاط التحقق'!$A$2:$A$31,0))&amp;"","")</f>
        <v>موارد مستكملة للحد الأدنى الذي يغطي كافة محاور سلسلة القيمة</v>
      </c>
      <c r="M389" s="18" t="str">
        <f aca="false">IFERROR(INDEX('نقاط التحقق'!$H$2:$H$31,MATCH($K389,'نقاط التحقق'!$A$2:$A$31,0))&amp;"","")</f>
        <v/>
      </c>
      <c r="N389" s="17" t="n">
        <v>59</v>
      </c>
      <c r="O389" s="17" t="n">
        <v>80</v>
      </c>
      <c r="P389" s="19" t="str">
        <f aca="false">IF($N389="","غير مقيّمة",IF($N389&gt;المرجع!$K$3,"مستوفاة بشكل متقدم",IF($N389&lt;=المرجع!$K$2,"مستوفاة بشكل أولي","مستوفاة بشكل جزئي")))</f>
        <v>مستوفاة بشكل جزئي</v>
      </c>
      <c r="Q389" s="22" t="s">
        <v>634</v>
      </c>
    </row>
    <row r="390" customFormat="false" ht="15" hidden="false" customHeight="true" outlineLevel="0" collapsed="false">
      <c r="A390" s="20" t="s">
        <v>784</v>
      </c>
      <c r="B390" s="20" t="s">
        <v>190</v>
      </c>
      <c r="C390" s="19" t="str">
        <f aca="false">IFERROR(INDEX('قائمة الوحدات'!$B$2:$B$41,MATCH($B390,'قائمة الوحدات'!$A$2:$A$41,0)),"")</f>
        <v>EXE</v>
      </c>
      <c r="D390" s="18" t="str">
        <f aca="false">IFERROR(INDEX('قائمة الوحدات'!$C$2:$C$41,MATCH($B390,'قائمة الوحدات'!$A$2:$A$41,0)),"")</f>
        <v>الشؤون التنفيذية</v>
      </c>
      <c r="E390" s="18" t="str">
        <f aca="false">IFERROR(INDEX('قائمة الوحدات'!$D$2:$D$41,MATCH($B390,'قائمة الوحدات'!$A$2:$A$41,0)),"")</f>
        <v>وكالة الاتصال المؤسسي</v>
      </c>
      <c r="F390" s="18" t="str">
        <f aca="false">IFERROR(INDEX('قائمة الوحدات'!$F$2:$F$41,MATCH($B390,'قائمة الوحدات'!$A$2:$A$41,0)),"")</f>
        <v>وكالة الاتصال المؤسسي</v>
      </c>
      <c r="G390" s="20" t="s">
        <v>66</v>
      </c>
      <c r="H390" s="18" t="str">
        <f aca="false">IFERROR(INDEX(المرجع!$A$2:$A$19,MATCH($G390,المرجع!$B$2:$B$19,0)),"")</f>
        <v>التشغيل</v>
      </c>
      <c r="I390" s="20" t="s">
        <v>60</v>
      </c>
      <c r="J390" s="18" t="str">
        <f aca="false">IFERROR(INDEX(المرجع!$D$2:$D$19,MATCH($I390,المرجع!$E$2:$E$19,0)),"")</f>
        <v>الإجراءات</v>
      </c>
      <c r="K390" s="20" t="s">
        <v>132</v>
      </c>
      <c r="L390" s="21" t="str">
        <f aca="false">IFERROR(INDEX('نقاط التحقق'!$G$2:$G$31,MATCH($K390,'نقاط التحقق'!$A$2:$A$31,0))&amp;"","")</f>
        <v>تحقيق تقييم "مطبق بشكل كامل" من منهجية تقييم فعالية الإجراءات</v>
      </c>
      <c r="M390" s="18" t="str">
        <f aca="false">IFERROR(INDEX('نقاط التحقق'!$H$2:$H$31,MATCH($K390,'نقاط التحقق'!$A$2:$A$31,0))&amp;"","")</f>
        <v/>
      </c>
      <c r="N390" s="17" t="n">
        <v>62</v>
      </c>
      <c r="O390" s="17" t="n">
        <v>95</v>
      </c>
      <c r="P390" s="19" t="str">
        <f aca="false">IF($N390="","غير مقيّمة",IF($N390&gt;المرجع!$K$3,"مستوفاة بشكل متقدم",IF($N390&lt;=المرجع!$K$2,"مستوفاة بشكل أولي","مستوفاة بشكل جزئي")))</f>
        <v>مستوفاة بشكل جزئي</v>
      </c>
      <c r="Q390" s="22" t="s">
        <v>634</v>
      </c>
    </row>
    <row r="391" customFormat="false" ht="15" hidden="false" customHeight="true" outlineLevel="0" collapsed="false">
      <c r="A391" s="20" t="s">
        <v>785</v>
      </c>
      <c r="B391" s="20" t="s">
        <v>190</v>
      </c>
      <c r="C391" s="19" t="str">
        <f aca="false">IFERROR(INDEX('قائمة الوحدات'!$B$2:$B$41,MATCH($B391,'قائمة الوحدات'!$A$2:$A$41,0)),"")</f>
        <v>EXE</v>
      </c>
      <c r="D391" s="18" t="str">
        <f aca="false">IFERROR(INDEX('قائمة الوحدات'!$C$2:$C$41,MATCH($B391,'قائمة الوحدات'!$A$2:$A$41,0)),"")</f>
        <v>الشؤون التنفيذية</v>
      </c>
      <c r="E391" s="18" t="str">
        <f aca="false">IFERROR(INDEX('قائمة الوحدات'!$D$2:$D$41,MATCH($B391,'قائمة الوحدات'!$A$2:$A$41,0)),"")</f>
        <v>وكالة الاتصال المؤسسي</v>
      </c>
      <c r="F391" s="18" t="str">
        <f aca="false">IFERROR(INDEX('قائمة الوحدات'!$F$2:$F$41,MATCH($B391,'قائمة الوحدات'!$A$2:$A$41,0)),"")</f>
        <v>وكالة الاتصال المؤسسي</v>
      </c>
      <c r="G391" s="20" t="s">
        <v>66</v>
      </c>
      <c r="H391" s="18" t="str">
        <f aca="false">IFERROR(INDEX(المرجع!$A$2:$A$19,MATCH($G391,المرجع!$B$2:$B$19,0)),"")</f>
        <v>التشغيل</v>
      </c>
      <c r="I391" s="20" t="s">
        <v>71</v>
      </c>
      <c r="J391" s="18" t="str">
        <f aca="false">IFERROR(INDEX(المرجع!$D$2:$D$19,MATCH($I391,المرجع!$E$2:$E$19,0)),"")</f>
        <v>اكتمال المخرجات المستهدفة</v>
      </c>
      <c r="K391" s="20" t="s">
        <v>134</v>
      </c>
      <c r="L391" s="21" t="str">
        <f aca="false">IFERROR(INDEX('نقاط التحقق'!$G$2:$G$31,MATCH($K391,'نقاط التحقق'!$A$2:$A$31,0))&amp;"","")</f>
        <v>اكتمال مخرجات النموذج التشغيلي المستهدف للوحدة التنظيمية</v>
      </c>
      <c r="M391" s="18" t="str">
        <f aca="false">IFERROR(INDEX('نقاط التحقق'!$H$2:$H$31,MATCH($K391,'نقاط التحقق'!$A$2:$A$31,0))&amp;"","")</f>
        <v/>
      </c>
      <c r="N391" s="17" t="n">
        <v>43</v>
      </c>
      <c r="O391" s="17" t="n">
        <v>95</v>
      </c>
      <c r="P391" s="19" t="str">
        <f aca="false">IF($N391="","غير مقيّمة",IF($N391&gt;المرجع!$K$3,"مستوفاة بشكل متقدم",IF($N391&lt;=المرجع!$K$2,"مستوفاة بشكل أولي","مستوفاة بشكل جزئي")))</f>
        <v>مستوفاة بشكل جزئي</v>
      </c>
      <c r="Q391" s="22" t="s">
        <v>634</v>
      </c>
    </row>
    <row r="392" customFormat="false" ht="15" hidden="false" customHeight="true" outlineLevel="0" collapsed="false">
      <c r="A392" s="20" t="s">
        <v>786</v>
      </c>
      <c r="B392" s="20" t="s">
        <v>192</v>
      </c>
      <c r="C392" s="19" t="str">
        <f aca="false">IFERROR(INDEX('قائمة الوحدات'!$B$2:$B$41,MATCH($B392,'قائمة الوحدات'!$A$2:$A$41,0)),"")</f>
        <v>EXE</v>
      </c>
      <c r="D392" s="18" t="str">
        <f aca="false">IFERROR(INDEX('قائمة الوحدات'!$C$2:$C$41,MATCH($B392,'قائمة الوحدات'!$A$2:$A$41,0)),"")</f>
        <v>الشؤون التنفيذية</v>
      </c>
      <c r="E392" s="18" t="str">
        <f aca="false">IFERROR(INDEX('قائمة الوحدات'!$D$2:$D$41,MATCH($B392,'قائمة الوحدات'!$A$2:$A$41,0)),"")</f>
        <v>وكالة الرقابة والالتزام</v>
      </c>
      <c r="F392" s="18" t="str">
        <f aca="false">IFERROR(INDEX('قائمة الوحدات'!$F$2:$F$41,MATCH($B392,'قائمة الوحدات'!$A$2:$A$41,0)),"")</f>
        <v>وكالة الرقابة والالتزام</v>
      </c>
      <c r="G392" s="20" t="s">
        <v>44</v>
      </c>
      <c r="H392" s="18" t="str">
        <f aca="false">IFERROR(INDEX(المرجع!$A$2:$A$19,MATCH($G392,المرجع!$B$2:$B$19,0)),"")</f>
        <v>التصميم</v>
      </c>
      <c r="I392" s="20" t="s">
        <v>46</v>
      </c>
      <c r="J392" s="18" t="str">
        <f aca="false">IFERROR(INDEX(المرجع!$D$2:$D$19,MATCH($I392,المرجع!$E$2:$E$19,0)),"")</f>
        <v>الدور</v>
      </c>
      <c r="K392" s="20" t="s">
        <v>76</v>
      </c>
      <c r="L392" s="21" t="str">
        <f aca="false">IFERROR(INDEX('نقاط التحقق'!$G$2:$G$31,MATCH($K392,'نقاط التحقق'!$A$2:$A$31,0))&amp;"","")</f>
        <v>دور مفصل للوحدة التنظيمية</v>
      </c>
      <c r="M392" s="18" t="str">
        <f aca="false">IFERROR(INDEX('نقاط التحقق'!$H$2:$H$31,MATCH($K392,'نقاط التحقق'!$A$2:$A$31,0))&amp;"","")</f>
        <v/>
      </c>
      <c r="N392" s="17" t="n">
        <v>73</v>
      </c>
      <c r="O392" s="17" t="n">
        <v>85</v>
      </c>
      <c r="P392" s="19" t="str">
        <f aca="false">IF($N392="","غير مقيّمة",IF($N392&gt;المرجع!$K$3,"مستوفاة بشكل متقدم",IF($N392&lt;=المرجع!$K$2,"مستوفاة بشكل أولي","مستوفاة بشكل جزئي")))</f>
        <v>مستوفاة بشكل متقدم</v>
      </c>
      <c r="Q392" s="22" t="s">
        <v>634</v>
      </c>
    </row>
    <row r="393" customFormat="false" ht="15" hidden="false" customHeight="true" outlineLevel="0" collapsed="false">
      <c r="A393" s="20" t="s">
        <v>787</v>
      </c>
      <c r="B393" s="20" t="s">
        <v>192</v>
      </c>
      <c r="C393" s="19" t="str">
        <f aca="false">IFERROR(INDEX('قائمة الوحدات'!$B$2:$B$41,MATCH($B393,'قائمة الوحدات'!$A$2:$A$41,0)),"")</f>
        <v>EXE</v>
      </c>
      <c r="D393" s="18" t="str">
        <f aca="false">IFERROR(INDEX('قائمة الوحدات'!$C$2:$C$41,MATCH($B393,'قائمة الوحدات'!$A$2:$A$41,0)),"")</f>
        <v>الشؤون التنفيذية</v>
      </c>
      <c r="E393" s="18" t="str">
        <f aca="false">IFERROR(INDEX('قائمة الوحدات'!$D$2:$D$41,MATCH($B393,'قائمة الوحدات'!$A$2:$A$41,0)),"")</f>
        <v>وكالة الرقابة والالتزام</v>
      </c>
      <c r="F393" s="18" t="str">
        <f aca="false">IFERROR(INDEX('قائمة الوحدات'!$F$2:$F$41,MATCH($B393,'قائمة الوحدات'!$A$2:$A$41,0)),"")</f>
        <v>وكالة الرقابة والالتزام</v>
      </c>
      <c r="G393" s="20" t="s">
        <v>44</v>
      </c>
      <c r="H393" s="18" t="str">
        <f aca="false">IFERROR(INDEX(المرجع!$A$2:$A$19,MATCH($G393,المرجع!$B$2:$B$19,0)),"")</f>
        <v>التصميم</v>
      </c>
      <c r="I393" s="20" t="s">
        <v>49</v>
      </c>
      <c r="J393" s="18" t="str">
        <f aca="false">IFERROR(INDEX(المرجع!$D$2:$D$19,MATCH($I393,المرجع!$E$2:$E$19,0)),"")</f>
        <v>الأهداف ومؤشرات الأداء</v>
      </c>
      <c r="K393" s="20" t="s">
        <v>78</v>
      </c>
      <c r="L393" s="21" t="str">
        <f aca="false">IFERROR(INDEX('نقاط التحقق'!$G$2:$G$31,MATCH($K393,'نقاط التحقق'!$A$2:$A$31,0))&amp;"","")</f>
        <v>أهداف محددة للوحدة التنظيمية وربطها بمؤشرات أداء لقياسها</v>
      </c>
      <c r="M393" s="18" t="str">
        <f aca="false">IFERROR(INDEX('نقاط التحقق'!$H$2:$H$31,MATCH($K393,'نقاط التحقق'!$A$2:$A$31,0))&amp;"","")</f>
        <v/>
      </c>
      <c r="N393" s="17" t="n">
        <v>95</v>
      </c>
      <c r="O393" s="17" t="n">
        <v>100</v>
      </c>
      <c r="P393" s="19" t="str">
        <f aca="false">IF($N393="","غير مقيّمة",IF($N393&gt;المرجع!$K$3,"مستوفاة بشكل متقدم",IF($N393&lt;=المرجع!$K$2,"مستوفاة بشكل أولي","مستوفاة بشكل جزئي")))</f>
        <v>مستوفاة بشكل متقدم</v>
      </c>
      <c r="Q393" s="22" t="s">
        <v>634</v>
      </c>
    </row>
    <row r="394" customFormat="false" ht="15" hidden="false" customHeight="true" outlineLevel="0" collapsed="false">
      <c r="A394" s="20" t="s">
        <v>788</v>
      </c>
      <c r="B394" s="20" t="s">
        <v>192</v>
      </c>
      <c r="C394" s="19" t="str">
        <f aca="false">IFERROR(INDEX('قائمة الوحدات'!$B$2:$B$41,MATCH($B394,'قائمة الوحدات'!$A$2:$A$41,0)),"")</f>
        <v>EXE</v>
      </c>
      <c r="D394" s="18" t="str">
        <f aca="false">IFERROR(INDEX('قائمة الوحدات'!$C$2:$C$41,MATCH($B394,'قائمة الوحدات'!$A$2:$A$41,0)),"")</f>
        <v>الشؤون التنفيذية</v>
      </c>
      <c r="E394" s="18" t="str">
        <f aca="false">IFERROR(INDEX('قائمة الوحدات'!$D$2:$D$41,MATCH($B394,'قائمة الوحدات'!$A$2:$A$41,0)),"")</f>
        <v>وكالة الرقابة والالتزام</v>
      </c>
      <c r="F394" s="18" t="str">
        <f aca="false">IFERROR(INDEX('قائمة الوحدات'!$F$2:$F$41,MATCH($B394,'قائمة الوحدات'!$A$2:$A$41,0)),"")</f>
        <v>وكالة الرقابة والالتزام</v>
      </c>
      <c r="G394" s="20" t="s">
        <v>44</v>
      </c>
      <c r="H394" s="18" t="str">
        <f aca="false">IFERROR(INDEX(المرجع!$A$2:$A$19,MATCH($G394,المرجع!$B$2:$B$19,0)),"")</f>
        <v>التصميم</v>
      </c>
      <c r="I394" s="20" t="s">
        <v>49</v>
      </c>
      <c r="J394" s="18" t="str">
        <f aca="false">IFERROR(INDEX(المرجع!$D$2:$D$19,MATCH($I394,المرجع!$E$2:$E$19,0)),"")</f>
        <v>الأهداف ومؤشرات الأداء</v>
      </c>
      <c r="K394" s="20" t="s">
        <v>80</v>
      </c>
      <c r="L394" s="21" t="str">
        <f aca="false">IFERROR(INDEX('نقاط التحقق'!$G$2:$G$31,MATCH($K394,'نقاط التحقق'!$A$2:$A$31,0))&amp;"","")</f>
        <v>مؤشرات أداء الوحدة التنظيمية</v>
      </c>
      <c r="M394" s="18" t="str">
        <f aca="false">IFERROR(INDEX('نقاط التحقق'!$H$2:$H$31,MATCH($K394,'نقاط التحقق'!$A$2:$A$31,0))&amp;"","")</f>
        <v/>
      </c>
      <c r="N394" s="17" t="n">
        <v>95</v>
      </c>
      <c r="O394" s="17" t="n">
        <v>100</v>
      </c>
      <c r="P394" s="19" t="str">
        <f aca="false">IF($N394="","غير مقيّمة",IF($N394&gt;المرجع!$K$3,"مستوفاة بشكل متقدم",IF($N394&lt;=المرجع!$K$2,"مستوفاة بشكل أولي","مستوفاة بشكل جزئي")))</f>
        <v>مستوفاة بشكل متقدم</v>
      </c>
      <c r="Q394" s="22" t="s">
        <v>634</v>
      </c>
    </row>
    <row r="395" customFormat="false" ht="15" hidden="false" customHeight="true" outlineLevel="0" collapsed="false">
      <c r="A395" s="20" t="s">
        <v>789</v>
      </c>
      <c r="B395" s="20" t="s">
        <v>192</v>
      </c>
      <c r="C395" s="19" t="str">
        <f aca="false">IFERROR(INDEX('قائمة الوحدات'!$B$2:$B$41,MATCH($B395,'قائمة الوحدات'!$A$2:$A$41,0)),"")</f>
        <v>EXE</v>
      </c>
      <c r="D395" s="18" t="str">
        <f aca="false">IFERROR(INDEX('قائمة الوحدات'!$C$2:$C$41,MATCH($B395,'قائمة الوحدات'!$A$2:$A$41,0)),"")</f>
        <v>الشؤون التنفيذية</v>
      </c>
      <c r="E395" s="18" t="str">
        <f aca="false">IFERROR(INDEX('قائمة الوحدات'!$D$2:$D$41,MATCH($B395,'قائمة الوحدات'!$A$2:$A$41,0)),"")</f>
        <v>وكالة الرقابة والالتزام</v>
      </c>
      <c r="F395" s="18" t="str">
        <f aca="false">IFERROR(INDEX('قائمة الوحدات'!$F$2:$F$41,MATCH($B395,'قائمة الوحدات'!$A$2:$A$41,0)),"")</f>
        <v>وكالة الرقابة والالتزام</v>
      </c>
      <c r="G395" s="20" t="s">
        <v>44</v>
      </c>
      <c r="H395" s="18" t="str">
        <f aca="false">IFERROR(INDEX(المرجع!$A$2:$A$19,MATCH($G395,المرجع!$B$2:$B$19,0)),"")</f>
        <v>التصميم</v>
      </c>
      <c r="I395" s="20" t="s">
        <v>52</v>
      </c>
      <c r="J395" s="18" t="str">
        <f aca="false">IFERROR(INDEX(المرجع!$D$2:$D$19,MATCH($I395,المرجع!$E$2:$E$19,0)),"")</f>
        <v>الحوكمة</v>
      </c>
      <c r="K395" s="20" t="s">
        <v>82</v>
      </c>
      <c r="L395" s="21" t="str">
        <f aca="false">IFERROR(INDEX('نقاط التحقق'!$G$2:$G$31,MATCH($K395,'نقاط التحقق'!$A$2:$A$31,0))&amp;"","")</f>
        <v>تفصيل القرارات ومصفوفة الصلاحيات واللجان ذات العلاقة لاعتماد مخرجات الوحدة التنظيمية</v>
      </c>
      <c r="M395" s="18" t="str">
        <f aca="false">IFERROR(INDEX('نقاط التحقق'!$H$2:$H$31,MATCH($K395,'نقاط التحقق'!$A$2:$A$31,0))&amp;"","")</f>
        <v/>
      </c>
      <c r="N395" s="17" t="n">
        <v>80</v>
      </c>
      <c r="O395" s="17" t="n">
        <v>85</v>
      </c>
      <c r="P395" s="19" t="str">
        <f aca="false">IF($N395="","غير مقيّمة",IF($N395&gt;المرجع!$K$3,"مستوفاة بشكل متقدم",IF($N395&lt;=المرجع!$K$2,"مستوفاة بشكل أولي","مستوفاة بشكل جزئي")))</f>
        <v>مستوفاة بشكل متقدم</v>
      </c>
      <c r="Q395" s="22" t="s">
        <v>634</v>
      </c>
    </row>
    <row r="396" customFormat="false" ht="15" hidden="false" customHeight="true" outlineLevel="0" collapsed="false">
      <c r="A396" s="20" t="s">
        <v>790</v>
      </c>
      <c r="B396" s="20" t="s">
        <v>192</v>
      </c>
      <c r="C396" s="19" t="str">
        <f aca="false">IFERROR(INDEX('قائمة الوحدات'!$B$2:$B$41,MATCH($B396,'قائمة الوحدات'!$A$2:$A$41,0)),"")</f>
        <v>EXE</v>
      </c>
      <c r="D396" s="18" t="str">
        <f aca="false">IFERROR(INDEX('قائمة الوحدات'!$C$2:$C$41,MATCH($B396,'قائمة الوحدات'!$A$2:$A$41,0)),"")</f>
        <v>الشؤون التنفيذية</v>
      </c>
      <c r="E396" s="18" t="str">
        <f aca="false">IFERROR(INDEX('قائمة الوحدات'!$D$2:$D$41,MATCH($B396,'قائمة الوحدات'!$A$2:$A$41,0)),"")</f>
        <v>وكالة الرقابة والالتزام</v>
      </c>
      <c r="F396" s="18" t="str">
        <f aca="false">IFERROR(INDEX('قائمة الوحدات'!$F$2:$F$41,MATCH($B396,'قائمة الوحدات'!$A$2:$A$41,0)),"")</f>
        <v>وكالة الرقابة والالتزام</v>
      </c>
      <c r="G396" s="20" t="s">
        <v>44</v>
      </c>
      <c r="H396" s="18" t="str">
        <f aca="false">IFERROR(INDEX(المرجع!$A$2:$A$19,MATCH($G396,المرجع!$B$2:$B$19,0)),"")</f>
        <v>التصميم</v>
      </c>
      <c r="I396" s="20" t="s">
        <v>55</v>
      </c>
      <c r="J396" s="18" t="str">
        <f aca="false">IFERROR(INDEX(المرجع!$D$2:$D$19,MATCH($I396,المرجع!$E$2:$E$19,0)),"")</f>
        <v>التنظيم</v>
      </c>
      <c r="K396" s="20" t="s">
        <v>84</v>
      </c>
      <c r="L396" s="21" t="str">
        <f aca="false">IFERROR(INDEX('نقاط التحقق'!$G$2:$G$31,MATCH($K396,'نقاط التحقق'!$A$2:$A$31,0))&amp;"","")</f>
        <v>تطوير الأدوار والمسؤوليات للوحدة التنظيمية وتفصيل الهيكل التنظيمي</v>
      </c>
      <c r="M396" s="18" t="str">
        <f aca="false">IFERROR(INDEX('نقاط التحقق'!$H$2:$H$31,MATCH($K396,'نقاط التحقق'!$A$2:$A$31,0))&amp;"","")</f>
        <v/>
      </c>
      <c r="N396" s="17" t="n">
        <v>73</v>
      </c>
      <c r="O396" s="17" t="n">
        <v>85</v>
      </c>
      <c r="P396" s="19" t="str">
        <f aca="false">IF($N396="","غير مقيّمة",IF($N396&gt;المرجع!$K$3,"مستوفاة بشكل متقدم",IF($N396&lt;=المرجع!$K$2,"مستوفاة بشكل أولي","مستوفاة بشكل جزئي")))</f>
        <v>مستوفاة بشكل متقدم</v>
      </c>
      <c r="Q396" s="22" t="s">
        <v>634</v>
      </c>
    </row>
    <row r="397" customFormat="false" ht="15" hidden="false" customHeight="true" outlineLevel="0" collapsed="false">
      <c r="A397" s="20" t="s">
        <v>791</v>
      </c>
      <c r="B397" s="20" t="s">
        <v>192</v>
      </c>
      <c r="C397" s="19" t="str">
        <f aca="false">IFERROR(INDEX('قائمة الوحدات'!$B$2:$B$41,MATCH($B397,'قائمة الوحدات'!$A$2:$A$41,0)),"")</f>
        <v>EXE</v>
      </c>
      <c r="D397" s="18" t="str">
        <f aca="false">IFERROR(INDEX('قائمة الوحدات'!$C$2:$C$41,MATCH($B397,'قائمة الوحدات'!$A$2:$A$41,0)),"")</f>
        <v>الشؤون التنفيذية</v>
      </c>
      <c r="E397" s="18" t="str">
        <f aca="false">IFERROR(INDEX('قائمة الوحدات'!$D$2:$D$41,MATCH($B397,'قائمة الوحدات'!$A$2:$A$41,0)),"")</f>
        <v>وكالة الرقابة والالتزام</v>
      </c>
      <c r="F397" s="18" t="str">
        <f aca="false">IFERROR(INDEX('قائمة الوحدات'!$F$2:$F$41,MATCH($B397,'قائمة الوحدات'!$A$2:$A$41,0)),"")</f>
        <v>وكالة الرقابة والالتزام</v>
      </c>
      <c r="G397" s="20" t="s">
        <v>44</v>
      </c>
      <c r="H397" s="18" t="str">
        <f aca="false">IFERROR(INDEX(المرجع!$A$2:$A$19,MATCH($G397,المرجع!$B$2:$B$19,0)),"")</f>
        <v>التصميم</v>
      </c>
      <c r="I397" s="20" t="s">
        <v>57</v>
      </c>
      <c r="J397" s="18" t="str">
        <f aca="false">IFERROR(INDEX(المرجع!$D$2:$D$19,MATCH($I397,المرجع!$E$2:$E$19,0)),"")</f>
        <v>الموارد</v>
      </c>
      <c r="K397" s="20" t="s">
        <v>86</v>
      </c>
      <c r="L397" s="21" t="str">
        <f aca="false">IFERROR(INDEX('نقاط التحقق'!$G$2:$G$31,MATCH($K397,'نقاط التحقق'!$A$2:$A$31,0))&amp;"","")</f>
        <v>تفصيل احتياج الموارد البشرية للوحدة التنظيمية</v>
      </c>
      <c r="M397" s="18" t="str">
        <f aca="false">IFERROR(INDEX('نقاط التحقق'!$H$2:$H$31,MATCH($K397,'نقاط التحقق'!$A$2:$A$31,0))&amp;"","")</f>
        <v/>
      </c>
      <c r="N397" s="17" t="n">
        <v>79</v>
      </c>
      <c r="O397" s="17" t="n">
        <v>100</v>
      </c>
      <c r="P397" s="19" t="str">
        <f aca="false">IF($N397="","غير مقيّمة",IF($N397&gt;المرجع!$K$3,"مستوفاة بشكل متقدم",IF($N397&lt;=المرجع!$K$2,"مستوفاة بشكل أولي","مستوفاة بشكل جزئي")))</f>
        <v>مستوفاة بشكل متقدم</v>
      </c>
      <c r="Q397" s="22" t="s">
        <v>634</v>
      </c>
    </row>
    <row r="398" customFormat="false" ht="15" hidden="false" customHeight="true" outlineLevel="0" collapsed="false">
      <c r="A398" s="20" t="s">
        <v>792</v>
      </c>
      <c r="B398" s="20" t="s">
        <v>192</v>
      </c>
      <c r="C398" s="19" t="str">
        <f aca="false">IFERROR(INDEX('قائمة الوحدات'!$B$2:$B$41,MATCH($B398,'قائمة الوحدات'!$A$2:$A$41,0)),"")</f>
        <v>EXE</v>
      </c>
      <c r="D398" s="18" t="str">
        <f aca="false">IFERROR(INDEX('قائمة الوحدات'!$C$2:$C$41,MATCH($B398,'قائمة الوحدات'!$A$2:$A$41,0)),"")</f>
        <v>الشؤون التنفيذية</v>
      </c>
      <c r="E398" s="18" t="str">
        <f aca="false">IFERROR(INDEX('قائمة الوحدات'!$D$2:$D$41,MATCH($B398,'قائمة الوحدات'!$A$2:$A$41,0)),"")</f>
        <v>وكالة الرقابة والالتزام</v>
      </c>
      <c r="F398" s="18" t="str">
        <f aca="false">IFERROR(INDEX('قائمة الوحدات'!$F$2:$F$41,MATCH($B398,'قائمة الوحدات'!$A$2:$A$41,0)),"")</f>
        <v>وكالة الرقابة والالتزام</v>
      </c>
      <c r="G398" s="20" t="s">
        <v>44</v>
      </c>
      <c r="H398" s="18" t="str">
        <f aca="false">IFERROR(INDEX(المرجع!$A$2:$A$19,MATCH($G398,المرجع!$B$2:$B$19,0)),"")</f>
        <v>التصميم</v>
      </c>
      <c r="I398" s="20" t="s">
        <v>60</v>
      </c>
      <c r="J398" s="18" t="str">
        <f aca="false">IFERROR(INDEX(المرجع!$D$2:$D$19,MATCH($I398,المرجع!$E$2:$E$19,0)),"")</f>
        <v>الإجراءات</v>
      </c>
      <c r="K398" s="20" t="s">
        <v>88</v>
      </c>
      <c r="L398" s="21" t="str">
        <f aca="false">IFERROR(INDEX('نقاط التحقق'!$G$2:$G$31,MATCH($K398,'نقاط التحقق'!$A$2:$A$31,0))&amp;"","")</f>
        <v>تفصيل المخرجات إلى إجراءات عالية المستوى</v>
      </c>
      <c r="M398" s="18" t="str">
        <f aca="false">IFERROR(INDEX('نقاط التحقق'!$H$2:$H$31,MATCH($K398,'نقاط التحقق'!$A$2:$A$31,0))&amp;"","")</f>
        <v/>
      </c>
      <c r="N398" s="17" t="n">
        <v>87</v>
      </c>
      <c r="O398" s="17" t="n">
        <v>95</v>
      </c>
      <c r="P398" s="19" t="str">
        <f aca="false">IF($N398="","غير مقيّمة",IF($N398&gt;المرجع!$K$3,"مستوفاة بشكل متقدم",IF($N398&lt;=المرجع!$K$2,"مستوفاة بشكل أولي","مستوفاة بشكل جزئي")))</f>
        <v>مستوفاة بشكل متقدم</v>
      </c>
      <c r="Q398" s="22" t="s">
        <v>634</v>
      </c>
    </row>
    <row r="399" customFormat="false" ht="15" hidden="false" customHeight="true" outlineLevel="0" collapsed="false">
      <c r="A399" s="20" t="s">
        <v>793</v>
      </c>
      <c r="B399" s="20" t="s">
        <v>192</v>
      </c>
      <c r="C399" s="19" t="str">
        <f aca="false">IFERROR(INDEX('قائمة الوحدات'!$B$2:$B$41,MATCH($B399,'قائمة الوحدات'!$A$2:$A$41,0)),"")</f>
        <v>EXE</v>
      </c>
      <c r="D399" s="18" t="str">
        <f aca="false">IFERROR(INDEX('قائمة الوحدات'!$C$2:$C$41,MATCH($B399,'قائمة الوحدات'!$A$2:$A$41,0)),"")</f>
        <v>الشؤون التنفيذية</v>
      </c>
      <c r="E399" s="18" t="str">
        <f aca="false">IFERROR(INDEX('قائمة الوحدات'!$D$2:$D$41,MATCH($B399,'قائمة الوحدات'!$A$2:$A$41,0)),"")</f>
        <v>وكالة الرقابة والالتزام</v>
      </c>
      <c r="F399" s="18" t="str">
        <f aca="false">IFERROR(INDEX('قائمة الوحدات'!$F$2:$F$41,MATCH($B399,'قائمة الوحدات'!$A$2:$A$41,0)),"")</f>
        <v>وكالة الرقابة والالتزام</v>
      </c>
      <c r="G399" s="20" t="s">
        <v>62</v>
      </c>
      <c r="H399" s="18" t="str">
        <f aca="false">IFERROR(INDEX(المرجع!$A$2:$A$19,MATCH($G399,المرجع!$B$2:$B$19,0)),"")</f>
        <v>البناء المؤسسي</v>
      </c>
      <c r="I399" s="20" t="s">
        <v>46</v>
      </c>
      <c r="J399" s="18" t="str">
        <f aca="false">IFERROR(INDEX(المرجع!$D$2:$D$19,MATCH($I399,المرجع!$E$2:$E$19,0)),"")</f>
        <v>الدور</v>
      </c>
      <c r="K399" s="20" t="s">
        <v>90</v>
      </c>
      <c r="L399" s="21" t="str">
        <f aca="false">IFERROR(INDEX('نقاط التحقق'!$G$2:$G$31,MATCH($K399,'نقاط التحقق'!$A$2:$A$31,0))&amp;"","")</f>
        <v>دور معتمد للوحدة التنظيمية</v>
      </c>
      <c r="M399" s="18" t="str">
        <f aca="false">IFERROR(INDEX('نقاط التحقق'!$H$2:$H$31,MATCH($K399,'نقاط التحقق'!$A$2:$A$31,0))&amp;"","")</f>
        <v/>
      </c>
      <c r="N399" s="17" t="n">
        <v>72</v>
      </c>
      <c r="O399" s="17" t="n">
        <v>100</v>
      </c>
      <c r="P399" s="19" t="str">
        <f aca="false">IF($N399="","غير مقيّمة",IF($N399&gt;المرجع!$K$3,"مستوفاة بشكل متقدم",IF($N399&lt;=المرجع!$K$2,"مستوفاة بشكل أولي","مستوفاة بشكل جزئي")))</f>
        <v>مستوفاة بشكل متقدم</v>
      </c>
      <c r="Q399" s="22" t="s">
        <v>634</v>
      </c>
    </row>
    <row r="400" customFormat="false" ht="15" hidden="false" customHeight="true" outlineLevel="0" collapsed="false">
      <c r="A400" s="20" t="s">
        <v>794</v>
      </c>
      <c r="B400" s="20" t="s">
        <v>192</v>
      </c>
      <c r="C400" s="19" t="str">
        <f aca="false">IFERROR(INDEX('قائمة الوحدات'!$B$2:$B$41,MATCH($B400,'قائمة الوحدات'!$A$2:$A$41,0)),"")</f>
        <v>EXE</v>
      </c>
      <c r="D400" s="18" t="str">
        <f aca="false">IFERROR(INDEX('قائمة الوحدات'!$C$2:$C$41,MATCH($B400,'قائمة الوحدات'!$A$2:$A$41,0)),"")</f>
        <v>الشؤون التنفيذية</v>
      </c>
      <c r="E400" s="18" t="str">
        <f aca="false">IFERROR(INDEX('قائمة الوحدات'!$D$2:$D$41,MATCH($B400,'قائمة الوحدات'!$A$2:$A$41,0)),"")</f>
        <v>وكالة الرقابة والالتزام</v>
      </c>
      <c r="F400" s="18" t="str">
        <f aca="false">IFERROR(INDEX('قائمة الوحدات'!$F$2:$F$41,MATCH($B400,'قائمة الوحدات'!$A$2:$A$41,0)),"")</f>
        <v>وكالة الرقابة والالتزام</v>
      </c>
      <c r="G400" s="20" t="s">
        <v>62</v>
      </c>
      <c r="H400" s="18" t="str">
        <f aca="false">IFERROR(INDEX(المرجع!$A$2:$A$19,MATCH($G400,المرجع!$B$2:$B$19,0)),"")</f>
        <v>البناء المؤسسي</v>
      </c>
      <c r="I400" s="20" t="s">
        <v>49</v>
      </c>
      <c r="J400" s="18" t="str">
        <f aca="false">IFERROR(INDEX(المرجع!$D$2:$D$19,MATCH($I400,المرجع!$E$2:$E$19,0)),"")</f>
        <v>الأهداف ومؤشرات الأداء</v>
      </c>
      <c r="K400" s="20" t="s">
        <v>92</v>
      </c>
      <c r="L400" s="21" t="str">
        <f aca="false">IFERROR(INDEX('نقاط التحقق'!$G$2:$G$31,MATCH($K400,'نقاط التحقق'!$A$2:$A$31,0))&amp;"","")</f>
        <v>أهداف تشغيلية معتمدة من صاحب الصلاحية</v>
      </c>
      <c r="M400" s="18" t="str">
        <f aca="false">IFERROR(INDEX('نقاط التحقق'!$H$2:$H$31,MATCH($K400,'نقاط التحقق'!$A$2:$A$31,0))&amp;"","")</f>
        <v/>
      </c>
      <c r="N400" s="17" t="n">
        <v>70</v>
      </c>
      <c r="O400" s="17" t="n">
        <v>95</v>
      </c>
      <c r="P400" s="19" t="str">
        <f aca="false">IF($N400="","غير مقيّمة",IF($N400&gt;المرجع!$K$3,"مستوفاة بشكل متقدم",IF($N400&lt;=المرجع!$K$2,"مستوفاة بشكل أولي","مستوفاة بشكل جزئي")))</f>
        <v>مستوفاة بشكل جزئي</v>
      </c>
      <c r="Q400" s="22" t="s">
        <v>634</v>
      </c>
    </row>
    <row r="401" customFormat="false" ht="15" hidden="false" customHeight="true" outlineLevel="0" collapsed="false">
      <c r="A401" s="20" t="s">
        <v>795</v>
      </c>
      <c r="B401" s="20" t="s">
        <v>192</v>
      </c>
      <c r="C401" s="19" t="str">
        <f aca="false">IFERROR(INDEX('قائمة الوحدات'!$B$2:$B$41,MATCH($B401,'قائمة الوحدات'!$A$2:$A$41,0)),"")</f>
        <v>EXE</v>
      </c>
      <c r="D401" s="18" t="str">
        <f aca="false">IFERROR(INDEX('قائمة الوحدات'!$C$2:$C$41,MATCH($B401,'قائمة الوحدات'!$A$2:$A$41,0)),"")</f>
        <v>الشؤون التنفيذية</v>
      </c>
      <c r="E401" s="18" t="str">
        <f aca="false">IFERROR(INDEX('قائمة الوحدات'!$D$2:$D$41,MATCH($B401,'قائمة الوحدات'!$A$2:$A$41,0)),"")</f>
        <v>وكالة الرقابة والالتزام</v>
      </c>
      <c r="F401" s="18" t="str">
        <f aca="false">IFERROR(INDEX('قائمة الوحدات'!$F$2:$F$41,MATCH($B401,'قائمة الوحدات'!$A$2:$A$41,0)),"")</f>
        <v>وكالة الرقابة والالتزام</v>
      </c>
      <c r="G401" s="20" t="s">
        <v>62</v>
      </c>
      <c r="H401" s="18" t="str">
        <f aca="false">IFERROR(INDEX(المرجع!$A$2:$A$19,MATCH($G401,المرجع!$B$2:$B$19,0)),"")</f>
        <v>البناء المؤسسي</v>
      </c>
      <c r="I401" s="20" t="s">
        <v>49</v>
      </c>
      <c r="J401" s="18" t="str">
        <f aca="false">IFERROR(INDEX(المرجع!$D$2:$D$19,MATCH($I401,المرجع!$E$2:$E$19,0)),"")</f>
        <v>الأهداف ومؤشرات الأداء</v>
      </c>
      <c r="K401" s="20" t="s">
        <v>94</v>
      </c>
      <c r="L401" s="21" t="str">
        <f aca="false">IFERROR(INDEX('نقاط التحقق'!$G$2:$G$31,MATCH($K401,'نقاط التحقق'!$A$2:$A$31,0))&amp;"","")</f>
        <v>نشر الأهداف التشغيلية على موظفي الوحدة التنظيمية</v>
      </c>
      <c r="M401" s="18" t="str">
        <f aca="false">IFERROR(INDEX('نقاط التحقق'!$H$2:$H$31,MATCH($K401,'نقاط التحقق'!$A$2:$A$31,0))&amp;"","")</f>
        <v/>
      </c>
      <c r="N401" s="17" t="n">
        <v>70</v>
      </c>
      <c r="O401" s="17" t="n">
        <v>90</v>
      </c>
      <c r="P401" s="19" t="str">
        <f aca="false">IF($N401="","غير مقيّمة",IF($N401&gt;المرجع!$K$3,"مستوفاة بشكل متقدم",IF($N401&lt;=المرجع!$K$2,"مستوفاة بشكل أولي","مستوفاة بشكل جزئي")))</f>
        <v>مستوفاة بشكل جزئي</v>
      </c>
      <c r="Q401" s="22" t="s">
        <v>634</v>
      </c>
    </row>
    <row r="402" customFormat="false" ht="15" hidden="false" customHeight="true" outlineLevel="0" collapsed="false">
      <c r="A402" s="20" t="s">
        <v>796</v>
      </c>
      <c r="B402" s="20" t="s">
        <v>192</v>
      </c>
      <c r="C402" s="19" t="str">
        <f aca="false">IFERROR(INDEX('قائمة الوحدات'!$B$2:$B$41,MATCH($B402,'قائمة الوحدات'!$A$2:$A$41,0)),"")</f>
        <v>EXE</v>
      </c>
      <c r="D402" s="18" t="str">
        <f aca="false">IFERROR(INDEX('قائمة الوحدات'!$C$2:$C$41,MATCH($B402,'قائمة الوحدات'!$A$2:$A$41,0)),"")</f>
        <v>الشؤون التنفيذية</v>
      </c>
      <c r="E402" s="18" t="str">
        <f aca="false">IFERROR(INDEX('قائمة الوحدات'!$D$2:$D$41,MATCH($B402,'قائمة الوحدات'!$A$2:$A$41,0)),"")</f>
        <v>وكالة الرقابة والالتزام</v>
      </c>
      <c r="F402" s="18" t="str">
        <f aca="false">IFERROR(INDEX('قائمة الوحدات'!$F$2:$F$41,MATCH($B402,'قائمة الوحدات'!$A$2:$A$41,0)),"")</f>
        <v>وكالة الرقابة والالتزام</v>
      </c>
      <c r="G402" s="20" t="s">
        <v>62</v>
      </c>
      <c r="H402" s="18" t="str">
        <f aca="false">IFERROR(INDEX(المرجع!$A$2:$A$19,MATCH($G402,المرجع!$B$2:$B$19,0)),"")</f>
        <v>البناء المؤسسي</v>
      </c>
      <c r="I402" s="20" t="s">
        <v>52</v>
      </c>
      <c r="J402" s="18" t="str">
        <f aca="false">IFERROR(INDEX(المرجع!$D$2:$D$19,MATCH($I402,المرجع!$E$2:$E$19,0)),"")</f>
        <v>الحوكمة</v>
      </c>
      <c r="K402" s="20" t="s">
        <v>96</v>
      </c>
      <c r="L402" s="21" t="str">
        <f aca="false">IFERROR(INDEX('نقاط التحقق'!$G$2:$G$31,MATCH($K402,'نقاط التحقق'!$A$2:$A$31,0))&amp;"","")</f>
        <v>مصفوفة صلاحيات معتمدة ومعممة على أصحاب المصلحة</v>
      </c>
      <c r="M402" s="18" t="str">
        <f aca="false">IFERROR(INDEX('نقاط التحقق'!$H$2:$H$31,MATCH($K402,'نقاط التحقق'!$A$2:$A$31,0))&amp;"","")</f>
        <v/>
      </c>
      <c r="N402" s="17" t="n">
        <v>70</v>
      </c>
      <c r="O402" s="17" t="n">
        <v>95</v>
      </c>
      <c r="P402" s="19" t="str">
        <f aca="false">IF($N402="","غير مقيّمة",IF($N402&gt;المرجع!$K$3,"مستوفاة بشكل متقدم",IF($N402&lt;=المرجع!$K$2,"مستوفاة بشكل أولي","مستوفاة بشكل جزئي")))</f>
        <v>مستوفاة بشكل جزئي</v>
      </c>
      <c r="Q402" s="22" t="s">
        <v>634</v>
      </c>
    </row>
    <row r="403" customFormat="false" ht="15" hidden="false" customHeight="true" outlineLevel="0" collapsed="false">
      <c r="A403" s="20" t="s">
        <v>797</v>
      </c>
      <c r="B403" s="20" t="s">
        <v>192</v>
      </c>
      <c r="C403" s="19" t="str">
        <f aca="false">IFERROR(INDEX('قائمة الوحدات'!$B$2:$B$41,MATCH($B403,'قائمة الوحدات'!$A$2:$A$41,0)),"")</f>
        <v>EXE</v>
      </c>
      <c r="D403" s="18" t="str">
        <f aca="false">IFERROR(INDEX('قائمة الوحدات'!$C$2:$C$41,MATCH($B403,'قائمة الوحدات'!$A$2:$A$41,0)),"")</f>
        <v>الشؤون التنفيذية</v>
      </c>
      <c r="E403" s="18" t="str">
        <f aca="false">IFERROR(INDEX('قائمة الوحدات'!$D$2:$D$41,MATCH($B403,'قائمة الوحدات'!$A$2:$A$41,0)),"")</f>
        <v>وكالة الرقابة والالتزام</v>
      </c>
      <c r="F403" s="18" t="str">
        <f aca="false">IFERROR(INDEX('قائمة الوحدات'!$F$2:$F$41,MATCH($B403,'قائمة الوحدات'!$A$2:$A$41,0)),"")</f>
        <v>وكالة الرقابة والالتزام</v>
      </c>
      <c r="G403" s="20" t="s">
        <v>62</v>
      </c>
      <c r="H403" s="18" t="str">
        <f aca="false">IFERROR(INDEX(المرجع!$A$2:$A$19,MATCH($G403,المرجع!$B$2:$B$19,0)),"")</f>
        <v>البناء المؤسسي</v>
      </c>
      <c r="I403" s="20" t="s">
        <v>52</v>
      </c>
      <c r="J403" s="18" t="str">
        <f aca="false">IFERROR(INDEX(المرجع!$D$2:$D$19,MATCH($I403,المرجع!$E$2:$E$19,0)),"")</f>
        <v>الحوكمة</v>
      </c>
      <c r="K403" s="20" t="s">
        <v>98</v>
      </c>
      <c r="L403" s="21" t="str">
        <f aca="false">IFERROR(INDEX('نقاط التحقق'!$G$2:$G$31,MATCH($K403,'نقاط التحقق'!$A$2:$A$31,0))&amp;"","")</f>
        <v>سياسات معتمدة للتي تملكها الوحدة التنظيمية</v>
      </c>
      <c r="M403" s="18" t="str">
        <f aca="false">IFERROR(INDEX('نقاط التحقق'!$H$2:$H$31,MATCH($K403,'نقاط التحقق'!$A$2:$A$31,0))&amp;"","")</f>
        <v/>
      </c>
      <c r="N403" s="17" t="n">
        <v>75</v>
      </c>
      <c r="O403" s="17" t="n">
        <v>85</v>
      </c>
      <c r="P403" s="19" t="str">
        <f aca="false">IF($N403="","غير مقيّمة",IF($N403&gt;المرجع!$K$3,"مستوفاة بشكل متقدم",IF($N403&lt;=المرجع!$K$2,"مستوفاة بشكل أولي","مستوفاة بشكل جزئي")))</f>
        <v>مستوفاة بشكل متقدم</v>
      </c>
      <c r="Q403" s="22" t="s">
        <v>634</v>
      </c>
    </row>
    <row r="404" customFormat="false" ht="15" hidden="false" customHeight="true" outlineLevel="0" collapsed="false">
      <c r="A404" s="20" t="s">
        <v>798</v>
      </c>
      <c r="B404" s="20" t="s">
        <v>192</v>
      </c>
      <c r="C404" s="19" t="str">
        <f aca="false">IFERROR(INDEX('قائمة الوحدات'!$B$2:$B$41,MATCH($B404,'قائمة الوحدات'!$A$2:$A$41,0)),"")</f>
        <v>EXE</v>
      </c>
      <c r="D404" s="18" t="str">
        <f aca="false">IFERROR(INDEX('قائمة الوحدات'!$C$2:$C$41,MATCH($B404,'قائمة الوحدات'!$A$2:$A$41,0)),"")</f>
        <v>الشؤون التنفيذية</v>
      </c>
      <c r="E404" s="18" t="str">
        <f aca="false">IFERROR(INDEX('قائمة الوحدات'!$D$2:$D$41,MATCH($B404,'قائمة الوحدات'!$A$2:$A$41,0)),"")</f>
        <v>وكالة الرقابة والالتزام</v>
      </c>
      <c r="F404" s="18" t="str">
        <f aca="false">IFERROR(INDEX('قائمة الوحدات'!$F$2:$F$41,MATCH($B404,'قائمة الوحدات'!$A$2:$A$41,0)),"")</f>
        <v>وكالة الرقابة والالتزام</v>
      </c>
      <c r="G404" s="20" t="s">
        <v>62</v>
      </c>
      <c r="H404" s="18" t="str">
        <f aca="false">IFERROR(INDEX(المرجع!$A$2:$A$19,MATCH($G404,المرجع!$B$2:$B$19,0)),"")</f>
        <v>البناء المؤسسي</v>
      </c>
      <c r="I404" s="20" t="s">
        <v>52</v>
      </c>
      <c r="J404" s="18" t="str">
        <f aca="false">IFERROR(INDEX(المرجع!$D$2:$D$19,MATCH($I404,المرجع!$E$2:$E$19,0)),"")</f>
        <v>الحوكمة</v>
      </c>
      <c r="K404" s="20" t="s">
        <v>100</v>
      </c>
      <c r="L404" s="21" t="str">
        <f aca="false">IFERROR(INDEX('نقاط التحقق'!$G$2:$G$31,MATCH($K404,'نقاط التحقق'!$A$2:$A$31,0))&amp;"","")</f>
        <v>قرار تشكيل معتمد للجان ذات العلاقة</v>
      </c>
      <c r="M404" s="18" t="str">
        <f aca="false">IFERROR(INDEX('نقاط التحقق'!$H$2:$H$31,MATCH($K404,'نقاط التحقق'!$A$2:$A$31,0))&amp;"","")</f>
        <v/>
      </c>
      <c r="N404" s="17" t="n">
        <v>65</v>
      </c>
      <c r="O404" s="17" t="n">
        <v>90</v>
      </c>
      <c r="P404" s="19" t="str">
        <f aca="false">IF($N404="","غير مقيّمة",IF($N404&gt;المرجع!$K$3,"مستوفاة بشكل متقدم",IF($N404&lt;=المرجع!$K$2,"مستوفاة بشكل أولي","مستوفاة بشكل جزئي")))</f>
        <v>مستوفاة بشكل جزئي</v>
      </c>
      <c r="Q404" s="22" t="s">
        <v>634</v>
      </c>
    </row>
    <row r="405" customFormat="false" ht="15" hidden="false" customHeight="true" outlineLevel="0" collapsed="false">
      <c r="A405" s="20" t="s">
        <v>799</v>
      </c>
      <c r="B405" s="20" t="s">
        <v>192</v>
      </c>
      <c r="C405" s="19" t="str">
        <f aca="false">IFERROR(INDEX('قائمة الوحدات'!$B$2:$B$41,MATCH($B405,'قائمة الوحدات'!$A$2:$A$41,0)),"")</f>
        <v>EXE</v>
      </c>
      <c r="D405" s="18" t="str">
        <f aca="false">IFERROR(INDEX('قائمة الوحدات'!$C$2:$C$41,MATCH($B405,'قائمة الوحدات'!$A$2:$A$41,0)),"")</f>
        <v>الشؤون التنفيذية</v>
      </c>
      <c r="E405" s="18" t="str">
        <f aca="false">IFERROR(INDEX('قائمة الوحدات'!$D$2:$D$41,MATCH($B405,'قائمة الوحدات'!$A$2:$A$41,0)),"")</f>
        <v>وكالة الرقابة والالتزام</v>
      </c>
      <c r="F405" s="18" t="str">
        <f aca="false">IFERROR(INDEX('قائمة الوحدات'!$F$2:$F$41,MATCH($B405,'قائمة الوحدات'!$A$2:$A$41,0)),"")</f>
        <v>وكالة الرقابة والالتزام</v>
      </c>
      <c r="G405" s="20" t="s">
        <v>62</v>
      </c>
      <c r="H405" s="18" t="str">
        <f aca="false">IFERROR(INDEX(المرجع!$A$2:$A$19,MATCH($G405,المرجع!$B$2:$B$19,0)),"")</f>
        <v>البناء المؤسسي</v>
      </c>
      <c r="I405" s="20" t="s">
        <v>55</v>
      </c>
      <c r="J405" s="18" t="str">
        <f aca="false">IFERROR(INDEX(المرجع!$D$2:$D$19,MATCH($I405,المرجع!$E$2:$E$19,0)),"")</f>
        <v>التنظيم</v>
      </c>
      <c r="K405" s="20" t="s">
        <v>102</v>
      </c>
      <c r="L405" s="21" t="str">
        <f aca="false">IFERROR(INDEX('نقاط التحقق'!$G$2:$G$31,MATCH($K405,'نقاط التحقق'!$A$2:$A$31,0))&amp;"","")</f>
        <v>هيكل تنظيمي معتمد من صاحب الصلاحية</v>
      </c>
      <c r="M405" s="18" t="str">
        <f aca="false">IFERROR(INDEX('نقاط التحقق'!$H$2:$H$31,MATCH($K405,'نقاط التحقق'!$A$2:$A$31,0))&amp;"","")</f>
        <v/>
      </c>
      <c r="N405" s="17" t="n">
        <v>85</v>
      </c>
      <c r="O405" s="17" t="n">
        <v>90</v>
      </c>
      <c r="P405" s="19" t="str">
        <f aca="false">IF($N405="","غير مقيّمة",IF($N405&gt;المرجع!$K$3,"مستوفاة بشكل متقدم",IF($N405&lt;=المرجع!$K$2,"مستوفاة بشكل أولي","مستوفاة بشكل جزئي")))</f>
        <v>مستوفاة بشكل متقدم</v>
      </c>
      <c r="Q405" s="22" t="s">
        <v>634</v>
      </c>
    </row>
    <row r="406" customFormat="false" ht="15" hidden="false" customHeight="true" outlineLevel="0" collapsed="false">
      <c r="A406" s="20" t="s">
        <v>800</v>
      </c>
      <c r="B406" s="20" t="s">
        <v>192</v>
      </c>
      <c r="C406" s="19" t="str">
        <f aca="false">IFERROR(INDEX('قائمة الوحدات'!$B$2:$B$41,MATCH($B406,'قائمة الوحدات'!$A$2:$A$41,0)),"")</f>
        <v>EXE</v>
      </c>
      <c r="D406" s="18" t="str">
        <f aca="false">IFERROR(INDEX('قائمة الوحدات'!$C$2:$C$41,MATCH($B406,'قائمة الوحدات'!$A$2:$A$41,0)),"")</f>
        <v>الشؤون التنفيذية</v>
      </c>
      <c r="E406" s="18" t="str">
        <f aca="false">IFERROR(INDEX('قائمة الوحدات'!$D$2:$D$41,MATCH($B406,'قائمة الوحدات'!$A$2:$A$41,0)),"")</f>
        <v>وكالة الرقابة والالتزام</v>
      </c>
      <c r="F406" s="18" t="str">
        <f aca="false">IFERROR(INDEX('قائمة الوحدات'!$F$2:$F$41,MATCH($B406,'قائمة الوحدات'!$A$2:$A$41,0)),"")</f>
        <v>وكالة الرقابة والالتزام</v>
      </c>
      <c r="G406" s="20" t="s">
        <v>62</v>
      </c>
      <c r="H406" s="18" t="str">
        <f aca="false">IFERROR(INDEX(المرجع!$A$2:$A$19,MATCH($G406,المرجع!$B$2:$B$19,0)),"")</f>
        <v>البناء المؤسسي</v>
      </c>
      <c r="I406" s="20" t="s">
        <v>55</v>
      </c>
      <c r="J406" s="18" t="str">
        <f aca="false">IFERROR(INDEX(المرجع!$D$2:$D$19,MATCH($I406,المرجع!$E$2:$E$19,0)),"")</f>
        <v>التنظيم</v>
      </c>
      <c r="K406" s="20" t="s">
        <v>104</v>
      </c>
      <c r="L406" s="21" t="str">
        <f aca="false">IFERROR(INDEX('نقاط التحقق'!$G$2:$G$31,MATCH($K406,'نقاط التحقق'!$A$2:$A$31,0))&amp;"","")</f>
        <v>هيكل تنظيمي منشأ على نظام القوى العاملة</v>
      </c>
      <c r="M406" s="18" t="str">
        <f aca="false">IFERROR(INDEX('نقاط التحقق'!$H$2:$H$31,MATCH($K406,'نقاط التحقق'!$A$2:$A$31,0))&amp;"","")</f>
        <v/>
      </c>
      <c r="N406" s="17" t="n">
        <v>65</v>
      </c>
      <c r="O406" s="17" t="n">
        <v>80</v>
      </c>
      <c r="P406" s="19" t="str">
        <f aca="false">IF($N406="","غير مقيّمة",IF($N406&gt;المرجع!$K$3,"مستوفاة بشكل متقدم",IF($N406&lt;=المرجع!$K$2,"مستوفاة بشكل أولي","مستوفاة بشكل جزئي")))</f>
        <v>مستوفاة بشكل جزئي</v>
      </c>
      <c r="Q406" s="22" t="s">
        <v>634</v>
      </c>
    </row>
    <row r="407" customFormat="false" ht="15" hidden="false" customHeight="true" outlineLevel="0" collapsed="false">
      <c r="A407" s="20" t="s">
        <v>801</v>
      </c>
      <c r="B407" s="20" t="s">
        <v>192</v>
      </c>
      <c r="C407" s="19" t="str">
        <f aca="false">IFERROR(INDEX('قائمة الوحدات'!$B$2:$B$41,MATCH($B407,'قائمة الوحدات'!$A$2:$A$41,0)),"")</f>
        <v>EXE</v>
      </c>
      <c r="D407" s="18" t="str">
        <f aca="false">IFERROR(INDEX('قائمة الوحدات'!$C$2:$C$41,MATCH($B407,'قائمة الوحدات'!$A$2:$A$41,0)),"")</f>
        <v>الشؤون التنفيذية</v>
      </c>
      <c r="E407" s="18" t="str">
        <f aca="false">IFERROR(INDEX('قائمة الوحدات'!$D$2:$D$41,MATCH($B407,'قائمة الوحدات'!$A$2:$A$41,0)),"")</f>
        <v>وكالة الرقابة والالتزام</v>
      </c>
      <c r="F407" s="18" t="str">
        <f aca="false">IFERROR(INDEX('قائمة الوحدات'!$F$2:$F$41,MATCH($B407,'قائمة الوحدات'!$A$2:$A$41,0)),"")</f>
        <v>وكالة الرقابة والالتزام</v>
      </c>
      <c r="G407" s="20" t="s">
        <v>62</v>
      </c>
      <c r="H407" s="18" t="str">
        <f aca="false">IFERROR(INDEX(المرجع!$A$2:$A$19,MATCH($G407,المرجع!$B$2:$B$19,0)),"")</f>
        <v>البناء المؤسسي</v>
      </c>
      <c r="I407" s="20" t="s">
        <v>55</v>
      </c>
      <c r="J407" s="18" t="str">
        <f aca="false">IFERROR(INDEX(المرجع!$D$2:$D$19,MATCH($I407,المرجع!$E$2:$E$19,0)),"")</f>
        <v>التنظيم</v>
      </c>
      <c r="K407" s="20" t="s">
        <v>106</v>
      </c>
      <c r="L407" s="21" t="str">
        <f aca="false">IFERROR(INDEX('نقاط التحقق'!$G$2:$G$31,MATCH($K407,'نقاط التحقق'!$A$2:$A$31,0))&amp;"","")</f>
        <v>الموظفون المحددون مسكّنون على الهيكل التنظيمي المستهدف</v>
      </c>
      <c r="M407" s="18" t="str">
        <f aca="false">IFERROR(INDEX('نقاط التحقق'!$H$2:$H$31,MATCH($K407,'نقاط التحقق'!$A$2:$A$31,0))&amp;"","")</f>
        <v/>
      </c>
      <c r="N407" s="17" t="n">
        <v>85</v>
      </c>
      <c r="O407" s="17" t="n">
        <v>100</v>
      </c>
      <c r="P407" s="19" t="str">
        <f aca="false">IF($N407="","غير مقيّمة",IF($N407&gt;المرجع!$K$3,"مستوفاة بشكل متقدم",IF($N407&lt;=المرجع!$K$2,"مستوفاة بشكل أولي","مستوفاة بشكل جزئي")))</f>
        <v>مستوفاة بشكل متقدم</v>
      </c>
      <c r="Q407" s="22" t="s">
        <v>634</v>
      </c>
    </row>
    <row r="408" customFormat="false" ht="15" hidden="false" customHeight="true" outlineLevel="0" collapsed="false">
      <c r="A408" s="20" t="s">
        <v>802</v>
      </c>
      <c r="B408" s="20" t="s">
        <v>192</v>
      </c>
      <c r="C408" s="19" t="str">
        <f aca="false">IFERROR(INDEX('قائمة الوحدات'!$B$2:$B$41,MATCH($B408,'قائمة الوحدات'!$A$2:$A$41,0)),"")</f>
        <v>EXE</v>
      </c>
      <c r="D408" s="18" t="str">
        <f aca="false">IFERROR(INDEX('قائمة الوحدات'!$C$2:$C$41,MATCH($B408,'قائمة الوحدات'!$A$2:$A$41,0)),"")</f>
        <v>الشؤون التنفيذية</v>
      </c>
      <c r="E408" s="18" t="str">
        <f aca="false">IFERROR(INDEX('قائمة الوحدات'!$D$2:$D$41,MATCH($B408,'قائمة الوحدات'!$A$2:$A$41,0)),"")</f>
        <v>وكالة الرقابة والالتزام</v>
      </c>
      <c r="F408" s="18" t="str">
        <f aca="false">IFERROR(INDEX('قائمة الوحدات'!$F$2:$F$41,MATCH($B408,'قائمة الوحدات'!$A$2:$A$41,0)),"")</f>
        <v>وكالة الرقابة والالتزام</v>
      </c>
      <c r="G408" s="20" t="s">
        <v>62</v>
      </c>
      <c r="H408" s="18" t="str">
        <f aca="false">IFERROR(INDEX(المرجع!$A$2:$A$19,MATCH($G408,المرجع!$B$2:$B$19,0)),"")</f>
        <v>البناء المؤسسي</v>
      </c>
      <c r="I408" s="20" t="s">
        <v>57</v>
      </c>
      <c r="J408" s="18" t="str">
        <f aca="false">IFERROR(INDEX(المرجع!$D$2:$D$19,MATCH($I408,المرجع!$E$2:$E$19,0)),"")</f>
        <v>الموارد</v>
      </c>
      <c r="K408" s="20" t="s">
        <v>108</v>
      </c>
      <c r="L408" s="21" t="str">
        <f aca="false">IFERROR(INDEX('نقاط التحقق'!$G$2:$G$31,MATCH($K408,'نقاط التحقق'!$A$2:$A$31,0))&amp;"","")</f>
        <v>مدير الوحدة التنظيمية والموظفون الرئيسيون معينون/ملحقون</v>
      </c>
      <c r="M408" s="18" t="str">
        <f aca="false">IFERROR(INDEX('نقاط التحقق'!$H$2:$H$31,MATCH($K408,'نقاط التحقق'!$A$2:$A$31,0))&amp;"","")</f>
        <v/>
      </c>
      <c r="N408" s="17" t="n">
        <v>85</v>
      </c>
      <c r="O408" s="17" t="n">
        <v>90</v>
      </c>
      <c r="P408" s="19" t="str">
        <f aca="false">IF($N408="","غير مقيّمة",IF($N408&gt;المرجع!$K$3,"مستوفاة بشكل متقدم",IF($N408&lt;=المرجع!$K$2,"مستوفاة بشكل أولي","مستوفاة بشكل جزئي")))</f>
        <v>مستوفاة بشكل متقدم</v>
      </c>
      <c r="Q408" s="22" t="s">
        <v>634</v>
      </c>
    </row>
    <row r="409" customFormat="false" ht="15" hidden="false" customHeight="true" outlineLevel="0" collapsed="false">
      <c r="A409" s="20" t="s">
        <v>803</v>
      </c>
      <c r="B409" s="20" t="s">
        <v>192</v>
      </c>
      <c r="C409" s="19" t="str">
        <f aca="false">IFERROR(INDEX('قائمة الوحدات'!$B$2:$B$41,MATCH($B409,'قائمة الوحدات'!$A$2:$A$41,0)),"")</f>
        <v>EXE</v>
      </c>
      <c r="D409" s="18" t="str">
        <f aca="false">IFERROR(INDEX('قائمة الوحدات'!$C$2:$C$41,MATCH($B409,'قائمة الوحدات'!$A$2:$A$41,0)),"")</f>
        <v>الشؤون التنفيذية</v>
      </c>
      <c r="E409" s="18" t="str">
        <f aca="false">IFERROR(INDEX('قائمة الوحدات'!$D$2:$D$41,MATCH($B409,'قائمة الوحدات'!$A$2:$A$41,0)),"")</f>
        <v>وكالة الرقابة والالتزام</v>
      </c>
      <c r="F409" s="18" t="str">
        <f aca="false">IFERROR(INDEX('قائمة الوحدات'!$F$2:$F$41,MATCH($B409,'قائمة الوحدات'!$A$2:$A$41,0)),"")</f>
        <v>وكالة الرقابة والالتزام</v>
      </c>
      <c r="G409" s="20" t="s">
        <v>62</v>
      </c>
      <c r="H409" s="18" t="str">
        <f aca="false">IFERROR(INDEX(المرجع!$A$2:$A$19,MATCH($G409,المرجع!$B$2:$B$19,0)),"")</f>
        <v>البناء المؤسسي</v>
      </c>
      <c r="I409" s="20" t="s">
        <v>57</v>
      </c>
      <c r="J409" s="18" t="str">
        <f aca="false">IFERROR(INDEX(المرجع!$D$2:$D$19,MATCH($I409,المرجع!$E$2:$E$19,0)),"")</f>
        <v>الموارد</v>
      </c>
      <c r="K409" s="20" t="s">
        <v>110</v>
      </c>
      <c r="L409" s="21" t="str">
        <f aca="false">IFERROR(INDEX('نقاط التحقق'!$G$2:$G$31,MATCH($K409,'نقاط التحقق'!$A$2:$A$31,0))&amp;"","")</f>
        <v>خطة توظيف وتدريب مستكملة</v>
      </c>
      <c r="M409" s="18" t="str">
        <f aca="false">IFERROR(INDEX('نقاط التحقق'!$H$2:$H$31,MATCH($K409,'نقاط التحقق'!$A$2:$A$31,0))&amp;"","")</f>
        <v/>
      </c>
      <c r="N409" s="17" t="n">
        <v>85</v>
      </c>
      <c r="O409" s="17" t="n">
        <v>85</v>
      </c>
      <c r="P409" s="19" t="str">
        <f aca="false">IF($N409="","غير مقيّمة",IF($N409&gt;المرجع!$K$3,"مستوفاة بشكل متقدم",IF($N409&lt;=المرجع!$K$2,"مستوفاة بشكل أولي","مستوفاة بشكل جزئي")))</f>
        <v>مستوفاة بشكل متقدم</v>
      </c>
      <c r="Q409" s="22" t="s">
        <v>634</v>
      </c>
    </row>
    <row r="410" customFormat="false" ht="15" hidden="false" customHeight="true" outlineLevel="0" collapsed="false">
      <c r="A410" s="20" t="s">
        <v>804</v>
      </c>
      <c r="B410" s="20" t="s">
        <v>192</v>
      </c>
      <c r="C410" s="19" t="str">
        <f aca="false">IFERROR(INDEX('قائمة الوحدات'!$B$2:$B$41,MATCH($B410,'قائمة الوحدات'!$A$2:$A$41,0)),"")</f>
        <v>EXE</v>
      </c>
      <c r="D410" s="18" t="str">
        <f aca="false">IFERROR(INDEX('قائمة الوحدات'!$C$2:$C$41,MATCH($B410,'قائمة الوحدات'!$A$2:$A$41,0)),"")</f>
        <v>الشؤون التنفيذية</v>
      </c>
      <c r="E410" s="18" t="str">
        <f aca="false">IFERROR(INDEX('قائمة الوحدات'!$D$2:$D$41,MATCH($B410,'قائمة الوحدات'!$A$2:$A$41,0)),"")</f>
        <v>وكالة الرقابة والالتزام</v>
      </c>
      <c r="F410" s="18" t="str">
        <f aca="false">IFERROR(INDEX('قائمة الوحدات'!$F$2:$F$41,MATCH($B410,'قائمة الوحدات'!$A$2:$A$41,0)),"")</f>
        <v>وكالة الرقابة والالتزام</v>
      </c>
      <c r="G410" s="20" t="s">
        <v>62</v>
      </c>
      <c r="H410" s="18" t="str">
        <f aca="false">IFERROR(INDEX(المرجع!$A$2:$A$19,MATCH($G410,المرجع!$B$2:$B$19,0)),"")</f>
        <v>البناء المؤسسي</v>
      </c>
      <c r="I410" s="20" t="s">
        <v>57</v>
      </c>
      <c r="J410" s="18" t="str">
        <f aca="false">IFERROR(INDEX(المرجع!$D$2:$D$19,MATCH($I410,المرجع!$E$2:$E$19,0)),"")</f>
        <v>الموارد</v>
      </c>
      <c r="K410" s="20" t="s">
        <v>112</v>
      </c>
      <c r="L410" s="21" t="str">
        <f aca="false">IFERROR(INDEX('نقاط التحقق'!$G$2:$G$31,MATCH($K410,'نقاط التحقق'!$A$2:$A$31,0))&amp;"","")</f>
        <v>وجود مساحات مكتبية كافية</v>
      </c>
      <c r="M410" s="18" t="str">
        <f aca="false">IFERROR(INDEX('نقاط التحقق'!$H$2:$H$31,MATCH($K410,'نقاط التحقق'!$A$2:$A$31,0))&amp;"","")</f>
        <v/>
      </c>
      <c r="N410" s="17" t="n">
        <v>80</v>
      </c>
      <c r="O410" s="17" t="n">
        <v>90</v>
      </c>
      <c r="P410" s="19" t="str">
        <f aca="false">IF($N410="","غير مقيّمة",IF($N410&gt;المرجع!$K$3,"مستوفاة بشكل متقدم",IF($N410&lt;=المرجع!$K$2,"مستوفاة بشكل أولي","مستوفاة بشكل جزئي")))</f>
        <v>مستوفاة بشكل متقدم</v>
      </c>
      <c r="Q410" s="22" t="s">
        <v>634</v>
      </c>
    </row>
    <row r="411" customFormat="false" ht="15" hidden="false" customHeight="true" outlineLevel="0" collapsed="false">
      <c r="A411" s="20" t="s">
        <v>805</v>
      </c>
      <c r="B411" s="20" t="s">
        <v>192</v>
      </c>
      <c r="C411" s="19" t="str">
        <f aca="false">IFERROR(INDEX('قائمة الوحدات'!$B$2:$B$41,MATCH($B411,'قائمة الوحدات'!$A$2:$A$41,0)),"")</f>
        <v>EXE</v>
      </c>
      <c r="D411" s="18" t="str">
        <f aca="false">IFERROR(INDEX('قائمة الوحدات'!$C$2:$C$41,MATCH($B411,'قائمة الوحدات'!$A$2:$A$41,0)),"")</f>
        <v>الشؤون التنفيذية</v>
      </c>
      <c r="E411" s="18" t="str">
        <f aca="false">IFERROR(INDEX('قائمة الوحدات'!$D$2:$D$41,MATCH($B411,'قائمة الوحدات'!$A$2:$A$41,0)),"")</f>
        <v>وكالة الرقابة والالتزام</v>
      </c>
      <c r="F411" s="18" t="str">
        <f aca="false">IFERROR(INDEX('قائمة الوحدات'!$F$2:$F$41,MATCH($B411,'قائمة الوحدات'!$A$2:$A$41,0)),"")</f>
        <v>وكالة الرقابة والالتزام</v>
      </c>
      <c r="G411" s="20" t="s">
        <v>62</v>
      </c>
      <c r="H411" s="18" t="str">
        <f aca="false">IFERROR(INDEX(المرجع!$A$2:$A$19,MATCH($G411,المرجع!$B$2:$B$19,0)),"")</f>
        <v>البناء المؤسسي</v>
      </c>
      <c r="I411" s="20" t="s">
        <v>57</v>
      </c>
      <c r="J411" s="18" t="str">
        <f aca="false">IFERROR(INDEX(المرجع!$D$2:$D$19,MATCH($I411,المرجع!$E$2:$E$19,0)),"")</f>
        <v>الموارد</v>
      </c>
      <c r="K411" s="20" t="s">
        <v>114</v>
      </c>
      <c r="L411" s="21" t="str">
        <f aca="false">IFERROR(INDEX('نقاط التحقق'!$G$2:$G$31,MATCH($K411,'نقاط التحقق'!$A$2:$A$31,0))&amp;"","")</f>
        <v>وجود الاحتياجات التقنية الأساسية</v>
      </c>
      <c r="M411" s="18" t="str">
        <f aca="false">IFERROR(INDEX('نقاط التحقق'!$H$2:$H$31,MATCH($K411,'نقاط التحقق'!$A$2:$A$31,0))&amp;"","")</f>
        <v/>
      </c>
      <c r="N411" s="17" t="n">
        <v>100</v>
      </c>
      <c r="O411" s="17" t="n">
        <v>100</v>
      </c>
      <c r="P411" s="19" t="str">
        <f aca="false">IF($N411="","غير مقيّمة",IF($N411&gt;المرجع!$K$3,"مستوفاة بشكل متقدم",IF($N411&lt;=المرجع!$K$2,"مستوفاة بشكل أولي","مستوفاة بشكل جزئي")))</f>
        <v>مستوفاة بشكل متقدم</v>
      </c>
      <c r="Q411" s="22" t="s">
        <v>634</v>
      </c>
    </row>
    <row r="412" customFormat="false" ht="15" hidden="false" customHeight="true" outlineLevel="0" collapsed="false">
      <c r="A412" s="20" t="s">
        <v>806</v>
      </c>
      <c r="B412" s="20" t="s">
        <v>192</v>
      </c>
      <c r="C412" s="19" t="str">
        <f aca="false">IFERROR(INDEX('قائمة الوحدات'!$B$2:$B$41,MATCH($B412,'قائمة الوحدات'!$A$2:$A$41,0)),"")</f>
        <v>EXE</v>
      </c>
      <c r="D412" s="18" t="str">
        <f aca="false">IFERROR(INDEX('قائمة الوحدات'!$C$2:$C$41,MATCH($B412,'قائمة الوحدات'!$A$2:$A$41,0)),"")</f>
        <v>الشؤون التنفيذية</v>
      </c>
      <c r="E412" s="18" t="str">
        <f aca="false">IFERROR(INDEX('قائمة الوحدات'!$D$2:$D$41,MATCH($B412,'قائمة الوحدات'!$A$2:$A$41,0)),"")</f>
        <v>وكالة الرقابة والالتزام</v>
      </c>
      <c r="F412" s="18" t="str">
        <f aca="false">IFERROR(INDEX('قائمة الوحدات'!$F$2:$F$41,MATCH($B412,'قائمة الوحدات'!$A$2:$A$41,0)),"")</f>
        <v>وكالة الرقابة والالتزام</v>
      </c>
      <c r="G412" s="20" t="s">
        <v>62</v>
      </c>
      <c r="H412" s="18" t="str">
        <f aca="false">IFERROR(INDEX(المرجع!$A$2:$A$19,MATCH($G412,المرجع!$B$2:$B$19,0)),"")</f>
        <v>البناء المؤسسي</v>
      </c>
      <c r="I412" s="20" t="s">
        <v>60</v>
      </c>
      <c r="J412" s="18" t="str">
        <f aca="false">IFERROR(INDEX(المرجع!$D$2:$D$19,MATCH($I412,المرجع!$E$2:$E$19,0)),"")</f>
        <v>الإجراءات</v>
      </c>
      <c r="K412" s="20" t="s">
        <v>116</v>
      </c>
      <c r="L412" s="21" t="str">
        <f aca="false">IFERROR(INDEX('نقاط التحقق'!$G$2:$G$31,MATCH($K412,'نقاط التحقق'!$A$2:$A$31,0))&amp;"","")</f>
        <v>إجراءات معتمدة للوحدة التنظيمية</v>
      </c>
      <c r="M412" s="18" t="str">
        <f aca="false">IFERROR(INDEX('نقاط التحقق'!$H$2:$H$31,MATCH($K412,'نقاط التحقق'!$A$2:$A$31,0))&amp;"","")</f>
        <v/>
      </c>
      <c r="N412" s="17" t="n">
        <v>58</v>
      </c>
      <c r="O412" s="17" t="n">
        <v>95</v>
      </c>
      <c r="P412" s="19" t="str">
        <f aca="false">IF($N412="","غير مقيّمة",IF($N412&gt;المرجع!$K$3,"مستوفاة بشكل متقدم",IF($N412&lt;=المرجع!$K$2,"مستوفاة بشكل أولي","مستوفاة بشكل جزئي")))</f>
        <v>مستوفاة بشكل جزئي</v>
      </c>
      <c r="Q412" s="22" t="s">
        <v>634</v>
      </c>
    </row>
    <row r="413" customFormat="false" ht="15" hidden="false" customHeight="true" outlineLevel="0" collapsed="false">
      <c r="A413" s="20" t="s">
        <v>807</v>
      </c>
      <c r="B413" s="20" t="s">
        <v>192</v>
      </c>
      <c r="C413" s="19" t="str">
        <f aca="false">IFERROR(INDEX('قائمة الوحدات'!$B$2:$B$41,MATCH($B413,'قائمة الوحدات'!$A$2:$A$41,0)),"")</f>
        <v>EXE</v>
      </c>
      <c r="D413" s="18" t="str">
        <f aca="false">IFERROR(INDEX('قائمة الوحدات'!$C$2:$C$41,MATCH($B413,'قائمة الوحدات'!$A$2:$A$41,0)),"")</f>
        <v>الشؤون التنفيذية</v>
      </c>
      <c r="E413" s="18" t="str">
        <f aca="false">IFERROR(INDEX('قائمة الوحدات'!$D$2:$D$41,MATCH($B413,'قائمة الوحدات'!$A$2:$A$41,0)),"")</f>
        <v>وكالة الرقابة والالتزام</v>
      </c>
      <c r="F413" s="18" t="str">
        <f aca="false">IFERROR(INDEX('قائمة الوحدات'!$F$2:$F$41,MATCH($B413,'قائمة الوحدات'!$A$2:$A$41,0)),"")</f>
        <v>وكالة الرقابة والالتزام</v>
      </c>
      <c r="G413" s="20" t="s">
        <v>62</v>
      </c>
      <c r="H413" s="18" t="str">
        <f aca="false">IFERROR(INDEX(المرجع!$A$2:$A$19,MATCH($G413,المرجع!$B$2:$B$19,0)),"")</f>
        <v>البناء المؤسسي</v>
      </c>
      <c r="I413" s="20" t="s">
        <v>69</v>
      </c>
      <c r="J413" s="18" t="str">
        <f aca="false">IFERROR(INDEX(المرجع!$D$2:$D$19,MATCH($I413,المرجع!$E$2:$E$19,0)),"")</f>
        <v>إنتاج المخرج الأول</v>
      </c>
      <c r="K413" s="20" t="s">
        <v>118</v>
      </c>
      <c r="L413" s="21" t="str">
        <f aca="false">IFERROR(INDEX('نقاط التحقق'!$G$2:$G$31,MATCH($K413,'نقاط التحقق'!$A$2:$A$31,0))&amp;"","")</f>
        <v>إنتاج المخرج الأول من قبل الوحدة التنظيمية</v>
      </c>
      <c r="M413" s="18" t="str">
        <f aca="false">IFERROR(INDEX('نقاط التحقق'!$H$2:$H$31,MATCH($K413,'نقاط التحقق'!$A$2:$A$31,0))&amp;"","")</f>
        <v/>
      </c>
      <c r="N413" s="17" t="n">
        <v>77</v>
      </c>
      <c r="O413" s="17" t="n">
        <v>95</v>
      </c>
      <c r="P413" s="19" t="str">
        <f aca="false">IF($N413="","غير مقيّمة",IF($N413&gt;المرجع!$K$3,"مستوفاة بشكل متقدم",IF($N413&lt;=المرجع!$K$2,"مستوفاة بشكل أولي","مستوفاة بشكل جزئي")))</f>
        <v>مستوفاة بشكل متقدم</v>
      </c>
      <c r="Q413" s="22" t="s">
        <v>634</v>
      </c>
    </row>
    <row r="414" customFormat="false" ht="15" hidden="false" customHeight="true" outlineLevel="0" collapsed="false">
      <c r="A414" s="20" t="s">
        <v>808</v>
      </c>
      <c r="B414" s="20" t="s">
        <v>192</v>
      </c>
      <c r="C414" s="19" t="str">
        <f aca="false">IFERROR(INDEX('قائمة الوحدات'!$B$2:$B$41,MATCH($B414,'قائمة الوحدات'!$A$2:$A$41,0)),"")</f>
        <v>EXE</v>
      </c>
      <c r="D414" s="18" t="str">
        <f aca="false">IFERROR(INDEX('قائمة الوحدات'!$C$2:$C$41,MATCH($B414,'قائمة الوحدات'!$A$2:$A$41,0)),"")</f>
        <v>الشؤون التنفيذية</v>
      </c>
      <c r="E414" s="18" t="str">
        <f aca="false">IFERROR(INDEX('قائمة الوحدات'!$D$2:$D$41,MATCH($B414,'قائمة الوحدات'!$A$2:$A$41,0)),"")</f>
        <v>وكالة الرقابة والالتزام</v>
      </c>
      <c r="F414" s="18" t="str">
        <f aca="false">IFERROR(INDEX('قائمة الوحدات'!$F$2:$F$41,MATCH($B414,'قائمة الوحدات'!$A$2:$A$41,0)),"")</f>
        <v>وكالة الرقابة والالتزام</v>
      </c>
      <c r="G414" s="20" t="s">
        <v>66</v>
      </c>
      <c r="H414" s="18" t="str">
        <f aca="false">IFERROR(INDEX(المرجع!$A$2:$A$19,MATCH($G414,المرجع!$B$2:$B$19,0)),"")</f>
        <v>التشغيل</v>
      </c>
      <c r="I414" s="20" t="s">
        <v>49</v>
      </c>
      <c r="J414" s="18" t="str">
        <f aca="false">IFERROR(INDEX(المرجع!$D$2:$D$19,MATCH($I414,المرجع!$E$2:$E$19,0)),"")</f>
        <v>الأهداف ومؤشرات الأداء</v>
      </c>
      <c r="K414" s="20" t="s">
        <v>120</v>
      </c>
      <c r="L414" s="21" t="str">
        <f aca="false">IFERROR(INDEX('نقاط التحقق'!$G$2:$G$31,MATCH($K414,'نقاط التحقق'!$A$2:$A$31,0))&amp;"","")</f>
        <v>تحرك مؤشرات الأداء التشغيلي للوحدة التنظيمية بشكل إيجابي</v>
      </c>
      <c r="M414" s="18" t="str">
        <f aca="false">IFERROR(INDEX('نقاط التحقق'!$H$2:$H$31,MATCH($K414,'نقاط التحقق'!$A$2:$A$31,0))&amp;"","")</f>
        <v/>
      </c>
      <c r="N414" s="17" t="n">
        <v>50</v>
      </c>
      <c r="O414" s="17" t="n">
        <v>100</v>
      </c>
      <c r="P414" s="19" t="str">
        <f aca="false">IF($N414="","غير مقيّمة",IF($N414&gt;المرجع!$K$3,"مستوفاة بشكل متقدم",IF($N414&lt;=المرجع!$K$2,"مستوفاة بشكل أولي","مستوفاة بشكل جزئي")))</f>
        <v>مستوفاة بشكل جزئي</v>
      </c>
      <c r="Q414" s="22" t="s">
        <v>634</v>
      </c>
    </row>
    <row r="415" customFormat="false" ht="15" hidden="false" customHeight="true" outlineLevel="0" collapsed="false">
      <c r="A415" s="20" t="s">
        <v>809</v>
      </c>
      <c r="B415" s="20" t="s">
        <v>192</v>
      </c>
      <c r="C415" s="19" t="str">
        <f aca="false">IFERROR(INDEX('قائمة الوحدات'!$B$2:$B$41,MATCH($B415,'قائمة الوحدات'!$A$2:$A$41,0)),"")</f>
        <v>EXE</v>
      </c>
      <c r="D415" s="18" t="str">
        <f aca="false">IFERROR(INDEX('قائمة الوحدات'!$C$2:$C$41,MATCH($B415,'قائمة الوحدات'!$A$2:$A$41,0)),"")</f>
        <v>الشؤون التنفيذية</v>
      </c>
      <c r="E415" s="18" t="str">
        <f aca="false">IFERROR(INDEX('قائمة الوحدات'!$D$2:$D$41,MATCH($B415,'قائمة الوحدات'!$A$2:$A$41,0)),"")</f>
        <v>وكالة الرقابة والالتزام</v>
      </c>
      <c r="F415" s="18" t="str">
        <f aca="false">IFERROR(INDEX('قائمة الوحدات'!$F$2:$F$41,MATCH($B415,'قائمة الوحدات'!$A$2:$A$41,0)),"")</f>
        <v>وكالة الرقابة والالتزام</v>
      </c>
      <c r="G415" s="20" t="s">
        <v>66</v>
      </c>
      <c r="H415" s="18" t="str">
        <f aca="false">IFERROR(INDEX(المرجع!$A$2:$A$19,MATCH($G415,المرجع!$B$2:$B$19,0)),"")</f>
        <v>التشغيل</v>
      </c>
      <c r="I415" s="20" t="s">
        <v>49</v>
      </c>
      <c r="J415" s="18" t="str">
        <f aca="false">IFERROR(INDEX(المرجع!$D$2:$D$19,MATCH($I415,المرجع!$E$2:$E$19,0)),"")</f>
        <v>الأهداف ومؤشرات الأداء</v>
      </c>
      <c r="K415" s="20" t="s">
        <v>122</v>
      </c>
      <c r="L415" s="21" t="str">
        <f aca="false">IFERROR(INDEX('نقاط التحقق'!$G$2:$G$31,MATCH($K415,'نقاط التحقق'!$A$2:$A$31,0))&amp;"","")</f>
        <v>خطة سنوية معتمدة للوحدة التنظيمية</v>
      </c>
      <c r="M415" s="18" t="str">
        <f aca="false">IFERROR(INDEX('نقاط التحقق'!$H$2:$H$31,MATCH($K415,'نقاط التحقق'!$A$2:$A$31,0))&amp;"","")</f>
        <v/>
      </c>
      <c r="N415" s="17" t="n">
        <v>60</v>
      </c>
      <c r="O415" s="17" t="n">
        <v>80</v>
      </c>
      <c r="P415" s="19" t="str">
        <f aca="false">IF($N415="","غير مقيّمة",IF($N415&gt;المرجع!$K$3,"مستوفاة بشكل متقدم",IF($N415&lt;=المرجع!$K$2,"مستوفاة بشكل أولي","مستوفاة بشكل جزئي")))</f>
        <v>مستوفاة بشكل جزئي</v>
      </c>
      <c r="Q415" s="22" t="s">
        <v>634</v>
      </c>
    </row>
    <row r="416" customFormat="false" ht="15" hidden="false" customHeight="true" outlineLevel="0" collapsed="false">
      <c r="A416" s="20" t="s">
        <v>810</v>
      </c>
      <c r="B416" s="20" t="s">
        <v>192</v>
      </c>
      <c r="C416" s="19" t="str">
        <f aca="false">IFERROR(INDEX('قائمة الوحدات'!$B$2:$B$41,MATCH($B416,'قائمة الوحدات'!$A$2:$A$41,0)),"")</f>
        <v>EXE</v>
      </c>
      <c r="D416" s="18" t="str">
        <f aca="false">IFERROR(INDEX('قائمة الوحدات'!$C$2:$C$41,MATCH($B416,'قائمة الوحدات'!$A$2:$A$41,0)),"")</f>
        <v>الشؤون التنفيذية</v>
      </c>
      <c r="E416" s="18" t="str">
        <f aca="false">IFERROR(INDEX('قائمة الوحدات'!$D$2:$D$41,MATCH($B416,'قائمة الوحدات'!$A$2:$A$41,0)),"")</f>
        <v>وكالة الرقابة والالتزام</v>
      </c>
      <c r="F416" s="18" t="str">
        <f aca="false">IFERROR(INDEX('قائمة الوحدات'!$F$2:$F$41,MATCH($B416,'قائمة الوحدات'!$A$2:$A$41,0)),"")</f>
        <v>وكالة الرقابة والالتزام</v>
      </c>
      <c r="G416" s="20" t="s">
        <v>66</v>
      </c>
      <c r="H416" s="18" t="str">
        <f aca="false">IFERROR(INDEX(المرجع!$A$2:$A$19,MATCH($G416,المرجع!$B$2:$B$19,0)),"")</f>
        <v>التشغيل</v>
      </c>
      <c r="I416" s="20" t="s">
        <v>52</v>
      </c>
      <c r="J416" s="18" t="str">
        <f aca="false">IFERROR(INDEX(المرجع!$D$2:$D$19,MATCH($I416,المرجع!$E$2:$E$19,0)),"")</f>
        <v>الحوكمة</v>
      </c>
      <c r="K416" s="20" t="s">
        <v>124</v>
      </c>
      <c r="L416" s="21" t="str">
        <f aca="false">IFERROR(INDEX('نقاط التحقق'!$G$2:$G$31,MATCH($K416,'نقاط التحقق'!$A$2:$A$31,0))&amp;"","")</f>
        <v>محاضر لجان موثقة</v>
      </c>
      <c r="M416" s="18" t="str">
        <f aca="false">IFERROR(INDEX('نقاط التحقق'!$H$2:$H$31,MATCH($K416,'نقاط التحقق'!$A$2:$A$31,0))&amp;"","")</f>
        <v/>
      </c>
      <c r="N416" s="17" t="n">
        <v>5</v>
      </c>
      <c r="O416" s="17" t="n">
        <v>95</v>
      </c>
      <c r="P416" s="19" t="str">
        <f aca="false">IF($N416="","غير مقيّمة",IF($N416&gt;المرجع!$K$3,"مستوفاة بشكل متقدم",IF($N416&lt;=المرجع!$K$2,"مستوفاة بشكل أولي","مستوفاة بشكل جزئي")))</f>
        <v>مستوفاة بشكل أولي</v>
      </c>
      <c r="Q416" s="22" t="s">
        <v>634</v>
      </c>
    </row>
    <row r="417" customFormat="false" ht="15" hidden="false" customHeight="true" outlineLevel="0" collapsed="false">
      <c r="A417" s="20" t="s">
        <v>811</v>
      </c>
      <c r="B417" s="20" t="s">
        <v>192</v>
      </c>
      <c r="C417" s="19" t="str">
        <f aca="false">IFERROR(INDEX('قائمة الوحدات'!$B$2:$B$41,MATCH($B417,'قائمة الوحدات'!$A$2:$A$41,0)),"")</f>
        <v>EXE</v>
      </c>
      <c r="D417" s="18" t="str">
        <f aca="false">IFERROR(INDEX('قائمة الوحدات'!$C$2:$C$41,MATCH($B417,'قائمة الوحدات'!$A$2:$A$41,0)),"")</f>
        <v>الشؤون التنفيذية</v>
      </c>
      <c r="E417" s="18" t="str">
        <f aca="false">IFERROR(INDEX('قائمة الوحدات'!$D$2:$D$41,MATCH($B417,'قائمة الوحدات'!$A$2:$A$41,0)),"")</f>
        <v>وكالة الرقابة والالتزام</v>
      </c>
      <c r="F417" s="18" t="str">
        <f aca="false">IFERROR(INDEX('قائمة الوحدات'!$F$2:$F$41,MATCH($B417,'قائمة الوحدات'!$A$2:$A$41,0)),"")</f>
        <v>وكالة الرقابة والالتزام</v>
      </c>
      <c r="G417" s="20" t="s">
        <v>66</v>
      </c>
      <c r="H417" s="18" t="str">
        <f aca="false">IFERROR(INDEX(المرجع!$A$2:$A$19,MATCH($G417,المرجع!$B$2:$B$19,0)),"")</f>
        <v>التشغيل</v>
      </c>
      <c r="I417" s="20" t="s">
        <v>52</v>
      </c>
      <c r="J417" s="18" t="str">
        <f aca="false">IFERROR(INDEX(المرجع!$D$2:$D$19,MATCH($I417,المرجع!$E$2:$E$19,0)),"")</f>
        <v>الحوكمة</v>
      </c>
      <c r="K417" s="20" t="s">
        <v>126</v>
      </c>
      <c r="L417" s="21" t="str">
        <f aca="false">IFERROR(INDEX('نقاط التحقق'!$G$2:$G$31,MATCH($K417,'نقاط التحقق'!$A$2:$A$31,0))&amp;"","")</f>
        <v>نشر السياسات التي تملكها الوحدة التنظيمية</v>
      </c>
      <c r="M417" s="18" t="str">
        <f aca="false">IFERROR(INDEX('نقاط التحقق'!$H$2:$H$31,MATCH($K417,'نقاط التحقق'!$A$2:$A$31,0))&amp;"","")</f>
        <v/>
      </c>
      <c r="N417" s="17" t="n">
        <v>10</v>
      </c>
      <c r="O417" s="17" t="n">
        <v>90</v>
      </c>
      <c r="P417" s="19" t="str">
        <f aca="false">IF($N417="","غير مقيّمة",IF($N417&gt;المرجع!$K$3,"مستوفاة بشكل متقدم",IF($N417&lt;=المرجع!$K$2,"مستوفاة بشكل أولي","مستوفاة بشكل جزئي")))</f>
        <v>مستوفاة بشكل أولي</v>
      </c>
      <c r="Q417" s="22" t="s">
        <v>634</v>
      </c>
    </row>
    <row r="418" customFormat="false" ht="15" hidden="false" customHeight="true" outlineLevel="0" collapsed="false">
      <c r="A418" s="20" t="s">
        <v>812</v>
      </c>
      <c r="B418" s="20" t="s">
        <v>192</v>
      </c>
      <c r="C418" s="19" t="str">
        <f aca="false">IFERROR(INDEX('قائمة الوحدات'!$B$2:$B$41,MATCH($B418,'قائمة الوحدات'!$A$2:$A$41,0)),"")</f>
        <v>EXE</v>
      </c>
      <c r="D418" s="18" t="str">
        <f aca="false">IFERROR(INDEX('قائمة الوحدات'!$C$2:$C$41,MATCH($B418,'قائمة الوحدات'!$A$2:$A$41,0)),"")</f>
        <v>الشؤون التنفيذية</v>
      </c>
      <c r="E418" s="18" t="str">
        <f aca="false">IFERROR(INDEX('قائمة الوحدات'!$D$2:$D$41,MATCH($B418,'قائمة الوحدات'!$A$2:$A$41,0)),"")</f>
        <v>وكالة الرقابة والالتزام</v>
      </c>
      <c r="F418" s="18" t="str">
        <f aca="false">IFERROR(INDEX('قائمة الوحدات'!$F$2:$F$41,MATCH($B418,'قائمة الوحدات'!$A$2:$A$41,0)),"")</f>
        <v>وكالة الرقابة والالتزام</v>
      </c>
      <c r="G418" s="20" t="s">
        <v>66</v>
      </c>
      <c r="H418" s="18" t="str">
        <f aca="false">IFERROR(INDEX(المرجع!$A$2:$A$19,MATCH($G418,المرجع!$B$2:$B$19,0)),"")</f>
        <v>التشغيل</v>
      </c>
      <c r="I418" s="20" t="s">
        <v>52</v>
      </c>
      <c r="J418" s="18" t="str">
        <f aca="false">IFERROR(INDEX(المرجع!$D$2:$D$19,MATCH($I418,المرجع!$E$2:$E$19,0)),"")</f>
        <v>الحوكمة</v>
      </c>
      <c r="K418" s="20" t="s">
        <v>128</v>
      </c>
      <c r="L418" s="21" t="str">
        <f aca="false">IFERROR(INDEX('نقاط التحقق'!$G$2:$G$31,MATCH($K418,'نقاط التحقق'!$A$2:$A$31,0))&amp;"","")</f>
        <v>اتخاذ القرارات في نطاق الصلاحيات (وجود شواهد)</v>
      </c>
      <c r="M418" s="18" t="str">
        <f aca="false">IFERROR(INDEX('نقاط التحقق'!$H$2:$H$31,MATCH($K418,'نقاط التحقق'!$A$2:$A$31,0))&amp;"","")</f>
        <v/>
      </c>
      <c r="N418" s="17" t="n">
        <v>35</v>
      </c>
      <c r="O418" s="17" t="n">
        <v>100</v>
      </c>
      <c r="P418" s="19" t="str">
        <f aca="false">IF($N418="","غير مقيّمة",IF($N418&gt;المرجع!$K$3,"مستوفاة بشكل متقدم",IF($N418&lt;=المرجع!$K$2,"مستوفاة بشكل أولي","مستوفاة بشكل جزئي")))</f>
        <v>مستوفاة بشكل جزئي</v>
      </c>
      <c r="Q418" s="22" t="s">
        <v>634</v>
      </c>
    </row>
    <row r="419" customFormat="false" ht="15" hidden="false" customHeight="true" outlineLevel="0" collapsed="false">
      <c r="A419" s="20" t="s">
        <v>813</v>
      </c>
      <c r="B419" s="20" t="s">
        <v>192</v>
      </c>
      <c r="C419" s="19" t="str">
        <f aca="false">IFERROR(INDEX('قائمة الوحدات'!$B$2:$B$41,MATCH($B419,'قائمة الوحدات'!$A$2:$A$41,0)),"")</f>
        <v>EXE</v>
      </c>
      <c r="D419" s="18" t="str">
        <f aca="false">IFERROR(INDEX('قائمة الوحدات'!$C$2:$C$41,MATCH($B419,'قائمة الوحدات'!$A$2:$A$41,0)),"")</f>
        <v>الشؤون التنفيذية</v>
      </c>
      <c r="E419" s="18" t="str">
        <f aca="false">IFERROR(INDEX('قائمة الوحدات'!$D$2:$D$41,MATCH($B419,'قائمة الوحدات'!$A$2:$A$41,0)),"")</f>
        <v>وكالة الرقابة والالتزام</v>
      </c>
      <c r="F419" s="18" t="str">
        <f aca="false">IFERROR(INDEX('قائمة الوحدات'!$F$2:$F$41,MATCH($B419,'قائمة الوحدات'!$A$2:$A$41,0)),"")</f>
        <v>وكالة الرقابة والالتزام</v>
      </c>
      <c r="G419" s="20" t="s">
        <v>66</v>
      </c>
      <c r="H419" s="18" t="str">
        <f aca="false">IFERROR(INDEX(المرجع!$A$2:$A$19,MATCH($G419,المرجع!$B$2:$B$19,0)),"")</f>
        <v>التشغيل</v>
      </c>
      <c r="I419" s="20" t="s">
        <v>57</v>
      </c>
      <c r="J419" s="18" t="str">
        <f aca="false">IFERROR(INDEX(المرجع!$D$2:$D$19,MATCH($I419,المرجع!$E$2:$E$19,0)),"")</f>
        <v>الموارد</v>
      </c>
      <c r="K419" s="20" t="s">
        <v>130</v>
      </c>
      <c r="L419" s="21" t="str">
        <f aca="false">IFERROR(INDEX('نقاط التحقق'!$G$2:$G$31,MATCH($K419,'نقاط التحقق'!$A$2:$A$31,0))&amp;"","")</f>
        <v>موارد مستكملة للحد الأدنى الذي يغطي كافة محاور سلسلة القيمة</v>
      </c>
      <c r="M419" s="18" t="str">
        <f aca="false">IFERROR(INDEX('نقاط التحقق'!$H$2:$H$31,MATCH($K419,'نقاط التحقق'!$A$2:$A$31,0))&amp;"","")</f>
        <v/>
      </c>
      <c r="N419" s="17" t="n">
        <v>62</v>
      </c>
      <c r="O419" s="17" t="n">
        <v>100</v>
      </c>
      <c r="P419" s="19" t="str">
        <f aca="false">IF($N419="","غير مقيّمة",IF($N419&gt;المرجع!$K$3,"مستوفاة بشكل متقدم",IF($N419&lt;=المرجع!$K$2,"مستوفاة بشكل أولي","مستوفاة بشكل جزئي")))</f>
        <v>مستوفاة بشكل جزئي</v>
      </c>
      <c r="Q419" s="22" t="s">
        <v>634</v>
      </c>
    </row>
    <row r="420" customFormat="false" ht="15" hidden="false" customHeight="true" outlineLevel="0" collapsed="false">
      <c r="A420" s="20" t="s">
        <v>814</v>
      </c>
      <c r="B420" s="20" t="s">
        <v>192</v>
      </c>
      <c r="C420" s="19" t="str">
        <f aca="false">IFERROR(INDEX('قائمة الوحدات'!$B$2:$B$41,MATCH($B420,'قائمة الوحدات'!$A$2:$A$41,0)),"")</f>
        <v>EXE</v>
      </c>
      <c r="D420" s="18" t="str">
        <f aca="false">IFERROR(INDEX('قائمة الوحدات'!$C$2:$C$41,MATCH($B420,'قائمة الوحدات'!$A$2:$A$41,0)),"")</f>
        <v>الشؤون التنفيذية</v>
      </c>
      <c r="E420" s="18" t="str">
        <f aca="false">IFERROR(INDEX('قائمة الوحدات'!$D$2:$D$41,MATCH($B420,'قائمة الوحدات'!$A$2:$A$41,0)),"")</f>
        <v>وكالة الرقابة والالتزام</v>
      </c>
      <c r="F420" s="18" t="str">
        <f aca="false">IFERROR(INDEX('قائمة الوحدات'!$F$2:$F$41,MATCH($B420,'قائمة الوحدات'!$A$2:$A$41,0)),"")</f>
        <v>وكالة الرقابة والالتزام</v>
      </c>
      <c r="G420" s="20" t="s">
        <v>66</v>
      </c>
      <c r="H420" s="18" t="str">
        <f aca="false">IFERROR(INDEX(المرجع!$A$2:$A$19,MATCH($G420,المرجع!$B$2:$B$19,0)),"")</f>
        <v>التشغيل</v>
      </c>
      <c r="I420" s="20" t="s">
        <v>60</v>
      </c>
      <c r="J420" s="18" t="str">
        <f aca="false">IFERROR(INDEX(المرجع!$D$2:$D$19,MATCH($I420,المرجع!$E$2:$E$19,0)),"")</f>
        <v>الإجراءات</v>
      </c>
      <c r="K420" s="20" t="s">
        <v>132</v>
      </c>
      <c r="L420" s="21" t="str">
        <f aca="false">IFERROR(INDEX('نقاط التحقق'!$G$2:$G$31,MATCH($K420,'نقاط التحقق'!$A$2:$A$31,0))&amp;"","")</f>
        <v>تحقيق تقييم "مطبق بشكل كامل" من منهجية تقييم فعالية الإجراءات</v>
      </c>
      <c r="M420" s="18" t="str">
        <f aca="false">IFERROR(INDEX('نقاط التحقق'!$H$2:$H$31,MATCH($K420,'نقاط التحقق'!$A$2:$A$31,0))&amp;"","")</f>
        <v/>
      </c>
      <c r="N420" s="17" t="n">
        <v>33</v>
      </c>
      <c r="O420" s="17" t="n">
        <v>90</v>
      </c>
      <c r="P420" s="19" t="str">
        <f aca="false">IF($N420="","غير مقيّمة",IF($N420&gt;المرجع!$K$3,"مستوفاة بشكل متقدم",IF($N420&lt;=المرجع!$K$2,"مستوفاة بشكل أولي","مستوفاة بشكل جزئي")))</f>
        <v>مستوفاة بشكل جزئي</v>
      </c>
      <c r="Q420" s="22" t="s">
        <v>634</v>
      </c>
    </row>
    <row r="421" customFormat="false" ht="15" hidden="false" customHeight="true" outlineLevel="0" collapsed="false">
      <c r="A421" s="20" t="s">
        <v>815</v>
      </c>
      <c r="B421" s="20" t="s">
        <v>192</v>
      </c>
      <c r="C421" s="19" t="str">
        <f aca="false">IFERROR(INDEX('قائمة الوحدات'!$B$2:$B$41,MATCH($B421,'قائمة الوحدات'!$A$2:$A$41,0)),"")</f>
        <v>EXE</v>
      </c>
      <c r="D421" s="18" t="str">
        <f aca="false">IFERROR(INDEX('قائمة الوحدات'!$C$2:$C$41,MATCH($B421,'قائمة الوحدات'!$A$2:$A$41,0)),"")</f>
        <v>الشؤون التنفيذية</v>
      </c>
      <c r="E421" s="18" t="str">
        <f aca="false">IFERROR(INDEX('قائمة الوحدات'!$D$2:$D$41,MATCH($B421,'قائمة الوحدات'!$A$2:$A$41,0)),"")</f>
        <v>وكالة الرقابة والالتزام</v>
      </c>
      <c r="F421" s="18" t="str">
        <f aca="false">IFERROR(INDEX('قائمة الوحدات'!$F$2:$F$41,MATCH($B421,'قائمة الوحدات'!$A$2:$A$41,0)),"")</f>
        <v>وكالة الرقابة والالتزام</v>
      </c>
      <c r="G421" s="20" t="s">
        <v>66</v>
      </c>
      <c r="H421" s="18" t="str">
        <f aca="false">IFERROR(INDEX(المرجع!$A$2:$A$19,MATCH($G421,المرجع!$B$2:$B$19,0)),"")</f>
        <v>التشغيل</v>
      </c>
      <c r="I421" s="20" t="s">
        <v>71</v>
      </c>
      <c r="J421" s="18" t="str">
        <f aca="false">IFERROR(INDEX(المرجع!$D$2:$D$19,MATCH($I421,المرجع!$E$2:$E$19,0)),"")</f>
        <v>اكتمال المخرجات المستهدفة</v>
      </c>
      <c r="K421" s="20" t="s">
        <v>134</v>
      </c>
      <c r="L421" s="21" t="str">
        <f aca="false">IFERROR(INDEX('نقاط التحقق'!$G$2:$G$31,MATCH($K421,'نقاط التحقق'!$A$2:$A$31,0))&amp;"","")</f>
        <v>اكتمال مخرجات النموذج التشغيلي المستهدف للوحدة التنظيمية</v>
      </c>
      <c r="M421" s="18" t="str">
        <f aca="false">IFERROR(INDEX('نقاط التحقق'!$H$2:$H$31,MATCH($K421,'نقاط التحقق'!$A$2:$A$31,0))&amp;"","")</f>
        <v/>
      </c>
      <c r="N421" s="17" t="n">
        <v>56</v>
      </c>
      <c r="O421" s="17" t="n">
        <v>100</v>
      </c>
      <c r="P421" s="19" t="str">
        <f aca="false">IF($N421="","غير مقيّمة",IF($N421&gt;المرجع!$K$3,"مستوفاة بشكل متقدم",IF($N421&lt;=المرجع!$K$2,"مستوفاة بشكل أولي","مستوفاة بشكل جزئي")))</f>
        <v>مستوفاة بشكل جزئي</v>
      </c>
      <c r="Q421" s="22" t="s">
        <v>634</v>
      </c>
    </row>
  </sheetData>
  <autoFilter ref="A1:Q421"/>
  <conditionalFormatting sqref="N2:N421">
    <cfRule type="cellIs" priority="2" operator="greaterThan" aboveAverage="0" equalAverage="0" bottom="0" percent="0" rank="0" text="" dxfId="10">
      <formula>70</formula>
    </cfRule>
    <cfRule type="cellIs" priority="3" operator="lessThanOrEqual" aboveAverage="0" equalAverage="0" bottom="0" percent="0" rank="0" text="" dxfId="11">
      <formula>30</formula>
    </cfRule>
  </conditionalFormatting>
  <conditionalFormatting sqref="O2:O421">
    <cfRule type="cellIs" priority="4" operator="equal" aboveAverage="0" equalAverage="0" bottom="0" percent="0" rank="0" text="" dxfId="10">
      <formula>"مستوفاة بشكل متقدم"</formula>
    </cfRule>
    <cfRule type="cellIs" priority="5" operator="equal" aboveAverage="0" equalAverage="0" bottom="0" percent="0" rank="0" text="" dxfId="12">
      <formula>"مستوفاة بشكل جزئي"</formula>
    </cfRule>
    <cfRule type="cellIs" priority="6" operator="equal" aboveAverage="0" equalAverage="0" bottom="0" percent="0" rank="0" text="" dxfId="11">
      <formula>"مستوفاة بشكل أولي"</formula>
    </cfRule>
  </conditionalFormatting>
  <dataValidations count="1">
    <dataValidation allowBlank="true" error="أدخل نسبة صحيحة بين ٠ و ١٠٠" errorStyle="stop" errorTitle="قيمة غير صحيحة" operator="between" showDropDown="false" showErrorMessage="false" showInputMessage="false" sqref="N2:O421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L17" activeCellId="0" sqref="L1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3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26"/>
    <col collapsed="false" customWidth="true" hidden="false" outlineLevel="0" max="11" min="11" style="1" width="16"/>
    <col collapsed="false" customWidth="true" hidden="false" outlineLevel="0" max="12" min="12" style="1" width="62"/>
    <col collapsed="false" customWidth="true" hidden="false" outlineLevel="0" max="13" min="13" style="1" width="17"/>
    <col collapsed="false" customWidth="true" hidden="false" outlineLevel="0" max="14" min="14" style="1" width="18"/>
    <col collapsed="false" customWidth="true" hidden="false" outlineLevel="0" max="15" min="15" style="1" width="42"/>
  </cols>
  <sheetData>
    <row r="1" customFormat="false" ht="36" hidden="false" customHeight="true" outlineLevel="0" collapsed="false">
      <c r="A1" s="5" t="s">
        <v>238</v>
      </c>
      <c r="B1" s="5" t="s">
        <v>136</v>
      </c>
      <c r="C1" s="5" t="s">
        <v>137</v>
      </c>
      <c r="D1" s="5" t="s">
        <v>239</v>
      </c>
      <c r="E1" s="5" t="s">
        <v>139</v>
      </c>
      <c r="F1" s="5" t="s">
        <v>140</v>
      </c>
      <c r="G1" s="5" t="s">
        <v>34</v>
      </c>
      <c r="H1" s="5" t="s">
        <v>33</v>
      </c>
      <c r="I1" s="5" t="s">
        <v>37</v>
      </c>
      <c r="J1" s="5" t="s">
        <v>36</v>
      </c>
      <c r="K1" s="5" t="s">
        <v>72</v>
      </c>
      <c r="L1" s="5" t="s">
        <v>74</v>
      </c>
      <c r="M1" s="15" t="s">
        <v>240</v>
      </c>
      <c r="N1" s="15" t="s">
        <v>241</v>
      </c>
      <c r="O1" s="5" t="s">
        <v>242</v>
      </c>
      <c r="P1" s="15" t="s">
        <v>243</v>
      </c>
    </row>
    <row r="2" customFormat="false" ht="15" hidden="false" customHeight="true" outlineLevel="0" collapsed="false">
      <c r="A2" s="20" t="s">
        <v>816</v>
      </c>
      <c r="B2" s="20" t="s">
        <v>194</v>
      </c>
      <c r="C2" s="19" t="str">
        <f aca="false">IFERROR(INDEX('قائمة الوحدات'!$B$2:$B$41,MATCH($B2,'قائمة الوحدات'!$A$2:$A$41,0)),"")</f>
        <v>MIL</v>
      </c>
      <c r="D2" s="18" t="str">
        <f aca="false">IFERROR(INDEX('قائمة الوحدات'!$C$2:$C$41,MATCH($B2,'قائمة الوحدات'!$A$2:$A$41,0)),"")</f>
        <v>الجهاز العسكري</v>
      </c>
      <c r="E2" s="18" t="str">
        <f aca="false">IFERROR(INDEX('قائمة الوحدات'!$D$2:$D$41,MATCH($B2,'قائمة الوحدات'!$A$2:$A$41,0)),"")</f>
        <v>هيئة الأركان</v>
      </c>
      <c r="F2" s="18" t="str">
        <f aca="false">IFERROR(INDEX('قائمة الوحدات'!$F$2:$F$41,MATCH($B2,'قائمة الوحدات'!$A$2:$A$41,0)),"")</f>
        <v>هيئة الأركان</v>
      </c>
      <c r="G2" s="20" t="s">
        <v>44</v>
      </c>
      <c r="H2" s="18" t="str">
        <f aca="false">IFERROR(INDEX(المرجع!$A$2:$A$19,MATCH($G2,المرجع!$B$2:$B$19,0)),"")</f>
        <v>التصميم</v>
      </c>
      <c r="I2" s="20" t="s">
        <v>46</v>
      </c>
      <c r="J2" s="18" t="str">
        <f aca="false">IFERROR(INDEX(المرجع!$D$2:$D$19,MATCH($I2,المرجع!$E$2:$E$19,0)),"")</f>
        <v>الدور</v>
      </c>
      <c r="K2" s="20" t="s">
        <v>76</v>
      </c>
      <c r="L2" s="21" t="str">
        <f aca="false">IFERROR(INDEX('نقاط التحقق'!$G$2:$G$31,MATCH($K2,'نقاط التحقق'!$A$2:$A$31,0))&amp;"","")</f>
        <v>دور مفصل للوحدة التنظيمية</v>
      </c>
      <c r="M2" s="17" t="n">
        <v>72</v>
      </c>
      <c r="N2" s="17" t="n">
        <v>80</v>
      </c>
      <c r="O2" s="19" t="str">
        <f aca="false">IF($M2="","غير مقيّمة",IF($M2&gt;المرجع!$K$3,"مستوفاة بشكل متقدم",IF($M2&lt;=المرجع!$K$2,"مستوفاة بشكل أولي","مستوفاة بشكل جزئي")))</f>
        <v>مستوفاة بشكل متقدم</v>
      </c>
      <c r="P2" s="22" t="s">
        <v>634</v>
      </c>
    </row>
    <row r="3" customFormat="false" ht="15" hidden="false" customHeight="true" outlineLevel="0" collapsed="false">
      <c r="A3" s="20" t="s">
        <v>817</v>
      </c>
      <c r="B3" s="20" t="s">
        <v>194</v>
      </c>
      <c r="C3" s="19" t="str">
        <f aca="false">IFERROR(INDEX('قائمة الوحدات'!$B$2:$B$41,MATCH($B3,'قائمة الوحدات'!$A$2:$A$41,0)),"")</f>
        <v>MIL</v>
      </c>
      <c r="D3" s="18" t="str">
        <f aca="false">IFERROR(INDEX('قائمة الوحدات'!$C$2:$C$41,MATCH($B3,'قائمة الوحدات'!$A$2:$A$41,0)),"")</f>
        <v>الجهاز العسكري</v>
      </c>
      <c r="E3" s="18" t="str">
        <f aca="false">IFERROR(INDEX('قائمة الوحدات'!$D$2:$D$41,MATCH($B3,'قائمة الوحدات'!$A$2:$A$41,0)),"")</f>
        <v>هيئة الأركان</v>
      </c>
      <c r="F3" s="18" t="str">
        <f aca="false">IFERROR(INDEX('قائمة الوحدات'!$F$2:$F$41,MATCH($B3,'قائمة الوحدات'!$A$2:$A$41,0)),"")</f>
        <v>هيئة الأركان</v>
      </c>
      <c r="G3" s="20" t="s">
        <v>44</v>
      </c>
      <c r="H3" s="18" t="str">
        <f aca="false">IFERROR(INDEX(المرجع!$A$2:$A$19,MATCH($G3,المرجع!$B$2:$B$19,0)),"")</f>
        <v>التصميم</v>
      </c>
      <c r="I3" s="20" t="s">
        <v>49</v>
      </c>
      <c r="J3" s="18" t="str">
        <f aca="false">IFERROR(INDEX(المرجع!$D$2:$D$19,MATCH($I3,المرجع!$E$2:$E$19,0)),"")</f>
        <v>الأهداف ومؤشرات الأداء</v>
      </c>
      <c r="K3" s="20" t="s">
        <v>78</v>
      </c>
      <c r="L3" s="21" t="str">
        <f aca="false">IFERROR(INDEX('نقاط التحقق'!$G$2:$G$31,MATCH($K3,'نقاط التحقق'!$A$2:$A$31,0))&amp;"","")</f>
        <v>أهداف محددة للوحدة التنظيمية وربطها بمؤشرات أداء لقياسها</v>
      </c>
      <c r="M3" s="17" t="n">
        <v>75</v>
      </c>
      <c r="N3" s="17" t="n">
        <v>80</v>
      </c>
      <c r="O3" s="19" t="str">
        <f aca="false">IF($M3="","غير مقيّمة",IF($M3&gt;المرجع!$K$3,"مستوفاة بشكل متقدم",IF($M3&lt;=المرجع!$K$2,"مستوفاة بشكل أولي","مستوفاة بشكل جزئي")))</f>
        <v>مستوفاة بشكل متقدم</v>
      </c>
      <c r="P3" s="22" t="s">
        <v>634</v>
      </c>
    </row>
    <row r="4" customFormat="false" ht="15" hidden="false" customHeight="true" outlineLevel="0" collapsed="false">
      <c r="A4" s="20" t="s">
        <v>818</v>
      </c>
      <c r="B4" s="20" t="s">
        <v>194</v>
      </c>
      <c r="C4" s="19" t="str">
        <f aca="false">IFERROR(INDEX('قائمة الوحدات'!$B$2:$B$41,MATCH($B4,'قائمة الوحدات'!$A$2:$A$41,0)),"")</f>
        <v>MIL</v>
      </c>
      <c r="D4" s="18" t="str">
        <f aca="false">IFERROR(INDEX('قائمة الوحدات'!$C$2:$C$41,MATCH($B4,'قائمة الوحدات'!$A$2:$A$41,0)),"")</f>
        <v>الجهاز العسكري</v>
      </c>
      <c r="E4" s="18" t="str">
        <f aca="false">IFERROR(INDEX('قائمة الوحدات'!$D$2:$D$41,MATCH($B4,'قائمة الوحدات'!$A$2:$A$41,0)),"")</f>
        <v>هيئة الأركان</v>
      </c>
      <c r="F4" s="18" t="str">
        <f aca="false">IFERROR(INDEX('قائمة الوحدات'!$F$2:$F$41,MATCH($B4,'قائمة الوحدات'!$A$2:$A$41,0)),"")</f>
        <v>هيئة الأركان</v>
      </c>
      <c r="G4" s="20" t="s">
        <v>44</v>
      </c>
      <c r="H4" s="18" t="str">
        <f aca="false">IFERROR(INDEX(المرجع!$A$2:$A$19,MATCH($G4,المرجع!$B$2:$B$19,0)),"")</f>
        <v>التصميم</v>
      </c>
      <c r="I4" s="20" t="s">
        <v>49</v>
      </c>
      <c r="J4" s="18" t="str">
        <f aca="false">IFERROR(INDEX(المرجع!$D$2:$D$19,MATCH($I4,المرجع!$E$2:$E$19,0)),"")</f>
        <v>الأهداف ومؤشرات الأداء</v>
      </c>
      <c r="K4" s="20" t="s">
        <v>80</v>
      </c>
      <c r="L4" s="21" t="str">
        <f aca="false">IFERROR(INDEX('نقاط التحقق'!$G$2:$G$31,MATCH($K4,'نقاط التحقق'!$A$2:$A$31,0))&amp;"","")</f>
        <v>مؤشرات أداء الوحدة التنظيمية</v>
      </c>
      <c r="M4" s="17" t="n">
        <v>60</v>
      </c>
      <c r="N4" s="17" t="n">
        <v>100</v>
      </c>
      <c r="O4" s="19" t="str">
        <f aca="false">IF($M4="","غير مقيّمة",IF($M4&gt;المرجع!$K$3,"مستوفاة بشكل متقدم",IF($M4&lt;=المرجع!$K$2,"مستوفاة بشكل أولي","مستوفاة بشكل جزئي")))</f>
        <v>مستوفاة بشكل جزئي</v>
      </c>
      <c r="P4" s="22" t="s">
        <v>634</v>
      </c>
    </row>
    <row r="5" customFormat="false" ht="15" hidden="false" customHeight="true" outlineLevel="0" collapsed="false">
      <c r="A5" s="20" t="s">
        <v>819</v>
      </c>
      <c r="B5" s="20" t="s">
        <v>194</v>
      </c>
      <c r="C5" s="19" t="str">
        <f aca="false">IFERROR(INDEX('قائمة الوحدات'!$B$2:$B$41,MATCH($B5,'قائمة الوحدات'!$A$2:$A$41,0)),"")</f>
        <v>MIL</v>
      </c>
      <c r="D5" s="18" t="str">
        <f aca="false">IFERROR(INDEX('قائمة الوحدات'!$C$2:$C$41,MATCH($B5,'قائمة الوحدات'!$A$2:$A$41,0)),"")</f>
        <v>الجهاز العسكري</v>
      </c>
      <c r="E5" s="18" t="str">
        <f aca="false">IFERROR(INDEX('قائمة الوحدات'!$D$2:$D$41,MATCH($B5,'قائمة الوحدات'!$A$2:$A$41,0)),"")</f>
        <v>هيئة الأركان</v>
      </c>
      <c r="F5" s="18" t="str">
        <f aca="false">IFERROR(INDEX('قائمة الوحدات'!$F$2:$F$41,MATCH($B5,'قائمة الوحدات'!$A$2:$A$41,0)),"")</f>
        <v>هيئة الأركان</v>
      </c>
      <c r="G5" s="20" t="s">
        <v>44</v>
      </c>
      <c r="H5" s="18" t="str">
        <f aca="false">IFERROR(INDEX(المرجع!$A$2:$A$19,MATCH($G5,المرجع!$B$2:$B$19,0)),"")</f>
        <v>التصميم</v>
      </c>
      <c r="I5" s="20" t="s">
        <v>52</v>
      </c>
      <c r="J5" s="18" t="str">
        <f aca="false">IFERROR(INDEX(المرجع!$D$2:$D$19,MATCH($I5,المرجع!$E$2:$E$19,0)),"")</f>
        <v>الحوكمة</v>
      </c>
      <c r="K5" s="20" t="s">
        <v>82</v>
      </c>
      <c r="L5" s="21" t="str">
        <f aca="false">IFERROR(INDEX('نقاط التحقق'!$G$2:$G$31,MATCH($K5,'نقاط التحقق'!$A$2:$A$31,0))&amp;"","")</f>
        <v>تفصيل القرارات ومصفوفة الصلاحيات واللجان ذات العلاقة لاعتماد مخرجات الوحدة التنظيمية</v>
      </c>
      <c r="M5" s="17" t="n">
        <v>73</v>
      </c>
      <c r="N5" s="17" t="n">
        <v>85</v>
      </c>
      <c r="O5" s="19" t="str">
        <f aca="false">IF($M5="","غير مقيّمة",IF($M5&gt;المرجع!$K$3,"مستوفاة بشكل متقدم",IF($M5&lt;=المرجع!$K$2,"مستوفاة بشكل أولي","مستوفاة بشكل جزئي")))</f>
        <v>مستوفاة بشكل متقدم</v>
      </c>
      <c r="P5" s="22" t="s">
        <v>634</v>
      </c>
    </row>
    <row r="6" customFormat="false" ht="15" hidden="false" customHeight="true" outlineLevel="0" collapsed="false">
      <c r="A6" s="20" t="s">
        <v>820</v>
      </c>
      <c r="B6" s="20" t="s">
        <v>194</v>
      </c>
      <c r="C6" s="19" t="str">
        <f aca="false">IFERROR(INDEX('قائمة الوحدات'!$B$2:$B$41,MATCH($B6,'قائمة الوحدات'!$A$2:$A$41,0)),"")</f>
        <v>MIL</v>
      </c>
      <c r="D6" s="18" t="str">
        <f aca="false">IFERROR(INDEX('قائمة الوحدات'!$C$2:$C$41,MATCH($B6,'قائمة الوحدات'!$A$2:$A$41,0)),"")</f>
        <v>الجهاز العسكري</v>
      </c>
      <c r="E6" s="18" t="str">
        <f aca="false">IFERROR(INDEX('قائمة الوحدات'!$D$2:$D$41,MATCH($B6,'قائمة الوحدات'!$A$2:$A$41,0)),"")</f>
        <v>هيئة الأركان</v>
      </c>
      <c r="F6" s="18" t="str">
        <f aca="false">IFERROR(INDEX('قائمة الوحدات'!$F$2:$F$41,MATCH($B6,'قائمة الوحدات'!$A$2:$A$41,0)),"")</f>
        <v>هيئة الأركان</v>
      </c>
      <c r="G6" s="20" t="s">
        <v>44</v>
      </c>
      <c r="H6" s="18" t="str">
        <f aca="false">IFERROR(INDEX(المرجع!$A$2:$A$19,MATCH($G6,المرجع!$B$2:$B$19,0)),"")</f>
        <v>التصميم</v>
      </c>
      <c r="I6" s="20" t="s">
        <v>55</v>
      </c>
      <c r="J6" s="18" t="str">
        <f aca="false">IFERROR(INDEX(المرجع!$D$2:$D$19,MATCH($I6,المرجع!$E$2:$E$19,0)),"")</f>
        <v>التنظيم</v>
      </c>
      <c r="K6" s="20" t="s">
        <v>84</v>
      </c>
      <c r="L6" s="21" t="str">
        <f aca="false">IFERROR(INDEX('نقاط التحقق'!$G$2:$G$31,MATCH($K6,'نقاط التحقق'!$A$2:$A$31,0))&amp;"","")</f>
        <v>تطوير الأدوار والمسؤوليات للوحدة التنظيمية وتفصيل الهيكل التنظيمي</v>
      </c>
      <c r="M6" s="17" t="n">
        <v>75</v>
      </c>
      <c r="N6" s="17" t="n">
        <v>80</v>
      </c>
      <c r="O6" s="19" t="str">
        <f aca="false">IF($M6="","غير مقيّمة",IF($M6&gt;المرجع!$K$3,"مستوفاة بشكل متقدم",IF($M6&lt;=المرجع!$K$2,"مستوفاة بشكل أولي","مستوفاة بشكل جزئي")))</f>
        <v>مستوفاة بشكل متقدم</v>
      </c>
      <c r="P6" s="22" t="s">
        <v>634</v>
      </c>
    </row>
    <row r="7" customFormat="false" ht="15" hidden="false" customHeight="true" outlineLevel="0" collapsed="false">
      <c r="A7" s="20" t="s">
        <v>821</v>
      </c>
      <c r="B7" s="20" t="s">
        <v>194</v>
      </c>
      <c r="C7" s="19" t="str">
        <f aca="false">IFERROR(INDEX('قائمة الوحدات'!$B$2:$B$41,MATCH($B7,'قائمة الوحدات'!$A$2:$A$41,0)),"")</f>
        <v>MIL</v>
      </c>
      <c r="D7" s="18" t="str">
        <f aca="false">IFERROR(INDEX('قائمة الوحدات'!$C$2:$C$41,MATCH($B7,'قائمة الوحدات'!$A$2:$A$41,0)),"")</f>
        <v>الجهاز العسكري</v>
      </c>
      <c r="E7" s="18" t="str">
        <f aca="false">IFERROR(INDEX('قائمة الوحدات'!$D$2:$D$41,MATCH($B7,'قائمة الوحدات'!$A$2:$A$41,0)),"")</f>
        <v>هيئة الأركان</v>
      </c>
      <c r="F7" s="18" t="str">
        <f aca="false">IFERROR(INDEX('قائمة الوحدات'!$F$2:$F$41,MATCH($B7,'قائمة الوحدات'!$A$2:$A$41,0)),"")</f>
        <v>هيئة الأركان</v>
      </c>
      <c r="G7" s="20" t="s">
        <v>44</v>
      </c>
      <c r="H7" s="18" t="str">
        <f aca="false">IFERROR(INDEX(المرجع!$A$2:$A$19,MATCH($G7,المرجع!$B$2:$B$19,0)),"")</f>
        <v>التصميم</v>
      </c>
      <c r="I7" s="20" t="s">
        <v>57</v>
      </c>
      <c r="J7" s="18" t="str">
        <f aca="false">IFERROR(INDEX(المرجع!$D$2:$D$19,MATCH($I7,المرجع!$E$2:$E$19,0)),"")</f>
        <v>الموارد</v>
      </c>
      <c r="K7" s="20" t="s">
        <v>86</v>
      </c>
      <c r="L7" s="21" t="str">
        <f aca="false">IFERROR(INDEX('نقاط التحقق'!$G$2:$G$31,MATCH($K7,'نقاط التحقق'!$A$2:$A$31,0))&amp;"","")</f>
        <v>تفصيل احتياج الموارد البشرية للوحدة التنظيمية</v>
      </c>
      <c r="M7" s="17" t="n">
        <v>70</v>
      </c>
      <c r="N7" s="17" t="n">
        <v>80</v>
      </c>
      <c r="O7" s="19" t="str">
        <f aca="false">IF($M7="","غير مقيّمة",IF($M7&gt;المرجع!$K$3,"مستوفاة بشكل متقدم",IF($M7&lt;=المرجع!$K$2,"مستوفاة بشكل أولي","مستوفاة بشكل جزئي")))</f>
        <v>مستوفاة بشكل جزئي</v>
      </c>
      <c r="P7" s="22" t="s">
        <v>634</v>
      </c>
    </row>
    <row r="8" customFormat="false" ht="15" hidden="false" customHeight="true" outlineLevel="0" collapsed="false">
      <c r="A8" s="20" t="s">
        <v>822</v>
      </c>
      <c r="B8" s="20" t="s">
        <v>194</v>
      </c>
      <c r="C8" s="19" t="str">
        <f aca="false">IFERROR(INDEX('قائمة الوحدات'!$B$2:$B$41,MATCH($B8,'قائمة الوحدات'!$A$2:$A$41,0)),"")</f>
        <v>MIL</v>
      </c>
      <c r="D8" s="18" t="str">
        <f aca="false">IFERROR(INDEX('قائمة الوحدات'!$C$2:$C$41,MATCH($B8,'قائمة الوحدات'!$A$2:$A$41,0)),"")</f>
        <v>الجهاز العسكري</v>
      </c>
      <c r="E8" s="18" t="str">
        <f aca="false">IFERROR(INDEX('قائمة الوحدات'!$D$2:$D$41,MATCH($B8,'قائمة الوحدات'!$A$2:$A$41,0)),"")</f>
        <v>هيئة الأركان</v>
      </c>
      <c r="F8" s="18" t="str">
        <f aca="false">IFERROR(INDEX('قائمة الوحدات'!$F$2:$F$41,MATCH($B8,'قائمة الوحدات'!$A$2:$A$41,0)),"")</f>
        <v>هيئة الأركان</v>
      </c>
      <c r="G8" s="20" t="s">
        <v>44</v>
      </c>
      <c r="H8" s="18" t="str">
        <f aca="false">IFERROR(INDEX(المرجع!$A$2:$A$19,MATCH($G8,المرجع!$B$2:$B$19,0)),"")</f>
        <v>التصميم</v>
      </c>
      <c r="I8" s="20" t="s">
        <v>60</v>
      </c>
      <c r="J8" s="18" t="str">
        <f aca="false">IFERROR(INDEX(المرجع!$D$2:$D$19,MATCH($I8,المرجع!$E$2:$E$19,0)),"")</f>
        <v>الإجراءات</v>
      </c>
      <c r="K8" s="20" t="s">
        <v>88</v>
      </c>
      <c r="L8" s="21" t="str">
        <f aca="false">IFERROR(INDEX('نقاط التحقق'!$G$2:$G$31,MATCH($K8,'نقاط التحقق'!$A$2:$A$31,0))&amp;"","")</f>
        <v>تفصيل المخرجات إلى إجراءات عالية المستوى</v>
      </c>
      <c r="M8" s="17" t="n">
        <v>82</v>
      </c>
      <c r="N8" s="17" t="n">
        <v>90</v>
      </c>
      <c r="O8" s="19" t="str">
        <f aca="false">IF($M8="","غير مقيّمة",IF($M8&gt;المرجع!$K$3,"مستوفاة بشكل متقدم",IF($M8&lt;=المرجع!$K$2,"مستوفاة بشكل أولي","مستوفاة بشكل جزئي")))</f>
        <v>مستوفاة بشكل متقدم</v>
      </c>
      <c r="P8" s="22" t="s">
        <v>634</v>
      </c>
    </row>
    <row r="9" customFormat="false" ht="15" hidden="false" customHeight="true" outlineLevel="0" collapsed="false">
      <c r="A9" s="20" t="s">
        <v>823</v>
      </c>
      <c r="B9" s="20" t="s">
        <v>194</v>
      </c>
      <c r="C9" s="19" t="str">
        <f aca="false">IFERROR(INDEX('قائمة الوحدات'!$B$2:$B$41,MATCH($B9,'قائمة الوحدات'!$A$2:$A$41,0)),"")</f>
        <v>MIL</v>
      </c>
      <c r="D9" s="18" t="str">
        <f aca="false">IFERROR(INDEX('قائمة الوحدات'!$C$2:$C$41,MATCH($B9,'قائمة الوحدات'!$A$2:$A$41,0)),"")</f>
        <v>الجهاز العسكري</v>
      </c>
      <c r="E9" s="18" t="str">
        <f aca="false">IFERROR(INDEX('قائمة الوحدات'!$D$2:$D$41,MATCH($B9,'قائمة الوحدات'!$A$2:$A$41,0)),"")</f>
        <v>هيئة الأركان</v>
      </c>
      <c r="F9" s="18" t="str">
        <f aca="false">IFERROR(INDEX('قائمة الوحدات'!$F$2:$F$41,MATCH($B9,'قائمة الوحدات'!$A$2:$A$41,0)),"")</f>
        <v>هيئة الأركان</v>
      </c>
      <c r="G9" s="20" t="s">
        <v>62</v>
      </c>
      <c r="H9" s="18" t="str">
        <f aca="false">IFERROR(INDEX(المرجع!$A$2:$A$19,MATCH($G9,المرجع!$B$2:$B$19,0)),"")</f>
        <v>البناء المؤسسي</v>
      </c>
      <c r="I9" s="20" t="s">
        <v>46</v>
      </c>
      <c r="J9" s="18" t="str">
        <f aca="false">IFERROR(INDEX(المرجع!$D$2:$D$19,MATCH($I9,المرجع!$E$2:$E$19,0)),"")</f>
        <v>الدور</v>
      </c>
      <c r="K9" s="20" t="s">
        <v>90</v>
      </c>
      <c r="L9" s="21" t="str">
        <f aca="false">IFERROR(INDEX('نقاط التحقق'!$G$2:$G$31,MATCH($K9,'نقاط التحقق'!$A$2:$A$31,0))&amp;"","")</f>
        <v>دور معتمد للوحدة التنظيمية</v>
      </c>
      <c r="M9" s="17" t="n">
        <v>62</v>
      </c>
      <c r="N9" s="17" t="n">
        <v>90</v>
      </c>
      <c r="O9" s="19" t="str">
        <f aca="false">IF($M9="","غير مقيّمة",IF($M9&gt;المرجع!$K$3,"مستوفاة بشكل متقدم",IF($M9&lt;=المرجع!$K$2,"مستوفاة بشكل أولي","مستوفاة بشكل جزئي")))</f>
        <v>مستوفاة بشكل جزئي</v>
      </c>
      <c r="P9" s="22" t="s">
        <v>634</v>
      </c>
    </row>
    <row r="10" customFormat="false" ht="15" hidden="false" customHeight="true" outlineLevel="0" collapsed="false">
      <c r="A10" s="20" t="s">
        <v>824</v>
      </c>
      <c r="B10" s="20" t="s">
        <v>194</v>
      </c>
      <c r="C10" s="19" t="str">
        <f aca="false">IFERROR(INDEX('قائمة الوحدات'!$B$2:$B$41,MATCH($B10,'قائمة الوحدات'!$A$2:$A$41,0)),"")</f>
        <v>MIL</v>
      </c>
      <c r="D10" s="18" t="str">
        <f aca="false">IFERROR(INDEX('قائمة الوحدات'!$C$2:$C$41,MATCH($B10,'قائمة الوحدات'!$A$2:$A$41,0)),"")</f>
        <v>الجهاز العسكري</v>
      </c>
      <c r="E10" s="18" t="str">
        <f aca="false">IFERROR(INDEX('قائمة الوحدات'!$D$2:$D$41,MATCH($B10,'قائمة الوحدات'!$A$2:$A$41,0)),"")</f>
        <v>هيئة الأركان</v>
      </c>
      <c r="F10" s="18" t="str">
        <f aca="false">IFERROR(INDEX('قائمة الوحدات'!$F$2:$F$41,MATCH($B10,'قائمة الوحدات'!$A$2:$A$41,0)),"")</f>
        <v>هيئة الأركان</v>
      </c>
      <c r="G10" s="20" t="s">
        <v>62</v>
      </c>
      <c r="H10" s="18" t="str">
        <f aca="false">IFERROR(INDEX(المرجع!$A$2:$A$19,MATCH($G10,المرجع!$B$2:$B$19,0)),"")</f>
        <v>البناء المؤسسي</v>
      </c>
      <c r="I10" s="20" t="s">
        <v>49</v>
      </c>
      <c r="J10" s="18" t="str">
        <f aca="false">IFERROR(INDEX(المرجع!$D$2:$D$19,MATCH($I10,المرجع!$E$2:$E$19,0)),"")</f>
        <v>الأهداف ومؤشرات الأداء</v>
      </c>
      <c r="K10" s="20" t="s">
        <v>92</v>
      </c>
      <c r="L10" s="21" t="str">
        <f aca="false">IFERROR(INDEX('نقاط التحقق'!$G$2:$G$31,MATCH($K10,'نقاط التحقق'!$A$2:$A$31,0))&amp;"","")</f>
        <v>أهداف تشغيلية معتمدة من صاحب الصلاحية</v>
      </c>
      <c r="M10" s="17" t="n">
        <v>70</v>
      </c>
      <c r="N10" s="17" t="n">
        <v>80</v>
      </c>
      <c r="O10" s="19" t="str">
        <f aca="false">IF($M10="","غير مقيّمة",IF($M10&gt;المرجع!$K$3,"مستوفاة بشكل متقدم",IF($M10&lt;=المرجع!$K$2,"مستوفاة بشكل أولي","مستوفاة بشكل جزئي")))</f>
        <v>مستوفاة بشكل جزئي</v>
      </c>
      <c r="P10" s="22" t="s">
        <v>634</v>
      </c>
    </row>
    <row r="11" customFormat="false" ht="15" hidden="false" customHeight="true" outlineLevel="0" collapsed="false">
      <c r="A11" s="20" t="s">
        <v>825</v>
      </c>
      <c r="B11" s="20" t="s">
        <v>194</v>
      </c>
      <c r="C11" s="19" t="str">
        <f aca="false">IFERROR(INDEX('قائمة الوحدات'!$B$2:$B$41,MATCH($B11,'قائمة الوحدات'!$A$2:$A$41,0)),"")</f>
        <v>MIL</v>
      </c>
      <c r="D11" s="18" t="str">
        <f aca="false">IFERROR(INDEX('قائمة الوحدات'!$C$2:$C$41,MATCH($B11,'قائمة الوحدات'!$A$2:$A$41,0)),"")</f>
        <v>الجهاز العسكري</v>
      </c>
      <c r="E11" s="18" t="str">
        <f aca="false">IFERROR(INDEX('قائمة الوحدات'!$D$2:$D$41,MATCH($B11,'قائمة الوحدات'!$A$2:$A$41,0)),"")</f>
        <v>هيئة الأركان</v>
      </c>
      <c r="F11" s="18" t="str">
        <f aca="false">IFERROR(INDEX('قائمة الوحدات'!$F$2:$F$41,MATCH($B11,'قائمة الوحدات'!$A$2:$A$41,0)),"")</f>
        <v>هيئة الأركان</v>
      </c>
      <c r="G11" s="20" t="s">
        <v>62</v>
      </c>
      <c r="H11" s="18" t="str">
        <f aca="false">IFERROR(INDEX(المرجع!$A$2:$A$19,MATCH($G11,المرجع!$B$2:$B$19,0)),"")</f>
        <v>البناء المؤسسي</v>
      </c>
      <c r="I11" s="20" t="s">
        <v>49</v>
      </c>
      <c r="J11" s="18" t="str">
        <f aca="false">IFERROR(INDEX(المرجع!$D$2:$D$19,MATCH($I11,المرجع!$E$2:$E$19,0)),"")</f>
        <v>الأهداف ومؤشرات الأداء</v>
      </c>
      <c r="K11" s="20" t="s">
        <v>94</v>
      </c>
      <c r="L11" s="21" t="str">
        <f aca="false">IFERROR(INDEX('نقاط التحقق'!$G$2:$G$31,MATCH($K11,'نقاط التحقق'!$A$2:$A$31,0))&amp;"","")</f>
        <v>نشر الأهداف التشغيلية على موظفي الوحدة التنظيمية</v>
      </c>
      <c r="M11" s="17" t="n">
        <v>95</v>
      </c>
      <c r="N11" s="17" t="n">
        <v>100</v>
      </c>
      <c r="O11" s="19" t="str">
        <f aca="false">IF($M11="","غير مقيّمة",IF($M11&gt;المرجع!$K$3,"مستوفاة بشكل متقدم",IF($M11&lt;=المرجع!$K$2,"مستوفاة بشكل أولي","مستوفاة بشكل جزئي")))</f>
        <v>مستوفاة بشكل متقدم</v>
      </c>
      <c r="P11" s="22" t="s">
        <v>634</v>
      </c>
    </row>
    <row r="12" customFormat="false" ht="15" hidden="false" customHeight="true" outlineLevel="0" collapsed="false">
      <c r="A12" s="20" t="s">
        <v>826</v>
      </c>
      <c r="B12" s="20" t="s">
        <v>194</v>
      </c>
      <c r="C12" s="19" t="str">
        <f aca="false">IFERROR(INDEX('قائمة الوحدات'!$B$2:$B$41,MATCH($B12,'قائمة الوحدات'!$A$2:$A$41,0)),"")</f>
        <v>MIL</v>
      </c>
      <c r="D12" s="18" t="str">
        <f aca="false">IFERROR(INDEX('قائمة الوحدات'!$C$2:$C$41,MATCH($B12,'قائمة الوحدات'!$A$2:$A$41,0)),"")</f>
        <v>الجهاز العسكري</v>
      </c>
      <c r="E12" s="18" t="str">
        <f aca="false">IFERROR(INDEX('قائمة الوحدات'!$D$2:$D$41,MATCH($B12,'قائمة الوحدات'!$A$2:$A$41,0)),"")</f>
        <v>هيئة الأركان</v>
      </c>
      <c r="F12" s="18" t="str">
        <f aca="false">IFERROR(INDEX('قائمة الوحدات'!$F$2:$F$41,MATCH($B12,'قائمة الوحدات'!$A$2:$A$41,0)),"")</f>
        <v>هيئة الأركان</v>
      </c>
      <c r="G12" s="20" t="s">
        <v>62</v>
      </c>
      <c r="H12" s="18" t="str">
        <f aca="false">IFERROR(INDEX(المرجع!$A$2:$A$19,MATCH($G12,المرجع!$B$2:$B$19,0)),"")</f>
        <v>البناء المؤسسي</v>
      </c>
      <c r="I12" s="20" t="s">
        <v>52</v>
      </c>
      <c r="J12" s="18" t="str">
        <f aca="false">IFERROR(INDEX(المرجع!$D$2:$D$19,MATCH($I12,المرجع!$E$2:$E$19,0)),"")</f>
        <v>الحوكمة</v>
      </c>
      <c r="K12" s="20" t="s">
        <v>96</v>
      </c>
      <c r="L12" s="21" t="str">
        <f aca="false">IFERROR(INDEX('نقاط التحقق'!$G$2:$G$31,MATCH($K12,'نقاط التحقق'!$A$2:$A$31,0))&amp;"","")</f>
        <v>مصفوفة صلاحيات معتمدة ومعممة على أصحاب المصلحة</v>
      </c>
      <c r="M12" s="17" t="n">
        <v>70</v>
      </c>
      <c r="N12" s="17" t="n">
        <v>85</v>
      </c>
      <c r="O12" s="19" t="str">
        <f aca="false">IF($M12="","غير مقيّمة",IF($M12&gt;المرجع!$K$3,"مستوفاة بشكل متقدم",IF($M12&lt;=المرجع!$K$2,"مستوفاة بشكل أولي","مستوفاة بشكل جزئي")))</f>
        <v>مستوفاة بشكل جزئي</v>
      </c>
      <c r="P12" s="22" t="s">
        <v>634</v>
      </c>
    </row>
    <row r="13" customFormat="false" ht="15" hidden="false" customHeight="true" outlineLevel="0" collapsed="false">
      <c r="A13" s="20" t="s">
        <v>827</v>
      </c>
      <c r="B13" s="20" t="s">
        <v>194</v>
      </c>
      <c r="C13" s="19" t="str">
        <f aca="false">IFERROR(INDEX('قائمة الوحدات'!$B$2:$B$41,MATCH($B13,'قائمة الوحدات'!$A$2:$A$41,0)),"")</f>
        <v>MIL</v>
      </c>
      <c r="D13" s="18" t="str">
        <f aca="false">IFERROR(INDEX('قائمة الوحدات'!$C$2:$C$41,MATCH($B13,'قائمة الوحدات'!$A$2:$A$41,0)),"")</f>
        <v>الجهاز العسكري</v>
      </c>
      <c r="E13" s="18" t="str">
        <f aca="false">IFERROR(INDEX('قائمة الوحدات'!$D$2:$D$41,MATCH($B13,'قائمة الوحدات'!$A$2:$A$41,0)),"")</f>
        <v>هيئة الأركان</v>
      </c>
      <c r="F13" s="18" t="str">
        <f aca="false">IFERROR(INDEX('قائمة الوحدات'!$F$2:$F$41,MATCH($B13,'قائمة الوحدات'!$A$2:$A$41,0)),"")</f>
        <v>هيئة الأركان</v>
      </c>
      <c r="G13" s="20" t="s">
        <v>62</v>
      </c>
      <c r="H13" s="18" t="str">
        <f aca="false">IFERROR(INDEX(المرجع!$A$2:$A$19,MATCH($G13,المرجع!$B$2:$B$19,0)),"")</f>
        <v>البناء المؤسسي</v>
      </c>
      <c r="I13" s="20" t="s">
        <v>52</v>
      </c>
      <c r="J13" s="18" t="str">
        <f aca="false">IFERROR(INDEX(المرجع!$D$2:$D$19,MATCH($I13,المرجع!$E$2:$E$19,0)),"")</f>
        <v>الحوكمة</v>
      </c>
      <c r="K13" s="20" t="s">
        <v>98</v>
      </c>
      <c r="L13" s="21" t="str">
        <f aca="false">IFERROR(INDEX('نقاط التحقق'!$G$2:$G$31,MATCH($K13,'نقاط التحقق'!$A$2:$A$31,0))&amp;"","")</f>
        <v>سياسات معتمدة للتي تملكها الوحدة التنظيمية</v>
      </c>
      <c r="M13" s="17" t="n">
        <v>75</v>
      </c>
      <c r="N13" s="17" t="n">
        <v>90</v>
      </c>
      <c r="O13" s="19" t="str">
        <f aca="false">IF($M13="","غير مقيّمة",IF($M13&gt;المرجع!$K$3,"مستوفاة بشكل متقدم",IF($M13&lt;=المرجع!$K$2,"مستوفاة بشكل أولي","مستوفاة بشكل جزئي")))</f>
        <v>مستوفاة بشكل متقدم</v>
      </c>
      <c r="P13" s="22" t="s">
        <v>634</v>
      </c>
    </row>
    <row r="14" customFormat="false" ht="15" hidden="false" customHeight="true" outlineLevel="0" collapsed="false">
      <c r="A14" s="20" t="s">
        <v>828</v>
      </c>
      <c r="B14" s="20" t="s">
        <v>194</v>
      </c>
      <c r="C14" s="19" t="str">
        <f aca="false">IFERROR(INDEX('قائمة الوحدات'!$B$2:$B$41,MATCH($B14,'قائمة الوحدات'!$A$2:$A$41,0)),"")</f>
        <v>MIL</v>
      </c>
      <c r="D14" s="18" t="str">
        <f aca="false">IFERROR(INDEX('قائمة الوحدات'!$C$2:$C$41,MATCH($B14,'قائمة الوحدات'!$A$2:$A$41,0)),"")</f>
        <v>الجهاز العسكري</v>
      </c>
      <c r="E14" s="18" t="str">
        <f aca="false">IFERROR(INDEX('قائمة الوحدات'!$D$2:$D$41,MATCH($B14,'قائمة الوحدات'!$A$2:$A$41,0)),"")</f>
        <v>هيئة الأركان</v>
      </c>
      <c r="F14" s="18" t="str">
        <f aca="false">IFERROR(INDEX('قائمة الوحدات'!$F$2:$F$41,MATCH($B14,'قائمة الوحدات'!$A$2:$A$41,0)),"")</f>
        <v>هيئة الأركان</v>
      </c>
      <c r="G14" s="20" t="s">
        <v>62</v>
      </c>
      <c r="H14" s="18" t="str">
        <f aca="false">IFERROR(INDEX(المرجع!$A$2:$A$19,MATCH($G14,المرجع!$B$2:$B$19,0)),"")</f>
        <v>البناء المؤسسي</v>
      </c>
      <c r="I14" s="20" t="s">
        <v>52</v>
      </c>
      <c r="J14" s="18" t="str">
        <f aca="false">IFERROR(INDEX(المرجع!$D$2:$D$19,MATCH($I14,المرجع!$E$2:$E$19,0)),"")</f>
        <v>الحوكمة</v>
      </c>
      <c r="K14" s="20" t="s">
        <v>100</v>
      </c>
      <c r="L14" s="21" t="str">
        <f aca="false">IFERROR(INDEX('نقاط التحقق'!$G$2:$G$31,MATCH($K14,'نقاط التحقق'!$A$2:$A$31,0))&amp;"","")</f>
        <v>قرار تشكيل معتمد للجان ذات العلاقة</v>
      </c>
      <c r="M14" s="17" t="n">
        <v>75</v>
      </c>
      <c r="N14" s="17" t="n">
        <v>100</v>
      </c>
      <c r="O14" s="19" t="str">
        <f aca="false">IF($M14="","غير مقيّمة",IF($M14&gt;المرجع!$K$3,"مستوفاة بشكل متقدم",IF($M14&lt;=المرجع!$K$2,"مستوفاة بشكل أولي","مستوفاة بشكل جزئي")))</f>
        <v>مستوفاة بشكل متقدم</v>
      </c>
      <c r="P14" s="22" t="s">
        <v>634</v>
      </c>
    </row>
    <row r="15" customFormat="false" ht="15" hidden="false" customHeight="true" outlineLevel="0" collapsed="false">
      <c r="A15" s="20" t="s">
        <v>829</v>
      </c>
      <c r="B15" s="20" t="s">
        <v>194</v>
      </c>
      <c r="C15" s="19" t="str">
        <f aca="false">IFERROR(INDEX('قائمة الوحدات'!$B$2:$B$41,MATCH($B15,'قائمة الوحدات'!$A$2:$A$41,0)),"")</f>
        <v>MIL</v>
      </c>
      <c r="D15" s="18" t="str">
        <f aca="false">IFERROR(INDEX('قائمة الوحدات'!$C$2:$C$41,MATCH($B15,'قائمة الوحدات'!$A$2:$A$41,0)),"")</f>
        <v>الجهاز العسكري</v>
      </c>
      <c r="E15" s="18" t="str">
        <f aca="false">IFERROR(INDEX('قائمة الوحدات'!$D$2:$D$41,MATCH($B15,'قائمة الوحدات'!$A$2:$A$41,0)),"")</f>
        <v>هيئة الأركان</v>
      </c>
      <c r="F15" s="18" t="str">
        <f aca="false">IFERROR(INDEX('قائمة الوحدات'!$F$2:$F$41,MATCH($B15,'قائمة الوحدات'!$A$2:$A$41,0)),"")</f>
        <v>هيئة الأركان</v>
      </c>
      <c r="G15" s="20" t="s">
        <v>62</v>
      </c>
      <c r="H15" s="18" t="str">
        <f aca="false">IFERROR(INDEX(المرجع!$A$2:$A$19,MATCH($G15,المرجع!$B$2:$B$19,0)),"")</f>
        <v>البناء المؤسسي</v>
      </c>
      <c r="I15" s="20" t="s">
        <v>55</v>
      </c>
      <c r="J15" s="18" t="str">
        <f aca="false">IFERROR(INDEX(المرجع!$D$2:$D$19,MATCH($I15,المرجع!$E$2:$E$19,0)),"")</f>
        <v>التنظيم</v>
      </c>
      <c r="K15" s="20" t="s">
        <v>102</v>
      </c>
      <c r="L15" s="21" t="str">
        <f aca="false">IFERROR(INDEX('نقاط التحقق'!$G$2:$G$31,MATCH($K15,'نقاط التحقق'!$A$2:$A$31,0))&amp;"","")</f>
        <v>هيكل تنظيمي معتمد من صاحب الصلاحية</v>
      </c>
      <c r="M15" s="17" t="n">
        <v>70</v>
      </c>
      <c r="N15" s="17" t="n">
        <v>85</v>
      </c>
      <c r="O15" s="19" t="str">
        <f aca="false">IF($M15="","غير مقيّمة",IF($M15&gt;المرجع!$K$3,"مستوفاة بشكل متقدم",IF($M15&lt;=المرجع!$K$2,"مستوفاة بشكل أولي","مستوفاة بشكل جزئي")))</f>
        <v>مستوفاة بشكل جزئي</v>
      </c>
      <c r="P15" s="22" t="s">
        <v>634</v>
      </c>
    </row>
    <row r="16" customFormat="false" ht="15" hidden="false" customHeight="true" outlineLevel="0" collapsed="false">
      <c r="A16" s="20" t="s">
        <v>830</v>
      </c>
      <c r="B16" s="20" t="s">
        <v>194</v>
      </c>
      <c r="C16" s="19" t="str">
        <f aca="false">IFERROR(INDEX('قائمة الوحدات'!$B$2:$B$41,MATCH($B16,'قائمة الوحدات'!$A$2:$A$41,0)),"")</f>
        <v>MIL</v>
      </c>
      <c r="D16" s="18" t="str">
        <f aca="false">IFERROR(INDEX('قائمة الوحدات'!$C$2:$C$41,MATCH($B16,'قائمة الوحدات'!$A$2:$A$41,0)),"")</f>
        <v>الجهاز العسكري</v>
      </c>
      <c r="E16" s="18" t="str">
        <f aca="false">IFERROR(INDEX('قائمة الوحدات'!$D$2:$D$41,MATCH($B16,'قائمة الوحدات'!$A$2:$A$41,0)),"")</f>
        <v>هيئة الأركان</v>
      </c>
      <c r="F16" s="18" t="str">
        <f aca="false">IFERROR(INDEX('قائمة الوحدات'!$F$2:$F$41,MATCH($B16,'قائمة الوحدات'!$A$2:$A$41,0)),"")</f>
        <v>هيئة الأركان</v>
      </c>
      <c r="G16" s="20" t="s">
        <v>62</v>
      </c>
      <c r="H16" s="18" t="str">
        <f aca="false">IFERROR(INDEX(المرجع!$A$2:$A$19,MATCH($G16,المرجع!$B$2:$B$19,0)),"")</f>
        <v>البناء المؤسسي</v>
      </c>
      <c r="I16" s="20" t="s">
        <v>55</v>
      </c>
      <c r="J16" s="18" t="str">
        <f aca="false">IFERROR(INDEX(المرجع!$D$2:$D$19,MATCH($I16,المرجع!$E$2:$E$19,0)),"")</f>
        <v>التنظيم</v>
      </c>
      <c r="K16" s="20" t="s">
        <v>104</v>
      </c>
      <c r="L16" s="21" t="str">
        <f aca="false">IFERROR(INDEX('نقاط التحقق'!$G$2:$G$31,MATCH($K16,'نقاط التحقق'!$A$2:$A$31,0))&amp;"","")</f>
        <v>هيكل تنظيمي منشأ على نظام القوى العاملة</v>
      </c>
      <c r="M16" s="17" t="n">
        <v>50</v>
      </c>
      <c r="N16" s="17" t="n">
        <v>100</v>
      </c>
      <c r="O16" s="19" t="str">
        <f aca="false">IF($M16="","غير مقيّمة",IF($M16&gt;المرجع!$K$3,"مستوفاة بشكل متقدم",IF($M16&lt;=المرجع!$K$2,"مستوفاة بشكل أولي","مستوفاة بشكل جزئي")))</f>
        <v>مستوفاة بشكل جزئي</v>
      </c>
      <c r="P16" s="22" t="s">
        <v>634</v>
      </c>
    </row>
    <row r="17" customFormat="false" ht="15" hidden="false" customHeight="true" outlineLevel="0" collapsed="false">
      <c r="A17" s="20" t="s">
        <v>831</v>
      </c>
      <c r="B17" s="20" t="s">
        <v>194</v>
      </c>
      <c r="C17" s="19" t="str">
        <f aca="false">IFERROR(INDEX('قائمة الوحدات'!$B$2:$B$41,MATCH($B17,'قائمة الوحدات'!$A$2:$A$41,0)),"")</f>
        <v>MIL</v>
      </c>
      <c r="D17" s="18" t="str">
        <f aca="false">IFERROR(INDEX('قائمة الوحدات'!$C$2:$C$41,MATCH($B17,'قائمة الوحدات'!$A$2:$A$41,0)),"")</f>
        <v>الجهاز العسكري</v>
      </c>
      <c r="E17" s="18" t="str">
        <f aca="false">IFERROR(INDEX('قائمة الوحدات'!$D$2:$D$41,MATCH($B17,'قائمة الوحدات'!$A$2:$A$41,0)),"")</f>
        <v>هيئة الأركان</v>
      </c>
      <c r="F17" s="18" t="str">
        <f aca="false">IFERROR(INDEX('قائمة الوحدات'!$F$2:$F$41,MATCH($B17,'قائمة الوحدات'!$A$2:$A$41,0)),"")</f>
        <v>هيئة الأركان</v>
      </c>
      <c r="G17" s="20" t="s">
        <v>62</v>
      </c>
      <c r="H17" s="18" t="str">
        <f aca="false">IFERROR(INDEX(المرجع!$A$2:$A$19,MATCH($G17,المرجع!$B$2:$B$19,0)),"")</f>
        <v>البناء المؤسسي</v>
      </c>
      <c r="I17" s="20" t="s">
        <v>55</v>
      </c>
      <c r="J17" s="18" t="str">
        <f aca="false">IFERROR(INDEX(المرجع!$D$2:$D$19,MATCH($I17,المرجع!$E$2:$E$19,0)),"")</f>
        <v>التنظيم</v>
      </c>
      <c r="K17" s="20" t="s">
        <v>106</v>
      </c>
      <c r="L17" s="21" t="str">
        <f aca="false">IFERROR(INDEX('نقاط التحقق'!$G$2:$G$31,MATCH($K17,'نقاط التحقق'!$A$2:$A$31,0))&amp;"","")</f>
        <v>الموظفون المحددون مسكّنون على الهيكل التنظيمي المستهدف</v>
      </c>
      <c r="M17" s="17" t="n">
        <v>70</v>
      </c>
      <c r="N17" s="17" t="n">
        <v>95</v>
      </c>
      <c r="O17" s="19" t="str">
        <f aca="false">IF($M17="","غير مقيّمة",IF($M17&gt;المرجع!$K$3,"مستوفاة بشكل متقدم",IF($M17&lt;=المرجع!$K$2,"مستوفاة بشكل أولي","مستوفاة بشكل جزئي")))</f>
        <v>مستوفاة بشكل جزئي</v>
      </c>
      <c r="P17" s="22" t="s">
        <v>634</v>
      </c>
    </row>
    <row r="18" customFormat="false" ht="15" hidden="false" customHeight="true" outlineLevel="0" collapsed="false">
      <c r="A18" s="20" t="s">
        <v>832</v>
      </c>
      <c r="B18" s="20" t="s">
        <v>194</v>
      </c>
      <c r="C18" s="19" t="str">
        <f aca="false">IFERROR(INDEX('قائمة الوحدات'!$B$2:$B$41,MATCH($B18,'قائمة الوحدات'!$A$2:$A$41,0)),"")</f>
        <v>MIL</v>
      </c>
      <c r="D18" s="18" t="str">
        <f aca="false">IFERROR(INDEX('قائمة الوحدات'!$C$2:$C$41,MATCH($B18,'قائمة الوحدات'!$A$2:$A$41,0)),"")</f>
        <v>الجهاز العسكري</v>
      </c>
      <c r="E18" s="18" t="str">
        <f aca="false">IFERROR(INDEX('قائمة الوحدات'!$D$2:$D$41,MATCH($B18,'قائمة الوحدات'!$A$2:$A$41,0)),"")</f>
        <v>هيئة الأركان</v>
      </c>
      <c r="F18" s="18" t="str">
        <f aca="false">IFERROR(INDEX('قائمة الوحدات'!$F$2:$F$41,MATCH($B18,'قائمة الوحدات'!$A$2:$A$41,0)),"")</f>
        <v>هيئة الأركان</v>
      </c>
      <c r="G18" s="20" t="s">
        <v>62</v>
      </c>
      <c r="H18" s="18" t="str">
        <f aca="false">IFERROR(INDEX(المرجع!$A$2:$A$19,MATCH($G18,المرجع!$B$2:$B$19,0)),"")</f>
        <v>البناء المؤسسي</v>
      </c>
      <c r="I18" s="20" t="s">
        <v>57</v>
      </c>
      <c r="J18" s="18" t="str">
        <f aca="false">IFERROR(INDEX(المرجع!$D$2:$D$19,MATCH($I18,المرجع!$E$2:$E$19,0)),"")</f>
        <v>الموارد</v>
      </c>
      <c r="K18" s="20" t="s">
        <v>108</v>
      </c>
      <c r="L18" s="21" t="str">
        <f aca="false">IFERROR(INDEX('نقاط التحقق'!$G$2:$G$31,MATCH($K18,'نقاط التحقق'!$A$2:$A$31,0))&amp;"","")</f>
        <v>مدير الوحدة التنظيمية والموظفون الرئيسيون معينون/ملحقون</v>
      </c>
      <c r="M18" s="17" t="n">
        <v>65</v>
      </c>
      <c r="N18" s="17" t="n">
        <v>100</v>
      </c>
      <c r="O18" s="19" t="str">
        <f aca="false">IF($M18="","غير مقيّمة",IF($M18&gt;المرجع!$K$3,"مستوفاة بشكل متقدم",IF($M18&lt;=المرجع!$K$2,"مستوفاة بشكل أولي","مستوفاة بشكل جزئي")))</f>
        <v>مستوفاة بشكل جزئي</v>
      </c>
      <c r="P18" s="22" t="s">
        <v>634</v>
      </c>
    </row>
    <row r="19" customFormat="false" ht="15" hidden="false" customHeight="true" outlineLevel="0" collapsed="false">
      <c r="A19" s="20" t="s">
        <v>833</v>
      </c>
      <c r="B19" s="20" t="s">
        <v>194</v>
      </c>
      <c r="C19" s="19" t="str">
        <f aca="false">IFERROR(INDEX('قائمة الوحدات'!$B$2:$B$41,MATCH($B19,'قائمة الوحدات'!$A$2:$A$41,0)),"")</f>
        <v>MIL</v>
      </c>
      <c r="D19" s="18" t="str">
        <f aca="false">IFERROR(INDEX('قائمة الوحدات'!$C$2:$C$41,MATCH($B19,'قائمة الوحدات'!$A$2:$A$41,0)),"")</f>
        <v>الجهاز العسكري</v>
      </c>
      <c r="E19" s="18" t="str">
        <f aca="false">IFERROR(INDEX('قائمة الوحدات'!$D$2:$D$41,MATCH($B19,'قائمة الوحدات'!$A$2:$A$41,0)),"")</f>
        <v>هيئة الأركان</v>
      </c>
      <c r="F19" s="18" t="str">
        <f aca="false">IFERROR(INDEX('قائمة الوحدات'!$F$2:$F$41,MATCH($B19,'قائمة الوحدات'!$A$2:$A$41,0)),"")</f>
        <v>هيئة الأركان</v>
      </c>
      <c r="G19" s="20" t="s">
        <v>62</v>
      </c>
      <c r="H19" s="18" t="str">
        <f aca="false">IFERROR(INDEX(المرجع!$A$2:$A$19,MATCH($G19,المرجع!$B$2:$B$19,0)),"")</f>
        <v>البناء المؤسسي</v>
      </c>
      <c r="I19" s="20" t="s">
        <v>57</v>
      </c>
      <c r="J19" s="18" t="str">
        <f aca="false">IFERROR(INDEX(المرجع!$D$2:$D$19,MATCH($I19,المرجع!$E$2:$E$19,0)),"")</f>
        <v>الموارد</v>
      </c>
      <c r="K19" s="20" t="s">
        <v>110</v>
      </c>
      <c r="L19" s="21" t="str">
        <f aca="false">IFERROR(INDEX('نقاط التحقق'!$G$2:$G$31,MATCH($K19,'نقاط التحقق'!$A$2:$A$31,0))&amp;"","")</f>
        <v>خطة توظيف وتدريب مستكملة</v>
      </c>
      <c r="M19" s="17" t="n">
        <v>35</v>
      </c>
      <c r="N19" s="17" t="n">
        <v>100</v>
      </c>
      <c r="O19" s="19" t="str">
        <f aca="false">IF($M19="","غير مقيّمة",IF($M19&gt;المرجع!$K$3,"مستوفاة بشكل متقدم",IF($M19&lt;=المرجع!$K$2,"مستوفاة بشكل أولي","مستوفاة بشكل جزئي")))</f>
        <v>مستوفاة بشكل جزئي</v>
      </c>
      <c r="P19" s="22" t="s">
        <v>634</v>
      </c>
    </row>
    <row r="20" customFormat="false" ht="15" hidden="false" customHeight="true" outlineLevel="0" collapsed="false">
      <c r="A20" s="20" t="s">
        <v>834</v>
      </c>
      <c r="B20" s="20" t="s">
        <v>194</v>
      </c>
      <c r="C20" s="19" t="str">
        <f aca="false">IFERROR(INDEX('قائمة الوحدات'!$B$2:$B$41,MATCH($B20,'قائمة الوحدات'!$A$2:$A$41,0)),"")</f>
        <v>MIL</v>
      </c>
      <c r="D20" s="18" t="str">
        <f aca="false">IFERROR(INDEX('قائمة الوحدات'!$C$2:$C$41,MATCH($B20,'قائمة الوحدات'!$A$2:$A$41,0)),"")</f>
        <v>الجهاز العسكري</v>
      </c>
      <c r="E20" s="18" t="str">
        <f aca="false">IFERROR(INDEX('قائمة الوحدات'!$D$2:$D$41,MATCH($B20,'قائمة الوحدات'!$A$2:$A$41,0)),"")</f>
        <v>هيئة الأركان</v>
      </c>
      <c r="F20" s="18" t="str">
        <f aca="false">IFERROR(INDEX('قائمة الوحدات'!$F$2:$F$41,MATCH($B20,'قائمة الوحدات'!$A$2:$A$41,0)),"")</f>
        <v>هيئة الأركان</v>
      </c>
      <c r="G20" s="20" t="s">
        <v>62</v>
      </c>
      <c r="H20" s="18" t="str">
        <f aca="false">IFERROR(INDEX(المرجع!$A$2:$A$19,MATCH($G20,المرجع!$B$2:$B$19,0)),"")</f>
        <v>البناء المؤسسي</v>
      </c>
      <c r="I20" s="20" t="s">
        <v>57</v>
      </c>
      <c r="J20" s="18" t="str">
        <f aca="false">IFERROR(INDEX(المرجع!$D$2:$D$19,MATCH($I20,المرجع!$E$2:$E$19,0)),"")</f>
        <v>الموارد</v>
      </c>
      <c r="K20" s="20" t="s">
        <v>112</v>
      </c>
      <c r="L20" s="21" t="str">
        <f aca="false">IFERROR(INDEX('نقاط التحقق'!$G$2:$G$31,MATCH($K20,'نقاط التحقق'!$A$2:$A$31,0))&amp;"","")</f>
        <v>وجود مساحات مكتبية كافية</v>
      </c>
      <c r="M20" s="17" t="n">
        <v>35</v>
      </c>
      <c r="N20" s="17" t="n">
        <v>100</v>
      </c>
      <c r="O20" s="19" t="str">
        <f aca="false">IF($M20="","غير مقيّمة",IF($M20&gt;المرجع!$K$3,"مستوفاة بشكل متقدم",IF($M20&lt;=المرجع!$K$2,"مستوفاة بشكل أولي","مستوفاة بشكل جزئي")))</f>
        <v>مستوفاة بشكل جزئي</v>
      </c>
      <c r="P20" s="22" t="s">
        <v>634</v>
      </c>
    </row>
    <row r="21" customFormat="false" ht="15" hidden="false" customHeight="true" outlineLevel="0" collapsed="false">
      <c r="A21" s="20" t="s">
        <v>835</v>
      </c>
      <c r="B21" s="20" t="s">
        <v>194</v>
      </c>
      <c r="C21" s="19" t="str">
        <f aca="false">IFERROR(INDEX('قائمة الوحدات'!$B$2:$B$41,MATCH($B21,'قائمة الوحدات'!$A$2:$A$41,0)),"")</f>
        <v>MIL</v>
      </c>
      <c r="D21" s="18" t="str">
        <f aca="false">IFERROR(INDEX('قائمة الوحدات'!$C$2:$C$41,MATCH($B21,'قائمة الوحدات'!$A$2:$A$41,0)),"")</f>
        <v>الجهاز العسكري</v>
      </c>
      <c r="E21" s="18" t="str">
        <f aca="false">IFERROR(INDEX('قائمة الوحدات'!$D$2:$D$41,MATCH($B21,'قائمة الوحدات'!$A$2:$A$41,0)),"")</f>
        <v>هيئة الأركان</v>
      </c>
      <c r="F21" s="18" t="str">
        <f aca="false">IFERROR(INDEX('قائمة الوحدات'!$F$2:$F$41,MATCH($B21,'قائمة الوحدات'!$A$2:$A$41,0)),"")</f>
        <v>هيئة الأركان</v>
      </c>
      <c r="G21" s="20" t="s">
        <v>62</v>
      </c>
      <c r="H21" s="18" t="str">
        <f aca="false">IFERROR(INDEX(المرجع!$A$2:$A$19,MATCH($G21,المرجع!$B$2:$B$19,0)),"")</f>
        <v>البناء المؤسسي</v>
      </c>
      <c r="I21" s="20" t="s">
        <v>57</v>
      </c>
      <c r="J21" s="18" t="str">
        <f aca="false">IFERROR(INDEX(المرجع!$D$2:$D$19,MATCH($I21,المرجع!$E$2:$E$19,0)),"")</f>
        <v>الموارد</v>
      </c>
      <c r="K21" s="20" t="s">
        <v>114</v>
      </c>
      <c r="L21" s="21" t="str">
        <f aca="false">IFERROR(INDEX('نقاط التحقق'!$G$2:$G$31,MATCH($K21,'نقاط التحقق'!$A$2:$A$31,0))&amp;"","")</f>
        <v>وجود الاحتياجات التقنية الأساسية</v>
      </c>
      <c r="M21" s="17" t="n">
        <v>35</v>
      </c>
      <c r="N21" s="17" t="n">
        <v>90</v>
      </c>
      <c r="O21" s="19" t="str">
        <f aca="false">IF($M21="","غير مقيّمة",IF($M21&gt;المرجع!$K$3,"مستوفاة بشكل متقدم",IF($M21&lt;=المرجع!$K$2,"مستوفاة بشكل أولي","مستوفاة بشكل جزئي")))</f>
        <v>مستوفاة بشكل جزئي</v>
      </c>
      <c r="P21" s="22" t="s">
        <v>634</v>
      </c>
    </row>
    <row r="22" customFormat="false" ht="15" hidden="false" customHeight="true" outlineLevel="0" collapsed="false">
      <c r="A22" s="20" t="s">
        <v>836</v>
      </c>
      <c r="B22" s="20" t="s">
        <v>194</v>
      </c>
      <c r="C22" s="19" t="str">
        <f aca="false">IFERROR(INDEX('قائمة الوحدات'!$B$2:$B$41,MATCH($B22,'قائمة الوحدات'!$A$2:$A$41,0)),"")</f>
        <v>MIL</v>
      </c>
      <c r="D22" s="18" t="str">
        <f aca="false">IFERROR(INDEX('قائمة الوحدات'!$C$2:$C$41,MATCH($B22,'قائمة الوحدات'!$A$2:$A$41,0)),"")</f>
        <v>الجهاز العسكري</v>
      </c>
      <c r="E22" s="18" t="str">
        <f aca="false">IFERROR(INDEX('قائمة الوحدات'!$D$2:$D$41,MATCH($B22,'قائمة الوحدات'!$A$2:$A$41,0)),"")</f>
        <v>هيئة الأركان</v>
      </c>
      <c r="F22" s="18" t="str">
        <f aca="false">IFERROR(INDEX('قائمة الوحدات'!$F$2:$F$41,MATCH($B22,'قائمة الوحدات'!$A$2:$A$41,0)),"")</f>
        <v>هيئة الأركان</v>
      </c>
      <c r="G22" s="20" t="s">
        <v>62</v>
      </c>
      <c r="H22" s="18" t="str">
        <f aca="false">IFERROR(INDEX(المرجع!$A$2:$A$19,MATCH($G22,المرجع!$B$2:$B$19,0)),"")</f>
        <v>البناء المؤسسي</v>
      </c>
      <c r="I22" s="20" t="s">
        <v>60</v>
      </c>
      <c r="J22" s="18" t="str">
        <f aca="false">IFERROR(INDEX(المرجع!$D$2:$D$19,MATCH($I22,المرجع!$E$2:$E$19,0)),"")</f>
        <v>الإجراءات</v>
      </c>
      <c r="K22" s="20" t="s">
        <v>116</v>
      </c>
      <c r="L22" s="21" t="str">
        <f aca="false">IFERROR(INDEX('نقاط التحقق'!$G$2:$G$31,MATCH($K22,'نقاط التحقق'!$A$2:$A$31,0))&amp;"","")</f>
        <v>إجراءات معتمدة للوحدة التنظيمية</v>
      </c>
      <c r="M22" s="17" t="n">
        <v>68</v>
      </c>
      <c r="N22" s="17" t="n">
        <v>95</v>
      </c>
      <c r="O22" s="19" t="str">
        <f aca="false">IF($M22="","غير مقيّمة",IF($M22&gt;المرجع!$K$3,"مستوفاة بشكل متقدم",IF($M22&lt;=المرجع!$K$2,"مستوفاة بشكل أولي","مستوفاة بشكل جزئي")))</f>
        <v>مستوفاة بشكل جزئي</v>
      </c>
      <c r="P22" s="22" t="s">
        <v>634</v>
      </c>
    </row>
    <row r="23" customFormat="false" ht="15" hidden="false" customHeight="true" outlineLevel="0" collapsed="false">
      <c r="A23" s="20" t="s">
        <v>837</v>
      </c>
      <c r="B23" s="20" t="s">
        <v>194</v>
      </c>
      <c r="C23" s="19" t="str">
        <f aca="false">IFERROR(INDEX('قائمة الوحدات'!$B$2:$B$41,MATCH($B23,'قائمة الوحدات'!$A$2:$A$41,0)),"")</f>
        <v>MIL</v>
      </c>
      <c r="D23" s="18" t="str">
        <f aca="false">IFERROR(INDEX('قائمة الوحدات'!$C$2:$C$41,MATCH($B23,'قائمة الوحدات'!$A$2:$A$41,0)),"")</f>
        <v>الجهاز العسكري</v>
      </c>
      <c r="E23" s="18" t="str">
        <f aca="false">IFERROR(INDEX('قائمة الوحدات'!$D$2:$D$41,MATCH($B23,'قائمة الوحدات'!$A$2:$A$41,0)),"")</f>
        <v>هيئة الأركان</v>
      </c>
      <c r="F23" s="18" t="str">
        <f aca="false">IFERROR(INDEX('قائمة الوحدات'!$F$2:$F$41,MATCH($B23,'قائمة الوحدات'!$A$2:$A$41,0)),"")</f>
        <v>هيئة الأركان</v>
      </c>
      <c r="G23" s="20" t="s">
        <v>62</v>
      </c>
      <c r="H23" s="18" t="str">
        <f aca="false">IFERROR(INDEX(المرجع!$A$2:$A$19,MATCH($G23,المرجع!$B$2:$B$19,0)),"")</f>
        <v>البناء المؤسسي</v>
      </c>
      <c r="I23" s="20" t="s">
        <v>69</v>
      </c>
      <c r="J23" s="18" t="str">
        <f aca="false">IFERROR(INDEX(المرجع!$D$2:$D$19,MATCH($I23,المرجع!$E$2:$E$19,0)),"")</f>
        <v>إنتاج المخرج الأول</v>
      </c>
      <c r="K23" s="20" t="s">
        <v>118</v>
      </c>
      <c r="L23" s="21" t="str">
        <f aca="false">IFERROR(INDEX('نقاط التحقق'!$G$2:$G$31,MATCH($K23,'نقاط التحقق'!$A$2:$A$31,0))&amp;"","")</f>
        <v>إنتاج المخرج الأول من قبل الوحدة التنظيمية</v>
      </c>
      <c r="M23" s="17" t="n">
        <v>43</v>
      </c>
      <c r="N23" s="17" t="n">
        <v>85</v>
      </c>
      <c r="O23" s="19" t="str">
        <f aca="false">IF($M23="","غير مقيّمة",IF($M23&gt;المرجع!$K$3,"مستوفاة بشكل متقدم",IF($M23&lt;=المرجع!$K$2,"مستوفاة بشكل أولي","مستوفاة بشكل جزئي")))</f>
        <v>مستوفاة بشكل جزئي</v>
      </c>
      <c r="P23" s="22" t="s">
        <v>634</v>
      </c>
    </row>
    <row r="24" customFormat="false" ht="15" hidden="false" customHeight="true" outlineLevel="0" collapsed="false">
      <c r="A24" s="20" t="s">
        <v>838</v>
      </c>
      <c r="B24" s="20" t="s">
        <v>194</v>
      </c>
      <c r="C24" s="19" t="str">
        <f aca="false">IFERROR(INDEX('قائمة الوحدات'!$B$2:$B$41,MATCH($B24,'قائمة الوحدات'!$A$2:$A$41,0)),"")</f>
        <v>MIL</v>
      </c>
      <c r="D24" s="18" t="str">
        <f aca="false">IFERROR(INDEX('قائمة الوحدات'!$C$2:$C$41,MATCH($B24,'قائمة الوحدات'!$A$2:$A$41,0)),"")</f>
        <v>الجهاز العسكري</v>
      </c>
      <c r="E24" s="18" t="str">
        <f aca="false">IFERROR(INDEX('قائمة الوحدات'!$D$2:$D$41,MATCH($B24,'قائمة الوحدات'!$A$2:$A$41,0)),"")</f>
        <v>هيئة الأركان</v>
      </c>
      <c r="F24" s="18" t="str">
        <f aca="false">IFERROR(INDEX('قائمة الوحدات'!$F$2:$F$41,MATCH($B24,'قائمة الوحدات'!$A$2:$A$41,0)),"")</f>
        <v>هيئة الأركان</v>
      </c>
      <c r="G24" s="20" t="s">
        <v>66</v>
      </c>
      <c r="H24" s="18" t="str">
        <f aca="false">IFERROR(INDEX(المرجع!$A$2:$A$19,MATCH($G24,المرجع!$B$2:$B$19,0)),"")</f>
        <v>التشغيل</v>
      </c>
      <c r="I24" s="20" t="s">
        <v>49</v>
      </c>
      <c r="J24" s="18" t="str">
        <f aca="false">IFERROR(INDEX(المرجع!$D$2:$D$19,MATCH($I24,المرجع!$E$2:$E$19,0)),"")</f>
        <v>الأهداف ومؤشرات الأداء</v>
      </c>
      <c r="K24" s="20" t="s">
        <v>120</v>
      </c>
      <c r="L24" s="21" t="str">
        <f aca="false">IFERROR(INDEX('نقاط التحقق'!$G$2:$G$31,MATCH($K24,'نقاط التحقق'!$A$2:$A$31,0))&amp;"","")</f>
        <v>تحرك مؤشرات الأداء التشغيلي للوحدة التنظيمية بشكل إيجابي</v>
      </c>
      <c r="M24" s="17" t="n">
        <v>15</v>
      </c>
      <c r="N24" s="17" t="n">
        <v>100</v>
      </c>
      <c r="O24" s="19" t="str">
        <f aca="false">IF($M24="","غير مقيّمة",IF($M24&gt;المرجع!$K$3,"مستوفاة بشكل متقدم",IF($M24&lt;=المرجع!$K$2,"مستوفاة بشكل أولي","مستوفاة بشكل جزئي")))</f>
        <v>مستوفاة بشكل أولي</v>
      </c>
      <c r="P24" s="22" t="s">
        <v>634</v>
      </c>
    </row>
    <row r="25" customFormat="false" ht="15" hidden="false" customHeight="true" outlineLevel="0" collapsed="false">
      <c r="A25" s="20" t="s">
        <v>839</v>
      </c>
      <c r="B25" s="20" t="s">
        <v>194</v>
      </c>
      <c r="C25" s="19" t="str">
        <f aca="false">IFERROR(INDEX('قائمة الوحدات'!$B$2:$B$41,MATCH($B25,'قائمة الوحدات'!$A$2:$A$41,0)),"")</f>
        <v>MIL</v>
      </c>
      <c r="D25" s="18" t="str">
        <f aca="false">IFERROR(INDEX('قائمة الوحدات'!$C$2:$C$41,MATCH($B25,'قائمة الوحدات'!$A$2:$A$41,0)),"")</f>
        <v>الجهاز العسكري</v>
      </c>
      <c r="E25" s="18" t="str">
        <f aca="false">IFERROR(INDEX('قائمة الوحدات'!$D$2:$D$41,MATCH($B25,'قائمة الوحدات'!$A$2:$A$41,0)),"")</f>
        <v>هيئة الأركان</v>
      </c>
      <c r="F25" s="18" t="str">
        <f aca="false">IFERROR(INDEX('قائمة الوحدات'!$F$2:$F$41,MATCH($B25,'قائمة الوحدات'!$A$2:$A$41,0)),"")</f>
        <v>هيئة الأركان</v>
      </c>
      <c r="G25" s="20" t="s">
        <v>66</v>
      </c>
      <c r="H25" s="18" t="str">
        <f aca="false">IFERROR(INDEX(المرجع!$A$2:$A$19,MATCH($G25,المرجع!$B$2:$B$19,0)),"")</f>
        <v>التشغيل</v>
      </c>
      <c r="I25" s="20" t="s">
        <v>49</v>
      </c>
      <c r="J25" s="18" t="str">
        <f aca="false">IFERROR(INDEX(المرجع!$D$2:$D$19,MATCH($I25,المرجع!$E$2:$E$19,0)),"")</f>
        <v>الأهداف ومؤشرات الأداء</v>
      </c>
      <c r="K25" s="20" t="s">
        <v>122</v>
      </c>
      <c r="L25" s="21" t="str">
        <f aca="false">IFERROR(INDEX('نقاط التحقق'!$G$2:$G$31,MATCH($K25,'نقاط التحقق'!$A$2:$A$31,0))&amp;"","")</f>
        <v>خطة سنوية معتمدة للوحدة التنظيمية</v>
      </c>
      <c r="M25" s="17" t="n">
        <v>35</v>
      </c>
      <c r="N25" s="17" t="n">
        <v>100</v>
      </c>
      <c r="O25" s="19" t="str">
        <f aca="false">IF($M25="","غير مقيّمة",IF($M25&gt;المرجع!$K$3,"مستوفاة بشكل متقدم",IF($M25&lt;=المرجع!$K$2,"مستوفاة بشكل أولي","مستوفاة بشكل جزئي")))</f>
        <v>مستوفاة بشكل جزئي</v>
      </c>
      <c r="P25" s="22" t="s">
        <v>634</v>
      </c>
    </row>
    <row r="26" customFormat="false" ht="15" hidden="false" customHeight="true" outlineLevel="0" collapsed="false">
      <c r="A26" s="20" t="s">
        <v>840</v>
      </c>
      <c r="B26" s="20" t="s">
        <v>194</v>
      </c>
      <c r="C26" s="19" t="str">
        <f aca="false">IFERROR(INDEX('قائمة الوحدات'!$B$2:$B$41,MATCH($B26,'قائمة الوحدات'!$A$2:$A$41,0)),"")</f>
        <v>MIL</v>
      </c>
      <c r="D26" s="18" t="str">
        <f aca="false">IFERROR(INDEX('قائمة الوحدات'!$C$2:$C$41,MATCH($B26,'قائمة الوحدات'!$A$2:$A$41,0)),"")</f>
        <v>الجهاز العسكري</v>
      </c>
      <c r="E26" s="18" t="str">
        <f aca="false">IFERROR(INDEX('قائمة الوحدات'!$D$2:$D$41,MATCH($B26,'قائمة الوحدات'!$A$2:$A$41,0)),"")</f>
        <v>هيئة الأركان</v>
      </c>
      <c r="F26" s="18" t="str">
        <f aca="false">IFERROR(INDEX('قائمة الوحدات'!$F$2:$F$41,MATCH($B26,'قائمة الوحدات'!$A$2:$A$41,0)),"")</f>
        <v>هيئة الأركان</v>
      </c>
      <c r="G26" s="20" t="s">
        <v>66</v>
      </c>
      <c r="H26" s="18" t="str">
        <f aca="false">IFERROR(INDEX(المرجع!$A$2:$A$19,MATCH($G26,المرجع!$B$2:$B$19,0)),"")</f>
        <v>التشغيل</v>
      </c>
      <c r="I26" s="20" t="s">
        <v>52</v>
      </c>
      <c r="J26" s="18" t="str">
        <f aca="false">IFERROR(INDEX(المرجع!$D$2:$D$19,MATCH($I26,المرجع!$E$2:$E$19,0)),"")</f>
        <v>الحوكمة</v>
      </c>
      <c r="K26" s="20" t="s">
        <v>124</v>
      </c>
      <c r="L26" s="21" t="str">
        <f aca="false">IFERROR(INDEX('نقاط التحقق'!$G$2:$G$31,MATCH($K26,'نقاط التحقق'!$A$2:$A$31,0))&amp;"","")</f>
        <v>محاضر لجان موثقة</v>
      </c>
      <c r="M26" s="17" t="n">
        <v>35</v>
      </c>
      <c r="N26" s="17" t="n">
        <v>100</v>
      </c>
      <c r="O26" s="19" t="str">
        <f aca="false">IF($M26="","غير مقيّمة",IF($M26&gt;المرجع!$K$3,"مستوفاة بشكل متقدم",IF($M26&lt;=المرجع!$K$2,"مستوفاة بشكل أولي","مستوفاة بشكل جزئي")))</f>
        <v>مستوفاة بشكل جزئي</v>
      </c>
      <c r="P26" s="22" t="s">
        <v>634</v>
      </c>
    </row>
    <row r="27" customFormat="false" ht="15" hidden="false" customHeight="true" outlineLevel="0" collapsed="false">
      <c r="A27" s="20" t="s">
        <v>841</v>
      </c>
      <c r="B27" s="20" t="s">
        <v>194</v>
      </c>
      <c r="C27" s="19" t="str">
        <f aca="false">IFERROR(INDEX('قائمة الوحدات'!$B$2:$B$41,MATCH($B27,'قائمة الوحدات'!$A$2:$A$41,0)),"")</f>
        <v>MIL</v>
      </c>
      <c r="D27" s="18" t="str">
        <f aca="false">IFERROR(INDEX('قائمة الوحدات'!$C$2:$C$41,MATCH($B27,'قائمة الوحدات'!$A$2:$A$41,0)),"")</f>
        <v>الجهاز العسكري</v>
      </c>
      <c r="E27" s="18" t="str">
        <f aca="false">IFERROR(INDEX('قائمة الوحدات'!$D$2:$D$41,MATCH($B27,'قائمة الوحدات'!$A$2:$A$41,0)),"")</f>
        <v>هيئة الأركان</v>
      </c>
      <c r="F27" s="18" t="str">
        <f aca="false">IFERROR(INDEX('قائمة الوحدات'!$F$2:$F$41,MATCH($B27,'قائمة الوحدات'!$A$2:$A$41,0)),"")</f>
        <v>هيئة الأركان</v>
      </c>
      <c r="G27" s="20" t="s">
        <v>66</v>
      </c>
      <c r="H27" s="18" t="str">
        <f aca="false">IFERROR(INDEX(المرجع!$A$2:$A$19,MATCH($G27,المرجع!$B$2:$B$19,0)),"")</f>
        <v>التشغيل</v>
      </c>
      <c r="I27" s="20" t="s">
        <v>52</v>
      </c>
      <c r="J27" s="18" t="str">
        <f aca="false">IFERROR(INDEX(المرجع!$D$2:$D$19,MATCH($I27,المرجع!$E$2:$E$19,0)),"")</f>
        <v>الحوكمة</v>
      </c>
      <c r="K27" s="20" t="s">
        <v>126</v>
      </c>
      <c r="L27" s="21" t="str">
        <f aca="false">IFERROR(INDEX('نقاط التحقق'!$G$2:$G$31,MATCH($K27,'نقاط التحقق'!$A$2:$A$31,0))&amp;"","")</f>
        <v>نشر السياسات التي تملكها الوحدة التنظيمية</v>
      </c>
      <c r="M27" s="17" t="n">
        <v>35</v>
      </c>
      <c r="N27" s="17" t="n">
        <v>95</v>
      </c>
      <c r="O27" s="19" t="str">
        <f aca="false">IF($M27="","غير مقيّمة",IF($M27&gt;المرجع!$K$3,"مستوفاة بشكل متقدم",IF($M27&lt;=المرجع!$K$2,"مستوفاة بشكل أولي","مستوفاة بشكل جزئي")))</f>
        <v>مستوفاة بشكل جزئي</v>
      </c>
      <c r="P27" s="22" t="s">
        <v>634</v>
      </c>
    </row>
    <row r="28" customFormat="false" ht="15" hidden="false" customHeight="true" outlineLevel="0" collapsed="false">
      <c r="A28" s="20" t="s">
        <v>842</v>
      </c>
      <c r="B28" s="20" t="s">
        <v>194</v>
      </c>
      <c r="C28" s="19" t="str">
        <f aca="false">IFERROR(INDEX('قائمة الوحدات'!$B$2:$B$41,MATCH($B28,'قائمة الوحدات'!$A$2:$A$41,0)),"")</f>
        <v>MIL</v>
      </c>
      <c r="D28" s="18" t="str">
        <f aca="false">IFERROR(INDEX('قائمة الوحدات'!$C$2:$C$41,MATCH($B28,'قائمة الوحدات'!$A$2:$A$41,0)),"")</f>
        <v>الجهاز العسكري</v>
      </c>
      <c r="E28" s="18" t="str">
        <f aca="false">IFERROR(INDEX('قائمة الوحدات'!$D$2:$D$41,MATCH($B28,'قائمة الوحدات'!$A$2:$A$41,0)),"")</f>
        <v>هيئة الأركان</v>
      </c>
      <c r="F28" s="18" t="str">
        <f aca="false">IFERROR(INDEX('قائمة الوحدات'!$F$2:$F$41,MATCH($B28,'قائمة الوحدات'!$A$2:$A$41,0)),"")</f>
        <v>هيئة الأركان</v>
      </c>
      <c r="G28" s="20" t="s">
        <v>66</v>
      </c>
      <c r="H28" s="18" t="str">
        <f aca="false">IFERROR(INDEX(المرجع!$A$2:$A$19,MATCH($G28,المرجع!$B$2:$B$19,0)),"")</f>
        <v>التشغيل</v>
      </c>
      <c r="I28" s="20" t="s">
        <v>52</v>
      </c>
      <c r="J28" s="18" t="str">
        <f aca="false">IFERROR(INDEX(المرجع!$D$2:$D$19,MATCH($I28,المرجع!$E$2:$E$19,0)),"")</f>
        <v>الحوكمة</v>
      </c>
      <c r="K28" s="20" t="s">
        <v>128</v>
      </c>
      <c r="L28" s="21" t="str">
        <f aca="false">IFERROR(INDEX('نقاط التحقق'!$G$2:$G$31,MATCH($K28,'نقاط التحقق'!$A$2:$A$31,0))&amp;"","")</f>
        <v>اتخاذ القرارات في نطاق الصلاحيات (وجود شواهد)</v>
      </c>
      <c r="M28" s="17" t="n">
        <v>35</v>
      </c>
      <c r="N28" s="17" t="n">
        <v>100</v>
      </c>
      <c r="O28" s="19" t="str">
        <f aca="false">IF($M28="","غير مقيّمة",IF($M28&gt;المرجع!$K$3,"مستوفاة بشكل متقدم",IF($M28&lt;=المرجع!$K$2,"مستوفاة بشكل أولي","مستوفاة بشكل جزئي")))</f>
        <v>مستوفاة بشكل جزئي</v>
      </c>
      <c r="P28" s="22" t="s">
        <v>634</v>
      </c>
    </row>
    <row r="29" customFormat="false" ht="15" hidden="false" customHeight="true" outlineLevel="0" collapsed="false">
      <c r="A29" s="20" t="s">
        <v>843</v>
      </c>
      <c r="B29" s="20" t="s">
        <v>194</v>
      </c>
      <c r="C29" s="19" t="str">
        <f aca="false">IFERROR(INDEX('قائمة الوحدات'!$B$2:$B$41,MATCH($B29,'قائمة الوحدات'!$A$2:$A$41,0)),"")</f>
        <v>MIL</v>
      </c>
      <c r="D29" s="18" t="str">
        <f aca="false">IFERROR(INDEX('قائمة الوحدات'!$C$2:$C$41,MATCH($B29,'قائمة الوحدات'!$A$2:$A$41,0)),"")</f>
        <v>الجهاز العسكري</v>
      </c>
      <c r="E29" s="18" t="str">
        <f aca="false">IFERROR(INDEX('قائمة الوحدات'!$D$2:$D$41,MATCH($B29,'قائمة الوحدات'!$A$2:$A$41,0)),"")</f>
        <v>هيئة الأركان</v>
      </c>
      <c r="F29" s="18" t="str">
        <f aca="false">IFERROR(INDEX('قائمة الوحدات'!$F$2:$F$41,MATCH($B29,'قائمة الوحدات'!$A$2:$A$41,0)),"")</f>
        <v>هيئة الأركان</v>
      </c>
      <c r="G29" s="20" t="s">
        <v>66</v>
      </c>
      <c r="H29" s="18" t="str">
        <f aca="false">IFERROR(INDEX(المرجع!$A$2:$A$19,MATCH($G29,المرجع!$B$2:$B$19,0)),"")</f>
        <v>التشغيل</v>
      </c>
      <c r="I29" s="20" t="s">
        <v>57</v>
      </c>
      <c r="J29" s="18" t="str">
        <f aca="false">IFERROR(INDEX(المرجع!$D$2:$D$19,MATCH($I29,المرجع!$E$2:$E$19,0)),"")</f>
        <v>الموارد</v>
      </c>
      <c r="K29" s="20" t="s">
        <v>130</v>
      </c>
      <c r="L29" s="21" t="str">
        <f aca="false">IFERROR(INDEX('نقاط التحقق'!$G$2:$G$31,MATCH($K29,'نقاط التحقق'!$A$2:$A$31,0))&amp;"","")</f>
        <v>موارد مستكملة للحد الأدنى الذي يغطي كافة محاور سلسلة القيمة</v>
      </c>
      <c r="M29" s="17" t="n">
        <v>44</v>
      </c>
      <c r="N29" s="17" t="n">
        <v>90</v>
      </c>
      <c r="O29" s="19" t="str">
        <f aca="false">IF($M29="","غير مقيّمة",IF($M29&gt;المرجع!$K$3,"مستوفاة بشكل متقدم",IF($M29&lt;=المرجع!$K$2,"مستوفاة بشكل أولي","مستوفاة بشكل جزئي")))</f>
        <v>مستوفاة بشكل جزئي</v>
      </c>
      <c r="P29" s="22" t="s">
        <v>634</v>
      </c>
    </row>
    <row r="30" customFormat="false" ht="15" hidden="false" customHeight="true" outlineLevel="0" collapsed="false">
      <c r="A30" s="20" t="s">
        <v>844</v>
      </c>
      <c r="B30" s="20" t="s">
        <v>194</v>
      </c>
      <c r="C30" s="19" t="str">
        <f aca="false">IFERROR(INDEX('قائمة الوحدات'!$B$2:$B$41,MATCH($B30,'قائمة الوحدات'!$A$2:$A$41,0)),"")</f>
        <v>MIL</v>
      </c>
      <c r="D30" s="18" t="str">
        <f aca="false">IFERROR(INDEX('قائمة الوحدات'!$C$2:$C$41,MATCH($B30,'قائمة الوحدات'!$A$2:$A$41,0)),"")</f>
        <v>الجهاز العسكري</v>
      </c>
      <c r="E30" s="18" t="str">
        <f aca="false">IFERROR(INDEX('قائمة الوحدات'!$D$2:$D$41,MATCH($B30,'قائمة الوحدات'!$A$2:$A$41,0)),"")</f>
        <v>هيئة الأركان</v>
      </c>
      <c r="F30" s="18" t="str">
        <f aca="false">IFERROR(INDEX('قائمة الوحدات'!$F$2:$F$41,MATCH($B30,'قائمة الوحدات'!$A$2:$A$41,0)),"")</f>
        <v>هيئة الأركان</v>
      </c>
      <c r="G30" s="20" t="s">
        <v>66</v>
      </c>
      <c r="H30" s="18" t="str">
        <f aca="false">IFERROR(INDEX(المرجع!$A$2:$A$19,MATCH($G30,المرجع!$B$2:$B$19,0)),"")</f>
        <v>التشغيل</v>
      </c>
      <c r="I30" s="20" t="s">
        <v>60</v>
      </c>
      <c r="J30" s="18" t="str">
        <f aca="false">IFERROR(INDEX(المرجع!$D$2:$D$19,MATCH($I30,المرجع!$E$2:$E$19,0)),"")</f>
        <v>الإجراءات</v>
      </c>
      <c r="K30" s="20" t="s">
        <v>132</v>
      </c>
      <c r="L30" s="21" t="str">
        <f aca="false">IFERROR(INDEX('نقاط التحقق'!$G$2:$G$31,MATCH($K30,'نقاط التحقق'!$A$2:$A$31,0))&amp;"","")</f>
        <v>تحقيق تقييم "مطبق بشكل كامل" من منهجية تقييم فعالية الإجراءات</v>
      </c>
      <c r="M30" s="17" t="n">
        <v>58</v>
      </c>
      <c r="N30" s="17" t="n">
        <v>80</v>
      </c>
      <c r="O30" s="19" t="str">
        <f aca="false">IF($M30="","غير مقيّمة",IF($M30&gt;المرجع!$K$3,"مستوفاة بشكل متقدم",IF($M30&lt;=المرجع!$K$2,"مستوفاة بشكل أولي","مستوفاة بشكل جزئي")))</f>
        <v>مستوفاة بشكل جزئي</v>
      </c>
      <c r="P30" s="22" t="s">
        <v>634</v>
      </c>
    </row>
    <row r="31" customFormat="false" ht="15" hidden="false" customHeight="true" outlineLevel="0" collapsed="false">
      <c r="A31" s="20" t="s">
        <v>845</v>
      </c>
      <c r="B31" s="20" t="s">
        <v>194</v>
      </c>
      <c r="C31" s="19" t="str">
        <f aca="false">IFERROR(INDEX('قائمة الوحدات'!$B$2:$B$41,MATCH($B31,'قائمة الوحدات'!$A$2:$A$41,0)),"")</f>
        <v>MIL</v>
      </c>
      <c r="D31" s="18" t="str">
        <f aca="false">IFERROR(INDEX('قائمة الوحدات'!$C$2:$C$41,MATCH($B31,'قائمة الوحدات'!$A$2:$A$41,0)),"")</f>
        <v>الجهاز العسكري</v>
      </c>
      <c r="E31" s="18" t="str">
        <f aca="false">IFERROR(INDEX('قائمة الوحدات'!$D$2:$D$41,MATCH($B31,'قائمة الوحدات'!$A$2:$A$41,0)),"")</f>
        <v>هيئة الأركان</v>
      </c>
      <c r="F31" s="18" t="str">
        <f aca="false">IFERROR(INDEX('قائمة الوحدات'!$F$2:$F$41,MATCH($B31,'قائمة الوحدات'!$A$2:$A$41,0)),"")</f>
        <v>هيئة الأركان</v>
      </c>
      <c r="G31" s="20" t="s">
        <v>66</v>
      </c>
      <c r="H31" s="18" t="str">
        <f aca="false">IFERROR(INDEX(المرجع!$A$2:$A$19,MATCH($G31,المرجع!$B$2:$B$19,0)),"")</f>
        <v>التشغيل</v>
      </c>
      <c r="I31" s="20" t="s">
        <v>71</v>
      </c>
      <c r="J31" s="18" t="str">
        <f aca="false">IFERROR(INDEX(المرجع!$D$2:$D$19,MATCH($I31,المرجع!$E$2:$E$19,0)),"")</f>
        <v>اكتمال المخرجات المستهدفة</v>
      </c>
      <c r="K31" s="20" t="s">
        <v>134</v>
      </c>
      <c r="L31" s="21" t="str">
        <f aca="false">IFERROR(INDEX('نقاط التحقق'!$G$2:$G$31,MATCH($K31,'نقاط التحقق'!$A$2:$A$31,0))&amp;"","")</f>
        <v>اكتمال مخرجات النموذج التشغيلي المستهدف للوحدة التنظيمية</v>
      </c>
      <c r="M31" s="17" t="n">
        <v>43</v>
      </c>
      <c r="N31" s="17" t="n">
        <v>90</v>
      </c>
      <c r="O31" s="19" t="str">
        <f aca="false">IF($M31="","غير مقيّمة",IF($M31&gt;المرجع!$K$3,"مستوفاة بشكل متقدم",IF($M31&lt;=المرجع!$K$2,"مستوفاة بشكل أولي","مستوفاة بشكل جزئي")))</f>
        <v>مستوفاة بشكل جزئي</v>
      </c>
      <c r="P31" s="22" t="s">
        <v>634</v>
      </c>
    </row>
    <row r="32" customFormat="false" ht="15" hidden="false" customHeight="true" outlineLevel="0" collapsed="false">
      <c r="A32" s="20" t="s">
        <v>846</v>
      </c>
      <c r="B32" s="20" t="s">
        <v>198</v>
      </c>
      <c r="C32" s="19" t="str">
        <f aca="false">IFERROR(INDEX('قائمة الوحدات'!$B$2:$B$41,MATCH($B32,'قائمة الوحدات'!$A$2:$A$41,0)),"")</f>
        <v>MIL</v>
      </c>
      <c r="D32" s="18" t="str">
        <f aca="false">IFERROR(INDEX('قائمة الوحدات'!$C$2:$C$41,MATCH($B32,'قائمة الوحدات'!$A$2:$A$41,0)),"")</f>
        <v>الجهاز العسكري</v>
      </c>
      <c r="E32" s="18" t="str">
        <f aca="false">IFERROR(INDEX('قائمة الوحدات'!$D$2:$D$41,MATCH($B32,'قائمة الوحدات'!$A$2:$A$41,0)),"")</f>
        <v>قيادة القوات البرية</v>
      </c>
      <c r="F32" s="18" t="str">
        <f aca="false">IFERROR(INDEX('قائمة الوحدات'!$F$2:$F$41,MATCH($B32,'قائمة الوحدات'!$A$2:$A$41,0)),"")</f>
        <v>قيادة القوات البرية</v>
      </c>
      <c r="G32" s="20" t="s">
        <v>44</v>
      </c>
      <c r="H32" s="18" t="str">
        <f aca="false">IFERROR(INDEX(المرجع!$A$2:$A$19,MATCH($G32,المرجع!$B$2:$B$19,0)),"")</f>
        <v>التصميم</v>
      </c>
      <c r="I32" s="20" t="s">
        <v>46</v>
      </c>
      <c r="J32" s="18" t="str">
        <f aca="false">IFERROR(INDEX(المرجع!$D$2:$D$19,MATCH($I32,المرجع!$E$2:$E$19,0)),"")</f>
        <v>الدور</v>
      </c>
      <c r="K32" s="20" t="s">
        <v>76</v>
      </c>
      <c r="L32" s="21" t="str">
        <f aca="false">IFERROR(INDEX('نقاط التحقق'!$G$2:$G$31,MATCH($K32,'نقاط التحقق'!$A$2:$A$31,0))&amp;"","")</f>
        <v>دور مفصل للوحدة التنظيمية</v>
      </c>
      <c r="M32" s="17" t="n">
        <v>69</v>
      </c>
      <c r="N32" s="17" t="n">
        <v>80</v>
      </c>
      <c r="O32" s="19" t="str">
        <f aca="false">IF($M32="","غير مقيّمة",IF($M32&gt;المرجع!$K$3,"مستوفاة بشكل متقدم",IF($M32&lt;=المرجع!$K$2,"مستوفاة بشكل أولي","مستوفاة بشكل جزئي")))</f>
        <v>مستوفاة بشكل جزئي</v>
      </c>
      <c r="P32" s="22" t="s">
        <v>634</v>
      </c>
    </row>
    <row r="33" customFormat="false" ht="15" hidden="false" customHeight="true" outlineLevel="0" collapsed="false">
      <c r="A33" s="20" t="s">
        <v>847</v>
      </c>
      <c r="B33" s="20" t="s">
        <v>198</v>
      </c>
      <c r="C33" s="19" t="str">
        <f aca="false">IFERROR(INDEX('قائمة الوحدات'!$B$2:$B$41,MATCH($B33,'قائمة الوحدات'!$A$2:$A$41,0)),"")</f>
        <v>MIL</v>
      </c>
      <c r="D33" s="18" t="str">
        <f aca="false">IFERROR(INDEX('قائمة الوحدات'!$C$2:$C$41,MATCH($B33,'قائمة الوحدات'!$A$2:$A$41,0)),"")</f>
        <v>الجهاز العسكري</v>
      </c>
      <c r="E33" s="18" t="str">
        <f aca="false">IFERROR(INDEX('قائمة الوحدات'!$D$2:$D$41,MATCH($B33,'قائمة الوحدات'!$A$2:$A$41,0)),"")</f>
        <v>قيادة القوات البرية</v>
      </c>
      <c r="F33" s="18" t="str">
        <f aca="false">IFERROR(INDEX('قائمة الوحدات'!$F$2:$F$41,MATCH($B33,'قائمة الوحدات'!$A$2:$A$41,0)),"")</f>
        <v>قيادة القوات البرية</v>
      </c>
      <c r="G33" s="20" t="s">
        <v>44</v>
      </c>
      <c r="H33" s="18" t="str">
        <f aca="false">IFERROR(INDEX(المرجع!$A$2:$A$19,MATCH($G33,المرجع!$B$2:$B$19,0)),"")</f>
        <v>التصميم</v>
      </c>
      <c r="I33" s="20" t="s">
        <v>49</v>
      </c>
      <c r="J33" s="18" t="str">
        <f aca="false">IFERROR(INDEX(المرجع!$D$2:$D$19,MATCH($I33,المرجع!$E$2:$E$19,0)),"")</f>
        <v>الأهداف ومؤشرات الأداء</v>
      </c>
      <c r="K33" s="20" t="s">
        <v>78</v>
      </c>
      <c r="L33" s="21" t="str">
        <f aca="false">IFERROR(INDEX('نقاط التحقق'!$G$2:$G$31,MATCH($K33,'نقاط التحقق'!$A$2:$A$31,0))&amp;"","")</f>
        <v>أهداف محددة للوحدة التنظيمية وربطها بمؤشرات أداء لقياسها</v>
      </c>
      <c r="M33" s="17" t="n">
        <v>65</v>
      </c>
      <c r="N33" s="17" t="n">
        <v>100</v>
      </c>
      <c r="O33" s="19" t="str">
        <f aca="false">IF($M33="","غير مقيّمة",IF($M33&gt;المرجع!$K$3,"مستوفاة بشكل متقدم",IF($M33&lt;=المرجع!$K$2,"مستوفاة بشكل أولي","مستوفاة بشكل جزئي")))</f>
        <v>مستوفاة بشكل جزئي</v>
      </c>
      <c r="P33" s="22" t="s">
        <v>634</v>
      </c>
    </row>
    <row r="34" customFormat="false" ht="15" hidden="false" customHeight="true" outlineLevel="0" collapsed="false">
      <c r="A34" s="20" t="s">
        <v>848</v>
      </c>
      <c r="B34" s="20" t="s">
        <v>198</v>
      </c>
      <c r="C34" s="19" t="str">
        <f aca="false">IFERROR(INDEX('قائمة الوحدات'!$B$2:$B$41,MATCH($B34,'قائمة الوحدات'!$A$2:$A$41,0)),"")</f>
        <v>MIL</v>
      </c>
      <c r="D34" s="18" t="str">
        <f aca="false">IFERROR(INDEX('قائمة الوحدات'!$C$2:$C$41,MATCH($B34,'قائمة الوحدات'!$A$2:$A$41,0)),"")</f>
        <v>الجهاز العسكري</v>
      </c>
      <c r="E34" s="18" t="str">
        <f aca="false">IFERROR(INDEX('قائمة الوحدات'!$D$2:$D$41,MATCH($B34,'قائمة الوحدات'!$A$2:$A$41,0)),"")</f>
        <v>قيادة القوات البرية</v>
      </c>
      <c r="F34" s="18" t="str">
        <f aca="false">IFERROR(INDEX('قائمة الوحدات'!$F$2:$F$41,MATCH($B34,'قائمة الوحدات'!$A$2:$A$41,0)),"")</f>
        <v>قيادة القوات البرية</v>
      </c>
      <c r="G34" s="20" t="s">
        <v>44</v>
      </c>
      <c r="H34" s="18" t="str">
        <f aca="false">IFERROR(INDEX(المرجع!$A$2:$A$19,MATCH($G34,المرجع!$B$2:$B$19,0)),"")</f>
        <v>التصميم</v>
      </c>
      <c r="I34" s="20" t="s">
        <v>49</v>
      </c>
      <c r="J34" s="18" t="str">
        <f aca="false">IFERROR(INDEX(المرجع!$D$2:$D$19,MATCH($I34,المرجع!$E$2:$E$19,0)),"")</f>
        <v>الأهداف ومؤشرات الأداء</v>
      </c>
      <c r="K34" s="20" t="s">
        <v>80</v>
      </c>
      <c r="L34" s="21" t="str">
        <f aca="false">IFERROR(INDEX('نقاط التحقق'!$G$2:$G$31,MATCH($K34,'نقاط التحقق'!$A$2:$A$31,0))&amp;"","")</f>
        <v>مؤشرات أداء الوحدة التنظيمية</v>
      </c>
      <c r="M34" s="17" t="n">
        <v>90</v>
      </c>
      <c r="N34" s="17" t="n">
        <v>100</v>
      </c>
      <c r="O34" s="19" t="str">
        <f aca="false">IF($M34="","غير مقيّمة",IF($M34&gt;المرجع!$K$3,"مستوفاة بشكل متقدم",IF($M34&lt;=المرجع!$K$2,"مستوفاة بشكل أولي","مستوفاة بشكل جزئي")))</f>
        <v>مستوفاة بشكل متقدم</v>
      </c>
      <c r="P34" s="22" t="s">
        <v>634</v>
      </c>
    </row>
    <row r="35" customFormat="false" ht="15" hidden="false" customHeight="true" outlineLevel="0" collapsed="false">
      <c r="A35" s="20" t="s">
        <v>849</v>
      </c>
      <c r="B35" s="20" t="s">
        <v>198</v>
      </c>
      <c r="C35" s="19" t="str">
        <f aca="false">IFERROR(INDEX('قائمة الوحدات'!$B$2:$B$41,MATCH($B35,'قائمة الوحدات'!$A$2:$A$41,0)),"")</f>
        <v>MIL</v>
      </c>
      <c r="D35" s="18" t="str">
        <f aca="false">IFERROR(INDEX('قائمة الوحدات'!$C$2:$C$41,MATCH($B35,'قائمة الوحدات'!$A$2:$A$41,0)),"")</f>
        <v>الجهاز العسكري</v>
      </c>
      <c r="E35" s="18" t="str">
        <f aca="false">IFERROR(INDEX('قائمة الوحدات'!$D$2:$D$41,MATCH($B35,'قائمة الوحدات'!$A$2:$A$41,0)),"")</f>
        <v>قيادة القوات البرية</v>
      </c>
      <c r="F35" s="18" t="str">
        <f aca="false">IFERROR(INDEX('قائمة الوحدات'!$F$2:$F$41,MATCH($B35,'قائمة الوحدات'!$A$2:$A$41,0)),"")</f>
        <v>قيادة القوات البرية</v>
      </c>
      <c r="G35" s="20" t="s">
        <v>44</v>
      </c>
      <c r="H35" s="18" t="str">
        <f aca="false">IFERROR(INDEX(المرجع!$A$2:$A$19,MATCH($G35,المرجع!$B$2:$B$19,0)),"")</f>
        <v>التصميم</v>
      </c>
      <c r="I35" s="20" t="s">
        <v>52</v>
      </c>
      <c r="J35" s="18" t="str">
        <f aca="false">IFERROR(INDEX(المرجع!$D$2:$D$19,MATCH($I35,المرجع!$E$2:$E$19,0)),"")</f>
        <v>الحوكمة</v>
      </c>
      <c r="K35" s="20" t="s">
        <v>82</v>
      </c>
      <c r="L35" s="21" t="str">
        <f aca="false">IFERROR(INDEX('نقاط التحقق'!$G$2:$G$31,MATCH($K35,'نقاط التحقق'!$A$2:$A$31,0))&amp;"","")</f>
        <v>تفصيل القرارات ومصفوفة الصلاحيات واللجان ذات العلاقة لاعتماد مخرجات الوحدة التنظيمية</v>
      </c>
      <c r="M35" s="17" t="n">
        <v>76</v>
      </c>
      <c r="N35" s="17" t="n">
        <v>85</v>
      </c>
      <c r="O35" s="19" t="str">
        <f aca="false">IF($M35="","غير مقيّمة",IF($M35&gt;المرجع!$K$3,"مستوفاة بشكل متقدم",IF($M35&lt;=المرجع!$K$2,"مستوفاة بشكل أولي","مستوفاة بشكل جزئي")))</f>
        <v>مستوفاة بشكل متقدم</v>
      </c>
      <c r="P35" s="22" t="s">
        <v>634</v>
      </c>
    </row>
    <row r="36" customFormat="false" ht="15" hidden="false" customHeight="true" outlineLevel="0" collapsed="false">
      <c r="A36" s="20" t="s">
        <v>850</v>
      </c>
      <c r="B36" s="20" t="s">
        <v>198</v>
      </c>
      <c r="C36" s="19" t="str">
        <f aca="false">IFERROR(INDEX('قائمة الوحدات'!$B$2:$B$41,MATCH($B36,'قائمة الوحدات'!$A$2:$A$41,0)),"")</f>
        <v>MIL</v>
      </c>
      <c r="D36" s="18" t="str">
        <f aca="false">IFERROR(INDEX('قائمة الوحدات'!$C$2:$C$41,MATCH($B36,'قائمة الوحدات'!$A$2:$A$41,0)),"")</f>
        <v>الجهاز العسكري</v>
      </c>
      <c r="E36" s="18" t="str">
        <f aca="false">IFERROR(INDEX('قائمة الوحدات'!$D$2:$D$41,MATCH($B36,'قائمة الوحدات'!$A$2:$A$41,0)),"")</f>
        <v>قيادة القوات البرية</v>
      </c>
      <c r="F36" s="18" t="str">
        <f aca="false">IFERROR(INDEX('قائمة الوحدات'!$F$2:$F$41,MATCH($B36,'قائمة الوحدات'!$A$2:$A$41,0)),"")</f>
        <v>قيادة القوات البرية</v>
      </c>
      <c r="G36" s="20" t="s">
        <v>44</v>
      </c>
      <c r="H36" s="18" t="str">
        <f aca="false">IFERROR(INDEX(المرجع!$A$2:$A$19,MATCH($G36,المرجع!$B$2:$B$19,0)),"")</f>
        <v>التصميم</v>
      </c>
      <c r="I36" s="20" t="s">
        <v>55</v>
      </c>
      <c r="J36" s="18" t="str">
        <f aca="false">IFERROR(INDEX(المرجع!$D$2:$D$19,MATCH($I36,المرجع!$E$2:$E$19,0)),"")</f>
        <v>التنظيم</v>
      </c>
      <c r="K36" s="20" t="s">
        <v>84</v>
      </c>
      <c r="L36" s="21" t="str">
        <f aca="false">IFERROR(INDEX('نقاط التحقق'!$G$2:$G$31,MATCH($K36,'نقاط التحقق'!$A$2:$A$31,0))&amp;"","")</f>
        <v>تطوير الأدوار والمسؤوليات للوحدة التنظيمية وتفصيل الهيكل التنظيمي</v>
      </c>
      <c r="M36" s="17" t="n">
        <v>69</v>
      </c>
      <c r="N36" s="17" t="n">
        <v>95</v>
      </c>
      <c r="O36" s="19" t="str">
        <f aca="false">IF($M36="","غير مقيّمة",IF($M36&gt;المرجع!$K$3,"مستوفاة بشكل متقدم",IF($M36&lt;=المرجع!$K$2,"مستوفاة بشكل أولي","مستوفاة بشكل جزئي")))</f>
        <v>مستوفاة بشكل جزئي</v>
      </c>
      <c r="P36" s="22" t="s">
        <v>634</v>
      </c>
    </row>
    <row r="37" customFormat="false" ht="15" hidden="false" customHeight="true" outlineLevel="0" collapsed="false">
      <c r="A37" s="20" t="s">
        <v>851</v>
      </c>
      <c r="B37" s="20" t="s">
        <v>198</v>
      </c>
      <c r="C37" s="19" t="str">
        <f aca="false">IFERROR(INDEX('قائمة الوحدات'!$B$2:$B$41,MATCH($B37,'قائمة الوحدات'!$A$2:$A$41,0)),"")</f>
        <v>MIL</v>
      </c>
      <c r="D37" s="18" t="str">
        <f aca="false">IFERROR(INDEX('قائمة الوحدات'!$C$2:$C$41,MATCH($B37,'قائمة الوحدات'!$A$2:$A$41,0)),"")</f>
        <v>الجهاز العسكري</v>
      </c>
      <c r="E37" s="18" t="str">
        <f aca="false">IFERROR(INDEX('قائمة الوحدات'!$D$2:$D$41,MATCH($B37,'قائمة الوحدات'!$A$2:$A$41,0)),"")</f>
        <v>قيادة القوات البرية</v>
      </c>
      <c r="F37" s="18" t="str">
        <f aca="false">IFERROR(INDEX('قائمة الوحدات'!$F$2:$F$41,MATCH($B37,'قائمة الوحدات'!$A$2:$A$41,0)),"")</f>
        <v>قيادة القوات البرية</v>
      </c>
      <c r="G37" s="20" t="s">
        <v>44</v>
      </c>
      <c r="H37" s="18" t="str">
        <f aca="false">IFERROR(INDEX(المرجع!$A$2:$A$19,MATCH($G37,المرجع!$B$2:$B$19,0)),"")</f>
        <v>التصميم</v>
      </c>
      <c r="I37" s="20" t="s">
        <v>57</v>
      </c>
      <c r="J37" s="18" t="str">
        <f aca="false">IFERROR(INDEX(المرجع!$D$2:$D$19,MATCH($I37,المرجع!$E$2:$E$19,0)),"")</f>
        <v>الموارد</v>
      </c>
      <c r="K37" s="20" t="s">
        <v>86</v>
      </c>
      <c r="L37" s="21" t="str">
        <f aca="false">IFERROR(INDEX('نقاط التحقق'!$G$2:$G$31,MATCH($K37,'نقاط التحقق'!$A$2:$A$31,0))&amp;"","")</f>
        <v>تفصيل احتياج الموارد البشرية للوحدة التنظيمية</v>
      </c>
      <c r="M37" s="17" t="n">
        <v>79</v>
      </c>
      <c r="N37" s="17" t="n">
        <v>80</v>
      </c>
      <c r="O37" s="19" t="str">
        <f aca="false">IF($M37="","غير مقيّمة",IF($M37&gt;المرجع!$K$3,"مستوفاة بشكل متقدم",IF($M37&lt;=المرجع!$K$2,"مستوفاة بشكل أولي","مستوفاة بشكل جزئي")))</f>
        <v>مستوفاة بشكل متقدم</v>
      </c>
      <c r="P37" s="22" t="s">
        <v>634</v>
      </c>
    </row>
    <row r="38" customFormat="false" ht="15" hidden="false" customHeight="true" outlineLevel="0" collapsed="false">
      <c r="A38" s="20" t="s">
        <v>852</v>
      </c>
      <c r="B38" s="20" t="s">
        <v>198</v>
      </c>
      <c r="C38" s="19" t="str">
        <f aca="false">IFERROR(INDEX('قائمة الوحدات'!$B$2:$B$41,MATCH($B38,'قائمة الوحدات'!$A$2:$A$41,0)),"")</f>
        <v>MIL</v>
      </c>
      <c r="D38" s="18" t="str">
        <f aca="false">IFERROR(INDEX('قائمة الوحدات'!$C$2:$C$41,MATCH($B38,'قائمة الوحدات'!$A$2:$A$41,0)),"")</f>
        <v>الجهاز العسكري</v>
      </c>
      <c r="E38" s="18" t="str">
        <f aca="false">IFERROR(INDEX('قائمة الوحدات'!$D$2:$D$41,MATCH($B38,'قائمة الوحدات'!$A$2:$A$41,0)),"")</f>
        <v>قيادة القوات البرية</v>
      </c>
      <c r="F38" s="18" t="str">
        <f aca="false">IFERROR(INDEX('قائمة الوحدات'!$F$2:$F$41,MATCH($B38,'قائمة الوحدات'!$A$2:$A$41,0)),"")</f>
        <v>قيادة القوات البرية</v>
      </c>
      <c r="G38" s="20" t="s">
        <v>44</v>
      </c>
      <c r="H38" s="18" t="str">
        <f aca="false">IFERROR(INDEX(المرجع!$A$2:$A$19,MATCH($G38,المرجع!$B$2:$B$19,0)),"")</f>
        <v>التصميم</v>
      </c>
      <c r="I38" s="20" t="s">
        <v>60</v>
      </c>
      <c r="J38" s="18" t="str">
        <f aca="false">IFERROR(INDEX(المرجع!$D$2:$D$19,MATCH($I38,المرجع!$E$2:$E$19,0)),"")</f>
        <v>الإجراءات</v>
      </c>
      <c r="K38" s="20" t="s">
        <v>88</v>
      </c>
      <c r="L38" s="21" t="str">
        <f aca="false">IFERROR(INDEX('نقاط التحقق'!$G$2:$G$31,MATCH($K38,'نقاط التحقق'!$A$2:$A$31,0))&amp;"","")</f>
        <v>تفصيل المخرجات إلى إجراءات عالية المستوى</v>
      </c>
      <c r="M38" s="17" t="n">
        <v>83</v>
      </c>
      <c r="N38" s="17" t="n">
        <v>90</v>
      </c>
      <c r="O38" s="19" t="str">
        <f aca="false">IF($M38="","غير مقيّمة",IF($M38&gt;المرجع!$K$3,"مستوفاة بشكل متقدم",IF($M38&lt;=المرجع!$K$2,"مستوفاة بشكل أولي","مستوفاة بشكل جزئي")))</f>
        <v>مستوفاة بشكل متقدم</v>
      </c>
      <c r="P38" s="22" t="s">
        <v>634</v>
      </c>
    </row>
    <row r="39" customFormat="false" ht="15" hidden="false" customHeight="true" outlineLevel="0" collapsed="false">
      <c r="A39" s="20" t="s">
        <v>853</v>
      </c>
      <c r="B39" s="20" t="s">
        <v>198</v>
      </c>
      <c r="C39" s="19" t="str">
        <f aca="false">IFERROR(INDEX('قائمة الوحدات'!$B$2:$B$41,MATCH($B39,'قائمة الوحدات'!$A$2:$A$41,0)),"")</f>
        <v>MIL</v>
      </c>
      <c r="D39" s="18" t="str">
        <f aca="false">IFERROR(INDEX('قائمة الوحدات'!$C$2:$C$41,MATCH($B39,'قائمة الوحدات'!$A$2:$A$41,0)),"")</f>
        <v>الجهاز العسكري</v>
      </c>
      <c r="E39" s="18" t="str">
        <f aca="false">IFERROR(INDEX('قائمة الوحدات'!$D$2:$D$41,MATCH($B39,'قائمة الوحدات'!$A$2:$A$41,0)),"")</f>
        <v>قيادة القوات البرية</v>
      </c>
      <c r="F39" s="18" t="str">
        <f aca="false">IFERROR(INDEX('قائمة الوحدات'!$F$2:$F$41,MATCH($B39,'قائمة الوحدات'!$A$2:$A$41,0)),"")</f>
        <v>قيادة القوات البرية</v>
      </c>
      <c r="G39" s="20" t="s">
        <v>62</v>
      </c>
      <c r="H39" s="18" t="str">
        <f aca="false">IFERROR(INDEX(المرجع!$A$2:$A$19,MATCH($G39,المرجع!$B$2:$B$19,0)),"")</f>
        <v>البناء المؤسسي</v>
      </c>
      <c r="I39" s="20" t="s">
        <v>46</v>
      </c>
      <c r="J39" s="18" t="str">
        <f aca="false">IFERROR(INDEX(المرجع!$D$2:$D$19,MATCH($I39,المرجع!$E$2:$E$19,0)),"")</f>
        <v>الدور</v>
      </c>
      <c r="K39" s="20" t="s">
        <v>90</v>
      </c>
      <c r="L39" s="21" t="str">
        <f aca="false">IFERROR(INDEX('نقاط التحقق'!$G$2:$G$31,MATCH($K39,'نقاط التحقق'!$A$2:$A$31,0))&amp;"","")</f>
        <v>دور معتمد للوحدة التنظيمية</v>
      </c>
      <c r="M39" s="17" t="n">
        <v>74</v>
      </c>
      <c r="N39" s="17" t="n">
        <v>80</v>
      </c>
      <c r="O39" s="19" t="str">
        <f aca="false">IF($M39="","غير مقيّمة",IF($M39&gt;المرجع!$K$3,"مستوفاة بشكل متقدم",IF($M39&lt;=المرجع!$K$2,"مستوفاة بشكل أولي","مستوفاة بشكل جزئي")))</f>
        <v>مستوفاة بشكل متقدم</v>
      </c>
      <c r="P39" s="22" t="s">
        <v>634</v>
      </c>
    </row>
    <row r="40" customFormat="false" ht="15" hidden="false" customHeight="true" outlineLevel="0" collapsed="false">
      <c r="A40" s="20" t="s">
        <v>854</v>
      </c>
      <c r="B40" s="20" t="s">
        <v>198</v>
      </c>
      <c r="C40" s="19" t="str">
        <f aca="false">IFERROR(INDEX('قائمة الوحدات'!$B$2:$B$41,MATCH($B40,'قائمة الوحدات'!$A$2:$A$41,0)),"")</f>
        <v>MIL</v>
      </c>
      <c r="D40" s="18" t="str">
        <f aca="false">IFERROR(INDEX('قائمة الوحدات'!$C$2:$C$41,MATCH($B40,'قائمة الوحدات'!$A$2:$A$41,0)),"")</f>
        <v>الجهاز العسكري</v>
      </c>
      <c r="E40" s="18" t="str">
        <f aca="false">IFERROR(INDEX('قائمة الوحدات'!$D$2:$D$41,MATCH($B40,'قائمة الوحدات'!$A$2:$A$41,0)),"")</f>
        <v>قيادة القوات البرية</v>
      </c>
      <c r="F40" s="18" t="str">
        <f aca="false">IFERROR(INDEX('قائمة الوحدات'!$F$2:$F$41,MATCH($B40,'قائمة الوحدات'!$A$2:$A$41,0)),"")</f>
        <v>قيادة القوات البرية</v>
      </c>
      <c r="G40" s="20" t="s">
        <v>62</v>
      </c>
      <c r="H40" s="18" t="str">
        <f aca="false">IFERROR(INDEX(المرجع!$A$2:$A$19,MATCH($G40,المرجع!$B$2:$B$19,0)),"")</f>
        <v>البناء المؤسسي</v>
      </c>
      <c r="I40" s="20" t="s">
        <v>49</v>
      </c>
      <c r="J40" s="18" t="str">
        <f aca="false">IFERROR(INDEX(المرجع!$D$2:$D$19,MATCH($I40,المرجع!$E$2:$E$19,0)),"")</f>
        <v>الأهداف ومؤشرات الأداء</v>
      </c>
      <c r="K40" s="20" t="s">
        <v>92</v>
      </c>
      <c r="L40" s="21" t="str">
        <f aca="false">IFERROR(INDEX('نقاط التحقق'!$G$2:$G$31,MATCH($K40,'نقاط التحقق'!$A$2:$A$31,0))&amp;"","")</f>
        <v>أهداف تشغيلية معتمدة من صاحب الصلاحية</v>
      </c>
      <c r="M40" s="17" t="n">
        <v>45</v>
      </c>
      <c r="N40" s="17" t="n">
        <v>100</v>
      </c>
      <c r="O40" s="19" t="str">
        <f aca="false">IF($M40="","غير مقيّمة",IF($M40&gt;المرجع!$K$3,"مستوفاة بشكل متقدم",IF($M40&lt;=المرجع!$K$2,"مستوفاة بشكل أولي","مستوفاة بشكل جزئي")))</f>
        <v>مستوفاة بشكل جزئي</v>
      </c>
      <c r="P40" s="22" t="s">
        <v>634</v>
      </c>
    </row>
    <row r="41" customFormat="false" ht="15" hidden="false" customHeight="true" outlineLevel="0" collapsed="false">
      <c r="A41" s="20" t="s">
        <v>855</v>
      </c>
      <c r="B41" s="20" t="s">
        <v>198</v>
      </c>
      <c r="C41" s="19" t="str">
        <f aca="false">IFERROR(INDEX('قائمة الوحدات'!$B$2:$B$41,MATCH($B41,'قائمة الوحدات'!$A$2:$A$41,0)),"")</f>
        <v>MIL</v>
      </c>
      <c r="D41" s="18" t="str">
        <f aca="false">IFERROR(INDEX('قائمة الوحدات'!$C$2:$C$41,MATCH($B41,'قائمة الوحدات'!$A$2:$A$41,0)),"")</f>
        <v>الجهاز العسكري</v>
      </c>
      <c r="E41" s="18" t="str">
        <f aca="false">IFERROR(INDEX('قائمة الوحدات'!$D$2:$D$41,MATCH($B41,'قائمة الوحدات'!$A$2:$A$41,0)),"")</f>
        <v>قيادة القوات البرية</v>
      </c>
      <c r="F41" s="18" t="str">
        <f aca="false">IFERROR(INDEX('قائمة الوحدات'!$F$2:$F$41,MATCH($B41,'قائمة الوحدات'!$A$2:$A$41,0)),"")</f>
        <v>قيادة القوات البرية</v>
      </c>
      <c r="G41" s="20" t="s">
        <v>62</v>
      </c>
      <c r="H41" s="18" t="str">
        <f aca="false">IFERROR(INDEX(المرجع!$A$2:$A$19,MATCH($G41,المرجع!$B$2:$B$19,0)),"")</f>
        <v>البناء المؤسسي</v>
      </c>
      <c r="I41" s="20" t="s">
        <v>49</v>
      </c>
      <c r="J41" s="18" t="str">
        <f aca="false">IFERROR(INDEX(المرجع!$D$2:$D$19,MATCH($I41,المرجع!$E$2:$E$19,0)),"")</f>
        <v>الأهداف ومؤشرات الأداء</v>
      </c>
      <c r="K41" s="20" t="s">
        <v>94</v>
      </c>
      <c r="L41" s="21" t="str">
        <f aca="false">IFERROR(INDEX('نقاط التحقق'!$G$2:$G$31,MATCH($K41,'نقاط التحقق'!$A$2:$A$31,0))&amp;"","")</f>
        <v>نشر الأهداف التشغيلية على موظفي الوحدة التنظيمية</v>
      </c>
      <c r="M41" s="17" t="n">
        <v>70</v>
      </c>
      <c r="N41" s="17" t="n">
        <v>80</v>
      </c>
      <c r="O41" s="19" t="str">
        <f aca="false">IF($M41="","غير مقيّمة",IF($M41&gt;المرجع!$K$3,"مستوفاة بشكل متقدم",IF($M41&lt;=المرجع!$K$2,"مستوفاة بشكل أولي","مستوفاة بشكل جزئي")))</f>
        <v>مستوفاة بشكل جزئي</v>
      </c>
      <c r="P41" s="22" t="s">
        <v>634</v>
      </c>
    </row>
    <row r="42" customFormat="false" ht="15" hidden="false" customHeight="true" outlineLevel="0" collapsed="false">
      <c r="A42" s="20" t="s">
        <v>856</v>
      </c>
      <c r="B42" s="20" t="s">
        <v>198</v>
      </c>
      <c r="C42" s="19" t="str">
        <f aca="false">IFERROR(INDEX('قائمة الوحدات'!$B$2:$B$41,MATCH($B42,'قائمة الوحدات'!$A$2:$A$41,0)),"")</f>
        <v>MIL</v>
      </c>
      <c r="D42" s="18" t="str">
        <f aca="false">IFERROR(INDEX('قائمة الوحدات'!$C$2:$C$41,MATCH($B42,'قائمة الوحدات'!$A$2:$A$41,0)),"")</f>
        <v>الجهاز العسكري</v>
      </c>
      <c r="E42" s="18" t="str">
        <f aca="false">IFERROR(INDEX('قائمة الوحدات'!$D$2:$D$41,MATCH($B42,'قائمة الوحدات'!$A$2:$A$41,0)),"")</f>
        <v>قيادة القوات البرية</v>
      </c>
      <c r="F42" s="18" t="str">
        <f aca="false">IFERROR(INDEX('قائمة الوحدات'!$F$2:$F$41,MATCH($B42,'قائمة الوحدات'!$A$2:$A$41,0)),"")</f>
        <v>قيادة القوات البرية</v>
      </c>
      <c r="G42" s="20" t="s">
        <v>62</v>
      </c>
      <c r="H42" s="18" t="str">
        <f aca="false">IFERROR(INDEX(المرجع!$A$2:$A$19,MATCH($G42,المرجع!$B$2:$B$19,0)),"")</f>
        <v>البناء المؤسسي</v>
      </c>
      <c r="I42" s="20" t="s">
        <v>52</v>
      </c>
      <c r="J42" s="18" t="str">
        <f aca="false">IFERROR(INDEX(المرجع!$D$2:$D$19,MATCH($I42,المرجع!$E$2:$E$19,0)),"")</f>
        <v>الحوكمة</v>
      </c>
      <c r="K42" s="20" t="s">
        <v>96</v>
      </c>
      <c r="L42" s="21" t="str">
        <f aca="false">IFERROR(INDEX('نقاط التحقق'!$G$2:$G$31,MATCH($K42,'نقاط التحقق'!$A$2:$A$31,0))&amp;"","")</f>
        <v>مصفوفة صلاحيات معتمدة ومعممة على أصحاب المصلحة</v>
      </c>
      <c r="M42" s="17" t="n">
        <v>75</v>
      </c>
      <c r="N42" s="17" t="n">
        <v>100</v>
      </c>
      <c r="O42" s="19" t="str">
        <f aca="false">IF($M42="","غير مقيّمة",IF($M42&gt;المرجع!$K$3,"مستوفاة بشكل متقدم",IF($M42&lt;=المرجع!$K$2,"مستوفاة بشكل أولي","مستوفاة بشكل جزئي")))</f>
        <v>مستوفاة بشكل متقدم</v>
      </c>
      <c r="P42" s="22" t="s">
        <v>634</v>
      </c>
    </row>
    <row r="43" customFormat="false" ht="15" hidden="false" customHeight="true" outlineLevel="0" collapsed="false">
      <c r="A43" s="20" t="s">
        <v>857</v>
      </c>
      <c r="B43" s="20" t="s">
        <v>198</v>
      </c>
      <c r="C43" s="19" t="str">
        <f aca="false">IFERROR(INDEX('قائمة الوحدات'!$B$2:$B$41,MATCH($B43,'قائمة الوحدات'!$A$2:$A$41,0)),"")</f>
        <v>MIL</v>
      </c>
      <c r="D43" s="18" t="str">
        <f aca="false">IFERROR(INDEX('قائمة الوحدات'!$C$2:$C$41,MATCH($B43,'قائمة الوحدات'!$A$2:$A$41,0)),"")</f>
        <v>الجهاز العسكري</v>
      </c>
      <c r="E43" s="18" t="str">
        <f aca="false">IFERROR(INDEX('قائمة الوحدات'!$D$2:$D$41,MATCH($B43,'قائمة الوحدات'!$A$2:$A$41,0)),"")</f>
        <v>قيادة القوات البرية</v>
      </c>
      <c r="F43" s="18" t="str">
        <f aca="false">IFERROR(INDEX('قائمة الوحدات'!$F$2:$F$41,MATCH($B43,'قائمة الوحدات'!$A$2:$A$41,0)),"")</f>
        <v>قيادة القوات البرية</v>
      </c>
      <c r="G43" s="20" t="s">
        <v>62</v>
      </c>
      <c r="H43" s="18" t="str">
        <f aca="false">IFERROR(INDEX(المرجع!$A$2:$A$19,MATCH($G43,المرجع!$B$2:$B$19,0)),"")</f>
        <v>البناء المؤسسي</v>
      </c>
      <c r="I43" s="20" t="s">
        <v>52</v>
      </c>
      <c r="J43" s="18" t="str">
        <f aca="false">IFERROR(INDEX(المرجع!$D$2:$D$19,MATCH($I43,المرجع!$E$2:$E$19,0)),"")</f>
        <v>الحوكمة</v>
      </c>
      <c r="K43" s="20" t="s">
        <v>98</v>
      </c>
      <c r="L43" s="21" t="str">
        <f aca="false">IFERROR(INDEX('نقاط التحقق'!$G$2:$G$31,MATCH($K43,'نقاط التحقق'!$A$2:$A$31,0))&amp;"","")</f>
        <v>سياسات معتمدة للتي تملكها الوحدة التنظيمية</v>
      </c>
      <c r="M43" s="17" t="n">
        <v>75</v>
      </c>
      <c r="N43" s="17" t="n">
        <v>90</v>
      </c>
      <c r="O43" s="19" t="str">
        <f aca="false">IF($M43="","غير مقيّمة",IF($M43&gt;المرجع!$K$3,"مستوفاة بشكل متقدم",IF($M43&lt;=المرجع!$K$2,"مستوفاة بشكل أولي","مستوفاة بشكل جزئي")))</f>
        <v>مستوفاة بشكل متقدم</v>
      </c>
      <c r="P43" s="22" t="s">
        <v>634</v>
      </c>
    </row>
    <row r="44" customFormat="false" ht="15" hidden="false" customHeight="true" outlineLevel="0" collapsed="false">
      <c r="A44" s="20" t="s">
        <v>858</v>
      </c>
      <c r="B44" s="20" t="s">
        <v>198</v>
      </c>
      <c r="C44" s="19" t="str">
        <f aca="false">IFERROR(INDEX('قائمة الوحدات'!$B$2:$B$41,MATCH($B44,'قائمة الوحدات'!$A$2:$A$41,0)),"")</f>
        <v>MIL</v>
      </c>
      <c r="D44" s="18" t="str">
        <f aca="false">IFERROR(INDEX('قائمة الوحدات'!$C$2:$C$41,MATCH($B44,'قائمة الوحدات'!$A$2:$A$41,0)),"")</f>
        <v>الجهاز العسكري</v>
      </c>
      <c r="E44" s="18" t="str">
        <f aca="false">IFERROR(INDEX('قائمة الوحدات'!$D$2:$D$41,MATCH($B44,'قائمة الوحدات'!$A$2:$A$41,0)),"")</f>
        <v>قيادة القوات البرية</v>
      </c>
      <c r="F44" s="18" t="str">
        <f aca="false">IFERROR(INDEX('قائمة الوحدات'!$F$2:$F$41,MATCH($B44,'قائمة الوحدات'!$A$2:$A$41,0)),"")</f>
        <v>قيادة القوات البرية</v>
      </c>
      <c r="G44" s="20" t="s">
        <v>62</v>
      </c>
      <c r="H44" s="18" t="str">
        <f aca="false">IFERROR(INDEX(المرجع!$A$2:$A$19,MATCH($G44,المرجع!$B$2:$B$19,0)),"")</f>
        <v>البناء المؤسسي</v>
      </c>
      <c r="I44" s="20" t="s">
        <v>52</v>
      </c>
      <c r="J44" s="18" t="str">
        <f aca="false">IFERROR(INDEX(المرجع!$D$2:$D$19,MATCH($I44,المرجع!$E$2:$E$19,0)),"")</f>
        <v>الحوكمة</v>
      </c>
      <c r="K44" s="20" t="s">
        <v>100</v>
      </c>
      <c r="L44" s="21" t="str">
        <f aca="false">IFERROR(INDEX('نقاط التحقق'!$G$2:$G$31,MATCH($K44,'نقاط التحقق'!$A$2:$A$31,0))&amp;"","")</f>
        <v>قرار تشكيل معتمد للجان ذات العلاقة</v>
      </c>
      <c r="M44" s="17" t="n">
        <v>65</v>
      </c>
      <c r="N44" s="17" t="n">
        <v>80</v>
      </c>
      <c r="O44" s="19" t="str">
        <f aca="false">IF($M44="","غير مقيّمة",IF($M44&gt;المرجع!$K$3,"مستوفاة بشكل متقدم",IF($M44&lt;=المرجع!$K$2,"مستوفاة بشكل أولي","مستوفاة بشكل جزئي")))</f>
        <v>مستوفاة بشكل جزئي</v>
      </c>
      <c r="P44" s="22" t="s">
        <v>634</v>
      </c>
    </row>
    <row r="45" customFormat="false" ht="15" hidden="false" customHeight="true" outlineLevel="0" collapsed="false">
      <c r="A45" s="20" t="s">
        <v>859</v>
      </c>
      <c r="B45" s="20" t="s">
        <v>198</v>
      </c>
      <c r="C45" s="19" t="str">
        <f aca="false">IFERROR(INDEX('قائمة الوحدات'!$B$2:$B$41,MATCH($B45,'قائمة الوحدات'!$A$2:$A$41,0)),"")</f>
        <v>MIL</v>
      </c>
      <c r="D45" s="18" t="str">
        <f aca="false">IFERROR(INDEX('قائمة الوحدات'!$C$2:$C$41,MATCH($B45,'قائمة الوحدات'!$A$2:$A$41,0)),"")</f>
        <v>الجهاز العسكري</v>
      </c>
      <c r="E45" s="18" t="str">
        <f aca="false">IFERROR(INDEX('قائمة الوحدات'!$D$2:$D$41,MATCH($B45,'قائمة الوحدات'!$A$2:$A$41,0)),"")</f>
        <v>قيادة القوات البرية</v>
      </c>
      <c r="F45" s="18" t="str">
        <f aca="false">IFERROR(INDEX('قائمة الوحدات'!$F$2:$F$41,MATCH($B45,'قائمة الوحدات'!$A$2:$A$41,0)),"")</f>
        <v>قيادة القوات البرية</v>
      </c>
      <c r="G45" s="20" t="s">
        <v>62</v>
      </c>
      <c r="H45" s="18" t="str">
        <f aca="false">IFERROR(INDEX(المرجع!$A$2:$A$19,MATCH($G45,المرجع!$B$2:$B$19,0)),"")</f>
        <v>البناء المؤسسي</v>
      </c>
      <c r="I45" s="20" t="s">
        <v>55</v>
      </c>
      <c r="J45" s="18" t="str">
        <f aca="false">IFERROR(INDEX(المرجع!$D$2:$D$19,MATCH($I45,المرجع!$E$2:$E$19,0)),"")</f>
        <v>التنظيم</v>
      </c>
      <c r="K45" s="20" t="s">
        <v>102</v>
      </c>
      <c r="L45" s="21" t="str">
        <f aca="false">IFERROR(INDEX('نقاط التحقق'!$G$2:$G$31,MATCH($K45,'نقاط التحقق'!$A$2:$A$31,0))&amp;"","")</f>
        <v>هيكل تنظيمي معتمد من صاحب الصلاحية</v>
      </c>
      <c r="M45" s="17" t="n">
        <v>60</v>
      </c>
      <c r="N45" s="17" t="n">
        <v>100</v>
      </c>
      <c r="O45" s="19" t="str">
        <f aca="false">IF($M45="","غير مقيّمة",IF($M45&gt;المرجع!$K$3,"مستوفاة بشكل متقدم",IF($M45&lt;=المرجع!$K$2,"مستوفاة بشكل أولي","مستوفاة بشكل جزئي")))</f>
        <v>مستوفاة بشكل جزئي</v>
      </c>
      <c r="P45" s="22" t="s">
        <v>634</v>
      </c>
    </row>
    <row r="46" customFormat="false" ht="15" hidden="false" customHeight="true" outlineLevel="0" collapsed="false">
      <c r="A46" s="20" t="s">
        <v>860</v>
      </c>
      <c r="B46" s="20" t="s">
        <v>198</v>
      </c>
      <c r="C46" s="19" t="str">
        <f aca="false">IFERROR(INDEX('قائمة الوحدات'!$B$2:$B$41,MATCH($B46,'قائمة الوحدات'!$A$2:$A$41,0)),"")</f>
        <v>MIL</v>
      </c>
      <c r="D46" s="18" t="str">
        <f aca="false">IFERROR(INDEX('قائمة الوحدات'!$C$2:$C$41,MATCH($B46,'قائمة الوحدات'!$A$2:$A$41,0)),"")</f>
        <v>الجهاز العسكري</v>
      </c>
      <c r="E46" s="18" t="str">
        <f aca="false">IFERROR(INDEX('قائمة الوحدات'!$D$2:$D$41,MATCH($B46,'قائمة الوحدات'!$A$2:$A$41,0)),"")</f>
        <v>قيادة القوات البرية</v>
      </c>
      <c r="F46" s="18" t="str">
        <f aca="false">IFERROR(INDEX('قائمة الوحدات'!$F$2:$F$41,MATCH($B46,'قائمة الوحدات'!$A$2:$A$41,0)),"")</f>
        <v>قيادة القوات البرية</v>
      </c>
      <c r="G46" s="20" t="s">
        <v>62</v>
      </c>
      <c r="H46" s="18" t="str">
        <f aca="false">IFERROR(INDEX(المرجع!$A$2:$A$19,MATCH($G46,المرجع!$B$2:$B$19,0)),"")</f>
        <v>البناء المؤسسي</v>
      </c>
      <c r="I46" s="20" t="s">
        <v>55</v>
      </c>
      <c r="J46" s="18" t="str">
        <f aca="false">IFERROR(INDEX(المرجع!$D$2:$D$19,MATCH($I46,المرجع!$E$2:$E$19,0)),"")</f>
        <v>التنظيم</v>
      </c>
      <c r="K46" s="20" t="s">
        <v>104</v>
      </c>
      <c r="L46" s="21" t="str">
        <f aca="false">IFERROR(INDEX('نقاط التحقق'!$G$2:$G$31,MATCH($K46,'نقاط التحقق'!$A$2:$A$31,0))&amp;"","")</f>
        <v>هيكل تنظيمي منشأ على نظام القوى العاملة</v>
      </c>
      <c r="M46" s="17" t="n">
        <v>30</v>
      </c>
      <c r="N46" s="17" t="n">
        <v>100</v>
      </c>
      <c r="O46" s="19" t="str">
        <f aca="false">IF($M46="","غير مقيّمة",IF($M46&gt;المرجع!$K$3,"مستوفاة بشكل متقدم",IF($M46&lt;=المرجع!$K$2,"مستوفاة بشكل أولي","مستوفاة بشكل جزئي")))</f>
        <v>مستوفاة بشكل أولي</v>
      </c>
      <c r="P46" s="22" t="s">
        <v>634</v>
      </c>
    </row>
    <row r="47" customFormat="false" ht="15" hidden="false" customHeight="true" outlineLevel="0" collapsed="false">
      <c r="A47" s="20" t="s">
        <v>861</v>
      </c>
      <c r="B47" s="20" t="s">
        <v>198</v>
      </c>
      <c r="C47" s="19" t="str">
        <f aca="false">IFERROR(INDEX('قائمة الوحدات'!$B$2:$B$41,MATCH($B47,'قائمة الوحدات'!$A$2:$A$41,0)),"")</f>
        <v>MIL</v>
      </c>
      <c r="D47" s="18" t="str">
        <f aca="false">IFERROR(INDEX('قائمة الوحدات'!$C$2:$C$41,MATCH($B47,'قائمة الوحدات'!$A$2:$A$41,0)),"")</f>
        <v>الجهاز العسكري</v>
      </c>
      <c r="E47" s="18" t="str">
        <f aca="false">IFERROR(INDEX('قائمة الوحدات'!$D$2:$D$41,MATCH($B47,'قائمة الوحدات'!$A$2:$A$41,0)),"")</f>
        <v>قيادة القوات البرية</v>
      </c>
      <c r="F47" s="18" t="str">
        <f aca="false">IFERROR(INDEX('قائمة الوحدات'!$F$2:$F$41,MATCH($B47,'قائمة الوحدات'!$A$2:$A$41,0)),"")</f>
        <v>قيادة القوات البرية</v>
      </c>
      <c r="G47" s="20" t="s">
        <v>62</v>
      </c>
      <c r="H47" s="18" t="str">
        <f aca="false">IFERROR(INDEX(المرجع!$A$2:$A$19,MATCH($G47,المرجع!$B$2:$B$19,0)),"")</f>
        <v>البناء المؤسسي</v>
      </c>
      <c r="I47" s="20" t="s">
        <v>55</v>
      </c>
      <c r="J47" s="18" t="str">
        <f aca="false">IFERROR(INDEX(المرجع!$D$2:$D$19,MATCH($I47,المرجع!$E$2:$E$19,0)),"")</f>
        <v>التنظيم</v>
      </c>
      <c r="K47" s="20" t="s">
        <v>106</v>
      </c>
      <c r="L47" s="21" t="str">
        <f aca="false">IFERROR(INDEX('نقاط التحقق'!$G$2:$G$31,MATCH($K47,'نقاط التحقق'!$A$2:$A$31,0))&amp;"","")</f>
        <v>الموظفون المحددون مسكّنون على الهيكل التنظيمي المستهدف</v>
      </c>
      <c r="M47" s="17" t="n">
        <v>40</v>
      </c>
      <c r="N47" s="17" t="n">
        <v>85</v>
      </c>
      <c r="O47" s="19" t="str">
        <f aca="false">IF($M47="","غير مقيّمة",IF($M47&gt;المرجع!$K$3,"مستوفاة بشكل متقدم",IF($M47&lt;=المرجع!$K$2,"مستوفاة بشكل أولي","مستوفاة بشكل جزئي")))</f>
        <v>مستوفاة بشكل جزئي</v>
      </c>
      <c r="P47" s="22" t="s">
        <v>634</v>
      </c>
    </row>
    <row r="48" customFormat="false" ht="15" hidden="false" customHeight="true" outlineLevel="0" collapsed="false">
      <c r="A48" s="20" t="s">
        <v>862</v>
      </c>
      <c r="B48" s="20" t="s">
        <v>198</v>
      </c>
      <c r="C48" s="19" t="str">
        <f aca="false">IFERROR(INDEX('قائمة الوحدات'!$B$2:$B$41,MATCH($B48,'قائمة الوحدات'!$A$2:$A$41,0)),"")</f>
        <v>MIL</v>
      </c>
      <c r="D48" s="18" t="str">
        <f aca="false">IFERROR(INDEX('قائمة الوحدات'!$C$2:$C$41,MATCH($B48,'قائمة الوحدات'!$A$2:$A$41,0)),"")</f>
        <v>الجهاز العسكري</v>
      </c>
      <c r="E48" s="18" t="str">
        <f aca="false">IFERROR(INDEX('قائمة الوحدات'!$D$2:$D$41,MATCH($B48,'قائمة الوحدات'!$A$2:$A$41,0)),"")</f>
        <v>قيادة القوات البرية</v>
      </c>
      <c r="F48" s="18" t="str">
        <f aca="false">IFERROR(INDEX('قائمة الوحدات'!$F$2:$F$41,MATCH($B48,'قائمة الوحدات'!$A$2:$A$41,0)),"")</f>
        <v>قيادة القوات البرية</v>
      </c>
      <c r="G48" s="20" t="s">
        <v>62</v>
      </c>
      <c r="H48" s="18" t="str">
        <f aca="false">IFERROR(INDEX(المرجع!$A$2:$A$19,MATCH($G48,المرجع!$B$2:$B$19,0)),"")</f>
        <v>البناء المؤسسي</v>
      </c>
      <c r="I48" s="20" t="s">
        <v>57</v>
      </c>
      <c r="J48" s="18" t="str">
        <f aca="false">IFERROR(INDEX(المرجع!$D$2:$D$19,MATCH($I48,المرجع!$E$2:$E$19,0)),"")</f>
        <v>الموارد</v>
      </c>
      <c r="K48" s="20" t="s">
        <v>108</v>
      </c>
      <c r="L48" s="21" t="str">
        <f aca="false">IFERROR(INDEX('نقاط التحقق'!$G$2:$G$31,MATCH($K48,'نقاط التحقق'!$A$2:$A$31,0))&amp;"","")</f>
        <v>مدير الوحدة التنظيمية والموظفون الرئيسيون معينون/ملحقون</v>
      </c>
      <c r="M48" s="17" t="n">
        <v>40</v>
      </c>
      <c r="N48" s="17" t="n">
        <v>80</v>
      </c>
      <c r="O48" s="19" t="str">
        <f aca="false">IF($M48="","غير مقيّمة",IF($M48&gt;المرجع!$K$3,"مستوفاة بشكل متقدم",IF($M48&lt;=المرجع!$K$2,"مستوفاة بشكل أولي","مستوفاة بشكل جزئي")))</f>
        <v>مستوفاة بشكل جزئي</v>
      </c>
      <c r="P48" s="22" t="s">
        <v>634</v>
      </c>
    </row>
    <row r="49" customFormat="false" ht="15" hidden="false" customHeight="true" outlineLevel="0" collapsed="false">
      <c r="A49" s="20" t="s">
        <v>863</v>
      </c>
      <c r="B49" s="20" t="s">
        <v>198</v>
      </c>
      <c r="C49" s="19" t="str">
        <f aca="false">IFERROR(INDEX('قائمة الوحدات'!$B$2:$B$41,MATCH($B49,'قائمة الوحدات'!$A$2:$A$41,0)),"")</f>
        <v>MIL</v>
      </c>
      <c r="D49" s="18" t="str">
        <f aca="false">IFERROR(INDEX('قائمة الوحدات'!$C$2:$C$41,MATCH($B49,'قائمة الوحدات'!$A$2:$A$41,0)),"")</f>
        <v>الجهاز العسكري</v>
      </c>
      <c r="E49" s="18" t="str">
        <f aca="false">IFERROR(INDEX('قائمة الوحدات'!$D$2:$D$41,MATCH($B49,'قائمة الوحدات'!$A$2:$A$41,0)),"")</f>
        <v>قيادة القوات البرية</v>
      </c>
      <c r="F49" s="18" t="str">
        <f aca="false">IFERROR(INDEX('قائمة الوحدات'!$F$2:$F$41,MATCH($B49,'قائمة الوحدات'!$A$2:$A$41,0)),"")</f>
        <v>قيادة القوات البرية</v>
      </c>
      <c r="G49" s="20" t="s">
        <v>62</v>
      </c>
      <c r="H49" s="18" t="str">
        <f aca="false">IFERROR(INDEX(المرجع!$A$2:$A$19,MATCH($G49,المرجع!$B$2:$B$19,0)),"")</f>
        <v>البناء المؤسسي</v>
      </c>
      <c r="I49" s="20" t="s">
        <v>57</v>
      </c>
      <c r="J49" s="18" t="str">
        <f aca="false">IFERROR(INDEX(المرجع!$D$2:$D$19,MATCH($I49,المرجع!$E$2:$E$19,0)),"")</f>
        <v>الموارد</v>
      </c>
      <c r="K49" s="20" t="s">
        <v>110</v>
      </c>
      <c r="L49" s="21" t="str">
        <f aca="false">IFERROR(INDEX('نقاط التحقق'!$G$2:$G$31,MATCH($K49,'نقاط التحقق'!$A$2:$A$31,0))&amp;"","")</f>
        <v>خطة توظيف وتدريب مستكملة</v>
      </c>
      <c r="M49" s="17" t="n">
        <v>65</v>
      </c>
      <c r="N49" s="17" t="n">
        <v>90</v>
      </c>
      <c r="O49" s="19" t="str">
        <f aca="false">IF($M49="","غير مقيّمة",IF($M49&gt;المرجع!$K$3,"مستوفاة بشكل متقدم",IF($M49&lt;=المرجع!$K$2,"مستوفاة بشكل أولي","مستوفاة بشكل جزئي")))</f>
        <v>مستوفاة بشكل جزئي</v>
      </c>
      <c r="P49" s="22" t="s">
        <v>634</v>
      </c>
    </row>
    <row r="50" customFormat="false" ht="15" hidden="false" customHeight="true" outlineLevel="0" collapsed="false">
      <c r="A50" s="20" t="s">
        <v>864</v>
      </c>
      <c r="B50" s="20" t="s">
        <v>198</v>
      </c>
      <c r="C50" s="19" t="str">
        <f aca="false">IFERROR(INDEX('قائمة الوحدات'!$B$2:$B$41,MATCH($B50,'قائمة الوحدات'!$A$2:$A$41,0)),"")</f>
        <v>MIL</v>
      </c>
      <c r="D50" s="18" t="str">
        <f aca="false">IFERROR(INDEX('قائمة الوحدات'!$C$2:$C$41,MATCH($B50,'قائمة الوحدات'!$A$2:$A$41,0)),"")</f>
        <v>الجهاز العسكري</v>
      </c>
      <c r="E50" s="18" t="str">
        <f aca="false">IFERROR(INDEX('قائمة الوحدات'!$D$2:$D$41,MATCH($B50,'قائمة الوحدات'!$A$2:$A$41,0)),"")</f>
        <v>قيادة القوات البرية</v>
      </c>
      <c r="F50" s="18" t="str">
        <f aca="false">IFERROR(INDEX('قائمة الوحدات'!$F$2:$F$41,MATCH($B50,'قائمة الوحدات'!$A$2:$A$41,0)),"")</f>
        <v>قيادة القوات البرية</v>
      </c>
      <c r="G50" s="20" t="s">
        <v>62</v>
      </c>
      <c r="H50" s="18" t="str">
        <f aca="false">IFERROR(INDEX(المرجع!$A$2:$A$19,MATCH($G50,المرجع!$B$2:$B$19,0)),"")</f>
        <v>البناء المؤسسي</v>
      </c>
      <c r="I50" s="20" t="s">
        <v>57</v>
      </c>
      <c r="J50" s="18" t="str">
        <f aca="false">IFERROR(INDEX(المرجع!$D$2:$D$19,MATCH($I50,المرجع!$E$2:$E$19,0)),"")</f>
        <v>الموارد</v>
      </c>
      <c r="K50" s="20" t="s">
        <v>112</v>
      </c>
      <c r="L50" s="21" t="str">
        <f aca="false">IFERROR(INDEX('نقاط التحقق'!$G$2:$G$31,MATCH($K50,'نقاط التحقق'!$A$2:$A$31,0))&amp;"","")</f>
        <v>وجود مساحات مكتبية كافية</v>
      </c>
      <c r="M50" s="17" t="n">
        <v>50</v>
      </c>
      <c r="N50" s="17" t="n">
        <v>100</v>
      </c>
      <c r="O50" s="19" t="str">
        <f aca="false">IF($M50="","غير مقيّمة",IF($M50&gt;المرجع!$K$3,"مستوفاة بشكل متقدم",IF($M50&lt;=المرجع!$K$2,"مستوفاة بشكل أولي","مستوفاة بشكل جزئي")))</f>
        <v>مستوفاة بشكل جزئي</v>
      </c>
      <c r="P50" s="22" t="s">
        <v>634</v>
      </c>
    </row>
    <row r="51" customFormat="false" ht="15" hidden="false" customHeight="true" outlineLevel="0" collapsed="false">
      <c r="A51" s="20" t="s">
        <v>865</v>
      </c>
      <c r="B51" s="20" t="s">
        <v>198</v>
      </c>
      <c r="C51" s="19" t="str">
        <f aca="false">IFERROR(INDEX('قائمة الوحدات'!$B$2:$B$41,MATCH($B51,'قائمة الوحدات'!$A$2:$A$41,0)),"")</f>
        <v>MIL</v>
      </c>
      <c r="D51" s="18" t="str">
        <f aca="false">IFERROR(INDEX('قائمة الوحدات'!$C$2:$C$41,MATCH($B51,'قائمة الوحدات'!$A$2:$A$41,0)),"")</f>
        <v>الجهاز العسكري</v>
      </c>
      <c r="E51" s="18" t="str">
        <f aca="false">IFERROR(INDEX('قائمة الوحدات'!$D$2:$D$41,MATCH($B51,'قائمة الوحدات'!$A$2:$A$41,0)),"")</f>
        <v>قيادة القوات البرية</v>
      </c>
      <c r="F51" s="18" t="str">
        <f aca="false">IFERROR(INDEX('قائمة الوحدات'!$F$2:$F$41,MATCH($B51,'قائمة الوحدات'!$A$2:$A$41,0)),"")</f>
        <v>قيادة القوات البرية</v>
      </c>
      <c r="G51" s="20" t="s">
        <v>62</v>
      </c>
      <c r="H51" s="18" t="str">
        <f aca="false">IFERROR(INDEX(المرجع!$A$2:$A$19,MATCH($G51,المرجع!$B$2:$B$19,0)),"")</f>
        <v>البناء المؤسسي</v>
      </c>
      <c r="I51" s="20" t="s">
        <v>57</v>
      </c>
      <c r="J51" s="18" t="str">
        <f aca="false">IFERROR(INDEX(المرجع!$D$2:$D$19,MATCH($I51,المرجع!$E$2:$E$19,0)),"")</f>
        <v>الموارد</v>
      </c>
      <c r="K51" s="20" t="s">
        <v>114</v>
      </c>
      <c r="L51" s="21" t="str">
        <f aca="false">IFERROR(INDEX('نقاط التحقق'!$G$2:$G$31,MATCH($K51,'نقاط التحقق'!$A$2:$A$31,0))&amp;"","")</f>
        <v>وجود الاحتياجات التقنية الأساسية</v>
      </c>
      <c r="M51" s="17" t="n">
        <v>60</v>
      </c>
      <c r="N51" s="17" t="n">
        <v>80</v>
      </c>
      <c r="O51" s="19" t="str">
        <f aca="false">IF($M51="","غير مقيّمة",IF($M51&gt;المرجع!$K$3,"مستوفاة بشكل متقدم",IF($M51&lt;=المرجع!$K$2,"مستوفاة بشكل أولي","مستوفاة بشكل جزئي")))</f>
        <v>مستوفاة بشكل جزئي</v>
      </c>
      <c r="P51" s="22" t="s">
        <v>634</v>
      </c>
    </row>
    <row r="52" customFormat="false" ht="15" hidden="false" customHeight="true" outlineLevel="0" collapsed="false">
      <c r="A52" s="20" t="s">
        <v>866</v>
      </c>
      <c r="B52" s="20" t="s">
        <v>198</v>
      </c>
      <c r="C52" s="19" t="str">
        <f aca="false">IFERROR(INDEX('قائمة الوحدات'!$B$2:$B$41,MATCH($B52,'قائمة الوحدات'!$A$2:$A$41,0)),"")</f>
        <v>MIL</v>
      </c>
      <c r="D52" s="18" t="str">
        <f aca="false">IFERROR(INDEX('قائمة الوحدات'!$C$2:$C$41,MATCH($B52,'قائمة الوحدات'!$A$2:$A$41,0)),"")</f>
        <v>الجهاز العسكري</v>
      </c>
      <c r="E52" s="18" t="str">
        <f aca="false">IFERROR(INDEX('قائمة الوحدات'!$D$2:$D$41,MATCH($B52,'قائمة الوحدات'!$A$2:$A$41,0)),"")</f>
        <v>قيادة القوات البرية</v>
      </c>
      <c r="F52" s="18" t="str">
        <f aca="false">IFERROR(INDEX('قائمة الوحدات'!$F$2:$F$41,MATCH($B52,'قائمة الوحدات'!$A$2:$A$41,0)),"")</f>
        <v>قيادة القوات البرية</v>
      </c>
      <c r="G52" s="20" t="s">
        <v>62</v>
      </c>
      <c r="H52" s="18" t="str">
        <f aca="false">IFERROR(INDEX(المرجع!$A$2:$A$19,MATCH($G52,المرجع!$B$2:$B$19,0)),"")</f>
        <v>البناء المؤسسي</v>
      </c>
      <c r="I52" s="20" t="s">
        <v>60</v>
      </c>
      <c r="J52" s="18" t="str">
        <f aca="false">IFERROR(INDEX(المرجع!$D$2:$D$19,MATCH($I52,المرجع!$E$2:$E$19,0)),"")</f>
        <v>الإجراءات</v>
      </c>
      <c r="K52" s="20" t="s">
        <v>116</v>
      </c>
      <c r="L52" s="21" t="str">
        <f aca="false">IFERROR(INDEX('نقاط التحقق'!$G$2:$G$31,MATCH($K52,'نقاط التحقق'!$A$2:$A$31,0))&amp;"","")</f>
        <v>إجراءات معتمدة للوحدة التنظيمية</v>
      </c>
      <c r="M52" s="17" t="n">
        <v>48</v>
      </c>
      <c r="N52" s="17" t="n">
        <v>95</v>
      </c>
      <c r="O52" s="19" t="str">
        <f aca="false">IF($M52="","غير مقيّمة",IF($M52&gt;المرجع!$K$3,"مستوفاة بشكل متقدم",IF($M52&lt;=المرجع!$K$2,"مستوفاة بشكل أولي","مستوفاة بشكل جزئي")))</f>
        <v>مستوفاة بشكل جزئي</v>
      </c>
      <c r="P52" s="22" t="s">
        <v>634</v>
      </c>
    </row>
    <row r="53" customFormat="false" ht="15" hidden="false" customHeight="true" outlineLevel="0" collapsed="false">
      <c r="A53" s="20" t="s">
        <v>867</v>
      </c>
      <c r="B53" s="20" t="s">
        <v>198</v>
      </c>
      <c r="C53" s="19" t="str">
        <f aca="false">IFERROR(INDEX('قائمة الوحدات'!$B$2:$B$41,MATCH($B53,'قائمة الوحدات'!$A$2:$A$41,0)),"")</f>
        <v>MIL</v>
      </c>
      <c r="D53" s="18" t="str">
        <f aca="false">IFERROR(INDEX('قائمة الوحدات'!$C$2:$C$41,MATCH($B53,'قائمة الوحدات'!$A$2:$A$41,0)),"")</f>
        <v>الجهاز العسكري</v>
      </c>
      <c r="E53" s="18" t="str">
        <f aca="false">IFERROR(INDEX('قائمة الوحدات'!$D$2:$D$41,MATCH($B53,'قائمة الوحدات'!$A$2:$A$41,0)),"")</f>
        <v>قيادة القوات البرية</v>
      </c>
      <c r="F53" s="18" t="str">
        <f aca="false">IFERROR(INDEX('قائمة الوحدات'!$F$2:$F$41,MATCH($B53,'قائمة الوحدات'!$A$2:$A$41,0)),"")</f>
        <v>قيادة القوات البرية</v>
      </c>
      <c r="G53" s="20" t="s">
        <v>62</v>
      </c>
      <c r="H53" s="18" t="str">
        <f aca="false">IFERROR(INDEX(المرجع!$A$2:$A$19,MATCH($G53,المرجع!$B$2:$B$19,0)),"")</f>
        <v>البناء المؤسسي</v>
      </c>
      <c r="I53" s="20" t="s">
        <v>69</v>
      </c>
      <c r="J53" s="18" t="str">
        <f aca="false">IFERROR(INDEX(المرجع!$D$2:$D$19,MATCH($I53,المرجع!$E$2:$E$19,0)),"")</f>
        <v>إنتاج المخرج الأول</v>
      </c>
      <c r="K53" s="20" t="s">
        <v>118</v>
      </c>
      <c r="L53" s="21" t="str">
        <f aca="false">IFERROR(INDEX('نقاط التحقق'!$G$2:$G$31,MATCH($K53,'نقاط التحقق'!$A$2:$A$31,0))&amp;"","")</f>
        <v>إنتاج المخرج الأول من قبل الوحدة التنظيمية</v>
      </c>
      <c r="M53" s="17" t="n">
        <v>44</v>
      </c>
      <c r="N53" s="17" t="n">
        <v>80</v>
      </c>
      <c r="O53" s="19" t="str">
        <f aca="false">IF($M53="","غير مقيّمة",IF($M53&gt;المرجع!$K$3,"مستوفاة بشكل متقدم",IF($M53&lt;=المرجع!$K$2,"مستوفاة بشكل أولي","مستوفاة بشكل جزئي")))</f>
        <v>مستوفاة بشكل جزئي</v>
      </c>
      <c r="P53" s="22" t="s">
        <v>634</v>
      </c>
    </row>
    <row r="54" customFormat="false" ht="15" hidden="false" customHeight="true" outlineLevel="0" collapsed="false">
      <c r="A54" s="20" t="s">
        <v>868</v>
      </c>
      <c r="B54" s="20" t="s">
        <v>198</v>
      </c>
      <c r="C54" s="19" t="str">
        <f aca="false">IFERROR(INDEX('قائمة الوحدات'!$B$2:$B$41,MATCH($B54,'قائمة الوحدات'!$A$2:$A$41,0)),"")</f>
        <v>MIL</v>
      </c>
      <c r="D54" s="18" t="str">
        <f aca="false">IFERROR(INDEX('قائمة الوحدات'!$C$2:$C$41,MATCH($B54,'قائمة الوحدات'!$A$2:$A$41,0)),"")</f>
        <v>الجهاز العسكري</v>
      </c>
      <c r="E54" s="18" t="str">
        <f aca="false">IFERROR(INDEX('قائمة الوحدات'!$D$2:$D$41,MATCH($B54,'قائمة الوحدات'!$A$2:$A$41,0)),"")</f>
        <v>قيادة القوات البرية</v>
      </c>
      <c r="F54" s="18" t="str">
        <f aca="false">IFERROR(INDEX('قائمة الوحدات'!$F$2:$F$41,MATCH($B54,'قائمة الوحدات'!$A$2:$A$41,0)),"")</f>
        <v>قيادة القوات البرية</v>
      </c>
      <c r="G54" s="20" t="s">
        <v>66</v>
      </c>
      <c r="H54" s="18" t="str">
        <f aca="false">IFERROR(INDEX(المرجع!$A$2:$A$19,MATCH($G54,المرجع!$B$2:$B$19,0)),"")</f>
        <v>التشغيل</v>
      </c>
      <c r="I54" s="20" t="s">
        <v>49</v>
      </c>
      <c r="J54" s="18" t="str">
        <f aca="false">IFERROR(INDEX(المرجع!$D$2:$D$19,MATCH($I54,المرجع!$E$2:$E$19,0)),"")</f>
        <v>الأهداف ومؤشرات الأداء</v>
      </c>
      <c r="K54" s="20" t="s">
        <v>120</v>
      </c>
      <c r="L54" s="21" t="str">
        <f aca="false">IFERROR(INDEX('نقاط التحقق'!$G$2:$G$31,MATCH($K54,'نقاط التحقق'!$A$2:$A$31,0))&amp;"","")</f>
        <v>تحرك مؤشرات الأداء التشغيلي للوحدة التنظيمية بشكل إيجابي</v>
      </c>
      <c r="M54" s="17" t="n">
        <v>30</v>
      </c>
      <c r="N54" s="17" t="n">
        <v>90</v>
      </c>
      <c r="O54" s="19" t="str">
        <f aca="false">IF($M54="","غير مقيّمة",IF($M54&gt;المرجع!$K$3,"مستوفاة بشكل متقدم",IF($M54&lt;=المرجع!$K$2,"مستوفاة بشكل أولي","مستوفاة بشكل جزئي")))</f>
        <v>مستوفاة بشكل أولي</v>
      </c>
      <c r="P54" s="22"/>
    </row>
    <row r="55" customFormat="false" ht="15" hidden="false" customHeight="true" outlineLevel="0" collapsed="false">
      <c r="A55" s="20" t="s">
        <v>869</v>
      </c>
      <c r="B55" s="20" t="s">
        <v>198</v>
      </c>
      <c r="C55" s="19" t="str">
        <f aca="false">IFERROR(INDEX('قائمة الوحدات'!$B$2:$B$41,MATCH($B55,'قائمة الوحدات'!$A$2:$A$41,0)),"")</f>
        <v>MIL</v>
      </c>
      <c r="D55" s="18" t="str">
        <f aca="false">IFERROR(INDEX('قائمة الوحدات'!$C$2:$C$41,MATCH($B55,'قائمة الوحدات'!$A$2:$A$41,0)),"")</f>
        <v>الجهاز العسكري</v>
      </c>
      <c r="E55" s="18" t="str">
        <f aca="false">IFERROR(INDEX('قائمة الوحدات'!$D$2:$D$41,MATCH($B55,'قائمة الوحدات'!$A$2:$A$41,0)),"")</f>
        <v>قيادة القوات البرية</v>
      </c>
      <c r="F55" s="18" t="str">
        <f aca="false">IFERROR(INDEX('قائمة الوحدات'!$F$2:$F$41,MATCH($B55,'قائمة الوحدات'!$A$2:$A$41,0)),"")</f>
        <v>قيادة القوات البرية</v>
      </c>
      <c r="G55" s="20" t="s">
        <v>66</v>
      </c>
      <c r="H55" s="18" t="str">
        <f aca="false">IFERROR(INDEX(المرجع!$A$2:$A$19,MATCH($G55,المرجع!$B$2:$B$19,0)),"")</f>
        <v>التشغيل</v>
      </c>
      <c r="I55" s="20" t="s">
        <v>49</v>
      </c>
      <c r="J55" s="18" t="str">
        <f aca="false">IFERROR(INDEX(المرجع!$D$2:$D$19,MATCH($I55,المرجع!$E$2:$E$19,0)),"")</f>
        <v>الأهداف ومؤشرات الأداء</v>
      </c>
      <c r="K55" s="20" t="s">
        <v>122</v>
      </c>
      <c r="L55" s="21" t="str">
        <f aca="false">IFERROR(INDEX('نقاط التحقق'!$G$2:$G$31,MATCH($K55,'نقاط التحقق'!$A$2:$A$31,0))&amp;"","")</f>
        <v>خطة سنوية معتمدة للوحدة التنظيمية</v>
      </c>
      <c r="M55" s="17" t="n">
        <v>40</v>
      </c>
      <c r="N55" s="17" t="n">
        <v>100</v>
      </c>
      <c r="O55" s="19" t="str">
        <f aca="false">IF($M55="","غير مقيّمة",IF($M55&gt;المرجع!$K$3,"مستوفاة بشكل متقدم",IF($M55&lt;=المرجع!$K$2,"مستوفاة بشكل أولي","مستوفاة بشكل جزئي")))</f>
        <v>مستوفاة بشكل جزئي</v>
      </c>
      <c r="P55" s="22"/>
    </row>
    <row r="56" customFormat="false" ht="15" hidden="false" customHeight="true" outlineLevel="0" collapsed="false">
      <c r="A56" s="20" t="s">
        <v>870</v>
      </c>
      <c r="B56" s="20" t="s">
        <v>198</v>
      </c>
      <c r="C56" s="19" t="str">
        <f aca="false">IFERROR(INDEX('قائمة الوحدات'!$B$2:$B$41,MATCH($B56,'قائمة الوحدات'!$A$2:$A$41,0)),"")</f>
        <v>MIL</v>
      </c>
      <c r="D56" s="18" t="str">
        <f aca="false">IFERROR(INDEX('قائمة الوحدات'!$C$2:$C$41,MATCH($B56,'قائمة الوحدات'!$A$2:$A$41,0)),"")</f>
        <v>الجهاز العسكري</v>
      </c>
      <c r="E56" s="18" t="str">
        <f aca="false">IFERROR(INDEX('قائمة الوحدات'!$D$2:$D$41,MATCH($B56,'قائمة الوحدات'!$A$2:$A$41,0)),"")</f>
        <v>قيادة القوات البرية</v>
      </c>
      <c r="F56" s="18" t="str">
        <f aca="false">IFERROR(INDEX('قائمة الوحدات'!$F$2:$F$41,MATCH($B56,'قائمة الوحدات'!$A$2:$A$41,0)),"")</f>
        <v>قيادة القوات البرية</v>
      </c>
      <c r="G56" s="20" t="s">
        <v>66</v>
      </c>
      <c r="H56" s="18" t="str">
        <f aca="false">IFERROR(INDEX(المرجع!$A$2:$A$19,MATCH($G56,المرجع!$B$2:$B$19,0)),"")</f>
        <v>التشغيل</v>
      </c>
      <c r="I56" s="20" t="s">
        <v>52</v>
      </c>
      <c r="J56" s="18" t="str">
        <f aca="false">IFERROR(INDEX(المرجع!$D$2:$D$19,MATCH($I56,المرجع!$E$2:$E$19,0)),"")</f>
        <v>الحوكمة</v>
      </c>
      <c r="K56" s="20" t="s">
        <v>124</v>
      </c>
      <c r="L56" s="21" t="str">
        <f aca="false">IFERROR(INDEX('نقاط التحقق'!$G$2:$G$31,MATCH($K56,'نقاط التحقق'!$A$2:$A$31,0))&amp;"","")</f>
        <v>محاضر لجان موثقة</v>
      </c>
      <c r="M56" s="17" t="n">
        <v>25</v>
      </c>
      <c r="N56" s="17" t="n">
        <v>95</v>
      </c>
      <c r="O56" s="19" t="str">
        <f aca="false">IF($M56="","غير مقيّمة",IF($M56&gt;المرجع!$K$3,"مستوفاة بشكل متقدم",IF($M56&lt;=المرجع!$K$2,"مستوفاة بشكل أولي","مستوفاة بشكل جزئي")))</f>
        <v>مستوفاة بشكل أولي</v>
      </c>
      <c r="P56" s="22"/>
    </row>
    <row r="57" customFormat="false" ht="15" hidden="false" customHeight="true" outlineLevel="0" collapsed="false">
      <c r="A57" s="20" t="s">
        <v>871</v>
      </c>
      <c r="B57" s="20" t="s">
        <v>198</v>
      </c>
      <c r="C57" s="19" t="str">
        <f aca="false">IFERROR(INDEX('قائمة الوحدات'!$B$2:$B$41,MATCH($B57,'قائمة الوحدات'!$A$2:$A$41,0)),"")</f>
        <v>MIL</v>
      </c>
      <c r="D57" s="18" t="str">
        <f aca="false">IFERROR(INDEX('قائمة الوحدات'!$C$2:$C$41,MATCH($B57,'قائمة الوحدات'!$A$2:$A$41,0)),"")</f>
        <v>الجهاز العسكري</v>
      </c>
      <c r="E57" s="18" t="str">
        <f aca="false">IFERROR(INDEX('قائمة الوحدات'!$D$2:$D$41,MATCH($B57,'قائمة الوحدات'!$A$2:$A$41,0)),"")</f>
        <v>قيادة القوات البرية</v>
      </c>
      <c r="F57" s="18" t="str">
        <f aca="false">IFERROR(INDEX('قائمة الوحدات'!$F$2:$F$41,MATCH($B57,'قائمة الوحدات'!$A$2:$A$41,0)),"")</f>
        <v>قيادة القوات البرية</v>
      </c>
      <c r="G57" s="20" t="s">
        <v>66</v>
      </c>
      <c r="H57" s="18" t="str">
        <f aca="false">IFERROR(INDEX(المرجع!$A$2:$A$19,MATCH($G57,المرجع!$B$2:$B$19,0)),"")</f>
        <v>التشغيل</v>
      </c>
      <c r="I57" s="20" t="s">
        <v>52</v>
      </c>
      <c r="J57" s="18" t="str">
        <f aca="false">IFERROR(INDEX(المرجع!$D$2:$D$19,MATCH($I57,المرجع!$E$2:$E$19,0)),"")</f>
        <v>الحوكمة</v>
      </c>
      <c r="K57" s="20" t="s">
        <v>126</v>
      </c>
      <c r="L57" s="21" t="str">
        <f aca="false">IFERROR(INDEX('نقاط التحقق'!$G$2:$G$31,MATCH($K57,'نقاط التحقق'!$A$2:$A$31,0))&amp;"","")</f>
        <v>نشر السياسات التي تملكها الوحدة التنظيمية</v>
      </c>
      <c r="M57" s="17" t="n">
        <v>25</v>
      </c>
      <c r="N57" s="17" t="n">
        <v>90</v>
      </c>
      <c r="O57" s="19" t="str">
        <f aca="false">IF($M57="","غير مقيّمة",IF($M57&gt;المرجع!$K$3,"مستوفاة بشكل متقدم",IF($M57&lt;=المرجع!$K$2,"مستوفاة بشكل أولي","مستوفاة بشكل جزئي")))</f>
        <v>مستوفاة بشكل أولي</v>
      </c>
      <c r="P57" s="22"/>
    </row>
    <row r="58" customFormat="false" ht="15" hidden="false" customHeight="true" outlineLevel="0" collapsed="false">
      <c r="A58" s="20" t="s">
        <v>872</v>
      </c>
      <c r="B58" s="20" t="s">
        <v>198</v>
      </c>
      <c r="C58" s="19" t="str">
        <f aca="false">IFERROR(INDEX('قائمة الوحدات'!$B$2:$B$41,MATCH($B58,'قائمة الوحدات'!$A$2:$A$41,0)),"")</f>
        <v>MIL</v>
      </c>
      <c r="D58" s="18" t="str">
        <f aca="false">IFERROR(INDEX('قائمة الوحدات'!$C$2:$C$41,MATCH($B58,'قائمة الوحدات'!$A$2:$A$41,0)),"")</f>
        <v>الجهاز العسكري</v>
      </c>
      <c r="E58" s="18" t="str">
        <f aca="false">IFERROR(INDEX('قائمة الوحدات'!$D$2:$D$41,MATCH($B58,'قائمة الوحدات'!$A$2:$A$41,0)),"")</f>
        <v>قيادة القوات البرية</v>
      </c>
      <c r="F58" s="18" t="str">
        <f aca="false">IFERROR(INDEX('قائمة الوحدات'!$F$2:$F$41,MATCH($B58,'قائمة الوحدات'!$A$2:$A$41,0)),"")</f>
        <v>قيادة القوات البرية</v>
      </c>
      <c r="G58" s="20" t="s">
        <v>66</v>
      </c>
      <c r="H58" s="18" t="str">
        <f aca="false">IFERROR(INDEX(المرجع!$A$2:$A$19,MATCH($G58,المرجع!$B$2:$B$19,0)),"")</f>
        <v>التشغيل</v>
      </c>
      <c r="I58" s="20" t="s">
        <v>52</v>
      </c>
      <c r="J58" s="18" t="str">
        <f aca="false">IFERROR(INDEX(المرجع!$D$2:$D$19,MATCH($I58,المرجع!$E$2:$E$19,0)),"")</f>
        <v>الحوكمة</v>
      </c>
      <c r="K58" s="20" t="s">
        <v>128</v>
      </c>
      <c r="L58" s="21" t="str">
        <f aca="false">IFERROR(INDEX('نقاط التحقق'!$G$2:$G$31,MATCH($K58,'نقاط التحقق'!$A$2:$A$31,0))&amp;"","")</f>
        <v>اتخاذ القرارات في نطاق الصلاحيات (وجود شواهد)</v>
      </c>
      <c r="M58" s="17" t="n">
        <v>55</v>
      </c>
      <c r="N58" s="17" t="n">
        <v>100</v>
      </c>
      <c r="O58" s="19" t="str">
        <f aca="false">IF($M58="","غير مقيّمة",IF($M58&gt;المرجع!$K$3,"مستوفاة بشكل متقدم",IF($M58&lt;=المرجع!$K$2,"مستوفاة بشكل أولي","مستوفاة بشكل جزئي")))</f>
        <v>مستوفاة بشكل جزئي</v>
      </c>
      <c r="P58" s="22"/>
    </row>
    <row r="59" customFormat="false" ht="15" hidden="false" customHeight="true" outlineLevel="0" collapsed="false">
      <c r="A59" s="20" t="s">
        <v>873</v>
      </c>
      <c r="B59" s="20" t="s">
        <v>198</v>
      </c>
      <c r="C59" s="19" t="str">
        <f aca="false">IFERROR(INDEX('قائمة الوحدات'!$B$2:$B$41,MATCH($B59,'قائمة الوحدات'!$A$2:$A$41,0)),"")</f>
        <v>MIL</v>
      </c>
      <c r="D59" s="18" t="str">
        <f aca="false">IFERROR(INDEX('قائمة الوحدات'!$C$2:$C$41,MATCH($B59,'قائمة الوحدات'!$A$2:$A$41,0)),"")</f>
        <v>الجهاز العسكري</v>
      </c>
      <c r="E59" s="18" t="str">
        <f aca="false">IFERROR(INDEX('قائمة الوحدات'!$D$2:$D$41,MATCH($B59,'قائمة الوحدات'!$A$2:$A$41,0)),"")</f>
        <v>قيادة القوات البرية</v>
      </c>
      <c r="F59" s="18" t="str">
        <f aca="false">IFERROR(INDEX('قائمة الوحدات'!$F$2:$F$41,MATCH($B59,'قائمة الوحدات'!$A$2:$A$41,0)),"")</f>
        <v>قيادة القوات البرية</v>
      </c>
      <c r="G59" s="20" t="s">
        <v>66</v>
      </c>
      <c r="H59" s="18" t="str">
        <f aca="false">IFERROR(INDEX(المرجع!$A$2:$A$19,MATCH($G59,المرجع!$B$2:$B$19,0)),"")</f>
        <v>التشغيل</v>
      </c>
      <c r="I59" s="20" t="s">
        <v>57</v>
      </c>
      <c r="J59" s="18" t="str">
        <f aca="false">IFERROR(INDEX(المرجع!$D$2:$D$19,MATCH($I59,المرجع!$E$2:$E$19,0)),"")</f>
        <v>الموارد</v>
      </c>
      <c r="K59" s="20" t="s">
        <v>130</v>
      </c>
      <c r="L59" s="21" t="str">
        <f aca="false">IFERROR(INDEX('نقاط التحقق'!$G$2:$G$31,MATCH($K59,'نقاط التحقق'!$A$2:$A$31,0))&amp;"","")</f>
        <v>موارد مستكملة للحد الأدنى الذي يغطي كافة محاور سلسلة القيمة</v>
      </c>
      <c r="M59" s="17" t="n">
        <v>55</v>
      </c>
      <c r="N59" s="17" t="n">
        <v>85</v>
      </c>
      <c r="O59" s="19" t="str">
        <f aca="false">IF($M59="","غير مقيّمة",IF($M59&gt;المرجع!$K$3,"مستوفاة بشكل متقدم",IF($M59&lt;=المرجع!$K$2,"مستوفاة بشكل أولي","مستوفاة بشكل جزئي")))</f>
        <v>مستوفاة بشكل جزئي</v>
      </c>
      <c r="P59" s="22"/>
    </row>
    <row r="60" customFormat="false" ht="15" hidden="false" customHeight="true" outlineLevel="0" collapsed="false">
      <c r="A60" s="20" t="s">
        <v>874</v>
      </c>
      <c r="B60" s="20" t="s">
        <v>198</v>
      </c>
      <c r="C60" s="19" t="str">
        <f aca="false">IFERROR(INDEX('قائمة الوحدات'!$B$2:$B$41,MATCH($B60,'قائمة الوحدات'!$A$2:$A$41,0)),"")</f>
        <v>MIL</v>
      </c>
      <c r="D60" s="18" t="str">
        <f aca="false">IFERROR(INDEX('قائمة الوحدات'!$C$2:$C$41,MATCH($B60,'قائمة الوحدات'!$A$2:$A$41,0)),"")</f>
        <v>الجهاز العسكري</v>
      </c>
      <c r="E60" s="18" t="str">
        <f aca="false">IFERROR(INDEX('قائمة الوحدات'!$D$2:$D$41,MATCH($B60,'قائمة الوحدات'!$A$2:$A$41,0)),"")</f>
        <v>قيادة القوات البرية</v>
      </c>
      <c r="F60" s="18" t="str">
        <f aca="false">IFERROR(INDEX('قائمة الوحدات'!$F$2:$F$41,MATCH($B60,'قائمة الوحدات'!$A$2:$A$41,0)),"")</f>
        <v>قيادة القوات البرية</v>
      </c>
      <c r="G60" s="20" t="s">
        <v>66</v>
      </c>
      <c r="H60" s="18" t="str">
        <f aca="false">IFERROR(INDEX(المرجع!$A$2:$A$19,MATCH($G60,المرجع!$B$2:$B$19,0)),"")</f>
        <v>التشغيل</v>
      </c>
      <c r="I60" s="20" t="s">
        <v>60</v>
      </c>
      <c r="J60" s="18" t="str">
        <f aca="false">IFERROR(INDEX(المرجع!$D$2:$D$19,MATCH($I60,المرجع!$E$2:$E$19,0)),"")</f>
        <v>الإجراءات</v>
      </c>
      <c r="K60" s="20" t="s">
        <v>132</v>
      </c>
      <c r="L60" s="21" t="str">
        <f aca="false">IFERROR(INDEX('نقاط التحقق'!$G$2:$G$31,MATCH($K60,'نقاط التحقق'!$A$2:$A$31,0))&amp;"","")</f>
        <v>تحقيق تقييم "مطبق بشكل كامل" من منهجية تقييم فعالية الإجراءات</v>
      </c>
      <c r="M60" s="17" t="n">
        <v>23</v>
      </c>
      <c r="N60" s="17" t="n">
        <v>80</v>
      </c>
      <c r="O60" s="19" t="str">
        <f aca="false">IF($M60="","غير مقيّمة",IF($M60&gt;المرجع!$K$3,"مستوفاة بشكل متقدم",IF($M60&lt;=المرجع!$K$2,"مستوفاة بشكل أولي","مستوفاة بشكل جزئي")))</f>
        <v>مستوفاة بشكل أولي</v>
      </c>
      <c r="P60" s="22"/>
    </row>
    <row r="61" customFormat="false" ht="15" hidden="false" customHeight="true" outlineLevel="0" collapsed="false">
      <c r="A61" s="20" t="s">
        <v>875</v>
      </c>
      <c r="B61" s="20" t="s">
        <v>198</v>
      </c>
      <c r="C61" s="19" t="str">
        <f aca="false">IFERROR(INDEX('قائمة الوحدات'!$B$2:$B$41,MATCH($B61,'قائمة الوحدات'!$A$2:$A$41,0)),"")</f>
        <v>MIL</v>
      </c>
      <c r="D61" s="18" t="str">
        <f aca="false">IFERROR(INDEX('قائمة الوحدات'!$C$2:$C$41,MATCH($B61,'قائمة الوحدات'!$A$2:$A$41,0)),"")</f>
        <v>الجهاز العسكري</v>
      </c>
      <c r="E61" s="18" t="str">
        <f aca="false">IFERROR(INDEX('قائمة الوحدات'!$D$2:$D$41,MATCH($B61,'قائمة الوحدات'!$A$2:$A$41,0)),"")</f>
        <v>قيادة القوات البرية</v>
      </c>
      <c r="F61" s="18" t="str">
        <f aca="false">IFERROR(INDEX('قائمة الوحدات'!$F$2:$F$41,MATCH($B61,'قائمة الوحدات'!$A$2:$A$41,0)),"")</f>
        <v>قيادة القوات البرية</v>
      </c>
      <c r="G61" s="20" t="s">
        <v>66</v>
      </c>
      <c r="H61" s="18" t="str">
        <f aca="false">IFERROR(INDEX(المرجع!$A$2:$A$19,MATCH($G61,المرجع!$B$2:$B$19,0)),"")</f>
        <v>التشغيل</v>
      </c>
      <c r="I61" s="20" t="s">
        <v>71</v>
      </c>
      <c r="J61" s="18" t="str">
        <f aca="false">IFERROR(INDEX(المرجع!$D$2:$D$19,MATCH($I61,المرجع!$E$2:$E$19,0)),"")</f>
        <v>اكتمال المخرجات المستهدفة</v>
      </c>
      <c r="K61" s="20" t="s">
        <v>134</v>
      </c>
      <c r="L61" s="21" t="str">
        <f aca="false">IFERROR(INDEX('نقاط التحقق'!$G$2:$G$31,MATCH($K61,'نقاط التحقق'!$A$2:$A$31,0))&amp;"","")</f>
        <v>اكتمال مخرجات النموذج التشغيلي المستهدف للوحدة التنظيمية</v>
      </c>
      <c r="M61" s="17" t="n">
        <v>62</v>
      </c>
      <c r="N61" s="17" t="n">
        <v>100</v>
      </c>
      <c r="O61" s="19" t="str">
        <f aca="false">IF($M61="","غير مقيّمة",IF($M61&gt;المرجع!$K$3,"مستوفاة بشكل متقدم",IF($M61&lt;=المرجع!$K$2,"مستوفاة بشكل أولي","مستوفاة بشكل جزئي")))</f>
        <v>مستوفاة بشكل جزئي</v>
      </c>
      <c r="P61" s="22"/>
    </row>
    <row r="62" customFormat="false" ht="15" hidden="false" customHeight="true" outlineLevel="0" collapsed="false">
      <c r="A62" s="20" t="s">
        <v>876</v>
      </c>
      <c r="B62" s="20" t="s">
        <v>200</v>
      </c>
      <c r="C62" s="19" t="str">
        <f aca="false">IFERROR(INDEX('قائمة الوحدات'!$B$2:$B$41,MATCH($B62,'قائمة الوحدات'!$A$2:$A$41,0)),"")</f>
        <v>MIL</v>
      </c>
      <c r="D62" s="18" t="str">
        <f aca="false">IFERROR(INDEX('قائمة الوحدات'!$C$2:$C$41,MATCH($B62,'قائمة الوحدات'!$A$2:$A$41,0)),"")</f>
        <v>الجهاز العسكري</v>
      </c>
      <c r="E62" s="18" t="str">
        <f aca="false">IFERROR(INDEX('قائمة الوحدات'!$D$2:$D$41,MATCH($B62,'قائمة الوحدات'!$A$2:$A$41,0)),"")</f>
        <v>قيادة القوات الجوية</v>
      </c>
      <c r="F62" s="18" t="str">
        <f aca="false">IFERROR(INDEX('قائمة الوحدات'!$F$2:$F$41,MATCH($B62,'قائمة الوحدات'!$A$2:$A$41,0)),"")</f>
        <v>قيادة القوات الجوية</v>
      </c>
      <c r="G62" s="20" t="s">
        <v>44</v>
      </c>
      <c r="H62" s="18" t="str">
        <f aca="false">IFERROR(INDEX(المرجع!$A$2:$A$19,MATCH($G62,المرجع!$B$2:$B$19,0)),"")</f>
        <v>التصميم</v>
      </c>
      <c r="I62" s="20" t="s">
        <v>46</v>
      </c>
      <c r="J62" s="18" t="str">
        <f aca="false">IFERROR(INDEX(المرجع!$D$2:$D$19,MATCH($I62,المرجع!$E$2:$E$19,0)),"")</f>
        <v>الدور</v>
      </c>
      <c r="K62" s="20" t="s">
        <v>76</v>
      </c>
      <c r="L62" s="21" t="str">
        <f aca="false">IFERROR(INDEX('نقاط التحقق'!$G$2:$G$31,MATCH($K62,'نقاط التحقق'!$A$2:$A$31,0))&amp;"","")</f>
        <v>دور مفصل للوحدة التنظيمية</v>
      </c>
      <c r="M62" s="17" t="n">
        <v>78</v>
      </c>
      <c r="N62" s="17" t="n">
        <v>100</v>
      </c>
      <c r="O62" s="19" t="str">
        <f aca="false">IF($M62="","غير مقيّمة",IF($M62&gt;المرجع!$K$3,"مستوفاة بشكل متقدم",IF($M62&lt;=المرجع!$K$2,"مستوفاة بشكل أولي","مستوفاة بشكل جزئي")))</f>
        <v>مستوفاة بشكل متقدم</v>
      </c>
      <c r="P62" s="22"/>
    </row>
    <row r="63" customFormat="false" ht="15" hidden="false" customHeight="true" outlineLevel="0" collapsed="false">
      <c r="A63" s="20" t="s">
        <v>877</v>
      </c>
      <c r="B63" s="20" t="s">
        <v>200</v>
      </c>
      <c r="C63" s="19" t="str">
        <f aca="false">IFERROR(INDEX('قائمة الوحدات'!$B$2:$B$41,MATCH($B63,'قائمة الوحدات'!$A$2:$A$41,0)),"")</f>
        <v>MIL</v>
      </c>
      <c r="D63" s="18" t="str">
        <f aca="false">IFERROR(INDEX('قائمة الوحدات'!$C$2:$C$41,MATCH($B63,'قائمة الوحدات'!$A$2:$A$41,0)),"")</f>
        <v>الجهاز العسكري</v>
      </c>
      <c r="E63" s="18" t="str">
        <f aca="false">IFERROR(INDEX('قائمة الوحدات'!$D$2:$D$41,MATCH($B63,'قائمة الوحدات'!$A$2:$A$41,0)),"")</f>
        <v>قيادة القوات الجوية</v>
      </c>
      <c r="F63" s="18" t="str">
        <f aca="false">IFERROR(INDEX('قائمة الوحدات'!$F$2:$F$41,MATCH($B63,'قائمة الوحدات'!$A$2:$A$41,0)),"")</f>
        <v>قيادة القوات الجوية</v>
      </c>
      <c r="G63" s="20" t="s">
        <v>44</v>
      </c>
      <c r="H63" s="18" t="str">
        <f aca="false">IFERROR(INDEX(المرجع!$A$2:$A$19,MATCH($G63,المرجع!$B$2:$B$19,0)),"")</f>
        <v>التصميم</v>
      </c>
      <c r="I63" s="20" t="s">
        <v>49</v>
      </c>
      <c r="J63" s="18" t="str">
        <f aca="false">IFERROR(INDEX(المرجع!$D$2:$D$19,MATCH($I63,المرجع!$E$2:$E$19,0)),"")</f>
        <v>الأهداف ومؤشرات الأداء</v>
      </c>
      <c r="K63" s="20" t="s">
        <v>78</v>
      </c>
      <c r="L63" s="21" t="str">
        <f aca="false">IFERROR(INDEX('نقاط التحقق'!$G$2:$G$31,MATCH($K63,'نقاط التحقق'!$A$2:$A$31,0))&amp;"","")</f>
        <v>أهداف محددة للوحدة التنظيمية وربطها بمؤشرات أداء لقياسها</v>
      </c>
      <c r="M63" s="17" t="n">
        <v>80</v>
      </c>
      <c r="N63" s="17" t="n">
        <v>85</v>
      </c>
      <c r="O63" s="19" t="str">
        <f aca="false">IF($M63="","غير مقيّمة",IF($M63&gt;المرجع!$K$3,"مستوفاة بشكل متقدم",IF($M63&lt;=المرجع!$K$2,"مستوفاة بشكل أولي","مستوفاة بشكل جزئي")))</f>
        <v>مستوفاة بشكل متقدم</v>
      </c>
      <c r="P63" s="22"/>
    </row>
    <row r="64" customFormat="false" ht="15" hidden="false" customHeight="true" outlineLevel="0" collapsed="false">
      <c r="A64" s="20" t="s">
        <v>878</v>
      </c>
      <c r="B64" s="20" t="s">
        <v>200</v>
      </c>
      <c r="C64" s="19" t="str">
        <f aca="false">IFERROR(INDEX('قائمة الوحدات'!$B$2:$B$41,MATCH($B64,'قائمة الوحدات'!$A$2:$A$41,0)),"")</f>
        <v>MIL</v>
      </c>
      <c r="D64" s="18" t="str">
        <f aca="false">IFERROR(INDEX('قائمة الوحدات'!$C$2:$C$41,MATCH($B64,'قائمة الوحدات'!$A$2:$A$41,0)),"")</f>
        <v>الجهاز العسكري</v>
      </c>
      <c r="E64" s="18" t="str">
        <f aca="false">IFERROR(INDEX('قائمة الوحدات'!$D$2:$D$41,MATCH($B64,'قائمة الوحدات'!$A$2:$A$41,0)),"")</f>
        <v>قيادة القوات الجوية</v>
      </c>
      <c r="F64" s="18" t="str">
        <f aca="false">IFERROR(INDEX('قائمة الوحدات'!$F$2:$F$41,MATCH($B64,'قائمة الوحدات'!$A$2:$A$41,0)),"")</f>
        <v>قيادة القوات الجوية</v>
      </c>
      <c r="G64" s="20" t="s">
        <v>44</v>
      </c>
      <c r="H64" s="18" t="str">
        <f aca="false">IFERROR(INDEX(المرجع!$A$2:$A$19,MATCH($G64,المرجع!$B$2:$B$19,0)),"")</f>
        <v>التصميم</v>
      </c>
      <c r="I64" s="20" t="s">
        <v>49</v>
      </c>
      <c r="J64" s="18" t="str">
        <f aca="false">IFERROR(INDEX(المرجع!$D$2:$D$19,MATCH($I64,المرجع!$E$2:$E$19,0)),"")</f>
        <v>الأهداف ومؤشرات الأداء</v>
      </c>
      <c r="K64" s="20" t="s">
        <v>80</v>
      </c>
      <c r="L64" s="21" t="str">
        <f aca="false">IFERROR(INDEX('نقاط التحقق'!$G$2:$G$31,MATCH($K64,'نقاط التحقق'!$A$2:$A$31,0))&amp;"","")</f>
        <v>مؤشرات أداء الوحدة التنظيمية</v>
      </c>
      <c r="M64" s="17" t="n">
        <v>100</v>
      </c>
      <c r="N64" s="17" t="n">
        <v>100</v>
      </c>
      <c r="O64" s="19" t="str">
        <f aca="false">IF($M64="","غير مقيّمة",IF($M64&gt;المرجع!$K$3,"مستوفاة بشكل متقدم",IF($M64&lt;=المرجع!$K$2,"مستوفاة بشكل أولي","مستوفاة بشكل جزئي")))</f>
        <v>مستوفاة بشكل متقدم</v>
      </c>
      <c r="P64" s="22"/>
    </row>
    <row r="65" customFormat="false" ht="15" hidden="false" customHeight="true" outlineLevel="0" collapsed="false">
      <c r="A65" s="20" t="s">
        <v>879</v>
      </c>
      <c r="B65" s="20" t="s">
        <v>200</v>
      </c>
      <c r="C65" s="19" t="str">
        <f aca="false">IFERROR(INDEX('قائمة الوحدات'!$B$2:$B$41,MATCH($B65,'قائمة الوحدات'!$A$2:$A$41,0)),"")</f>
        <v>MIL</v>
      </c>
      <c r="D65" s="18" t="str">
        <f aca="false">IFERROR(INDEX('قائمة الوحدات'!$C$2:$C$41,MATCH($B65,'قائمة الوحدات'!$A$2:$A$41,0)),"")</f>
        <v>الجهاز العسكري</v>
      </c>
      <c r="E65" s="18" t="str">
        <f aca="false">IFERROR(INDEX('قائمة الوحدات'!$D$2:$D$41,MATCH($B65,'قائمة الوحدات'!$A$2:$A$41,0)),"")</f>
        <v>قيادة القوات الجوية</v>
      </c>
      <c r="F65" s="18" t="str">
        <f aca="false">IFERROR(INDEX('قائمة الوحدات'!$F$2:$F$41,MATCH($B65,'قائمة الوحدات'!$A$2:$A$41,0)),"")</f>
        <v>قيادة القوات الجوية</v>
      </c>
      <c r="G65" s="20" t="s">
        <v>44</v>
      </c>
      <c r="H65" s="18" t="str">
        <f aca="false">IFERROR(INDEX(المرجع!$A$2:$A$19,MATCH($G65,المرجع!$B$2:$B$19,0)),"")</f>
        <v>التصميم</v>
      </c>
      <c r="I65" s="20" t="s">
        <v>52</v>
      </c>
      <c r="J65" s="18" t="str">
        <f aca="false">IFERROR(INDEX(المرجع!$D$2:$D$19,MATCH($I65,المرجع!$E$2:$E$19,0)),"")</f>
        <v>الحوكمة</v>
      </c>
      <c r="K65" s="20" t="s">
        <v>82</v>
      </c>
      <c r="L65" s="21" t="str">
        <f aca="false">IFERROR(INDEX('نقاط التحقق'!$G$2:$G$31,MATCH($K65,'نقاط التحقق'!$A$2:$A$31,0))&amp;"","")</f>
        <v>تفصيل القرارات ومصفوفة الصلاحيات واللجان ذات العلاقة لاعتماد مخرجات الوحدة التنظيمية</v>
      </c>
      <c r="M65" s="17" t="n">
        <v>77</v>
      </c>
      <c r="N65" s="17" t="n">
        <v>85</v>
      </c>
      <c r="O65" s="19" t="str">
        <f aca="false">IF($M65="","غير مقيّمة",IF($M65&gt;المرجع!$K$3,"مستوفاة بشكل متقدم",IF($M65&lt;=المرجع!$K$2,"مستوفاة بشكل أولي","مستوفاة بشكل جزئي")))</f>
        <v>مستوفاة بشكل متقدم</v>
      </c>
      <c r="P65" s="22"/>
    </row>
    <row r="66" customFormat="false" ht="15" hidden="false" customHeight="true" outlineLevel="0" collapsed="false">
      <c r="A66" s="20" t="s">
        <v>880</v>
      </c>
      <c r="B66" s="20" t="s">
        <v>200</v>
      </c>
      <c r="C66" s="19" t="str">
        <f aca="false">IFERROR(INDEX('قائمة الوحدات'!$B$2:$B$41,MATCH($B66,'قائمة الوحدات'!$A$2:$A$41,0)),"")</f>
        <v>MIL</v>
      </c>
      <c r="D66" s="18" t="str">
        <f aca="false">IFERROR(INDEX('قائمة الوحدات'!$C$2:$C$41,MATCH($B66,'قائمة الوحدات'!$A$2:$A$41,0)),"")</f>
        <v>الجهاز العسكري</v>
      </c>
      <c r="E66" s="18" t="str">
        <f aca="false">IFERROR(INDEX('قائمة الوحدات'!$D$2:$D$41,MATCH($B66,'قائمة الوحدات'!$A$2:$A$41,0)),"")</f>
        <v>قيادة القوات الجوية</v>
      </c>
      <c r="F66" s="18" t="str">
        <f aca="false">IFERROR(INDEX('قائمة الوحدات'!$F$2:$F$41,MATCH($B66,'قائمة الوحدات'!$A$2:$A$41,0)),"")</f>
        <v>قيادة القوات الجوية</v>
      </c>
      <c r="G66" s="20" t="s">
        <v>44</v>
      </c>
      <c r="H66" s="18" t="str">
        <f aca="false">IFERROR(INDEX(المرجع!$A$2:$A$19,MATCH($G66,المرجع!$B$2:$B$19,0)),"")</f>
        <v>التصميم</v>
      </c>
      <c r="I66" s="20" t="s">
        <v>55</v>
      </c>
      <c r="J66" s="18" t="str">
        <f aca="false">IFERROR(INDEX(المرجع!$D$2:$D$19,MATCH($I66,المرجع!$E$2:$E$19,0)),"")</f>
        <v>التنظيم</v>
      </c>
      <c r="K66" s="20" t="s">
        <v>84</v>
      </c>
      <c r="L66" s="21" t="str">
        <f aca="false">IFERROR(INDEX('نقاط التحقق'!$G$2:$G$31,MATCH($K66,'نقاط التحقق'!$A$2:$A$31,0))&amp;"","")</f>
        <v>تطوير الأدوار والمسؤوليات للوحدة التنظيمية وتفصيل الهيكل التنظيمي</v>
      </c>
      <c r="M66" s="17" t="n">
        <v>90</v>
      </c>
      <c r="N66" s="17" t="n">
        <v>90</v>
      </c>
      <c r="O66" s="19" t="str">
        <f aca="false">IF($M66="","غير مقيّمة",IF($M66&gt;المرجع!$K$3,"مستوفاة بشكل متقدم",IF($M66&lt;=المرجع!$K$2,"مستوفاة بشكل أولي","مستوفاة بشكل جزئي")))</f>
        <v>مستوفاة بشكل متقدم</v>
      </c>
      <c r="P66" s="22"/>
    </row>
    <row r="67" customFormat="false" ht="15" hidden="false" customHeight="true" outlineLevel="0" collapsed="false">
      <c r="A67" s="20" t="s">
        <v>881</v>
      </c>
      <c r="B67" s="20" t="s">
        <v>200</v>
      </c>
      <c r="C67" s="19" t="str">
        <f aca="false">IFERROR(INDEX('قائمة الوحدات'!$B$2:$B$41,MATCH($B67,'قائمة الوحدات'!$A$2:$A$41,0)),"")</f>
        <v>MIL</v>
      </c>
      <c r="D67" s="18" t="str">
        <f aca="false">IFERROR(INDEX('قائمة الوحدات'!$C$2:$C$41,MATCH($B67,'قائمة الوحدات'!$A$2:$A$41,0)),"")</f>
        <v>الجهاز العسكري</v>
      </c>
      <c r="E67" s="18" t="str">
        <f aca="false">IFERROR(INDEX('قائمة الوحدات'!$D$2:$D$41,MATCH($B67,'قائمة الوحدات'!$A$2:$A$41,0)),"")</f>
        <v>قيادة القوات الجوية</v>
      </c>
      <c r="F67" s="18" t="str">
        <f aca="false">IFERROR(INDEX('قائمة الوحدات'!$F$2:$F$41,MATCH($B67,'قائمة الوحدات'!$A$2:$A$41,0)),"")</f>
        <v>قيادة القوات الجوية</v>
      </c>
      <c r="G67" s="20" t="s">
        <v>44</v>
      </c>
      <c r="H67" s="18" t="str">
        <f aca="false">IFERROR(INDEX(المرجع!$A$2:$A$19,MATCH($G67,المرجع!$B$2:$B$19,0)),"")</f>
        <v>التصميم</v>
      </c>
      <c r="I67" s="20" t="s">
        <v>57</v>
      </c>
      <c r="J67" s="18" t="str">
        <f aca="false">IFERROR(INDEX(المرجع!$D$2:$D$19,MATCH($I67,المرجع!$E$2:$E$19,0)),"")</f>
        <v>الموارد</v>
      </c>
      <c r="K67" s="20" t="s">
        <v>86</v>
      </c>
      <c r="L67" s="21" t="str">
        <f aca="false">IFERROR(INDEX('نقاط التحقق'!$G$2:$G$31,MATCH($K67,'نقاط التحقق'!$A$2:$A$31,0))&amp;"","")</f>
        <v>تفصيل احتياج الموارد البشرية للوحدة التنظيمية</v>
      </c>
      <c r="M67" s="17" t="n">
        <v>71</v>
      </c>
      <c r="N67" s="17" t="n">
        <v>80</v>
      </c>
      <c r="O67" s="19" t="str">
        <f aca="false">IF($M67="","غير مقيّمة",IF($M67&gt;المرجع!$K$3,"مستوفاة بشكل متقدم",IF($M67&lt;=المرجع!$K$2,"مستوفاة بشكل أولي","مستوفاة بشكل جزئي")))</f>
        <v>مستوفاة بشكل متقدم</v>
      </c>
      <c r="P67" s="22"/>
    </row>
    <row r="68" customFormat="false" ht="15" hidden="false" customHeight="true" outlineLevel="0" collapsed="false">
      <c r="A68" s="20" t="s">
        <v>882</v>
      </c>
      <c r="B68" s="20" t="s">
        <v>200</v>
      </c>
      <c r="C68" s="19" t="str">
        <f aca="false">IFERROR(INDEX('قائمة الوحدات'!$B$2:$B$41,MATCH($B68,'قائمة الوحدات'!$A$2:$A$41,0)),"")</f>
        <v>MIL</v>
      </c>
      <c r="D68" s="18" t="str">
        <f aca="false">IFERROR(INDEX('قائمة الوحدات'!$C$2:$C$41,MATCH($B68,'قائمة الوحدات'!$A$2:$A$41,0)),"")</f>
        <v>الجهاز العسكري</v>
      </c>
      <c r="E68" s="18" t="str">
        <f aca="false">IFERROR(INDEX('قائمة الوحدات'!$D$2:$D$41,MATCH($B68,'قائمة الوحدات'!$A$2:$A$41,0)),"")</f>
        <v>قيادة القوات الجوية</v>
      </c>
      <c r="F68" s="18" t="str">
        <f aca="false">IFERROR(INDEX('قائمة الوحدات'!$F$2:$F$41,MATCH($B68,'قائمة الوحدات'!$A$2:$A$41,0)),"")</f>
        <v>قيادة القوات الجوية</v>
      </c>
      <c r="G68" s="20" t="s">
        <v>44</v>
      </c>
      <c r="H68" s="18" t="str">
        <f aca="false">IFERROR(INDEX(المرجع!$A$2:$A$19,MATCH($G68,المرجع!$B$2:$B$19,0)),"")</f>
        <v>التصميم</v>
      </c>
      <c r="I68" s="20" t="s">
        <v>60</v>
      </c>
      <c r="J68" s="18" t="str">
        <f aca="false">IFERROR(INDEX(المرجع!$D$2:$D$19,MATCH($I68,المرجع!$E$2:$E$19,0)),"")</f>
        <v>الإجراءات</v>
      </c>
      <c r="K68" s="20" t="s">
        <v>88</v>
      </c>
      <c r="L68" s="21" t="str">
        <f aca="false">IFERROR(INDEX('نقاط التحقق'!$G$2:$G$31,MATCH($K68,'نقاط التحقق'!$A$2:$A$31,0))&amp;"","")</f>
        <v>تفصيل المخرجات إلى إجراءات عالية المستوى</v>
      </c>
      <c r="M68" s="17" t="n">
        <v>88</v>
      </c>
      <c r="N68" s="17" t="n">
        <v>88</v>
      </c>
      <c r="O68" s="19" t="str">
        <f aca="false">IF($M68="","غير مقيّمة",IF($M68&gt;المرجع!$K$3,"مستوفاة بشكل متقدم",IF($M68&lt;=المرجع!$K$2,"مستوفاة بشكل أولي","مستوفاة بشكل جزئي")))</f>
        <v>مستوفاة بشكل متقدم</v>
      </c>
      <c r="P68" s="22"/>
    </row>
    <row r="69" customFormat="false" ht="15" hidden="false" customHeight="true" outlineLevel="0" collapsed="false">
      <c r="A69" s="20" t="s">
        <v>883</v>
      </c>
      <c r="B69" s="20" t="s">
        <v>200</v>
      </c>
      <c r="C69" s="19" t="str">
        <f aca="false">IFERROR(INDEX('قائمة الوحدات'!$B$2:$B$41,MATCH($B69,'قائمة الوحدات'!$A$2:$A$41,0)),"")</f>
        <v>MIL</v>
      </c>
      <c r="D69" s="18" t="str">
        <f aca="false">IFERROR(INDEX('قائمة الوحدات'!$C$2:$C$41,MATCH($B69,'قائمة الوحدات'!$A$2:$A$41,0)),"")</f>
        <v>الجهاز العسكري</v>
      </c>
      <c r="E69" s="18" t="str">
        <f aca="false">IFERROR(INDEX('قائمة الوحدات'!$D$2:$D$41,MATCH($B69,'قائمة الوحدات'!$A$2:$A$41,0)),"")</f>
        <v>قيادة القوات الجوية</v>
      </c>
      <c r="F69" s="18" t="str">
        <f aca="false">IFERROR(INDEX('قائمة الوحدات'!$F$2:$F$41,MATCH($B69,'قائمة الوحدات'!$A$2:$A$41,0)),"")</f>
        <v>قيادة القوات الجوية</v>
      </c>
      <c r="G69" s="20" t="s">
        <v>62</v>
      </c>
      <c r="H69" s="18" t="str">
        <f aca="false">IFERROR(INDEX(المرجع!$A$2:$A$19,MATCH($G69,المرجع!$B$2:$B$19,0)),"")</f>
        <v>البناء المؤسسي</v>
      </c>
      <c r="I69" s="20" t="s">
        <v>46</v>
      </c>
      <c r="J69" s="18" t="str">
        <f aca="false">IFERROR(INDEX(المرجع!$D$2:$D$19,MATCH($I69,المرجع!$E$2:$E$19,0)),"")</f>
        <v>الدور</v>
      </c>
      <c r="K69" s="20" t="s">
        <v>90</v>
      </c>
      <c r="L69" s="21" t="str">
        <f aca="false">IFERROR(INDEX('نقاط التحقق'!$G$2:$G$31,MATCH($K69,'نقاط التحقق'!$A$2:$A$31,0))&amp;"","")</f>
        <v>دور معتمد للوحدة التنظيمية</v>
      </c>
      <c r="M69" s="17" t="n">
        <v>82</v>
      </c>
      <c r="N69" s="17" t="n">
        <v>85</v>
      </c>
      <c r="O69" s="19" t="str">
        <f aca="false">IF($M69="","غير مقيّمة",IF($M69&gt;المرجع!$K$3,"مستوفاة بشكل متقدم",IF($M69&lt;=المرجع!$K$2,"مستوفاة بشكل أولي","مستوفاة بشكل جزئي")))</f>
        <v>مستوفاة بشكل متقدم</v>
      </c>
      <c r="P69" s="22"/>
    </row>
    <row r="70" customFormat="false" ht="15" hidden="false" customHeight="true" outlineLevel="0" collapsed="false">
      <c r="A70" s="20" t="s">
        <v>884</v>
      </c>
      <c r="B70" s="20" t="s">
        <v>200</v>
      </c>
      <c r="C70" s="19" t="str">
        <f aca="false">IFERROR(INDEX('قائمة الوحدات'!$B$2:$B$41,MATCH($B70,'قائمة الوحدات'!$A$2:$A$41,0)),"")</f>
        <v>MIL</v>
      </c>
      <c r="D70" s="18" t="str">
        <f aca="false">IFERROR(INDEX('قائمة الوحدات'!$C$2:$C$41,MATCH($B70,'قائمة الوحدات'!$A$2:$A$41,0)),"")</f>
        <v>الجهاز العسكري</v>
      </c>
      <c r="E70" s="18" t="str">
        <f aca="false">IFERROR(INDEX('قائمة الوحدات'!$D$2:$D$41,MATCH($B70,'قائمة الوحدات'!$A$2:$A$41,0)),"")</f>
        <v>قيادة القوات الجوية</v>
      </c>
      <c r="F70" s="18" t="str">
        <f aca="false">IFERROR(INDEX('قائمة الوحدات'!$F$2:$F$41,MATCH($B70,'قائمة الوحدات'!$A$2:$A$41,0)),"")</f>
        <v>قيادة القوات الجوية</v>
      </c>
      <c r="G70" s="20" t="s">
        <v>62</v>
      </c>
      <c r="H70" s="18" t="str">
        <f aca="false">IFERROR(INDEX(المرجع!$A$2:$A$19,MATCH($G70,المرجع!$B$2:$B$19,0)),"")</f>
        <v>البناء المؤسسي</v>
      </c>
      <c r="I70" s="20" t="s">
        <v>49</v>
      </c>
      <c r="J70" s="18" t="str">
        <f aca="false">IFERROR(INDEX(المرجع!$D$2:$D$19,MATCH($I70,المرجع!$E$2:$E$19,0)),"")</f>
        <v>الأهداف ومؤشرات الأداء</v>
      </c>
      <c r="K70" s="20" t="s">
        <v>92</v>
      </c>
      <c r="L70" s="21" t="str">
        <f aca="false">IFERROR(INDEX('نقاط التحقق'!$G$2:$G$31,MATCH($K70,'نقاط التحقق'!$A$2:$A$31,0))&amp;"","")</f>
        <v>أهداف تشغيلية معتمدة من صاحب الصلاحية</v>
      </c>
      <c r="M70" s="17" t="n">
        <v>60</v>
      </c>
      <c r="N70" s="17" t="n">
        <v>90</v>
      </c>
      <c r="O70" s="19" t="str">
        <f aca="false">IF($M70="","غير مقيّمة",IF($M70&gt;المرجع!$K$3,"مستوفاة بشكل متقدم",IF($M70&lt;=المرجع!$K$2,"مستوفاة بشكل أولي","مستوفاة بشكل جزئي")))</f>
        <v>مستوفاة بشكل جزئي</v>
      </c>
      <c r="P70" s="22"/>
    </row>
    <row r="71" customFormat="false" ht="15" hidden="false" customHeight="true" outlineLevel="0" collapsed="false">
      <c r="A71" s="20" t="s">
        <v>885</v>
      </c>
      <c r="B71" s="20" t="s">
        <v>200</v>
      </c>
      <c r="C71" s="19" t="str">
        <f aca="false">IFERROR(INDEX('قائمة الوحدات'!$B$2:$B$41,MATCH($B71,'قائمة الوحدات'!$A$2:$A$41,0)),"")</f>
        <v>MIL</v>
      </c>
      <c r="D71" s="18" t="str">
        <f aca="false">IFERROR(INDEX('قائمة الوحدات'!$C$2:$C$41,MATCH($B71,'قائمة الوحدات'!$A$2:$A$41,0)),"")</f>
        <v>الجهاز العسكري</v>
      </c>
      <c r="E71" s="18" t="str">
        <f aca="false">IFERROR(INDEX('قائمة الوحدات'!$D$2:$D$41,MATCH($B71,'قائمة الوحدات'!$A$2:$A$41,0)),"")</f>
        <v>قيادة القوات الجوية</v>
      </c>
      <c r="F71" s="18" t="str">
        <f aca="false">IFERROR(INDEX('قائمة الوحدات'!$F$2:$F$41,MATCH($B71,'قائمة الوحدات'!$A$2:$A$41,0)),"")</f>
        <v>قيادة القوات الجوية</v>
      </c>
      <c r="G71" s="20" t="s">
        <v>62</v>
      </c>
      <c r="H71" s="18" t="str">
        <f aca="false">IFERROR(INDEX(المرجع!$A$2:$A$19,MATCH($G71,المرجع!$B$2:$B$19,0)),"")</f>
        <v>البناء المؤسسي</v>
      </c>
      <c r="I71" s="20" t="s">
        <v>49</v>
      </c>
      <c r="J71" s="18" t="str">
        <f aca="false">IFERROR(INDEX(المرجع!$D$2:$D$19,MATCH($I71,المرجع!$E$2:$E$19,0)),"")</f>
        <v>الأهداف ومؤشرات الأداء</v>
      </c>
      <c r="K71" s="20" t="s">
        <v>94</v>
      </c>
      <c r="L71" s="21" t="str">
        <f aca="false">IFERROR(INDEX('نقاط التحقق'!$G$2:$G$31,MATCH($K71,'نقاط التحقق'!$A$2:$A$31,0))&amp;"","")</f>
        <v>نشر الأهداف التشغيلية على موظفي الوحدة التنظيمية</v>
      </c>
      <c r="M71" s="17" t="n">
        <v>40</v>
      </c>
      <c r="N71" s="17" t="n">
        <v>100</v>
      </c>
      <c r="O71" s="19" t="str">
        <f aca="false">IF($M71="","غير مقيّمة",IF($M71&gt;المرجع!$K$3,"مستوفاة بشكل متقدم",IF($M71&lt;=المرجع!$K$2,"مستوفاة بشكل أولي","مستوفاة بشكل جزئي")))</f>
        <v>مستوفاة بشكل جزئي</v>
      </c>
      <c r="P71" s="22"/>
    </row>
    <row r="72" customFormat="false" ht="15" hidden="false" customHeight="true" outlineLevel="0" collapsed="false">
      <c r="A72" s="20" t="s">
        <v>886</v>
      </c>
      <c r="B72" s="20" t="s">
        <v>200</v>
      </c>
      <c r="C72" s="19" t="str">
        <f aca="false">IFERROR(INDEX('قائمة الوحدات'!$B$2:$B$41,MATCH($B72,'قائمة الوحدات'!$A$2:$A$41,0)),"")</f>
        <v>MIL</v>
      </c>
      <c r="D72" s="18" t="str">
        <f aca="false">IFERROR(INDEX('قائمة الوحدات'!$C$2:$C$41,MATCH($B72,'قائمة الوحدات'!$A$2:$A$41,0)),"")</f>
        <v>الجهاز العسكري</v>
      </c>
      <c r="E72" s="18" t="str">
        <f aca="false">IFERROR(INDEX('قائمة الوحدات'!$D$2:$D$41,MATCH($B72,'قائمة الوحدات'!$A$2:$A$41,0)),"")</f>
        <v>قيادة القوات الجوية</v>
      </c>
      <c r="F72" s="18" t="str">
        <f aca="false">IFERROR(INDEX('قائمة الوحدات'!$F$2:$F$41,MATCH($B72,'قائمة الوحدات'!$A$2:$A$41,0)),"")</f>
        <v>قيادة القوات الجوية</v>
      </c>
      <c r="G72" s="20" t="s">
        <v>62</v>
      </c>
      <c r="H72" s="18" t="str">
        <f aca="false">IFERROR(INDEX(المرجع!$A$2:$A$19,MATCH($G72,المرجع!$B$2:$B$19,0)),"")</f>
        <v>البناء المؤسسي</v>
      </c>
      <c r="I72" s="20" t="s">
        <v>52</v>
      </c>
      <c r="J72" s="18" t="str">
        <f aca="false">IFERROR(INDEX(المرجع!$D$2:$D$19,MATCH($I72,المرجع!$E$2:$E$19,0)),"")</f>
        <v>الحوكمة</v>
      </c>
      <c r="K72" s="20" t="s">
        <v>96</v>
      </c>
      <c r="L72" s="21" t="str">
        <f aca="false">IFERROR(INDEX('نقاط التحقق'!$G$2:$G$31,MATCH($K72,'نقاط التحقق'!$A$2:$A$31,0))&amp;"","")</f>
        <v>مصفوفة صلاحيات معتمدة ومعممة على أصحاب المصلحة</v>
      </c>
      <c r="M72" s="17" t="n">
        <v>55</v>
      </c>
      <c r="N72" s="17" t="n">
        <v>90</v>
      </c>
      <c r="O72" s="19" t="str">
        <f aca="false">IF($M72="","غير مقيّمة",IF($M72&gt;المرجع!$K$3,"مستوفاة بشكل متقدم",IF($M72&lt;=المرجع!$K$2,"مستوفاة بشكل أولي","مستوفاة بشكل جزئي")))</f>
        <v>مستوفاة بشكل جزئي</v>
      </c>
      <c r="P72" s="22"/>
    </row>
    <row r="73" customFormat="false" ht="15" hidden="false" customHeight="true" outlineLevel="0" collapsed="false">
      <c r="A73" s="20" t="s">
        <v>887</v>
      </c>
      <c r="B73" s="20" t="s">
        <v>200</v>
      </c>
      <c r="C73" s="19" t="str">
        <f aca="false">IFERROR(INDEX('قائمة الوحدات'!$B$2:$B$41,MATCH($B73,'قائمة الوحدات'!$A$2:$A$41,0)),"")</f>
        <v>MIL</v>
      </c>
      <c r="D73" s="18" t="str">
        <f aca="false">IFERROR(INDEX('قائمة الوحدات'!$C$2:$C$41,MATCH($B73,'قائمة الوحدات'!$A$2:$A$41,0)),"")</f>
        <v>الجهاز العسكري</v>
      </c>
      <c r="E73" s="18" t="str">
        <f aca="false">IFERROR(INDEX('قائمة الوحدات'!$D$2:$D$41,MATCH($B73,'قائمة الوحدات'!$A$2:$A$41,0)),"")</f>
        <v>قيادة القوات الجوية</v>
      </c>
      <c r="F73" s="18" t="str">
        <f aca="false">IFERROR(INDEX('قائمة الوحدات'!$F$2:$F$41,MATCH($B73,'قائمة الوحدات'!$A$2:$A$41,0)),"")</f>
        <v>قيادة القوات الجوية</v>
      </c>
      <c r="G73" s="20" t="s">
        <v>62</v>
      </c>
      <c r="H73" s="18" t="str">
        <f aca="false">IFERROR(INDEX(المرجع!$A$2:$A$19,MATCH($G73,المرجع!$B$2:$B$19,0)),"")</f>
        <v>البناء المؤسسي</v>
      </c>
      <c r="I73" s="20" t="s">
        <v>52</v>
      </c>
      <c r="J73" s="18" t="str">
        <f aca="false">IFERROR(INDEX(المرجع!$D$2:$D$19,MATCH($I73,المرجع!$E$2:$E$19,0)),"")</f>
        <v>الحوكمة</v>
      </c>
      <c r="K73" s="20" t="s">
        <v>98</v>
      </c>
      <c r="L73" s="21" t="str">
        <f aca="false">IFERROR(INDEX('نقاط التحقق'!$G$2:$G$31,MATCH($K73,'نقاط التحقق'!$A$2:$A$31,0))&amp;"","")</f>
        <v>سياسات معتمدة للتي تملكها الوحدة التنظيمية</v>
      </c>
      <c r="M73" s="17" t="n">
        <v>35</v>
      </c>
      <c r="N73" s="17" t="n">
        <v>100</v>
      </c>
      <c r="O73" s="19" t="str">
        <f aca="false">IF($M73="","غير مقيّمة",IF($M73&gt;المرجع!$K$3,"مستوفاة بشكل متقدم",IF($M73&lt;=المرجع!$K$2,"مستوفاة بشكل أولي","مستوفاة بشكل جزئي")))</f>
        <v>مستوفاة بشكل جزئي</v>
      </c>
      <c r="P73" s="22"/>
    </row>
    <row r="74" customFormat="false" ht="15" hidden="false" customHeight="true" outlineLevel="0" collapsed="false">
      <c r="A74" s="20" t="s">
        <v>888</v>
      </c>
      <c r="B74" s="20" t="s">
        <v>200</v>
      </c>
      <c r="C74" s="19" t="str">
        <f aca="false">IFERROR(INDEX('قائمة الوحدات'!$B$2:$B$41,MATCH($B74,'قائمة الوحدات'!$A$2:$A$41,0)),"")</f>
        <v>MIL</v>
      </c>
      <c r="D74" s="18" t="str">
        <f aca="false">IFERROR(INDEX('قائمة الوحدات'!$C$2:$C$41,MATCH($B74,'قائمة الوحدات'!$A$2:$A$41,0)),"")</f>
        <v>الجهاز العسكري</v>
      </c>
      <c r="E74" s="18" t="str">
        <f aca="false">IFERROR(INDEX('قائمة الوحدات'!$D$2:$D$41,MATCH($B74,'قائمة الوحدات'!$A$2:$A$41,0)),"")</f>
        <v>قيادة القوات الجوية</v>
      </c>
      <c r="F74" s="18" t="str">
        <f aca="false">IFERROR(INDEX('قائمة الوحدات'!$F$2:$F$41,MATCH($B74,'قائمة الوحدات'!$A$2:$A$41,0)),"")</f>
        <v>قيادة القوات الجوية</v>
      </c>
      <c r="G74" s="20" t="s">
        <v>62</v>
      </c>
      <c r="H74" s="18" t="str">
        <f aca="false">IFERROR(INDEX(المرجع!$A$2:$A$19,MATCH($G74,المرجع!$B$2:$B$19,0)),"")</f>
        <v>البناء المؤسسي</v>
      </c>
      <c r="I74" s="20" t="s">
        <v>52</v>
      </c>
      <c r="J74" s="18" t="str">
        <f aca="false">IFERROR(INDEX(المرجع!$D$2:$D$19,MATCH($I74,المرجع!$E$2:$E$19,0)),"")</f>
        <v>الحوكمة</v>
      </c>
      <c r="K74" s="20" t="s">
        <v>100</v>
      </c>
      <c r="L74" s="21" t="str">
        <f aca="false">IFERROR(INDEX('نقاط التحقق'!$G$2:$G$31,MATCH($K74,'نقاط التحقق'!$A$2:$A$31,0))&amp;"","")</f>
        <v>قرار تشكيل معتمد للجان ذات العلاقة</v>
      </c>
      <c r="M74" s="17" t="n">
        <v>55</v>
      </c>
      <c r="N74" s="17" t="n">
        <v>100</v>
      </c>
      <c r="O74" s="19" t="str">
        <f aca="false">IF($M74="","غير مقيّمة",IF($M74&gt;المرجع!$K$3,"مستوفاة بشكل متقدم",IF($M74&lt;=المرجع!$K$2,"مستوفاة بشكل أولي","مستوفاة بشكل جزئي")))</f>
        <v>مستوفاة بشكل جزئي</v>
      </c>
      <c r="P74" s="22"/>
    </row>
    <row r="75" customFormat="false" ht="15" hidden="false" customHeight="true" outlineLevel="0" collapsed="false">
      <c r="A75" s="20" t="s">
        <v>889</v>
      </c>
      <c r="B75" s="20" t="s">
        <v>200</v>
      </c>
      <c r="C75" s="19" t="str">
        <f aca="false">IFERROR(INDEX('قائمة الوحدات'!$B$2:$B$41,MATCH($B75,'قائمة الوحدات'!$A$2:$A$41,0)),"")</f>
        <v>MIL</v>
      </c>
      <c r="D75" s="18" t="str">
        <f aca="false">IFERROR(INDEX('قائمة الوحدات'!$C$2:$C$41,MATCH($B75,'قائمة الوحدات'!$A$2:$A$41,0)),"")</f>
        <v>الجهاز العسكري</v>
      </c>
      <c r="E75" s="18" t="str">
        <f aca="false">IFERROR(INDEX('قائمة الوحدات'!$D$2:$D$41,MATCH($B75,'قائمة الوحدات'!$A$2:$A$41,0)),"")</f>
        <v>قيادة القوات الجوية</v>
      </c>
      <c r="F75" s="18" t="str">
        <f aca="false">IFERROR(INDEX('قائمة الوحدات'!$F$2:$F$41,MATCH($B75,'قائمة الوحدات'!$A$2:$A$41,0)),"")</f>
        <v>قيادة القوات الجوية</v>
      </c>
      <c r="G75" s="20" t="s">
        <v>62</v>
      </c>
      <c r="H75" s="18" t="str">
        <f aca="false">IFERROR(INDEX(المرجع!$A$2:$A$19,MATCH($G75,المرجع!$B$2:$B$19,0)),"")</f>
        <v>البناء المؤسسي</v>
      </c>
      <c r="I75" s="20" t="s">
        <v>55</v>
      </c>
      <c r="J75" s="18" t="str">
        <f aca="false">IFERROR(INDEX(المرجع!$D$2:$D$19,MATCH($I75,المرجع!$E$2:$E$19,0)),"")</f>
        <v>التنظيم</v>
      </c>
      <c r="K75" s="20" t="s">
        <v>102</v>
      </c>
      <c r="L75" s="21" t="str">
        <f aca="false">IFERROR(INDEX('نقاط التحقق'!$G$2:$G$31,MATCH($K75,'نقاط التحقق'!$A$2:$A$31,0))&amp;"","")</f>
        <v>هيكل تنظيمي معتمد من صاحب الصلاحية</v>
      </c>
      <c r="M75" s="17" t="n">
        <v>65</v>
      </c>
      <c r="N75" s="17" t="n">
        <v>85</v>
      </c>
      <c r="O75" s="19" t="str">
        <f aca="false">IF($M75="","غير مقيّمة",IF($M75&gt;المرجع!$K$3,"مستوفاة بشكل متقدم",IF($M75&lt;=المرجع!$K$2,"مستوفاة بشكل أولي","مستوفاة بشكل جزئي")))</f>
        <v>مستوفاة بشكل جزئي</v>
      </c>
      <c r="P75" s="22"/>
    </row>
    <row r="76" customFormat="false" ht="15" hidden="false" customHeight="true" outlineLevel="0" collapsed="false">
      <c r="A76" s="20" t="s">
        <v>890</v>
      </c>
      <c r="B76" s="20" t="s">
        <v>200</v>
      </c>
      <c r="C76" s="19" t="str">
        <f aca="false">IFERROR(INDEX('قائمة الوحدات'!$B$2:$B$41,MATCH($B76,'قائمة الوحدات'!$A$2:$A$41,0)),"")</f>
        <v>MIL</v>
      </c>
      <c r="D76" s="18" t="str">
        <f aca="false">IFERROR(INDEX('قائمة الوحدات'!$C$2:$C$41,MATCH($B76,'قائمة الوحدات'!$A$2:$A$41,0)),"")</f>
        <v>الجهاز العسكري</v>
      </c>
      <c r="E76" s="18" t="str">
        <f aca="false">IFERROR(INDEX('قائمة الوحدات'!$D$2:$D$41,MATCH($B76,'قائمة الوحدات'!$A$2:$A$41,0)),"")</f>
        <v>قيادة القوات الجوية</v>
      </c>
      <c r="F76" s="18" t="str">
        <f aca="false">IFERROR(INDEX('قائمة الوحدات'!$F$2:$F$41,MATCH($B76,'قائمة الوحدات'!$A$2:$A$41,0)),"")</f>
        <v>قيادة القوات الجوية</v>
      </c>
      <c r="G76" s="20" t="s">
        <v>62</v>
      </c>
      <c r="H76" s="18" t="str">
        <f aca="false">IFERROR(INDEX(المرجع!$A$2:$A$19,MATCH($G76,المرجع!$B$2:$B$19,0)),"")</f>
        <v>البناء المؤسسي</v>
      </c>
      <c r="I76" s="20" t="s">
        <v>55</v>
      </c>
      <c r="J76" s="18" t="str">
        <f aca="false">IFERROR(INDEX(المرجع!$D$2:$D$19,MATCH($I76,المرجع!$E$2:$E$19,0)),"")</f>
        <v>التنظيم</v>
      </c>
      <c r="K76" s="20" t="s">
        <v>104</v>
      </c>
      <c r="L76" s="21" t="str">
        <f aca="false">IFERROR(INDEX('نقاط التحقق'!$G$2:$G$31,MATCH($K76,'نقاط التحقق'!$A$2:$A$31,0))&amp;"","")</f>
        <v>هيكل تنظيمي منشأ على نظام القوى العاملة</v>
      </c>
      <c r="M76" s="17" t="n">
        <v>65</v>
      </c>
      <c r="N76" s="17" t="n">
        <v>90</v>
      </c>
      <c r="O76" s="19" t="str">
        <f aca="false">IF($M76="","غير مقيّمة",IF($M76&gt;المرجع!$K$3,"مستوفاة بشكل متقدم",IF($M76&lt;=المرجع!$K$2,"مستوفاة بشكل أولي","مستوفاة بشكل جزئي")))</f>
        <v>مستوفاة بشكل جزئي</v>
      </c>
      <c r="P76" s="22"/>
    </row>
    <row r="77" customFormat="false" ht="15" hidden="false" customHeight="true" outlineLevel="0" collapsed="false">
      <c r="A77" s="20" t="s">
        <v>891</v>
      </c>
      <c r="B77" s="20" t="s">
        <v>200</v>
      </c>
      <c r="C77" s="19" t="str">
        <f aca="false">IFERROR(INDEX('قائمة الوحدات'!$B$2:$B$41,MATCH($B77,'قائمة الوحدات'!$A$2:$A$41,0)),"")</f>
        <v>MIL</v>
      </c>
      <c r="D77" s="18" t="str">
        <f aca="false">IFERROR(INDEX('قائمة الوحدات'!$C$2:$C$41,MATCH($B77,'قائمة الوحدات'!$A$2:$A$41,0)),"")</f>
        <v>الجهاز العسكري</v>
      </c>
      <c r="E77" s="18" t="str">
        <f aca="false">IFERROR(INDEX('قائمة الوحدات'!$D$2:$D$41,MATCH($B77,'قائمة الوحدات'!$A$2:$A$41,0)),"")</f>
        <v>قيادة القوات الجوية</v>
      </c>
      <c r="F77" s="18" t="str">
        <f aca="false">IFERROR(INDEX('قائمة الوحدات'!$F$2:$F$41,MATCH($B77,'قائمة الوحدات'!$A$2:$A$41,0)),"")</f>
        <v>قيادة القوات الجوية</v>
      </c>
      <c r="G77" s="20" t="s">
        <v>62</v>
      </c>
      <c r="H77" s="18" t="str">
        <f aca="false">IFERROR(INDEX(المرجع!$A$2:$A$19,MATCH($G77,المرجع!$B$2:$B$19,0)),"")</f>
        <v>البناء المؤسسي</v>
      </c>
      <c r="I77" s="20" t="s">
        <v>55</v>
      </c>
      <c r="J77" s="18" t="str">
        <f aca="false">IFERROR(INDEX(المرجع!$D$2:$D$19,MATCH($I77,المرجع!$E$2:$E$19,0)),"")</f>
        <v>التنظيم</v>
      </c>
      <c r="K77" s="20" t="s">
        <v>106</v>
      </c>
      <c r="L77" s="21" t="str">
        <f aca="false">IFERROR(INDEX('نقاط التحقق'!$G$2:$G$31,MATCH($K77,'نقاط التحقق'!$A$2:$A$31,0))&amp;"","")</f>
        <v>الموظفون المحددون مسكّنون على الهيكل التنظيمي المستهدف</v>
      </c>
      <c r="M77" s="17" t="n">
        <v>60</v>
      </c>
      <c r="N77" s="17" t="n">
        <v>95</v>
      </c>
      <c r="O77" s="19" t="str">
        <f aca="false">IF($M77="","غير مقيّمة",IF($M77&gt;المرجع!$K$3,"مستوفاة بشكل متقدم",IF($M77&lt;=المرجع!$K$2,"مستوفاة بشكل أولي","مستوفاة بشكل جزئي")))</f>
        <v>مستوفاة بشكل جزئي</v>
      </c>
      <c r="P77" s="22"/>
    </row>
    <row r="78" customFormat="false" ht="15" hidden="false" customHeight="true" outlineLevel="0" collapsed="false">
      <c r="A78" s="20" t="s">
        <v>892</v>
      </c>
      <c r="B78" s="20" t="s">
        <v>200</v>
      </c>
      <c r="C78" s="19" t="str">
        <f aca="false">IFERROR(INDEX('قائمة الوحدات'!$B$2:$B$41,MATCH($B78,'قائمة الوحدات'!$A$2:$A$41,0)),"")</f>
        <v>MIL</v>
      </c>
      <c r="D78" s="18" t="str">
        <f aca="false">IFERROR(INDEX('قائمة الوحدات'!$C$2:$C$41,MATCH($B78,'قائمة الوحدات'!$A$2:$A$41,0)),"")</f>
        <v>الجهاز العسكري</v>
      </c>
      <c r="E78" s="18" t="str">
        <f aca="false">IFERROR(INDEX('قائمة الوحدات'!$D$2:$D$41,MATCH($B78,'قائمة الوحدات'!$A$2:$A$41,0)),"")</f>
        <v>قيادة القوات الجوية</v>
      </c>
      <c r="F78" s="18" t="str">
        <f aca="false">IFERROR(INDEX('قائمة الوحدات'!$F$2:$F$41,MATCH($B78,'قائمة الوحدات'!$A$2:$A$41,0)),"")</f>
        <v>قيادة القوات الجوية</v>
      </c>
      <c r="G78" s="20" t="s">
        <v>62</v>
      </c>
      <c r="H78" s="18" t="str">
        <f aca="false">IFERROR(INDEX(المرجع!$A$2:$A$19,MATCH($G78,المرجع!$B$2:$B$19,0)),"")</f>
        <v>البناء المؤسسي</v>
      </c>
      <c r="I78" s="20" t="s">
        <v>57</v>
      </c>
      <c r="J78" s="18" t="str">
        <f aca="false">IFERROR(INDEX(المرجع!$D$2:$D$19,MATCH($I78,المرجع!$E$2:$E$19,0)),"")</f>
        <v>الموارد</v>
      </c>
      <c r="K78" s="20" t="s">
        <v>108</v>
      </c>
      <c r="L78" s="21" t="str">
        <f aca="false">IFERROR(INDEX('نقاط التحقق'!$G$2:$G$31,MATCH($K78,'نقاط التحقق'!$A$2:$A$31,0))&amp;"","")</f>
        <v>مدير الوحدة التنظيمية والموظفون الرئيسيون معينون/ملحقون</v>
      </c>
      <c r="M78" s="17" t="n">
        <v>85</v>
      </c>
      <c r="N78" s="17" t="n">
        <v>100</v>
      </c>
      <c r="O78" s="19" t="str">
        <f aca="false">IF($M78="","غير مقيّمة",IF($M78&gt;المرجع!$K$3,"مستوفاة بشكل متقدم",IF($M78&lt;=المرجع!$K$2,"مستوفاة بشكل أولي","مستوفاة بشكل جزئي")))</f>
        <v>مستوفاة بشكل متقدم</v>
      </c>
      <c r="P78" s="22"/>
    </row>
    <row r="79" customFormat="false" ht="15" hidden="false" customHeight="true" outlineLevel="0" collapsed="false">
      <c r="A79" s="20" t="s">
        <v>893</v>
      </c>
      <c r="B79" s="20" t="s">
        <v>200</v>
      </c>
      <c r="C79" s="19" t="str">
        <f aca="false">IFERROR(INDEX('قائمة الوحدات'!$B$2:$B$41,MATCH($B79,'قائمة الوحدات'!$A$2:$A$41,0)),"")</f>
        <v>MIL</v>
      </c>
      <c r="D79" s="18" t="str">
        <f aca="false">IFERROR(INDEX('قائمة الوحدات'!$C$2:$C$41,MATCH($B79,'قائمة الوحدات'!$A$2:$A$41,0)),"")</f>
        <v>الجهاز العسكري</v>
      </c>
      <c r="E79" s="18" t="str">
        <f aca="false">IFERROR(INDEX('قائمة الوحدات'!$D$2:$D$41,MATCH($B79,'قائمة الوحدات'!$A$2:$A$41,0)),"")</f>
        <v>قيادة القوات الجوية</v>
      </c>
      <c r="F79" s="18" t="str">
        <f aca="false">IFERROR(INDEX('قائمة الوحدات'!$F$2:$F$41,MATCH($B79,'قائمة الوحدات'!$A$2:$A$41,0)),"")</f>
        <v>قيادة القوات الجوية</v>
      </c>
      <c r="G79" s="20" t="s">
        <v>62</v>
      </c>
      <c r="H79" s="18" t="str">
        <f aca="false">IFERROR(INDEX(المرجع!$A$2:$A$19,MATCH($G79,المرجع!$B$2:$B$19,0)),"")</f>
        <v>البناء المؤسسي</v>
      </c>
      <c r="I79" s="20" t="s">
        <v>57</v>
      </c>
      <c r="J79" s="18" t="str">
        <f aca="false">IFERROR(INDEX(المرجع!$D$2:$D$19,MATCH($I79,المرجع!$E$2:$E$19,0)),"")</f>
        <v>الموارد</v>
      </c>
      <c r="K79" s="20" t="s">
        <v>110</v>
      </c>
      <c r="L79" s="21" t="str">
        <f aca="false">IFERROR(INDEX('نقاط التحقق'!$G$2:$G$31,MATCH($K79,'نقاط التحقق'!$A$2:$A$31,0))&amp;"","")</f>
        <v>خطة توظيف وتدريب مستكملة</v>
      </c>
      <c r="M79" s="17" t="n">
        <v>60</v>
      </c>
      <c r="N79" s="17" t="n">
        <v>100</v>
      </c>
      <c r="O79" s="19" t="str">
        <f aca="false">IF($M79="","غير مقيّمة",IF($M79&gt;المرجع!$K$3,"مستوفاة بشكل متقدم",IF($M79&lt;=المرجع!$K$2,"مستوفاة بشكل أولي","مستوفاة بشكل جزئي")))</f>
        <v>مستوفاة بشكل جزئي</v>
      </c>
      <c r="P79" s="22"/>
    </row>
    <row r="80" customFormat="false" ht="15" hidden="false" customHeight="true" outlineLevel="0" collapsed="false">
      <c r="A80" s="20" t="s">
        <v>894</v>
      </c>
      <c r="B80" s="20" t="s">
        <v>200</v>
      </c>
      <c r="C80" s="19" t="str">
        <f aca="false">IFERROR(INDEX('قائمة الوحدات'!$B$2:$B$41,MATCH($B80,'قائمة الوحدات'!$A$2:$A$41,0)),"")</f>
        <v>MIL</v>
      </c>
      <c r="D80" s="18" t="str">
        <f aca="false">IFERROR(INDEX('قائمة الوحدات'!$C$2:$C$41,MATCH($B80,'قائمة الوحدات'!$A$2:$A$41,0)),"")</f>
        <v>الجهاز العسكري</v>
      </c>
      <c r="E80" s="18" t="str">
        <f aca="false">IFERROR(INDEX('قائمة الوحدات'!$D$2:$D$41,MATCH($B80,'قائمة الوحدات'!$A$2:$A$41,0)),"")</f>
        <v>قيادة القوات الجوية</v>
      </c>
      <c r="F80" s="18" t="str">
        <f aca="false">IFERROR(INDEX('قائمة الوحدات'!$F$2:$F$41,MATCH($B80,'قائمة الوحدات'!$A$2:$A$41,0)),"")</f>
        <v>قيادة القوات الجوية</v>
      </c>
      <c r="G80" s="20" t="s">
        <v>62</v>
      </c>
      <c r="H80" s="18" t="str">
        <f aca="false">IFERROR(INDEX(المرجع!$A$2:$A$19,MATCH($G80,المرجع!$B$2:$B$19,0)),"")</f>
        <v>البناء المؤسسي</v>
      </c>
      <c r="I80" s="20" t="s">
        <v>57</v>
      </c>
      <c r="J80" s="18" t="str">
        <f aca="false">IFERROR(INDEX(المرجع!$D$2:$D$19,MATCH($I80,المرجع!$E$2:$E$19,0)),"")</f>
        <v>الموارد</v>
      </c>
      <c r="K80" s="20" t="s">
        <v>112</v>
      </c>
      <c r="L80" s="21" t="str">
        <f aca="false">IFERROR(INDEX('نقاط التحقق'!$G$2:$G$31,MATCH($K80,'نقاط التحقق'!$A$2:$A$31,0))&amp;"","")</f>
        <v>وجود مساحات مكتبية كافية</v>
      </c>
      <c r="M80" s="17" t="n">
        <v>65</v>
      </c>
      <c r="N80" s="17" t="n">
        <v>85</v>
      </c>
      <c r="O80" s="19" t="str">
        <f aca="false">IF($M80="","غير مقيّمة",IF($M80&gt;المرجع!$K$3,"مستوفاة بشكل متقدم",IF($M80&lt;=المرجع!$K$2,"مستوفاة بشكل أولي","مستوفاة بشكل جزئي")))</f>
        <v>مستوفاة بشكل جزئي</v>
      </c>
      <c r="P80" s="22"/>
    </row>
    <row r="81" customFormat="false" ht="15" hidden="false" customHeight="true" outlineLevel="0" collapsed="false">
      <c r="A81" s="20" t="s">
        <v>895</v>
      </c>
      <c r="B81" s="20" t="s">
        <v>200</v>
      </c>
      <c r="C81" s="19" t="str">
        <f aca="false">IFERROR(INDEX('قائمة الوحدات'!$B$2:$B$41,MATCH($B81,'قائمة الوحدات'!$A$2:$A$41,0)),"")</f>
        <v>MIL</v>
      </c>
      <c r="D81" s="18" t="str">
        <f aca="false">IFERROR(INDEX('قائمة الوحدات'!$C$2:$C$41,MATCH($B81,'قائمة الوحدات'!$A$2:$A$41,0)),"")</f>
        <v>الجهاز العسكري</v>
      </c>
      <c r="E81" s="18" t="str">
        <f aca="false">IFERROR(INDEX('قائمة الوحدات'!$D$2:$D$41,MATCH($B81,'قائمة الوحدات'!$A$2:$A$41,0)),"")</f>
        <v>قيادة القوات الجوية</v>
      </c>
      <c r="F81" s="18" t="str">
        <f aca="false">IFERROR(INDEX('قائمة الوحدات'!$F$2:$F$41,MATCH($B81,'قائمة الوحدات'!$A$2:$A$41,0)),"")</f>
        <v>قيادة القوات الجوية</v>
      </c>
      <c r="G81" s="20" t="s">
        <v>62</v>
      </c>
      <c r="H81" s="18" t="str">
        <f aca="false">IFERROR(INDEX(المرجع!$A$2:$A$19,MATCH($G81,المرجع!$B$2:$B$19,0)),"")</f>
        <v>البناء المؤسسي</v>
      </c>
      <c r="I81" s="20" t="s">
        <v>57</v>
      </c>
      <c r="J81" s="18" t="str">
        <f aca="false">IFERROR(INDEX(المرجع!$D$2:$D$19,MATCH($I81,المرجع!$E$2:$E$19,0)),"")</f>
        <v>الموارد</v>
      </c>
      <c r="K81" s="20" t="s">
        <v>114</v>
      </c>
      <c r="L81" s="21" t="str">
        <f aca="false">IFERROR(INDEX('نقاط التحقق'!$G$2:$G$31,MATCH($K81,'نقاط التحقق'!$A$2:$A$31,0))&amp;"","")</f>
        <v>وجود الاحتياجات التقنية الأساسية</v>
      </c>
      <c r="M81" s="17" t="n">
        <v>65</v>
      </c>
      <c r="N81" s="17" t="n">
        <v>90</v>
      </c>
      <c r="O81" s="19" t="str">
        <f aca="false">IF($M81="","غير مقيّمة",IF($M81&gt;المرجع!$K$3,"مستوفاة بشكل متقدم",IF($M81&lt;=المرجع!$K$2,"مستوفاة بشكل أولي","مستوفاة بشكل جزئي")))</f>
        <v>مستوفاة بشكل جزئي</v>
      </c>
      <c r="P81" s="22"/>
    </row>
    <row r="82" customFormat="false" ht="15" hidden="false" customHeight="true" outlineLevel="0" collapsed="false">
      <c r="A82" s="20" t="s">
        <v>896</v>
      </c>
      <c r="B82" s="20" t="s">
        <v>200</v>
      </c>
      <c r="C82" s="19" t="str">
        <f aca="false">IFERROR(INDEX('قائمة الوحدات'!$B$2:$B$41,MATCH($B82,'قائمة الوحدات'!$A$2:$A$41,0)),"")</f>
        <v>MIL</v>
      </c>
      <c r="D82" s="18" t="str">
        <f aca="false">IFERROR(INDEX('قائمة الوحدات'!$C$2:$C$41,MATCH($B82,'قائمة الوحدات'!$A$2:$A$41,0)),"")</f>
        <v>الجهاز العسكري</v>
      </c>
      <c r="E82" s="18" t="str">
        <f aca="false">IFERROR(INDEX('قائمة الوحدات'!$D$2:$D$41,MATCH($B82,'قائمة الوحدات'!$A$2:$A$41,0)),"")</f>
        <v>قيادة القوات الجوية</v>
      </c>
      <c r="F82" s="18" t="str">
        <f aca="false">IFERROR(INDEX('قائمة الوحدات'!$F$2:$F$41,MATCH($B82,'قائمة الوحدات'!$A$2:$A$41,0)),"")</f>
        <v>قيادة القوات الجوية</v>
      </c>
      <c r="G82" s="20" t="s">
        <v>62</v>
      </c>
      <c r="H82" s="18" t="str">
        <f aca="false">IFERROR(INDEX(المرجع!$A$2:$A$19,MATCH($G82,المرجع!$B$2:$B$19,0)),"")</f>
        <v>البناء المؤسسي</v>
      </c>
      <c r="I82" s="20" t="s">
        <v>60</v>
      </c>
      <c r="J82" s="18" t="str">
        <f aca="false">IFERROR(INDEX(المرجع!$D$2:$D$19,MATCH($I82,المرجع!$E$2:$E$19,0)),"")</f>
        <v>الإجراءات</v>
      </c>
      <c r="K82" s="20" t="s">
        <v>116</v>
      </c>
      <c r="L82" s="21" t="str">
        <f aca="false">IFERROR(INDEX('نقاط التحقق'!$G$2:$G$31,MATCH($K82,'نقاط التحقق'!$A$2:$A$31,0))&amp;"","")</f>
        <v>إجراءات معتمدة للوحدة التنظيمية</v>
      </c>
      <c r="M82" s="17" t="n">
        <v>55</v>
      </c>
      <c r="N82" s="17" t="n">
        <v>90</v>
      </c>
      <c r="O82" s="19" t="str">
        <f aca="false">IF($M82="","غير مقيّمة",IF($M82&gt;المرجع!$K$3,"مستوفاة بشكل متقدم",IF($M82&lt;=المرجع!$K$2,"مستوفاة بشكل أولي","مستوفاة بشكل جزئي")))</f>
        <v>مستوفاة بشكل جزئي</v>
      </c>
      <c r="P82" s="22"/>
    </row>
    <row r="83" customFormat="false" ht="15" hidden="false" customHeight="true" outlineLevel="0" collapsed="false">
      <c r="A83" s="20" t="s">
        <v>897</v>
      </c>
      <c r="B83" s="20" t="s">
        <v>200</v>
      </c>
      <c r="C83" s="19" t="str">
        <f aca="false">IFERROR(INDEX('قائمة الوحدات'!$B$2:$B$41,MATCH($B83,'قائمة الوحدات'!$A$2:$A$41,0)),"")</f>
        <v>MIL</v>
      </c>
      <c r="D83" s="18" t="str">
        <f aca="false">IFERROR(INDEX('قائمة الوحدات'!$C$2:$C$41,MATCH($B83,'قائمة الوحدات'!$A$2:$A$41,0)),"")</f>
        <v>الجهاز العسكري</v>
      </c>
      <c r="E83" s="18" t="str">
        <f aca="false">IFERROR(INDEX('قائمة الوحدات'!$D$2:$D$41,MATCH($B83,'قائمة الوحدات'!$A$2:$A$41,0)),"")</f>
        <v>قيادة القوات الجوية</v>
      </c>
      <c r="F83" s="18" t="str">
        <f aca="false">IFERROR(INDEX('قائمة الوحدات'!$F$2:$F$41,MATCH($B83,'قائمة الوحدات'!$A$2:$A$41,0)),"")</f>
        <v>قيادة القوات الجوية</v>
      </c>
      <c r="G83" s="20" t="s">
        <v>62</v>
      </c>
      <c r="H83" s="18" t="str">
        <f aca="false">IFERROR(INDEX(المرجع!$A$2:$A$19,MATCH($G83,المرجع!$B$2:$B$19,0)),"")</f>
        <v>البناء المؤسسي</v>
      </c>
      <c r="I83" s="20" t="s">
        <v>69</v>
      </c>
      <c r="J83" s="18" t="str">
        <f aca="false">IFERROR(INDEX(المرجع!$D$2:$D$19,MATCH($I83,المرجع!$E$2:$E$19,0)),"")</f>
        <v>إنتاج المخرج الأول</v>
      </c>
      <c r="K83" s="20" t="s">
        <v>118</v>
      </c>
      <c r="L83" s="21" t="str">
        <f aca="false">IFERROR(INDEX('نقاط التحقق'!$G$2:$G$31,MATCH($K83,'نقاط التحقق'!$A$2:$A$31,0))&amp;"","")</f>
        <v>إنتاج المخرج الأول من قبل الوحدة التنظيمية</v>
      </c>
      <c r="M83" s="17" t="n">
        <v>80</v>
      </c>
      <c r="N83" s="17" t="n">
        <v>100</v>
      </c>
      <c r="O83" s="19" t="str">
        <f aca="false">IF($M83="","غير مقيّمة",IF($M83&gt;المرجع!$K$3,"مستوفاة بشكل متقدم",IF($M83&lt;=المرجع!$K$2,"مستوفاة بشكل أولي","مستوفاة بشكل جزئي")))</f>
        <v>مستوفاة بشكل متقدم</v>
      </c>
      <c r="P83" s="22"/>
    </row>
    <row r="84" customFormat="false" ht="15" hidden="false" customHeight="true" outlineLevel="0" collapsed="false">
      <c r="A84" s="20" t="s">
        <v>898</v>
      </c>
      <c r="B84" s="20" t="s">
        <v>200</v>
      </c>
      <c r="C84" s="19" t="str">
        <f aca="false">IFERROR(INDEX('قائمة الوحدات'!$B$2:$B$41,MATCH($B84,'قائمة الوحدات'!$A$2:$A$41,0)),"")</f>
        <v>MIL</v>
      </c>
      <c r="D84" s="18" t="str">
        <f aca="false">IFERROR(INDEX('قائمة الوحدات'!$C$2:$C$41,MATCH($B84,'قائمة الوحدات'!$A$2:$A$41,0)),"")</f>
        <v>الجهاز العسكري</v>
      </c>
      <c r="E84" s="18" t="str">
        <f aca="false">IFERROR(INDEX('قائمة الوحدات'!$D$2:$D$41,MATCH($B84,'قائمة الوحدات'!$A$2:$A$41,0)),"")</f>
        <v>قيادة القوات الجوية</v>
      </c>
      <c r="F84" s="18" t="str">
        <f aca="false">IFERROR(INDEX('قائمة الوحدات'!$F$2:$F$41,MATCH($B84,'قائمة الوحدات'!$A$2:$A$41,0)),"")</f>
        <v>قيادة القوات الجوية</v>
      </c>
      <c r="G84" s="20" t="s">
        <v>66</v>
      </c>
      <c r="H84" s="18" t="str">
        <f aca="false">IFERROR(INDEX(المرجع!$A$2:$A$19,MATCH($G84,المرجع!$B$2:$B$19,0)),"")</f>
        <v>التشغيل</v>
      </c>
      <c r="I84" s="20" t="s">
        <v>49</v>
      </c>
      <c r="J84" s="18" t="str">
        <f aca="false">IFERROR(INDEX(المرجع!$D$2:$D$19,MATCH($I84,المرجع!$E$2:$E$19,0)),"")</f>
        <v>الأهداف ومؤشرات الأداء</v>
      </c>
      <c r="K84" s="20" t="s">
        <v>120</v>
      </c>
      <c r="L84" s="21" t="str">
        <f aca="false">IFERROR(INDEX('نقاط التحقق'!$G$2:$G$31,MATCH($K84,'نقاط التحقق'!$A$2:$A$31,0))&amp;"","")</f>
        <v>تحرك مؤشرات الأداء التشغيلي للوحدة التنظيمية بشكل إيجابي</v>
      </c>
      <c r="M84" s="17" t="n">
        <v>65</v>
      </c>
      <c r="N84" s="17" t="n">
        <v>80</v>
      </c>
      <c r="O84" s="19" t="str">
        <f aca="false">IF($M84="","غير مقيّمة",IF($M84&gt;المرجع!$K$3,"مستوفاة بشكل متقدم",IF($M84&lt;=المرجع!$K$2,"مستوفاة بشكل أولي","مستوفاة بشكل جزئي")))</f>
        <v>مستوفاة بشكل جزئي</v>
      </c>
      <c r="P84" s="22"/>
    </row>
    <row r="85" customFormat="false" ht="15" hidden="false" customHeight="true" outlineLevel="0" collapsed="false">
      <c r="A85" s="20" t="s">
        <v>899</v>
      </c>
      <c r="B85" s="20" t="s">
        <v>200</v>
      </c>
      <c r="C85" s="19" t="str">
        <f aca="false">IFERROR(INDEX('قائمة الوحدات'!$B$2:$B$41,MATCH($B85,'قائمة الوحدات'!$A$2:$A$41,0)),"")</f>
        <v>MIL</v>
      </c>
      <c r="D85" s="18" t="str">
        <f aca="false">IFERROR(INDEX('قائمة الوحدات'!$C$2:$C$41,MATCH($B85,'قائمة الوحدات'!$A$2:$A$41,0)),"")</f>
        <v>الجهاز العسكري</v>
      </c>
      <c r="E85" s="18" t="str">
        <f aca="false">IFERROR(INDEX('قائمة الوحدات'!$D$2:$D$41,MATCH($B85,'قائمة الوحدات'!$A$2:$A$41,0)),"")</f>
        <v>قيادة القوات الجوية</v>
      </c>
      <c r="F85" s="18" t="str">
        <f aca="false">IFERROR(INDEX('قائمة الوحدات'!$F$2:$F$41,MATCH($B85,'قائمة الوحدات'!$A$2:$A$41,0)),"")</f>
        <v>قيادة القوات الجوية</v>
      </c>
      <c r="G85" s="20" t="s">
        <v>66</v>
      </c>
      <c r="H85" s="18" t="str">
        <f aca="false">IFERROR(INDEX(المرجع!$A$2:$A$19,MATCH($G85,المرجع!$B$2:$B$19,0)),"")</f>
        <v>التشغيل</v>
      </c>
      <c r="I85" s="20" t="s">
        <v>49</v>
      </c>
      <c r="J85" s="18" t="str">
        <f aca="false">IFERROR(INDEX(المرجع!$D$2:$D$19,MATCH($I85,المرجع!$E$2:$E$19,0)),"")</f>
        <v>الأهداف ومؤشرات الأداء</v>
      </c>
      <c r="K85" s="20" t="s">
        <v>122</v>
      </c>
      <c r="L85" s="21" t="str">
        <f aca="false">IFERROR(INDEX('نقاط التحقق'!$G$2:$G$31,MATCH($K85,'نقاط التحقق'!$A$2:$A$31,0))&amp;"","")</f>
        <v>خطة سنوية معتمدة للوحدة التنظيمية</v>
      </c>
      <c r="M85" s="17" t="n">
        <v>35</v>
      </c>
      <c r="N85" s="17" t="n">
        <v>90</v>
      </c>
      <c r="O85" s="19" t="str">
        <f aca="false">IF($M85="","غير مقيّمة",IF($M85&gt;المرجع!$K$3,"مستوفاة بشكل متقدم",IF($M85&lt;=المرجع!$K$2,"مستوفاة بشكل أولي","مستوفاة بشكل جزئي")))</f>
        <v>مستوفاة بشكل جزئي</v>
      </c>
      <c r="P85" s="22"/>
    </row>
    <row r="86" customFormat="false" ht="15" hidden="false" customHeight="true" outlineLevel="0" collapsed="false">
      <c r="A86" s="20" t="s">
        <v>900</v>
      </c>
      <c r="B86" s="20" t="s">
        <v>200</v>
      </c>
      <c r="C86" s="19" t="str">
        <f aca="false">IFERROR(INDEX('قائمة الوحدات'!$B$2:$B$41,MATCH($B86,'قائمة الوحدات'!$A$2:$A$41,0)),"")</f>
        <v>MIL</v>
      </c>
      <c r="D86" s="18" t="str">
        <f aca="false">IFERROR(INDEX('قائمة الوحدات'!$C$2:$C$41,MATCH($B86,'قائمة الوحدات'!$A$2:$A$41,0)),"")</f>
        <v>الجهاز العسكري</v>
      </c>
      <c r="E86" s="18" t="str">
        <f aca="false">IFERROR(INDEX('قائمة الوحدات'!$D$2:$D$41,MATCH($B86,'قائمة الوحدات'!$A$2:$A$41,0)),"")</f>
        <v>قيادة القوات الجوية</v>
      </c>
      <c r="F86" s="18" t="str">
        <f aca="false">IFERROR(INDEX('قائمة الوحدات'!$F$2:$F$41,MATCH($B86,'قائمة الوحدات'!$A$2:$A$41,0)),"")</f>
        <v>قيادة القوات الجوية</v>
      </c>
      <c r="G86" s="20" t="s">
        <v>66</v>
      </c>
      <c r="H86" s="18" t="str">
        <f aca="false">IFERROR(INDEX(المرجع!$A$2:$A$19,MATCH($G86,المرجع!$B$2:$B$19,0)),"")</f>
        <v>التشغيل</v>
      </c>
      <c r="I86" s="20" t="s">
        <v>52</v>
      </c>
      <c r="J86" s="18" t="str">
        <f aca="false">IFERROR(INDEX(المرجع!$D$2:$D$19,MATCH($I86,المرجع!$E$2:$E$19,0)),"")</f>
        <v>الحوكمة</v>
      </c>
      <c r="K86" s="20" t="s">
        <v>124</v>
      </c>
      <c r="L86" s="21" t="str">
        <f aca="false">IFERROR(INDEX('نقاط التحقق'!$G$2:$G$31,MATCH($K86,'نقاط التحقق'!$A$2:$A$31,0))&amp;"","")</f>
        <v>محاضر لجان موثقة</v>
      </c>
      <c r="M86" s="17" t="n">
        <v>35</v>
      </c>
      <c r="N86" s="17" t="n">
        <v>80</v>
      </c>
      <c r="O86" s="19" t="str">
        <f aca="false">IF($M86="","غير مقيّمة",IF($M86&gt;المرجع!$K$3,"مستوفاة بشكل متقدم",IF($M86&lt;=المرجع!$K$2,"مستوفاة بشكل أولي","مستوفاة بشكل جزئي")))</f>
        <v>مستوفاة بشكل جزئي</v>
      </c>
      <c r="P86" s="22"/>
    </row>
    <row r="87" customFormat="false" ht="15" hidden="false" customHeight="true" outlineLevel="0" collapsed="false">
      <c r="A87" s="20" t="s">
        <v>901</v>
      </c>
      <c r="B87" s="20" t="s">
        <v>200</v>
      </c>
      <c r="C87" s="19" t="str">
        <f aca="false">IFERROR(INDEX('قائمة الوحدات'!$B$2:$B$41,MATCH($B87,'قائمة الوحدات'!$A$2:$A$41,0)),"")</f>
        <v>MIL</v>
      </c>
      <c r="D87" s="18" t="str">
        <f aca="false">IFERROR(INDEX('قائمة الوحدات'!$C$2:$C$41,MATCH($B87,'قائمة الوحدات'!$A$2:$A$41,0)),"")</f>
        <v>الجهاز العسكري</v>
      </c>
      <c r="E87" s="18" t="str">
        <f aca="false">IFERROR(INDEX('قائمة الوحدات'!$D$2:$D$41,MATCH($B87,'قائمة الوحدات'!$A$2:$A$41,0)),"")</f>
        <v>قيادة القوات الجوية</v>
      </c>
      <c r="F87" s="18" t="str">
        <f aca="false">IFERROR(INDEX('قائمة الوحدات'!$F$2:$F$41,MATCH($B87,'قائمة الوحدات'!$A$2:$A$41,0)),"")</f>
        <v>قيادة القوات الجوية</v>
      </c>
      <c r="G87" s="20" t="s">
        <v>66</v>
      </c>
      <c r="H87" s="18" t="str">
        <f aca="false">IFERROR(INDEX(المرجع!$A$2:$A$19,MATCH($G87,المرجع!$B$2:$B$19,0)),"")</f>
        <v>التشغيل</v>
      </c>
      <c r="I87" s="20" t="s">
        <v>52</v>
      </c>
      <c r="J87" s="18" t="str">
        <f aca="false">IFERROR(INDEX(المرجع!$D$2:$D$19,MATCH($I87,المرجع!$E$2:$E$19,0)),"")</f>
        <v>الحوكمة</v>
      </c>
      <c r="K87" s="20" t="s">
        <v>126</v>
      </c>
      <c r="L87" s="21" t="str">
        <f aca="false">IFERROR(INDEX('نقاط التحقق'!$G$2:$G$31,MATCH($K87,'نقاط التحقق'!$A$2:$A$31,0))&amp;"","")</f>
        <v>نشر السياسات التي تملكها الوحدة التنظيمية</v>
      </c>
      <c r="M87" s="17" t="n">
        <v>30</v>
      </c>
      <c r="N87" s="17" t="n">
        <v>80</v>
      </c>
      <c r="O87" s="19" t="str">
        <f aca="false">IF($M87="","غير مقيّمة",IF($M87&gt;المرجع!$K$3,"مستوفاة بشكل متقدم",IF($M87&lt;=المرجع!$K$2,"مستوفاة بشكل أولي","مستوفاة بشكل جزئي")))</f>
        <v>مستوفاة بشكل أولي</v>
      </c>
      <c r="P87" s="22"/>
    </row>
    <row r="88" customFormat="false" ht="15" hidden="false" customHeight="true" outlineLevel="0" collapsed="false">
      <c r="A88" s="20" t="s">
        <v>902</v>
      </c>
      <c r="B88" s="20" t="s">
        <v>200</v>
      </c>
      <c r="C88" s="19" t="str">
        <f aca="false">IFERROR(INDEX('قائمة الوحدات'!$B$2:$B$41,MATCH($B88,'قائمة الوحدات'!$A$2:$A$41,0)),"")</f>
        <v>MIL</v>
      </c>
      <c r="D88" s="18" t="str">
        <f aca="false">IFERROR(INDEX('قائمة الوحدات'!$C$2:$C$41,MATCH($B88,'قائمة الوحدات'!$A$2:$A$41,0)),"")</f>
        <v>الجهاز العسكري</v>
      </c>
      <c r="E88" s="18" t="str">
        <f aca="false">IFERROR(INDEX('قائمة الوحدات'!$D$2:$D$41,MATCH($B88,'قائمة الوحدات'!$A$2:$A$41,0)),"")</f>
        <v>قيادة القوات الجوية</v>
      </c>
      <c r="F88" s="18" t="str">
        <f aca="false">IFERROR(INDEX('قائمة الوحدات'!$F$2:$F$41,MATCH($B88,'قائمة الوحدات'!$A$2:$A$41,0)),"")</f>
        <v>قيادة القوات الجوية</v>
      </c>
      <c r="G88" s="20" t="s">
        <v>66</v>
      </c>
      <c r="H88" s="18" t="str">
        <f aca="false">IFERROR(INDEX(المرجع!$A$2:$A$19,MATCH($G88,المرجع!$B$2:$B$19,0)),"")</f>
        <v>التشغيل</v>
      </c>
      <c r="I88" s="20" t="s">
        <v>52</v>
      </c>
      <c r="J88" s="18" t="str">
        <f aca="false">IFERROR(INDEX(المرجع!$D$2:$D$19,MATCH($I88,المرجع!$E$2:$E$19,0)),"")</f>
        <v>الحوكمة</v>
      </c>
      <c r="K88" s="20" t="s">
        <v>128</v>
      </c>
      <c r="L88" s="21" t="str">
        <f aca="false">IFERROR(INDEX('نقاط التحقق'!$G$2:$G$31,MATCH($K88,'نقاط التحقق'!$A$2:$A$31,0))&amp;"","")</f>
        <v>اتخاذ القرارات في نطاق الصلاحيات (وجود شواهد)</v>
      </c>
      <c r="M88" s="17" t="n">
        <v>55</v>
      </c>
      <c r="N88" s="17" t="n">
        <v>80</v>
      </c>
      <c r="O88" s="19" t="str">
        <f aca="false">IF($M88="","غير مقيّمة",IF($M88&gt;المرجع!$K$3,"مستوفاة بشكل متقدم",IF($M88&lt;=المرجع!$K$2,"مستوفاة بشكل أولي","مستوفاة بشكل جزئي")))</f>
        <v>مستوفاة بشكل جزئي</v>
      </c>
      <c r="P88" s="22"/>
    </row>
    <row r="89" customFormat="false" ht="15" hidden="false" customHeight="true" outlineLevel="0" collapsed="false">
      <c r="A89" s="20" t="s">
        <v>903</v>
      </c>
      <c r="B89" s="20" t="s">
        <v>200</v>
      </c>
      <c r="C89" s="19" t="str">
        <f aca="false">IFERROR(INDEX('قائمة الوحدات'!$B$2:$B$41,MATCH($B89,'قائمة الوحدات'!$A$2:$A$41,0)),"")</f>
        <v>MIL</v>
      </c>
      <c r="D89" s="18" t="str">
        <f aca="false">IFERROR(INDEX('قائمة الوحدات'!$C$2:$C$41,MATCH($B89,'قائمة الوحدات'!$A$2:$A$41,0)),"")</f>
        <v>الجهاز العسكري</v>
      </c>
      <c r="E89" s="18" t="str">
        <f aca="false">IFERROR(INDEX('قائمة الوحدات'!$D$2:$D$41,MATCH($B89,'قائمة الوحدات'!$A$2:$A$41,0)),"")</f>
        <v>قيادة القوات الجوية</v>
      </c>
      <c r="F89" s="18" t="str">
        <f aca="false">IFERROR(INDEX('قائمة الوحدات'!$F$2:$F$41,MATCH($B89,'قائمة الوحدات'!$A$2:$A$41,0)),"")</f>
        <v>قيادة القوات الجوية</v>
      </c>
      <c r="G89" s="20" t="s">
        <v>66</v>
      </c>
      <c r="H89" s="18" t="str">
        <f aca="false">IFERROR(INDEX(المرجع!$A$2:$A$19,MATCH($G89,المرجع!$B$2:$B$19,0)),"")</f>
        <v>التشغيل</v>
      </c>
      <c r="I89" s="20" t="s">
        <v>57</v>
      </c>
      <c r="J89" s="18" t="str">
        <f aca="false">IFERROR(INDEX(المرجع!$D$2:$D$19,MATCH($I89,المرجع!$E$2:$E$19,0)),"")</f>
        <v>الموارد</v>
      </c>
      <c r="K89" s="20" t="s">
        <v>130</v>
      </c>
      <c r="L89" s="21" t="str">
        <f aca="false">IFERROR(INDEX('نقاط التحقق'!$G$2:$G$31,MATCH($K89,'نقاط التحقق'!$A$2:$A$31,0))&amp;"","")</f>
        <v>موارد مستكملة للحد الأدنى الذي يغطي كافة محاور سلسلة القيمة</v>
      </c>
      <c r="M89" s="17" t="n">
        <v>54</v>
      </c>
      <c r="N89" s="17" t="n">
        <v>100</v>
      </c>
      <c r="O89" s="19" t="str">
        <f aca="false">IF($M89="","غير مقيّمة",IF($M89&gt;المرجع!$K$3,"مستوفاة بشكل متقدم",IF($M89&lt;=المرجع!$K$2,"مستوفاة بشكل أولي","مستوفاة بشكل جزئي")))</f>
        <v>مستوفاة بشكل جزئي</v>
      </c>
      <c r="P89" s="22"/>
    </row>
    <row r="90" customFormat="false" ht="15" hidden="false" customHeight="true" outlineLevel="0" collapsed="false">
      <c r="A90" s="20" t="s">
        <v>904</v>
      </c>
      <c r="B90" s="20" t="s">
        <v>200</v>
      </c>
      <c r="C90" s="19" t="str">
        <f aca="false">IFERROR(INDEX('قائمة الوحدات'!$B$2:$B$41,MATCH($B90,'قائمة الوحدات'!$A$2:$A$41,0)),"")</f>
        <v>MIL</v>
      </c>
      <c r="D90" s="18" t="str">
        <f aca="false">IFERROR(INDEX('قائمة الوحدات'!$C$2:$C$41,MATCH($B90,'قائمة الوحدات'!$A$2:$A$41,0)),"")</f>
        <v>الجهاز العسكري</v>
      </c>
      <c r="E90" s="18" t="str">
        <f aca="false">IFERROR(INDEX('قائمة الوحدات'!$D$2:$D$41,MATCH($B90,'قائمة الوحدات'!$A$2:$A$41,0)),"")</f>
        <v>قيادة القوات الجوية</v>
      </c>
      <c r="F90" s="18" t="str">
        <f aca="false">IFERROR(INDEX('قائمة الوحدات'!$F$2:$F$41,MATCH($B90,'قائمة الوحدات'!$A$2:$A$41,0)),"")</f>
        <v>قيادة القوات الجوية</v>
      </c>
      <c r="G90" s="20" t="s">
        <v>66</v>
      </c>
      <c r="H90" s="18" t="str">
        <f aca="false">IFERROR(INDEX(المرجع!$A$2:$A$19,MATCH($G90,المرجع!$B$2:$B$19,0)),"")</f>
        <v>التشغيل</v>
      </c>
      <c r="I90" s="20" t="s">
        <v>60</v>
      </c>
      <c r="J90" s="18" t="str">
        <f aca="false">IFERROR(INDEX(المرجع!$D$2:$D$19,MATCH($I90,المرجع!$E$2:$E$19,0)),"")</f>
        <v>الإجراءات</v>
      </c>
      <c r="K90" s="20" t="s">
        <v>132</v>
      </c>
      <c r="L90" s="21" t="str">
        <f aca="false">IFERROR(INDEX('نقاط التحقق'!$G$2:$G$31,MATCH($K90,'نقاط التحقق'!$A$2:$A$31,0))&amp;"","")</f>
        <v>تحقيق تقييم "مطبق بشكل كامل" من منهجية تقييم فعالية الإجراءات</v>
      </c>
      <c r="M90" s="17" t="n">
        <v>56</v>
      </c>
      <c r="N90" s="17" t="n">
        <v>100</v>
      </c>
      <c r="O90" s="19" t="str">
        <f aca="false">IF($M90="","غير مقيّمة",IF($M90&gt;المرجع!$K$3,"مستوفاة بشكل متقدم",IF($M90&lt;=المرجع!$K$2,"مستوفاة بشكل أولي","مستوفاة بشكل جزئي")))</f>
        <v>مستوفاة بشكل جزئي</v>
      </c>
      <c r="P90" s="22"/>
    </row>
    <row r="91" customFormat="false" ht="15" hidden="false" customHeight="true" outlineLevel="0" collapsed="false">
      <c r="A91" s="20" t="s">
        <v>905</v>
      </c>
      <c r="B91" s="20" t="s">
        <v>200</v>
      </c>
      <c r="C91" s="19" t="str">
        <f aca="false">IFERROR(INDEX('قائمة الوحدات'!$B$2:$B$41,MATCH($B91,'قائمة الوحدات'!$A$2:$A$41,0)),"")</f>
        <v>MIL</v>
      </c>
      <c r="D91" s="18" t="str">
        <f aca="false">IFERROR(INDEX('قائمة الوحدات'!$C$2:$C$41,MATCH($B91,'قائمة الوحدات'!$A$2:$A$41,0)),"")</f>
        <v>الجهاز العسكري</v>
      </c>
      <c r="E91" s="18" t="str">
        <f aca="false">IFERROR(INDEX('قائمة الوحدات'!$D$2:$D$41,MATCH($B91,'قائمة الوحدات'!$A$2:$A$41,0)),"")</f>
        <v>قيادة القوات الجوية</v>
      </c>
      <c r="F91" s="18" t="str">
        <f aca="false">IFERROR(INDEX('قائمة الوحدات'!$F$2:$F$41,MATCH($B91,'قائمة الوحدات'!$A$2:$A$41,0)),"")</f>
        <v>قيادة القوات الجوية</v>
      </c>
      <c r="G91" s="20" t="s">
        <v>66</v>
      </c>
      <c r="H91" s="18" t="str">
        <f aca="false">IFERROR(INDEX(المرجع!$A$2:$A$19,MATCH($G91,المرجع!$B$2:$B$19,0)),"")</f>
        <v>التشغيل</v>
      </c>
      <c r="I91" s="20" t="s">
        <v>71</v>
      </c>
      <c r="J91" s="18" t="str">
        <f aca="false">IFERROR(INDEX(المرجع!$D$2:$D$19,MATCH($I91,المرجع!$E$2:$E$19,0)),"")</f>
        <v>اكتمال المخرجات المستهدفة</v>
      </c>
      <c r="K91" s="20" t="s">
        <v>134</v>
      </c>
      <c r="L91" s="21" t="str">
        <f aca="false">IFERROR(INDEX('نقاط التحقق'!$G$2:$G$31,MATCH($K91,'نقاط التحقق'!$A$2:$A$31,0))&amp;"","")</f>
        <v>اكتمال مخرجات النموذج التشغيلي المستهدف للوحدة التنظيمية</v>
      </c>
      <c r="M91" s="17" t="n">
        <v>54</v>
      </c>
      <c r="N91" s="17" t="n">
        <v>100</v>
      </c>
      <c r="O91" s="19" t="str">
        <f aca="false">IF($M91="","غير مقيّمة",IF($M91&gt;المرجع!$K$3,"مستوفاة بشكل متقدم",IF($M91&lt;=المرجع!$K$2,"مستوفاة بشكل أولي","مستوفاة بشكل جزئي")))</f>
        <v>مستوفاة بشكل جزئي</v>
      </c>
      <c r="P91" s="22"/>
    </row>
    <row r="92" customFormat="false" ht="15" hidden="false" customHeight="true" outlineLevel="0" collapsed="false">
      <c r="A92" s="20" t="s">
        <v>906</v>
      </c>
      <c r="B92" s="20" t="s">
        <v>202</v>
      </c>
      <c r="C92" s="19" t="str">
        <f aca="false">IFERROR(INDEX('قائمة الوحدات'!$B$2:$B$41,MATCH($B92,'قائمة الوحدات'!$A$2:$A$41,0)),"")</f>
        <v>MIL</v>
      </c>
      <c r="D92" s="18" t="str">
        <f aca="false">IFERROR(INDEX('قائمة الوحدات'!$C$2:$C$41,MATCH($B92,'قائمة الوحدات'!$A$2:$A$41,0)),"")</f>
        <v>الجهاز العسكري</v>
      </c>
      <c r="E92" s="18" t="str">
        <f aca="false">IFERROR(INDEX('قائمة الوحدات'!$D$2:$D$41,MATCH($B92,'قائمة الوحدات'!$A$2:$A$41,0)),"")</f>
        <v>قيادة القوات البحرية</v>
      </c>
      <c r="F92" s="18" t="str">
        <f aca="false">IFERROR(INDEX('قائمة الوحدات'!$F$2:$F$41,MATCH($B92,'قائمة الوحدات'!$A$2:$A$41,0)),"")</f>
        <v>قيادة القوات البحرية</v>
      </c>
      <c r="G92" s="20" t="s">
        <v>44</v>
      </c>
      <c r="H92" s="18" t="str">
        <f aca="false">IFERROR(INDEX(المرجع!$A$2:$A$19,MATCH($G92,المرجع!$B$2:$B$19,0)),"")</f>
        <v>التصميم</v>
      </c>
      <c r="I92" s="20" t="s">
        <v>46</v>
      </c>
      <c r="J92" s="18" t="str">
        <f aca="false">IFERROR(INDEX(المرجع!$D$2:$D$19,MATCH($I92,المرجع!$E$2:$E$19,0)),"")</f>
        <v>الدور</v>
      </c>
      <c r="K92" s="20" t="s">
        <v>76</v>
      </c>
      <c r="L92" s="21" t="str">
        <f aca="false">IFERROR(INDEX('نقاط التحقق'!$G$2:$G$31,MATCH($K92,'نقاط التحقق'!$A$2:$A$31,0))&amp;"","")</f>
        <v>دور مفصل للوحدة التنظيمية</v>
      </c>
      <c r="M92" s="17" t="n">
        <v>80</v>
      </c>
      <c r="N92" s="17" t="n">
        <v>85</v>
      </c>
      <c r="O92" s="19" t="str">
        <f aca="false">IF($M92="","غير مقيّمة",IF($M92&gt;المرجع!$K$3,"مستوفاة بشكل متقدم",IF($M92&lt;=المرجع!$K$2,"مستوفاة بشكل أولي","مستوفاة بشكل جزئي")))</f>
        <v>مستوفاة بشكل متقدم</v>
      </c>
      <c r="P92" s="22"/>
    </row>
    <row r="93" customFormat="false" ht="15" hidden="false" customHeight="true" outlineLevel="0" collapsed="false">
      <c r="A93" s="20" t="s">
        <v>907</v>
      </c>
      <c r="B93" s="20" t="s">
        <v>202</v>
      </c>
      <c r="C93" s="19" t="str">
        <f aca="false">IFERROR(INDEX('قائمة الوحدات'!$B$2:$B$41,MATCH($B93,'قائمة الوحدات'!$A$2:$A$41,0)),"")</f>
        <v>MIL</v>
      </c>
      <c r="D93" s="18" t="str">
        <f aca="false">IFERROR(INDEX('قائمة الوحدات'!$C$2:$C$41,MATCH($B93,'قائمة الوحدات'!$A$2:$A$41,0)),"")</f>
        <v>الجهاز العسكري</v>
      </c>
      <c r="E93" s="18" t="str">
        <f aca="false">IFERROR(INDEX('قائمة الوحدات'!$D$2:$D$41,MATCH($B93,'قائمة الوحدات'!$A$2:$A$41,0)),"")</f>
        <v>قيادة القوات البحرية</v>
      </c>
      <c r="F93" s="18" t="str">
        <f aca="false">IFERROR(INDEX('قائمة الوحدات'!$F$2:$F$41,MATCH($B93,'قائمة الوحدات'!$A$2:$A$41,0)),"")</f>
        <v>قيادة القوات البحرية</v>
      </c>
      <c r="G93" s="20" t="s">
        <v>44</v>
      </c>
      <c r="H93" s="18" t="str">
        <f aca="false">IFERROR(INDEX(المرجع!$A$2:$A$19,MATCH($G93,المرجع!$B$2:$B$19,0)),"")</f>
        <v>التصميم</v>
      </c>
      <c r="I93" s="20" t="s">
        <v>49</v>
      </c>
      <c r="J93" s="18" t="str">
        <f aca="false">IFERROR(INDEX(المرجع!$D$2:$D$19,MATCH($I93,المرجع!$E$2:$E$19,0)),"")</f>
        <v>الأهداف ومؤشرات الأداء</v>
      </c>
      <c r="K93" s="20" t="s">
        <v>78</v>
      </c>
      <c r="L93" s="21" t="str">
        <f aca="false">IFERROR(INDEX('نقاط التحقق'!$G$2:$G$31,MATCH($K93,'نقاط التحقق'!$A$2:$A$31,0))&amp;"","")</f>
        <v>أهداف محددة للوحدة التنظيمية وربطها بمؤشرات أداء لقياسها</v>
      </c>
      <c r="M93" s="17" t="n">
        <v>70</v>
      </c>
      <c r="N93" s="17" t="n">
        <v>100</v>
      </c>
      <c r="O93" s="19" t="str">
        <f aca="false">IF($M93="","غير مقيّمة",IF($M93&gt;المرجع!$K$3,"مستوفاة بشكل متقدم",IF($M93&lt;=المرجع!$K$2,"مستوفاة بشكل أولي","مستوفاة بشكل جزئي")))</f>
        <v>مستوفاة بشكل جزئي</v>
      </c>
      <c r="P93" s="22"/>
    </row>
    <row r="94" customFormat="false" ht="15" hidden="false" customHeight="true" outlineLevel="0" collapsed="false">
      <c r="A94" s="20" t="s">
        <v>908</v>
      </c>
      <c r="B94" s="20" t="s">
        <v>202</v>
      </c>
      <c r="C94" s="19" t="str">
        <f aca="false">IFERROR(INDEX('قائمة الوحدات'!$B$2:$B$41,MATCH($B94,'قائمة الوحدات'!$A$2:$A$41,0)),"")</f>
        <v>MIL</v>
      </c>
      <c r="D94" s="18" t="str">
        <f aca="false">IFERROR(INDEX('قائمة الوحدات'!$C$2:$C$41,MATCH($B94,'قائمة الوحدات'!$A$2:$A$41,0)),"")</f>
        <v>الجهاز العسكري</v>
      </c>
      <c r="E94" s="18" t="str">
        <f aca="false">IFERROR(INDEX('قائمة الوحدات'!$D$2:$D$41,MATCH($B94,'قائمة الوحدات'!$A$2:$A$41,0)),"")</f>
        <v>قيادة القوات البحرية</v>
      </c>
      <c r="F94" s="18" t="str">
        <f aca="false">IFERROR(INDEX('قائمة الوحدات'!$F$2:$F$41,MATCH($B94,'قائمة الوحدات'!$A$2:$A$41,0)),"")</f>
        <v>قيادة القوات البحرية</v>
      </c>
      <c r="G94" s="20" t="s">
        <v>44</v>
      </c>
      <c r="H94" s="18" t="str">
        <f aca="false">IFERROR(INDEX(المرجع!$A$2:$A$19,MATCH($G94,المرجع!$B$2:$B$19,0)),"")</f>
        <v>التصميم</v>
      </c>
      <c r="I94" s="20" t="s">
        <v>49</v>
      </c>
      <c r="J94" s="18" t="str">
        <f aca="false">IFERROR(INDEX(المرجع!$D$2:$D$19,MATCH($I94,المرجع!$E$2:$E$19,0)),"")</f>
        <v>الأهداف ومؤشرات الأداء</v>
      </c>
      <c r="K94" s="20" t="s">
        <v>80</v>
      </c>
      <c r="L94" s="21" t="str">
        <f aca="false">IFERROR(INDEX('نقاط التحقق'!$G$2:$G$31,MATCH($K94,'نقاط التحقق'!$A$2:$A$31,0))&amp;"","")</f>
        <v>مؤشرات أداء الوحدة التنظيمية</v>
      </c>
      <c r="M94" s="17" t="n">
        <v>90</v>
      </c>
      <c r="N94" s="17" t="n">
        <v>95</v>
      </c>
      <c r="O94" s="19" t="str">
        <f aca="false">IF($M94="","غير مقيّمة",IF($M94&gt;المرجع!$K$3,"مستوفاة بشكل متقدم",IF($M94&lt;=المرجع!$K$2,"مستوفاة بشكل أولي","مستوفاة بشكل جزئي")))</f>
        <v>مستوفاة بشكل متقدم</v>
      </c>
      <c r="P94" s="22"/>
    </row>
    <row r="95" customFormat="false" ht="15" hidden="false" customHeight="true" outlineLevel="0" collapsed="false">
      <c r="A95" s="20" t="s">
        <v>909</v>
      </c>
      <c r="B95" s="20" t="s">
        <v>202</v>
      </c>
      <c r="C95" s="19" t="str">
        <f aca="false">IFERROR(INDEX('قائمة الوحدات'!$B$2:$B$41,MATCH($B95,'قائمة الوحدات'!$A$2:$A$41,0)),"")</f>
        <v>MIL</v>
      </c>
      <c r="D95" s="18" t="str">
        <f aca="false">IFERROR(INDEX('قائمة الوحدات'!$C$2:$C$41,MATCH($B95,'قائمة الوحدات'!$A$2:$A$41,0)),"")</f>
        <v>الجهاز العسكري</v>
      </c>
      <c r="E95" s="18" t="str">
        <f aca="false">IFERROR(INDEX('قائمة الوحدات'!$D$2:$D$41,MATCH($B95,'قائمة الوحدات'!$A$2:$A$41,0)),"")</f>
        <v>قيادة القوات البحرية</v>
      </c>
      <c r="F95" s="18" t="str">
        <f aca="false">IFERROR(INDEX('قائمة الوحدات'!$F$2:$F$41,MATCH($B95,'قائمة الوحدات'!$A$2:$A$41,0)),"")</f>
        <v>قيادة القوات البحرية</v>
      </c>
      <c r="G95" s="20" t="s">
        <v>44</v>
      </c>
      <c r="H95" s="18" t="str">
        <f aca="false">IFERROR(INDEX(المرجع!$A$2:$A$19,MATCH($G95,المرجع!$B$2:$B$19,0)),"")</f>
        <v>التصميم</v>
      </c>
      <c r="I95" s="20" t="s">
        <v>52</v>
      </c>
      <c r="J95" s="18" t="str">
        <f aca="false">IFERROR(INDEX(المرجع!$D$2:$D$19,MATCH($I95,المرجع!$E$2:$E$19,0)),"")</f>
        <v>الحوكمة</v>
      </c>
      <c r="K95" s="20" t="s">
        <v>82</v>
      </c>
      <c r="L95" s="21" t="str">
        <f aca="false">IFERROR(INDEX('نقاط التحقق'!$G$2:$G$31,MATCH($K95,'نقاط التحقق'!$A$2:$A$31,0))&amp;"","")</f>
        <v>تفصيل القرارات ومصفوفة الصلاحيات واللجان ذات العلاقة لاعتماد مخرجات الوحدة التنظيمية</v>
      </c>
      <c r="M95" s="17" t="n">
        <v>86</v>
      </c>
      <c r="N95" s="17" t="n">
        <v>86</v>
      </c>
      <c r="O95" s="19" t="str">
        <f aca="false">IF($M95="","غير مقيّمة",IF($M95&gt;المرجع!$K$3,"مستوفاة بشكل متقدم",IF($M95&lt;=المرجع!$K$2,"مستوفاة بشكل أولي","مستوفاة بشكل جزئي")))</f>
        <v>مستوفاة بشكل متقدم</v>
      </c>
      <c r="P95" s="22"/>
    </row>
    <row r="96" customFormat="false" ht="15" hidden="false" customHeight="true" outlineLevel="0" collapsed="false">
      <c r="A96" s="20" t="s">
        <v>910</v>
      </c>
      <c r="B96" s="20" t="s">
        <v>202</v>
      </c>
      <c r="C96" s="19" t="str">
        <f aca="false">IFERROR(INDEX('قائمة الوحدات'!$B$2:$B$41,MATCH($B96,'قائمة الوحدات'!$A$2:$A$41,0)),"")</f>
        <v>MIL</v>
      </c>
      <c r="D96" s="18" t="str">
        <f aca="false">IFERROR(INDEX('قائمة الوحدات'!$C$2:$C$41,MATCH($B96,'قائمة الوحدات'!$A$2:$A$41,0)),"")</f>
        <v>الجهاز العسكري</v>
      </c>
      <c r="E96" s="18" t="str">
        <f aca="false">IFERROR(INDEX('قائمة الوحدات'!$D$2:$D$41,MATCH($B96,'قائمة الوحدات'!$A$2:$A$41,0)),"")</f>
        <v>قيادة القوات البحرية</v>
      </c>
      <c r="F96" s="18" t="str">
        <f aca="false">IFERROR(INDEX('قائمة الوحدات'!$F$2:$F$41,MATCH($B96,'قائمة الوحدات'!$A$2:$A$41,0)),"")</f>
        <v>قيادة القوات البحرية</v>
      </c>
      <c r="G96" s="20" t="s">
        <v>44</v>
      </c>
      <c r="H96" s="18" t="str">
        <f aca="false">IFERROR(INDEX(المرجع!$A$2:$A$19,MATCH($G96,المرجع!$B$2:$B$19,0)),"")</f>
        <v>التصميم</v>
      </c>
      <c r="I96" s="20" t="s">
        <v>55</v>
      </c>
      <c r="J96" s="18" t="str">
        <f aca="false">IFERROR(INDEX(المرجع!$D$2:$D$19,MATCH($I96,المرجع!$E$2:$E$19,0)),"")</f>
        <v>التنظيم</v>
      </c>
      <c r="K96" s="20" t="s">
        <v>84</v>
      </c>
      <c r="L96" s="21" t="str">
        <f aca="false">IFERROR(INDEX('نقاط التحقق'!$G$2:$G$31,MATCH($K96,'نقاط التحقق'!$A$2:$A$31,0))&amp;"","")</f>
        <v>تطوير الأدوار والمسؤوليات للوحدة التنظيمية وتفصيل الهيكل التنظيمي</v>
      </c>
      <c r="M96" s="17" t="n">
        <v>83</v>
      </c>
      <c r="N96" s="17" t="n">
        <v>95</v>
      </c>
      <c r="O96" s="19" t="str">
        <f aca="false">IF($M96="","غير مقيّمة",IF($M96&gt;المرجع!$K$3,"مستوفاة بشكل متقدم",IF($M96&lt;=المرجع!$K$2,"مستوفاة بشكل أولي","مستوفاة بشكل جزئي")))</f>
        <v>مستوفاة بشكل متقدم</v>
      </c>
      <c r="P96" s="22"/>
    </row>
    <row r="97" customFormat="false" ht="15" hidden="false" customHeight="true" outlineLevel="0" collapsed="false">
      <c r="A97" s="20" t="s">
        <v>911</v>
      </c>
      <c r="B97" s="20" t="s">
        <v>202</v>
      </c>
      <c r="C97" s="19" t="str">
        <f aca="false">IFERROR(INDEX('قائمة الوحدات'!$B$2:$B$41,MATCH($B97,'قائمة الوحدات'!$A$2:$A$41,0)),"")</f>
        <v>MIL</v>
      </c>
      <c r="D97" s="18" t="str">
        <f aca="false">IFERROR(INDEX('قائمة الوحدات'!$C$2:$C$41,MATCH($B97,'قائمة الوحدات'!$A$2:$A$41,0)),"")</f>
        <v>الجهاز العسكري</v>
      </c>
      <c r="E97" s="18" t="str">
        <f aca="false">IFERROR(INDEX('قائمة الوحدات'!$D$2:$D$41,MATCH($B97,'قائمة الوحدات'!$A$2:$A$41,0)),"")</f>
        <v>قيادة القوات البحرية</v>
      </c>
      <c r="F97" s="18" t="str">
        <f aca="false">IFERROR(INDEX('قائمة الوحدات'!$F$2:$F$41,MATCH($B97,'قائمة الوحدات'!$A$2:$A$41,0)),"")</f>
        <v>قيادة القوات البحرية</v>
      </c>
      <c r="G97" s="20" t="s">
        <v>44</v>
      </c>
      <c r="H97" s="18" t="str">
        <f aca="false">IFERROR(INDEX(المرجع!$A$2:$A$19,MATCH($G97,المرجع!$B$2:$B$19,0)),"")</f>
        <v>التصميم</v>
      </c>
      <c r="I97" s="20" t="s">
        <v>57</v>
      </c>
      <c r="J97" s="18" t="str">
        <f aca="false">IFERROR(INDEX(المرجع!$D$2:$D$19,MATCH($I97,المرجع!$E$2:$E$19,0)),"")</f>
        <v>الموارد</v>
      </c>
      <c r="K97" s="20" t="s">
        <v>86</v>
      </c>
      <c r="L97" s="21" t="str">
        <f aca="false">IFERROR(INDEX('نقاط التحقق'!$G$2:$G$31,MATCH($K97,'نقاط التحقق'!$A$2:$A$31,0))&amp;"","")</f>
        <v>تفصيل احتياج الموارد البشرية للوحدة التنظيمية</v>
      </c>
      <c r="M97" s="17" t="n">
        <v>91</v>
      </c>
      <c r="N97" s="17" t="n">
        <v>91</v>
      </c>
      <c r="O97" s="19" t="str">
        <f aca="false">IF($M97="","غير مقيّمة",IF($M97&gt;المرجع!$K$3,"مستوفاة بشكل متقدم",IF($M97&lt;=المرجع!$K$2,"مستوفاة بشكل أولي","مستوفاة بشكل جزئي")))</f>
        <v>مستوفاة بشكل متقدم</v>
      </c>
      <c r="P97" s="22"/>
    </row>
    <row r="98" customFormat="false" ht="15" hidden="false" customHeight="true" outlineLevel="0" collapsed="false">
      <c r="A98" s="20" t="s">
        <v>912</v>
      </c>
      <c r="B98" s="20" t="s">
        <v>202</v>
      </c>
      <c r="C98" s="19" t="str">
        <f aca="false">IFERROR(INDEX('قائمة الوحدات'!$B$2:$B$41,MATCH($B98,'قائمة الوحدات'!$A$2:$A$41,0)),"")</f>
        <v>MIL</v>
      </c>
      <c r="D98" s="18" t="str">
        <f aca="false">IFERROR(INDEX('قائمة الوحدات'!$C$2:$C$41,MATCH($B98,'قائمة الوحدات'!$A$2:$A$41,0)),"")</f>
        <v>الجهاز العسكري</v>
      </c>
      <c r="E98" s="18" t="str">
        <f aca="false">IFERROR(INDEX('قائمة الوحدات'!$D$2:$D$41,MATCH($B98,'قائمة الوحدات'!$A$2:$A$41,0)),"")</f>
        <v>قيادة القوات البحرية</v>
      </c>
      <c r="F98" s="18" t="str">
        <f aca="false">IFERROR(INDEX('قائمة الوحدات'!$F$2:$F$41,MATCH($B98,'قائمة الوحدات'!$A$2:$A$41,0)),"")</f>
        <v>قيادة القوات البحرية</v>
      </c>
      <c r="G98" s="20" t="s">
        <v>44</v>
      </c>
      <c r="H98" s="18" t="str">
        <f aca="false">IFERROR(INDEX(المرجع!$A$2:$A$19,MATCH($G98,المرجع!$B$2:$B$19,0)),"")</f>
        <v>التصميم</v>
      </c>
      <c r="I98" s="20" t="s">
        <v>60</v>
      </c>
      <c r="J98" s="18" t="str">
        <f aca="false">IFERROR(INDEX(المرجع!$D$2:$D$19,MATCH($I98,المرجع!$E$2:$E$19,0)),"")</f>
        <v>الإجراءات</v>
      </c>
      <c r="K98" s="20" t="s">
        <v>88</v>
      </c>
      <c r="L98" s="21" t="str">
        <f aca="false">IFERROR(INDEX('نقاط التحقق'!$G$2:$G$31,MATCH($K98,'نقاط التحقق'!$A$2:$A$31,0))&amp;"","")</f>
        <v>تفصيل المخرجات إلى إجراءات عالية المستوى</v>
      </c>
      <c r="M98" s="17" t="n">
        <v>81</v>
      </c>
      <c r="N98" s="17" t="n">
        <v>100</v>
      </c>
      <c r="O98" s="19" t="str">
        <f aca="false">IF($M98="","غير مقيّمة",IF($M98&gt;المرجع!$K$3,"مستوفاة بشكل متقدم",IF($M98&lt;=المرجع!$K$2,"مستوفاة بشكل أولي","مستوفاة بشكل جزئي")))</f>
        <v>مستوفاة بشكل متقدم</v>
      </c>
      <c r="P98" s="22"/>
    </row>
    <row r="99" customFormat="false" ht="15" hidden="false" customHeight="true" outlineLevel="0" collapsed="false">
      <c r="A99" s="20" t="s">
        <v>913</v>
      </c>
      <c r="B99" s="20" t="s">
        <v>202</v>
      </c>
      <c r="C99" s="19" t="str">
        <f aca="false">IFERROR(INDEX('قائمة الوحدات'!$B$2:$B$41,MATCH($B99,'قائمة الوحدات'!$A$2:$A$41,0)),"")</f>
        <v>MIL</v>
      </c>
      <c r="D99" s="18" t="str">
        <f aca="false">IFERROR(INDEX('قائمة الوحدات'!$C$2:$C$41,MATCH($B99,'قائمة الوحدات'!$A$2:$A$41,0)),"")</f>
        <v>الجهاز العسكري</v>
      </c>
      <c r="E99" s="18" t="str">
        <f aca="false">IFERROR(INDEX('قائمة الوحدات'!$D$2:$D$41,MATCH($B99,'قائمة الوحدات'!$A$2:$A$41,0)),"")</f>
        <v>قيادة القوات البحرية</v>
      </c>
      <c r="F99" s="18" t="str">
        <f aca="false">IFERROR(INDEX('قائمة الوحدات'!$F$2:$F$41,MATCH($B99,'قائمة الوحدات'!$A$2:$A$41,0)),"")</f>
        <v>قيادة القوات البحرية</v>
      </c>
      <c r="G99" s="20" t="s">
        <v>62</v>
      </c>
      <c r="H99" s="18" t="str">
        <f aca="false">IFERROR(INDEX(المرجع!$A$2:$A$19,MATCH($G99,المرجع!$B$2:$B$19,0)),"")</f>
        <v>البناء المؤسسي</v>
      </c>
      <c r="I99" s="20" t="s">
        <v>46</v>
      </c>
      <c r="J99" s="18" t="str">
        <f aca="false">IFERROR(INDEX(المرجع!$D$2:$D$19,MATCH($I99,المرجع!$E$2:$E$19,0)),"")</f>
        <v>الدور</v>
      </c>
      <c r="K99" s="20" t="s">
        <v>90</v>
      </c>
      <c r="L99" s="21" t="str">
        <f aca="false">IFERROR(INDEX('نقاط التحقق'!$G$2:$G$31,MATCH($K99,'نقاط التحقق'!$A$2:$A$31,0))&amp;"","")</f>
        <v>دور معتمد للوحدة التنظيمية</v>
      </c>
      <c r="M99" s="17" t="n">
        <v>67</v>
      </c>
      <c r="N99" s="17" t="n">
        <v>100</v>
      </c>
      <c r="O99" s="19" t="str">
        <f aca="false">IF($M99="","غير مقيّمة",IF($M99&gt;المرجع!$K$3,"مستوفاة بشكل متقدم",IF($M99&lt;=المرجع!$K$2,"مستوفاة بشكل أولي","مستوفاة بشكل جزئي")))</f>
        <v>مستوفاة بشكل جزئي</v>
      </c>
      <c r="P99" s="22"/>
    </row>
    <row r="100" customFormat="false" ht="15" hidden="false" customHeight="true" outlineLevel="0" collapsed="false">
      <c r="A100" s="20" t="s">
        <v>914</v>
      </c>
      <c r="B100" s="20" t="s">
        <v>202</v>
      </c>
      <c r="C100" s="19" t="str">
        <f aca="false">IFERROR(INDEX('قائمة الوحدات'!$B$2:$B$41,MATCH($B100,'قائمة الوحدات'!$A$2:$A$41,0)),"")</f>
        <v>MIL</v>
      </c>
      <c r="D100" s="18" t="str">
        <f aca="false">IFERROR(INDEX('قائمة الوحدات'!$C$2:$C$41,MATCH($B100,'قائمة الوحدات'!$A$2:$A$41,0)),"")</f>
        <v>الجهاز العسكري</v>
      </c>
      <c r="E100" s="18" t="str">
        <f aca="false">IFERROR(INDEX('قائمة الوحدات'!$D$2:$D$41,MATCH($B100,'قائمة الوحدات'!$A$2:$A$41,0)),"")</f>
        <v>قيادة القوات البحرية</v>
      </c>
      <c r="F100" s="18" t="str">
        <f aca="false">IFERROR(INDEX('قائمة الوحدات'!$F$2:$F$41,MATCH($B100,'قائمة الوحدات'!$A$2:$A$41,0)),"")</f>
        <v>قيادة القوات البحرية</v>
      </c>
      <c r="G100" s="20" t="s">
        <v>62</v>
      </c>
      <c r="H100" s="18" t="str">
        <f aca="false">IFERROR(INDEX(المرجع!$A$2:$A$19,MATCH($G100,المرجع!$B$2:$B$19,0)),"")</f>
        <v>البناء المؤسسي</v>
      </c>
      <c r="I100" s="20" t="s">
        <v>49</v>
      </c>
      <c r="J100" s="18" t="str">
        <f aca="false">IFERROR(INDEX(المرجع!$D$2:$D$19,MATCH($I100,المرجع!$E$2:$E$19,0)),"")</f>
        <v>الأهداف ومؤشرات الأداء</v>
      </c>
      <c r="K100" s="20" t="s">
        <v>92</v>
      </c>
      <c r="L100" s="21" t="str">
        <f aca="false">IFERROR(INDEX('نقاط التحقق'!$G$2:$G$31,MATCH($K100,'نقاط التحقق'!$A$2:$A$31,0))&amp;"","")</f>
        <v>أهداف تشغيلية معتمدة من صاحب الصلاحية</v>
      </c>
      <c r="M100" s="17" t="n">
        <v>45</v>
      </c>
      <c r="N100" s="17" t="n">
        <v>100</v>
      </c>
      <c r="O100" s="19" t="str">
        <f aca="false">IF($M100="","غير مقيّمة",IF($M100&gt;المرجع!$K$3,"مستوفاة بشكل متقدم",IF($M100&lt;=المرجع!$K$2,"مستوفاة بشكل أولي","مستوفاة بشكل جزئي")))</f>
        <v>مستوفاة بشكل جزئي</v>
      </c>
      <c r="P100" s="22"/>
    </row>
    <row r="101" customFormat="false" ht="15" hidden="false" customHeight="true" outlineLevel="0" collapsed="false">
      <c r="A101" s="20" t="s">
        <v>915</v>
      </c>
      <c r="B101" s="20" t="s">
        <v>202</v>
      </c>
      <c r="C101" s="19" t="str">
        <f aca="false">IFERROR(INDEX('قائمة الوحدات'!$B$2:$B$41,MATCH($B101,'قائمة الوحدات'!$A$2:$A$41,0)),"")</f>
        <v>MIL</v>
      </c>
      <c r="D101" s="18" t="str">
        <f aca="false">IFERROR(INDEX('قائمة الوحدات'!$C$2:$C$41,MATCH($B101,'قائمة الوحدات'!$A$2:$A$41,0)),"")</f>
        <v>الجهاز العسكري</v>
      </c>
      <c r="E101" s="18" t="str">
        <f aca="false">IFERROR(INDEX('قائمة الوحدات'!$D$2:$D$41,MATCH($B101,'قائمة الوحدات'!$A$2:$A$41,0)),"")</f>
        <v>قيادة القوات البحرية</v>
      </c>
      <c r="F101" s="18" t="str">
        <f aca="false">IFERROR(INDEX('قائمة الوحدات'!$F$2:$F$41,MATCH($B101,'قائمة الوحدات'!$A$2:$A$41,0)),"")</f>
        <v>قيادة القوات البحرية</v>
      </c>
      <c r="G101" s="20" t="s">
        <v>62</v>
      </c>
      <c r="H101" s="18" t="str">
        <f aca="false">IFERROR(INDEX(المرجع!$A$2:$A$19,MATCH($G101,المرجع!$B$2:$B$19,0)),"")</f>
        <v>البناء المؤسسي</v>
      </c>
      <c r="I101" s="20" t="s">
        <v>49</v>
      </c>
      <c r="J101" s="18" t="str">
        <f aca="false">IFERROR(INDEX(المرجع!$D$2:$D$19,MATCH($I101,المرجع!$E$2:$E$19,0)),"")</f>
        <v>الأهداف ومؤشرات الأداء</v>
      </c>
      <c r="K101" s="20" t="s">
        <v>94</v>
      </c>
      <c r="L101" s="21" t="str">
        <f aca="false">IFERROR(INDEX('نقاط التحقق'!$G$2:$G$31,MATCH($K101,'نقاط التحقق'!$A$2:$A$31,0))&amp;"","")</f>
        <v>نشر الأهداف التشغيلية على موظفي الوحدة التنظيمية</v>
      </c>
      <c r="M101" s="17" t="n">
        <v>50</v>
      </c>
      <c r="N101" s="17" t="n">
        <v>95</v>
      </c>
      <c r="O101" s="19" t="str">
        <f aca="false">IF($M101="","غير مقيّمة",IF($M101&gt;المرجع!$K$3,"مستوفاة بشكل متقدم",IF($M101&lt;=المرجع!$K$2,"مستوفاة بشكل أولي","مستوفاة بشكل جزئي")))</f>
        <v>مستوفاة بشكل جزئي</v>
      </c>
      <c r="P101" s="22"/>
    </row>
    <row r="102" customFormat="false" ht="15" hidden="false" customHeight="true" outlineLevel="0" collapsed="false">
      <c r="A102" s="20" t="s">
        <v>916</v>
      </c>
      <c r="B102" s="20" t="s">
        <v>202</v>
      </c>
      <c r="C102" s="19" t="str">
        <f aca="false">IFERROR(INDEX('قائمة الوحدات'!$B$2:$B$41,MATCH($B102,'قائمة الوحدات'!$A$2:$A$41,0)),"")</f>
        <v>MIL</v>
      </c>
      <c r="D102" s="18" t="str">
        <f aca="false">IFERROR(INDEX('قائمة الوحدات'!$C$2:$C$41,MATCH($B102,'قائمة الوحدات'!$A$2:$A$41,0)),"")</f>
        <v>الجهاز العسكري</v>
      </c>
      <c r="E102" s="18" t="str">
        <f aca="false">IFERROR(INDEX('قائمة الوحدات'!$D$2:$D$41,MATCH($B102,'قائمة الوحدات'!$A$2:$A$41,0)),"")</f>
        <v>قيادة القوات البحرية</v>
      </c>
      <c r="F102" s="18" t="str">
        <f aca="false">IFERROR(INDEX('قائمة الوحدات'!$F$2:$F$41,MATCH($B102,'قائمة الوحدات'!$A$2:$A$41,0)),"")</f>
        <v>قيادة القوات البحرية</v>
      </c>
      <c r="G102" s="20" t="s">
        <v>62</v>
      </c>
      <c r="H102" s="18" t="str">
        <f aca="false">IFERROR(INDEX(المرجع!$A$2:$A$19,MATCH($G102,المرجع!$B$2:$B$19,0)),"")</f>
        <v>البناء المؤسسي</v>
      </c>
      <c r="I102" s="20" t="s">
        <v>52</v>
      </c>
      <c r="J102" s="18" t="str">
        <f aca="false">IFERROR(INDEX(المرجع!$D$2:$D$19,MATCH($I102,المرجع!$E$2:$E$19,0)),"")</f>
        <v>الحوكمة</v>
      </c>
      <c r="K102" s="20" t="s">
        <v>96</v>
      </c>
      <c r="L102" s="21" t="str">
        <f aca="false">IFERROR(INDEX('نقاط التحقق'!$G$2:$G$31,MATCH($K102,'نقاط التحقق'!$A$2:$A$31,0))&amp;"","")</f>
        <v>مصفوفة صلاحيات معتمدة ومعممة على أصحاب المصلحة</v>
      </c>
      <c r="M102" s="17" t="n">
        <v>45</v>
      </c>
      <c r="N102" s="17" t="n">
        <v>100</v>
      </c>
      <c r="O102" s="19" t="str">
        <f aca="false">IF($M102="","غير مقيّمة",IF($M102&gt;المرجع!$K$3,"مستوفاة بشكل متقدم",IF($M102&lt;=المرجع!$K$2,"مستوفاة بشكل أولي","مستوفاة بشكل جزئي")))</f>
        <v>مستوفاة بشكل جزئي</v>
      </c>
      <c r="P102" s="22"/>
    </row>
    <row r="103" customFormat="false" ht="15" hidden="false" customHeight="true" outlineLevel="0" collapsed="false">
      <c r="A103" s="20" t="s">
        <v>917</v>
      </c>
      <c r="B103" s="20" t="s">
        <v>202</v>
      </c>
      <c r="C103" s="19" t="str">
        <f aca="false">IFERROR(INDEX('قائمة الوحدات'!$B$2:$B$41,MATCH($B103,'قائمة الوحدات'!$A$2:$A$41,0)),"")</f>
        <v>MIL</v>
      </c>
      <c r="D103" s="18" t="str">
        <f aca="false">IFERROR(INDEX('قائمة الوحدات'!$C$2:$C$41,MATCH($B103,'قائمة الوحدات'!$A$2:$A$41,0)),"")</f>
        <v>الجهاز العسكري</v>
      </c>
      <c r="E103" s="18" t="str">
        <f aca="false">IFERROR(INDEX('قائمة الوحدات'!$D$2:$D$41,MATCH($B103,'قائمة الوحدات'!$A$2:$A$41,0)),"")</f>
        <v>قيادة القوات البحرية</v>
      </c>
      <c r="F103" s="18" t="str">
        <f aca="false">IFERROR(INDEX('قائمة الوحدات'!$F$2:$F$41,MATCH($B103,'قائمة الوحدات'!$A$2:$A$41,0)),"")</f>
        <v>قيادة القوات البحرية</v>
      </c>
      <c r="G103" s="20" t="s">
        <v>62</v>
      </c>
      <c r="H103" s="18" t="str">
        <f aca="false">IFERROR(INDEX(المرجع!$A$2:$A$19,MATCH($G103,المرجع!$B$2:$B$19,0)),"")</f>
        <v>البناء المؤسسي</v>
      </c>
      <c r="I103" s="20" t="s">
        <v>52</v>
      </c>
      <c r="J103" s="18" t="str">
        <f aca="false">IFERROR(INDEX(المرجع!$D$2:$D$19,MATCH($I103,المرجع!$E$2:$E$19,0)),"")</f>
        <v>الحوكمة</v>
      </c>
      <c r="K103" s="20" t="s">
        <v>98</v>
      </c>
      <c r="L103" s="21" t="str">
        <f aca="false">IFERROR(INDEX('نقاط التحقق'!$G$2:$G$31,MATCH($K103,'نقاط التحقق'!$A$2:$A$31,0))&amp;"","")</f>
        <v>سياسات معتمدة للتي تملكها الوحدة التنظيمية</v>
      </c>
      <c r="M103" s="17" t="n">
        <v>35</v>
      </c>
      <c r="N103" s="17" t="n">
        <v>95</v>
      </c>
      <c r="O103" s="19" t="str">
        <f aca="false">IF($M103="","غير مقيّمة",IF($M103&gt;المرجع!$K$3,"مستوفاة بشكل متقدم",IF($M103&lt;=المرجع!$K$2,"مستوفاة بشكل أولي","مستوفاة بشكل جزئي")))</f>
        <v>مستوفاة بشكل جزئي</v>
      </c>
      <c r="P103" s="22"/>
    </row>
    <row r="104" customFormat="false" ht="15" hidden="false" customHeight="true" outlineLevel="0" collapsed="false">
      <c r="A104" s="20" t="s">
        <v>918</v>
      </c>
      <c r="B104" s="20" t="s">
        <v>202</v>
      </c>
      <c r="C104" s="19" t="str">
        <f aca="false">IFERROR(INDEX('قائمة الوحدات'!$B$2:$B$41,MATCH($B104,'قائمة الوحدات'!$A$2:$A$41,0)),"")</f>
        <v>MIL</v>
      </c>
      <c r="D104" s="18" t="str">
        <f aca="false">IFERROR(INDEX('قائمة الوحدات'!$C$2:$C$41,MATCH($B104,'قائمة الوحدات'!$A$2:$A$41,0)),"")</f>
        <v>الجهاز العسكري</v>
      </c>
      <c r="E104" s="18" t="str">
        <f aca="false">IFERROR(INDEX('قائمة الوحدات'!$D$2:$D$41,MATCH($B104,'قائمة الوحدات'!$A$2:$A$41,0)),"")</f>
        <v>قيادة القوات البحرية</v>
      </c>
      <c r="F104" s="18" t="str">
        <f aca="false">IFERROR(INDEX('قائمة الوحدات'!$F$2:$F$41,MATCH($B104,'قائمة الوحدات'!$A$2:$A$41,0)),"")</f>
        <v>قيادة القوات البحرية</v>
      </c>
      <c r="G104" s="20" t="s">
        <v>62</v>
      </c>
      <c r="H104" s="18" t="str">
        <f aca="false">IFERROR(INDEX(المرجع!$A$2:$A$19,MATCH($G104,المرجع!$B$2:$B$19,0)),"")</f>
        <v>البناء المؤسسي</v>
      </c>
      <c r="I104" s="20" t="s">
        <v>52</v>
      </c>
      <c r="J104" s="18" t="str">
        <f aca="false">IFERROR(INDEX(المرجع!$D$2:$D$19,MATCH($I104,المرجع!$E$2:$E$19,0)),"")</f>
        <v>الحوكمة</v>
      </c>
      <c r="K104" s="20" t="s">
        <v>100</v>
      </c>
      <c r="L104" s="21" t="str">
        <f aca="false">IFERROR(INDEX('نقاط التحقق'!$G$2:$G$31,MATCH($K104,'نقاط التحقق'!$A$2:$A$31,0))&amp;"","")</f>
        <v>قرار تشكيل معتمد للجان ذات العلاقة</v>
      </c>
      <c r="M104" s="17" t="n">
        <v>55</v>
      </c>
      <c r="N104" s="17" t="n">
        <v>100</v>
      </c>
      <c r="O104" s="19" t="str">
        <f aca="false">IF($M104="","غير مقيّمة",IF($M104&gt;المرجع!$K$3,"مستوفاة بشكل متقدم",IF($M104&lt;=المرجع!$K$2,"مستوفاة بشكل أولي","مستوفاة بشكل جزئي")))</f>
        <v>مستوفاة بشكل جزئي</v>
      </c>
      <c r="P104" s="22"/>
    </row>
    <row r="105" customFormat="false" ht="15" hidden="false" customHeight="true" outlineLevel="0" collapsed="false">
      <c r="A105" s="20" t="s">
        <v>919</v>
      </c>
      <c r="B105" s="20" t="s">
        <v>202</v>
      </c>
      <c r="C105" s="19" t="str">
        <f aca="false">IFERROR(INDEX('قائمة الوحدات'!$B$2:$B$41,MATCH($B105,'قائمة الوحدات'!$A$2:$A$41,0)),"")</f>
        <v>MIL</v>
      </c>
      <c r="D105" s="18" t="str">
        <f aca="false">IFERROR(INDEX('قائمة الوحدات'!$C$2:$C$41,MATCH($B105,'قائمة الوحدات'!$A$2:$A$41,0)),"")</f>
        <v>الجهاز العسكري</v>
      </c>
      <c r="E105" s="18" t="str">
        <f aca="false">IFERROR(INDEX('قائمة الوحدات'!$D$2:$D$41,MATCH($B105,'قائمة الوحدات'!$A$2:$A$41,0)),"")</f>
        <v>قيادة القوات البحرية</v>
      </c>
      <c r="F105" s="18" t="str">
        <f aca="false">IFERROR(INDEX('قائمة الوحدات'!$F$2:$F$41,MATCH($B105,'قائمة الوحدات'!$A$2:$A$41,0)),"")</f>
        <v>قيادة القوات البحرية</v>
      </c>
      <c r="G105" s="20" t="s">
        <v>62</v>
      </c>
      <c r="H105" s="18" t="str">
        <f aca="false">IFERROR(INDEX(المرجع!$A$2:$A$19,MATCH($G105,المرجع!$B$2:$B$19,0)),"")</f>
        <v>البناء المؤسسي</v>
      </c>
      <c r="I105" s="20" t="s">
        <v>55</v>
      </c>
      <c r="J105" s="18" t="str">
        <f aca="false">IFERROR(INDEX(المرجع!$D$2:$D$19,MATCH($I105,المرجع!$E$2:$E$19,0)),"")</f>
        <v>التنظيم</v>
      </c>
      <c r="K105" s="20" t="s">
        <v>102</v>
      </c>
      <c r="L105" s="21" t="str">
        <f aca="false">IFERROR(INDEX('نقاط التحقق'!$G$2:$G$31,MATCH($K105,'نقاط التحقق'!$A$2:$A$31,0))&amp;"","")</f>
        <v>هيكل تنظيمي معتمد من صاحب الصلاحية</v>
      </c>
      <c r="M105" s="17" t="n">
        <v>65</v>
      </c>
      <c r="N105" s="17" t="n">
        <v>100</v>
      </c>
      <c r="O105" s="19" t="str">
        <f aca="false">IF($M105="","غير مقيّمة",IF($M105&gt;المرجع!$K$3,"مستوفاة بشكل متقدم",IF($M105&lt;=المرجع!$K$2,"مستوفاة بشكل أولي","مستوفاة بشكل جزئي")))</f>
        <v>مستوفاة بشكل جزئي</v>
      </c>
      <c r="P105" s="22"/>
    </row>
    <row r="106" customFormat="false" ht="15" hidden="false" customHeight="true" outlineLevel="0" collapsed="false">
      <c r="A106" s="20" t="s">
        <v>920</v>
      </c>
      <c r="B106" s="20" t="s">
        <v>202</v>
      </c>
      <c r="C106" s="19" t="str">
        <f aca="false">IFERROR(INDEX('قائمة الوحدات'!$B$2:$B$41,MATCH($B106,'قائمة الوحدات'!$A$2:$A$41,0)),"")</f>
        <v>MIL</v>
      </c>
      <c r="D106" s="18" t="str">
        <f aca="false">IFERROR(INDEX('قائمة الوحدات'!$C$2:$C$41,MATCH($B106,'قائمة الوحدات'!$A$2:$A$41,0)),"")</f>
        <v>الجهاز العسكري</v>
      </c>
      <c r="E106" s="18" t="str">
        <f aca="false">IFERROR(INDEX('قائمة الوحدات'!$D$2:$D$41,MATCH($B106,'قائمة الوحدات'!$A$2:$A$41,0)),"")</f>
        <v>قيادة القوات البحرية</v>
      </c>
      <c r="F106" s="18" t="str">
        <f aca="false">IFERROR(INDEX('قائمة الوحدات'!$F$2:$F$41,MATCH($B106,'قائمة الوحدات'!$A$2:$A$41,0)),"")</f>
        <v>قيادة القوات البحرية</v>
      </c>
      <c r="G106" s="20" t="s">
        <v>62</v>
      </c>
      <c r="H106" s="18" t="str">
        <f aca="false">IFERROR(INDEX(المرجع!$A$2:$A$19,MATCH($G106,المرجع!$B$2:$B$19,0)),"")</f>
        <v>البناء المؤسسي</v>
      </c>
      <c r="I106" s="20" t="s">
        <v>55</v>
      </c>
      <c r="J106" s="18" t="str">
        <f aca="false">IFERROR(INDEX(المرجع!$D$2:$D$19,MATCH($I106,المرجع!$E$2:$E$19,0)),"")</f>
        <v>التنظيم</v>
      </c>
      <c r="K106" s="20" t="s">
        <v>104</v>
      </c>
      <c r="L106" s="21" t="str">
        <f aca="false">IFERROR(INDEX('نقاط التحقق'!$G$2:$G$31,MATCH($K106,'نقاط التحقق'!$A$2:$A$31,0))&amp;"","")</f>
        <v>هيكل تنظيمي منشأ على نظام القوى العاملة</v>
      </c>
      <c r="M106" s="17" t="n">
        <v>65</v>
      </c>
      <c r="N106" s="17" t="n">
        <v>95</v>
      </c>
      <c r="O106" s="19" t="str">
        <f aca="false">IF($M106="","غير مقيّمة",IF($M106&gt;المرجع!$K$3,"مستوفاة بشكل متقدم",IF($M106&lt;=المرجع!$K$2,"مستوفاة بشكل أولي","مستوفاة بشكل جزئي")))</f>
        <v>مستوفاة بشكل جزئي</v>
      </c>
      <c r="P106" s="22"/>
    </row>
    <row r="107" customFormat="false" ht="15" hidden="false" customHeight="true" outlineLevel="0" collapsed="false">
      <c r="A107" s="20" t="s">
        <v>921</v>
      </c>
      <c r="B107" s="20" t="s">
        <v>202</v>
      </c>
      <c r="C107" s="19" t="str">
        <f aca="false">IFERROR(INDEX('قائمة الوحدات'!$B$2:$B$41,MATCH($B107,'قائمة الوحدات'!$A$2:$A$41,0)),"")</f>
        <v>MIL</v>
      </c>
      <c r="D107" s="18" t="str">
        <f aca="false">IFERROR(INDEX('قائمة الوحدات'!$C$2:$C$41,MATCH($B107,'قائمة الوحدات'!$A$2:$A$41,0)),"")</f>
        <v>الجهاز العسكري</v>
      </c>
      <c r="E107" s="18" t="str">
        <f aca="false">IFERROR(INDEX('قائمة الوحدات'!$D$2:$D$41,MATCH($B107,'قائمة الوحدات'!$A$2:$A$41,0)),"")</f>
        <v>قيادة القوات البحرية</v>
      </c>
      <c r="F107" s="18" t="str">
        <f aca="false">IFERROR(INDEX('قائمة الوحدات'!$F$2:$F$41,MATCH($B107,'قائمة الوحدات'!$A$2:$A$41,0)),"")</f>
        <v>قيادة القوات البحرية</v>
      </c>
      <c r="G107" s="20" t="s">
        <v>62</v>
      </c>
      <c r="H107" s="18" t="str">
        <f aca="false">IFERROR(INDEX(المرجع!$A$2:$A$19,MATCH($G107,المرجع!$B$2:$B$19,0)),"")</f>
        <v>البناء المؤسسي</v>
      </c>
      <c r="I107" s="20" t="s">
        <v>55</v>
      </c>
      <c r="J107" s="18" t="str">
        <f aca="false">IFERROR(INDEX(المرجع!$D$2:$D$19,MATCH($I107,المرجع!$E$2:$E$19,0)),"")</f>
        <v>التنظيم</v>
      </c>
      <c r="K107" s="20" t="s">
        <v>106</v>
      </c>
      <c r="L107" s="21" t="str">
        <f aca="false">IFERROR(INDEX('نقاط التحقق'!$G$2:$G$31,MATCH($K107,'نقاط التحقق'!$A$2:$A$31,0))&amp;"","")</f>
        <v>الموظفون المحددون مسكّنون على الهيكل التنظيمي المستهدف</v>
      </c>
      <c r="M107" s="17" t="n">
        <v>60</v>
      </c>
      <c r="N107" s="17" t="n">
        <v>100</v>
      </c>
      <c r="O107" s="19" t="str">
        <f aca="false">IF($M107="","غير مقيّمة",IF($M107&gt;المرجع!$K$3,"مستوفاة بشكل متقدم",IF($M107&lt;=المرجع!$K$2,"مستوفاة بشكل أولي","مستوفاة بشكل جزئي")))</f>
        <v>مستوفاة بشكل جزئي</v>
      </c>
      <c r="P107" s="22"/>
    </row>
    <row r="108" customFormat="false" ht="15" hidden="false" customHeight="true" outlineLevel="0" collapsed="false">
      <c r="A108" s="20" t="s">
        <v>922</v>
      </c>
      <c r="B108" s="20" t="s">
        <v>202</v>
      </c>
      <c r="C108" s="19" t="str">
        <f aca="false">IFERROR(INDEX('قائمة الوحدات'!$B$2:$B$41,MATCH($B108,'قائمة الوحدات'!$A$2:$A$41,0)),"")</f>
        <v>MIL</v>
      </c>
      <c r="D108" s="18" t="str">
        <f aca="false">IFERROR(INDEX('قائمة الوحدات'!$C$2:$C$41,MATCH($B108,'قائمة الوحدات'!$A$2:$A$41,0)),"")</f>
        <v>الجهاز العسكري</v>
      </c>
      <c r="E108" s="18" t="str">
        <f aca="false">IFERROR(INDEX('قائمة الوحدات'!$D$2:$D$41,MATCH($B108,'قائمة الوحدات'!$A$2:$A$41,0)),"")</f>
        <v>قيادة القوات البحرية</v>
      </c>
      <c r="F108" s="18" t="str">
        <f aca="false">IFERROR(INDEX('قائمة الوحدات'!$F$2:$F$41,MATCH($B108,'قائمة الوحدات'!$A$2:$A$41,0)),"")</f>
        <v>قيادة القوات البحرية</v>
      </c>
      <c r="G108" s="20" t="s">
        <v>62</v>
      </c>
      <c r="H108" s="18" t="str">
        <f aca="false">IFERROR(INDEX(المرجع!$A$2:$A$19,MATCH($G108,المرجع!$B$2:$B$19,0)),"")</f>
        <v>البناء المؤسسي</v>
      </c>
      <c r="I108" s="20" t="s">
        <v>57</v>
      </c>
      <c r="J108" s="18" t="str">
        <f aca="false">IFERROR(INDEX(المرجع!$D$2:$D$19,MATCH($I108,المرجع!$E$2:$E$19,0)),"")</f>
        <v>الموارد</v>
      </c>
      <c r="K108" s="20" t="s">
        <v>108</v>
      </c>
      <c r="L108" s="21" t="str">
        <f aca="false">IFERROR(INDEX('نقاط التحقق'!$G$2:$G$31,MATCH($K108,'نقاط التحقق'!$A$2:$A$31,0))&amp;"","")</f>
        <v>مدير الوحدة التنظيمية والموظفون الرئيسيون معينون/ملحقون</v>
      </c>
      <c r="M108" s="17" t="n">
        <v>45</v>
      </c>
      <c r="N108" s="17" t="n">
        <v>90</v>
      </c>
      <c r="O108" s="19" t="str">
        <f aca="false">IF($M108="","غير مقيّمة",IF($M108&gt;المرجع!$K$3,"مستوفاة بشكل متقدم",IF($M108&lt;=المرجع!$K$2,"مستوفاة بشكل أولي","مستوفاة بشكل جزئي")))</f>
        <v>مستوفاة بشكل جزئي</v>
      </c>
      <c r="P108" s="22"/>
    </row>
    <row r="109" customFormat="false" ht="15" hidden="false" customHeight="true" outlineLevel="0" collapsed="false">
      <c r="A109" s="20" t="s">
        <v>923</v>
      </c>
      <c r="B109" s="20" t="s">
        <v>202</v>
      </c>
      <c r="C109" s="19" t="str">
        <f aca="false">IFERROR(INDEX('قائمة الوحدات'!$B$2:$B$41,MATCH($B109,'قائمة الوحدات'!$A$2:$A$41,0)),"")</f>
        <v>MIL</v>
      </c>
      <c r="D109" s="18" t="str">
        <f aca="false">IFERROR(INDEX('قائمة الوحدات'!$C$2:$C$41,MATCH($B109,'قائمة الوحدات'!$A$2:$A$41,0)),"")</f>
        <v>الجهاز العسكري</v>
      </c>
      <c r="E109" s="18" t="str">
        <f aca="false">IFERROR(INDEX('قائمة الوحدات'!$D$2:$D$41,MATCH($B109,'قائمة الوحدات'!$A$2:$A$41,0)),"")</f>
        <v>قيادة القوات البحرية</v>
      </c>
      <c r="F109" s="18" t="str">
        <f aca="false">IFERROR(INDEX('قائمة الوحدات'!$F$2:$F$41,MATCH($B109,'قائمة الوحدات'!$A$2:$A$41,0)),"")</f>
        <v>قيادة القوات البحرية</v>
      </c>
      <c r="G109" s="20" t="s">
        <v>62</v>
      </c>
      <c r="H109" s="18" t="str">
        <f aca="false">IFERROR(INDEX(المرجع!$A$2:$A$19,MATCH($G109,المرجع!$B$2:$B$19,0)),"")</f>
        <v>البناء المؤسسي</v>
      </c>
      <c r="I109" s="20" t="s">
        <v>57</v>
      </c>
      <c r="J109" s="18" t="str">
        <f aca="false">IFERROR(INDEX(المرجع!$D$2:$D$19,MATCH($I109,المرجع!$E$2:$E$19,0)),"")</f>
        <v>الموارد</v>
      </c>
      <c r="K109" s="20" t="s">
        <v>110</v>
      </c>
      <c r="L109" s="21" t="str">
        <f aca="false">IFERROR(INDEX('نقاط التحقق'!$G$2:$G$31,MATCH($K109,'نقاط التحقق'!$A$2:$A$31,0))&amp;"","")</f>
        <v>خطة توظيف وتدريب مستكملة</v>
      </c>
      <c r="M109" s="17" t="n">
        <v>75</v>
      </c>
      <c r="N109" s="17" t="n">
        <v>100</v>
      </c>
      <c r="O109" s="19" t="str">
        <f aca="false">IF($M109="","غير مقيّمة",IF($M109&gt;المرجع!$K$3,"مستوفاة بشكل متقدم",IF($M109&lt;=المرجع!$K$2,"مستوفاة بشكل أولي","مستوفاة بشكل جزئي")))</f>
        <v>مستوفاة بشكل متقدم</v>
      </c>
      <c r="P109" s="22"/>
    </row>
    <row r="110" customFormat="false" ht="15" hidden="false" customHeight="true" outlineLevel="0" collapsed="false">
      <c r="A110" s="20" t="s">
        <v>924</v>
      </c>
      <c r="B110" s="20" t="s">
        <v>202</v>
      </c>
      <c r="C110" s="19" t="str">
        <f aca="false">IFERROR(INDEX('قائمة الوحدات'!$B$2:$B$41,MATCH($B110,'قائمة الوحدات'!$A$2:$A$41,0)),"")</f>
        <v>MIL</v>
      </c>
      <c r="D110" s="18" t="str">
        <f aca="false">IFERROR(INDEX('قائمة الوحدات'!$C$2:$C$41,MATCH($B110,'قائمة الوحدات'!$A$2:$A$41,0)),"")</f>
        <v>الجهاز العسكري</v>
      </c>
      <c r="E110" s="18" t="str">
        <f aca="false">IFERROR(INDEX('قائمة الوحدات'!$D$2:$D$41,MATCH($B110,'قائمة الوحدات'!$A$2:$A$41,0)),"")</f>
        <v>قيادة القوات البحرية</v>
      </c>
      <c r="F110" s="18" t="str">
        <f aca="false">IFERROR(INDEX('قائمة الوحدات'!$F$2:$F$41,MATCH($B110,'قائمة الوحدات'!$A$2:$A$41,0)),"")</f>
        <v>قيادة القوات البحرية</v>
      </c>
      <c r="G110" s="20" t="s">
        <v>62</v>
      </c>
      <c r="H110" s="18" t="str">
        <f aca="false">IFERROR(INDEX(المرجع!$A$2:$A$19,MATCH($G110,المرجع!$B$2:$B$19,0)),"")</f>
        <v>البناء المؤسسي</v>
      </c>
      <c r="I110" s="20" t="s">
        <v>57</v>
      </c>
      <c r="J110" s="18" t="str">
        <f aca="false">IFERROR(INDEX(المرجع!$D$2:$D$19,MATCH($I110,المرجع!$E$2:$E$19,0)),"")</f>
        <v>الموارد</v>
      </c>
      <c r="K110" s="20" t="s">
        <v>112</v>
      </c>
      <c r="L110" s="21" t="str">
        <f aca="false">IFERROR(INDEX('نقاط التحقق'!$G$2:$G$31,MATCH($K110,'نقاط التحقق'!$A$2:$A$31,0))&amp;"","")</f>
        <v>وجود مساحات مكتبية كافية</v>
      </c>
      <c r="M110" s="17" t="n">
        <v>75</v>
      </c>
      <c r="N110" s="17" t="n">
        <v>85</v>
      </c>
      <c r="O110" s="19" t="str">
        <f aca="false">IF($M110="","غير مقيّمة",IF($M110&gt;المرجع!$K$3,"مستوفاة بشكل متقدم",IF($M110&lt;=المرجع!$K$2,"مستوفاة بشكل أولي","مستوفاة بشكل جزئي")))</f>
        <v>مستوفاة بشكل متقدم</v>
      </c>
      <c r="P110" s="22"/>
    </row>
    <row r="111" customFormat="false" ht="15" hidden="false" customHeight="true" outlineLevel="0" collapsed="false">
      <c r="A111" s="20" t="s">
        <v>925</v>
      </c>
      <c r="B111" s="20" t="s">
        <v>202</v>
      </c>
      <c r="C111" s="19" t="str">
        <f aca="false">IFERROR(INDEX('قائمة الوحدات'!$B$2:$B$41,MATCH($B111,'قائمة الوحدات'!$A$2:$A$41,0)),"")</f>
        <v>MIL</v>
      </c>
      <c r="D111" s="18" t="str">
        <f aca="false">IFERROR(INDEX('قائمة الوحدات'!$C$2:$C$41,MATCH($B111,'قائمة الوحدات'!$A$2:$A$41,0)),"")</f>
        <v>الجهاز العسكري</v>
      </c>
      <c r="E111" s="18" t="str">
        <f aca="false">IFERROR(INDEX('قائمة الوحدات'!$D$2:$D$41,MATCH($B111,'قائمة الوحدات'!$A$2:$A$41,0)),"")</f>
        <v>قيادة القوات البحرية</v>
      </c>
      <c r="F111" s="18" t="str">
        <f aca="false">IFERROR(INDEX('قائمة الوحدات'!$F$2:$F$41,MATCH($B111,'قائمة الوحدات'!$A$2:$A$41,0)),"")</f>
        <v>قيادة القوات البحرية</v>
      </c>
      <c r="G111" s="20" t="s">
        <v>62</v>
      </c>
      <c r="H111" s="18" t="str">
        <f aca="false">IFERROR(INDEX(المرجع!$A$2:$A$19,MATCH($G111,المرجع!$B$2:$B$19,0)),"")</f>
        <v>البناء المؤسسي</v>
      </c>
      <c r="I111" s="20" t="s">
        <v>57</v>
      </c>
      <c r="J111" s="18" t="str">
        <f aca="false">IFERROR(INDEX(المرجع!$D$2:$D$19,MATCH($I111,المرجع!$E$2:$E$19,0)),"")</f>
        <v>الموارد</v>
      </c>
      <c r="K111" s="20" t="s">
        <v>114</v>
      </c>
      <c r="L111" s="21" t="str">
        <f aca="false">IFERROR(INDEX('نقاط التحقق'!$G$2:$G$31,MATCH($K111,'نقاط التحقق'!$A$2:$A$31,0))&amp;"","")</f>
        <v>وجود الاحتياجات التقنية الأساسية</v>
      </c>
      <c r="M111" s="17" t="n">
        <v>55</v>
      </c>
      <c r="N111" s="17" t="n">
        <v>85</v>
      </c>
      <c r="O111" s="19" t="str">
        <f aca="false">IF($M111="","غير مقيّمة",IF($M111&gt;المرجع!$K$3,"مستوفاة بشكل متقدم",IF($M111&lt;=المرجع!$K$2,"مستوفاة بشكل أولي","مستوفاة بشكل جزئي")))</f>
        <v>مستوفاة بشكل جزئي</v>
      </c>
      <c r="P111" s="22"/>
    </row>
    <row r="112" customFormat="false" ht="15" hidden="false" customHeight="true" outlineLevel="0" collapsed="false">
      <c r="A112" s="20" t="s">
        <v>926</v>
      </c>
      <c r="B112" s="20" t="s">
        <v>202</v>
      </c>
      <c r="C112" s="19" t="str">
        <f aca="false">IFERROR(INDEX('قائمة الوحدات'!$B$2:$B$41,MATCH($B112,'قائمة الوحدات'!$A$2:$A$41,0)),"")</f>
        <v>MIL</v>
      </c>
      <c r="D112" s="18" t="str">
        <f aca="false">IFERROR(INDEX('قائمة الوحدات'!$C$2:$C$41,MATCH($B112,'قائمة الوحدات'!$A$2:$A$41,0)),"")</f>
        <v>الجهاز العسكري</v>
      </c>
      <c r="E112" s="18" t="str">
        <f aca="false">IFERROR(INDEX('قائمة الوحدات'!$D$2:$D$41,MATCH($B112,'قائمة الوحدات'!$A$2:$A$41,0)),"")</f>
        <v>قيادة القوات البحرية</v>
      </c>
      <c r="F112" s="18" t="str">
        <f aca="false">IFERROR(INDEX('قائمة الوحدات'!$F$2:$F$41,MATCH($B112,'قائمة الوحدات'!$A$2:$A$41,0)),"")</f>
        <v>قيادة القوات البحرية</v>
      </c>
      <c r="G112" s="20" t="s">
        <v>62</v>
      </c>
      <c r="H112" s="18" t="str">
        <f aca="false">IFERROR(INDEX(المرجع!$A$2:$A$19,MATCH($G112,المرجع!$B$2:$B$19,0)),"")</f>
        <v>البناء المؤسسي</v>
      </c>
      <c r="I112" s="20" t="s">
        <v>60</v>
      </c>
      <c r="J112" s="18" t="str">
        <f aca="false">IFERROR(INDEX(المرجع!$D$2:$D$19,MATCH($I112,المرجع!$E$2:$E$19,0)),"")</f>
        <v>الإجراءات</v>
      </c>
      <c r="K112" s="20" t="s">
        <v>116</v>
      </c>
      <c r="L112" s="21" t="str">
        <f aca="false">IFERROR(INDEX('نقاط التحقق'!$G$2:$G$31,MATCH($K112,'نقاط التحقق'!$A$2:$A$31,0))&amp;"","")</f>
        <v>إجراءات معتمدة للوحدة التنظيمية</v>
      </c>
      <c r="M112" s="17" t="n">
        <v>70</v>
      </c>
      <c r="N112" s="17" t="n">
        <v>90</v>
      </c>
      <c r="O112" s="19" t="str">
        <f aca="false">IF($M112="","غير مقيّمة",IF($M112&gt;المرجع!$K$3,"مستوفاة بشكل متقدم",IF($M112&lt;=المرجع!$K$2,"مستوفاة بشكل أولي","مستوفاة بشكل جزئي")))</f>
        <v>مستوفاة بشكل جزئي</v>
      </c>
      <c r="P112" s="22"/>
    </row>
    <row r="113" customFormat="false" ht="15" hidden="false" customHeight="true" outlineLevel="0" collapsed="false">
      <c r="A113" s="20" t="s">
        <v>927</v>
      </c>
      <c r="B113" s="20" t="s">
        <v>202</v>
      </c>
      <c r="C113" s="19" t="str">
        <f aca="false">IFERROR(INDEX('قائمة الوحدات'!$B$2:$B$41,MATCH($B113,'قائمة الوحدات'!$A$2:$A$41,0)),"")</f>
        <v>MIL</v>
      </c>
      <c r="D113" s="18" t="str">
        <f aca="false">IFERROR(INDEX('قائمة الوحدات'!$C$2:$C$41,MATCH($B113,'قائمة الوحدات'!$A$2:$A$41,0)),"")</f>
        <v>الجهاز العسكري</v>
      </c>
      <c r="E113" s="18" t="str">
        <f aca="false">IFERROR(INDEX('قائمة الوحدات'!$D$2:$D$41,MATCH($B113,'قائمة الوحدات'!$A$2:$A$41,0)),"")</f>
        <v>قيادة القوات البحرية</v>
      </c>
      <c r="F113" s="18" t="str">
        <f aca="false">IFERROR(INDEX('قائمة الوحدات'!$F$2:$F$41,MATCH($B113,'قائمة الوحدات'!$A$2:$A$41,0)),"")</f>
        <v>قيادة القوات البحرية</v>
      </c>
      <c r="G113" s="20" t="s">
        <v>62</v>
      </c>
      <c r="H113" s="18" t="str">
        <f aca="false">IFERROR(INDEX(المرجع!$A$2:$A$19,MATCH($G113,المرجع!$B$2:$B$19,0)),"")</f>
        <v>البناء المؤسسي</v>
      </c>
      <c r="I113" s="20" t="s">
        <v>69</v>
      </c>
      <c r="J113" s="18" t="str">
        <f aca="false">IFERROR(INDEX(المرجع!$D$2:$D$19,MATCH($I113,المرجع!$E$2:$E$19,0)),"")</f>
        <v>إنتاج المخرج الأول</v>
      </c>
      <c r="K113" s="20" t="s">
        <v>118</v>
      </c>
      <c r="L113" s="21" t="str">
        <f aca="false">IFERROR(INDEX('نقاط التحقق'!$G$2:$G$31,MATCH($K113,'نقاط التحقق'!$A$2:$A$31,0))&amp;"","")</f>
        <v>إنتاج المخرج الأول من قبل الوحدة التنظيمية</v>
      </c>
      <c r="M113" s="17" t="n">
        <v>88</v>
      </c>
      <c r="N113" s="17" t="n">
        <v>88</v>
      </c>
      <c r="O113" s="19" t="str">
        <f aca="false">IF($M113="","غير مقيّمة",IF($M113&gt;المرجع!$K$3,"مستوفاة بشكل متقدم",IF($M113&lt;=المرجع!$K$2,"مستوفاة بشكل أولي","مستوفاة بشكل جزئي")))</f>
        <v>مستوفاة بشكل متقدم</v>
      </c>
      <c r="P113" s="22"/>
    </row>
    <row r="114" customFormat="false" ht="15" hidden="false" customHeight="true" outlineLevel="0" collapsed="false">
      <c r="A114" s="20" t="s">
        <v>928</v>
      </c>
      <c r="B114" s="20" t="s">
        <v>202</v>
      </c>
      <c r="C114" s="19" t="str">
        <f aca="false">IFERROR(INDEX('قائمة الوحدات'!$B$2:$B$41,MATCH($B114,'قائمة الوحدات'!$A$2:$A$41,0)),"")</f>
        <v>MIL</v>
      </c>
      <c r="D114" s="18" t="str">
        <f aca="false">IFERROR(INDEX('قائمة الوحدات'!$C$2:$C$41,MATCH($B114,'قائمة الوحدات'!$A$2:$A$41,0)),"")</f>
        <v>الجهاز العسكري</v>
      </c>
      <c r="E114" s="18" t="str">
        <f aca="false">IFERROR(INDEX('قائمة الوحدات'!$D$2:$D$41,MATCH($B114,'قائمة الوحدات'!$A$2:$A$41,0)),"")</f>
        <v>قيادة القوات البحرية</v>
      </c>
      <c r="F114" s="18" t="str">
        <f aca="false">IFERROR(INDEX('قائمة الوحدات'!$F$2:$F$41,MATCH($B114,'قائمة الوحدات'!$A$2:$A$41,0)),"")</f>
        <v>قيادة القوات البحرية</v>
      </c>
      <c r="G114" s="20" t="s">
        <v>66</v>
      </c>
      <c r="H114" s="18" t="str">
        <f aca="false">IFERROR(INDEX(المرجع!$A$2:$A$19,MATCH($G114,المرجع!$B$2:$B$19,0)),"")</f>
        <v>التشغيل</v>
      </c>
      <c r="I114" s="20" t="s">
        <v>49</v>
      </c>
      <c r="J114" s="18" t="str">
        <f aca="false">IFERROR(INDEX(المرجع!$D$2:$D$19,MATCH($I114,المرجع!$E$2:$E$19,0)),"")</f>
        <v>الأهداف ومؤشرات الأداء</v>
      </c>
      <c r="K114" s="20" t="s">
        <v>120</v>
      </c>
      <c r="L114" s="21" t="str">
        <f aca="false">IFERROR(INDEX('نقاط التحقق'!$G$2:$G$31,MATCH($K114,'نقاط التحقق'!$A$2:$A$31,0))&amp;"","")</f>
        <v>تحرك مؤشرات الأداء التشغيلي للوحدة التنظيمية بشكل إيجابي</v>
      </c>
      <c r="M114" s="17" t="n">
        <v>45</v>
      </c>
      <c r="N114" s="17" t="n">
        <v>100</v>
      </c>
      <c r="O114" s="19" t="str">
        <f aca="false">IF($M114="","غير مقيّمة",IF($M114&gt;المرجع!$K$3,"مستوفاة بشكل متقدم",IF($M114&lt;=المرجع!$K$2,"مستوفاة بشكل أولي","مستوفاة بشكل جزئي")))</f>
        <v>مستوفاة بشكل جزئي</v>
      </c>
      <c r="P114" s="22"/>
    </row>
    <row r="115" customFormat="false" ht="15" hidden="false" customHeight="true" outlineLevel="0" collapsed="false">
      <c r="A115" s="20" t="s">
        <v>929</v>
      </c>
      <c r="B115" s="20" t="s">
        <v>202</v>
      </c>
      <c r="C115" s="19" t="str">
        <f aca="false">IFERROR(INDEX('قائمة الوحدات'!$B$2:$B$41,MATCH($B115,'قائمة الوحدات'!$A$2:$A$41,0)),"")</f>
        <v>MIL</v>
      </c>
      <c r="D115" s="18" t="str">
        <f aca="false">IFERROR(INDEX('قائمة الوحدات'!$C$2:$C$41,MATCH($B115,'قائمة الوحدات'!$A$2:$A$41,0)),"")</f>
        <v>الجهاز العسكري</v>
      </c>
      <c r="E115" s="18" t="str">
        <f aca="false">IFERROR(INDEX('قائمة الوحدات'!$D$2:$D$41,MATCH($B115,'قائمة الوحدات'!$A$2:$A$41,0)),"")</f>
        <v>قيادة القوات البحرية</v>
      </c>
      <c r="F115" s="18" t="str">
        <f aca="false">IFERROR(INDEX('قائمة الوحدات'!$F$2:$F$41,MATCH($B115,'قائمة الوحدات'!$A$2:$A$41,0)),"")</f>
        <v>قيادة القوات البحرية</v>
      </c>
      <c r="G115" s="20" t="s">
        <v>66</v>
      </c>
      <c r="H115" s="18" t="str">
        <f aca="false">IFERROR(INDEX(المرجع!$A$2:$A$19,MATCH($G115,المرجع!$B$2:$B$19,0)),"")</f>
        <v>التشغيل</v>
      </c>
      <c r="I115" s="20" t="s">
        <v>49</v>
      </c>
      <c r="J115" s="18" t="str">
        <f aca="false">IFERROR(INDEX(المرجع!$D$2:$D$19,MATCH($I115,المرجع!$E$2:$E$19,0)),"")</f>
        <v>الأهداف ومؤشرات الأداء</v>
      </c>
      <c r="K115" s="20" t="s">
        <v>122</v>
      </c>
      <c r="L115" s="21" t="str">
        <f aca="false">IFERROR(INDEX('نقاط التحقق'!$G$2:$G$31,MATCH($K115,'نقاط التحقق'!$A$2:$A$31,0))&amp;"","")</f>
        <v>خطة سنوية معتمدة للوحدة التنظيمية</v>
      </c>
      <c r="M115" s="17" t="n">
        <v>40</v>
      </c>
      <c r="N115" s="17" t="n">
        <v>100</v>
      </c>
      <c r="O115" s="19" t="str">
        <f aca="false">IF($M115="","غير مقيّمة",IF($M115&gt;المرجع!$K$3,"مستوفاة بشكل متقدم",IF($M115&lt;=المرجع!$K$2,"مستوفاة بشكل أولي","مستوفاة بشكل جزئي")))</f>
        <v>مستوفاة بشكل جزئي</v>
      </c>
      <c r="P115" s="22"/>
    </row>
    <row r="116" customFormat="false" ht="15" hidden="false" customHeight="true" outlineLevel="0" collapsed="false">
      <c r="A116" s="20" t="s">
        <v>930</v>
      </c>
      <c r="B116" s="20" t="s">
        <v>202</v>
      </c>
      <c r="C116" s="19" t="str">
        <f aca="false">IFERROR(INDEX('قائمة الوحدات'!$B$2:$B$41,MATCH($B116,'قائمة الوحدات'!$A$2:$A$41,0)),"")</f>
        <v>MIL</v>
      </c>
      <c r="D116" s="18" t="str">
        <f aca="false">IFERROR(INDEX('قائمة الوحدات'!$C$2:$C$41,MATCH($B116,'قائمة الوحدات'!$A$2:$A$41,0)),"")</f>
        <v>الجهاز العسكري</v>
      </c>
      <c r="E116" s="18" t="str">
        <f aca="false">IFERROR(INDEX('قائمة الوحدات'!$D$2:$D$41,MATCH($B116,'قائمة الوحدات'!$A$2:$A$41,0)),"")</f>
        <v>قيادة القوات البحرية</v>
      </c>
      <c r="F116" s="18" t="str">
        <f aca="false">IFERROR(INDEX('قائمة الوحدات'!$F$2:$F$41,MATCH($B116,'قائمة الوحدات'!$A$2:$A$41,0)),"")</f>
        <v>قيادة القوات البحرية</v>
      </c>
      <c r="G116" s="20" t="s">
        <v>66</v>
      </c>
      <c r="H116" s="18" t="str">
        <f aca="false">IFERROR(INDEX(المرجع!$A$2:$A$19,MATCH($G116,المرجع!$B$2:$B$19,0)),"")</f>
        <v>التشغيل</v>
      </c>
      <c r="I116" s="20" t="s">
        <v>52</v>
      </c>
      <c r="J116" s="18" t="str">
        <f aca="false">IFERROR(INDEX(المرجع!$D$2:$D$19,MATCH($I116,المرجع!$E$2:$E$19,0)),"")</f>
        <v>الحوكمة</v>
      </c>
      <c r="K116" s="20" t="s">
        <v>124</v>
      </c>
      <c r="L116" s="21" t="str">
        <f aca="false">IFERROR(INDEX('نقاط التحقق'!$G$2:$G$31,MATCH($K116,'نقاط التحقق'!$A$2:$A$31,0))&amp;"","")</f>
        <v>محاضر لجان موثقة</v>
      </c>
      <c r="M116" s="17" t="n">
        <v>10</v>
      </c>
      <c r="N116" s="17" t="n">
        <v>100</v>
      </c>
      <c r="O116" s="19" t="str">
        <f aca="false">IF($M116="","غير مقيّمة",IF($M116&gt;المرجع!$K$3,"مستوفاة بشكل متقدم",IF($M116&lt;=المرجع!$K$2,"مستوفاة بشكل أولي","مستوفاة بشكل جزئي")))</f>
        <v>مستوفاة بشكل أولي</v>
      </c>
      <c r="P116" s="22"/>
    </row>
    <row r="117" customFormat="false" ht="15" hidden="false" customHeight="true" outlineLevel="0" collapsed="false">
      <c r="A117" s="20" t="s">
        <v>931</v>
      </c>
      <c r="B117" s="20" t="s">
        <v>202</v>
      </c>
      <c r="C117" s="19" t="str">
        <f aca="false">IFERROR(INDEX('قائمة الوحدات'!$B$2:$B$41,MATCH($B117,'قائمة الوحدات'!$A$2:$A$41,0)),"")</f>
        <v>MIL</v>
      </c>
      <c r="D117" s="18" t="str">
        <f aca="false">IFERROR(INDEX('قائمة الوحدات'!$C$2:$C$41,MATCH($B117,'قائمة الوحدات'!$A$2:$A$41,0)),"")</f>
        <v>الجهاز العسكري</v>
      </c>
      <c r="E117" s="18" t="str">
        <f aca="false">IFERROR(INDEX('قائمة الوحدات'!$D$2:$D$41,MATCH($B117,'قائمة الوحدات'!$A$2:$A$41,0)),"")</f>
        <v>قيادة القوات البحرية</v>
      </c>
      <c r="F117" s="18" t="str">
        <f aca="false">IFERROR(INDEX('قائمة الوحدات'!$F$2:$F$41,MATCH($B117,'قائمة الوحدات'!$A$2:$A$41,0)),"")</f>
        <v>قيادة القوات البحرية</v>
      </c>
      <c r="G117" s="20" t="s">
        <v>66</v>
      </c>
      <c r="H117" s="18" t="str">
        <f aca="false">IFERROR(INDEX(المرجع!$A$2:$A$19,MATCH($G117,المرجع!$B$2:$B$19,0)),"")</f>
        <v>التشغيل</v>
      </c>
      <c r="I117" s="20" t="s">
        <v>52</v>
      </c>
      <c r="J117" s="18" t="str">
        <f aca="false">IFERROR(INDEX(المرجع!$D$2:$D$19,MATCH($I117,المرجع!$E$2:$E$19,0)),"")</f>
        <v>الحوكمة</v>
      </c>
      <c r="K117" s="20" t="s">
        <v>126</v>
      </c>
      <c r="L117" s="21" t="str">
        <f aca="false">IFERROR(INDEX('نقاط التحقق'!$G$2:$G$31,MATCH($K117,'نقاط التحقق'!$A$2:$A$31,0))&amp;"","")</f>
        <v>نشر السياسات التي تملكها الوحدة التنظيمية</v>
      </c>
      <c r="M117" s="17" t="n">
        <v>25</v>
      </c>
      <c r="N117" s="17" t="n">
        <v>100</v>
      </c>
      <c r="O117" s="19" t="str">
        <f aca="false">IF($M117="","غير مقيّمة",IF($M117&gt;المرجع!$K$3,"مستوفاة بشكل متقدم",IF($M117&lt;=المرجع!$K$2,"مستوفاة بشكل أولي","مستوفاة بشكل جزئي")))</f>
        <v>مستوفاة بشكل أولي</v>
      </c>
      <c r="P117" s="22"/>
    </row>
    <row r="118" customFormat="false" ht="15" hidden="false" customHeight="true" outlineLevel="0" collapsed="false">
      <c r="A118" s="20" t="s">
        <v>932</v>
      </c>
      <c r="B118" s="20" t="s">
        <v>202</v>
      </c>
      <c r="C118" s="19" t="str">
        <f aca="false">IFERROR(INDEX('قائمة الوحدات'!$B$2:$B$41,MATCH($B118,'قائمة الوحدات'!$A$2:$A$41,0)),"")</f>
        <v>MIL</v>
      </c>
      <c r="D118" s="18" t="str">
        <f aca="false">IFERROR(INDEX('قائمة الوحدات'!$C$2:$C$41,MATCH($B118,'قائمة الوحدات'!$A$2:$A$41,0)),"")</f>
        <v>الجهاز العسكري</v>
      </c>
      <c r="E118" s="18" t="str">
        <f aca="false">IFERROR(INDEX('قائمة الوحدات'!$D$2:$D$41,MATCH($B118,'قائمة الوحدات'!$A$2:$A$41,0)),"")</f>
        <v>قيادة القوات البحرية</v>
      </c>
      <c r="F118" s="18" t="str">
        <f aca="false">IFERROR(INDEX('قائمة الوحدات'!$F$2:$F$41,MATCH($B118,'قائمة الوحدات'!$A$2:$A$41,0)),"")</f>
        <v>قيادة القوات البحرية</v>
      </c>
      <c r="G118" s="20" t="s">
        <v>66</v>
      </c>
      <c r="H118" s="18" t="str">
        <f aca="false">IFERROR(INDEX(المرجع!$A$2:$A$19,MATCH($G118,المرجع!$B$2:$B$19,0)),"")</f>
        <v>التشغيل</v>
      </c>
      <c r="I118" s="20" t="s">
        <v>52</v>
      </c>
      <c r="J118" s="18" t="str">
        <f aca="false">IFERROR(INDEX(المرجع!$D$2:$D$19,MATCH($I118,المرجع!$E$2:$E$19,0)),"")</f>
        <v>الحوكمة</v>
      </c>
      <c r="K118" s="20" t="s">
        <v>128</v>
      </c>
      <c r="L118" s="21" t="str">
        <f aca="false">IFERROR(INDEX('نقاط التحقق'!$G$2:$G$31,MATCH($K118,'نقاط التحقق'!$A$2:$A$31,0))&amp;"","")</f>
        <v>اتخاذ القرارات في نطاق الصلاحيات (وجود شواهد)</v>
      </c>
      <c r="M118" s="17" t="n">
        <v>35</v>
      </c>
      <c r="N118" s="17" t="n">
        <v>85</v>
      </c>
      <c r="O118" s="19" t="str">
        <f aca="false">IF($M118="","غير مقيّمة",IF($M118&gt;المرجع!$K$3,"مستوفاة بشكل متقدم",IF($M118&lt;=المرجع!$K$2,"مستوفاة بشكل أولي","مستوفاة بشكل جزئي")))</f>
        <v>مستوفاة بشكل جزئي</v>
      </c>
      <c r="P118" s="22"/>
    </row>
    <row r="119" customFormat="false" ht="15" hidden="false" customHeight="true" outlineLevel="0" collapsed="false">
      <c r="A119" s="20" t="s">
        <v>933</v>
      </c>
      <c r="B119" s="20" t="s">
        <v>202</v>
      </c>
      <c r="C119" s="19" t="str">
        <f aca="false">IFERROR(INDEX('قائمة الوحدات'!$B$2:$B$41,MATCH($B119,'قائمة الوحدات'!$A$2:$A$41,0)),"")</f>
        <v>MIL</v>
      </c>
      <c r="D119" s="18" t="str">
        <f aca="false">IFERROR(INDEX('قائمة الوحدات'!$C$2:$C$41,MATCH($B119,'قائمة الوحدات'!$A$2:$A$41,0)),"")</f>
        <v>الجهاز العسكري</v>
      </c>
      <c r="E119" s="18" t="str">
        <f aca="false">IFERROR(INDEX('قائمة الوحدات'!$D$2:$D$41,MATCH($B119,'قائمة الوحدات'!$A$2:$A$41,0)),"")</f>
        <v>قيادة القوات البحرية</v>
      </c>
      <c r="F119" s="18" t="str">
        <f aca="false">IFERROR(INDEX('قائمة الوحدات'!$F$2:$F$41,MATCH($B119,'قائمة الوحدات'!$A$2:$A$41,0)),"")</f>
        <v>قيادة القوات البحرية</v>
      </c>
      <c r="G119" s="20" t="s">
        <v>66</v>
      </c>
      <c r="H119" s="18" t="str">
        <f aca="false">IFERROR(INDEX(المرجع!$A$2:$A$19,MATCH($G119,المرجع!$B$2:$B$19,0)),"")</f>
        <v>التشغيل</v>
      </c>
      <c r="I119" s="20" t="s">
        <v>57</v>
      </c>
      <c r="J119" s="18" t="str">
        <f aca="false">IFERROR(INDEX(المرجع!$D$2:$D$19,MATCH($I119,المرجع!$E$2:$E$19,0)),"")</f>
        <v>الموارد</v>
      </c>
      <c r="K119" s="20" t="s">
        <v>130</v>
      </c>
      <c r="L119" s="21" t="str">
        <f aca="false">IFERROR(INDEX('نقاط التحقق'!$G$2:$G$31,MATCH($K119,'نقاط التحقق'!$A$2:$A$31,0))&amp;"","")</f>
        <v>موارد مستكملة للحد الأدنى الذي يغطي كافة محاور سلسلة القيمة</v>
      </c>
      <c r="M119" s="17" t="n">
        <v>55</v>
      </c>
      <c r="N119" s="17" t="n">
        <v>95</v>
      </c>
      <c r="O119" s="19" t="str">
        <f aca="false">IF($M119="","غير مقيّمة",IF($M119&gt;المرجع!$K$3,"مستوفاة بشكل متقدم",IF($M119&lt;=المرجع!$K$2,"مستوفاة بشكل أولي","مستوفاة بشكل جزئي")))</f>
        <v>مستوفاة بشكل جزئي</v>
      </c>
      <c r="P119" s="22"/>
    </row>
    <row r="120" customFormat="false" ht="15" hidden="false" customHeight="true" outlineLevel="0" collapsed="false">
      <c r="A120" s="20" t="s">
        <v>934</v>
      </c>
      <c r="B120" s="20" t="s">
        <v>202</v>
      </c>
      <c r="C120" s="19" t="str">
        <f aca="false">IFERROR(INDEX('قائمة الوحدات'!$B$2:$B$41,MATCH($B120,'قائمة الوحدات'!$A$2:$A$41,0)),"")</f>
        <v>MIL</v>
      </c>
      <c r="D120" s="18" t="str">
        <f aca="false">IFERROR(INDEX('قائمة الوحدات'!$C$2:$C$41,MATCH($B120,'قائمة الوحدات'!$A$2:$A$41,0)),"")</f>
        <v>الجهاز العسكري</v>
      </c>
      <c r="E120" s="18" t="str">
        <f aca="false">IFERROR(INDEX('قائمة الوحدات'!$D$2:$D$41,MATCH($B120,'قائمة الوحدات'!$A$2:$A$41,0)),"")</f>
        <v>قيادة القوات البحرية</v>
      </c>
      <c r="F120" s="18" t="str">
        <f aca="false">IFERROR(INDEX('قائمة الوحدات'!$F$2:$F$41,MATCH($B120,'قائمة الوحدات'!$A$2:$A$41,0)),"")</f>
        <v>قيادة القوات البحرية</v>
      </c>
      <c r="G120" s="20" t="s">
        <v>66</v>
      </c>
      <c r="H120" s="18" t="str">
        <f aca="false">IFERROR(INDEX(المرجع!$A$2:$A$19,MATCH($G120,المرجع!$B$2:$B$19,0)),"")</f>
        <v>التشغيل</v>
      </c>
      <c r="I120" s="20" t="s">
        <v>60</v>
      </c>
      <c r="J120" s="18" t="str">
        <f aca="false">IFERROR(INDEX(المرجع!$D$2:$D$19,MATCH($I120,المرجع!$E$2:$E$19,0)),"")</f>
        <v>الإجراءات</v>
      </c>
      <c r="K120" s="20" t="s">
        <v>132</v>
      </c>
      <c r="L120" s="21" t="str">
        <f aca="false">IFERROR(INDEX('نقاط التحقق'!$G$2:$G$31,MATCH($K120,'نقاط التحقق'!$A$2:$A$31,0))&amp;"","")</f>
        <v>تحقيق تقييم "مطبق بشكل كامل" من منهجية تقييم فعالية الإجراءات</v>
      </c>
      <c r="M120" s="17" t="n">
        <v>24</v>
      </c>
      <c r="N120" s="17" t="n">
        <v>90</v>
      </c>
      <c r="O120" s="19" t="str">
        <f aca="false">IF($M120="","غير مقيّمة",IF($M120&gt;المرجع!$K$3,"مستوفاة بشكل متقدم",IF($M120&lt;=المرجع!$K$2,"مستوفاة بشكل أولي","مستوفاة بشكل جزئي")))</f>
        <v>مستوفاة بشكل أولي</v>
      </c>
      <c r="P120" s="22"/>
    </row>
    <row r="121" customFormat="false" ht="15" hidden="false" customHeight="true" outlineLevel="0" collapsed="false">
      <c r="A121" s="20" t="s">
        <v>935</v>
      </c>
      <c r="B121" s="20" t="s">
        <v>202</v>
      </c>
      <c r="C121" s="19" t="str">
        <f aca="false">IFERROR(INDEX('قائمة الوحدات'!$B$2:$B$41,MATCH($B121,'قائمة الوحدات'!$A$2:$A$41,0)),"")</f>
        <v>MIL</v>
      </c>
      <c r="D121" s="18" t="str">
        <f aca="false">IFERROR(INDEX('قائمة الوحدات'!$C$2:$C$41,MATCH($B121,'قائمة الوحدات'!$A$2:$A$41,0)),"")</f>
        <v>الجهاز العسكري</v>
      </c>
      <c r="E121" s="18" t="str">
        <f aca="false">IFERROR(INDEX('قائمة الوحدات'!$D$2:$D$41,MATCH($B121,'قائمة الوحدات'!$A$2:$A$41,0)),"")</f>
        <v>قيادة القوات البحرية</v>
      </c>
      <c r="F121" s="18" t="str">
        <f aca="false">IFERROR(INDEX('قائمة الوحدات'!$F$2:$F$41,MATCH($B121,'قائمة الوحدات'!$A$2:$A$41,0)),"")</f>
        <v>قيادة القوات البحرية</v>
      </c>
      <c r="G121" s="20" t="s">
        <v>66</v>
      </c>
      <c r="H121" s="18" t="str">
        <f aca="false">IFERROR(INDEX(المرجع!$A$2:$A$19,MATCH($G121,المرجع!$B$2:$B$19,0)),"")</f>
        <v>التشغيل</v>
      </c>
      <c r="I121" s="20" t="s">
        <v>71</v>
      </c>
      <c r="J121" s="18" t="str">
        <f aca="false">IFERROR(INDEX(المرجع!$D$2:$D$19,MATCH($I121,المرجع!$E$2:$E$19,0)),"")</f>
        <v>اكتمال المخرجات المستهدفة</v>
      </c>
      <c r="K121" s="20" t="s">
        <v>134</v>
      </c>
      <c r="L121" s="21" t="str">
        <f aca="false">IFERROR(INDEX('نقاط التحقق'!$G$2:$G$31,MATCH($K121,'نقاط التحقق'!$A$2:$A$31,0))&amp;"","")</f>
        <v>اكتمال مخرجات النموذج التشغيلي المستهدف للوحدة التنظيمية</v>
      </c>
      <c r="M121" s="17" t="n">
        <v>40</v>
      </c>
      <c r="N121" s="17" t="n">
        <v>80</v>
      </c>
      <c r="O121" s="19" t="str">
        <f aca="false">IF($M121="","غير مقيّمة",IF($M121&gt;المرجع!$K$3,"مستوفاة بشكل متقدم",IF($M121&lt;=المرجع!$K$2,"مستوفاة بشكل أولي","مستوفاة بشكل جزئي")))</f>
        <v>مستوفاة بشكل جزئي</v>
      </c>
      <c r="P121" s="22"/>
    </row>
    <row r="122" customFormat="false" ht="15" hidden="false" customHeight="true" outlineLevel="0" collapsed="false">
      <c r="A122" s="20" t="s">
        <v>936</v>
      </c>
      <c r="B122" s="20" t="s">
        <v>204</v>
      </c>
      <c r="C122" s="19" t="str">
        <f aca="false">IFERROR(INDEX('قائمة الوحدات'!$B$2:$B$41,MATCH($B122,'قائمة الوحدات'!$A$2:$A$41,0)),"")</f>
        <v>MIL</v>
      </c>
      <c r="D122" s="18" t="str">
        <f aca="false">IFERROR(INDEX('قائمة الوحدات'!$C$2:$C$41,MATCH($B122,'قائمة الوحدات'!$A$2:$A$41,0)),"")</f>
        <v>الجهاز العسكري</v>
      </c>
      <c r="E122" s="18" t="str">
        <f aca="false">IFERROR(INDEX('قائمة الوحدات'!$D$2:$D$41,MATCH($B122,'قائمة الوحدات'!$A$2:$A$41,0)),"")</f>
        <v>قيادة قوات الدفاع الجوي</v>
      </c>
      <c r="F122" s="18" t="str">
        <f aca="false">IFERROR(INDEX('قائمة الوحدات'!$F$2:$F$41,MATCH($B122,'قائمة الوحدات'!$A$2:$A$41,0)),"")</f>
        <v>قيادة قوات الدفاع الجوي</v>
      </c>
      <c r="G122" s="20" t="s">
        <v>44</v>
      </c>
      <c r="H122" s="18" t="str">
        <f aca="false">IFERROR(INDEX(المرجع!$A$2:$A$19,MATCH($G122,المرجع!$B$2:$B$19,0)),"")</f>
        <v>التصميم</v>
      </c>
      <c r="I122" s="20" t="s">
        <v>46</v>
      </c>
      <c r="J122" s="18" t="str">
        <f aca="false">IFERROR(INDEX(المرجع!$D$2:$D$19,MATCH($I122,المرجع!$E$2:$E$19,0)),"")</f>
        <v>الدور</v>
      </c>
      <c r="K122" s="20" t="s">
        <v>76</v>
      </c>
      <c r="L122" s="21" t="str">
        <f aca="false">IFERROR(INDEX('نقاط التحقق'!$G$2:$G$31,MATCH($K122,'نقاط التحقق'!$A$2:$A$31,0))&amp;"","")</f>
        <v>دور مفصل للوحدة التنظيمية</v>
      </c>
      <c r="M122" s="17" t="n">
        <v>96</v>
      </c>
      <c r="N122" s="17" t="n">
        <v>100</v>
      </c>
      <c r="O122" s="19" t="str">
        <f aca="false">IF($M122="","غير مقيّمة",IF($M122&gt;المرجع!$K$3,"مستوفاة بشكل متقدم",IF($M122&lt;=المرجع!$K$2,"مستوفاة بشكل أولي","مستوفاة بشكل جزئي")))</f>
        <v>مستوفاة بشكل متقدم</v>
      </c>
      <c r="P122" s="22"/>
    </row>
    <row r="123" customFormat="false" ht="15" hidden="false" customHeight="true" outlineLevel="0" collapsed="false">
      <c r="A123" s="20" t="s">
        <v>937</v>
      </c>
      <c r="B123" s="20" t="s">
        <v>204</v>
      </c>
      <c r="C123" s="19" t="str">
        <f aca="false">IFERROR(INDEX('قائمة الوحدات'!$B$2:$B$41,MATCH($B123,'قائمة الوحدات'!$A$2:$A$41,0)),"")</f>
        <v>MIL</v>
      </c>
      <c r="D123" s="18" t="str">
        <f aca="false">IFERROR(INDEX('قائمة الوحدات'!$C$2:$C$41,MATCH($B123,'قائمة الوحدات'!$A$2:$A$41,0)),"")</f>
        <v>الجهاز العسكري</v>
      </c>
      <c r="E123" s="18" t="str">
        <f aca="false">IFERROR(INDEX('قائمة الوحدات'!$D$2:$D$41,MATCH($B123,'قائمة الوحدات'!$A$2:$A$41,0)),"")</f>
        <v>قيادة قوات الدفاع الجوي</v>
      </c>
      <c r="F123" s="18" t="str">
        <f aca="false">IFERROR(INDEX('قائمة الوحدات'!$F$2:$F$41,MATCH($B123,'قائمة الوحدات'!$A$2:$A$41,0)),"")</f>
        <v>قيادة قوات الدفاع الجوي</v>
      </c>
      <c r="G123" s="20" t="s">
        <v>44</v>
      </c>
      <c r="H123" s="18" t="str">
        <f aca="false">IFERROR(INDEX(المرجع!$A$2:$A$19,MATCH($G123,المرجع!$B$2:$B$19,0)),"")</f>
        <v>التصميم</v>
      </c>
      <c r="I123" s="20" t="s">
        <v>49</v>
      </c>
      <c r="J123" s="18" t="str">
        <f aca="false">IFERROR(INDEX(المرجع!$D$2:$D$19,MATCH($I123,المرجع!$E$2:$E$19,0)),"")</f>
        <v>الأهداف ومؤشرات الأداء</v>
      </c>
      <c r="K123" s="20" t="s">
        <v>78</v>
      </c>
      <c r="L123" s="21" t="str">
        <f aca="false">IFERROR(INDEX('نقاط التحقق'!$G$2:$G$31,MATCH($K123,'نقاط التحقق'!$A$2:$A$31,0))&amp;"","")</f>
        <v>أهداف محددة للوحدة التنظيمية وربطها بمؤشرات أداء لقياسها</v>
      </c>
      <c r="M123" s="17" t="n">
        <v>70</v>
      </c>
      <c r="N123" s="17" t="n">
        <v>85</v>
      </c>
      <c r="O123" s="19" t="str">
        <f aca="false">IF($M123="","غير مقيّمة",IF($M123&gt;المرجع!$K$3,"مستوفاة بشكل متقدم",IF($M123&lt;=المرجع!$K$2,"مستوفاة بشكل أولي","مستوفاة بشكل جزئي")))</f>
        <v>مستوفاة بشكل جزئي</v>
      </c>
      <c r="P123" s="22"/>
    </row>
    <row r="124" customFormat="false" ht="15" hidden="false" customHeight="true" outlineLevel="0" collapsed="false">
      <c r="A124" s="20" t="s">
        <v>938</v>
      </c>
      <c r="B124" s="20" t="s">
        <v>204</v>
      </c>
      <c r="C124" s="19" t="str">
        <f aca="false">IFERROR(INDEX('قائمة الوحدات'!$B$2:$B$41,MATCH($B124,'قائمة الوحدات'!$A$2:$A$41,0)),"")</f>
        <v>MIL</v>
      </c>
      <c r="D124" s="18" t="str">
        <f aca="false">IFERROR(INDEX('قائمة الوحدات'!$C$2:$C$41,MATCH($B124,'قائمة الوحدات'!$A$2:$A$41,0)),"")</f>
        <v>الجهاز العسكري</v>
      </c>
      <c r="E124" s="18" t="str">
        <f aca="false">IFERROR(INDEX('قائمة الوحدات'!$D$2:$D$41,MATCH($B124,'قائمة الوحدات'!$A$2:$A$41,0)),"")</f>
        <v>قيادة قوات الدفاع الجوي</v>
      </c>
      <c r="F124" s="18" t="str">
        <f aca="false">IFERROR(INDEX('قائمة الوحدات'!$F$2:$F$41,MATCH($B124,'قائمة الوحدات'!$A$2:$A$41,0)),"")</f>
        <v>قيادة قوات الدفاع الجوي</v>
      </c>
      <c r="G124" s="20" t="s">
        <v>44</v>
      </c>
      <c r="H124" s="18" t="str">
        <f aca="false">IFERROR(INDEX(المرجع!$A$2:$A$19,MATCH($G124,المرجع!$B$2:$B$19,0)),"")</f>
        <v>التصميم</v>
      </c>
      <c r="I124" s="20" t="s">
        <v>49</v>
      </c>
      <c r="J124" s="18" t="str">
        <f aca="false">IFERROR(INDEX(المرجع!$D$2:$D$19,MATCH($I124,المرجع!$E$2:$E$19,0)),"")</f>
        <v>الأهداف ومؤشرات الأداء</v>
      </c>
      <c r="K124" s="20" t="s">
        <v>80</v>
      </c>
      <c r="L124" s="21" t="str">
        <f aca="false">IFERROR(INDEX('نقاط التحقق'!$G$2:$G$31,MATCH($K124,'نقاط التحقق'!$A$2:$A$31,0))&amp;"","")</f>
        <v>مؤشرات أداء الوحدة التنظيمية</v>
      </c>
      <c r="M124" s="17" t="n">
        <v>95</v>
      </c>
      <c r="N124" s="17" t="n">
        <v>95</v>
      </c>
      <c r="O124" s="19" t="str">
        <f aca="false">IF($M124="","غير مقيّمة",IF($M124&gt;المرجع!$K$3,"مستوفاة بشكل متقدم",IF($M124&lt;=المرجع!$K$2,"مستوفاة بشكل أولي","مستوفاة بشكل جزئي")))</f>
        <v>مستوفاة بشكل متقدم</v>
      </c>
      <c r="P124" s="22"/>
    </row>
    <row r="125" customFormat="false" ht="15" hidden="false" customHeight="true" outlineLevel="0" collapsed="false">
      <c r="A125" s="20" t="s">
        <v>939</v>
      </c>
      <c r="B125" s="20" t="s">
        <v>204</v>
      </c>
      <c r="C125" s="19" t="str">
        <f aca="false">IFERROR(INDEX('قائمة الوحدات'!$B$2:$B$41,MATCH($B125,'قائمة الوحدات'!$A$2:$A$41,0)),"")</f>
        <v>MIL</v>
      </c>
      <c r="D125" s="18" t="str">
        <f aca="false">IFERROR(INDEX('قائمة الوحدات'!$C$2:$C$41,MATCH($B125,'قائمة الوحدات'!$A$2:$A$41,0)),"")</f>
        <v>الجهاز العسكري</v>
      </c>
      <c r="E125" s="18" t="str">
        <f aca="false">IFERROR(INDEX('قائمة الوحدات'!$D$2:$D$41,MATCH($B125,'قائمة الوحدات'!$A$2:$A$41,0)),"")</f>
        <v>قيادة قوات الدفاع الجوي</v>
      </c>
      <c r="F125" s="18" t="str">
        <f aca="false">IFERROR(INDEX('قائمة الوحدات'!$F$2:$F$41,MATCH($B125,'قائمة الوحدات'!$A$2:$A$41,0)),"")</f>
        <v>قيادة قوات الدفاع الجوي</v>
      </c>
      <c r="G125" s="20" t="s">
        <v>44</v>
      </c>
      <c r="H125" s="18" t="str">
        <f aca="false">IFERROR(INDEX(المرجع!$A$2:$A$19,MATCH($G125,المرجع!$B$2:$B$19,0)),"")</f>
        <v>التصميم</v>
      </c>
      <c r="I125" s="20" t="s">
        <v>52</v>
      </c>
      <c r="J125" s="18" t="str">
        <f aca="false">IFERROR(INDEX(المرجع!$D$2:$D$19,MATCH($I125,المرجع!$E$2:$E$19,0)),"")</f>
        <v>الحوكمة</v>
      </c>
      <c r="K125" s="20" t="s">
        <v>82</v>
      </c>
      <c r="L125" s="21" t="str">
        <f aca="false">IFERROR(INDEX('نقاط التحقق'!$G$2:$G$31,MATCH($K125,'نقاط التحقق'!$A$2:$A$31,0))&amp;"","")</f>
        <v>تفصيل القرارات ومصفوفة الصلاحيات واللجان ذات العلاقة لاعتماد مخرجات الوحدة التنظيمية</v>
      </c>
      <c r="M125" s="17" t="n">
        <v>83</v>
      </c>
      <c r="N125" s="17" t="n">
        <v>83</v>
      </c>
      <c r="O125" s="19" t="str">
        <f aca="false">IF($M125="","غير مقيّمة",IF($M125&gt;المرجع!$K$3,"مستوفاة بشكل متقدم",IF($M125&lt;=المرجع!$K$2,"مستوفاة بشكل أولي","مستوفاة بشكل جزئي")))</f>
        <v>مستوفاة بشكل متقدم</v>
      </c>
      <c r="P125" s="22"/>
    </row>
    <row r="126" customFormat="false" ht="15" hidden="false" customHeight="true" outlineLevel="0" collapsed="false">
      <c r="A126" s="20" t="s">
        <v>940</v>
      </c>
      <c r="B126" s="20" t="s">
        <v>204</v>
      </c>
      <c r="C126" s="19" t="str">
        <f aca="false">IFERROR(INDEX('قائمة الوحدات'!$B$2:$B$41,MATCH($B126,'قائمة الوحدات'!$A$2:$A$41,0)),"")</f>
        <v>MIL</v>
      </c>
      <c r="D126" s="18" t="str">
        <f aca="false">IFERROR(INDEX('قائمة الوحدات'!$C$2:$C$41,MATCH($B126,'قائمة الوحدات'!$A$2:$A$41,0)),"")</f>
        <v>الجهاز العسكري</v>
      </c>
      <c r="E126" s="18" t="str">
        <f aca="false">IFERROR(INDEX('قائمة الوحدات'!$D$2:$D$41,MATCH($B126,'قائمة الوحدات'!$A$2:$A$41,0)),"")</f>
        <v>قيادة قوات الدفاع الجوي</v>
      </c>
      <c r="F126" s="18" t="str">
        <f aca="false">IFERROR(INDEX('قائمة الوحدات'!$F$2:$F$41,MATCH($B126,'قائمة الوحدات'!$A$2:$A$41,0)),"")</f>
        <v>قيادة قوات الدفاع الجوي</v>
      </c>
      <c r="G126" s="20" t="s">
        <v>44</v>
      </c>
      <c r="H126" s="18" t="str">
        <f aca="false">IFERROR(INDEX(المرجع!$A$2:$A$19,MATCH($G126,المرجع!$B$2:$B$19,0)),"")</f>
        <v>التصميم</v>
      </c>
      <c r="I126" s="20" t="s">
        <v>55</v>
      </c>
      <c r="J126" s="18" t="str">
        <f aca="false">IFERROR(INDEX(المرجع!$D$2:$D$19,MATCH($I126,المرجع!$E$2:$E$19,0)),"")</f>
        <v>التنظيم</v>
      </c>
      <c r="K126" s="20" t="s">
        <v>84</v>
      </c>
      <c r="L126" s="21" t="str">
        <f aca="false">IFERROR(INDEX('نقاط التحقق'!$G$2:$G$31,MATCH($K126,'نقاط التحقق'!$A$2:$A$31,0))&amp;"","")</f>
        <v>تطوير الأدوار والمسؤوليات للوحدة التنظيمية وتفصيل الهيكل التنظيمي</v>
      </c>
      <c r="M126" s="17" t="n">
        <v>75</v>
      </c>
      <c r="N126" s="17" t="n">
        <v>100</v>
      </c>
      <c r="O126" s="19" t="str">
        <f aca="false">IF($M126="","غير مقيّمة",IF($M126&gt;المرجع!$K$3,"مستوفاة بشكل متقدم",IF($M126&lt;=المرجع!$K$2,"مستوفاة بشكل أولي","مستوفاة بشكل جزئي")))</f>
        <v>مستوفاة بشكل متقدم</v>
      </c>
      <c r="P126" s="22"/>
    </row>
    <row r="127" customFormat="false" ht="15" hidden="false" customHeight="true" outlineLevel="0" collapsed="false">
      <c r="A127" s="20" t="s">
        <v>941</v>
      </c>
      <c r="B127" s="20" t="s">
        <v>204</v>
      </c>
      <c r="C127" s="19" t="str">
        <f aca="false">IFERROR(INDEX('قائمة الوحدات'!$B$2:$B$41,MATCH($B127,'قائمة الوحدات'!$A$2:$A$41,0)),"")</f>
        <v>MIL</v>
      </c>
      <c r="D127" s="18" t="str">
        <f aca="false">IFERROR(INDEX('قائمة الوحدات'!$C$2:$C$41,MATCH($B127,'قائمة الوحدات'!$A$2:$A$41,0)),"")</f>
        <v>الجهاز العسكري</v>
      </c>
      <c r="E127" s="18" t="str">
        <f aca="false">IFERROR(INDEX('قائمة الوحدات'!$D$2:$D$41,MATCH($B127,'قائمة الوحدات'!$A$2:$A$41,0)),"")</f>
        <v>قيادة قوات الدفاع الجوي</v>
      </c>
      <c r="F127" s="18" t="str">
        <f aca="false">IFERROR(INDEX('قائمة الوحدات'!$F$2:$F$41,MATCH($B127,'قائمة الوحدات'!$A$2:$A$41,0)),"")</f>
        <v>قيادة قوات الدفاع الجوي</v>
      </c>
      <c r="G127" s="20" t="s">
        <v>44</v>
      </c>
      <c r="H127" s="18" t="str">
        <f aca="false">IFERROR(INDEX(المرجع!$A$2:$A$19,MATCH($G127,المرجع!$B$2:$B$19,0)),"")</f>
        <v>التصميم</v>
      </c>
      <c r="I127" s="20" t="s">
        <v>57</v>
      </c>
      <c r="J127" s="18" t="str">
        <f aca="false">IFERROR(INDEX(المرجع!$D$2:$D$19,MATCH($I127,المرجع!$E$2:$E$19,0)),"")</f>
        <v>الموارد</v>
      </c>
      <c r="K127" s="20" t="s">
        <v>86</v>
      </c>
      <c r="L127" s="21" t="str">
        <f aca="false">IFERROR(INDEX('نقاط التحقق'!$G$2:$G$31,MATCH($K127,'نقاط التحقق'!$A$2:$A$31,0))&amp;"","")</f>
        <v>تفصيل احتياج الموارد البشرية للوحدة التنظيمية</v>
      </c>
      <c r="M127" s="17" t="n">
        <v>83</v>
      </c>
      <c r="N127" s="17" t="n">
        <v>100</v>
      </c>
      <c r="O127" s="19" t="str">
        <f aca="false">IF($M127="","غير مقيّمة",IF($M127&gt;المرجع!$K$3,"مستوفاة بشكل متقدم",IF($M127&lt;=المرجع!$K$2,"مستوفاة بشكل أولي","مستوفاة بشكل جزئي")))</f>
        <v>مستوفاة بشكل متقدم</v>
      </c>
      <c r="P127" s="22"/>
    </row>
    <row r="128" customFormat="false" ht="15" hidden="false" customHeight="true" outlineLevel="0" collapsed="false">
      <c r="A128" s="20" t="s">
        <v>942</v>
      </c>
      <c r="B128" s="20" t="s">
        <v>204</v>
      </c>
      <c r="C128" s="19" t="str">
        <f aca="false">IFERROR(INDEX('قائمة الوحدات'!$B$2:$B$41,MATCH($B128,'قائمة الوحدات'!$A$2:$A$41,0)),"")</f>
        <v>MIL</v>
      </c>
      <c r="D128" s="18" t="str">
        <f aca="false">IFERROR(INDEX('قائمة الوحدات'!$C$2:$C$41,MATCH($B128,'قائمة الوحدات'!$A$2:$A$41,0)),"")</f>
        <v>الجهاز العسكري</v>
      </c>
      <c r="E128" s="18" t="str">
        <f aca="false">IFERROR(INDEX('قائمة الوحدات'!$D$2:$D$41,MATCH($B128,'قائمة الوحدات'!$A$2:$A$41,0)),"")</f>
        <v>قيادة قوات الدفاع الجوي</v>
      </c>
      <c r="F128" s="18" t="str">
        <f aca="false">IFERROR(INDEX('قائمة الوحدات'!$F$2:$F$41,MATCH($B128,'قائمة الوحدات'!$A$2:$A$41,0)),"")</f>
        <v>قيادة قوات الدفاع الجوي</v>
      </c>
      <c r="G128" s="20" t="s">
        <v>44</v>
      </c>
      <c r="H128" s="18" t="str">
        <f aca="false">IFERROR(INDEX(المرجع!$A$2:$A$19,MATCH($G128,المرجع!$B$2:$B$19,0)),"")</f>
        <v>التصميم</v>
      </c>
      <c r="I128" s="20" t="s">
        <v>60</v>
      </c>
      <c r="J128" s="18" t="str">
        <f aca="false">IFERROR(INDEX(المرجع!$D$2:$D$19,MATCH($I128,المرجع!$E$2:$E$19,0)),"")</f>
        <v>الإجراءات</v>
      </c>
      <c r="K128" s="20" t="s">
        <v>88</v>
      </c>
      <c r="L128" s="21" t="str">
        <f aca="false">IFERROR(INDEX('نقاط التحقق'!$G$2:$G$31,MATCH($K128,'نقاط التحقق'!$A$2:$A$31,0))&amp;"","")</f>
        <v>تفصيل المخرجات إلى إجراءات عالية المستوى</v>
      </c>
      <c r="M128" s="17" t="n">
        <v>98</v>
      </c>
      <c r="N128" s="17" t="n">
        <v>98</v>
      </c>
      <c r="O128" s="19" t="str">
        <f aca="false">IF($M128="","غير مقيّمة",IF($M128&gt;المرجع!$K$3,"مستوفاة بشكل متقدم",IF($M128&lt;=المرجع!$K$2,"مستوفاة بشكل أولي","مستوفاة بشكل جزئي")))</f>
        <v>مستوفاة بشكل متقدم</v>
      </c>
      <c r="P128" s="22"/>
    </row>
    <row r="129" customFormat="false" ht="15" hidden="false" customHeight="true" outlineLevel="0" collapsed="false">
      <c r="A129" s="20" t="s">
        <v>943</v>
      </c>
      <c r="B129" s="20" t="s">
        <v>204</v>
      </c>
      <c r="C129" s="19" t="str">
        <f aca="false">IFERROR(INDEX('قائمة الوحدات'!$B$2:$B$41,MATCH($B129,'قائمة الوحدات'!$A$2:$A$41,0)),"")</f>
        <v>MIL</v>
      </c>
      <c r="D129" s="18" t="str">
        <f aca="false">IFERROR(INDEX('قائمة الوحدات'!$C$2:$C$41,MATCH($B129,'قائمة الوحدات'!$A$2:$A$41,0)),"")</f>
        <v>الجهاز العسكري</v>
      </c>
      <c r="E129" s="18" t="str">
        <f aca="false">IFERROR(INDEX('قائمة الوحدات'!$D$2:$D$41,MATCH($B129,'قائمة الوحدات'!$A$2:$A$41,0)),"")</f>
        <v>قيادة قوات الدفاع الجوي</v>
      </c>
      <c r="F129" s="18" t="str">
        <f aca="false">IFERROR(INDEX('قائمة الوحدات'!$F$2:$F$41,MATCH($B129,'قائمة الوحدات'!$A$2:$A$41,0)),"")</f>
        <v>قيادة قوات الدفاع الجوي</v>
      </c>
      <c r="G129" s="20" t="s">
        <v>62</v>
      </c>
      <c r="H129" s="18" t="str">
        <f aca="false">IFERROR(INDEX(المرجع!$A$2:$A$19,MATCH($G129,المرجع!$B$2:$B$19,0)),"")</f>
        <v>البناء المؤسسي</v>
      </c>
      <c r="I129" s="20" t="s">
        <v>46</v>
      </c>
      <c r="J129" s="18" t="str">
        <f aca="false">IFERROR(INDEX(المرجع!$D$2:$D$19,MATCH($I129,المرجع!$E$2:$E$19,0)),"")</f>
        <v>الدور</v>
      </c>
      <c r="K129" s="20" t="s">
        <v>90</v>
      </c>
      <c r="L129" s="21" t="str">
        <f aca="false">IFERROR(INDEX('نقاط التحقق'!$G$2:$G$31,MATCH($K129,'نقاط التحقق'!$A$2:$A$31,0))&amp;"","")</f>
        <v>دور معتمد للوحدة التنظيمية</v>
      </c>
      <c r="M129" s="17" t="n">
        <v>55</v>
      </c>
      <c r="N129" s="17" t="n">
        <v>95</v>
      </c>
      <c r="O129" s="19" t="str">
        <f aca="false">IF($M129="","غير مقيّمة",IF($M129&gt;المرجع!$K$3,"مستوفاة بشكل متقدم",IF($M129&lt;=المرجع!$K$2,"مستوفاة بشكل أولي","مستوفاة بشكل جزئي")))</f>
        <v>مستوفاة بشكل جزئي</v>
      </c>
      <c r="P129" s="22"/>
    </row>
    <row r="130" customFormat="false" ht="15" hidden="false" customHeight="true" outlineLevel="0" collapsed="false">
      <c r="A130" s="20" t="s">
        <v>944</v>
      </c>
      <c r="B130" s="20" t="s">
        <v>204</v>
      </c>
      <c r="C130" s="19" t="str">
        <f aca="false">IFERROR(INDEX('قائمة الوحدات'!$B$2:$B$41,MATCH($B130,'قائمة الوحدات'!$A$2:$A$41,0)),"")</f>
        <v>MIL</v>
      </c>
      <c r="D130" s="18" t="str">
        <f aca="false">IFERROR(INDEX('قائمة الوحدات'!$C$2:$C$41,MATCH($B130,'قائمة الوحدات'!$A$2:$A$41,0)),"")</f>
        <v>الجهاز العسكري</v>
      </c>
      <c r="E130" s="18" t="str">
        <f aca="false">IFERROR(INDEX('قائمة الوحدات'!$D$2:$D$41,MATCH($B130,'قائمة الوحدات'!$A$2:$A$41,0)),"")</f>
        <v>قيادة قوات الدفاع الجوي</v>
      </c>
      <c r="F130" s="18" t="str">
        <f aca="false">IFERROR(INDEX('قائمة الوحدات'!$F$2:$F$41,MATCH($B130,'قائمة الوحدات'!$A$2:$A$41,0)),"")</f>
        <v>قيادة قوات الدفاع الجوي</v>
      </c>
      <c r="G130" s="20" t="s">
        <v>62</v>
      </c>
      <c r="H130" s="18" t="str">
        <f aca="false">IFERROR(INDEX(المرجع!$A$2:$A$19,MATCH($G130,المرجع!$B$2:$B$19,0)),"")</f>
        <v>البناء المؤسسي</v>
      </c>
      <c r="I130" s="20" t="s">
        <v>49</v>
      </c>
      <c r="J130" s="18" t="str">
        <f aca="false">IFERROR(INDEX(المرجع!$D$2:$D$19,MATCH($I130,المرجع!$E$2:$E$19,0)),"")</f>
        <v>الأهداف ومؤشرات الأداء</v>
      </c>
      <c r="K130" s="20" t="s">
        <v>92</v>
      </c>
      <c r="L130" s="21" t="str">
        <f aca="false">IFERROR(INDEX('نقاط التحقق'!$G$2:$G$31,MATCH($K130,'نقاط التحقق'!$A$2:$A$31,0))&amp;"","")</f>
        <v>أهداف تشغيلية معتمدة من صاحب الصلاحية</v>
      </c>
      <c r="M130" s="17" t="n">
        <v>30</v>
      </c>
      <c r="N130" s="17" t="n">
        <v>85</v>
      </c>
      <c r="O130" s="19" t="str">
        <f aca="false">IF($M130="","غير مقيّمة",IF($M130&gt;المرجع!$K$3,"مستوفاة بشكل متقدم",IF($M130&lt;=المرجع!$K$2,"مستوفاة بشكل أولي","مستوفاة بشكل جزئي")))</f>
        <v>مستوفاة بشكل أولي</v>
      </c>
      <c r="P130" s="22"/>
    </row>
    <row r="131" customFormat="false" ht="15" hidden="false" customHeight="true" outlineLevel="0" collapsed="false">
      <c r="A131" s="20" t="s">
        <v>945</v>
      </c>
      <c r="B131" s="20" t="s">
        <v>204</v>
      </c>
      <c r="C131" s="19" t="str">
        <f aca="false">IFERROR(INDEX('قائمة الوحدات'!$B$2:$B$41,MATCH($B131,'قائمة الوحدات'!$A$2:$A$41,0)),"")</f>
        <v>MIL</v>
      </c>
      <c r="D131" s="18" t="str">
        <f aca="false">IFERROR(INDEX('قائمة الوحدات'!$C$2:$C$41,MATCH($B131,'قائمة الوحدات'!$A$2:$A$41,0)),"")</f>
        <v>الجهاز العسكري</v>
      </c>
      <c r="E131" s="18" t="str">
        <f aca="false">IFERROR(INDEX('قائمة الوحدات'!$D$2:$D$41,MATCH($B131,'قائمة الوحدات'!$A$2:$A$41,0)),"")</f>
        <v>قيادة قوات الدفاع الجوي</v>
      </c>
      <c r="F131" s="18" t="str">
        <f aca="false">IFERROR(INDEX('قائمة الوحدات'!$F$2:$F$41,MATCH($B131,'قائمة الوحدات'!$A$2:$A$41,0)),"")</f>
        <v>قيادة قوات الدفاع الجوي</v>
      </c>
      <c r="G131" s="20" t="s">
        <v>62</v>
      </c>
      <c r="H131" s="18" t="str">
        <f aca="false">IFERROR(INDEX(المرجع!$A$2:$A$19,MATCH($G131,المرجع!$B$2:$B$19,0)),"")</f>
        <v>البناء المؤسسي</v>
      </c>
      <c r="I131" s="20" t="s">
        <v>49</v>
      </c>
      <c r="J131" s="18" t="str">
        <f aca="false">IFERROR(INDEX(المرجع!$D$2:$D$19,MATCH($I131,المرجع!$E$2:$E$19,0)),"")</f>
        <v>الأهداف ومؤشرات الأداء</v>
      </c>
      <c r="K131" s="20" t="s">
        <v>94</v>
      </c>
      <c r="L131" s="21" t="str">
        <f aca="false">IFERROR(INDEX('نقاط التحقق'!$G$2:$G$31,MATCH($K131,'نقاط التحقق'!$A$2:$A$31,0))&amp;"","")</f>
        <v>نشر الأهداف التشغيلية على موظفي الوحدة التنظيمية</v>
      </c>
      <c r="M131" s="17" t="n">
        <v>35</v>
      </c>
      <c r="N131" s="17" t="n">
        <v>80</v>
      </c>
      <c r="O131" s="19" t="str">
        <f aca="false">IF($M131="","غير مقيّمة",IF($M131&gt;المرجع!$K$3,"مستوفاة بشكل متقدم",IF($M131&lt;=المرجع!$K$2,"مستوفاة بشكل أولي","مستوفاة بشكل جزئي")))</f>
        <v>مستوفاة بشكل جزئي</v>
      </c>
      <c r="P131" s="22"/>
    </row>
    <row r="132" customFormat="false" ht="15" hidden="false" customHeight="true" outlineLevel="0" collapsed="false">
      <c r="A132" s="20" t="s">
        <v>946</v>
      </c>
      <c r="B132" s="20" t="s">
        <v>204</v>
      </c>
      <c r="C132" s="19" t="str">
        <f aca="false">IFERROR(INDEX('قائمة الوحدات'!$B$2:$B$41,MATCH($B132,'قائمة الوحدات'!$A$2:$A$41,0)),"")</f>
        <v>MIL</v>
      </c>
      <c r="D132" s="18" t="str">
        <f aca="false">IFERROR(INDEX('قائمة الوحدات'!$C$2:$C$41,MATCH($B132,'قائمة الوحدات'!$A$2:$A$41,0)),"")</f>
        <v>الجهاز العسكري</v>
      </c>
      <c r="E132" s="18" t="str">
        <f aca="false">IFERROR(INDEX('قائمة الوحدات'!$D$2:$D$41,MATCH($B132,'قائمة الوحدات'!$A$2:$A$41,0)),"")</f>
        <v>قيادة قوات الدفاع الجوي</v>
      </c>
      <c r="F132" s="18" t="str">
        <f aca="false">IFERROR(INDEX('قائمة الوحدات'!$F$2:$F$41,MATCH($B132,'قائمة الوحدات'!$A$2:$A$41,0)),"")</f>
        <v>قيادة قوات الدفاع الجوي</v>
      </c>
      <c r="G132" s="20" t="s">
        <v>62</v>
      </c>
      <c r="H132" s="18" t="str">
        <f aca="false">IFERROR(INDEX(المرجع!$A$2:$A$19,MATCH($G132,المرجع!$B$2:$B$19,0)),"")</f>
        <v>البناء المؤسسي</v>
      </c>
      <c r="I132" s="20" t="s">
        <v>52</v>
      </c>
      <c r="J132" s="18" t="str">
        <f aca="false">IFERROR(INDEX(المرجع!$D$2:$D$19,MATCH($I132,المرجع!$E$2:$E$19,0)),"")</f>
        <v>الحوكمة</v>
      </c>
      <c r="K132" s="20" t="s">
        <v>96</v>
      </c>
      <c r="L132" s="21" t="str">
        <f aca="false">IFERROR(INDEX('نقاط التحقق'!$G$2:$G$31,MATCH($K132,'نقاط التحقق'!$A$2:$A$31,0))&amp;"","")</f>
        <v>مصفوفة صلاحيات معتمدة ومعممة على أصحاب المصلحة</v>
      </c>
      <c r="M132" s="17" t="n">
        <v>45</v>
      </c>
      <c r="N132" s="17" t="n">
        <v>80</v>
      </c>
      <c r="O132" s="19" t="str">
        <f aca="false">IF($M132="","غير مقيّمة",IF($M132&gt;المرجع!$K$3,"مستوفاة بشكل متقدم",IF($M132&lt;=المرجع!$K$2,"مستوفاة بشكل أولي","مستوفاة بشكل جزئي")))</f>
        <v>مستوفاة بشكل جزئي</v>
      </c>
      <c r="P132" s="22"/>
    </row>
    <row r="133" customFormat="false" ht="15" hidden="false" customHeight="true" outlineLevel="0" collapsed="false">
      <c r="A133" s="20" t="s">
        <v>947</v>
      </c>
      <c r="B133" s="20" t="s">
        <v>204</v>
      </c>
      <c r="C133" s="19" t="str">
        <f aca="false">IFERROR(INDEX('قائمة الوحدات'!$B$2:$B$41,MATCH($B133,'قائمة الوحدات'!$A$2:$A$41,0)),"")</f>
        <v>MIL</v>
      </c>
      <c r="D133" s="18" t="str">
        <f aca="false">IFERROR(INDEX('قائمة الوحدات'!$C$2:$C$41,MATCH($B133,'قائمة الوحدات'!$A$2:$A$41,0)),"")</f>
        <v>الجهاز العسكري</v>
      </c>
      <c r="E133" s="18" t="str">
        <f aca="false">IFERROR(INDEX('قائمة الوحدات'!$D$2:$D$41,MATCH($B133,'قائمة الوحدات'!$A$2:$A$41,0)),"")</f>
        <v>قيادة قوات الدفاع الجوي</v>
      </c>
      <c r="F133" s="18" t="str">
        <f aca="false">IFERROR(INDEX('قائمة الوحدات'!$F$2:$F$41,MATCH($B133,'قائمة الوحدات'!$A$2:$A$41,0)),"")</f>
        <v>قيادة قوات الدفاع الجوي</v>
      </c>
      <c r="G133" s="20" t="s">
        <v>62</v>
      </c>
      <c r="H133" s="18" t="str">
        <f aca="false">IFERROR(INDEX(المرجع!$A$2:$A$19,MATCH($G133,المرجع!$B$2:$B$19,0)),"")</f>
        <v>البناء المؤسسي</v>
      </c>
      <c r="I133" s="20" t="s">
        <v>52</v>
      </c>
      <c r="J133" s="18" t="str">
        <f aca="false">IFERROR(INDEX(المرجع!$D$2:$D$19,MATCH($I133,المرجع!$E$2:$E$19,0)),"")</f>
        <v>الحوكمة</v>
      </c>
      <c r="K133" s="20" t="s">
        <v>98</v>
      </c>
      <c r="L133" s="21" t="str">
        <f aca="false">IFERROR(INDEX('نقاط التحقق'!$G$2:$G$31,MATCH($K133,'نقاط التحقق'!$A$2:$A$31,0))&amp;"","")</f>
        <v>سياسات معتمدة للتي تملكها الوحدة التنظيمية</v>
      </c>
      <c r="M133" s="17" t="n">
        <v>70</v>
      </c>
      <c r="N133" s="17" t="n">
        <v>100</v>
      </c>
      <c r="O133" s="19" t="str">
        <f aca="false">IF($M133="","غير مقيّمة",IF($M133&gt;المرجع!$K$3,"مستوفاة بشكل متقدم",IF($M133&lt;=المرجع!$K$2,"مستوفاة بشكل أولي","مستوفاة بشكل جزئي")))</f>
        <v>مستوفاة بشكل جزئي</v>
      </c>
      <c r="P133" s="22"/>
    </row>
    <row r="134" customFormat="false" ht="15" hidden="false" customHeight="true" outlineLevel="0" collapsed="false">
      <c r="A134" s="20" t="s">
        <v>948</v>
      </c>
      <c r="B134" s="20" t="s">
        <v>204</v>
      </c>
      <c r="C134" s="19" t="str">
        <f aca="false">IFERROR(INDEX('قائمة الوحدات'!$B$2:$B$41,MATCH($B134,'قائمة الوحدات'!$A$2:$A$41,0)),"")</f>
        <v>MIL</v>
      </c>
      <c r="D134" s="18" t="str">
        <f aca="false">IFERROR(INDEX('قائمة الوحدات'!$C$2:$C$41,MATCH($B134,'قائمة الوحدات'!$A$2:$A$41,0)),"")</f>
        <v>الجهاز العسكري</v>
      </c>
      <c r="E134" s="18" t="str">
        <f aca="false">IFERROR(INDEX('قائمة الوحدات'!$D$2:$D$41,MATCH($B134,'قائمة الوحدات'!$A$2:$A$41,0)),"")</f>
        <v>قيادة قوات الدفاع الجوي</v>
      </c>
      <c r="F134" s="18" t="str">
        <f aca="false">IFERROR(INDEX('قائمة الوحدات'!$F$2:$F$41,MATCH($B134,'قائمة الوحدات'!$A$2:$A$41,0)),"")</f>
        <v>قيادة قوات الدفاع الجوي</v>
      </c>
      <c r="G134" s="20" t="s">
        <v>62</v>
      </c>
      <c r="H134" s="18" t="str">
        <f aca="false">IFERROR(INDEX(المرجع!$A$2:$A$19,MATCH($G134,المرجع!$B$2:$B$19,0)),"")</f>
        <v>البناء المؤسسي</v>
      </c>
      <c r="I134" s="20" t="s">
        <v>52</v>
      </c>
      <c r="J134" s="18" t="str">
        <f aca="false">IFERROR(INDEX(المرجع!$D$2:$D$19,MATCH($I134,المرجع!$E$2:$E$19,0)),"")</f>
        <v>الحوكمة</v>
      </c>
      <c r="K134" s="20" t="s">
        <v>100</v>
      </c>
      <c r="L134" s="21" t="str">
        <f aca="false">IFERROR(INDEX('نقاط التحقق'!$G$2:$G$31,MATCH($K134,'نقاط التحقق'!$A$2:$A$31,0))&amp;"","")</f>
        <v>قرار تشكيل معتمد للجان ذات العلاقة</v>
      </c>
      <c r="M134" s="17" t="n">
        <v>65</v>
      </c>
      <c r="N134" s="17" t="n">
        <v>100</v>
      </c>
      <c r="O134" s="19" t="str">
        <f aca="false">IF($M134="","غير مقيّمة",IF($M134&gt;المرجع!$K$3,"مستوفاة بشكل متقدم",IF($M134&lt;=المرجع!$K$2,"مستوفاة بشكل أولي","مستوفاة بشكل جزئي")))</f>
        <v>مستوفاة بشكل جزئي</v>
      </c>
      <c r="P134" s="22"/>
    </row>
    <row r="135" customFormat="false" ht="15" hidden="false" customHeight="true" outlineLevel="0" collapsed="false">
      <c r="A135" s="20" t="s">
        <v>949</v>
      </c>
      <c r="B135" s="20" t="s">
        <v>204</v>
      </c>
      <c r="C135" s="19" t="str">
        <f aca="false">IFERROR(INDEX('قائمة الوحدات'!$B$2:$B$41,MATCH($B135,'قائمة الوحدات'!$A$2:$A$41,0)),"")</f>
        <v>MIL</v>
      </c>
      <c r="D135" s="18" t="str">
        <f aca="false">IFERROR(INDEX('قائمة الوحدات'!$C$2:$C$41,MATCH($B135,'قائمة الوحدات'!$A$2:$A$41,0)),"")</f>
        <v>الجهاز العسكري</v>
      </c>
      <c r="E135" s="18" t="str">
        <f aca="false">IFERROR(INDEX('قائمة الوحدات'!$D$2:$D$41,MATCH($B135,'قائمة الوحدات'!$A$2:$A$41,0)),"")</f>
        <v>قيادة قوات الدفاع الجوي</v>
      </c>
      <c r="F135" s="18" t="str">
        <f aca="false">IFERROR(INDEX('قائمة الوحدات'!$F$2:$F$41,MATCH($B135,'قائمة الوحدات'!$A$2:$A$41,0)),"")</f>
        <v>قيادة قوات الدفاع الجوي</v>
      </c>
      <c r="G135" s="20" t="s">
        <v>62</v>
      </c>
      <c r="H135" s="18" t="str">
        <f aca="false">IFERROR(INDEX(المرجع!$A$2:$A$19,MATCH($G135,المرجع!$B$2:$B$19,0)),"")</f>
        <v>البناء المؤسسي</v>
      </c>
      <c r="I135" s="20" t="s">
        <v>55</v>
      </c>
      <c r="J135" s="18" t="str">
        <f aca="false">IFERROR(INDEX(المرجع!$D$2:$D$19,MATCH($I135,المرجع!$E$2:$E$19,0)),"")</f>
        <v>التنظيم</v>
      </c>
      <c r="K135" s="20" t="s">
        <v>102</v>
      </c>
      <c r="L135" s="21" t="str">
        <f aca="false">IFERROR(INDEX('نقاط التحقق'!$G$2:$G$31,MATCH($K135,'نقاط التحقق'!$A$2:$A$31,0))&amp;"","")</f>
        <v>هيكل تنظيمي معتمد من صاحب الصلاحية</v>
      </c>
      <c r="M135" s="17" t="n">
        <v>95</v>
      </c>
      <c r="N135" s="17" t="n">
        <v>95</v>
      </c>
      <c r="O135" s="19" t="str">
        <f aca="false">IF($M135="","غير مقيّمة",IF($M135&gt;المرجع!$K$3,"مستوفاة بشكل متقدم",IF($M135&lt;=المرجع!$K$2,"مستوفاة بشكل أولي","مستوفاة بشكل جزئي")))</f>
        <v>مستوفاة بشكل متقدم</v>
      </c>
      <c r="P135" s="22"/>
    </row>
    <row r="136" customFormat="false" ht="15" hidden="false" customHeight="true" outlineLevel="0" collapsed="false">
      <c r="A136" s="20" t="s">
        <v>950</v>
      </c>
      <c r="B136" s="20" t="s">
        <v>204</v>
      </c>
      <c r="C136" s="19" t="str">
        <f aca="false">IFERROR(INDEX('قائمة الوحدات'!$B$2:$B$41,MATCH($B136,'قائمة الوحدات'!$A$2:$A$41,0)),"")</f>
        <v>MIL</v>
      </c>
      <c r="D136" s="18" t="str">
        <f aca="false">IFERROR(INDEX('قائمة الوحدات'!$C$2:$C$41,MATCH($B136,'قائمة الوحدات'!$A$2:$A$41,0)),"")</f>
        <v>الجهاز العسكري</v>
      </c>
      <c r="E136" s="18" t="str">
        <f aca="false">IFERROR(INDEX('قائمة الوحدات'!$D$2:$D$41,MATCH($B136,'قائمة الوحدات'!$A$2:$A$41,0)),"")</f>
        <v>قيادة قوات الدفاع الجوي</v>
      </c>
      <c r="F136" s="18" t="str">
        <f aca="false">IFERROR(INDEX('قائمة الوحدات'!$F$2:$F$41,MATCH($B136,'قائمة الوحدات'!$A$2:$A$41,0)),"")</f>
        <v>قيادة قوات الدفاع الجوي</v>
      </c>
      <c r="G136" s="20" t="s">
        <v>62</v>
      </c>
      <c r="H136" s="18" t="str">
        <f aca="false">IFERROR(INDEX(المرجع!$A$2:$A$19,MATCH($G136,المرجع!$B$2:$B$19,0)),"")</f>
        <v>البناء المؤسسي</v>
      </c>
      <c r="I136" s="20" t="s">
        <v>55</v>
      </c>
      <c r="J136" s="18" t="str">
        <f aca="false">IFERROR(INDEX(المرجع!$D$2:$D$19,MATCH($I136,المرجع!$E$2:$E$19,0)),"")</f>
        <v>التنظيم</v>
      </c>
      <c r="K136" s="20" t="s">
        <v>104</v>
      </c>
      <c r="L136" s="21" t="str">
        <f aca="false">IFERROR(INDEX('نقاط التحقق'!$G$2:$G$31,MATCH($K136,'نقاط التحقق'!$A$2:$A$31,0))&amp;"","")</f>
        <v>هيكل تنظيمي منشأ على نظام القوى العاملة</v>
      </c>
      <c r="M136" s="17" t="n">
        <v>95</v>
      </c>
      <c r="N136" s="17" t="n">
        <v>100</v>
      </c>
      <c r="O136" s="19" t="str">
        <f aca="false">IF($M136="","غير مقيّمة",IF($M136&gt;المرجع!$K$3,"مستوفاة بشكل متقدم",IF($M136&lt;=المرجع!$K$2,"مستوفاة بشكل أولي","مستوفاة بشكل جزئي")))</f>
        <v>مستوفاة بشكل متقدم</v>
      </c>
      <c r="P136" s="22"/>
    </row>
    <row r="137" customFormat="false" ht="15" hidden="false" customHeight="true" outlineLevel="0" collapsed="false">
      <c r="A137" s="20" t="s">
        <v>951</v>
      </c>
      <c r="B137" s="20" t="s">
        <v>204</v>
      </c>
      <c r="C137" s="19" t="str">
        <f aca="false">IFERROR(INDEX('قائمة الوحدات'!$B$2:$B$41,MATCH($B137,'قائمة الوحدات'!$A$2:$A$41,0)),"")</f>
        <v>MIL</v>
      </c>
      <c r="D137" s="18" t="str">
        <f aca="false">IFERROR(INDEX('قائمة الوحدات'!$C$2:$C$41,MATCH($B137,'قائمة الوحدات'!$A$2:$A$41,0)),"")</f>
        <v>الجهاز العسكري</v>
      </c>
      <c r="E137" s="18" t="str">
        <f aca="false">IFERROR(INDEX('قائمة الوحدات'!$D$2:$D$41,MATCH($B137,'قائمة الوحدات'!$A$2:$A$41,0)),"")</f>
        <v>قيادة قوات الدفاع الجوي</v>
      </c>
      <c r="F137" s="18" t="str">
        <f aca="false">IFERROR(INDEX('قائمة الوحدات'!$F$2:$F$41,MATCH($B137,'قائمة الوحدات'!$A$2:$A$41,0)),"")</f>
        <v>قيادة قوات الدفاع الجوي</v>
      </c>
      <c r="G137" s="20" t="s">
        <v>62</v>
      </c>
      <c r="H137" s="18" t="str">
        <f aca="false">IFERROR(INDEX(المرجع!$A$2:$A$19,MATCH($G137,المرجع!$B$2:$B$19,0)),"")</f>
        <v>البناء المؤسسي</v>
      </c>
      <c r="I137" s="20" t="s">
        <v>55</v>
      </c>
      <c r="J137" s="18" t="str">
        <f aca="false">IFERROR(INDEX(المرجع!$D$2:$D$19,MATCH($I137,المرجع!$E$2:$E$19,0)),"")</f>
        <v>التنظيم</v>
      </c>
      <c r="K137" s="20" t="s">
        <v>106</v>
      </c>
      <c r="L137" s="21" t="str">
        <f aca="false">IFERROR(INDEX('نقاط التحقق'!$G$2:$G$31,MATCH($K137,'نقاط التحقق'!$A$2:$A$31,0))&amp;"","")</f>
        <v>الموظفون المحددون مسكّنون على الهيكل التنظيمي المستهدف</v>
      </c>
      <c r="M137" s="17" t="n">
        <v>95</v>
      </c>
      <c r="N137" s="17" t="n">
        <v>100</v>
      </c>
      <c r="O137" s="19" t="str">
        <f aca="false">IF($M137="","غير مقيّمة",IF($M137&gt;المرجع!$K$3,"مستوفاة بشكل متقدم",IF($M137&lt;=المرجع!$K$2,"مستوفاة بشكل أولي","مستوفاة بشكل جزئي")))</f>
        <v>مستوفاة بشكل متقدم</v>
      </c>
      <c r="P137" s="22"/>
    </row>
    <row r="138" customFormat="false" ht="15" hidden="false" customHeight="true" outlineLevel="0" collapsed="false">
      <c r="A138" s="20" t="s">
        <v>952</v>
      </c>
      <c r="B138" s="20" t="s">
        <v>204</v>
      </c>
      <c r="C138" s="19" t="str">
        <f aca="false">IFERROR(INDEX('قائمة الوحدات'!$B$2:$B$41,MATCH($B138,'قائمة الوحدات'!$A$2:$A$41,0)),"")</f>
        <v>MIL</v>
      </c>
      <c r="D138" s="18" t="str">
        <f aca="false">IFERROR(INDEX('قائمة الوحدات'!$C$2:$C$41,MATCH($B138,'قائمة الوحدات'!$A$2:$A$41,0)),"")</f>
        <v>الجهاز العسكري</v>
      </c>
      <c r="E138" s="18" t="str">
        <f aca="false">IFERROR(INDEX('قائمة الوحدات'!$D$2:$D$41,MATCH($B138,'قائمة الوحدات'!$A$2:$A$41,0)),"")</f>
        <v>قيادة قوات الدفاع الجوي</v>
      </c>
      <c r="F138" s="18" t="str">
        <f aca="false">IFERROR(INDEX('قائمة الوحدات'!$F$2:$F$41,MATCH($B138,'قائمة الوحدات'!$A$2:$A$41,0)),"")</f>
        <v>قيادة قوات الدفاع الجوي</v>
      </c>
      <c r="G138" s="20" t="s">
        <v>62</v>
      </c>
      <c r="H138" s="18" t="str">
        <f aca="false">IFERROR(INDEX(المرجع!$A$2:$A$19,MATCH($G138,المرجع!$B$2:$B$19,0)),"")</f>
        <v>البناء المؤسسي</v>
      </c>
      <c r="I138" s="20" t="s">
        <v>57</v>
      </c>
      <c r="J138" s="18" t="str">
        <f aca="false">IFERROR(INDEX(المرجع!$D$2:$D$19,MATCH($I138,المرجع!$E$2:$E$19,0)),"")</f>
        <v>الموارد</v>
      </c>
      <c r="K138" s="20" t="s">
        <v>108</v>
      </c>
      <c r="L138" s="21" t="str">
        <f aca="false">IFERROR(INDEX('نقاط التحقق'!$G$2:$G$31,MATCH($K138,'نقاط التحقق'!$A$2:$A$31,0))&amp;"","")</f>
        <v>مدير الوحدة التنظيمية والموظفون الرئيسيون معينون/ملحقون</v>
      </c>
      <c r="M138" s="17" t="n">
        <v>90</v>
      </c>
      <c r="N138" s="17" t="n">
        <v>100</v>
      </c>
      <c r="O138" s="19" t="str">
        <f aca="false">IF($M138="","غير مقيّمة",IF($M138&gt;المرجع!$K$3,"مستوفاة بشكل متقدم",IF($M138&lt;=المرجع!$K$2,"مستوفاة بشكل أولي","مستوفاة بشكل جزئي")))</f>
        <v>مستوفاة بشكل متقدم</v>
      </c>
      <c r="P138" s="22"/>
    </row>
    <row r="139" customFormat="false" ht="15" hidden="false" customHeight="true" outlineLevel="0" collapsed="false">
      <c r="A139" s="20" t="s">
        <v>953</v>
      </c>
      <c r="B139" s="20" t="s">
        <v>204</v>
      </c>
      <c r="C139" s="19" t="str">
        <f aca="false">IFERROR(INDEX('قائمة الوحدات'!$B$2:$B$41,MATCH($B139,'قائمة الوحدات'!$A$2:$A$41,0)),"")</f>
        <v>MIL</v>
      </c>
      <c r="D139" s="18" t="str">
        <f aca="false">IFERROR(INDEX('قائمة الوحدات'!$C$2:$C$41,MATCH($B139,'قائمة الوحدات'!$A$2:$A$41,0)),"")</f>
        <v>الجهاز العسكري</v>
      </c>
      <c r="E139" s="18" t="str">
        <f aca="false">IFERROR(INDEX('قائمة الوحدات'!$D$2:$D$41,MATCH($B139,'قائمة الوحدات'!$A$2:$A$41,0)),"")</f>
        <v>قيادة قوات الدفاع الجوي</v>
      </c>
      <c r="F139" s="18" t="str">
        <f aca="false">IFERROR(INDEX('قائمة الوحدات'!$F$2:$F$41,MATCH($B139,'قائمة الوحدات'!$A$2:$A$41,0)),"")</f>
        <v>قيادة قوات الدفاع الجوي</v>
      </c>
      <c r="G139" s="20" t="s">
        <v>62</v>
      </c>
      <c r="H139" s="18" t="str">
        <f aca="false">IFERROR(INDEX(المرجع!$A$2:$A$19,MATCH($G139,المرجع!$B$2:$B$19,0)),"")</f>
        <v>البناء المؤسسي</v>
      </c>
      <c r="I139" s="20" t="s">
        <v>57</v>
      </c>
      <c r="J139" s="18" t="str">
        <f aca="false">IFERROR(INDEX(المرجع!$D$2:$D$19,MATCH($I139,المرجع!$E$2:$E$19,0)),"")</f>
        <v>الموارد</v>
      </c>
      <c r="K139" s="20" t="s">
        <v>110</v>
      </c>
      <c r="L139" s="21" t="str">
        <f aca="false">IFERROR(INDEX('نقاط التحقق'!$G$2:$G$31,MATCH($K139,'نقاط التحقق'!$A$2:$A$31,0))&amp;"","")</f>
        <v>خطة توظيف وتدريب مستكملة</v>
      </c>
      <c r="M139" s="17" t="n">
        <v>75</v>
      </c>
      <c r="N139" s="17" t="n">
        <v>90</v>
      </c>
      <c r="O139" s="19" t="str">
        <f aca="false">IF($M139="","غير مقيّمة",IF($M139&gt;المرجع!$K$3,"مستوفاة بشكل متقدم",IF($M139&lt;=المرجع!$K$2,"مستوفاة بشكل أولي","مستوفاة بشكل جزئي")))</f>
        <v>مستوفاة بشكل متقدم</v>
      </c>
      <c r="P139" s="22"/>
    </row>
    <row r="140" customFormat="false" ht="15" hidden="false" customHeight="true" outlineLevel="0" collapsed="false">
      <c r="A140" s="20" t="s">
        <v>954</v>
      </c>
      <c r="B140" s="20" t="s">
        <v>204</v>
      </c>
      <c r="C140" s="19" t="str">
        <f aca="false">IFERROR(INDEX('قائمة الوحدات'!$B$2:$B$41,MATCH($B140,'قائمة الوحدات'!$A$2:$A$41,0)),"")</f>
        <v>MIL</v>
      </c>
      <c r="D140" s="18" t="str">
        <f aca="false">IFERROR(INDEX('قائمة الوحدات'!$C$2:$C$41,MATCH($B140,'قائمة الوحدات'!$A$2:$A$41,0)),"")</f>
        <v>الجهاز العسكري</v>
      </c>
      <c r="E140" s="18" t="str">
        <f aca="false">IFERROR(INDEX('قائمة الوحدات'!$D$2:$D$41,MATCH($B140,'قائمة الوحدات'!$A$2:$A$41,0)),"")</f>
        <v>قيادة قوات الدفاع الجوي</v>
      </c>
      <c r="F140" s="18" t="str">
        <f aca="false">IFERROR(INDEX('قائمة الوحدات'!$F$2:$F$41,MATCH($B140,'قائمة الوحدات'!$A$2:$A$41,0)),"")</f>
        <v>قيادة قوات الدفاع الجوي</v>
      </c>
      <c r="G140" s="20" t="s">
        <v>62</v>
      </c>
      <c r="H140" s="18" t="str">
        <f aca="false">IFERROR(INDEX(المرجع!$A$2:$A$19,MATCH($G140,المرجع!$B$2:$B$19,0)),"")</f>
        <v>البناء المؤسسي</v>
      </c>
      <c r="I140" s="20" t="s">
        <v>57</v>
      </c>
      <c r="J140" s="18" t="str">
        <f aca="false">IFERROR(INDEX(المرجع!$D$2:$D$19,MATCH($I140,المرجع!$E$2:$E$19,0)),"")</f>
        <v>الموارد</v>
      </c>
      <c r="K140" s="20" t="s">
        <v>112</v>
      </c>
      <c r="L140" s="21" t="str">
        <f aca="false">IFERROR(INDEX('نقاط التحقق'!$G$2:$G$31,MATCH($K140,'نقاط التحقق'!$A$2:$A$31,0))&amp;"","")</f>
        <v>وجود مساحات مكتبية كافية</v>
      </c>
      <c r="M140" s="17" t="n">
        <v>65</v>
      </c>
      <c r="N140" s="17" t="n">
        <v>100</v>
      </c>
      <c r="O140" s="19" t="str">
        <f aca="false">IF($M140="","غير مقيّمة",IF($M140&gt;المرجع!$K$3,"مستوفاة بشكل متقدم",IF($M140&lt;=المرجع!$K$2,"مستوفاة بشكل أولي","مستوفاة بشكل جزئي")))</f>
        <v>مستوفاة بشكل جزئي</v>
      </c>
      <c r="P140" s="22"/>
    </row>
    <row r="141" customFormat="false" ht="15" hidden="false" customHeight="true" outlineLevel="0" collapsed="false">
      <c r="A141" s="20" t="s">
        <v>955</v>
      </c>
      <c r="B141" s="20" t="s">
        <v>204</v>
      </c>
      <c r="C141" s="19" t="str">
        <f aca="false">IFERROR(INDEX('قائمة الوحدات'!$B$2:$B$41,MATCH($B141,'قائمة الوحدات'!$A$2:$A$41,0)),"")</f>
        <v>MIL</v>
      </c>
      <c r="D141" s="18" t="str">
        <f aca="false">IFERROR(INDEX('قائمة الوحدات'!$C$2:$C$41,MATCH($B141,'قائمة الوحدات'!$A$2:$A$41,0)),"")</f>
        <v>الجهاز العسكري</v>
      </c>
      <c r="E141" s="18" t="str">
        <f aca="false">IFERROR(INDEX('قائمة الوحدات'!$D$2:$D$41,MATCH($B141,'قائمة الوحدات'!$A$2:$A$41,0)),"")</f>
        <v>قيادة قوات الدفاع الجوي</v>
      </c>
      <c r="F141" s="18" t="str">
        <f aca="false">IFERROR(INDEX('قائمة الوحدات'!$F$2:$F$41,MATCH($B141,'قائمة الوحدات'!$A$2:$A$41,0)),"")</f>
        <v>قيادة قوات الدفاع الجوي</v>
      </c>
      <c r="G141" s="20" t="s">
        <v>62</v>
      </c>
      <c r="H141" s="18" t="str">
        <f aca="false">IFERROR(INDEX(المرجع!$A$2:$A$19,MATCH($G141,المرجع!$B$2:$B$19,0)),"")</f>
        <v>البناء المؤسسي</v>
      </c>
      <c r="I141" s="20" t="s">
        <v>57</v>
      </c>
      <c r="J141" s="18" t="str">
        <f aca="false">IFERROR(INDEX(المرجع!$D$2:$D$19,MATCH($I141,المرجع!$E$2:$E$19,0)),"")</f>
        <v>الموارد</v>
      </c>
      <c r="K141" s="20" t="s">
        <v>114</v>
      </c>
      <c r="L141" s="21" t="str">
        <f aca="false">IFERROR(INDEX('نقاط التحقق'!$G$2:$G$31,MATCH($K141,'نقاط التحقق'!$A$2:$A$31,0))&amp;"","")</f>
        <v>وجود الاحتياجات التقنية الأساسية</v>
      </c>
      <c r="M141" s="17" t="n">
        <v>65</v>
      </c>
      <c r="N141" s="17" t="n">
        <v>85</v>
      </c>
      <c r="O141" s="19" t="str">
        <f aca="false">IF($M141="","غير مقيّمة",IF($M141&gt;المرجع!$K$3,"مستوفاة بشكل متقدم",IF($M141&lt;=المرجع!$K$2,"مستوفاة بشكل أولي","مستوفاة بشكل جزئي")))</f>
        <v>مستوفاة بشكل جزئي</v>
      </c>
      <c r="P141" s="22"/>
    </row>
    <row r="142" customFormat="false" ht="15" hidden="false" customHeight="true" outlineLevel="0" collapsed="false">
      <c r="A142" s="20" t="s">
        <v>956</v>
      </c>
      <c r="B142" s="20" t="s">
        <v>204</v>
      </c>
      <c r="C142" s="19" t="str">
        <f aca="false">IFERROR(INDEX('قائمة الوحدات'!$B$2:$B$41,MATCH($B142,'قائمة الوحدات'!$A$2:$A$41,0)),"")</f>
        <v>MIL</v>
      </c>
      <c r="D142" s="18" t="str">
        <f aca="false">IFERROR(INDEX('قائمة الوحدات'!$C$2:$C$41,MATCH($B142,'قائمة الوحدات'!$A$2:$A$41,0)),"")</f>
        <v>الجهاز العسكري</v>
      </c>
      <c r="E142" s="18" t="str">
        <f aca="false">IFERROR(INDEX('قائمة الوحدات'!$D$2:$D$41,MATCH($B142,'قائمة الوحدات'!$A$2:$A$41,0)),"")</f>
        <v>قيادة قوات الدفاع الجوي</v>
      </c>
      <c r="F142" s="18" t="str">
        <f aca="false">IFERROR(INDEX('قائمة الوحدات'!$F$2:$F$41,MATCH($B142,'قائمة الوحدات'!$A$2:$A$41,0)),"")</f>
        <v>قيادة قوات الدفاع الجوي</v>
      </c>
      <c r="G142" s="20" t="s">
        <v>62</v>
      </c>
      <c r="H142" s="18" t="str">
        <f aca="false">IFERROR(INDEX(المرجع!$A$2:$A$19,MATCH($G142,المرجع!$B$2:$B$19,0)),"")</f>
        <v>البناء المؤسسي</v>
      </c>
      <c r="I142" s="20" t="s">
        <v>60</v>
      </c>
      <c r="J142" s="18" t="str">
        <f aca="false">IFERROR(INDEX(المرجع!$D$2:$D$19,MATCH($I142,المرجع!$E$2:$E$19,0)),"")</f>
        <v>الإجراءات</v>
      </c>
      <c r="K142" s="20" t="s">
        <v>116</v>
      </c>
      <c r="L142" s="21" t="str">
        <f aca="false">IFERROR(INDEX('نقاط التحقق'!$G$2:$G$31,MATCH($K142,'نقاط التحقق'!$A$2:$A$31,0))&amp;"","")</f>
        <v>إجراءات معتمدة للوحدة التنظيمية</v>
      </c>
      <c r="M142" s="17" t="n">
        <v>80</v>
      </c>
      <c r="N142" s="17" t="n">
        <v>100</v>
      </c>
      <c r="O142" s="19" t="str">
        <f aca="false">IF($M142="","غير مقيّمة",IF($M142&gt;المرجع!$K$3,"مستوفاة بشكل متقدم",IF($M142&lt;=المرجع!$K$2,"مستوفاة بشكل أولي","مستوفاة بشكل جزئي")))</f>
        <v>مستوفاة بشكل متقدم</v>
      </c>
      <c r="P142" s="22"/>
    </row>
    <row r="143" customFormat="false" ht="15" hidden="false" customHeight="true" outlineLevel="0" collapsed="false">
      <c r="A143" s="20" t="s">
        <v>957</v>
      </c>
      <c r="B143" s="20" t="s">
        <v>204</v>
      </c>
      <c r="C143" s="19" t="str">
        <f aca="false">IFERROR(INDEX('قائمة الوحدات'!$B$2:$B$41,MATCH($B143,'قائمة الوحدات'!$A$2:$A$41,0)),"")</f>
        <v>MIL</v>
      </c>
      <c r="D143" s="18" t="str">
        <f aca="false">IFERROR(INDEX('قائمة الوحدات'!$C$2:$C$41,MATCH($B143,'قائمة الوحدات'!$A$2:$A$41,0)),"")</f>
        <v>الجهاز العسكري</v>
      </c>
      <c r="E143" s="18" t="str">
        <f aca="false">IFERROR(INDEX('قائمة الوحدات'!$D$2:$D$41,MATCH($B143,'قائمة الوحدات'!$A$2:$A$41,0)),"")</f>
        <v>قيادة قوات الدفاع الجوي</v>
      </c>
      <c r="F143" s="18" t="str">
        <f aca="false">IFERROR(INDEX('قائمة الوحدات'!$F$2:$F$41,MATCH($B143,'قائمة الوحدات'!$A$2:$A$41,0)),"")</f>
        <v>قيادة قوات الدفاع الجوي</v>
      </c>
      <c r="G143" s="20" t="s">
        <v>62</v>
      </c>
      <c r="H143" s="18" t="str">
        <f aca="false">IFERROR(INDEX(المرجع!$A$2:$A$19,MATCH($G143,المرجع!$B$2:$B$19,0)),"")</f>
        <v>البناء المؤسسي</v>
      </c>
      <c r="I143" s="20" t="s">
        <v>69</v>
      </c>
      <c r="J143" s="18" t="str">
        <f aca="false">IFERROR(INDEX(المرجع!$D$2:$D$19,MATCH($I143,المرجع!$E$2:$E$19,0)),"")</f>
        <v>إنتاج المخرج الأول</v>
      </c>
      <c r="K143" s="20" t="s">
        <v>118</v>
      </c>
      <c r="L143" s="21" t="str">
        <f aca="false">IFERROR(INDEX('نقاط التحقق'!$G$2:$G$31,MATCH($K143,'نقاط التحقق'!$A$2:$A$31,0))&amp;"","")</f>
        <v>إنتاج المخرج الأول من قبل الوحدة التنظيمية</v>
      </c>
      <c r="M143" s="17" t="n">
        <v>84</v>
      </c>
      <c r="N143" s="17" t="n">
        <v>90</v>
      </c>
      <c r="O143" s="19" t="str">
        <f aca="false">IF($M143="","غير مقيّمة",IF($M143&gt;المرجع!$K$3,"مستوفاة بشكل متقدم",IF($M143&lt;=المرجع!$K$2,"مستوفاة بشكل أولي","مستوفاة بشكل جزئي")))</f>
        <v>مستوفاة بشكل متقدم</v>
      </c>
      <c r="P143" s="22"/>
    </row>
    <row r="144" customFormat="false" ht="15" hidden="false" customHeight="true" outlineLevel="0" collapsed="false">
      <c r="A144" s="20" t="s">
        <v>958</v>
      </c>
      <c r="B144" s="20" t="s">
        <v>204</v>
      </c>
      <c r="C144" s="19" t="str">
        <f aca="false">IFERROR(INDEX('قائمة الوحدات'!$B$2:$B$41,MATCH($B144,'قائمة الوحدات'!$A$2:$A$41,0)),"")</f>
        <v>MIL</v>
      </c>
      <c r="D144" s="18" t="str">
        <f aca="false">IFERROR(INDEX('قائمة الوحدات'!$C$2:$C$41,MATCH($B144,'قائمة الوحدات'!$A$2:$A$41,0)),"")</f>
        <v>الجهاز العسكري</v>
      </c>
      <c r="E144" s="18" t="str">
        <f aca="false">IFERROR(INDEX('قائمة الوحدات'!$D$2:$D$41,MATCH($B144,'قائمة الوحدات'!$A$2:$A$41,0)),"")</f>
        <v>قيادة قوات الدفاع الجوي</v>
      </c>
      <c r="F144" s="18" t="str">
        <f aca="false">IFERROR(INDEX('قائمة الوحدات'!$F$2:$F$41,MATCH($B144,'قائمة الوحدات'!$A$2:$A$41,0)),"")</f>
        <v>قيادة قوات الدفاع الجوي</v>
      </c>
      <c r="G144" s="20" t="s">
        <v>66</v>
      </c>
      <c r="H144" s="18" t="str">
        <f aca="false">IFERROR(INDEX(المرجع!$A$2:$A$19,MATCH($G144,المرجع!$B$2:$B$19,0)),"")</f>
        <v>التشغيل</v>
      </c>
      <c r="I144" s="20" t="s">
        <v>49</v>
      </c>
      <c r="J144" s="18" t="str">
        <f aca="false">IFERROR(INDEX(المرجع!$D$2:$D$19,MATCH($I144,المرجع!$E$2:$E$19,0)),"")</f>
        <v>الأهداف ومؤشرات الأداء</v>
      </c>
      <c r="K144" s="20" t="s">
        <v>120</v>
      </c>
      <c r="L144" s="21" t="str">
        <f aca="false">IFERROR(INDEX('نقاط التحقق'!$G$2:$G$31,MATCH($K144,'نقاط التحقق'!$A$2:$A$31,0))&amp;"","")</f>
        <v>تحرك مؤشرات الأداء التشغيلي للوحدة التنظيمية بشكل إيجابي</v>
      </c>
      <c r="M144" s="17" t="n">
        <v>30</v>
      </c>
      <c r="N144" s="17" t="n">
        <v>80</v>
      </c>
      <c r="O144" s="19" t="str">
        <f aca="false">IF($M144="","غير مقيّمة",IF($M144&gt;المرجع!$K$3,"مستوفاة بشكل متقدم",IF($M144&lt;=المرجع!$K$2,"مستوفاة بشكل أولي","مستوفاة بشكل جزئي")))</f>
        <v>مستوفاة بشكل أولي</v>
      </c>
      <c r="P144" s="22"/>
    </row>
    <row r="145" customFormat="false" ht="15" hidden="false" customHeight="true" outlineLevel="0" collapsed="false">
      <c r="A145" s="20" t="s">
        <v>959</v>
      </c>
      <c r="B145" s="20" t="s">
        <v>204</v>
      </c>
      <c r="C145" s="19" t="str">
        <f aca="false">IFERROR(INDEX('قائمة الوحدات'!$B$2:$B$41,MATCH($B145,'قائمة الوحدات'!$A$2:$A$41,0)),"")</f>
        <v>MIL</v>
      </c>
      <c r="D145" s="18" t="str">
        <f aca="false">IFERROR(INDEX('قائمة الوحدات'!$C$2:$C$41,MATCH($B145,'قائمة الوحدات'!$A$2:$A$41,0)),"")</f>
        <v>الجهاز العسكري</v>
      </c>
      <c r="E145" s="18" t="str">
        <f aca="false">IFERROR(INDEX('قائمة الوحدات'!$D$2:$D$41,MATCH($B145,'قائمة الوحدات'!$A$2:$A$41,0)),"")</f>
        <v>قيادة قوات الدفاع الجوي</v>
      </c>
      <c r="F145" s="18" t="str">
        <f aca="false">IFERROR(INDEX('قائمة الوحدات'!$F$2:$F$41,MATCH($B145,'قائمة الوحدات'!$A$2:$A$41,0)),"")</f>
        <v>قيادة قوات الدفاع الجوي</v>
      </c>
      <c r="G145" s="20" t="s">
        <v>66</v>
      </c>
      <c r="H145" s="18" t="str">
        <f aca="false">IFERROR(INDEX(المرجع!$A$2:$A$19,MATCH($G145,المرجع!$B$2:$B$19,0)),"")</f>
        <v>التشغيل</v>
      </c>
      <c r="I145" s="20" t="s">
        <v>49</v>
      </c>
      <c r="J145" s="18" t="str">
        <f aca="false">IFERROR(INDEX(المرجع!$D$2:$D$19,MATCH($I145,المرجع!$E$2:$E$19,0)),"")</f>
        <v>الأهداف ومؤشرات الأداء</v>
      </c>
      <c r="K145" s="20" t="s">
        <v>122</v>
      </c>
      <c r="L145" s="21" t="str">
        <f aca="false">IFERROR(INDEX('نقاط التحقق'!$G$2:$G$31,MATCH($K145,'نقاط التحقق'!$A$2:$A$31,0))&amp;"","")</f>
        <v>خطة سنوية معتمدة للوحدة التنظيمية</v>
      </c>
      <c r="M145" s="17" t="n">
        <v>25</v>
      </c>
      <c r="N145" s="17" t="n">
        <v>95</v>
      </c>
      <c r="O145" s="19" t="str">
        <f aca="false">IF($M145="","غير مقيّمة",IF($M145&gt;المرجع!$K$3,"مستوفاة بشكل متقدم",IF($M145&lt;=المرجع!$K$2,"مستوفاة بشكل أولي","مستوفاة بشكل جزئي")))</f>
        <v>مستوفاة بشكل أولي</v>
      </c>
      <c r="P145" s="22"/>
    </row>
    <row r="146" customFormat="false" ht="15" hidden="false" customHeight="true" outlineLevel="0" collapsed="false">
      <c r="A146" s="20" t="s">
        <v>960</v>
      </c>
      <c r="B146" s="20" t="s">
        <v>204</v>
      </c>
      <c r="C146" s="19" t="str">
        <f aca="false">IFERROR(INDEX('قائمة الوحدات'!$B$2:$B$41,MATCH($B146,'قائمة الوحدات'!$A$2:$A$41,0)),"")</f>
        <v>MIL</v>
      </c>
      <c r="D146" s="18" t="str">
        <f aca="false">IFERROR(INDEX('قائمة الوحدات'!$C$2:$C$41,MATCH($B146,'قائمة الوحدات'!$A$2:$A$41,0)),"")</f>
        <v>الجهاز العسكري</v>
      </c>
      <c r="E146" s="18" t="str">
        <f aca="false">IFERROR(INDEX('قائمة الوحدات'!$D$2:$D$41,MATCH($B146,'قائمة الوحدات'!$A$2:$A$41,0)),"")</f>
        <v>قيادة قوات الدفاع الجوي</v>
      </c>
      <c r="F146" s="18" t="str">
        <f aca="false">IFERROR(INDEX('قائمة الوحدات'!$F$2:$F$41,MATCH($B146,'قائمة الوحدات'!$A$2:$A$41,0)),"")</f>
        <v>قيادة قوات الدفاع الجوي</v>
      </c>
      <c r="G146" s="20" t="s">
        <v>66</v>
      </c>
      <c r="H146" s="18" t="str">
        <f aca="false">IFERROR(INDEX(المرجع!$A$2:$A$19,MATCH($G146,المرجع!$B$2:$B$19,0)),"")</f>
        <v>التشغيل</v>
      </c>
      <c r="I146" s="20" t="s">
        <v>52</v>
      </c>
      <c r="J146" s="18" t="str">
        <f aca="false">IFERROR(INDEX(المرجع!$D$2:$D$19,MATCH($I146,المرجع!$E$2:$E$19,0)),"")</f>
        <v>الحوكمة</v>
      </c>
      <c r="K146" s="20" t="s">
        <v>124</v>
      </c>
      <c r="L146" s="21" t="str">
        <f aca="false">IFERROR(INDEX('نقاط التحقق'!$G$2:$G$31,MATCH($K146,'نقاط التحقق'!$A$2:$A$31,0))&amp;"","")</f>
        <v>محاضر لجان موثقة</v>
      </c>
      <c r="M146" s="17" t="n">
        <v>30</v>
      </c>
      <c r="N146" s="17" t="n">
        <v>85</v>
      </c>
      <c r="O146" s="19" t="str">
        <f aca="false">IF($M146="","غير مقيّمة",IF($M146&gt;المرجع!$K$3,"مستوفاة بشكل متقدم",IF($M146&lt;=المرجع!$K$2,"مستوفاة بشكل أولي","مستوفاة بشكل جزئي")))</f>
        <v>مستوفاة بشكل أولي</v>
      </c>
      <c r="P146" s="22"/>
    </row>
    <row r="147" customFormat="false" ht="15" hidden="false" customHeight="true" outlineLevel="0" collapsed="false">
      <c r="A147" s="20" t="s">
        <v>961</v>
      </c>
      <c r="B147" s="20" t="s">
        <v>204</v>
      </c>
      <c r="C147" s="19" t="str">
        <f aca="false">IFERROR(INDEX('قائمة الوحدات'!$B$2:$B$41,MATCH($B147,'قائمة الوحدات'!$A$2:$A$41,0)),"")</f>
        <v>MIL</v>
      </c>
      <c r="D147" s="18" t="str">
        <f aca="false">IFERROR(INDEX('قائمة الوحدات'!$C$2:$C$41,MATCH($B147,'قائمة الوحدات'!$A$2:$A$41,0)),"")</f>
        <v>الجهاز العسكري</v>
      </c>
      <c r="E147" s="18" t="str">
        <f aca="false">IFERROR(INDEX('قائمة الوحدات'!$D$2:$D$41,MATCH($B147,'قائمة الوحدات'!$A$2:$A$41,0)),"")</f>
        <v>قيادة قوات الدفاع الجوي</v>
      </c>
      <c r="F147" s="18" t="str">
        <f aca="false">IFERROR(INDEX('قائمة الوحدات'!$F$2:$F$41,MATCH($B147,'قائمة الوحدات'!$A$2:$A$41,0)),"")</f>
        <v>قيادة قوات الدفاع الجوي</v>
      </c>
      <c r="G147" s="20" t="s">
        <v>66</v>
      </c>
      <c r="H147" s="18" t="str">
        <f aca="false">IFERROR(INDEX(المرجع!$A$2:$A$19,MATCH($G147,المرجع!$B$2:$B$19,0)),"")</f>
        <v>التشغيل</v>
      </c>
      <c r="I147" s="20" t="s">
        <v>52</v>
      </c>
      <c r="J147" s="18" t="str">
        <f aca="false">IFERROR(INDEX(المرجع!$D$2:$D$19,MATCH($I147,المرجع!$E$2:$E$19,0)),"")</f>
        <v>الحوكمة</v>
      </c>
      <c r="K147" s="20" t="s">
        <v>126</v>
      </c>
      <c r="L147" s="21" t="str">
        <f aca="false">IFERROR(INDEX('نقاط التحقق'!$G$2:$G$31,MATCH($K147,'نقاط التحقق'!$A$2:$A$31,0))&amp;"","")</f>
        <v>نشر السياسات التي تملكها الوحدة التنظيمية</v>
      </c>
      <c r="M147" s="17" t="n">
        <v>10</v>
      </c>
      <c r="N147" s="17" t="n">
        <v>85</v>
      </c>
      <c r="O147" s="19" t="str">
        <f aca="false">IF($M147="","غير مقيّمة",IF($M147&gt;المرجع!$K$3,"مستوفاة بشكل متقدم",IF($M147&lt;=المرجع!$K$2,"مستوفاة بشكل أولي","مستوفاة بشكل جزئي")))</f>
        <v>مستوفاة بشكل أولي</v>
      </c>
      <c r="P147" s="22"/>
    </row>
    <row r="148" customFormat="false" ht="15" hidden="false" customHeight="true" outlineLevel="0" collapsed="false">
      <c r="A148" s="20" t="s">
        <v>962</v>
      </c>
      <c r="B148" s="20" t="s">
        <v>204</v>
      </c>
      <c r="C148" s="19" t="str">
        <f aca="false">IFERROR(INDEX('قائمة الوحدات'!$B$2:$B$41,MATCH($B148,'قائمة الوحدات'!$A$2:$A$41,0)),"")</f>
        <v>MIL</v>
      </c>
      <c r="D148" s="18" t="str">
        <f aca="false">IFERROR(INDEX('قائمة الوحدات'!$C$2:$C$41,MATCH($B148,'قائمة الوحدات'!$A$2:$A$41,0)),"")</f>
        <v>الجهاز العسكري</v>
      </c>
      <c r="E148" s="18" t="str">
        <f aca="false">IFERROR(INDEX('قائمة الوحدات'!$D$2:$D$41,MATCH($B148,'قائمة الوحدات'!$A$2:$A$41,0)),"")</f>
        <v>قيادة قوات الدفاع الجوي</v>
      </c>
      <c r="F148" s="18" t="str">
        <f aca="false">IFERROR(INDEX('قائمة الوحدات'!$F$2:$F$41,MATCH($B148,'قائمة الوحدات'!$A$2:$A$41,0)),"")</f>
        <v>قيادة قوات الدفاع الجوي</v>
      </c>
      <c r="G148" s="20" t="s">
        <v>66</v>
      </c>
      <c r="H148" s="18" t="str">
        <f aca="false">IFERROR(INDEX(المرجع!$A$2:$A$19,MATCH($G148,المرجع!$B$2:$B$19,0)),"")</f>
        <v>التشغيل</v>
      </c>
      <c r="I148" s="20" t="s">
        <v>52</v>
      </c>
      <c r="J148" s="18" t="str">
        <f aca="false">IFERROR(INDEX(المرجع!$D$2:$D$19,MATCH($I148,المرجع!$E$2:$E$19,0)),"")</f>
        <v>الحوكمة</v>
      </c>
      <c r="K148" s="20" t="s">
        <v>128</v>
      </c>
      <c r="L148" s="21" t="str">
        <f aca="false">IFERROR(INDEX('نقاط التحقق'!$G$2:$G$31,MATCH($K148,'نقاط التحقق'!$A$2:$A$31,0))&amp;"","")</f>
        <v>اتخاذ القرارات في نطاق الصلاحيات (وجود شواهد)</v>
      </c>
      <c r="M148" s="17" t="n">
        <v>15</v>
      </c>
      <c r="N148" s="17" t="n">
        <v>90</v>
      </c>
      <c r="O148" s="19" t="str">
        <f aca="false">IF($M148="","غير مقيّمة",IF($M148&gt;المرجع!$K$3,"مستوفاة بشكل متقدم",IF($M148&lt;=المرجع!$K$2,"مستوفاة بشكل أولي","مستوفاة بشكل جزئي")))</f>
        <v>مستوفاة بشكل أولي</v>
      </c>
      <c r="P148" s="22"/>
    </row>
    <row r="149" customFormat="false" ht="15" hidden="false" customHeight="true" outlineLevel="0" collapsed="false">
      <c r="A149" s="20" t="s">
        <v>963</v>
      </c>
      <c r="B149" s="20" t="s">
        <v>204</v>
      </c>
      <c r="C149" s="19" t="str">
        <f aca="false">IFERROR(INDEX('قائمة الوحدات'!$B$2:$B$41,MATCH($B149,'قائمة الوحدات'!$A$2:$A$41,0)),"")</f>
        <v>MIL</v>
      </c>
      <c r="D149" s="18" t="str">
        <f aca="false">IFERROR(INDEX('قائمة الوحدات'!$C$2:$C$41,MATCH($B149,'قائمة الوحدات'!$A$2:$A$41,0)),"")</f>
        <v>الجهاز العسكري</v>
      </c>
      <c r="E149" s="18" t="str">
        <f aca="false">IFERROR(INDEX('قائمة الوحدات'!$D$2:$D$41,MATCH($B149,'قائمة الوحدات'!$A$2:$A$41,0)),"")</f>
        <v>قيادة قوات الدفاع الجوي</v>
      </c>
      <c r="F149" s="18" t="str">
        <f aca="false">IFERROR(INDEX('قائمة الوحدات'!$F$2:$F$41,MATCH($B149,'قائمة الوحدات'!$A$2:$A$41,0)),"")</f>
        <v>قيادة قوات الدفاع الجوي</v>
      </c>
      <c r="G149" s="20" t="s">
        <v>66</v>
      </c>
      <c r="H149" s="18" t="str">
        <f aca="false">IFERROR(INDEX(المرجع!$A$2:$A$19,MATCH($G149,المرجع!$B$2:$B$19,0)),"")</f>
        <v>التشغيل</v>
      </c>
      <c r="I149" s="20" t="s">
        <v>57</v>
      </c>
      <c r="J149" s="18" t="str">
        <f aca="false">IFERROR(INDEX(المرجع!$D$2:$D$19,MATCH($I149,المرجع!$E$2:$E$19,0)),"")</f>
        <v>الموارد</v>
      </c>
      <c r="K149" s="20" t="s">
        <v>130</v>
      </c>
      <c r="L149" s="21" t="str">
        <f aca="false">IFERROR(INDEX('نقاط التحقق'!$G$2:$G$31,MATCH($K149,'نقاط التحقق'!$A$2:$A$31,0))&amp;"","")</f>
        <v>موارد مستكملة للحد الأدنى الذي يغطي كافة محاور سلسلة القيمة</v>
      </c>
      <c r="M149" s="17" t="n">
        <v>49</v>
      </c>
      <c r="N149" s="17" t="n">
        <v>95</v>
      </c>
      <c r="O149" s="19" t="str">
        <f aca="false">IF($M149="","غير مقيّمة",IF($M149&gt;المرجع!$K$3,"مستوفاة بشكل متقدم",IF($M149&lt;=المرجع!$K$2,"مستوفاة بشكل أولي","مستوفاة بشكل جزئي")))</f>
        <v>مستوفاة بشكل جزئي</v>
      </c>
      <c r="P149" s="22"/>
    </row>
    <row r="150" customFormat="false" ht="15" hidden="false" customHeight="true" outlineLevel="0" collapsed="false">
      <c r="A150" s="20" t="s">
        <v>964</v>
      </c>
      <c r="B150" s="20" t="s">
        <v>204</v>
      </c>
      <c r="C150" s="19" t="str">
        <f aca="false">IFERROR(INDEX('قائمة الوحدات'!$B$2:$B$41,MATCH($B150,'قائمة الوحدات'!$A$2:$A$41,0)),"")</f>
        <v>MIL</v>
      </c>
      <c r="D150" s="18" t="str">
        <f aca="false">IFERROR(INDEX('قائمة الوحدات'!$C$2:$C$41,MATCH($B150,'قائمة الوحدات'!$A$2:$A$41,0)),"")</f>
        <v>الجهاز العسكري</v>
      </c>
      <c r="E150" s="18" t="str">
        <f aca="false">IFERROR(INDEX('قائمة الوحدات'!$D$2:$D$41,MATCH($B150,'قائمة الوحدات'!$A$2:$A$41,0)),"")</f>
        <v>قيادة قوات الدفاع الجوي</v>
      </c>
      <c r="F150" s="18" t="str">
        <f aca="false">IFERROR(INDEX('قائمة الوحدات'!$F$2:$F$41,MATCH($B150,'قائمة الوحدات'!$A$2:$A$41,0)),"")</f>
        <v>قيادة قوات الدفاع الجوي</v>
      </c>
      <c r="G150" s="20" t="s">
        <v>66</v>
      </c>
      <c r="H150" s="18" t="str">
        <f aca="false">IFERROR(INDEX(المرجع!$A$2:$A$19,MATCH($G150,المرجع!$B$2:$B$19,0)),"")</f>
        <v>التشغيل</v>
      </c>
      <c r="I150" s="20" t="s">
        <v>60</v>
      </c>
      <c r="J150" s="18" t="str">
        <f aca="false">IFERROR(INDEX(المرجع!$D$2:$D$19,MATCH($I150,المرجع!$E$2:$E$19,0)),"")</f>
        <v>الإجراءات</v>
      </c>
      <c r="K150" s="20" t="s">
        <v>132</v>
      </c>
      <c r="L150" s="21" t="str">
        <f aca="false">IFERROR(INDEX('نقاط التحقق'!$G$2:$G$31,MATCH($K150,'نقاط التحقق'!$A$2:$A$31,0))&amp;"","")</f>
        <v>تحقيق تقييم "مطبق بشكل كامل" من منهجية تقييم فعالية الإجراءات</v>
      </c>
      <c r="M150" s="17" t="n">
        <v>24</v>
      </c>
      <c r="N150" s="17" t="n">
        <v>80</v>
      </c>
      <c r="O150" s="19" t="str">
        <f aca="false">IF($M150="","غير مقيّمة",IF($M150&gt;المرجع!$K$3,"مستوفاة بشكل متقدم",IF($M150&lt;=المرجع!$K$2,"مستوفاة بشكل أولي","مستوفاة بشكل جزئي")))</f>
        <v>مستوفاة بشكل أولي</v>
      </c>
      <c r="P150" s="22"/>
    </row>
    <row r="151" customFormat="false" ht="15" hidden="false" customHeight="true" outlineLevel="0" collapsed="false">
      <c r="A151" s="20" t="s">
        <v>965</v>
      </c>
      <c r="B151" s="20" t="s">
        <v>204</v>
      </c>
      <c r="C151" s="19" t="str">
        <f aca="false">IFERROR(INDEX('قائمة الوحدات'!$B$2:$B$41,MATCH($B151,'قائمة الوحدات'!$A$2:$A$41,0)),"")</f>
        <v>MIL</v>
      </c>
      <c r="D151" s="18" t="str">
        <f aca="false">IFERROR(INDEX('قائمة الوحدات'!$C$2:$C$41,MATCH($B151,'قائمة الوحدات'!$A$2:$A$41,0)),"")</f>
        <v>الجهاز العسكري</v>
      </c>
      <c r="E151" s="18" t="str">
        <f aca="false">IFERROR(INDEX('قائمة الوحدات'!$D$2:$D$41,MATCH($B151,'قائمة الوحدات'!$A$2:$A$41,0)),"")</f>
        <v>قيادة قوات الدفاع الجوي</v>
      </c>
      <c r="F151" s="18" t="str">
        <f aca="false">IFERROR(INDEX('قائمة الوحدات'!$F$2:$F$41,MATCH($B151,'قائمة الوحدات'!$A$2:$A$41,0)),"")</f>
        <v>قيادة قوات الدفاع الجوي</v>
      </c>
      <c r="G151" s="20" t="s">
        <v>66</v>
      </c>
      <c r="H151" s="18" t="str">
        <f aca="false">IFERROR(INDEX(المرجع!$A$2:$A$19,MATCH($G151,المرجع!$B$2:$B$19,0)),"")</f>
        <v>التشغيل</v>
      </c>
      <c r="I151" s="20" t="s">
        <v>71</v>
      </c>
      <c r="J151" s="18" t="str">
        <f aca="false">IFERROR(INDEX(المرجع!$D$2:$D$19,MATCH($I151,المرجع!$E$2:$E$19,0)),"")</f>
        <v>اكتمال المخرجات المستهدفة</v>
      </c>
      <c r="K151" s="20" t="s">
        <v>134</v>
      </c>
      <c r="L151" s="21" t="str">
        <f aca="false">IFERROR(INDEX('نقاط التحقق'!$G$2:$G$31,MATCH($K151,'نقاط التحقق'!$A$2:$A$31,0))&amp;"","")</f>
        <v>اكتمال مخرجات النموذج التشغيلي المستهدف للوحدة التنظيمية</v>
      </c>
      <c r="M151" s="17" t="n">
        <v>59</v>
      </c>
      <c r="N151" s="17" t="n">
        <v>90</v>
      </c>
      <c r="O151" s="19" t="str">
        <f aca="false">IF($M151="","غير مقيّمة",IF($M151&gt;المرجع!$K$3,"مستوفاة بشكل متقدم",IF($M151&lt;=المرجع!$K$2,"مستوفاة بشكل أولي","مستوفاة بشكل جزئي")))</f>
        <v>مستوفاة بشكل جزئي</v>
      </c>
      <c r="P151" s="22"/>
    </row>
    <row r="152" customFormat="false" ht="15" hidden="false" customHeight="true" outlineLevel="0" collapsed="false">
      <c r="A152" s="20" t="s">
        <v>966</v>
      </c>
      <c r="B152" s="20" t="s">
        <v>206</v>
      </c>
      <c r="C152" s="19" t="str">
        <f aca="false">IFERROR(INDEX('قائمة الوحدات'!$B$2:$B$41,MATCH($B152,'قائمة الوحدات'!$A$2:$A$41,0)),"")</f>
        <v>MIL</v>
      </c>
      <c r="D152" s="18" t="str">
        <f aca="false">IFERROR(INDEX('قائمة الوحدات'!$C$2:$C$41,MATCH($B152,'قائمة الوحدات'!$A$2:$A$41,0)),"")</f>
        <v>الجهاز العسكري</v>
      </c>
      <c r="E152" s="18" t="str">
        <f aca="false">IFERROR(INDEX('قائمة الوحدات'!$D$2:$D$41,MATCH($B152,'قائمة الوحدات'!$A$2:$A$41,0)),"")</f>
        <v>قيادة القوات الاستراتيجية</v>
      </c>
      <c r="F152" s="18" t="str">
        <f aca="false">IFERROR(INDEX('قائمة الوحدات'!$F$2:$F$41,MATCH($B152,'قائمة الوحدات'!$A$2:$A$41,0)),"")</f>
        <v>قيادة القوات الاستراتيجية</v>
      </c>
      <c r="G152" s="20" t="s">
        <v>44</v>
      </c>
      <c r="H152" s="18" t="str">
        <f aca="false">IFERROR(INDEX(المرجع!$A$2:$A$19,MATCH($G152,المرجع!$B$2:$B$19,0)),"")</f>
        <v>التصميم</v>
      </c>
      <c r="I152" s="20" t="s">
        <v>46</v>
      </c>
      <c r="J152" s="18" t="str">
        <f aca="false">IFERROR(INDEX(المرجع!$D$2:$D$19,MATCH($I152,المرجع!$E$2:$E$19,0)),"")</f>
        <v>الدور</v>
      </c>
      <c r="K152" s="20" t="s">
        <v>76</v>
      </c>
      <c r="L152" s="21" t="str">
        <f aca="false">IFERROR(INDEX('نقاط التحقق'!$G$2:$G$31,MATCH($K152,'نقاط التحقق'!$A$2:$A$31,0))&amp;"","")</f>
        <v>دور مفصل للوحدة التنظيمية</v>
      </c>
      <c r="M152" s="17" t="n">
        <v>87</v>
      </c>
      <c r="N152" s="17" t="n">
        <v>90</v>
      </c>
      <c r="O152" s="19" t="str">
        <f aca="false">IF($M152="","غير مقيّمة",IF($M152&gt;المرجع!$K$3,"مستوفاة بشكل متقدم",IF($M152&lt;=المرجع!$K$2,"مستوفاة بشكل أولي","مستوفاة بشكل جزئي")))</f>
        <v>مستوفاة بشكل متقدم</v>
      </c>
      <c r="P152" s="22"/>
    </row>
    <row r="153" customFormat="false" ht="15" hidden="false" customHeight="true" outlineLevel="0" collapsed="false">
      <c r="A153" s="20" t="s">
        <v>967</v>
      </c>
      <c r="B153" s="20" t="s">
        <v>206</v>
      </c>
      <c r="C153" s="19" t="str">
        <f aca="false">IFERROR(INDEX('قائمة الوحدات'!$B$2:$B$41,MATCH($B153,'قائمة الوحدات'!$A$2:$A$41,0)),"")</f>
        <v>MIL</v>
      </c>
      <c r="D153" s="18" t="str">
        <f aca="false">IFERROR(INDEX('قائمة الوحدات'!$C$2:$C$41,MATCH($B153,'قائمة الوحدات'!$A$2:$A$41,0)),"")</f>
        <v>الجهاز العسكري</v>
      </c>
      <c r="E153" s="18" t="str">
        <f aca="false">IFERROR(INDEX('قائمة الوحدات'!$D$2:$D$41,MATCH($B153,'قائمة الوحدات'!$A$2:$A$41,0)),"")</f>
        <v>قيادة القوات الاستراتيجية</v>
      </c>
      <c r="F153" s="18" t="str">
        <f aca="false">IFERROR(INDEX('قائمة الوحدات'!$F$2:$F$41,MATCH($B153,'قائمة الوحدات'!$A$2:$A$41,0)),"")</f>
        <v>قيادة القوات الاستراتيجية</v>
      </c>
      <c r="G153" s="20" t="s">
        <v>44</v>
      </c>
      <c r="H153" s="18" t="str">
        <f aca="false">IFERROR(INDEX(المرجع!$A$2:$A$19,MATCH($G153,المرجع!$B$2:$B$19,0)),"")</f>
        <v>التصميم</v>
      </c>
      <c r="I153" s="20" t="s">
        <v>49</v>
      </c>
      <c r="J153" s="18" t="str">
        <f aca="false">IFERROR(INDEX(المرجع!$D$2:$D$19,MATCH($I153,المرجع!$E$2:$E$19,0)),"")</f>
        <v>الأهداف ومؤشرات الأداء</v>
      </c>
      <c r="K153" s="20" t="s">
        <v>78</v>
      </c>
      <c r="L153" s="21" t="str">
        <f aca="false">IFERROR(INDEX('نقاط التحقق'!$G$2:$G$31,MATCH($K153,'نقاط التحقق'!$A$2:$A$31,0))&amp;"","")</f>
        <v>أهداف محددة للوحدة التنظيمية وربطها بمؤشرات أداء لقياسها</v>
      </c>
      <c r="M153" s="17" t="n">
        <v>85</v>
      </c>
      <c r="N153" s="17" t="n">
        <v>90</v>
      </c>
      <c r="O153" s="19" t="str">
        <f aca="false">IF($M153="","غير مقيّمة",IF($M153&gt;المرجع!$K$3,"مستوفاة بشكل متقدم",IF($M153&lt;=المرجع!$K$2,"مستوفاة بشكل أولي","مستوفاة بشكل جزئي")))</f>
        <v>مستوفاة بشكل متقدم</v>
      </c>
      <c r="P153" s="22"/>
    </row>
    <row r="154" customFormat="false" ht="15" hidden="false" customHeight="true" outlineLevel="0" collapsed="false">
      <c r="A154" s="20" t="s">
        <v>968</v>
      </c>
      <c r="B154" s="20" t="s">
        <v>206</v>
      </c>
      <c r="C154" s="19" t="str">
        <f aca="false">IFERROR(INDEX('قائمة الوحدات'!$B$2:$B$41,MATCH($B154,'قائمة الوحدات'!$A$2:$A$41,0)),"")</f>
        <v>MIL</v>
      </c>
      <c r="D154" s="18" t="str">
        <f aca="false">IFERROR(INDEX('قائمة الوحدات'!$C$2:$C$41,MATCH($B154,'قائمة الوحدات'!$A$2:$A$41,0)),"")</f>
        <v>الجهاز العسكري</v>
      </c>
      <c r="E154" s="18" t="str">
        <f aca="false">IFERROR(INDEX('قائمة الوحدات'!$D$2:$D$41,MATCH($B154,'قائمة الوحدات'!$A$2:$A$41,0)),"")</f>
        <v>قيادة القوات الاستراتيجية</v>
      </c>
      <c r="F154" s="18" t="str">
        <f aca="false">IFERROR(INDEX('قائمة الوحدات'!$F$2:$F$41,MATCH($B154,'قائمة الوحدات'!$A$2:$A$41,0)),"")</f>
        <v>قيادة القوات الاستراتيجية</v>
      </c>
      <c r="G154" s="20" t="s">
        <v>44</v>
      </c>
      <c r="H154" s="18" t="str">
        <f aca="false">IFERROR(INDEX(المرجع!$A$2:$A$19,MATCH($G154,المرجع!$B$2:$B$19,0)),"")</f>
        <v>التصميم</v>
      </c>
      <c r="I154" s="20" t="s">
        <v>49</v>
      </c>
      <c r="J154" s="18" t="str">
        <f aca="false">IFERROR(INDEX(المرجع!$D$2:$D$19,MATCH($I154,المرجع!$E$2:$E$19,0)),"")</f>
        <v>الأهداف ومؤشرات الأداء</v>
      </c>
      <c r="K154" s="20" t="s">
        <v>80</v>
      </c>
      <c r="L154" s="21" t="str">
        <f aca="false">IFERROR(INDEX('نقاط التحقق'!$G$2:$G$31,MATCH($K154,'نقاط التحقق'!$A$2:$A$31,0))&amp;"","")</f>
        <v>مؤشرات أداء الوحدة التنظيمية</v>
      </c>
      <c r="M154" s="17" t="n">
        <v>80</v>
      </c>
      <c r="N154" s="17" t="n">
        <v>100</v>
      </c>
      <c r="O154" s="19" t="str">
        <f aca="false">IF($M154="","غير مقيّمة",IF($M154&gt;المرجع!$K$3,"مستوفاة بشكل متقدم",IF($M154&lt;=المرجع!$K$2,"مستوفاة بشكل أولي","مستوفاة بشكل جزئي")))</f>
        <v>مستوفاة بشكل متقدم</v>
      </c>
      <c r="P154" s="22"/>
    </row>
    <row r="155" customFormat="false" ht="15" hidden="false" customHeight="true" outlineLevel="0" collapsed="false">
      <c r="A155" s="20" t="s">
        <v>969</v>
      </c>
      <c r="B155" s="20" t="s">
        <v>206</v>
      </c>
      <c r="C155" s="19" t="str">
        <f aca="false">IFERROR(INDEX('قائمة الوحدات'!$B$2:$B$41,MATCH($B155,'قائمة الوحدات'!$A$2:$A$41,0)),"")</f>
        <v>MIL</v>
      </c>
      <c r="D155" s="18" t="str">
        <f aca="false">IFERROR(INDEX('قائمة الوحدات'!$C$2:$C$41,MATCH($B155,'قائمة الوحدات'!$A$2:$A$41,0)),"")</f>
        <v>الجهاز العسكري</v>
      </c>
      <c r="E155" s="18" t="str">
        <f aca="false">IFERROR(INDEX('قائمة الوحدات'!$D$2:$D$41,MATCH($B155,'قائمة الوحدات'!$A$2:$A$41,0)),"")</f>
        <v>قيادة القوات الاستراتيجية</v>
      </c>
      <c r="F155" s="18" t="str">
        <f aca="false">IFERROR(INDEX('قائمة الوحدات'!$F$2:$F$41,MATCH($B155,'قائمة الوحدات'!$A$2:$A$41,0)),"")</f>
        <v>قيادة القوات الاستراتيجية</v>
      </c>
      <c r="G155" s="20" t="s">
        <v>44</v>
      </c>
      <c r="H155" s="18" t="str">
        <f aca="false">IFERROR(INDEX(المرجع!$A$2:$A$19,MATCH($G155,المرجع!$B$2:$B$19,0)),"")</f>
        <v>التصميم</v>
      </c>
      <c r="I155" s="20" t="s">
        <v>52</v>
      </c>
      <c r="J155" s="18" t="str">
        <f aca="false">IFERROR(INDEX(المرجع!$D$2:$D$19,MATCH($I155,المرجع!$E$2:$E$19,0)),"")</f>
        <v>الحوكمة</v>
      </c>
      <c r="K155" s="20" t="s">
        <v>82</v>
      </c>
      <c r="L155" s="21" t="str">
        <f aca="false">IFERROR(INDEX('نقاط التحقق'!$G$2:$G$31,MATCH($K155,'نقاط التحقق'!$A$2:$A$31,0))&amp;"","")</f>
        <v>تفصيل القرارات ومصفوفة الصلاحيات واللجان ذات العلاقة لاعتماد مخرجات الوحدة التنظيمية</v>
      </c>
      <c r="M155" s="17" t="n">
        <v>90</v>
      </c>
      <c r="N155" s="17" t="n">
        <v>90</v>
      </c>
      <c r="O155" s="19" t="str">
        <f aca="false">IF($M155="","غير مقيّمة",IF($M155&gt;المرجع!$K$3,"مستوفاة بشكل متقدم",IF($M155&lt;=المرجع!$K$2,"مستوفاة بشكل أولي","مستوفاة بشكل جزئي")))</f>
        <v>مستوفاة بشكل متقدم</v>
      </c>
      <c r="P155" s="22"/>
    </row>
    <row r="156" customFormat="false" ht="15" hidden="false" customHeight="true" outlineLevel="0" collapsed="false">
      <c r="A156" s="20" t="s">
        <v>970</v>
      </c>
      <c r="B156" s="20" t="s">
        <v>206</v>
      </c>
      <c r="C156" s="19" t="str">
        <f aca="false">IFERROR(INDEX('قائمة الوحدات'!$B$2:$B$41,MATCH($B156,'قائمة الوحدات'!$A$2:$A$41,0)),"")</f>
        <v>MIL</v>
      </c>
      <c r="D156" s="18" t="str">
        <f aca="false">IFERROR(INDEX('قائمة الوحدات'!$C$2:$C$41,MATCH($B156,'قائمة الوحدات'!$A$2:$A$41,0)),"")</f>
        <v>الجهاز العسكري</v>
      </c>
      <c r="E156" s="18" t="str">
        <f aca="false">IFERROR(INDEX('قائمة الوحدات'!$D$2:$D$41,MATCH($B156,'قائمة الوحدات'!$A$2:$A$41,0)),"")</f>
        <v>قيادة القوات الاستراتيجية</v>
      </c>
      <c r="F156" s="18" t="str">
        <f aca="false">IFERROR(INDEX('قائمة الوحدات'!$F$2:$F$41,MATCH($B156,'قائمة الوحدات'!$A$2:$A$41,0)),"")</f>
        <v>قيادة القوات الاستراتيجية</v>
      </c>
      <c r="G156" s="20" t="s">
        <v>44</v>
      </c>
      <c r="H156" s="18" t="str">
        <f aca="false">IFERROR(INDEX(المرجع!$A$2:$A$19,MATCH($G156,المرجع!$B$2:$B$19,0)),"")</f>
        <v>التصميم</v>
      </c>
      <c r="I156" s="20" t="s">
        <v>55</v>
      </c>
      <c r="J156" s="18" t="str">
        <f aca="false">IFERROR(INDEX(المرجع!$D$2:$D$19,MATCH($I156,المرجع!$E$2:$E$19,0)),"")</f>
        <v>التنظيم</v>
      </c>
      <c r="K156" s="20" t="s">
        <v>84</v>
      </c>
      <c r="L156" s="21" t="str">
        <f aca="false">IFERROR(INDEX('نقاط التحقق'!$G$2:$G$31,MATCH($K156,'نقاط التحقق'!$A$2:$A$31,0))&amp;"","")</f>
        <v>تطوير الأدوار والمسؤوليات للوحدة التنظيمية وتفصيل الهيكل التنظيمي</v>
      </c>
      <c r="M156" s="17" t="n">
        <v>79</v>
      </c>
      <c r="N156" s="17" t="n">
        <v>85</v>
      </c>
      <c r="O156" s="19" t="str">
        <f aca="false">IF($M156="","غير مقيّمة",IF($M156&gt;المرجع!$K$3,"مستوفاة بشكل متقدم",IF($M156&lt;=المرجع!$K$2,"مستوفاة بشكل أولي","مستوفاة بشكل جزئي")))</f>
        <v>مستوفاة بشكل متقدم</v>
      </c>
      <c r="P156" s="22"/>
    </row>
    <row r="157" customFormat="false" ht="15" hidden="false" customHeight="true" outlineLevel="0" collapsed="false">
      <c r="A157" s="20" t="s">
        <v>971</v>
      </c>
      <c r="B157" s="20" t="s">
        <v>206</v>
      </c>
      <c r="C157" s="19" t="str">
        <f aca="false">IFERROR(INDEX('قائمة الوحدات'!$B$2:$B$41,MATCH($B157,'قائمة الوحدات'!$A$2:$A$41,0)),"")</f>
        <v>MIL</v>
      </c>
      <c r="D157" s="18" t="str">
        <f aca="false">IFERROR(INDEX('قائمة الوحدات'!$C$2:$C$41,MATCH($B157,'قائمة الوحدات'!$A$2:$A$41,0)),"")</f>
        <v>الجهاز العسكري</v>
      </c>
      <c r="E157" s="18" t="str">
        <f aca="false">IFERROR(INDEX('قائمة الوحدات'!$D$2:$D$41,MATCH($B157,'قائمة الوحدات'!$A$2:$A$41,0)),"")</f>
        <v>قيادة القوات الاستراتيجية</v>
      </c>
      <c r="F157" s="18" t="str">
        <f aca="false">IFERROR(INDEX('قائمة الوحدات'!$F$2:$F$41,MATCH($B157,'قائمة الوحدات'!$A$2:$A$41,0)),"")</f>
        <v>قيادة القوات الاستراتيجية</v>
      </c>
      <c r="G157" s="20" t="s">
        <v>44</v>
      </c>
      <c r="H157" s="18" t="str">
        <f aca="false">IFERROR(INDEX(المرجع!$A$2:$A$19,MATCH($G157,المرجع!$B$2:$B$19,0)),"")</f>
        <v>التصميم</v>
      </c>
      <c r="I157" s="20" t="s">
        <v>57</v>
      </c>
      <c r="J157" s="18" t="str">
        <f aca="false">IFERROR(INDEX(المرجع!$D$2:$D$19,MATCH($I157,المرجع!$E$2:$E$19,0)),"")</f>
        <v>الموارد</v>
      </c>
      <c r="K157" s="20" t="s">
        <v>86</v>
      </c>
      <c r="L157" s="21" t="str">
        <f aca="false">IFERROR(INDEX('نقاط التحقق'!$G$2:$G$31,MATCH($K157,'نقاط التحقق'!$A$2:$A$31,0))&amp;"","")</f>
        <v>تفصيل احتياج الموارد البشرية للوحدة التنظيمية</v>
      </c>
      <c r="M157" s="17" t="n">
        <v>88</v>
      </c>
      <c r="N157" s="17" t="n">
        <v>88</v>
      </c>
      <c r="O157" s="19" t="str">
        <f aca="false">IF($M157="","غير مقيّمة",IF($M157&gt;المرجع!$K$3,"مستوفاة بشكل متقدم",IF($M157&lt;=المرجع!$K$2,"مستوفاة بشكل أولي","مستوفاة بشكل جزئي")))</f>
        <v>مستوفاة بشكل متقدم</v>
      </c>
      <c r="P157" s="22"/>
    </row>
    <row r="158" customFormat="false" ht="15" hidden="false" customHeight="true" outlineLevel="0" collapsed="false">
      <c r="A158" s="20" t="s">
        <v>972</v>
      </c>
      <c r="B158" s="20" t="s">
        <v>206</v>
      </c>
      <c r="C158" s="19" t="str">
        <f aca="false">IFERROR(INDEX('قائمة الوحدات'!$B$2:$B$41,MATCH($B158,'قائمة الوحدات'!$A$2:$A$41,0)),"")</f>
        <v>MIL</v>
      </c>
      <c r="D158" s="18" t="str">
        <f aca="false">IFERROR(INDEX('قائمة الوحدات'!$C$2:$C$41,MATCH($B158,'قائمة الوحدات'!$A$2:$A$41,0)),"")</f>
        <v>الجهاز العسكري</v>
      </c>
      <c r="E158" s="18" t="str">
        <f aca="false">IFERROR(INDEX('قائمة الوحدات'!$D$2:$D$41,MATCH($B158,'قائمة الوحدات'!$A$2:$A$41,0)),"")</f>
        <v>قيادة القوات الاستراتيجية</v>
      </c>
      <c r="F158" s="18" t="str">
        <f aca="false">IFERROR(INDEX('قائمة الوحدات'!$F$2:$F$41,MATCH($B158,'قائمة الوحدات'!$A$2:$A$41,0)),"")</f>
        <v>قيادة القوات الاستراتيجية</v>
      </c>
      <c r="G158" s="20" t="s">
        <v>44</v>
      </c>
      <c r="H158" s="18" t="str">
        <f aca="false">IFERROR(INDEX(المرجع!$A$2:$A$19,MATCH($G158,المرجع!$B$2:$B$19,0)),"")</f>
        <v>التصميم</v>
      </c>
      <c r="I158" s="20" t="s">
        <v>60</v>
      </c>
      <c r="J158" s="18" t="str">
        <f aca="false">IFERROR(INDEX(المرجع!$D$2:$D$19,MATCH($I158,المرجع!$E$2:$E$19,0)),"")</f>
        <v>الإجراءات</v>
      </c>
      <c r="K158" s="20" t="s">
        <v>88</v>
      </c>
      <c r="L158" s="21" t="str">
        <f aca="false">IFERROR(INDEX('نقاط التحقق'!$G$2:$G$31,MATCH($K158,'نقاط التحقق'!$A$2:$A$31,0))&amp;"","")</f>
        <v>تفصيل المخرجات إلى إجراءات عالية المستوى</v>
      </c>
      <c r="M158" s="17" t="n">
        <v>73</v>
      </c>
      <c r="N158" s="17" t="n">
        <v>90</v>
      </c>
      <c r="O158" s="19" t="str">
        <f aca="false">IF($M158="","غير مقيّمة",IF($M158&gt;المرجع!$K$3,"مستوفاة بشكل متقدم",IF($M158&lt;=المرجع!$K$2,"مستوفاة بشكل أولي","مستوفاة بشكل جزئي")))</f>
        <v>مستوفاة بشكل متقدم</v>
      </c>
      <c r="P158" s="22"/>
    </row>
    <row r="159" customFormat="false" ht="15" hidden="false" customHeight="true" outlineLevel="0" collapsed="false">
      <c r="A159" s="20" t="s">
        <v>973</v>
      </c>
      <c r="B159" s="20" t="s">
        <v>206</v>
      </c>
      <c r="C159" s="19" t="str">
        <f aca="false">IFERROR(INDEX('قائمة الوحدات'!$B$2:$B$41,MATCH($B159,'قائمة الوحدات'!$A$2:$A$41,0)),"")</f>
        <v>MIL</v>
      </c>
      <c r="D159" s="18" t="str">
        <f aca="false">IFERROR(INDEX('قائمة الوحدات'!$C$2:$C$41,MATCH($B159,'قائمة الوحدات'!$A$2:$A$41,0)),"")</f>
        <v>الجهاز العسكري</v>
      </c>
      <c r="E159" s="18" t="str">
        <f aca="false">IFERROR(INDEX('قائمة الوحدات'!$D$2:$D$41,MATCH($B159,'قائمة الوحدات'!$A$2:$A$41,0)),"")</f>
        <v>قيادة القوات الاستراتيجية</v>
      </c>
      <c r="F159" s="18" t="str">
        <f aca="false">IFERROR(INDEX('قائمة الوحدات'!$F$2:$F$41,MATCH($B159,'قائمة الوحدات'!$A$2:$A$41,0)),"")</f>
        <v>قيادة القوات الاستراتيجية</v>
      </c>
      <c r="G159" s="20" t="s">
        <v>62</v>
      </c>
      <c r="H159" s="18" t="str">
        <f aca="false">IFERROR(INDEX(المرجع!$A$2:$A$19,MATCH($G159,المرجع!$B$2:$B$19,0)),"")</f>
        <v>البناء المؤسسي</v>
      </c>
      <c r="I159" s="20" t="s">
        <v>46</v>
      </c>
      <c r="J159" s="18" t="str">
        <f aca="false">IFERROR(INDEX(المرجع!$D$2:$D$19,MATCH($I159,المرجع!$E$2:$E$19,0)),"")</f>
        <v>الدور</v>
      </c>
      <c r="K159" s="20" t="s">
        <v>90</v>
      </c>
      <c r="L159" s="21" t="str">
        <f aca="false">IFERROR(INDEX('نقاط التحقق'!$G$2:$G$31,MATCH($K159,'نقاط التحقق'!$A$2:$A$31,0))&amp;"","")</f>
        <v>دور معتمد للوحدة التنظيمية</v>
      </c>
      <c r="M159" s="17" t="n">
        <v>77</v>
      </c>
      <c r="N159" s="17" t="n">
        <v>85</v>
      </c>
      <c r="O159" s="19" t="str">
        <f aca="false">IF($M159="","غير مقيّمة",IF($M159&gt;المرجع!$K$3,"مستوفاة بشكل متقدم",IF($M159&lt;=المرجع!$K$2,"مستوفاة بشكل أولي","مستوفاة بشكل جزئي")))</f>
        <v>مستوفاة بشكل متقدم</v>
      </c>
      <c r="P159" s="22"/>
    </row>
    <row r="160" customFormat="false" ht="15" hidden="false" customHeight="true" outlineLevel="0" collapsed="false">
      <c r="A160" s="20" t="s">
        <v>974</v>
      </c>
      <c r="B160" s="20" t="s">
        <v>206</v>
      </c>
      <c r="C160" s="19" t="str">
        <f aca="false">IFERROR(INDEX('قائمة الوحدات'!$B$2:$B$41,MATCH($B160,'قائمة الوحدات'!$A$2:$A$41,0)),"")</f>
        <v>MIL</v>
      </c>
      <c r="D160" s="18" t="str">
        <f aca="false">IFERROR(INDEX('قائمة الوحدات'!$C$2:$C$41,MATCH($B160,'قائمة الوحدات'!$A$2:$A$41,0)),"")</f>
        <v>الجهاز العسكري</v>
      </c>
      <c r="E160" s="18" t="str">
        <f aca="false">IFERROR(INDEX('قائمة الوحدات'!$D$2:$D$41,MATCH($B160,'قائمة الوحدات'!$A$2:$A$41,0)),"")</f>
        <v>قيادة القوات الاستراتيجية</v>
      </c>
      <c r="F160" s="18" t="str">
        <f aca="false">IFERROR(INDEX('قائمة الوحدات'!$F$2:$F$41,MATCH($B160,'قائمة الوحدات'!$A$2:$A$41,0)),"")</f>
        <v>قيادة القوات الاستراتيجية</v>
      </c>
      <c r="G160" s="20" t="s">
        <v>62</v>
      </c>
      <c r="H160" s="18" t="str">
        <f aca="false">IFERROR(INDEX(المرجع!$A$2:$A$19,MATCH($G160,المرجع!$B$2:$B$19,0)),"")</f>
        <v>البناء المؤسسي</v>
      </c>
      <c r="I160" s="20" t="s">
        <v>49</v>
      </c>
      <c r="J160" s="18" t="str">
        <f aca="false">IFERROR(INDEX(المرجع!$D$2:$D$19,MATCH($I160,المرجع!$E$2:$E$19,0)),"")</f>
        <v>الأهداف ومؤشرات الأداء</v>
      </c>
      <c r="K160" s="20" t="s">
        <v>92</v>
      </c>
      <c r="L160" s="21" t="str">
        <f aca="false">IFERROR(INDEX('نقاط التحقق'!$G$2:$G$31,MATCH($K160,'نقاط التحقق'!$A$2:$A$31,0))&amp;"","")</f>
        <v>أهداف تشغيلية معتمدة من صاحب الصلاحية</v>
      </c>
      <c r="M160" s="17" t="n">
        <v>60</v>
      </c>
      <c r="N160" s="17" t="n">
        <v>90</v>
      </c>
      <c r="O160" s="19" t="str">
        <f aca="false">IF($M160="","غير مقيّمة",IF($M160&gt;المرجع!$K$3,"مستوفاة بشكل متقدم",IF($M160&lt;=المرجع!$K$2,"مستوفاة بشكل أولي","مستوفاة بشكل جزئي")))</f>
        <v>مستوفاة بشكل جزئي</v>
      </c>
      <c r="P160" s="22"/>
    </row>
    <row r="161" customFormat="false" ht="15" hidden="false" customHeight="true" outlineLevel="0" collapsed="false">
      <c r="A161" s="20" t="s">
        <v>975</v>
      </c>
      <c r="B161" s="20" t="s">
        <v>206</v>
      </c>
      <c r="C161" s="19" t="str">
        <f aca="false">IFERROR(INDEX('قائمة الوحدات'!$B$2:$B$41,MATCH($B161,'قائمة الوحدات'!$A$2:$A$41,0)),"")</f>
        <v>MIL</v>
      </c>
      <c r="D161" s="18" t="str">
        <f aca="false">IFERROR(INDEX('قائمة الوحدات'!$C$2:$C$41,MATCH($B161,'قائمة الوحدات'!$A$2:$A$41,0)),"")</f>
        <v>الجهاز العسكري</v>
      </c>
      <c r="E161" s="18" t="str">
        <f aca="false">IFERROR(INDEX('قائمة الوحدات'!$D$2:$D$41,MATCH($B161,'قائمة الوحدات'!$A$2:$A$41,0)),"")</f>
        <v>قيادة القوات الاستراتيجية</v>
      </c>
      <c r="F161" s="18" t="str">
        <f aca="false">IFERROR(INDEX('قائمة الوحدات'!$F$2:$F$41,MATCH($B161,'قائمة الوحدات'!$A$2:$A$41,0)),"")</f>
        <v>قيادة القوات الاستراتيجية</v>
      </c>
      <c r="G161" s="20" t="s">
        <v>62</v>
      </c>
      <c r="H161" s="18" t="str">
        <f aca="false">IFERROR(INDEX(المرجع!$A$2:$A$19,MATCH($G161,المرجع!$B$2:$B$19,0)),"")</f>
        <v>البناء المؤسسي</v>
      </c>
      <c r="I161" s="20" t="s">
        <v>49</v>
      </c>
      <c r="J161" s="18" t="str">
        <f aca="false">IFERROR(INDEX(المرجع!$D$2:$D$19,MATCH($I161,المرجع!$E$2:$E$19,0)),"")</f>
        <v>الأهداف ومؤشرات الأداء</v>
      </c>
      <c r="K161" s="20" t="s">
        <v>94</v>
      </c>
      <c r="L161" s="21" t="str">
        <f aca="false">IFERROR(INDEX('نقاط التحقق'!$G$2:$G$31,MATCH($K161,'نقاط التحقق'!$A$2:$A$31,0))&amp;"","")</f>
        <v>نشر الأهداف التشغيلية على موظفي الوحدة التنظيمية</v>
      </c>
      <c r="M161" s="17" t="n">
        <v>85</v>
      </c>
      <c r="N161" s="17" t="n">
        <v>85</v>
      </c>
      <c r="O161" s="19" t="str">
        <f aca="false">IF($M161="","غير مقيّمة",IF($M161&gt;المرجع!$K$3,"مستوفاة بشكل متقدم",IF($M161&lt;=المرجع!$K$2,"مستوفاة بشكل أولي","مستوفاة بشكل جزئي")))</f>
        <v>مستوفاة بشكل متقدم</v>
      </c>
      <c r="P161" s="22"/>
    </row>
    <row r="162" customFormat="false" ht="15" hidden="false" customHeight="true" outlineLevel="0" collapsed="false">
      <c r="A162" s="20" t="s">
        <v>976</v>
      </c>
      <c r="B162" s="20" t="s">
        <v>206</v>
      </c>
      <c r="C162" s="19" t="str">
        <f aca="false">IFERROR(INDEX('قائمة الوحدات'!$B$2:$B$41,MATCH($B162,'قائمة الوحدات'!$A$2:$A$41,0)),"")</f>
        <v>MIL</v>
      </c>
      <c r="D162" s="18" t="str">
        <f aca="false">IFERROR(INDEX('قائمة الوحدات'!$C$2:$C$41,MATCH($B162,'قائمة الوحدات'!$A$2:$A$41,0)),"")</f>
        <v>الجهاز العسكري</v>
      </c>
      <c r="E162" s="18" t="str">
        <f aca="false">IFERROR(INDEX('قائمة الوحدات'!$D$2:$D$41,MATCH($B162,'قائمة الوحدات'!$A$2:$A$41,0)),"")</f>
        <v>قيادة القوات الاستراتيجية</v>
      </c>
      <c r="F162" s="18" t="str">
        <f aca="false">IFERROR(INDEX('قائمة الوحدات'!$F$2:$F$41,MATCH($B162,'قائمة الوحدات'!$A$2:$A$41,0)),"")</f>
        <v>قيادة القوات الاستراتيجية</v>
      </c>
      <c r="G162" s="20" t="s">
        <v>62</v>
      </c>
      <c r="H162" s="18" t="str">
        <f aca="false">IFERROR(INDEX(المرجع!$A$2:$A$19,MATCH($G162,المرجع!$B$2:$B$19,0)),"")</f>
        <v>البناء المؤسسي</v>
      </c>
      <c r="I162" s="20" t="s">
        <v>52</v>
      </c>
      <c r="J162" s="18" t="str">
        <f aca="false">IFERROR(INDEX(المرجع!$D$2:$D$19,MATCH($I162,المرجع!$E$2:$E$19,0)),"")</f>
        <v>الحوكمة</v>
      </c>
      <c r="K162" s="20" t="s">
        <v>96</v>
      </c>
      <c r="L162" s="21" t="str">
        <f aca="false">IFERROR(INDEX('نقاط التحقق'!$G$2:$G$31,MATCH($K162,'نقاط التحقق'!$A$2:$A$31,0))&amp;"","")</f>
        <v>مصفوفة صلاحيات معتمدة ومعممة على أصحاب المصلحة</v>
      </c>
      <c r="M162" s="17" t="n">
        <v>60</v>
      </c>
      <c r="N162" s="17" t="n">
        <v>80</v>
      </c>
      <c r="O162" s="19" t="str">
        <f aca="false">IF($M162="","غير مقيّمة",IF($M162&gt;المرجع!$K$3,"مستوفاة بشكل متقدم",IF($M162&lt;=المرجع!$K$2,"مستوفاة بشكل أولي","مستوفاة بشكل جزئي")))</f>
        <v>مستوفاة بشكل جزئي</v>
      </c>
      <c r="P162" s="22"/>
    </row>
    <row r="163" customFormat="false" ht="15" hidden="false" customHeight="true" outlineLevel="0" collapsed="false">
      <c r="A163" s="20" t="s">
        <v>977</v>
      </c>
      <c r="B163" s="20" t="s">
        <v>206</v>
      </c>
      <c r="C163" s="19" t="str">
        <f aca="false">IFERROR(INDEX('قائمة الوحدات'!$B$2:$B$41,MATCH($B163,'قائمة الوحدات'!$A$2:$A$41,0)),"")</f>
        <v>MIL</v>
      </c>
      <c r="D163" s="18" t="str">
        <f aca="false">IFERROR(INDEX('قائمة الوحدات'!$C$2:$C$41,MATCH($B163,'قائمة الوحدات'!$A$2:$A$41,0)),"")</f>
        <v>الجهاز العسكري</v>
      </c>
      <c r="E163" s="18" t="str">
        <f aca="false">IFERROR(INDEX('قائمة الوحدات'!$D$2:$D$41,MATCH($B163,'قائمة الوحدات'!$A$2:$A$41,0)),"")</f>
        <v>قيادة القوات الاستراتيجية</v>
      </c>
      <c r="F163" s="18" t="str">
        <f aca="false">IFERROR(INDEX('قائمة الوحدات'!$F$2:$F$41,MATCH($B163,'قائمة الوحدات'!$A$2:$A$41,0)),"")</f>
        <v>قيادة القوات الاستراتيجية</v>
      </c>
      <c r="G163" s="20" t="s">
        <v>62</v>
      </c>
      <c r="H163" s="18" t="str">
        <f aca="false">IFERROR(INDEX(المرجع!$A$2:$A$19,MATCH($G163,المرجع!$B$2:$B$19,0)),"")</f>
        <v>البناء المؤسسي</v>
      </c>
      <c r="I163" s="20" t="s">
        <v>52</v>
      </c>
      <c r="J163" s="18" t="str">
        <f aca="false">IFERROR(INDEX(المرجع!$D$2:$D$19,MATCH($I163,المرجع!$E$2:$E$19,0)),"")</f>
        <v>الحوكمة</v>
      </c>
      <c r="K163" s="20" t="s">
        <v>98</v>
      </c>
      <c r="L163" s="21" t="str">
        <f aca="false">IFERROR(INDEX('نقاط التحقق'!$G$2:$G$31,MATCH($K163,'نقاط التحقق'!$A$2:$A$31,0))&amp;"","")</f>
        <v>سياسات معتمدة للتي تملكها الوحدة التنظيمية</v>
      </c>
      <c r="M163" s="17" t="n">
        <v>40</v>
      </c>
      <c r="N163" s="17" t="n">
        <v>90</v>
      </c>
      <c r="O163" s="19" t="str">
        <f aca="false">IF($M163="","غير مقيّمة",IF($M163&gt;المرجع!$K$3,"مستوفاة بشكل متقدم",IF($M163&lt;=المرجع!$K$2,"مستوفاة بشكل أولي","مستوفاة بشكل جزئي")))</f>
        <v>مستوفاة بشكل جزئي</v>
      </c>
      <c r="P163" s="22"/>
    </row>
    <row r="164" customFormat="false" ht="15" hidden="false" customHeight="true" outlineLevel="0" collapsed="false">
      <c r="A164" s="20" t="s">
        <v>978</v>
      </c>
      <c r="B164" s="20" t="s">
        <v>206</v>
      </c>
      <c r="C164" s="19" t="str">
        <f aca="false">IFERROR(INDEX('قائمة الوحدات'!$B$2:$B$41,MATCH($B164,'قائمة الوحدات'!$A$2:$A$41,0)),"")</f>
        <v>MIL</v>
      </c>
      <c r="D164" s="18" t="str">
        <f aca="false">IFERROR(INDEX('قائمة الوحدات'!$C$2:$C$41,MATCH($B164,'قائمة الوحدات'!$A$2:$A$41,0)),"")</f>
        <v>الجهاز العسكري</v>
      </c>
      <c r="E164" s="18" t="str">
        <f aca="false">IFERROR(INDEX('قائمة الوحدات'!$D$2:$D$41,MATCH($B164,'قائمة الوحدات'!$A$2:$A$41,0)),"")</f>
        <v>قيادة القوات الاستراتيجية</v>
      </c>
      <c r="F164" s="18" t="str">
        <f aca="false">IFERROR(INDEX('قائمة الوحدات'!$F$2:$F$41,MATCH($B164,'قائمة الوحدات'!$A$2:$A$41,0)),"")</f>
        <v>قيادة القوات الاستراتيجية</v>
      </c>
      <c r="G164" s="20" t="s">
        <v>62</v>
      </c>
      <c r="H164" s="18" t="str">
        <f aca="false">IFERROR(INDEX(المرجع!$A$2:$A$19,MATCH($G164,المرجع!$B$2:$B$19,0)),"")</f>
        <v>البناء المؤسسي</v>
      </c>
      <c r="I164" s="20" t="s">
        <v>52</v>
      </c>
      <c r="J164" s="18" t="str">
        <f aca="false">IFERROR(INDEX(المرجع!$D$2:$D$19,MATCH($I164,المرجع!$E$2:$E$19,0)),"")</f>
        <v>الحوكمة</v>
      </c>
      <c r="K164" s="20" t="s">
        <v>100</v>
      </c>
      <c r="L164" s="21" t="str">
        <f aca="false">IFERROR(INDEX('نقاط التحقق'!$G$2:$G$31,MATCH($K164,'نقاط التحقق'!$A$2:$A$31,0))&amp;"","")</f>
        <v>قرار تشكيل معتمد للجان ذات العلاقة</v>
      </c>
      <c r="M164" s="17" t="n">
        <v>30</v>
      </c>
      <c r="N164" s="17" t="n">
        <v>95</v>
      </c>
      <c r="O164" s="19" t="str">
        <f aca="false">IF($M164="","غير مقيّمة",IF($M164&gt;المرجع!$K$3,"مستوفاة بشكل متقدم",IF($M164&lt;=المرجع!$K$2,"مستوفاة بشكل أولي","مستوفاة بشكل جزئي")))</f>
        <v>مستوفاة بشكل أولي</v>
      </c>
      <c r="P164" s="22"/>
    </row>
    <row r="165" customFormat="false" ht="15" hidden="false" customHeight="true" outlineLevel="0" collapsed="false">
      <c r="A165" s="20" t="s">
        <v>979</v>
      </c>
      <c r="B165" s="20" t="s">
        <v>206</v>
      </c>
      <c r="C165" s="19" t="str">
        <f aca="false">IFERROR(INDEX('قائمة الوحدات'!$B$2:$B$41,MATCH($B165,'قائمة الوحدات'!$A$2:$A$41,0)),"")</f>
        <v>MIL</v>
      </c>
      <c r="D165" s="18" t="str">
        <f aca="false">IFERROR(INDEX('قائمة الوحدات'!$C$2:$C$41,MATCH($B165,'قائمة الوحدات'!$A$2:$A$41,0)),"")</f>
        <v>الجهاز العسكري</v>
      </c>
      <c r="E165" s="18" t="str">
        <f aca="false">IFERROR(INDEX('قائمة الوحدات'!$D$2:$D$41,MATCH($B165,'قائمة الوحدات'!$A$2:$A$41,0)),"")</f>
        <v>قيادة القوات الاستراتيجية</v>
      </c>
      <c r="F165" s="18" t="str">
        <f aca="false">IFERROR(INDEX('قائمة الوحدات'!$F$2:$F$41,MATCH($B165,'قائمة الوحدات'!$A$2:$A$41,0)),"")</f>
        <v>قيادة القوات الاستراتيجية</v>
      </c>
      <c r="G165" s="20" t="s">
        <v>62</v>
      </c>
      <c r="H165" s="18" t="str">
        <f aca="false">IFERROR(INDEX(المرجع!$A$2:$A$19,MATCH($G165,المرجع!$B$2:$B$19,0)),"")</f>
        <v>البناء المؤسسي</v>
      </c>
      <c r="I165" s="20" t="s">
        <v>55</v>
      </c>
      <c r="J165" s="18" t="str">
        <f aca="false">IFERROR(INDEX(المرجع!$D$2:$D$19,MATCH($I165,المرجع!$E$2:$E$19,0)),"")</f>
        <v>التنظيم</v>
      </c>
      <c r="K165" s="20" t="s">
        <v>102</v>
      </c>
      <c r="L165" s="21" t="str">
        <f aca="false">IFERROR(INDEX('نقاط التحقق'!$G$2:$G$31,MATCH($K165,'نقاط التحقق'!$A$2:$A$31,0))&amp;"","")</f>
        <v>هيكل تنظيمي معتمد من صاحب الصلاحية</v>
      </c>
      <c r="M165" s="17" t="n">
        <v>65</v>
      </c>
      <c r="N165" s="17" t="n">
        <v>80</v>
      </c>
      <c r="O165" s="19" t="str">
        <f aca="false">IF($M165="","غير مقيّمة",IF($M165&gt;المرجع!$K$3,"مستوفاة بشكل متقدم",IF($M165&lt;=المرجع!$K$2,"مستوفاة بشكل أولي","مستوفاة بشكل جزئي")))</f>
        <v>مستوفاة بشكل جزئي</v>
      </c>
      <c r="P165" s="22"/>
    </row>
    <row r="166" customFormat="false" ht="15" hidden="false" customHeight="true" outlineLevel="0" collapsed="false">
      <c r="A166" s="20" t="s">
        <v>980</v>
      </c>
      <c r="B166" s="20" t="s">
        <v>206</v>
      </c>
      <c r="C166" s="19" t="str">
        <f aca="false">IFERROR(INDEX('قائمة الوحدات'!$B$2:$B$41,MATCH($B166,'قائمة الوحدات'!$A$2:$A$41,0)),"")</f>
        <v>MIL</v>
      </c>
      <c r="D166" s="18" t="str">
        <f aca="false">IFERROR(INDEX('قائمة الوحدات'!$C$2:$C$41,MATCH($B166,'قائمة الوحدات'!$A$2:$A$41,0)),"")</f>
        <v>الجهاز العسكري</v>
      </c>
      <c r="E166" s="18" t="str">
        <f aca="false">IFERROR(INDEX('قائمة الوحدات'!$D$2:$D$41,MATCH($B166,'قائمة الوحدات'!$A$2:$A$41,0)),"")</f>
        <v>قيادة القوات الاستراتيجية</v>
      </c>
      <c r="F166" s="18" t="str">
        <f aca="false">IFERROR(INDEX('قائمة الوحدات'!$F$2:$F$41,MATCH($B166,'قائمة الوحدات'!$A$2:$A$41,0)),"")</f>
        <v>قيادة القوات الاستراتيجية</v>
      </c>
      <c r="G166" s="20" t="s">
        <v>62</v>
      </c>
      <c r="H166" s="18" t="str">
        <f aca="false">IFERROR(INDEX(المرجع!$A$2:$A$19,MATCH($G166,المرجع!$B$2:$B$19,0)),"")</f>
        <v>البناء المؤسسي</v>
      </c>
      <c r="I166" s="20" t="s">
        <v>55</v>
      </c>
      <c r="J166" s="18" t="str">
        <f aca="false">IFERROR(INDEX(المرجع!$D$2:$D$19,MATCH($I166,المرجع!$E$2:$E$19,0)),"")</f>
        <v>التنظيم</v>
      </c>
      <c r="K166" s="20" t="s">
        <v>104</v>
      </c>
      <c r="L166" s="21" t="str">
        <f aca="false">IFERROR(INDEX('نقاط التحقق'!$G$2:$G$31,MATCH($K166,'نقاط التحقق'!$A$2:$A$31,0))&amp;"","")</f>
        <v>هيكل تنظيمي منشأ على نظام القوى العاملة</v>
      </c>
      <c r="M166" s="17" t="n">
        <v>60</v>
      </c>
      <c r="N166" s="17" t="n">
        <v>95</v>
      </c>
      <c r="O166" s="19" t="str">
        <f aca="false">IF($M166="","غير مقيّمة",IF($M166&gt;المرجع!$K$3,"مستوفاة بشكل متقدم",IF($M166&lt;=المرجع!$K$2,"مستوفاة بشكل أولي","مستوفاة بشكل جزئي")))</f>
        <v>مستوفاة بشكل جزئي</v>
      </c>
      <c r="P166" s="22"/>
    </row>
    <row r="167" customFormat="false" ht="15" hidden="false" customHeight="true" outlineLevel="0" collapsed="false">
      <c r="A167" s="20" t="s">
        <v>981</v>
      </c>
      <c r="B167" s="20" t="s">
        <v>206</v>
      </c>
      <c r="C167" s="19" t="str">
        <f aca="false">IFERROR(INDEX('قائمة الوحدات'!$B$2:$B$41,MATCH($B167,'قائمة الوحدات'!$A$2:$A$41,0)),"")</f>
        <v>MIL</v>
      </c>
      <c r="D167" s="18" t="str">
        <f aca="false">IFERROR(INDEX('قائمة الوحدات'!$C$2:$C$41,MATCH($B167,'قائمة الوحدات'!$A$2:$A$41,0)),"")</f>
        <v>الجهاز العسكري</v>
      </c>
      <c r="E167" s="18" t="str">
        <f aca="false">IFERROR(INDEX('قائمة الوحدات'!$D$2:$D$41,MATCH($B167,'قائمة الوحدات'!$A$2:$A$41,0)),"")</f>
        <v>قيادة القوات الاستراتيجية</v>
      </c>
      <c r="F167" s="18" t="str">
        <f aca="false">IFERROR(INDEX('قائمة الوحدات'!$F$2:$F$41,MATCH($B167,'قائمة الوحدات'!$A$2:$A$41,0)),"")</f>
        <v>قيادة القوات الاستراتيجية</v>
      </c>
      <c r="G167" s="20" t="s">
        <v>62</v>
      </c>
      <c r="H167" s="18" t="str">
        <f aca="false">IFERROR(INDEX(المرجع!$A$2:$A$19,MATCH($G167,المرجع!$B$2:$B$19,0)),"")</f>
        <v>البناء المؤسسي</v>
      </c>
      <c r="I167" s="20" t="s">
        <v>55</v>
      </c>
      <c r="J167" s="18" t="str">
        <f aca="false">IFERROR(INDEX(المرجع!$D$2:$D$19,MATCH($I167,المرجع!$E$2:$E$19,0)),"")</f>
        <v>التنظيم</v>
      </c>
      <c r="K167" s="20" t="s">
        <v>106</v>
      </c>
      <c r="L167" s="21" t="str">
        <f aca="false">IFERROR(INDEX('نقاط التحقق'!$G$2:$G$31,MATCH($K167,'نقاط التحقق'!$A$2:$A$31,0))&amp;"","")</f>
        <v>الموظفون المحددون مسكّنون على الهيكل التنظيمي المستهدف</v>
      </c>
      <c r="M167" s="17" t="n">
        <v>60</v>
      </c>
      <c r="N167" s="17" t="n">
        <v>90</v>
      </c>
      <c r="O167" s="19" t="str">
        <f aca="false">IF($M167="","غير مقيّمة",IF($M167&gt;المرجع!$K$3,"مستوفاة بشكل متقدم",IF($M167&lt;=المرجع!$K$2,"مستوفاة بشكل أولي","مستوفاة بشكل جزئي")))</f>
        <v>مستوفاة بشكل جزئي</v>
      </c>
      <c r="P167" s="22"/>
    </row>
    <row r="168" customFormat="false" ht="15" hidden="false" customHeight="true" outlineLevel="0" collapsed="false">
      <c r="A168" s="20" t="s">
        <v>982</v>
      </c>
      <c r="B168" s="20" t="s">
        <v>206</v>
      </c>
      <c r="C168" s="19" t="str">
        <f aca="false">IFERROR(INDEX('قائمة الوحدات'!$B$2:$B$41,MATCH($B168,'قائمة الوحدات'!$A$2:$A$41,0)),"")</f>
        <v>MIL</v>
      </c>
      <c r="D168" s="18" t="str">
        <f aca="false">IFERROR(INDEX('قائمة الوحدات'!$C$2:$C$41,MATCH($B168,'قائمة الوحدات'!$A$2:$A$41,0)),"")</f>
        <v>الجهاز العسكري</v>
      </c>
      <c r="E168" s="18" t="str">
        <f aca="false">IFERROR(INDEX('قائمة الوحدات'!$D$2:$D$41,MATCH($B168,'قائمة الوحدات'!$A$2:$A$41,0)),"")</f>
        <v>قيادة القوات الاستراتيجية</v>
      </c>
      <c r="F168" s="18" t="str">
        <f aca="false">IFERROR(INDEX('قائمة الوحدات'!$F$2:$F$41,MATCH($B168,'قائمة الوحدات'!$A$2:$A$41,0)),"")</f>
        <v>قيادة القوات الاستراتيجية</v>
      </c>
      <c r="G168" s="20" t="s">
        <v>62</v>
      </c>
      <c r="H168" s="18" t="str">
        <f aca="false">IFERROR(INDEX(المرجع!$A$2:$A$19,MATCH($G168,المرجع!$B$2:$B$19,0)),"")</f>
        <v>البناء المؤسسي</v>
      </c>
      <c r="I168" s="20" t="s">
        <v>57</v>
      </c>
      <c r="J168" s="18" t="str">
        <f aca="false">IFERROR(INDEX(المرجع!$D$2:$D$19,MATCH($I168,المرجع!$E$2:$E$19,0)),"")</f>
        <v>الموارد</v>
      </c>
      <c r="K168" s="20" t="s">
        <v>108</v>
      </c>
      <c r="L168" s="21" t="str">
        <f aca="false">IFERROR(INDEX('نقاط التحقق'!$G$2:$G$31,MATCH($K168,'نقاط التحقق'!$A$2:$A$31,0))&amp;"","")</f>
        <v>مدير الوحدة التنظيمية والموظفون الرئيسيون معينون/ملحقون</v>
      </c>
      <c r="M168" s="17" t="n">
        <v>50</v>
      </c>
      <c r="N168" s="17" t="n">
        <v>100</v>
      </c>
      <c r="O168" s="19" t="str">
        <f aca="false">IF($M168="","غير مقيّمة",IF($M168&gt;المرجع!$K$3,"مستوفاة بشكل متقدم",IF($M168&lt;=المرجع!$K$2,"مستوفاة بشكل أولي","مستوفاة بشكل جزئي")))</f>
        <v>مستوفاة بشكل جزئي</v>
      </c>
      <c r="P168" s="22"/>
    </row>
    <row r="169" customFormat="false" ht="15" hidden="false" customHeight="true" outlineLevel="0" collapsed="false">
      <c r="A169" s="20" t="s">
        <v>983</v>
      </c>
      <c r="B169" s="20" t="s">
        <v>206</v>
      </c>
      <c r="C169" s="19" t="str">
        <f aca="false">IFERROR(INDEX('قائمة الوحدات'!$B$2:$B$41,MATCH($B169,'قائمة الوحدات'!$A$2:$A$41,0)),"")</f>
        <v>MIL</v>
      </c>
      <c r="D169" s="18" t="str">
        <f aca="false">IFERROR(INDEX('قائمة الوحدات'!$C$2:$C$41,MATCH($B169,'قائمة الوحدات'!$A$2:$A$41,0)),"")</f>
        <v>الجهاز العسكري</v>
      </c>
      <c r="E169" s="18" t="str">
        <f aca="false">IFERROR(INDEX('قائمة الوحدات'!$D$2:$D$41,MATCH($B169,'قائمة الوحدات'!$A$2:$A$41,0)),"")</f>
        <v>قيادة القوات الاستراتيجية</v>
      </c>
      <c r="F169" s="18" t="str">
        <f aca="false">IFERROR(INDEX('قائمة الوحدات'!$F$2:$F$41,MATCH($B169,'قائمة الوحدات'!$A$2:$A$41,0)),"")</f>
        <v>قيادة القوات الاستراتيجية</v>
      </c>
      <c r="G169" s="20" t="s">
        <v>62</v>
      </c>
      <c r="H169" s="18" t="str">
        <f aca="false">IFERROR(INDEX(المرجع!$A$2:$A$19,MATCH($G169,المرجع!$B$2:$B$19,0)),"")</f>
        <v>البناء المؤسسي</v>
      </c>
      <c r="I169" s="20" t="s">
        <v>57</v>
      </c>
      <c r="J169" s="18" t="str">
        <f aca="false">IFERROR(INDEX(المرجع!$D$2:$D$19,MATCH($I169,المرجع!$E$2:$E$19,0)),"")</f>
        <v>الموارد</v>
      </c>
      <c r="K169" s="20" t="s">
        <v>110</v>
      </c>
      <c r="L169" s="21" t="str">
        <f aca="false">IFERROR(INDEX('نقاط التحقق'!$G$2:$G$31,MATCH($K169,'نقاط التحقق'!$A$2:$A$31,0))&amp;"","")</f>
        <v>خطة توظيف وتدريب مستكملة</v>
      </c>
      <c r="M169" s="17" t="n">
        <v>70</v>
      </c>
      <c r="N169" s="17" t="n">
        <v>100</v>
      </c>
      <c r="O169" s="19" t="str">
        <f aca="false">IF($M169="","غير مقيّمة",IF($M169&gt;المرجع!$K$3,"مستوفاة بشكل متقدم",IF($M169&lt;=المرجع!$K$2,"مستوفاة بشكل أولي","مستوفاة بشكل جزئي")))</f>
        <v>مستوفاة بشكل جزئي</v>
      </c>
      <c r="P169" s="22"/>
    </row>
    <row r="170" customFormat="false" ht="15" hidden="false" customHeight="true" outlineLevel="0" collapsed="false">
      <c r="A170" s="20" t="s">
        <v>984</v>
      </c>
      <c r="B170" s="20" t="s">
        <v>206</v>
      </c>
      <c r="C170" s="19" t="str">
        <f aca="false">IFERROR(INDEX('قائمة الوحدات'!$B$2:$B$41,MATCH($B170,'قائمة الوحدات'!$A$2:$A$41,0)),"")</f>
        <v>MIL</v>
      </c>
      <c r="D170" s="18" t="str">
        <f aca="false">IFERROR(INDEX('قائمة الوحدات'!$C$2:$C$41,MATCH($B170,'قائمة الوحدات'!$A$2:$A$41,0)),"")</f>
        <v>الجهاز العسكري</v>
      </c>
      <c r="E170" s="18" t="str">
        <f aca="false">IFERROR(INDEX('قائمة الوحدات'!$D$2:$D$41,MATCH($B170,'قائمة الوحدات'!$A$2:$A$41,0)),"")</f>
        <v>قيادة القوات الاستراتيجية</v>
      </c>
      <c r="F170" s="18" t="str">
        <f aca="false">IFERROR(INDEX('قائمة الوحدات'!$F$2:$F$41,MATCH($B170,'قائمة الوحدات'!$A$2:$A$41,0)),"")</f>
        <v>قيادة القوات الاستراتيجية</v>
      </c>
      <c r="G170" s="20" t="s">
        <v>62</v>
      </c>
      <c r="H170" s="18" t="str">
        <f aca="false">IFERROR(INDEX(المرجع!$A$2:$A$19,MATCH($G170,المرجع!$B$2:$B$19,0)),"")</f>
        <v>البناء المؤسسي</v>
      </c>
      <c r="I170" s="20" t="s">
        <v>57</v>
      </c>
      <c r="J170" s="18" t="str">
        <f aca="false">IFERROR(INDEX(المرجع!$D$2:$D$19,MATCH($I170,المرجع!$E$2:$E$19,0)),"")</f>
        <v>الموارد</v>
      </c>
      <c r="K170" s="20" t="s">
        <v>112</v>
      </c>
      <c r="L170" s="21" t="str">
        <f aca="false">IFERROR(INDEX('نقاط التحقق'!$G$2:$G$31,MATCH($K170,'نقاط التحقق'!$A$2:$A$31,0))&amp;"","")</f>
        <v>وجود مساحات مكتبية كافية</v>
      </c>
      <c r="M170" s="17" t="n">
        <v>55</v>
      </c>
      <c r="N170" s="17" t="n">
        <v>85</v>
      </c>
      <c r="O170" s="19" t="str">
        <f aca="false">IF($M170="","غير مقيّمة",IF($M170&gt;المرجع!$K$3,"مستوفاة بشكل متقدم",IF($M170&lt;=المرجع!$K$2,"مستوفاة بشكل أولي","مستوفاة بشكل جزئي")))</f>
        <v>مستوفاة بشكل جزئي</v>
      </c>
      <c r="P170" s="22"/>
    </row>
    <row r="171" customFormat="false" ht="15" hidden="false" customHeight="true" outlineLevel="0" collapsed="false">
      <c r="A171" s="20" t="s">
        <v>985</v>
      </c>
      <c r="B171" s="20" t="s">
        <v>206</v>
      </c>
      <c r="C171" s="19" t="str">
        <f aca="false">IFERROR(INDEX('قائمة الوحدات'!$B$2:$B$41,MATCH($B171,'قائمة الوحدات'!$A$2:$A$41,0)),"")</f>
        <v>MIL</v>
      </c>
      <c r="D171" s="18" t="str">
        <f aca="false">IFERROR(INDEX('قائمة الوحدات'!$C$2:$C$41,MATCH($B171,'قائمة الوحدات'!$A$2:$A$41,0)),"")</f>
        <v>الجهاز العسكري</v>
      </c>
      <c r="E171" s="18" t="str">
        <f aca="false">IFERROR(INDEX('قائمة الوحدات'!$D$2:$D$41,MATCH($B171,'قائمة الوحدات'!$A$2:$A$41,0)),"")</f>
        <v>قيادة القوات الاستراتيجية</v>
      </c>
      <c r="F171" s="18" t="str">
        <f aca="false">IFERROR(INDEX('قائمة الوحدات'!$F$2:$F$41,MATCH($B171,'قائمة الوحدات'!$A$2:$A$41,0)),"")</f>
        <v>قيادة القوات الاستراتيجية</v>
      </c>
      <c r="G171" s="20" t="s">
        <v>62</v>
      </c>
      <c r="H171" s="18" t="str">
        <f aca="false">IFERROR(INDEX(المرجع!$A$2:$A$19,MATCH($G171,المرجع!$B$2:$B$19,0)),"")</f>
        <v>البناء المؤسسي</v>
      </c>
      <c r="I171" s="20" t="s">
        <v>57</v>
      </c>
      <c r="J171" s="18" t="str">
        <f aca="false">IFERROR(INDEX(المرجع!$D$2:$D$19,MATCH($I171,المرجع!$E$2:$E$19,0)),"")</f>
        <v>الموارد</v>
      </c>
      <c r="K171" s="20" t="s">
        <v>114</v>
      </c>
      <c r="L171" s="21" t="str">
        <f aca="false">IFERROR(INDEX('نقاط التحقق'!$G$2:$G$31,MATCH($K171,'نقاط التحقق'!$A$2:$A$31,0))&amp;"","")</f>
        <v>وجود الاحتياجات التقنية الأساسية</v>
      </c>
      <c r="M171" s="17" t="n">
        <v>60</v>
      </c>
      <c r="N171" s="17" t="n">
        <v>85</v>
      </c>
      <c r="O171" s="19" t="str">
        <f aca="false">IF($M171="","غير مقيّمة",IF($M171&gt;المرجع!$K$3,"مستوفاة بشكل متقدم",IF($M171&lt;=المرجع!$K$2,"مستوفاة بشكل أولي","مستوفاة بشكل جزئي")))</f>
        <v>مستوفاة بشكل جزئي</v>
      </c>
      <c r="P171" s="22"/>
    </row>
    <row r="172" customFormat="false" ht="15" hidden="false" customHeight="true" outlineLevel="0" collapsed="false">
      <c r="A172" s="20" t="s">
        <v>986</v>
      </c>
      <c r="B172" s="20" t="s">
        <v>206</v>
      </c>
      <c r="C172" s="19" t="str">
        <f aca="false">IFERROR(INDEX('قائمة الوحدات'!$B$2:$B$41,MATCH($B172,'قائمة الوحدات'!$A$2:$A$41,0)),"")</f>
        <v>MIL</v>
      </c>
      <c r="D172" s="18" t="str">
        <f aca="false">IFERROR(INDEX('قائمة الوحدات'!$C$2:$C$41,MATCH($B172,'قائمة الوحدات'!$A$2:$A$41,0)),"")</f>
        <v>الجهاز العسكري</v>
      </c>
      <c r="E172" s="18" t="str">
        <f aca="false">IFERROR(INDEX('قائمة الوحدات'!$D$2:$D$41,MATCH($B172,'قائمة الوحدات'!$A$2:$A$41,0)),"")</f>
        <v>قيادة القوات الاستراتيجية</v>
      </c>
      <c r="F172" s="18" t="str">
        <f aca="false">IFERROR(INDEX('قائمة الوحدات'!$F$2:$F$41,MATCH($B172,'قائمة الوحدات'!$A$2:$A$41,0)),"")</f>
        <v>قيادة القوات الاستراتيجية</v>
      </c>
      <c r="G172" s="20" t="s">
        <v>62</v>
      </c>
      <c r="H172" s="18" t="str">
        <f aca="false">IFERROR(INDEX(المرجع!$A$2:$A$19,MATCH($G172,المرجع!$B$2:$B$19,0)),"")</f>
        <v>البناء المؤسسي</v>
      </c>
      <c r="I172" s="20" t="s">
        <v>60</v>
      </c>
      <c r="J172" s="18" t="str">
        <f aca="false">IFERROR(INDEX(المرجع!$D$2:$D$19,MATCH($I172,المرجع!$E$2:$E$19,0)),"")</f>
        <v>الإجراءات</v>
      </c>
      <c r="K172" s="20" t="s">
        <v>116</v>
      </c>
      <c r="L172" s="21" t="str">
        <f aca="false">IFERROR(INDEX('نقاط التحقق'!$G$2:$G$31,MATCH($K172,'نقاط التحقق'!$A$2:$A$31,0))&amp;"","")</f>
        <v>إجراءات معتمدة للوحدة التنظيمية</v>
      </c>
      <c r="M172" s="17" t="n">
        <v>45</v>
      </c>
      <c r="N172" s="17" t="n">
        <v>100</v>
      </c>
      <c r="O172" s="19" t="str">
        <f aca="false">IF($M172="","غير مقيّمة",IF($M172&gt;المرجع!$K$3,"مستوفاة بشكل متقدم",IF($M172&lt;=المرجع!$K$2,"مستوفاة بشكل أولي","مستوفاة بشكل جزئي")))</f>
        <v>مستوفاة بشكل جزئي</v>
      </c>
      <c r="P172" s="22"/>
    </row>
    <row r="173" customFormat="false" ht="15" hidden="false" customHeight="true" outlineLevel="0" collapsed="false">
      <c r="A173" s="20" t="s">
        <v>987</v>
      </c>
      <c r="B173" s="20" t="s">
        <v>206</v>
      </c>
      <c r="C173" s="19" t="str">
        <f aca="false">IFERROR(INDEX('قائمة الوحدات'!$B$2:$B$41,MATCH($B173,'قائمة الوحدات'!$A$2:$A$41,0)),"")</f>
        <v>MIL</v>
      </c>
      <c r="D173" s="18" t="str">
        <f aca="false">IFERROR(INDEX('قائمة الوحدات'!$C$2:$C$41,MATCH($B173,'قائمة الوحدات'!$A$2:$A$41,0)),"")</f>
        <v>الجهاز العسكري</v>
      </c>
      <c r="E173" s="18" t="str">
        <f aca="false">IFERROR(INDEX('قائمة الوحدات'!$D$2:$D$41,MATCH($B173,'قائمة الوحدات'!$A$2:$A$41,0)),"")</f>
        <v>قيادة القوات الاستراتيجية</v>
      </c>
      <c r="F173" s="18" t="str">
        <f aca="false">IFERROR(INDEX('قائمة الوحدات'!$F$2:$F$41,MATCH($B173,'قائمة الوحدات'!$A$2:$A$41,0)),"")</f>
        <v>قيادة القوات الاستراتيجية</v>
      </c>
      <c r="G173" s="20" t="s">
        <v>62</v>
      </c>
      <c r="H173" s="18" t="str">
        <f aca="false">IFERROR(INDEX(المرجع!$A$2:$A$19,MATCH($G173,المرجع!$B$2:$B$19,0)),"")</f>
        <v>البناء المؤسسي</v>
      </c>
      <c r="I173" s="20" t="s">
        <v>69</v>
      </c>
      <c r="J173" s="18" t="str">
        <f aca="false">IFERROR(INDEX(المرجع!$D$2:$D$19,MATCH($I173,المرجع!$E$2:$E$19,0)),"")</f>
        <v>إنتاج المخرج الأول</v>
      </c>
      <c r="K173" s="20" t="s">
        <v>118</v>
      </c>
      <c r="L173" s="21" t="str">
        <f aca="false">IFERROR(INDEX('نقاط التحقق'!$G$2:$G$31,MATCH($K173,'نقاط التحقق'!$A$2:$A$31,0))&amp;"","")</f>
        <v>إنتاج المخرج الأول من قبل الوحدة التنظيمية</v>
      </c>
      <c r="M173" s="17" t="n">
        <v>82</v>
      </c>
      <c r="N173" s="17" t="n">
        <v>100</v>
      </c>
      <c r="O173" s="19" t="str">
        <f aca="false">IF($M173="","غير مقيّمة",IF($M173&gt;المرجع!$K$3,"مستوفاة بشكل متقدم",IF($M173&lt;=المرجع!$K$2,"مستوفاة بشكل أولي","مستوفاة بشكل جزئي")))</f>
        <v>مستوفاة بشكل متقدم</v>
      </c>
      <c r="P173" s="22"/>
    </row>
    <row r="174" customFormat="false" ht="15" hidden="false" customHeight="true" outlineLevel="0" collapsed="false">
      <c r="A174" s="20" t="s">
        <v>988</v>
      </c>
      <c r="B174" s="20" t="s">
        <v>206</v>
      </c>
      <c r="C174" s="19" t="str">
        <f aca="false">IFERROR(INDEX('قائمة الوحدات'!$B$2:$B$41,MATCH($B174,'قائمة الوحدات'!$A$2:$A$41,0)),"")</f>
        <v>MIL</v>
      </c>
      <c r="D174" s="18" t="str">
        <f aca="false">IFERROR(INDEX('قائمة الوحدات'!$C$2:$C$41,MATCH($B174,'قائمة الوحدات'!$A$2:$A$41,0)),"")</f>
        <v>الجهاز العسكري</v>
      </c>
      <c r="E174" s="18" t="str">
        <f aca="false">IFERROR(INDEX('قائمة الوحدات'!$D$2:$D$41,MATCH($B174,'قائمة الوحدات'!$A$2:$A$41,0)),"")</f>
        <v>قيادة القوات الاستراتيجية</v>
      </c>
      <c r="F174" s="18" t="str">
        <f aca="false">IFERROR(INDEX('قائمة الوحدات'!$F$2:$F$41,MATCH($B174,'قائمة الوحدات'!$A$2:$A$41,0)),"")</f>
        <v>قيادة القوات الاستراتيجية</v>
      </c>
      <c r="G174" s="20" t="s">
        <v>66</v>
      </c>
      <c r="H174" s="18" t="str">
        <f aca="false">IFERROR(INDEX(المرجع!$A$2:$A$19,MATCH($G174,المرجع!$B$2:$B$19,0)),"")</f>
        <v>التشغيل</v>
      </c>
      <c r="I174" s="20" t="s">
        <v>49</v>
      </c>
      <c r="J174" s="18" t="str">
        <f aca="false">IFERROR(INDEX(المرجع!$D$2:$D$19,MATCH($I174,المرجع!$E$2:$E$19,0)),"")</f>
        <v>الأهداف ومؤشرات الأداء</v>
      </c>
      <c r="K174" s="20" t="s">
        <v>120</v>
      </c>
      <c r="L174" s="21" t="str">
        <f aca="false">IFERROR(INDEX('نقاط التحقق'!$G$2:$G$31,MATCH($K174,'نقاط التحقق'!$A$2:$A$31,0))&amp;"","")</f>
        <v>تحرك مؤشرات الأداء التشغيلي للوحدة التنظيمية بشكل إيجابي</v>
      </c>
      <c r="M174" s="17" t="n">
        <v>35</v>
      </c>
      <c r="N174" s="17" t="n">
        <v>80</v>
      </c>
      <c r="O174" s="19" t="str">
        <f aca="false">IF($M174="","غير مقيّمة",IF($M174&gt;المرجع!$K$3,"مستوفاة بشكل متقدم",IF($M174&lt;=المرجع!$K$2,"مستوفاة بشكل أولي","مستوفاة بشكل جزئي")))</f>
        <v>مستوفاة بشكل جزئي</v>
      </c>
      <c r="P174" s="22"/>
    </row>
    <row r="175" customFormat="false" ht="15" hidden="false" customHeight="true" outlineLevel="0" collapsed="false">
      <c r="A175" s="20" t="s">
        <v>989</v>
      </c>
      <c r="B175" s="20" t="s">
        <v>206</v>
      </c>
      <c r="C175" s="19" t="str">
        <f aca="false">IFERROR(INDEX('قائمة الوحدات'!$B$2:$B$41,MATCH($B175,'قائمة الوحدات'!$A$2:$A$41,0)),"")</f>
        <v>MIL</v>
      </c>
      <c r="D175" s="18" t="str">
        <f aca="false">IFERROR(INDEX('قائمة الوحدات'!$C$2:$C$41,MATCH($B175,'قائمة الوحدات'!$A$2:$A$41,0)),"")</f>
        <v>الجهاز العسكري</v>
      </c>
      <c r="E175" s="18" t="str">
        <f aca="false">IFERROR(INDEX('قائمة الوحدات'!$D$2:$D$41,MATCH($B175,'قائمة الوحدات'!$A$2:$A$41,0)),"")</f>
        <v>قيادة القوات الاستراتيجية</v>
      </c>
      <c r="F175" s="18" t="str">
        <f aca="false">IFERROR(INDEX('قائمة الوحدات'!$F$2:$F$41,MATCH($B175,'قائمة الوحدات'!$A$2:$A$41,0)),"")</f>
        <v>قيادة القوات الاستراتيجية</v>
      </c>
      <c r="G175" s="20" t="s">
        <v>66</v>
      </c>
      <c r="H175" s="18" t="str">
        <f aca="false">IFERROR(INDEX(المرجع!$A$2:$A$19,MATCH($G175,المرجع!$B$2:$B$19,0)),"")</f>
        <v>التشغيل</v>
      </c>
      <c r="I175" s="20" t="s">
        <v>49</v>
      </c>
      <c r="J175" s="18" t="str">
        <f aca="false">IFERROR(INDEX(المرجع!$D$2:$D$19,MATCH($I175,المرجع!$E$2:$E$19,0)),"")</f>
        <v>الأهداف ومؤشرات الأداء</v>
      </c>
      <c r="K175" s="20" t="s">
        <v>122</v>
      </c>
      <c r="L175" s="21" t="str">
        <f aca="false">IFERROR(INDEX('نقاط التحقق'!$G$2:$G$31,MATCH($K175,'نقاط التحقق'!$A$2:$A$31,0))&amp;"","")</f>
        <v>خطة سنوية معتمدة للوحدة التنظيمية</v>
      </c>
      <c r="M175" s="17" t="n">
        <v>30</v>
      </c>
      <c r="N175" s="17" t="n">
        <v>80</v>
      </c>
      <c r="O175" s="19" t="str">
        <f aca="false">IF($M175="","غير مقيّمة",IF($M175&gt;المرجع!$K$3,"مستوفاة بشكل متقدم",IF($M175&lt;=المرجع!$K$2,"مستوفاة بشكل أولي","مستوفاة بشكل جزئي")))</f>
        <v>مستوفاة بشكل أولي</v>
      </c>
      <c r="P175" s="22"/>
    </row>
    <row r="176" customFormat="false" ht="15" hidden="false" customHeight="true" outlineLevel="0" collapsed="false">
      <c r="A176" s="20" t="s">
        <v>990</v>
      </c>
      <c r="B176" s="20" t="s">
        <v>206</v>
      </c>
      <c r="C176" s="19" t="str">
        <f aca="false">IFERROR(INDEX('قائمة الوحدات'!$B$2:$B$41,MATCH($B176,'قائمة الوحدات'!$A$2:$A$41,0)),"")</f>
        <v>MIL</v>
      </c>
      <c r="D176" s="18" t="str">
        <f aca="false">IFERROR(INDEX('قائمة الوحدات'!$C$2:$C$41,MATCH($B176,'قائمة الوحدات'!$A$2:$A$41,0)),"")</f>
        <v>الجهاز العسكري</v>
      </c>
      <c r="E176" s="18" t="str">
        <f aca="false">IFERROR(INDEX('قائمة الوحدات'!$D$2:$D$41,MATCH($B176,'قائمة الوحدات'!$A$2:$A$41,0)),"")</f>
        <v>قيادة القوات الاستراتيجية</v>
      </c>
      <c r="F176" s="18" t="str">
        <f aca="false">IFERROR(INDEX('قائمة الوحدات'!$F$2:$F$41,MATCH($B176,'قائمة الوحدات'!$A$2:$A$41,0)),"")</f>
        <v>قيادة القوات الاستراتيجية</v>
      </c>
      <c r="G176" s="20" t="s">
        <v>66</v>
      </c>
      <c r="H176" s="18" t="str">
        <f aca="false">IFERROR(INDEX(المرجع!$A$2:$A$19,MATCH($G176,المرجع!$B$2:$B$19,0)),"")</f>
        <v>التشغيل</v>
      </c>
      <c r="I176" s="20" t="s">
        <v>52</v>
      </c>
      <c r="J176" s="18" t="str">
        <f aca="false">IFERROR(INDEX(المرجع!$D$2:$D$19,MATCH($I176,المرجع!$E$2:$E$19,0)),"")</f>
        <v>الحوكمة</v>
      </c>
      <c r="K176" s="20" t="s">
        <v>124</v>
      </c>
      <c r="L176" s="21" t="str">
        <f aca="false">IFERROR(INDEX('نقاط التحقق'!$G$2:$G$31,MATCH($K176,'نقاط التحقق'!$A$2:$A$31,0))&amp;"","")</f>
        <v>محاضر لجان موثقة</v>
      </c>
      <c r="M176" s="17" t="n">
        <v>30</v>
      </c>
      <c r="N176" s="17" t="n">
        <v>90</v>
      </c>
      <c r="O176" s="19" t="str">
        <f aca="false">IF($M176="","غير مقيّمة",IF($M176&gt;المرجع!$K$3,"مستوفاة بشكل متقدم",IF($M176&lt;=المرجع!$K$2,"مستوفاة بشكل أولي","مستوفاة بشكل جزئي")))</f>
        <v>مستوفاة بشكل أولي</v>
      </c>
      <c r="P176" s="22"/>
    </row>
    <row r="177" customFormat="false" ht="15" hidden="false" customHeight="true" outlineLevel="0" collapsed="false">
      <c r="A177" s="20" t="s">
        <v>991</v>
      </c>
      <c r="B177" s="20" t="s">
        <v>206</v>
      </c>
      <c r="C177" s="19" t="str">
        <f aca="false">IFERROR(INDEX('قائمة الوحدات'!$B$2:$B$41,MATCH($B177,'قائمة الوحدات'!$A$2:$A$41,0)),"")</f>
        <v>MIL</v>
      </c>
      <c r="D177" s="18" t="str">
        <f aca="false">IFERROR(INDEX('قائمة الوحدات'!$C$2:$C$41,MATCH($B177,'قائمة الوحدات'!$A$2:$A$41,0)),"")</f>
        <v>الجهاز العسكري</v>
      </c>
      <c r="E177" s="18" t="str">
        <f aca="false">IFERROR(INDEX('قائمة الوحدات'!$D$2:$D$41,MATCH($B177,'قائمة الوحدات'!$A$2:$A$41,0)),"")</f>
        <v>قيادة القوات الاستراتيجية</v>
      </c>
      <c r="F177" s="18" t="str">
        <f aca="false">IFERROR(INDEX('قائمة الوحدات'!$F$2:$F$41,MATCH($B177,'قائمة الوحدات'!$A$2:$A$41,0)),"")</f>
        <v>قيادة القوات الاستراتيجية</v>
      </c>
      <c r="G177" s="20" t="s">
        <v>66</v>
      </c>
      <c r="H177" s="18" t="str">
        <f aca="false">IFERROR(INDEX(المرجع!$A$2:$A$19,MATCH($G177,المرجع!$B$2:$B$19,0)),"")</f>
        <v>التشغيل</v>
      </c>
      <c r="I177" s="20" t="s">
        <v>52</v>
      </c>
      <c r="J177" s="18" t="str">
        <f aca="false">IFERROR(INDEX(المرجع!$D$2:$D$19,MATCH($I177,المرجع!$E$2:$E$19,0)),"")</f>
        <v>الحوكمة</v>
      </c>
      <c r="K177" s="20" t="s">
        <v>126</v>
      </c>
      <c r="L177" s="21" t="str">
        <f aca="false">IFERROR(INDEX('نقاط التحقق'!$G$2:$G$31,MATCH($K177,'نقاط التحقق'!$A$2:$A$31,0))&amp;"","")</f>
        <v>نشر السياسات التي تملكها الوحدة التنظيمية</v>
      </c>
      <c r="M177" s="17" t="n">
        <v>30</v>
      </c>
      <c r="N177" s="17" t="n">
        <v>100</v>
      </c>
      <c r="O177" s="19" t="str">
        <f aca="false">IF($M177="","غير مقيّمة",IF($M177&gt;المرجع!$K$3,"مستوفاة بشكل متقدم",IF($M177&lt;=المرجع!$K$2,"مستوفاة بشكل أولي","مستوفاة بشكل جزئي")))</f>
        <v>مستوفاة بشكل أولي</v>
      </c>
      <c r="P177" s="22"/>
    </row>
    <row r="178" customFormat="false" ht="15" hidden="false" customHeight="true" outlineLevel="0" collapsed="false">
      <c r="A178" s="20" t="s">
        <v>992</v>
      </c>
      <c r="B178" s="20" t="s">
        <v>206</v>
      </c>
      <c r="C178" s="19" t="str">
        <f aca="false">IFERROR(INDEX('قائمة الوحدات'!$B$2:$B$41,MATCH($B178,'قائمة الوحدات'!$A$2:$A$41,0)),"")</f>
        <v>MIL</v>
      </c>
      <c r="D178" s="18" t="str">
        <f aca="false">IFERROR(INDEX('قائمة الوحدات'!$C$2:$C$41,MATCH($B178,'قائمة الوحدات'!$A$2:$A$41,0)),"")</f>
        <v>الجهاز العسكري</v>
      </c>
      <c r="E178" s="18" t="str">
        <f aca="false">IFERROR(INDEX('قائمة الوحدات'!$D$2:$D$41,MATCH($B178,'قائمة الوحدات'!$A$2:$A$41,0)),"")</f>
        <v>قيادة القوات الاستراتيجية</v>
      </c>
      <c r="F178" s="18" t="str">
        <f aca="false">IFERROR(INDEX('قائمة الوحدات'!$F$2:$F$41,MATCH($B178,'قائمة الوحدات'!$A$2:$A$41,0)),"")</f>
        <v>قيادة القوات الاستراتيجية</v>
      </c>
      <c r="G178" s="20" t="s">
        <v>66</v>
      </c>
      <c r="H178" s="18" t="str">
        <f aca="false">IFERROR(INDEX(المرجع!$A$2:$A$19,MATCH($G178,المرجع!$B$2:$B$19,0)),"")</f>
        <v>التشغيل</v>
      </c>
      <c r="I178" s="20" t="s">
        <v>52</v>
      </c>
      <c r="J178" s="18" t="str">
        <f aca="false">IFERROR(INDEX(المرجع!$D$2:$D$19,MATCH($I178,المرجع!$E$2:$E$19,0)),"")</f>
        <v>الحوكمة</v>
      </c>
      <c r="K178" s="20" t="s">
        <v>128</v>
      </c>
      <c r="L178" s="21" t="str">
        <f aca="false">IFERROR(INDEX('نقاط التحقق'!$G$2:$G$31,MATCH($K178,'نقاط التحقق'!$A$2:$A$31,0))&amp;"","")</f>
        <v>اتخاذ القرارات في نطاق الصلاحيات (وجود شواهد)</v>
      </c>
      <c r="M178" s="17" t="n">
        <v>30</v>
      </c>
      <c r="N178" s="17" t="n">
        <v>80</v>
      </c>
      <c r="O178" s="19" t="str">
        <f aca="false">IF($M178="","غير مقيّمة",IF($M178&gt;المرجع!$K$3,"مستوفاة بشكل متقدم",IF($M178&lt;=المرجع!$K$2,"مستوفاة بشكل أولي","مستوفاة بشكل جزئي")))</f>
        <v>مستوفاة بشكل أولي</v>
      </c>
      <c r="P178" s="22"/>
    </row>
    <row r="179" customFormat="false" ht="15" hidden="false" customHeight="true" outlineLevel="0" collapsed="false">
      <c r="A179" s="20" t="s">
        <v>993</v>
      </c>
      <c r="B179" s="20" t="s">
        <v>206</v>
      </c>
      <c r="C179" s="19" t="str">
        <f aca="false">IFERROR(INDEX('قائمة الوحدات'!$B$2:$B$41,MATCH($B179,'قائمة الوحدات'!$A$2:$A$41,0)),"")</f>
        <v>MIL</v>
      </c>
      <c r="D179" s="18" t="str">
        <f aca="false">IFERROR(INDEX('قائمة الوحدات'!$C$2:$C$41,MATCH($B179,'قائمة الوحدات'!$A$2:$A$41,0)),"")</f>
        <v>الجهاز العسكري</v>
      </c>
      <c r="E179" s="18" t="str">
        <f aca="false">IFERROR(INDEX('قائمة الوحدات'!$D$2:$D$41,MATCH($B179,'قائمة الوحدات'!$A$2:$A$41,0)),"")</f>
        <v>قيادة القوات الاستراتيجية</v>
      </c>
      <c r="F179" s="18" t="str">
        <f aca="false">IFERROR(INDEX('قائمة الوحدات'!$F$2:$F$41,MATCH($B179,'قائمة الوحدات'!$A$2:$A$41,0)),"")</f>
        <v>قيادة القوات الاستراتيجية</v>
      </c>
      <c r="G179" s="20" t="s">
        <v>66</v>
      </c>
      <c r="H179" s="18" t="str">
        <f aca="false">IFERROR(INDEX(المرجع!$A$2:$A$19,MATCH($G179,المرجع!$B$2:$B$19,0)),"")</f>
        <v>التشغيل</v>
      </c>
      <c r="I179" s="20" t="s">
        <v>57</v>
      </c>
      <c r="J179" s="18" t="str">
        <f aca="false">IFERROR(INDEX(المرجع!$D$2:$D$19,MATCH($I179,المرجع!$E$2:$E$19,0)),"")</f>
        <v>الموارد</v>
      </c>
      <c r="K179" s="20" t="s">
        <v>130</v>
      </c>
      <c r="L179" s="21" t="str">
        <f aca="false">IFERROR(INDEX('نقاط التحقق'!$G$2:$G$31,MATCH($K179,'نقاط التحقق'!$A$2:$A$31,0))&amp;"","")</f>
        <v>موارد مستكملة للحد الأدنى الذي يغطي كافة محاور سلسلة القيمة</v>
      </c>
      <c r="M179" s="17" t="n">
        <v>44</v>
      </c>
      <c r="N179" s="17" t="n">
        <v>85</v>
      </c>
      <c r="O179" s="19" t="str">
        <f aca="false">IF($M179="","غير مقيّمة",IF($M179&gt;المرجع!$K$3,"مستوفاة بشكل متقدم",IF($M179&lt;=المرجع!$K$2,"مستوفاة بشكل أولي","مستوفاة بشكل جزئي")))</f>
        <v>مستوفاة بشكل جزئي</v>
      </c>
      <c r="P179" s="22"/>
    </row>
    <row r="180" customFormat="false" ht="15" hidden="false" customHeight="true" outlineLevel="0" collapsed="false">
      <c r="A180" s="20" t="s">
        <v>994</v>
      </c>
      <c r="B180" s="20" t="s">
        <v>206</v>
      </c>
      <c r="C180" s="19" t="str">
        <f aca="false">IFERROR(INDEX('قائمة الوحدات'!$B$2:$B$41,MATCH($B180,'قائمة الوحدات'!$A$2:$A$41,0)),"")</f>
        <v>MIL</v>
      </c>
      <c r="D180" s="18" t="str">
        <f aca="false">IFERROR(INDEX('قائمة الوحدات'!$C$2:$C$41,MATCH($B180,'قائمة الوحدات'!$A$2:$A$41,0)),"")</f>
        <v>الجهاز العسكري</v>
      </c>
      <c r="E180" s="18" t="str">
        <f aca="false">IFERROR(INDEX('قائمة الوحدات'!$D$2:$D$41,MATCH($B180,'قائمة الوحدات'!$A$2:$A$41,0)),"")</f>
        <v>قيادة القوات الاستراتيجية</v>
      </c>
      <c r="F180" s="18" t="str">
        <f aca="false">IFERROR(INDEX('قائمة الوحدات'!$F$2:$F$41,MATCH($B180,'قائمة الوحدات'!$A$2:$A$41,0)),"")</f>
        <v>قيادة القوات الاستراتيجية</v>
      </c>
      <c r="G180" s="20" t="s">
        <v>66</v>
      </c>
      <c r="H180" s="18" t="str">
        <f aca="false">IFERROR(INDEX(المرجع!$A$2:$A$19,MATCH($G180,المرجع!$B$2:$B$19,0)),"")</f>
        <v>التشغيل</v>
      </c>
      <c r="I180" s="20" t="s">
        <v>60</v>
      </c>
      <c r="J180" s="18" t="str">
        <f aca="false">IFERROR(INDEX(المرجع!$D$2:$D$19,MATCH($I180,المرجع!$E$2:$E$19,0)),"")</f>
        <v>الإجراءات</v>
      </c>
      <c r="K180" s="20" t="s">
        <v>132</v>
      </c>
      <c r="L180" s="21" t="str">
        <f aca="false">IFERROR(INDEX('نقاط التحقق'!$G$2:$G$31,MATCH($K180,'نقاط التحقق'!$A$2:$A$31,0))&amp;"","")</f>
        <v>تحقيق تقييم "مطبق بشكل كامل" من منهجية تقييم فعالية الإجراءات</v>
      </c>
      <c r="M180" s="17" t="n">
        <v>61</v>
      </c>
      <c r="N180" s="17" t="n">
        <v>95</v>
      </c>
      <c r="O180" s="19" t="str">
        <f aca="false">IF($M180="","غير مقيّمة",IF($M180&gt;المرجع!$K$3,"مستوفاة بشكل متقدم",IF($M180&lt;=المرجع!$K$2,"مستوفاة بشكل أولي","مستوفاة بشكل جزئي")))</f>
        <v>مستوفاة بشكل جزئي</v>
      </c>
      <c r="P180" s="22"/>
    </row>
    <row r="181" customFormat="false" ht="15" hidden="false" customHeight="true" outlineLevel="0" collapsed="false">
      <c r="A181" s="20" t="s">
        <v>995</v>
      </c>
      <c r="B181" s="20" t="s">
        <v>206</v>
      </c>
      <c r="C181" s="19" t="str">
        <f aca="false">IFERROR(INDEX('قائمة الوحدات'!$B$2:$B$41,MATCH($B181,'قائمة الوحدات'!$A$2:$A$41,0)),"")</f>
        <v>MIL</v>
      </c>
      <c r="D181" s="18" t="str">
        <f aca="false">IFERROR(INDEX('قائمة الوحدات'!$C$2:$C$41,MATCH($B181,'قائمة الوحدات'!$A$2:$A$41,0)),"")</f>
        <v>الجهاز العسكري</v>
      </c>
      <c r="E181" s="18" t="str">
        <f aca="false">IFERROR(INDEX('قائمة الوحدات'!$D$2:$D$41,MATCH($B181,'قائمة الوحدات'!$A$2:$A$41,0)),"")</f>
        <v>قيادة القوات الاستراتيجية</v>
      </c>
      <c r="F181" s="18" t="str">
        <f aca="false">IFERROR(INDEX('قائمة الوحدات'!$F$2:$F$41,MATCH($B181,'قائمة الوحدات'!$A$2:$A$41,0)),"")</f>
        <v>قيادة القوات الاستراتيجية</v>
      </c>
      <c r="G181" s="20" t="s">
        <v>66</v>
      </c>
      <c r="H181" s="18" t="str">
        <f aca="false">IFERROR(INDEX(المرجع!$A$2:$A$19,MATCH($G181,المرجع!$B$2:$B$19,0)),"")</f>
        <v>التشغيل</v>
      </c>
      <c r="I181" s="20" t="s">
        <v>71</v>
      </c>
      <c r="J181" s="18" t="str">
        <f aca="false">IFERROR(INDEX(المرجع!$D$2:$D$19,MATCH($I181,المرجع!$E$2:$E$19,0)),"")</f>
        <v>اكتمال المخرجات المستهدفة</v>
      </c>
      <c r="K181" s="20" t="s">
        <v>134</v>
      </c>
      <c r="L181" s="21" t="str">
        <f aca="false">IFERROR(INDEX('نقاط التحقق'!$G$2:$G$31,MATCH($K181,'نقاط التحقق'!$A$2:$A$31,0))&amp;"","")</f>
        <v>اكتمال مخرجات النموذج التشغيلي المستهدف للوحدة التنظيمية</v>
      </c>
      <c r="M181" s="17" t="n">
        <v>27</v>
      </c>
      <c r="N181" s="17" t="n">
        <v>100</v>
      </c>
      <c r="O181" s="19" t="str">
        <f aca="false">IF($M181="","غير مقيّمة",IF($M181&gt;المرجع!$K$3,"مستوفاة بشكل متقدم",IF($M181&lt;=المرجع!$K$2,"مستوفاة بشكل أولي","مستوفاة بشكل جزئي")))</f>
        <v>مستوفاة بشكل أولي</v>
      </c>
      <c r="P181" s="22"/>
    </row>
    <row r="182" customFormat="false" ht="15" hidden="false" customHeight="true" outlineLevel="0" collapsed="false">
      <c r="A182" s="20" t="s">
        <v>996</v>
      </c>
      <c r="B182" s="20" t="s">
        <v>208</v>
      </c>
      <c r="C182" s="19" t="str">
        <f aca="false">IFERROR(INDEX('قائمة الوحدات'!$B$2:$B$41,MATCH($B182,'قائمة الوحدات'!$A$2:$A$41,0)),"")</f>
        <v>MIL</v>
      </c>
      <c r="D182" s="18" t="str">
        <f aca="false">IFERROR(INDEX('قائمة الوحدات'!$C$2:$C$41,MATCH($B182,'قائمة الوحدات'!$A$2:$A$41,0)),"")</f>
        <v>الجهاز العسكري</v>
      </c>
      <c r="E182" s="18" t="str">
        <f aca="false">IFERROR(INDEX('قائمة الوحدات'!$D$2:$D$41,MATCH($B182,'قائمة الوحدات'!$A$2:$A$41,0)),"")</f>
        <v>الإدارة العامة للاستخبارات العسكرية</v>
      </c>
      <c r="F182" s="18" t="str">
        <f aca="false">IFERROR(INDEX('قائمة الوحدات'!$F$2:$F$41,MATCH($B182,'قائمة الوحدات'!$A$2:$A$41,0)),"")</f>
        <v>الإدارة العامة للاستخبارات العسكرية</v>
      </c>
      <c r="G182" s="20" t="s">
        <v>44</v>
      </c>
      <c r="H182" s="18" t="str">
        <f aca="false">IFERROR(INDEX(المرجع!$A$2:$A$19,MATCH($G182,المرجع!$B$2:$B$19,0)),"")</f>
        <v>التصميم</v>
      </c>
      <c r="I182" s="20" t="s">
        <v>46</v>
      </c>
      <c r="J182" s="18" t="str">
        <f aca="false">IFERROR(INDEX(المرجع!$D$2:$D$19,MATCH($I182,المرجع!$E$2:$E$19,0)),"")</f>
        <v>الدور</v>
      </c>
      <c r="K182" s="20" t="s">
        <v>76</v>
      </c>
      <c r="L182" s="21" t="str">
        <f aca="false">IFERROR(INDEX('نقاط التحقق'!$G$2:$G$31,MATCH($K182,'نقاط التحقق'!$A$2:$A$31,0))&amp;"","")</f>
        <v>دور مفصل للوحدة التنظيمية</v>
      </c>
      <c r="M182" s="17" t="n">
        <v>95</v>
      </c>
      <c r="N182" s="17" t="n">
        <v>95</v>
      </c>
      <c r="O182" s="19" t="str">
        <f aca="false">IF($M182="","غير مقيّمة",IF($M182&gt;المرجع!$K$3,"مستوفاة بشكل متقدم",IF($M182&lt;=المرجع!$K$2,"مستوفاة بشكل أولي","مستوفاة بشكل جزئي")))</f>
        <v>مستوفاة بشكل متقدم</v>
      </c>
      <c r="P182" s="22"/>
    </row>
    <row r="183" customFormat="false" ht="15" hidden="false" customHeight="true" outlineLevel="0" collapsed="false">
      <c r="A183" s="20" t="s">
        <v>997</v>
      </c>
      <c r="B183" s="20" t="s">
        <v>208</v>
      </c>
      <c r="C183" s="19" t="str">
        <f aca="false">IFERROR(INDEX('قائمة الوحدات'!$B$2:$B$41,MATCH($B183,'قائمة الوحدات'!$A$2:$A$41,0)),"")</f>
        <v>MIL</v>
      </c>
      <c r="D183" s="18" t="str">
        <f aca="false">IFERROR(INDEX('قائمة الوحدات'!$C$2:$C$41,MATCH($B183,'قائمة الوحدات'!$A$2:$A$41,0)),"")</f>
        <v>الجهاز العسكري</v>
      </c>
      <c r="E183" s="18" t="str">
        <f aca="false">IFERROR(INDEX('قائمة الوحدات'!$D$2:$D$41,MATCH($B183,'قائمة الوحدات'!$A$2:$A$41,0)),"")</f>
        <v>الإدارة العامة للاستخبارات العسكرية</v>
      </c>
      <c r="F183" s="18" t="str">
        <f aca="false">IFERROR(INDEX('قائمة الوحدات'!$F$2:$F$41,MATCH($B183,'قائمة الوحدات'!$A$2:$A$41,0)),"")</f>
        <v>الإدارة العامة للاستخبارات العسكرية</v>
      </c>
      <c r="G183" s="20" t="s">
        <v>44</v>
      </c>
      <c r="H183" s="18" t="str">
        <f aca="false">IFERROR(INDEX(المرجع!$A$2:$A$19,MATCH($G183,المرجع!$B$2:$B$19,0)),"")</f>
        <v>التصميم</v>
      </c>
      <c r="I183" s="20" t="s">
        <v>49</v>
      </c>
      <c r="J183" s="18" t="str">
        <f aca="false">IFERROR(INDEX(المرجع!$D$2:$D$19,MATCH($I183,المرجع!$E$2:$E$19,0)),"")</f>
        <v>الأهداف ومؤشرات الأداء</v>
      </c>
      <c r="K183" s="20" t="s">
        <v>78</v>
      </c>
      <c r="L183" s="21" t="str">
        <f aca="false">IFERROR(INDEX('نقاط التحقق'!$G$2:$G$31,MATCH($K183,'نقاط التحقق'!$A$2:$A$31,0))&amp;"","")</f>
        <v>أهداف محددة للوحدة التنظيمية وربطها بمؤشرات أداء لقياسها</v>
      </c>
      <c r="M183" s="17" t="n">
        <v>100</v>
      </c>
      <c r="N183" s="17" t="n">
        <v>100</v>
      </c>
      <c r="O183" s="19" t="str">
        <f aca="false">IF($M183="","غير مقيّمة",IF($M183&gt;المرجع!$K$3,"مستوفاة بشكل متقدم",IF($M183&lt;=المرجع!$K$2,"مستوفاة بشكل أولي","مستوفاة بشكل جزئي")))</f>
        <v>مستوفاة بشكل متقدم</v>
      </c>
      <c r="P183" s="22"/>
    </row>
    <row r="184" customFormat="false" ht="15" hidden="false" customHeight="true" outlineLevel="0" collapsed="false">
      <c r="A184" s="20" t="s">
        <v>998</v>
      </c>
      <c r="B184" s="20" t="s">
        <v>208</v>
      </c>
      <c r="C184" s="19" t="str">
        <f aca="false">IFERROR(INDEX('قائمة الوحدات'!$B$2:$B$41,MATCH($B184,'قائمة الوحدات'!$A$2:$A$41,0)),"")</f>
        <v>MIL</v>
      </c>
      <c r="D184" s="18" t="str">
        <f aca="false">IFERROR(INDEX('قائمة الوحدات'!$C$2:$C$41,MATCH($B184,'قائمة الوحدات'!$A$2:$A$41,0)),"")</f>
        <v>الجهاز العسكري</v>
      </c>
      <c r="E184" s="18" t="str">
        <f aca="false">IFERROR(INDEX('قائمة الوحدات'!$D$2:$D$41,MATCH($B184,'قائمة الوحدات'!$A$2:$A$41,0)),"")</f>
        <v>الإدارة العامة للاستخبارات العسكرية</v>
      </c>
      <c r="F184" s="18" t="str">
        <f aca="false">IFERROR(INDEX('قائمة الوحدات'!$F$2:$F$41,MATCH($B184,'قائمة الوحدات'!$A$2:$A$41,0)),"")</f>
        <v>الإدارة العامة للاستخبارات العسكرية</v>
      </c>
      <c r="G184" s="20" t="s">
        <v>44</v>
      </c>
      <c r="H184" s="18" t="str">
        <f aca="false">IFERROR(INDEX(المرجع!$A$2:$A$19,MATCH($G184,المرجع!$B$2:$B$19,0)),"")</f>
        <v>التصميم</v>
      </c>
      <c r="I184" s="20" t="s">
        <v>49</v>
      </c>
      <c r="J184" s="18" t="str">
        <f aca="false">IFERROR(INDEX(المرجع!$D$2:$D$19,MATCH($I184,المرجع!$E$2:$E$19,0)),"")</f>
        <v>الأهداف ومؤشرات الأداء</v>
      </c>
      <c r="K184" s="20" t="s">
        <v>80</v>
      </c>
      <c r="L184" s="21" t="str">
        <f aca="false">IFERROR(INDEX('نقاط التحقق'!$G$2:$G$31,MATCH($K184,'نقاط التحقق'!$A$2:$A$31,0))&amp;"","")</f>
        <v>مؤشرات أداء الوحدة التنظيمية</v>
      </c>
      <c r="M184" s="17" t="n">
        <v>85</v>
      </c>
      <c r="N184" s="17" t="n">
        <v>85</v>
      </c>
      <c r="O184" s="19" t="str">
        <f aca="false">IF($M184="","غير مقيّمة",IF($M184&gt;المرجع!$K$3,"مستوفاة بشكل متقدم",IF($M184&lt;=المرجع!$K$2,"مستوفاة بشكل أولي","مستوفاة بشكل جزئي")))</f>
        <v>مستوفاة بشكل متقدم</v>
      </c>
      <c r="P184" s="22"/>
    </row>
    <row r="185" customFormat="false" ht="15" hidden="false" customHeight="true" outlineLevel="0" collapsed="false">
      <c r="A185" s="20" t="s">
        <v>999</v>
      </c>
      <c r="B185" s="20" t="s">
        <v>208</v>
      </c>
      <c r="C185" s="19" t="str">
        <f aca="false">IFERROR(INDEX('قائمة الوحدات'!$B$2:$B$41,MATCH($B185,'قائمة الوحدات'!$A$2:$A$41,0)),"")</f>
        <v>MIL</v>
      </c>
      <c r="D185" s="18" t="str">
        <f aca="false">IFERROR(INDEX('قائمة الوحدات'!$C$2:$C$41,MATCH($B185,'قائمة الوحدات'!$A$2:$A$41,0)),"")</f>
        <v>الجهاز العسكري</v>
      </c>
      <c r="E185" s="18" t="str">
        <f aca="false">IFERROR(INDEX('قائمة الوحدات'!$D$2:$D$41,MATCH($B185,'قائمة الوحدات'!$A$2:$A$41,0)),"")</f>
        <v>الإدارة العامة للاستخبارات العسكرية</v>
      </c>
      <c r="F185" s="18" t="str">
        <f aca="false">IFERROR(INDEX('قائمة الوحدات'!$F$2:$F$41,MATCH($B185,'قائمة الوحدات'!$A$2:$A$41,0)),"")</f>
        <v>الإدارة العامة للاستخبارات العسكرية</v>
      </c>
      <c r="G185" s="20" t="s">
        <v>44</v>
      </c>
      <c r="H185" s="18" t="str">
        <f aca="false">IFERROR(INDEX(المرجع!$A$2:$A$19,MATCH($G185,المرجع!$B$2:$B$19,0)),"")</f>
        <v>التصميم</v>
      </c>
      <c r="I185" s="20" t="s">
        <v>52</v>
      </c>
      <c r="J185" s="18" t="str">
        <f aca="false">IFERROR(INDEX(المرجع!$D$2:$D$19,MATCH($I185,المرجع!$E$2:$E$19,0)),"")</f>
        <v>الحوكمة</v>
      </c>
      <c r="K185" s="20" t="s">
        <v>82</v>
      </c>
      <c r="L185" s="21" t="str">
        <f aca="false">IFERROR(INDEX('نقاط التحقق'!$G$2:$G$31,MATCH($K185,'نقاط التحقق'!$A$2:$A$31,0))&amp;"","")</f>
        <v>تفصيل القرارات ومصفوفة الصلاحيات واللجان ذات العلاقة لاعتماد مخرجات الوحدة التنظيمية</v>
      </c>
      <c r="M185" s="17" t="n">
        <v>70</v>
      </c>
      <c r="N185" s="17" t="n">
        <v>90</v>
      </c>
      <c r="O185" s="19" t="str">
        <f aca="false">IF($M185="","غير مقيّمة",IF($M185&gt;المرجع!$K$3,"مستوفاة بشكل متقدم",IF($M185&lt;=المرجع!$K$2,"مستوفاة بشكل أولي","مستوفاة بشكل جزئي")))</f>
        <v>مستوفاة بشكل جزئي</v>
      </c>
      <c r="P185" s="22"/>
    </row>
    <row r="186" customFormat="false" ht="15" hidden="false" customHeight="true" outlineLevel="0" collapsed="false">
      <c r="A186" s="20" t="s">
        <v>1000</v>
      </c>
      <c r="B186" s="20" t="s">
        <v>208</v>
      </c>
      <c r="C186" s="19" t="str">
        <f aca="false">IFERROR(INDEX('قائمة الوحدات'!$B$2:$B$41,MATCH($B186,'قائمة الوحدات'!$A$2:$A$41,0)),"")</f>
        <v>MIL</v>
      </c>
      <c r="D186" s="18" t="str">
        <f aca="false">IFERROR(INDEX('قائمة الوحدات'!$C$2:$C$41,MATCH($B186,'قائمة الوحدات'!$A$2:$A$41,0)),"")</f>
        <v>الجهاز العسكري</v>
      </c>
      <c r="E186" s="18" t="str">
        <f aca="false">IFERROR(INDEX('قائمة الوحدات'!$D$2:$D$41,MATCH($B186,'قائمة الوحدات'!$A$2:$A$41,0)),"")</f>
        <v>الإدارة العامة للاستخبارات العسكرية</v>
      </c>
      <c r="F186" s="18" t="str">
        <f aca="false">IFERROR(INDEX('قائمة الوحدات'!$F$2:$F$41,MATCH($B186,'قائمة الوحدات'!$A$2:$A$41,0)),"")</f>
        <v>الإدارة العامة للاستخبارات العسكرية</v>
      </c>
      <c r="G186" s="20" t="s">
        <v>44</v>
      </c>
      <c r="H186" s="18" t="str">
        <f aca="false">IFERROR(INDEX(المرجع!$A$2:$A$19,MATCH($G186,المرجع!$B$2:$B$19,0)),"")</f>
        <v>التصميم</v>
      </c>
      <c r="I186" s="20" t="s">
        <v>55</v>
      </c>
      <c r="J186" s="18" t="str">
        <f aca="false">IFERROR(INDEX(المرجع!$D$2:$D$19,MATCH($I186,المرجع!$E$2:$E$19,0)),"")</f>
        <v>التنظيم</v>
      </c>
      <c r="K186" s="20" t="s">
        <v>84</v>
      </c>
      <c r="L186" s="21" t="str">
        <f aca="false">IFERROR(INDEX('نقاط التحقق'!$G$2:$G$31,MATCH($K186,'نقاط التحقق'!$A$2:$A$31,0))&amp;"","")</f>
        <v>تطوير الأدوار والمسؤوليات للوحدة التنظيمية وتفصيل الهيكل التنظيمي</v>
      </c>
      <c r="M186" s="17" t="n">
        <v>85</v>
      </c>
      <c r="N186" s="17" t="n">
        <v>90</v>
      </c>
      <c r="O186" s="19" t="str">
        <f aca="false">IF($M186="","غير مقيّمة",IF($M186&gt;المرجع!$K$3,"مستوفاة بشكل متقدم",IF($M186&lt;=المرجع!$K$2,"مستوفاة بشكل أولي","مستوفاة بشكل جزئي")))</f>
        <v>مستوفاة بشكل متقدم</v>
      </c>
      <c r="P186" s="22"/>
    </row>
    <row r="187" customFormat="false" ht="15" hidden="false" customHeight="true" outlineLevel="0" collapsed="false">
      <c r="A187" s="20" t="s">
        <v>1001</v>
      </c>
      <c r="B187" s="20" t="s">
        <v>208</v>
      </c>
      <c r="C187" s="19" t="str">
        <f aca="false">IFERROR(INDEX('قائمة الوحدات'!$B$2:$B$41,MATCH($B187,'قائمة الوحدات'!$A$2:$A$41,0)),"")</f>
        <v>MIL</v>
      </c>
      <c r="D187" s="18" t="str">
        <f aca="false">IFERROR(INDEX('قائمة الوحدات'!$C$2:$C$41,MATCH($B187,'قائمة الوحدات'!$A$2:$A$41,0)),"")</f>
        <v>الجهاز العسكري</v>
      </c>
      <c r="E187" s="18" t="str">
        <f aca="false">IFERROR(INDEX('قائمة الوحدات'!$D$2:$D$41,MATCH($B187,'قائمة الوحدات'!$A$2:$A$41,0)),"")</f>
        <v>الإدارة العامة للاستخبارات العسكرية</v>
      </c>
      <c r="F187" s="18" t="str">
        <f aca="false">IFERROR(INDEX('قائمة الوحدات'!$F$2:$F$41,MATCH($B187,'قائمة الوحدات'!$A$2:$A$41,0)),"")</f>
        <v>الإدارة العامة للاستخبارات العسكرية</v>
      </c>
      <c r="G187" s="20" t="s">
        <v>44</v>
      </c>
      <c r="H187" s="18" t="str">
        <f aca="false">IFERROR(INDEX(المرجع!$A$2:$A$19,MATCH($G187,المرجع!$B$2:$B$19,0)),"")</f>
        <v>التصميم</v>
      </c>
      <c r="I187" s="20" t="s">
        <v>57</v>
      </c>
      <c r="J187" s="18" t="str">
        <f aca="false">IFERROR(INDEX(المرجع!$D$2:$D$19,MATCH($I187,المرجع!$E$2:$E$19,0)),"")</f>
        <v>الموارد</v>
      </c>
      <c r="K187" s="20" t="s">
        <v>86</v>
      </c>
      <c r="L187" s="21" t="str">
        <f aca="false">IFERROR(INDEX('نقاط التحقق'!$G$2:$G$31,MATCH($K187,'نقاط التحقق'!$A$2:$A$31,0))&amp;"","")</f>
        <v>تفصيل احتياج الموارد البشرية للوحدة التنظيمية</v>
      </c>
      <c r="M187" s="17" t="n">
        <v>69</v>
      </c>
      <c r="N187" s="17" t="n">
        <v>100</v>
      </c>
      <c r="O187" s="19" t="str">
        <f aca="false">IF($M187="","غير مقيّمة",IF($M187&gt;المرجع!$K$3,"مستوفاة بشكل متقدم",IF($M187&lt;=المرجع!$K$2,"مستوفاة بشكل أولي","مستوفاة بشكل جزئي")))</f>
        <v>مستوفاة بشكل جزئي</v>
      </c>
      <c r="P187" s="22"/>
    </row>
    <row r="188" customFormat="false" ht="15" hidden="false" customHeight="true" outlineLevel="0" collapsed="false">
      <c r="A188" s="20" t="s">
        <v>1002</v>
      </c>
      <c r="B188" s="20" t="s">
        <v>208</v>
      </c>
      <c r="C188" s="19" t="str">
        <f aca="false">IFERROR(INDEX('قائمة الوحدات'!$B$2:$B$41,MATCH($B188,'قائمة الوحدات'!$A$2:$A$41,0)),"")</f>
        <v>MIL</v>
      </c>
      <c r="D188" s="18" t="str">
        <f aca="false">IFERROR(INDEX('قائمة الوحدات'!$C$2:$C$41,MATCH($B188,'قائمة الوحدات'!$A$2:$A$41,0)),"")</f>
        <v>الجهاز العسكري</v>
      </c>
      <c r="E188" s="18" t="str">
        <f aca="false">IFERROR(INDEX('قائمة الوحدات'!$D$2:$D$41,MATCH($B188,'قائمة الوحدات'!$A$2:$A$41,0)),"")</f>
        <v>الإدارة العامة للاستخبارات العسكرية</v>
      </c>
      <c r="F188" s="18" t="str">
        <f aca="false">IFERROR(INDEX('قائمة الوحدات'!$F$2:$F$41,MATCH($B188,'قائمة الوحدات'!$A$2:$A$41,0)),"")</f>
        <v>الإدارة العامة للاستخبارات العسكرية</v>
      </c>
      <c r="G188" s="20" t="s">
        <v>44</v>
      </c>
      <c r="H188" s="18" t="str">
        <f aca="false">IFERROR(INDEX(المرجع!$A$2:$A$19,MATCH($G188,المرجع!$B$2:$B$19,0)),"")</f>
        <v>التصميم</v>
      </c>
      <c r="I188" s="20" t="s">
        <v>60</v>
      </c>
      <c r="J188" s="18" t="str">
        <f aca="false">IFERROR(INDEX(المرجع!$D$2:$D$19,MATCH($I188,المرجع!$E$2:$E$19,0)),"")</f>
        <v>الإجراءات</v>
      </c>
      <c r="K188" s="20" t="s">
        <v>88</v>
      </c>
      <c r="L188" s="21" t="str">
        <f aca="false">IFERROR(INDEX('نقاط التحقق'!$G$2:$G$31,MATCH($K188,'نقاط التحقق'!$A$2:$A$31,0))&amp;"","")</f>
        <v>تفصيل المخرجات إلى إجراءات عالية المستوى</v>
      </c>
      <c r="M188" s="17" t="n">
        <v>79</v>
      </c>
      <c r="N188" s="17" t="n">
        <v>85</v>
      </c>
      <c r="O188" s="19" t="str">
        <f aca="false">IF($M188="","غير مقيّمة",IF($M188&gt;المرجع!$K$3,"مستوفاة بشكل متقدم",IF($M188&lt;=المرجع!$K$2,"مستوفاة بشكل أولي","مستوفاة بشكل جزئي")))</f>
        <v>مستوفاة بشكل متقدم</v>
      </c>
      <c r="P188" s="22"/>
    </row>
    <row r="189" customFormat="false" ht="15" hidden="false" customHeight="true" outlineLevel="0" collapsed="false">
      <c r="A189" s="20" t="s">
        <v>1003</v>
      </c>
      <c r="B189" s="20" t="s">
        <v>208</v>
      </c>
      <c r="C189" s="19" t="str">
        <f aca="false">IFERROR(INDEX('قائمة الوحدات'!$B$2:$B$41,MATCH($B189,'قائمة الوحدات'!$A$2:$A$41,0)),"")</f>
        <v>MIL</v>
      </c>
      <c r="D189" s="18" t="str">
        <f aca="false">IFERROR(INDEX('قائمة الوحدات'!$C$2:$C$41,MATCH($B189,'قائمة الوحدات'!$A$2:$A$41,0)),"")</f>
        <v>الجهاز العسكري</v>
      </c>
      <c r="E189" s="18" t="str">
        <f aca="false">IFERROR(INDEX('قائمة الوحدات'!$D$2:$D$41,MATCH($B189,'قائمة الوحدات'!$A$2:$A$41,0)),"")</f>
        <v>الإدارة العامة للاستخبارات العسكرية</v>
      </c>
      <c r="F189" s="18" t="str">
        <f aca="false">IFERROR(INDEX('قائمة الوحدات'!$F$2:$F$41,MATCH($B189,'قائمة الوحدات'!$A$2:$A$41,0)),"")</f>
        <v>الإدارة العامة للاستخبارات العسكرية</v>
      </c>
      <c r="G189" s="20" t="s">
        <v>62</v>
      </c>
      <c r="H189" s="18" t="str">
        <f aca="false">IFERROR(INDEX(المرجع!$A$2:$A$19,MATCH($G189,المرجع!$B$2:$B$19,0)),"")</f>
        <v>البناء المؤسسي</v>
      </c>
      <c r="I189" s="20" t="s">
        <v>46</v>
      </c>
      <c r="J189" s="18" t="str">
        <f aca="false">IFERROR(INDEX(المرجع!$D$2:$D$19,MATCH($I189,المرجع!$E$2:$E$19,0)),"")</f>
        <v>الدور</v>
      </c>
      <c r="K189" s="20" t="s">
        <v>90</v>
      </c>
      <c r="L189" s="21" t="str">
        <f aca="false">IFERROR(INDEX('نقاط التحقق'!$G$2:$G$31,MATCH($K189,'نقاط التحقق'!$A$2:$A$31,0))&amp;"","")</f>
        <v>دور معتمد للوحدة التنظيمية</v>
      </c>
      <c r="M189" s="17" t="n">
        <v>77</v>
      </c>
      <c r="N189" s="17" t="n">
        <v>80</v>
      </c>
      <c r="O189" s="19" t="str">
        <f aca="false">IF($M189="","غير مقيّمة",IF($M189&gt;المرجع!$K$3,"مستوفاة بشكل متقدم",IF($M189&lt;=المرجع!$K$2,"مستوفاة بشكل أولي","مستوفاة بشكل جزئي")))</f>
        <v>مستوفاة بشكل متقدم</v>
      </c>
      <c r="P189" s="22"/>
    </row>
    <row r="190" customFormat="false" ht="15" hidden="false" customHeight="true" outlineLevel="0" collapsed="false">
      <c r="A190" s="20" t="s">
        <v>1004</v>
      </c>
      <c r="B190" s="20" t="s">
        <v>208</v>
      </c>
      <c r="C190" s="19" t="str">
        <f aca="false">IFERROR(INDEX('قائمة الوحدات'!$B$2:$B$41,MATCH($B190,'قائمة الوحدات'!$A$2:$A$41,0)),"")</f>
        <v>MIL</v>
      </c>
      <c r="D190" s="18" t="str">
        <f aca="false">IFERROR(INDEX('قائمة الوحدات'!$C$2:$C$41,MATCH($B190,'قائمة الوحدات'!$A$2:$A$41,0)),"")</f>
        <v>الجهاز العسكري</v>
      </c>
      <c r="E190" s="18" t="str">
        <f aca="false">IFERROR(INDEX('قائمة الوحدات'!$D$2:$D$41,MATCH($B190,'قائمة الوحدات'!$A$2:$A$41,0)),"")</f>
        <v>الإدارة العامة للاستخبارات العسكرية</v>
      </c>
      <c r="F190" s="18" t="str">
        <f aca="false">IFERROR(INDEX('قائمة الوحدات'!$F$2:$F$41,MATCH($B190,'قائمة الوحدات'!$A$2:$A$41,0)),"")</f>
        <v>الإدارة العامة للاستخبارات العسكرية</v>
      </c>
      <c r="G190" s="20" t="s">
        <v>62</v>
      </c>
      <c r="H190" s="18" t="str">
        <f aca="false">IFERROR(INDEX(المرجع!$A$2:$A$19,MATCH($G190,المرجع!$B$2:$B$19,0)),"")</f>
        <v>البناء المؤسسي</v>
      </c>
      <c r="I190" s="20" t="s">
        <v>49</v>
      </c>
      <c r="J190" s="18" t="str">
        <f aca="false">IFERROR(INDEX(المرجع!$D$2:$D$19,MATCH($I190,المرجع!$E$2:$E$19,0)),"")</f>
        <v>الأهداف ومؤشرات الأداء</v>
      </c>
      <c r="K190" s="20" t="s">
        <v>92</v>
      </c>
      <c r="L190" s="21" t="str">
        <f aca="false">IFERROR(INDEX('نقاط التحقق'!$G$2:$G$31,MATCH($K190,'نقاط التحقق'!$A$2:$A$31,0))&amp;"","")</f>
        <v>أهداف تشغيلية معتمدة من صاحب الصلاحية</v>
      </c>
      <c r="M190" s="17" t="n">
        <v>45</v>
      </c>
      <c r="N190" s="17" t="n">
        <v>100</v>
      </c>
      <c r="O190" s="19" t="str">
        <f aca="false">IF($M190="","غير مقيّمة",IF($M190&gt;المرجع!$K$3,"مستوفاة بشكل متقدم",IF($M190&lt;=المرجع!$K$2,"مستوفاة بشكل أولي","مستوفاة بشكل جزئي")))</f>
        <v>مستوفاة بشكل جزئي</v>
      </c>
      <c r="P190" s="22"/>
    </row>
    <row r="191" customFormat="false" ht="15" hidden="false" customHeight="true" outlineLevel="0" collapsed="false">
      <c r="A191" s="20" t="s">
        <v>1005</v>
      </c>
      <c r="B191" s="20" t="s">
        <v>208</v>
      </c>
      <c r="C191" s="19" t="str">
        <f aca="false">IFERROR(INDEX('قائمة الوحدات'!$B$2:$B$41,MATCH($B191,'قائمة الوحدات'!$A$2:$A$41,0)),"")</f>
        <v>MIL</v>
      </c>
      <c r="D191" s="18" t="str">
        <f aca="false">IFERROR(INDEX('قائمة الوحدات'!$C$2:$C$41,MATCH($B191,'قائمة الوحدات'!$A$2:$A$41,0)),"")</f>
        <v>الجهاز العسكري</v>
      </c>
      <c r="E191" s="18" t="str">
        <f aca="false">IFERROR(INDEX('قائمة الوحدات'!$D$2:$D$41,MATCH($B191,'قائمة الوحدات'!$A$2:$A$41,0)),"")</f>
        <v>الإدارة العامة للاستخبارات العسكرية</v>
      </c>
      <c r="F191" s="18" t="str">
        <f aca="false">IFERROR(INDEX('قائمة الوحدات'!$F$2:$F$41,MATCH($B191,'قائمة الوحدات'!$A$2:$A$41,0)),"")</f>
        <v>الإدارة العامة للاستخبارات العسكرية</v>
      </c>
      <c r="G191" s="20" t="s">
        <v>62</v>
      </c>
      <c r="H191" s="18" t="str">
        <f aca="false">IFERROR(INDEX(المرجع!$A$2:$A$19,MATCH($G191,المرجع!$B$2:$B$19,0)),"")</f>
        <v>البناء المؤسسي</v>
      </c>
      <c r="I191" s="20" t="s">
        <v>49</v>
      </c>
      <c r="J191" s="18" t="str">
        <f aca="false">IFERROR(INDEX(المرجع!$D$2:$D$19,MATCH($I191,المرجع!$E$2:$E$19,0)),"")</f>
        <v>الأهداف ومؤشرات الأداء</v>
      </c>
      <c r="K191" s="20" t="s">
        <v>94</v>
      </c>
      <c r="L191" s="21" t="str">
        <f aca="false">IFERROR(INDEX('نقاط التحقق'!$G$2:$G$31,MATCH($K191,'نقاط التحقق'!$A$2:$A$31,0))&amp;"","")</f>
        <v>نشر الأهداف التشغيلية على موظفي الوحدة التنظيمية</v>
      </c>
      <c r="M191" s="17" t="n">
        <v>65</v>
      </c>
      <c r="N191" s="17" t="n">
        <v>100</v>
      </c>
      <c r="O191" s="19" t="str">
        <f aca="false">IF($M191="","غير مقيّمة",IF($M191&gt;المرجع!$K$3,"مستوفاة بشكل متقدم",IF($M191&lt;=المرجع!$K$2,"مستوفاة بشكل أولي","مستوفاة بشكل جزئي")))</f>
        <v>مستوفاة بشكل جزئي</v>
      </c>
      <c r="P191" s="22"/>
    </row>
    <row r="192" customFormat="false" ht="15" hidden="false" customHeight="true" outlineLevel="0" collapsed="false">
      <c r="A192" s="20" t="s">
        <v>1006</v>
      </c>
      <c r="B192" s="20" t="s">
        <v>208</v>
      </c>
      <c r="C192" s="19" t="str">
        <f aca="false">IFERROR(INDEX('قائمة الوحدات'!$B$2:$B$41,MATCH($B192,'قائمة الوحدات'!$A$2:$A$41,0)),"")</f>
        <v>MIL</v>
      </c>
      <c r="D192" s="18" t="str">
        <f aca="false">IFERROR(INDEX('قائمة الوحدات'!$C$2:$C$41,MATCH($B192,'قائمة الوحدات'!$A$2:$A$41,0)),"")</f>
        <v>الجهاز العسكري</v>
      </c>
      <c r="E192" s="18" t="str">
        <f aca="false">IFERROR(INDEX('قائمة الوحدات'!$D$2:$D$41,MATCH($B192,'قائمة الوحدات'!$A$2:$A$41,0)),"")</f>
        <v>الإدارة العامة للاستخبارات العسكرية</v>
      </c>
      <c r="F192" s="18" t="str">
        <f aca="false">IFERROR(INDEX('قائمة الوحدات'!$F$2:$F$41,MATCH($B192,'قائمة الوحدات'!$A$2:$A$41,0)),"")</f>
        <v>الإدارة العامة للاستخبارات العسكرية</v>
      </c>
      <c r="G192" s="20" t="s">
        <v>62</v>
      </c>
      <c r="H192" s="18" t="str">
        <f aca="false">IFERROR(INDEX(المرجع!$A$2:$A$19,MATCH($G192,المرجع!$B$2:$B$19,0)),"")</f>
        <v>البناء المؤسسي</v>
      </c>
      <c r="I192" s="20" t="s">
        <v>52</v>
      </c>
      <c r="J192" s="18" t="str">
        <f aca="false">IFERROR(INDEX(المرجع!$D$2:$D$19,MATCH($I192,المرجع!$E$2:$E$19,0)),"")</f>
        <v>الحوكمة</v>
      </c>
      <c r="K192" s="20" t="s">
        <v>96</v>
      </c>
      <c r="L192" s="21" t="str">
        <f aca="false">IFERROR(INDEX('نقاط التحقق'!$G$2:$G$31,MATCH($K192,'نقاط التحقق'!$A$2:$A$31,0))&amp;"","")</f>
        <v>مصفوفة صلاحيات معتمدة ومعممة على أصحاب المصلحة</v>
      </c>
      <c r="M192" s="17" t="n">
        <v>65</v>
      </c>
      <c r="N192" s="17" t="n">
        <v>100</v>
      </c>
      <c r="O192" s="19" t="str">
        <f aca="false">IF($M192="","غير مقيّمة",IF($M192&gt;المرجع!$K$3,"مستوفاة بشكل متقدم",IF($M192&lt;=المرجع!$K$2,"مستوفاة بشكل أولي","مستوفاة بشكل جزئي")))</f>
        <v>مستوفاة بشكل جزئي</v>
      </c>
      <c r="P192" s="22"/>
    </row>
    <row r="193" customFormat="false" ht="15" hidden="false" customHeight="true" outlineLevel="0" collapsed="false">
      <c r="A193" s="20" t="s">
        <v>1007</v>
      </c>
      <c r="B193" s="20" t="s">
        <v>208</v>
      </c>
      <c r="C193" s="19" t="str">
        <f aca="false">IFERROR(INDEX('قائمة الوحدات'!$B$2:$B$41,MATCH($B193,'قائمة الوحدات'!$A$2:$A$41,0)),"")</f>
        <v>MIL</v>
      </c>
      <c r="D193" s="18" t="str">
        <f aca="false">IFERROR(INDEX('قائمة الوحدات'!$C$2:$C$41,MATCH($B193,'قائمة الوحدات'!$A$2:$A$41,0)),"")</f>
        <v>الجهاز العسكري</v>
      </c>
      <c r="E193" s="18" t="str">
        <f aca="false">IFERROR(INDEX('قائمة الوحدات'!$D$2:$D$41,MATCH($B193,'قائمة الوحدات'!$A$2:$A$41,0)),"")</f>
        <v>الإدارة العامة للاستخبارات العسكرية</v>
      </c>
      <c r="F193" s="18" t="str">
        <f aca="false">IFERROR(INDEX('قائمة الوحدات'!$F$2:$F$41,MATCH($B193,'قائمة الوحدات'!$A$2:$A$41,0)),"")</f>
        <v>الإدارة العامة للاستخبارات العسكرية</v>
      </c>
      <c r="G193" s="20" t="s">
        <v>62</v>
      </c>
      <c r="H193" s="18" t="str">
        <f aca="false">IFERROR(INDEX(المرجع!$A$2:$A$19,MATCH($G193,المرجع!$B$2:$B$19,0)),"")</f>
        <v>البناء المؤسسي</v>
      </c>
      <c r="I193" s="20" t="s">
        <v>52</v>
      </c>
      <c r="J193" s="18" t="str">
        <f aca="false">IFERROR(INDEX(المرجع!$D$2:$D$19,MATCH($I193,المرجع!$E$2:$E$19,0)),"")</f>
        <v>الحوكمة</v>
      </c>
      <c r="K193" s="20" t="s">
        <v>98</v>
      </c>
      <c r="L193" s="21" t="str">
        <f aca="false">IFERROR(INDEX('نقاط التحقق'!$G$2:$G$31,MATCH($K193,'نقاط التحقق'!$A$2:$A$31,0))&amp;"","")</f>
        <v>سياسات معتمدة للتي تملكها الوحدة التنظيمية</v>
      </c>
      <c r="M193" s="17" t="n">
        <v>45</v>
      </c>
      <c r="N193" s="17" t="n">
        <v>100</v>
      </c>
      <c r="O193" s="19" t="str">
        <f aca="false">IF($M193="","غير مقيّمة",IF($M193&gt;المرجع!$K$3,"مستوفاة بشكل متقدم",IF($M193&lt;=المرجع!$K$2,"مستوفاة بشكل أولي","مستوفاة بشكل جزئي")))</f>
        <v>مستوفاة بشكل جزئي</v>
      </c>
      <c r="P193" s="22"/>
    </row>
    <row r="194" customFormat="false" ht="15" hidden="false" customHeight="true" outlineLevel="0" collapsed="false">
      <c r="A194" s="20" t="s">
        <v>1008</v>
      </c>
      <c r="B194" s="20" t="s">
        <v>208</v>
      </c>
      <c r="C194" s="19" t="str">
        <f aca="false">IFERROR(INDEX('قائمة الوحدات'!$B$2:$B$41,MATCH($B194,'قائمة الوحدات'!$A$2:$A$41,0)),"")</f>
        <v>MIL</v>
      </c>
      <c r="D194" s="18" t="str">
        <f aca="false">IFERROR(INDEX('قائمة الوحدات'!$C$2:$C$41,MATCH($B194,'قائمة الوحدات'!$A$2:$A$41,0)),"")</f>
        <v>الجهاز العسكري</v>
      </c>
      <c r="E194" s="18" t="str">
        <f aca="false">IFERROR(INDEX('قائمة الوحدات'!$D$2:$D$41,MATCH($B194,'قائمة الوحدات'!$A$2:$A$41,0)),"")</f>
        <v>الإدارة العامة للاستخبارات العسكرية</v>
      </c>
      <c r="F194" s="18" t="str">
        <f aca="false">IFERROR(INDEX('قائمة الوحدات'!$F$2:$F$41,MATCH($B194,'قائمة الوحدات'!$A$2:$A$41,0)),"")</f>
        <v>الإدارة العامة للاستخبارات العسكرية</v>
      </c>
      <c r="G194" s="20" t="s">
        <v>62</v>
      </c>
      <c r="H194" s="18" t="str">
        <f aca="false">IFERROR(INDEX(المرجع!$A$2:$A$19,MATCH($G194,المرجع!$B$2:$B$19,0)),"")</f>
        <v>البناء المؤسسي</v>
      </c>
      <c r="I194" s="20" t="s">
        <v>52</v>
      </c>
      <c r="J194" s="18" t="str">
        <f aca="false">IFERROR(INDEX(المرجع!$D$2:$D$19,MATCH($I194,المرجع!$E$2:$E$19,0)),"")</f>
        <v>الحوكمة</v>
      </c>
      <c r="K194" s="20" t="s">
        <v>100</v>
      </c>
      <c r="L194" s="21" t="str">
        <f aca="false">IFERROR(INDEX('نقاط التحقق'!$G$2:$G$31,MATCH($K194,'نقاط التحقق'!$A$2:$A$31,0))&amp;"","")</f>
        <v>قرار تشكيل معتمد للجان ذات العلاقة</v>
      </c>
      <c r="M194" s="17" t="n">
        <v>70</v>
      </c>
      <c r="N194" s="17" t="n">
        <v>85</v>
      </c>
      <c r="O194" s="19" t="str">
        <f aca="false">IF($M194="","غير مقيّمة",IF($M194&gt;المرجع!$K$3,"مستوفاة بشكل متقدم",IF($M194&lt;=المرجع!$K$2,"مستوفاة بشكل أولي","مستوفاة بشكل جزئي")))</f>
        <v>مستوفاة بشكل جزئي</v>
      </c>
      <c r="P194" s="22"/>
    </row>
    <row r="195" customFormat="false" ht="15" hidden="false" customHeight="true" outlineLevel="0" collapsed="false">
      <c r="A195" s="20" t="s">
        <v>1009</v>
      </c>
      <c r="B195" s="20" t="s">
        <v>208</v>
      </c>
      <c r="C195" s="19" t="str">
        <f aca="false">IFERROR(INDEX('قائمة الوحدات'!$B$2:$B$41,MATCH($B195,'قائمة الوحدات'!$A$2:$A$41,0)),"")</f>
        <v>MIL</v>
      </c>
      <c r="D195" s="18" t="str">
        <f aca="false">IFERROR(INDEX('قائمة الوحدات'!$C$2:$C$41,MATCH($B195,'قائمة الوحدات'!$A$2:$A$41,0)),"")</f>
        <v>الجهاز العسكري</v>
      </c>
      <c r="E195" s="18" t="str">
        <f aca="false">IFERROR(INDEX('قائمة الوحدات'!$D$2:$D$41,MATCH($B195,'قائمة الوحدات'!$A$2:$A$41,0)),"")</f>
        <v>الإدارة العامة للاستخبارات العسكرية</v>
      </c>
      <c r="F195" s="18" t="str">
        <f aca="false">IFERROR(INDEX('قائمة الوحدات'!$F$2:$F$41,MATCH($B195,'قائمة الوحدات'!$A$2:$A$41,0)),"")</f>
        <v>الإدارة العامة للاستخبارات العسكرية</v>
      </c>
      <c r="G195" s="20" t="s">
        <v>62</v>
      </c>
      <c r="H195" s="18" t="str">
        <f aca="false">IFERROR(INDEX(المرجع!$A$2:$A$19,MATCH($G195,المرجع!$B$2:$B$19,0)),"")</f>
        <v>البناء المؤسسي</v>
      </c>
      <c r="I195" s="20" t="s">
        <v>55</v>
      </c>
      <c r="J195" s="18" t="str">
        <f aca="false">IFERROR(INDEX(المرجع!$D$2:$D$19,MATCH($I195,المرجع!$E$2:$E$19,0)),"")</f>
        <v>التنظيم</v>
      </c>
      <c r="K195" s="20" t="s">
        <v>102</v>
      </c>
      <c r="L195" s="21" t="str">
        <f aca="false">IFERROR(INDEX('نقاط التحقق'!$G$2:$G$31,MATCH($K195,'نقاط التحقق'!$A$2:$A$31,0))&amp;"","")</f>
        <v>هيكل تنظيمي معتمد من صاحب الصلاحية</v>
      </c>
      <c r="M195" s="17" t="n">
        <v>75</v>
      </c>
      <c r="N195" s="17" t="n">
        <v>100</v>
      </c>
      <c r="O195" s="19" t="str">
        <f aca="false">IF($M195="","غير مقيّمة",IF($M195&gt;المرجع!$K$3,"مستوفاة بشكل متقدم",IF($M195&lt;=المرجع!$K$2,"مستوفاة بشكل أولي","مستوفاة بشكل جزئي")))</f>
        <v>مستوفاة بشكل متقدم</v>
      </c>
      <c r="P195" s="22"/>
    </row>
    <row r="196" customFormat="false" ht="15" hidden="false" customHeight="true" outlineLevel="0" collapsed="false">
      <c r="A196" s="20" t="s">
        <v>1010</v>
      </c>
      <c r="B196" s="20" t="s">
        <v>208</v>
      </c>
      <c r="C196" s="19" t="str">
        <f aca="false">IFERROR(INDEX('قائمة الوحدات'!$B$2:$B$41,MATCH($B196,'قائمة الوحدات'!$A$2:$A$41,0)),"")</f>
        <v>MIL</v>
      </c>
      <c r="D196" s="18" t="str">
        <f aca="false">IFERROR(INDEX('قائمة الوحدات'!$C$2:$C$41,MATCH($B196,'قائمة الوحدات'!$A$2:$A$41,0)),"")</f>
        <v>الجهاز العسكري</v>
      </c>
      <c r="E196" s="18" t="str">
        <f aca="false">IFERROR(INDEX('قائمة الوحدات'!$D$2:$D$41,MATCH($B196,'قائمة الوحدات'!$A$2:$A$41,0)),"")</f>
        <v>الإدارة العامة للاستخبارات العسكرية</v>
      </c>
      <c r="F196" s="18" t="str">
        <f aca="false">IFERROR(INDEX('قائمة الوحدات'!$F$2:$F$41,MATCH($B196,'قائمة الوحدات'!$A$2:$A$41,0)),"")</f>
        <v>الإدارة العامة للاستخبارات العسكرية</v>
      </c>
      <c r="G196" s="20" t="s">
        <v>62</v>
      </c>
      <c r="H196" s="18" t="str">
        <f aca="false">IFERROR(INDEX(المرجع!$A$2:$A$19,MATCH($G196,المرجع!$B$2:$B$19,0)),"")</f>
        <v>البناء المؤسسي</v>
      </c>
      <c r="I196" s="20" t="s">
        <v>55</v>
      </c>
      <c r="J196" s="18" t="str">
        <f aca="false">IFERROR(INDEX(المرجع!$D$2:$D$19,MATCH($I196,المرجع!$E$2:$E$19,0)),"")</f>
        <v>التنظيم</v>
      </c>
      <c r="K196" s="20" t="s">
        <v>104</v>
      </c>
      <c r="L196" s="21" t="str">
        <f aca="false">IFERROR(INDEX('نقاط التحقق'!$G$2:$G$31,MATCH($K196,'نقاط التحقق'!$A$2:$A$31,0))&amp;"","")</f>
        <v>هيكل تنظيمي منشأ على نظام القوى العاملة</v>
      </c>
      <c r="M196" s="17" t="n">
        <v>100</v>
      </c>
      <c r="N196" s="17" t="n">
        <v>100</v>
      </c>
      <c r="O196" s="19" t="str">
        <f aca="false">IF($M196="","غير مقيّمة",IF($M196&gt;المرجع!$K$3,"مستوفاة بشكل متقدم",IF($M196&lt;=المرجع!$K$2,"مستوفاة بشكل أولي","مستوفاة بشكل جزئي")))</f>
        <v>مستوفاة بشكل متقدم</v>
      </c>
      <c r="P196" s="22"/>
    </row>
    <row r="197" customFormat="false" ht="15" hidden="false" customHeight="true" outlineLevel="0" collapsed="false">
      <c r="A197" s="20" t="s">
        <v>1011</v>
      </c>
      <c r="B197" s="20" t="s">
        <v>208</v>
      </c>
      <c r="C197" s="19" t="str">
        <f aca="false">IFERROR(INDEX('قائمة الوحدات'!$B$2:$B$41,MATCH($B197,'قائمة الوحدات'!$A$2:$A$41,0)),"")</f>
        <v>MIL</v>
      </c>
      <c r="D197" s="18" t="str">
        <f aca="false">IFERROR(INDEX('قائمة الوحدات'!$C$2:$C$41,MATCH($B197,'قائمة الوحدات'!$A$2:$A$41,0)),"")</f>
        <v>الجهاز العسكري</v>
      </c>
      <c r="E197" s="18" t="str">
        <f aca="false">IFERROR(INDEX('قائمة الوحدات'!$D$2:$D$41,MATCH($B197,'قائمة الوحدات'!$A$2:$A$41,0)),"")</f>
        <v>الإدارة العامة للاستخبارات العسكرية</v>
      </c>
      <c r="F197" s="18" t="str">
        <f aca="false">IFERROR(INDEX('قائمة الوحدات'!$F$2:$F$41,MATCH($B197,'قائمة الوحدات'!$A$2:$A$41,0)),"")</f>
        <v>الإدارة العامة للاستخبارات العسكرية</v>
      </c>
      <c r="G197" s="20" t="s">
        <v>62</v>
      </c>
      <c r="H197" s="18" t="str">
        <f aca="false">IFERROR(INDEX(المرجع!$A$2:$A$19,MATCH($G197,المرجع!$B$2:$B$19,0)),"")</f>
        <v>البناء المؤسسي</v>
      </c>
      <c r="I197" s="20" t="s">
        <v>55</v>
      </c>
      <c r="J197" s="18" t="str">
        <f aca="false">IFERROR(INDEX(المرجع!$D$2:$D$19,MATCH($I197,المرجع!$E$2:$E$19,0)),"")</f>
        <v>التنظيم</v>
      </c>
      <c r="K197" s="20" t="s">
        <v>106</v>
      </c>
      <c r="L197" s="21" t="str">
        <f aca="false">IFERROR(INDEX('نقاط التحقق'!$G$2:$G$31,MATCH($K197,'نقاط التحقق'!$A$2:$A$31,0))&amp;"","")</f>
        <v>الموظفون المحددون مسكّنون على الهيكل التنظيمي المستهدف</v>
      </c>
      <c r="M197" s="17" t="n">
        <v>80</v>
      </c>
      <c r="N197" s="17" t="n">
        <v>100</v>
      </c>
      <c r="O197" s="19" t="str">
        <f aca="false">IF($M197="","غير مقيّمة",IF($M197&gt;المرجع!$K$3,"مستوفاة بشكل متقدم",IF($M197&lt;=المرجع!$K$2,"مستوفاة بشكل أولي","مستوفاة بشكل جزئي")))</f>
        <v>مستوفاة بشكل متقدم</v>
      </c>
      <c r="P197" s="22"/>
    </row>
    <row r="198" customFormat="false" ht="15" hidden="false" customHeight="true" outlineLevel="0" collapsed="false">
      <c r="A198" s="20" t="s">
        <v>1012</v>
      </c>
      <c r="B198" s="20" t="s">
        <v>208</v>
      </c>
      <c r="C198" s="19" t="str">
        <f aca="false">IFERROR(INDEX('قائمة الوحدات'!$B$2:$B$41,MATCH($B198,'قائمة الوحدات'!$A$2:$A$41,0)),"")</f>
        <v>MIL</v>
      </c>
      <c r="D198" s="18" t="str">
        <f aca="false">IFERROR(INDEX('قائمة الوحدات'!$C$2:$C$41,MATCH($B198,'قائمة الوحدات'!$A$2:$A$41,0)),"")</f>
        <v>الجهاز العسكري</v>
      </c>
      <c r="E198" s="18" t="str">
        <f aca="false">IFERROR(INDEX('قائمة الوحدات'!$D$2:$D$41,MATCH($B198,'قائمة الوحدات'!$A$2:$A$41,0)),"")</f>
        <v>الإدارة العامة للاستخبارات العسكرية</v>
      </c>
      <c r="F198" s="18" t="str">
        <f aca="false">IFERROR(INDEX('قائمة الوحدات'!$F$2:$F$41,MATCH($B198,'قائمة الوحدات'!$A$2:$A$41,0)),"")</f>
        <v>الإدارة العامة للاستخبارات العسكرية</v>
      </c>
      <c r="G198" s="20" t="s">
        <v>62</v>
      </c>
      <c r="H198" s="18" t="str">
        <f aca="false">IFERROR(INDEX(المرجع!$A$2:$A$19,MATCH($G198,المرجع!$B$2:$B$19,0)),"")</f>
        <v>البناء المؤسسي</v>
      </c>
      <c r="I198" s="20" t="s">
        <v>57</v>
      </c>
      <c r="J198" s="18" t="str">
        <f aca="false">IFERROR(INDEX(المرجع!$D$2:$D$19,MATCH($I198,المرجع!$E$2:$E$19,0)),"")</f>
        <v>الموارد</v>
      </c>
      <c r="K198" s="20" t="s">
        <v>108</v>
      </c>
      <c r="L198" s="21" t="str">
        <f aca="false">IFERROR(INDEX('نقاط التحقق'!$G$2:$G$31,MATCH($K198,'نقاط التحقق'!$A$2:$A$31,0))&amp;"","")</f>
        <v>مدير الوحدة التنظيمية والموظفون الرئيسيون معينون/ملحقون</v>
      </c>
      <c r="M198" s="17" t="n">
        <v>80</v>
      </c>
      <c r="N198" s="17" t="n">
        <v>100</v>
      </c>
      <c r="O198" s="19" t="str">
        <f aca="false">IF($M198="","غير مقيّمة",IF($M198&gt;المرجع!$K$3,"مستوفاة بشكل متقدم",IF($M198&lt;=المرجع!$K$2,"مستوفاة بشكل أولي","مستوفاة بشكل جزئي")))</f>
        <v>مستوفاة بشكل متقدم</v>
      </c>
      <c r="P198" s="22"/>
    </row>
    <row r="199" customFormat="false" ht="15" hidden="false" customHeight="true" outlineLevel="0" collapsed="false">
      <c r="A199" s="20" t="s">
        <v>1013</v>
      </c>
      <c r="B199" s="20" t="s">
        <v>208</v>
      </c>
      <c r="C199" s="19" t="str">
        <f aca="false">IFERROR(INDEX('قائمة الوحدات'!$B$2:$B$41,MATCH($B199,'قائمة الوحدات'!$A$2:$A$41,0)),"")</f>
        <v>MIL</v>
      </c>
      <c r="D199" s="18" t="str">
        <f aca="false">IFERROR(INDEX('قائمة الوحدات'!$C$2:$C$41,MATCH($B199,'قائمة الوحدات'!$A$2:$A$41,0)),"")</f>
        <v>الجهاز العسكري</v>
      </c>
      <c r="E199" s="18" t="str">
        <f aca="false">IFERROR(INDEX('قائمة الوحدات'!$D$2:$D$41,MATCH($B199,'قائمة الوحدات'!$A$2:$A$41,0)),"")</f>
        <v>الإدارة العامة للاستخبارات العسكرية</v>
      </c>
      <c r="F199" s="18" t="str">
        <f aca="false">IFERROR(INDEX('قائمة الوحدات'!$F$2:$F$41,MATCH($B199,'قائمة الوحدات'!$A$2:$A$41,0)),"")</f>
        <v>الإدارة العامة للاستخبارات العسكرية</v>
      </c>
      <c r="G199" s="20" t="s">
        <v>62</v>
      </c>
      <c r="H199" s="18" t="str">
        <f aca="false">IFERROR(INDEX(المرجع!$A$2:$A$19,MATCH($G199,المرجع!$B$2:$B$19,0)),"")</f>
        <v>البناء المؤسسي</v>
      </c>
      <c r="I199" s="20" t="s">
        <v>57</v>
      </c>
      <c r="J199" s="18" t="str">
        <f aca="false">IFERROR(INDEX(المرجع!$D$2:$D$19,MATCH($I199,المرجع!$E$2:$E$19,0)),"")</f>
        <v>الموارد</v>
      </c>
      <c r="K199" s="20" t="s">
        <v>110</v>
      </c>
      <c r="L199" s="21" t="str">
        <f aca="false">IFERROR(INDEX('نقاط التحقق'!$G$2:$G$31,MATCH($K199,'نقاط التحقق'!$A$2:$A$31,0))&amp;"","")</f>
        <v>خطة توظيف وتدريب مستكملة</v>
      </c>
      <c r="M199" s="17" t="n">
        <v>70</v>
      </c>
      <c r="N199" s="17" t="n">
        <v>95</v>
      </c>
      <c r="O199" s="19" t="str">
        <f aca="false">IF($M199="","غير مقيّمة",IF($M199&gt;المرجع!$K$3,"مستوفاة بشكل متقدم",IF($M199&lt;=المرجع!$K$2,"مستوفاة بشكل أولي","مستوفاة بشكل جزئي")))</f>
        <v>مستوفاة بشكل جزئي</v>
      </c>
      <c r="P199" s="22"/>
    </row>
    <row r="200" customFormat="false" ht="15" hidden="false" customHeight="true" outlineLevel="0" collapsed="false">
      <c r="A200" s="20" t="s">
        <v>1014</v>
      </c>
      <c r="B200" s="20" t="s">
        <v>208</v>
      </c>
      <c r="C200" s="19" t="str">
        <f aca="false">IFERROR(INDEX('قائمة الوحدات'!$B$2:$B$41,MATCH($B200,'قائمة الوحدات'!$A$2:$A$41,0)),"")</f>
        <v>MIL</v>
      </c>
      <c r="D200" s="18" t="str">
        <f aca="false">IFERROR(INDEX('قائمة الوحدات'!$C$2:$C$41,MATCH($B200,'قائمة الوحدات'!$A$2:$A$41,0)),"")</f>
        <v>الجهاز العسكري</v>
      </c>
      <c r="E200" s="18" t="str">
        <f aca="false">IFERROR(INDEX('قائمة الوحدات'!$D$2:$D$41,MATCH($B200,'قائمة الوحدات'!$A$2:$A$41,0)),"")</f>
        <v>الإدارة العامة للاستخبارات العسكرية</v>
      </c>
      <c r="F200" s="18" t="str">
        <f aca="false">IFERROR(INDEX('قائمة الوحدات'!$F$2:$F$41,MATCH($B200,'قائمة الوحدات'!$A$2:$A$41,0)),"")</f>
        <v>الإدارة العامة للاستخبارات العسكرية</v>
      </c>
      <c r="G200" s="20" t="s">
        <v>62</v>
      </c>
      <c r="H200" s="18" t="str">
        <f aca="false">IFERROR(INDEX(المرجع!$A$2:$A$19,MATCH($G200,المرجع!$B$2:$B$19,0)),"")</f>
        <v>البناء المؤسسي</v>
      </c>
      <c r="I200" s="20" t="s">
        <v>57</v>
      </c>
      <c r="J200" s="18" t="str">
        <f aca="false">IFERROR(INDEX(المرجع!$D$2:$D$19,MATCH($I200,المرجع!$E$2:$E$19,0)),"")</f>
        <v>الموارد</v>
      </c>
      <c r="K200" s="20" t="s">
        <v>112</v>
      </c>
      <c r="L200" s="21" t="str">
        <f aca="false">IFERROR(INDEX('نقاط التحقق'!$G$2:$G$31,MATCH($K200,'نقاط التحقق'!$A$2:$A$31,0))&amp;"","")</f>
        <v>وجود مساحات مكتبية كافية</v>
      </c>
      <c r="M200" s="17" t="n">
        <v>80</v>
      </c>
      <c r="N200" s="17" t="n">
        <v>100</v>
      </c>
      <c r="O200" s="19" t="str">
        <f aca="false">IF($M200="","غير مقيّمة",IF($M200&gt;المرجع!$K$3,"مستوفاة بشكل متقدم",IF($M200&lt;=المرجع!$K$2,"مستوفاة بشكل أولي","مستوفاة بشكل جزئي")))</f>
        <v>مستوفاة بشكل متقدم</v>
      </c>
      <c r="P200" s="22"/>
    </row>
    <row r="201" customFormat="false" ht="15" hidden="false" customHeight="true" outlineLevel="0" collapsed="false">
      <c r="A201" s="20" t="s">
        <v>1015</v>
      </c>
      <c r="B201" s="20" t="s">
        <v>208</v>
      </c>
      <c r="C201" s="19" t="str">
        <f aca="false">IFERROR(INDEX('قائمة الوحدات'!$B$2:$B$41,MATCH($B201,'قائمة الوحدات'!$A$2:$A$41,0)),"")</f>
        <v>MIL</v>
      </c>
      <c r="D201" s="18" t="str">
        <f aca="false">IFERROR(INDEX('قائمة الوحدات'!$C$2:$C$41,MATCH($B201,'قائمة الوحدات'!$A$2:$A$41,0)),"")</f>
        <v>الجهاز العسكري</v>
      </c>
      <c r="E201" s="18" t="str">
        <f aca="false">IFERROR(INDEX('قائمة الوحدات'!$D$2:$D$41,MATCH($B201,'قائمة الوحدات'!$A$2:$A$41,0)),"")</f>
        <v>الإدارة العامة للاستخبارات العسكرية</v>
      </c>
      <c r="F201" s="18" t="str">
        <f aca="false">IFERROR(INDEX('قائمة الوحدات'!$F$2:$F$41,MATCH($B201,'قائمة الوحدات'!$A$2:$A$41,0)),"")</f>
        <v>الإدارة العامة للاستخبارات العسكرية</v>
      </c>
      <c r="G201" s="20" t="s">
        <v>62</v>
      </c>
      <c r="H201" s="18" t="str">
        <f aca="false">IFERROR(INDEX(المرجع!$A$2:$A$19,MATCH($G201,المرجع!$B$2:$B$19,0)),"")</f>
        <v>البناء المؤسسي</v>
      </c>
      <c r="I201" s="20" t="s">
        <v>57</v>
      </c>
      <c r="J201" s="18" t="str">
        <f aca="false">IFERROR(INDEX(المرجع!$D$2:$D$19,MATCH($I201,المرجع!$E$2:$E$19,0)),"")</f>
        <v>الموارد</v>
      </c>
      <c r="K201" s="20" t="s">
        <v>114</v>
      </c>
      <c r="L201" s="21" t="str">
        <f aca="false">IFERROR(INDEX('نقاط التحقق'!$G$2:$G$31,MATCH($K201,'نقاط التحقق'!$A$2:$A$31,0))&amp;"","")</f>
        <v>وجود الاحتياجات التقنية الأساسية</v>
      </c>
      <c r="M201" s="17" t="n">
        <v>85</v>
      </c>
      <c r="N201" s="17" t="n">
        <v>90</v>
      </c>
      <c r="O201" s="19" t="str">
        <f aca="false">IF($M201="","غير مقيّمة",IF($M201&gt;المرجع!$K$3,"مستوفاة بشكل متقدم",IF($M201&lt;=المرجع!$K$2,"مستوفاة بشكل أولي","مستوفاة بشكل جزئي")))</f>
        <v>مستوفاة بشكل متقدم</v>
      </c>
      <c r="P201" s="22"/>
    </row>
    <row r="202" customFormat="false" ht="15" hidden="false" customHeight="true" outlineLevel="0" collapsed="false">
      <c r="A202" s="20" t="s">
        <v>1016</v>
      </c>
      <c r="B202" s="20" t="s">
        <v>208</v>
      </c>
      <c r="C202" s="19" t="str">
        <f aca="false">IFERROR(INDEX('قائمة الوحدات'!$B$2:$B$41,MATCH($B202,'قائمة الوحدات'!$A$2:$A$41,0)),"")</f>
        <v>MIL</v>
      </c>
      <c r="D202" s="18" t="str">
        <f aca="false">IFERROR(INDEX('قائمة الوحدات'!$C$2:$C$41,MATCH($B202,'قائمة الوحدات'!$A$2:$A$41,0)),"")</f>
        <v>الجهاز العسكري</v>
      </c>
      <c r="E202" s="18" t="str">
        <f aca="false">IFERROR(INDEX('قائمة الوحدات'!$D$2:$D$41,MATCH($B202,'قائمة الوحدات'!$A$2:$A$41,0)),"")</f>
        <v>الإدارة العامة للاستخبارات العسكرية</v>
      </c>
      <c r="F202" s="18" t="str">
        <f aca="false">IFERROR(INDEX('قائمة الوحدات'!$F$2:$F$41,MATCH($B202,'قائمة الوحدات'!$A$2:$A$41,0)),"")</f>
        <v>الإدارة العامة للاستخبارات العسكرية</v>
      </c>
      <c r="G202" s="20" t="s">
        <v>62</v>
      </c>
      <c r="H202" s="18" t="str">
        <f aca="false">IFERROR(INDEX(المرجع!$A$2:$A$19,MATCH($G202,المرجع!$B$2:$B$19,0)),"")</f>
        <v>البناء المؤسسي</v>
      </c>
      <c r="I202" s="20" t="s">
        <v>60</v>
      </c>
      <c r="J202" s="18" t="str">
        <f aca="false">IFERROR(INDEX(المرجع!$D$2:$D$19,MATCH($I202,المرجع!$E$2:$E$19,0)),"")</f>
        <v>الإجراءات</v>
      </c>
      <c r="K202" s="20" t="s">
        <v>116</v>
      </c>
      <c r="L202" s="21" t="str">
        <f aca="false">IFERROR(INDEX('نقاط التحقق'!$G$2:$G$31,MATCH($K202,'نقاط التحقق'!$A$2:$A$31,0))&amp;"","")</f>
        <v>إجراءات معتمدة للوحدة التنظيمية</v>
      </c>
      <c r="M202" s="17" t="n">
        <v>87</v>
      </c>
      <c r="N202" s="17" t="n">
        <v>100</v>
      </c>
      <c r="O202" s="19" t="str">
        <f aca="false">IF($M202="","غير مقيّمة",IF($M202&gt;المرجع!$K$3,"مستوفاة بشكل متقدم",IF($M202&lt;=المرجع!$K$2,"مستوفاة بشكل أولي","مستوفاة بشكل جزئي")))</f>
        <v>مستوفاة بشكل متقدم</v>
      </c>
      <c r="P202" s="22"/>
    </row>
    <row r="203" customFormat="false" ht="15" hidden="false" customHeight="true" outlineLevel="0" collapsed="false">
      <c r="A203" s="20" t="s">
        <v>1017</v>
      </c>
      <c r="B203" s="20" t="s">
        <v>208</v>
      </c>
      <c r="C203" s="19" t="str">
        <f aca="false">IFERROR(INDEX('قائمة الوحدات'!$B$2:$B$41,MATCH($B203,'قائمة الوحدات'!$A$2:$A$41,0)),"")</f>
        <v>MIL</v>
      </c>
      <c r="D203" s="18" t="str">
        <f aca="false">IFERROR(INDEX('قائمة الوحدات'!$C$2:$C$41,MATCH($B203,'قائمة الوحدات'!$A$2:$A$41,0)),"")</f>
        <v>الجهاز العسكري</v>
      </c>
      <c r="E203" s="18" t="str">
        <f aca="false">IFERROR(INDEX('قائمة الوحدات'!$D$2:$D$41,MATCH($B203,'قائمة الوحدات'!$A$2:$A$41,0)),"")</f>
        <v>الإدارة العامة للاستخبارات العسكرية</v>
      </c>
      <c r="F203" s="18" t="str">
        <f aca="false">IFERROR(INDEX('قائمة الوحدات'!$F$2:$F$41,MATCH($B203,'قائمة الوحدات'!$A$2:$A$41,0)),"")</f>
        <v>الإدارة العامة للاستخبارات العسكرية</v>
      </c>
      <c r="G203" s="20" t="s">
        <v>62</v>
      </c>
      <c r="H203" s="18" t="str">
        <f aca="false">IFERROR(INDEX(المرجع!$A$2:$A$19,MATCH($G203,المرجع!$B$2:$B$19,0)),"")</f>
        <v>البناء المؤسسي</v>
      </c>
      <c r="I203" s="20" t="s">
        <v>69</v>
      </c>
      <c r="J203" s="18" t="str">
        <f aca="false">IFERROR(INDEX(المرجع!$D$2:$D$19,MATCH($I203,المرجع!$E$2:$E$19,0)),"")</f>
        <v>إنتاج المخرج الأول</v>
      </c>
      <c r="K203" s="20" t="s">
        <v>118</v>
      </c>
      <c r="L203" s="21" t="str">
        <f aca="false">IFERROR(INDEX('نقاط التحقق'!$G$2:$G$31,MATCH($K203,'نقاط التحقق'!$A$2:$A$31,0))&amp;"","")</f>
        <v>إنتاج المخرج الأول من قبل الوحدة التنظيمية</v>
      </c>
      <c r="M203" s="17" t="n">
        <v>86</v>
      </c>
      <c r="N203" s="17" t="n">
        <v>95</v>
      </c>
      <c r="O203" s="19" t="str">
        <f aca="false">IF($M203="","غير مقيّمة",IF($M203&gt;المرجع!$K$3,"مستوفاة بشكل متقدم",IF($M203&lt;=المرجع!$K$2,"مستوفاة بشكل أولي","مستوفاة بشكل جزئي")))</f>
        <v>مستوفاة بشكل متقدم</v>
      </c>
      <c r="P203" s="22"/>
    </row>
    <row r="204" customFormat="false" ht="15" hidden="false" customHeight="true" outlineLevel="0" collapsed="false">
      <c r="A204" s="20" t="s">
        <v>1018</v>
      </c>
      <c r="B204" s="20" t="s">
        <v>208</v>
      </c>
      <c r="C204" s="19" t="str">
        <f aca="false">IFERROR(INDEX('قائمة الوحدات'!$B$2:$B$41,MATCH($B204,'قائمة الوحدات'!$A$2:$A$41,0)),"")</f>
        <v>MIL</v>
      </c>
      <c r="D204" s="18" t="str">
        <f aca="false">IFERROR(INDEX('قائمة الوحدات'!$C$2:$C$41,MATCH($B204,'قائمة الوحدات'!$A$2:$A$41,0)),"")</f>
        <v>الجهاز العسكري</v>
      </c>
      <c r="E204" s="18" t="str">
        <f aca="false">IFERROR(INDEX('قائمة الوحدات'!$D$2:$D$41,MATCH($B204,'قائمة الوحدات'!$A$2:$A$41,0)),"")</f>
        <v>الإدارة العامة للاستخبارات العسكرية</v>
      </c>
      <c r="F204" s="18" t="str">
        <f aca="false">IFERROR(INDEX('قائمة الوحدات'!$F$2:$F$41,MATCH($B204,'قائمة الوحدات'!$A$2:$A$41,0)),"")</f>
        <v>الإدارة العامة للاستخبارات العسكرية</v>
      </c>
      <c r="G204" s="20" t="s">
        <v>66</v>
      </c>
      <c r="H204" s="18" t="str">
        <f aca="false">IFERROR(INDEX(المرجع!$A$2:$A$19,MATCH($G204,المرجع!$B$2:$B$19,0)),"")</f>
        <v>التشغيل</v>
      </c>
      <c r="I204" s="20" t="s">
        <v>49</v>
      </c>
      <c r="J204" s="18" t="str">
        <f aca="false">IFERROR(INDEX(المرجع!$D$2:$D$19,MATCH($I204,المرجع!$E$2:$E$19,0)),"")</f>
        <v>الأهداف ومؤشرات الأداء</v>
      </c>
      <c r="K204" s="20" t="s">
        <v>120</v>
      </c>
      <c r="L204" s="21" t="str">
        <f aca="false">IFERROR(INDEX('نقاط التحقق'!$G$2:$G$31,MATCH($K204,'نقاط التحقق'!$A$2:$A$31,0))&amp;"","")</f>
        <v>تحرك مؤشرات الأداء التشغيلي للوحدة التنظيمية بشكل إيجابي</v>
      </c>
      <c r="M204" s="17" t="n">
        <v>50</v>
      </c>
      <c r="N204" s="17" t="n">
        <v>85</v>
      </c>
      <c r="O204" s="19" t="str">
        <f aca="false">IF($M204="","غير مقيّمة",IF($M204&gt;المرجع!$K$3,"مستوفاة بشكل متقدم",IF($M204&lt;=المرجع!$K$2,"مستوفاة بشكل أولي","مستوفاة بشكل جزئي")))</f>
        <v>مستوفاة بشكل جزئي</v>
      </c>
      <c r="P204" s="22"/>
    </row>
    <row r="205" customFormat="false" ht="15" hidden="false" customHeight="true" outlineLevel="0" collapsed="false">
      <c r="A205" s="20" t="s">
        <v>1019</v>
      </c>
      <c r="B205" s="20" t="s">
        <v>208</v>
      </c>
      <c r="C205" s="19" t="str">
        <f aca="false">IFERROR(INDEX('قائمة الوحدات'!$B$2:$B$41,MATCH($B205,'قائمة الوحدات'!$A$2:$A$41,0)),"")</f>
        <v>MIL</v>
      </c>
      <c r="D205" s="18" t="str">
        <f aca="false">IFERROR(INDEX('قائمة الوحدات'!$C$2:$C$41,MATCH($B205,'قائمة الوحدات'!$A$2:$A$41,0)),"")</f>
        <v>الجهاز العسكري</v>
      </c>
      <c r="E205" s="18" t="str">
        <f aca="false">IFERROR(INDEX('قائمة الوحدات'!$D$2:$D$41,MATCH($B205,'قائمة الوحدات'!$A$2:$A$41,0)),"")</f>
        <v>الإدارة العامة للاستخبارات العسكرية</v>
      </c>
      <c r="F205" s="18" t="str">
        <f aca="false">IFERROR(INDEX('قائمة الوحدات'!$F$2:$F$41,MATCH($B205,'قائمة الوحدات'!$A$2:$A$41,0)),"")</f>
        <v>الإدارة العامة للاستخبارات العسكرية</v>
      </c>
      <c r="G205" s="20" t="s">
        <v>66</v>
      </c>
      <c r="H205" s="18" t="str">
        <f aca="false">IFERROR(INDEX(المرجع!$A$2:$A$19,MATCH($G205,المرجع!$B$2:$B$19,0)),"")</f>
        <v>التشغيل</v>
      </c>
      <c r="I205" s="20" t="s">
        <v>49</v>
      </c>
      <c r="J205" s="18" t="str">
        <f aca="false">IFERROR(INDEX(المرجع!$D$2:$D$19,MATCH($I205,المرجع!$E$2:$E$19,0)),"")</f>
        <v>الأهداف ومؤشرات الأداء</v>
      </c>
      <c r="K205" s="20" t="s">
        <v>122</v>
      </c>
      <c r="L205" s="21" t="str">
        <f aca="false">IFERROR(INDEX('نقاط التحقق'!$G$2:$G$31,MATCH($K205,'نقاط التحقق'!$A$2:$A$31,0))&amp;"","")</f>
        <v>خطة سنوية معتمدة للوحدة التنظيمية</v>
      </c>
      <c r="M205" s="17" t="n">
        <v>35</v>
      </c>
      <c r="N205" s="17" t="n">
        <v>90</v>
      </c>
      <c r="O205" s="19" t="str">
        <f aca="false">IF($M205="","غير مقيّمة",IF($M205&gt;المرجع!$K$3,"مستوفاة بشكل متقدم",IF($M205&lt;=المرجع!$K$2,"مستوفاة بشكل أولي","مستوفاة بشكل جزئي")))</f>
        <v>مستوفاة بشكل جزئي</v>
      </c>
      <c r="P205" s="22"/>
    </row>
    <row r="206" customFormat="false" ht="15" hidden="false" customHeight="true" outlineLevel="0" collapsed="false">
      <c r="A206" s="20" t="s">
        <v>1020</v>
      </c>
      <c r="B206" s="20" t="s">
        <v>208</v>
      </c>
      <c r="C206" s="19" t="str">
        <f aca="false">IFERROR(INDEX('قائمة الوحدات'!$B$2:$B$41,MATCH($B206,'قائمة الوحدات'!$A$2:$A$41,0)),"")</f>
        <v>MIL</v>
      </c>
      <c r="D206" s="18" t="str">
        <f aca="false">IFERROR(INDEX('قائمة الوحدات'!$C$2:$C$41,MATCH($B206,'قائمة الوحدات'!$A$2:$A$41,0)),"")</f>
        <v>الجهاز العسكري</v>
      </c>
      <c r="E206" s="18" t="str">
        <f aca="false">IFERROR(INDEX('قائمة الوحدات'!$D$2:$D$41,MATCH($B206,'قائمة الوحدات'!$A$2:$A$41,0)),"")</f>
        <v>الإدارة العامة للاستخبارات العسكرية</v>
      </c>
      <c r="F206" s="18" t="str">
        <f aca="false">IFERROR(INDEX('قائمة الوحدات'!$F$2:$F$41,MATCH($B206,'قائمة الوحدات'!$A$2:$A$41,0)),"")</f>
        <v>الإدارة العامة للاستخبارات العسكرية</v>
      </c>
      <c r="G206" s="20" t="s">
        <v>66</v>
      </c>
      <c r="H206" s="18" t="str">
        <f aca="false">IFERROR(INDEX(المرجع!$A$2:$A$19,MATCH($G206,المرجع!$B$2:$B$19,0)),"")</f>
        <v>التشغيل</v>
      </c>
      <c r="I206" s="20" t="s">
        <v>52</v>
      </c>
      <c r="J206" s="18" t="str">
        <f aca="false">IFERROR(INDEX(المرجع!$D$2:$D$19,MATCH($I206,المرجع!$E$2:$E$19,0)),"")</f>
        <v>الحوكمة</v>
      </c>
      <c r="K206" s="20" t="s">
        <v>124</v>
      </c>
      <c r="L206" s="21" t="str">
        <f aca="false">IFERROR(INDEX('نقاط التحقق'!$G$2:$G$31,MATCH($K206,'نقاط التحقق'!$A$2:$A$31,0))&amp;"","")</f>
        <v>محاضر لجان موثقة</v>
      </c>
      <c r="M206" s="17" t="n">
        <v>45</v>
      </c>
      <c r="N206" s="17" t="n">
        <v>100</v>
      </c>
      <c r="O206" s="19" t="str">
        <f aca="false">IF($M206="","غير مقيّمة",IF($M206&gt;المرجع!$K$3,"مستوفاة بشكل متقدم",IF($M206&lt;=المرجع!$K$2,"مستوفاة بشكل أولي","مستوفاة بشكل جزئي")))</f>
        <v>مستوفاة بشكل جزئي</v>
      </c>
      <c r="P206" s="22"/>
    </row>
    <row r="207" customFormat="false" ht="15" hidden="false" customHeight="true" outlineLevel="0" collapsed="false">
      <c r="A207" s="20" t="s">
        <v>1021</v>
      </c>
      <c r="B207" s="20" t="s">
        <v>208</v>
      </c>
      <c r="C207" s="19" t="str">
        <f aca="false">IFERROR(INDEX('قائمة الوحدات'!$B$2:$B$41,MATCH($B207,'قائمة الوحدات'!$A$2:$A$41,0)),"")</f>
        <v>MIL</v>
      </c>
      <c r="D207" s="18" t="str">
        <f aca="false">IFERROR(INDEX('قائمة الوحدات'!$C$2:$C$41,MATCH($B207,'قائمة الوحدات'!$A$2:$A$41,0)),"")</f>
        <v>الجهاز العسكري</v>
      </c>
      <c r="E207" s="18" t="str">
        <f aca="false">IFERROR(INDEX('قائمة الوحدات'!$D$2:$D$41,MATCH($B207,'قائمة الوحدات'!$A$2:$A$41,0)),"")</f>
        <v>الإدارة العامة للاستخبارات العسكرية</v>
      </c>
      <c r="F207" s="18" t="str">
        <f aca="false">IFERROR(INDEX('قائمة الوحدات'!$F$2:$F$41,MATCH($B207,'قائمة الوحدات'!$A$2:$A$41,0)),"")</f>
        <v>الإدارة العامة للاستخبارات العسكرية</v>
      </c>
      <c r="G207" s="20" t="s">
        <v>66</v>
      </c>
      <c r="H207" s="18" t="str">
        <f aca="false">IFERROR(INDEX(المرجع!$A$2:$A$19,MATCH($G207,المرجع!$B$2:$B$19,0)),"")</f>
        <v>التشغيل</v>
      </c>
      <c r="I207" s="20" t="s">
        <v>52</v>
      </c>
      <c r="J207" s="18" t="str">
        <f aca="false">IFERROR(INDEX(المرجع!$D$2:$D$19,MATCH($I207,المرجع!$E$2:$E$19,0)),"")</f>
        <v>الحوكمة</v>
      </c>
      <c r="K207" s="20" t="s">
        <v>126</v>
      </c>
      <c r="L207" s="21" t="str">
        <f aca="false">IFERROR(INDEX('نقاط التحقق'!$G$2:$G$31,MATCH($K207,'نقاط التحقق'!$A$2:$A$31,0))&amp;"","")</f>
        <v>نشر السياسات التي تملكها الوحدة التنظيمية</v>
      </c>
      <c r="M207" s="17" t="n">
        <v>40</v>
      </c>
      <c r="N207" s="17" t="n">
        <v>100</v>
      </c>
      <c r="O207" s="19" t="str">
        <f aca="false">IF($M207="","غير مقيّمة",IF($M207&gt;المرجع!$K$3,"مستوفاة بشكل متقدم",IF($M207&lt;=المرجع!$K$2,"مستوفاة بشكل أولي","مستوفاة بشكل جزئي")))</f>
        <v>مستوفاة بشكل جزئي</v>
      </c>
      <c r="P207" s="22"/>
    </row>
    <row r="208" customFormat="false" ht="15" hidden="false" customHeight="true" outlineLevel="0" collapsed="false">
      <c r="A208" s="20" t="s">
        <v>1022</v>
      </c>
      <c r="B208" s="20" t="s">
        <v>208</v>
      </c>
      <c r="C208" s="19" t="str">
        <f aca="false">IFERROR(INDEX('قائمة الوحدات'!$B$2:$B$41,MATCH($B208,'قائمة الوحدات'!$A$2:$A$41,0)),"")</f>
        <v>MIL</v>
      </c>
      <c r="D208" s="18" t="str">
        <f aca="false">IFERROR(INDEX('قائمة الوحدات'!$C$2:$C$41,MATCH($B208,'قائمة الوحدات'!$A$2:$A$41,0)),"")</f>
        <v>الجهاز العسكري</v>
      </c>
      <c r="E208" s="18" t="str">
        <f aca="false">IFERROR(INDEX('قائمة الوحدات'!$D$2:$D$41,MATCH($B208,'قائمة الوحدات'!$A$2:$A$41,0)),"")</f>
        <v>الإدارة العامة للاستخبارات العسكرية</v>
      </c>
      <c r="F208" s="18" t="str">
        <f aca="false">IFERROR(INDEX('قائمة الوحدات'!$F$2:$F$41,MATCH($B208,'قائمة الوحدات'!$A$2:$A$41,0)),"")</f>
        <v>الإدارة العامة للاستخبارات العسكرية</v>
      </c>
      <c r="G208" s="20" t="s">
        <v>66</v>
      </c>
      <c r="H208" s="18" t="str">
        <f aca="false">IFERROR(INDEX(المرجع!$A$2:$A$19,MATCH($G208,المرجع!$B$2:$B$19,0)),"")</f>
        <v>التشغيل</v>
      </c>
      <c r="I208" s="20" t="s">
        <v>52</v>
      </c>
      <c r="J208" s="18" t="str">
        <f aca="false">IFERROR(INDEX(المرجع!$D$2:$D$19,MATCH($I208,المرجع!$E$2:$E$19,0)),"")</f>
        <v>الحوكمة</v>
      </c>
      <c r="K208" s="20" t="s">
        <v>128</v>
      </c>
      <c r="L208" s="21" t="str">
        <f aca="false">IFERROR(INDEX('نقاط التحقق'!$G$2:$G$31,MATCH($K208,'نقاط التحقق'!$A$2:$A$31,0))&amp;"","")</f>
        <v>اتخاذ القرارات في نطاق الصلاحيات (وجود شواهد)</v>
      </c>
      <c r="M208" s="17" t="n">
        <v>50</v>
      </c>
      <c r="N208" s="17" t="n">
        <v>100</v>
      </c>
      <c r="O208" s="19" t="str">
        <f aca="false">IF($M208="","غير مقيّمة",IF($M208&gt;المرجع!$K$3,"مستوفاة بشكل متقدم",IF($M208&lt;=المرجع!$K$2,"مستوفاة بشكل أولي","مستوفاة بشكل جزئي")))</f>
        <v>مستوفاة بشكل جزئي</v>
      </c>
      <c r="P208" s="22"/>
    </row>
    <row r="209" customFormat="false" ht="15" hidden="false" customHeight="true" outlineLevel="0" collapsed="false">
      <c r="A209" s="20" t="s">
        <v>1023</v>
      </c>
      <c r="B209" s="20" t="s">
        <v>208</v>
      </c>
      <c r="C209" s="19" t="str">
        <f aca="false">IFERROR(INDEX('قائمة الوحدات'!$B$2:$B$41,MATCH($B209,'قائمة الوحدات'!$A$2:$A$41,0)),"")</f>
        <v>MIL</v>
      </c>
      <c r="D209" s="18" t="str">
        <f aca="false">IFERROR(INDEX('قائمة الوحدات'!$C$2:$C$41,MATCH($B209,'قائمة الوحدات'!$A$2:$A$41,0)),"")</f>
        <v>الجهاز العسكري</v>
      </c>
      <c r="E209" s="18" t="str">
        <f aca="false">IFERROR(INDEX('قائمة الوحدات'!$D$2:$D$41,MATCH($B209,'قائمة الوحدات'!$A$2:$A$41,0)),"")</f>
        <v>الإدارة العامة للاستخبارات العسكرية</v>
      </c>
      <c r="F209" s="18" t="str">
        <f aca="false">IFERROR(INDEX('قائمة الوحدات'!$F$2:$F$41,MATCH($B209,'قائمة الوحدات'!$A$2:$A$41,0)),"")</f>
        <v>الإدارة العامة للاستخبارات العسكرية</v>
      </c>
      <c r="G209" s="20" t="s">
        <v>66</v>
      </c>
      <c r="H209" s="18" t="str">
        <f aca="false">IFERROR(INDEX(المرجع!$A$2:$A$19,MATCH($G209,المرجع!$B$2:$B$19,0)),"")</f>
        <v>التشغيل</v>
      </c>
      <c r="I209" s="20" t="s">
        <v>57</v>
      </c>
      <c r="J209" s="18" t="str">
        <f aca="false">IFERROR(INDEX(المرجع!$D$2:$D$19,MATCH($I209,المرجع!$E$2:$E$19,0)),"")</f>
        <v>الموارد</v>
      </c>
      <c r="K209" s="20" t="s">
        <v>130</v>
      </c>
      <c r="L209" s="21" t="str">
        <f aca="false">IFERROR(INDEX('نقاط التحقق'!$G$2:$G$31,MATCH($K209,'نقاط التحقق'!$A$2:$A$31,0))&amp;"","")</f>
        <v>موارد مستكملة للحد الأدنى الذي يغطي كافة محاور سلسلة القيمة</v>
      </c>
      <c r="M209" s="17" t="n">
        <v>52</v>
      </c>
      <c r="N209" s="17" t="n">
        <v>85</v>
      </c>
      <c r="O209" s="19" t="str">
        <f aca="false">IF($M209="","غير مقيّمة",IF($M209&gt;المرجع!$K$3,"مستوفاة بشكل متقدم",IF($M209&lt;=المرجع!$K$2,"مستوفاة بشكل أولي","مستوفاة بشكل جزئي")))</f>
        <v>مستوفاة بشكل جزئي</v>
      </c>
      <c r="P209" s="22"/>
    </row>
    <row r="210" customFormat="false" ht="15" hidden="false" customHeight="true" outlineLevel="0" collapsed="false">
      <c r="A210" s="20" t="s">
        <v>1024</v>
      </c>
      <c r="B210" s="20" t="s">
        <v>208</v>
      </c>
      <c r="C210" s="19" t="str">
        <f aca="false">IFERROR(INDEX('قائمة الوحدات'!$B$2:$B$41,MATCH($B210,'قائمة الوحدات'!$A$2:$A$41,0)),"")</f>
        <v>MIL</v>
      </c>
      <c r="D210" s="18" t="str">
        <f aca="false">IFERROR(INDEX('قائمة الوحدات'!$C$2:$C$41,MATCH($B210,'قائمة الوحدات'!$A$2:$A$41,0)),"")</f>
        <v>الجهاز العسكري</v>
      </c>
      <c r="E210" s="18" t="str">
        <f aca="false">IFERROR(INDEX('قائمة الوحدات'!$D$2:$D$41,MATCH($B210,'قائمة الوحدات'!$A$2:$A$41,0)),"")</f>
        <v>الإدارة العامة للاستخبارات العسكرية</v>
      </c>
      <c r="F210" s="18" t="str">
        <f aca="false">IFERROR(INDEX('قائمة الوحدات'!$F$2:$F$41,MATCH($B210,'قائمة الوحدات'!$A$2:$A$41,0)),"")</f>
        <v>الإدارة العامة للاستخبارات العسكرية</v>
      </c>
      <c r="G210" s="20" t="s">
        <v>66</v>
      </c>
      <c r="H210" s="18" t="str">
        <f aca="false">IFERROR(INDEX(المرجع!$A$2:$A$19,MATCH($G210,المرجع!$B$2:$B$19,0)),"")</f>
        <v>التشغيل</v>
      </c>
      <c r="I210" s="20" t="s">
        <v>60</v>
      </c>
      <c r="J210" s="18" t="str">
        <f aca="false">IFERROR(INDEX(المرجع!$D$2:$D$19,MATCH($I210,المرجع!$E$2:$E$19,0)),"")</f>
        <v>الإجراءات</v>
      </c>
      <c r="K210" s="20" t="s">
        <v>132</v>
      </c>
      <c r="L210" s="21" t="str">
        <f aca="false">IFERROR(INDEX('نقاط التحقق'!$G$2:$G$31,MATCH($K210,'نقاط التحقق'!$A$2:$A$31,0))&amp;"","")</f>
        <v>تحقيق تقييم "مطبق بشكل كامل" من منهجية تقييم فعالية الإجراءات</v>
      </c>
      <c r="M210" s="17" t="n">
        <v>27</v>
      </c>
      <c r="N210" s="17" t="n">
        <v>80</v>
      </c>
      <c r="O210" s="19" t="str">
        <f aca="false">IF($M210="","غير مقيّمة",IF($M210&gt;المرجع!$K$3,"مستوفاة بشكل متقدم",IF($M210&lt;=المرجع!$K$2,"مستوفاة بشكل أولي","مستوفاة بشكل جزئي")))</f>
        <v>مستوفاة بشكل أولي</v>
      </c>
      <c r="P210" s="22"/>
    </row>
    <row r="211" customFormat="false" ht="15" hidden="false" customHeight="true" outlineLevel="0" collapsed="false">
      <c r="A211" s="20" t="s">
        <v>1025</v>
      </c>
      <c r="B211" s="20" t="s">
        <v>208</v>
      </c>
      <c r="C211" s="19" t="str">
        <f aca="false">IFERROR(INDEX('قائمة الوحدات'!$B$2:$B$41,MATCH($B211,'قائمة الوحدات'!$A$2:$A$41,0)),"")</f>
        <v>MIL</v>
      </c>
      <c r="D211" s="18" t="str">
        <f aca="false">IFERROR(INDEX('قائمة الوحدات'!$C$2:$C$41,MATCH($B211,'قائمة الوحدات'!$A$2:$A$41,0)),"")</f>
        <v>الجهاز العسكري</v>
      </c>
      <c r="E211" s="18" t="str">
        <f aca="false">IFERROR(INDEX('قائمة الوحدات'!$D$2:$D$41,MATCH($B211,'قائمة الوحدات'!$A$2:$A$41,0)),"")</f>
        <v>الإدارة العامة للاستخبارات العسكرية</v>
      </c>
      <c r="F211" s="18" t="str">
        <f aca="false">IFERROR(INDEX('قائمة الوحدات'!$F$2:$F$41,MATCH($B211,'قائمة الوحدات'!$A$2:$A$41,0)),"")</f>
        <v>الإدارة العامة للاستخبارات العسكرية</v>
      </c>
      <c r="G211" s="20" t="s">
        <v>66</v>
      </c>
      <c r="H211" s="18" t="str">
        <f aca="false">IFERROR(INDEX(المرجع!$A$2:$A$19,MATCH($G211,المرجع!$B$2:$B$19,0)),"")</f>
        <v>التشغيل</v>
      </c>
      <c r="I211" s="20" t="s">
        <v>71</v>
      </c>
      <c r="J211" s="18" t="str">
        <f aca="false">IFERROR(INDEX(المرجع!$D$2:$D$19,MATCH($I211,المرجع!$E$2:$E$19,0)),"")</f>
        <v>اكتمال المخرجات المستهدفة</v>
      </c>
      <c r="K211" s="20" t="s">
        <v>134</v>
      </c>
      <c r="L211" s="21" t="str">
        <f aca="false">IFERROR(INDEX('نقاط التحقق'!$G$2:$G$31,MATCH($K211,'نقاط التحقق'!$A$2:$A$31,0))&amp;"","")</f>
        <v>اكتمال مخرجات النموذج التشغيلي المستهدف للوحدة التنظيمية</v>
      </c>
      <c r="M211" s="17" t="n">
        <v>27</v>
      </c>
      <c r="N211" s="17" t="n">
        <v>100</v>
      </c>
      <c r="O211" s="19" t="str">
        <f aca="false">IF($M211="","غير مقيّمة",IF($M211&gt;المرجع!$K$3,"مستوفاة بشكل متقدم",IF($M211&lt;=المرجع!$K$2,"مستوفاة بشكل أولي","مستوفاة بشكل جزئي")))</f>
        <v>مستوفاة بشكل أولي</v>
      </c>
      <c r="P211" s="22"/>
    </row>
    <row r="212" customFormat="false" ht="15" hidden="false" customHeight="true" outlineLevel="0" collapsed="false">
      <c r="A212" s="20" t="s">
        <v>1026</v>
      </c>
      <c r="B212" s="20" t="s">
        <v>210</v>
      </c>
      <c r="C212" s="19" t="str">
        <f aca="false">IFERROR(INDEX('قائمة الوحدات'!$B$2:$B$41,MATCH($B212,'قائمة الوحدات'!$A$2:$A$41,0)),"")</f>
        <v>MIL</v>
      </c>
      <c r="D212" s="18" t="str">
        <f aca="false">IFERROR(INDEX('قائمة الوحدات'!$C$2:$C$41,MATCH($B212,'قائمة الوحدات'!$A$2:$A$41,0)),"")</f>
        <v>الجهاز العسكري</v>
      </c>
      <c r="E212" s="18" t="str">
        <f aca="false">IFERROR(INDEX('قائمة الوحدات'!$D$2:$D$41,MATCH($B212,'قائمة الوحدات'!$A$2:$A$41,0)),"")</f>
        <v>الإدارة العامة للعمليات المشتركة</v>
      </c>
      <c r="F212" s="18" t="str">
        <f aca="false">IFERROR(INDEX('قائمة الوحدات'!$F$2:$F$41,MATCH($B212,'قائمة الوحدات'!$A$2:$A$41,0)),"")</f>
        <v>الإدارة العامة للعمليات المشتركة</v>
      </c>
      <c r="G212" s="20" t="s">
        <v>44</v>
      </c>
      <c r="H212" s="18" t="str">
        <f aca="false">IFERROR(INDEX(المرجع!$A$2:$A$19,MATCH($G212,المرجع!$B$2:$B$19,0)),"")</f>
        <v>التصميم</v>
      </c>
      <c r="I212" s="20" t="s">
        <v>46</v>
      </c>
      <c r="J212" s="18" t="str">
        <f aca="false">IFERROR(INDEX(المرجع!$D$2:$D$19,MATCH($I212,المرجع!$E$2:$E$19,0)),"")</f>
        <v>الدور</v>
      </c>
      <c r="K212" s="20" t="s">
        <v>76</v>
      </c>
      <c r="L212" s="21" t="str">
        <f aca="false">IFERROR(INDEX('نقاط التحقق'!$G$2:$G$31,MATCH($K212,'نقاط التحقق'!$A$2:$A$31,0))&amp;"","")</f>
        <v>دور مفصل للوحدة التنظيمية</v>
      </c>
      <c r="M212" s="17" t="n">
        <v>72</v>
      </c>
      <c r="N212" s="17" t="n">
        <v>100</v>
      </c>
      <c r="O212" s="19" t="str">
        <f aca="false">IF($M212="","غير مقيّمة",IF($M212&gt;المرجع!$K$3,"مستوفاة بشكل متقدم",IF($M212&lt;=المرجع!$K$2,"مستوفاة بشكل أولي","مستوفاة بشكل جزئي")))</f>
        <v>مستوفاة بشكل متقدم</v>
      </c>
      <c r="P212" s="22"/>
    </row>
    <row r="213" customFormat="false" ht="15" hidden="false" customHeight="true" outlineLevel="0" collapsed="false">
      <c r="A213" s="20" t="s">
        <v>1027</v>
      </c>
      <c r="B213" s="20" t="s">
        <v>210</v>
      </c>
      <c r="C213" s="19" t="str">
        <f aca="false">IFERROR(INDEX('قائمة الوحدات'!$B$2:$B$41,MATCH($B213,'قائمة الوحدات'!$A$2:$A$41,0)),"")</f>
        <v>MIL</v>
      </c>
      <c r="D213" s="18" t="str">
        <f aca="false">IFERROR(INDEX('قائمة الوحدات'!$C$2:$C$41,MATCH($B213,'قائمة الوحدات'!$A$2:$A$41,0)),"")</f>
        <v>الجهاز العسكري</v>
      </c>
      <c r="E213" s="18" t="str">
        <f aca="false">IFERROR(INDEX('قائمة الوحدات'!$D$2:$D$41,MATCH($B213,'قائمة الوحدات'!$A$2:$A$41,0)),"")</f>
        <v>الإدارة العامة للعمليات المشتركة</v>
      </c>
      <c r="F213" s="18" t="str">
        <f aca="false">IFERROR(INDEX('قائمة الوحدات'!$F$2:$F$41,MATCH($B213,'قائمة الوحدات'!$A$2:$A$41,0)),"")</f>
        <v>الإدارة العامة للعمليات المشتركة</v>
      </c>
      <c r="G213" s="20" t="s">
        <v>44</v>
      </c>
      <c r="H213" s="18" t="str">
        <f aca="false">IFERROR(INDEX(المرجع!$A$2:$A$19,MATCH($G213,المرجع!$B$2:$B$19,0)),"")</f>
        <v>التصميم</v>
      </c>
      <c r="I213" s="20" t="s">
        <v>49</v>
      </c>
      <c r="J213" s="18" t="str">
        <f aca="false">IFERROR(INDEX(المرجع!$D$2:$D$19,MATCH($I213,المرجع!$E$2:$E$19,0)),"")</f>
        <v>الأهداف ومؤشرات الأداء</v>
      </c>
      <c r="K213" s="20" t="s">
        <v>78</v>
      </c>
      <c r="L213" s="21" t="str">
        <f aca="false">IFERROR(INDEX('نقاط التحقق'!$G$2:$G$31,MATCH($K213,'نقاط التحقق'!$A$2:$A$31,0))&amp;"","")</f>
        <v>أهداف محددة للوحدة التنظيمية وربطها بمؤشرات أداء لقياسها</v>
      </c>
      <c r="M213" s="17" t="n">
        <v>95</v>
      </c>
      <c r="N213" s="17" t="n">
        <v>100</v>
      </c>
      <c r="O213" s="19" t="str">
        <f aca="false">IF($M213="","غير مقيّمة",IF($M213&gt;المرجع!$K$3,"مستوفاة بشكل متقدم",IF($M213&lt;=المرجع!$K$2,"مستوفاة بشكل أولي","مستوفاة بشكل جزئي")))</f>
        <v>مستوفاة بشكل متقدم</v>
      </c>
      <c r="P213" s="22"/>
    </row>
    <row r="214" customFormat="false" ht="15" hidden="false" customHeight="true" outlineLevel="0" collapsed="false">
      <c r="A214" s="20" t="s">
        <v>1028</v>
      </c>
      <c r="B214" s="20" t="s">
        <v>210</v>
      </c>
      <c r="C214" s="19" t="str">
        <f aca="false">IFERROR(INDEX('قائمة الوحدات'!$B$2:$B$41,MATCH($B214,'قائمة الوحدات'!$A$2:$A$41,0)),"")</f>
        <v>MIL</v>
      </c>
      <c r="D214" s="18" t="str">
        <f aca="false">IFERROR(INDEX('قائمة الوحدات'!$C$2:$C$41,MATCH($B214,'قائمة الوحدات'!$A$2:$A$41,0)),"")</f>
        <v>الجهاز العسكري</v>
      </c>
      <c r="E214" s="18" t="str">
        <f aca="false">IFERROR(INDEX('قائمة الوحدات'!$D$2:$D$41,MATCH($B214,'قائمة الوحدات'!$A$2:$A$41,0)),"")</f>
        <v>الإدارة العامة للعمليات المشتركة</v>
      </c>
      <c r="F214" s="18" t="str">
        <f aca="false">IFERROR(INDEX('قائمة الوحدات'!$F$2:$F$41,MATCH($B214,'قائمة الوحدات'!$A$2:$A$41,0)),"")</f>
        <v>الإدارة العامة للعمليات المشتركة</v>
      </c>
      <c r="G214" s="20" t="s">
        <v>44</v>
      </c>
      <c r="H214" s="18" t="str">
        <f aca="false">IFERROR(INDEX(المرجع!$A$2:$A$19,MATCH($G214,المرجع!$B$2:$B$19,0)),"")</f>
        <v>التصميم</v>
      </c>
      <c r="I214" s="20" t="s">
        <v>49</v>
      </c>
      <c r="J214" s="18" t="str">
        <f aca="false">IFERROR(INDEX(المرجع!$D$2:$D$19,MATCH($I214,المرجع!$E$2:$E$19,0)),"")</f>
        <v>الأهداف ومؤشرات الأداء</v>
      </c>
      <c r="K214" s="20" t="s">
        <v>80</v>
      </c>
      <c r="L214" s="21" t="str">
        <f aca="false">IFERROR(INDEX('نقاط التحقق'!$G$2:$G$31,MATCH($K214,'نقاط التحقق'!$A$2:$A$31,0))&amp;"","")</f>
        <v>مؤشرات أداء الوحدة التنظيمية</v>
      </c>
      <c r="M214" s="17" t="n">
        <v>80</v>
      </c>
      <c r="N214" s="17" t="n">
        <v>100</v>
      </c>
      <c r="O214" s="19" t="str">
        <f aca="false">IF($M214="","غير مقيّمة",IF($M214&gt;المرجع!$K$3,"مستوفاة بشكل متقدم",IF($M214&lt;=المرجع!$K$2,"مستوفاة بشكل أولي","مستوفاة بشكل جزئي")))</f>
        <v>مستوفاة بشكل متقدم</v>
      </c>
      <c r="P214" s="22"/>
    </row>
    <row r="215" customFormat="false" ht="15" hidden="false" customHeight="true" outlineLevel="0" collapsed="false">
      <c r="A215" s="20" t="s">
        <v>1029</v>
      </c>
      <c r="B215" s="20" t="s">
        <v>210</v>
      </c>
      <c r="C215" s="19" t="str">
        <f aca="false">IFERROR(INDEX('قائمة الوحدات'!$B$2:$B$41,MATCH($B215,'قائمة الوحدات'!$A$2:$A$41,0)),"")</f>
        <v>MIL</v>
      </c>
      <c r="D215" s="18" t="str">
        <f aca="false">IFERROR(INDEX('قائمة الوحدات'!$C$2:$C$41,MATCH($B215,'قائمة الوحدات'!$A$2:$A$41,0)),"")</f>
        <v>الجهاز العسكري</v>
      </c>
      <c r="E215" s="18" t="str">
        <f aca="false">IFERROR(INDEX('قائمة الوحدات'!$D$2:$D$41,MATCH($B215,'قائمة الوحدات'!$A$2:$A$41,0)),"")</f>
        <v>الإدارة العامة للعمليات المشتركة</v>
      </c>
      <c r="F215" s="18" t="str">
        <f aca="false">IFERROR(INDEX('قائمة الوحدات'!$F$2:$F$41,MATCH($B215,'قائمة الوحدات'!$A$2:$A$41,0)),"")</f>
        <v>الإدارة العامة للعمليات المشتركة</v>
      </c>
      <c r="G215" s="20" t="s">
        <v>44</v>
      </c>
      <c r="H215" s="18" t="str">
        <f aca="false">IFERROR(INDEX(المرجع!$A$2:$A$19,MATCH($G215,المرجع!$B$2:$B$19,0)),"")</f>
        <v>التصميم</v>
      </c>
      <c r="I215" s="20" t="s">
        <v>52</v>
      </c>
      <c r="J215" s="18" t="str">
        <f aca="false">IFERROR(INDEX(المرجع!$D$2:$D$19,MATCH($I215,المرجع!$E$2:$E$19,0)),"")</f>
        <v>الحوكمة</v>
      </c>
      <c r="K215" s="20" t="s">
        <v>82</v>
      </c>
      <c r="L215" s="21" t="str">
        <f aca="false">IFERROR(INDEX('نقاط التحقق'!$G$2:$G$31,MATCH($K215,'نقاط التحقق'!$A$2:$A$31,0))&amp;"","")</f>
        <v>تفصيل القرارات ومصفوفة الصلاحيات واللجان ذات العلاقة لاعتماد مخرجات الوحدة التنظيمية</v>
      </c>
      <c r="M215" s="17" t="n">
        <v>68</v>
      </c>
      <c r="N215" s="17" t="n">
        <v>100</v>
      </c>
      <c r="O215" s="19" t="str">
        <f aca="false">IF($M215="","غير مقيّمة",IF($M215&gt;المرجع!$K$3,"مستوفاة بشكل متقدم",IF($M215&lt;=المرجع!$K$2,"مستوفاة بشكل أولي","مستوفاة بشكل جزئي")))</f>
        <v>مستوفاة بشكل جزئي</v>
      </c>
      <c r="P215" s="22"/>
    </row>
    <row r="216" customFormat="false" ht="15" hidden="false" customHeight="true" outlineLevel="0" collapsed="false">
      <c r="A216" s="20" t="s">
        <v>1030</v>
      </c>
      <c r="B216" s="20" t="s">
        <v>210</v>
      </c>
      <c r="C216" s="19" t="str">
        <f aca="false">IFERROR(INDEX('قائمة الوحدات'!$B$2:$B$41,MATCH($B216,'قائمة الوحدات'!$A$2:$A$41,0)),"")</f>
        <v>MIL</v>
      </c>
      <c r="D216" s="18" t="str">
        <f aca="false">IFERROR(INDEX('قائمة الوحدات'!$C$2:$C$41,MATCH($B216,'قائمة الوحدات'!$A$2:$A$41,0)),"")</f>
        <v>الجهاز العسكري</v>
      </c>
      <c r="E216" s="18" t="str">
        <f aca="false">IFERROR(INDEX('قائمة الوحدات'!$D$2:$D$41,MATCH($B216,'قائمة الوحدات'!$A$2:$A$41,0)),"")</f>
        <v>الإدارة العامة للعمليات المشتركة</v>
      </c>
      <c r="F216" s="18" t="str">
        <f aca="false">IFERROR(INDEX('قائمة الوحدات'!$F$2:$F$41,MATCH($B216,'قائمة الوحدات'!$A$2:$A$41,0)),"")</f>
        <v>الإدارة العامة للعمليات المشتركة</v>
      </c>
      <c r="G216" s="20" t="s">
        <v>44</v>
      </c>
      <c r="H216" s="18" t="str">
        <f aca="false">IFERROR(INDEX(المرجع!$A$2:$A$19,MATCH($G216,المرجع!$B$2:$B$19,0)),"")</f>
        <v>التصميم</v>
      </c>
      <c r="I216" s="20" t="s">
        <v>55</v>
      </c>
      <c r="J216" s="18" t="str">
        <f aca="false">IFERROR(INDEX(المرجع!$D$2:$D$19,MATCH($I216,المرجع!$E$2:$E$19,0)),"")</f>
        <v>التنظيم</v>
      </c>
      <c r="K216" s="20" t="s">
        <v>84</v>
      </c>
      <c r="L216" s="21" t="str">
        <f aca="false">IFERROR(INDEX('نقاط التحقق'!$G$2:$G$31,MATCH($K216,'نقاط التحقق'!$A$2:$A$31,0))&amp;"","")</f>
        <v>تطوير الأدوار والمسؤوليات للوحدة التنظيمية وتفصيل الهيكل التنظيمي</v>
      </c>
      <c r="M216" s="17" t="n">
        <v>84</v>
      </c>
      <c r="N216" s="17" t="n">
        <v>95</v>
      </c>
      <c r="O216" s="19" t="str">
        <f aca="false">IF($M216="","غير مقيّمة",IF($M216&gt;المرجع!$K$3,"مستوفاة بشكل متقدم",IF($M216&lt;=المرجع!$K$2,"مستوفاة بشكل أولي","مستوفاة بشكل جزئي")))</f>
        <v>مستوفاة بشكل متقدم</v>
      </c>
      <c r="P216" s="22"/>
    </row>
    <row r="217" customFormat="false" ht="15" hidden="false" customHeight="true" outlineLevel="0" collapsed="false">
      <c r="A217" s="20" t="s">
        <v>1031</v>
      </c>
      <c r="B217" s="20" t="s">
        <v>210</v>
      </c>
      <c r="C217" s="19" t="str">
        <f aca="false">IFERROR(INDEX('قائمة الوحدات'!$B$2:$B$41,MATCH($B217,'قائمة الوحدات'!$A$2:$A$41,0)),"")</f>
        <v>MIL</v>
      </c>
      <c r="D217" s="18" t="str">
        <f aca="false">IFERROR(INDEX('قائمة الوحدات'!$C$2:$C$41,MATCH($B217,'قائمة الوحدات'!$A$2:$A$41,0)),"")</f>
        <v>الجهاز العسكري</v>
      </c>
      <c r="E217" s="18" t="str">
        <f aca="false">IFERROR(INDEX('قائمة الوحدات'!$D$2:$D$41,MATCH($B217,'قائمة الوحدات'!$A$2:$A$41,0)),"")</f>
        <v>الإدارة العامة للعمليات المشتركة</v>
      </c>
      <c r="F217" s="18" t="str">
        <f aca="false">IFERROR(INDEX('قائمة الوحدات'!$F$2:$F$41,MATCH($B217,'قائمة الوحدات'!$A$2:$A$41,0)),"")</f>
        <v>الإدارة العامة للعمليات المشتركة</v>
      </c>
      <c r="G217" s="20" t="s">
        <v>44</v>
      </c>
      <c r="H217" s="18" t="str">
        <f aca="false">IFERROR(INDEX(المرجع!$A$2:$A$19,MATCH($G217,المرجع!$B$2:$B$19,0)),"")</f>
        <v>التصميم</v>
      </c>
      <c r="I217" s="20" t="s">
        <v>57</v>
      </c>
      <c r="J217" s="18" t="str">
        <f aca="false">IFERROR(INDEX(المرجع!$D$2:$D$19,MATCH($I217,المرجع!$E$2:$E$19,0)),"")</f>
        <v>الموارد</v>
      </c>
      <c r="K217" s="20" t="s">
        <v>86</v>
      </c>
      <c r="L217" s="21" t="str">
        <f aca="false">IFERROR(INDEX('نقاط التحقق'!$G$2:$G$31,MATCH($K217,'نقاط التحقق'!$A$2:$A$31,0))&amp;"","")</f>
        <v>تفصيل احتياج الموارد البشرية للوحدة التنظيمية</v>
      </c>
      <c r="M217" s="17" t="n">
        <v>90</v>
      </c>
      <c r="N217" s="17" t="n">
        <v>100</v>
      </c>
      <c r="O217" s="19" t="str">
        <f aca="false">IF($M217="","غير مقيّمة",IF($M217&gt;المرجع!$K$3,"مستوفاة بشكل متقدم",IF($M217&lt;=المرجع!$K$2,"مستوفاة بشكل أولي","مستوفاة بشكل جزئي")))</f>
        <v>مستوفاة بشكل متقدم</v>
      </c>
      <c r="P217" s="22"/>
    </row>
    <row r="218" customFormat="false" ht="15" hidden="false" customHeight="true" outlineLevel="0" collapsed="false">
      <c r="A218" s="20" t="s">
        <v>1032</v>
      </c>
      <c r="B218" s="20" t="s">
        <v>210</v>
      </c>
      <c r="C218" s="19" t="str">
        <f aca="false">IFERROR(INDEX('قائمة الوحدات'!$B$2:$B$41,MATCH($B218,'قائمة الوحدات'!$A$2:$A$41,0)),"")</f>
        <v>MIL</v>
      </c>
      <c r="D218" s="18" t="str">
        <f aca="false">IFERROR(INDEX('قائمة الوحدات'!$C$2:$C$41,MATCH($B218,'قائمة الوحدات'!$A$2:$A$41,0)),"")</f>
        <v>الجهاز العسكري</v>
      </c>
      <c r="E218" s="18" t="str">
        <f aca="false">IFERROR(INDEX('قائمة الوحدات'!$D$2:$D$41,MATCH($B218,'قائمة الوحدات'!$A$2:$A$41,0)),"")</f>
        <v>الإدارة العامة للعمليات المشتركة</v>
      </c>
      <c r="F218" s="18" t="str">
        <f aca="false">IFERROR(INDEX('قائمة الوحدات'!$F$2:$F$41,MATCH($B218,'قائمة الوحدات'!$A$2:$A$41,0)),"")</f>
        <v>الإدارة العامة للعمليات المشتركة</v>
      </c>
      <c r="G218" s="20" t="s">
        <v>44</v>
      </c>
      <c r="H218" s="18" t="str">
        <f aca="false">IFERROR(INDEX(المرجع!$A$2:$A$19,MATCH($G218,المرجع!$B$2:$B$19,0)),"")</f>
        <v>التصميم</v>
      </c>
      <c r="I218" s="20" t="s">
        <v>60</v>
      </c>
      <c r="J218" s="18" t="str">
        <f aca="false">IFERROR(INDEX(المرجع!$D$2:$D$19,MATCH($I218,المرجع!$E$2:$E$19,0)),"")</f>
        <v>الإجراءات</v>
      </c>
      <c r="K218" s="20" t="s">
        <v>88</v>
      </c>
      <c r="L218" s="21" t="str">
        <f aca="false">IFERROR(INDEX('نقاط التحقق'!$G$2:$G$31,MATCH($K218,'نقاط التحقق'!$A$2:$A$31,0))&amp;"","")</f>
        <v>تفصيل المخرجات إلى إجراءات عالية المستوى</v>
      </c>
      <c r="M218" s="17" t="n">
        <v>89</v>
      </c>
      <c r="N218" s="17" t="n">
        <v>100</v>
      </c>
      <c r="O218" s="19" t="str">
        <f aca="false">IF($M218="","غير مقيّمة",IF($M218&gt;المرجع!$K$3,"مستوفاة بشكل متقدم",IF($M218&lt;=المرجع!$K$2,"مستوفاة بشكل أولي","مستوفاة بشكل جزئي")))</f>
        <v>مستوفاة بشكل متقدم</v>
      </c>
      <c r="P218" s="22"/>
    </row>
    <row r="219" customFormat="false" ht="15" hidden="false" customHeight="true" outlineLevel="0" collapsed="false">
      <c r="A219" s="20" t="s">
        <v>1033</v>
      </c>
      <c r="B219" s="20" t="s">
        <v>210</v>
      </c>
      <c r="C219" s="19" t="str">
        <f aca="false">IFERROR(INDEX('قائمة الوحدات'!$B$2:$B$41,MATCH($B219,'قائمة الوحدات'!$A$2:$A$41,0)),"")</f>
        <v>MIL</v>
      </c>
      <c r="D219" s="18" t="str">
        <f aca="false">IFERROR(INDEX('قائمة الوحدات'!$C$2:$C$41,MATCH($B219,'قائمة الوحدات'!$A$2:$A$41,0)),"")</f>
        <v>الجهاز العسكري</v>
      </c>
      <c r="E219" s="18" t="str">
        <f aca="false">IFERROR(INDEX('قائمة الوحدات'!$D$2:$D$41,MATCH($B219,'قائمة الوحدات'!$A$2:$A$41,0)),"")</f>
        <v>الإدارة العامة للعمليات المشتركة</v>
      </c>
      <c r="F219" s="18" t="str">
        <f aca="false">IFERROR(INDEX('قائمة الوحدات'!$F$2:$F$41,MATCH($B219,'قائمة الوحدات'!$A$2:$A$41,0)),"")</f>
        <v>الإدارة العامة للعمليات المشتركة</v>
      </c>
      <c r="G219" s="20" t="s">
        <v>62</v>
      </c>
      <c r="H219" s="18" t="str">
        <f aca="false">IFERROR(INDEX(المرجع!$A$2:$A$19,MATCH($G219,المرجع!$B$2:$B$19,0)),"")</f>
        <v>البناء المؤسسي</v>
      </c>
      <c r="I219" s="20" t="s">
        <v>46</v>
      </c>
      <c r="J219" s="18" t="str">
        <f aca="false">IFERROR(INDEX(المرجع!$D$2:$D$19,MATCH($I219,المرجع!$E$2:$E$19,0)),"")</f>
        <v>الدور</v>
      </c>
      <c r="K219" s="20" t="s">
        <v>90</v>
      </c>
      <c r="L219" s="21" t="str">
        <f aca="false">IFERROR(INDEX('نقاط التحقق'!$G$2:$G$31,MATCH($K219,'نقاط التحقق'!$A$2:$A$31,0))&amp;"","")</f>
        <v>دور معتمد للوحدة التنظيمية</v>
      </c>
      <c r="M219" s="17" t="n">
        <v>70</v>
      </c>
      <c r="N219" s="17" t="n">
        <v>100</v>
      </c>
      <c r="O219" s="19" t="str">
        <f aca="false">IF($M219="","غير مقيّمة",IF($M219&gt;المرجع!$K$3,"مستوفاة بشكل متقدم",IF($M219&lt;=المرجع!$K$2,"مستوفاة بشكل أولي","مستوفاة بشكل جزئي")))</f>
        <v>مستوفاة بشكل جزئي</v>
      </c>
      <c r="P219" s="22"/>
    </row>
    <row r="220" customFormat="false" ht="15" hidden="false" customHeight="true" outlineLevel="0" collapsed="false">
      <c r="A220" s="20" t="s">
        <v>1034</v>
      </c>
      <c r="B220" s="20" t="s">
        <v>210</v>
      </c>
      <c r="C220" s="19" t="str">
        <f aca="false">IFERROR(INDEX('قائمة الوحدات'!$B$2:$B$41,MATCH($B220,'قائمة الوحدات'!$A$2:$A$41,0)),"")</f>
        <v>MIL</v>
      </c>
      <c r="D220" s="18" t="str">
        <f aca="false">IFERROR(INDEX('قائمة الوحدات'!$C$2:$C$41,MATCH($B220,'قائمة الوحدات'!$A$2:$A$41,0)),"")</f>
        <v>الجهاز العسكري</v>
      </c>
      <c r="E220" s="18" t="str">
        <f aca="false">IFERROR(INDEX('قائمة الوحدات'!$D$2:$D$41,MATCH($B220,'قائمة الوحدات'!$A$2:$A$41,0)),"")</f>
        <v>الإدارة العامة للعمليات المشتركة</v>
      </c>
      <c r="F220" s="18" t="str">
        <f aca="false">IFERROR(INDEX('قائمة الوحدات'!$F$2:$F$41,MATCH($B220,'قائمة الوحدات'!$A$2:$A$41,0)),"")</f>
        <v>الإدارة العامة للعمليات المشتركة</v>
      </c>
      <c r="G220" s="20" t="s">
        <v>62</v>
      </c>
      <c r="H220" s="18" t="str">
        <f aca="false">IFERROR(INDEX(المرجع!$A$2:$A$19,MATCH($G220,المرجع!$B$2:$B$19,0)),"")</f>
        <v>البناء المؤسسي</v>
      </c>
      <c r="I220" s="20" t="s">
        <v>49</v>
      </c>
      <c r="J220" s="18" t="str">
        <f aca="false">IFERROR(INDEX(المرجع!$D$2:$D$19,MATCH($I220,المرجع!$E$2:$E$19,0)),"")</f>
        <v>الأهداف ومؤشرات الأداء</v>
      </c>
      <c r="K220" s="20" t="s">
        <v>92</v>
      </c>
      <c r="L220" s="21" t="str">
        <f aca="false">IFERROR(INDEX('نقاط التحقق'!$G$2:$G$31,MATCH($K220,'نقاط التحقق'!$A$2:$A$31,0))&amp;"","")</f>
        <v>أهداف تشغيلية معتمدة من صاحب الصلاحية</v>
      </c>
      <c r="M220" s="17" t="n">
        <v>55</v>
      </c>
      <c r="N220" s="17" t="n">
        <v>100</v>
      </c>
      <c r="O220" s="19" t="str">
        <f aca="false">IF($M220="","غير مقيّمة",IF($M220&gt;المرجع!$K$3,"مستوفاة بشكل متقدم",IF($M220&lt;=المرجع!$K$2,"مستوفاة بشكل أولي","مستوفاة بشكل جزئي")))</f>
        <v>مستوفاة بشكل جزئي</v>
      </c>
      <c r="P220" s="22"/>
    </row>
    <row r="221" customFormat="false" ht="15" hidden="false" customHeight="true" outlineLevel="0" collapsed="false">
      <c r="A221" s="20" t="s">
        <v>1035</v>
      </c>
      <c r="B221" s="20" t="s">
        <v>210</v>
      </c>
      <c r="C221" s="19" t="str">
        <f aca="false">IFERROR(INDEX('قائمة الوحدات'!$B$2:$B$41,MATCH($B221,'قائمة الوحدات'!$A$2:$A$41,0)),"")</f>
        <v>MIL</v>
      </c>
      <c r="D221" s="18" t="str">
        <f aca="false">IFERROR(INDEX('قائمة الوحدات'!$C$2:$C$41,MATCH($B221,'قائمة الوحدات'!$A$2:$A$41,0)),"")</f>
        <v>الجهاز العسكري</v>
      </c>
      <c r="E221" s="18" t="str">
        <f aca="false">IFERROR(INDEX('قائمة الوحدات'!$D$2:$D$41,MATCH($B221,'قائمة الوحدات'!$A$2:$A$41,0)),"")</f>
        <v>الإدارة العامة للعمليات المشتركة</v>
      </c>
      <c r="F221" s="18" t="str">
        <f aca="false">IFERROR(INDEX('قائمة الوحدات'!$F$2:$F$41,MATCH($B221,'قائمة الوحدات'!$A$2:$A$41,0)),"")</f>
        <v>الإدارة العامة للعمليات المشتركة</v>
      </c>
      <c r="G221" s="20" t="s">
        <v>62</v>
      </c>
      <c r="H221" s="18" t="str">
        <f aca="false">IFERROR(INDEX(المرجع!$A$2:$A$19,MATCH($G221,المرجع!$B$2:$B$19,0)),"")</f>
        <v>البناء المؤسسي</v>
      </c>
      <c r="I221" s="20" t="s">
        <v>49</v>
      </c>
      <c r="J221" s="18" t="str">
        <f aca="false">IFERROR(INDEX(المرجع!$D$2:$D$19,MATCH($I221,المرجع!$E$2:$E$19,0)),"")</f>
        <v>الأهداف ومؤشرات الأداء</v>
      </c>
      <c r="K221" s="20" t="s">
        <v>94</v>
      </c>
      <c r="L221" s="21" t="str">
        <f aca="false">IFERROR(INDEX('نقاط التحقق'!$G$2:$G$31,MATCH($K221,'نقاط التحقق'!$A$2:$A$31,0))&amp;"","")</f>
        <v>نشر الأهداف التشغيلية على موظفي الوحدة التنظيمية</v>
      </c>
      <c r="M221" s="17" t="n">
        <v>85</v>
      </c>
      <c r="N221" s="17" t="n">
        <v>85</v>
      </c>
      <c r="O221" s="19" t="str">
        <f aca="false">IF($M221="","غير مقيّمة",IF($M221&gt;المرجع!$K$3,"مستوفاة بشكل متقدم",IF($M221&lt;=المرجع!$K$2,"مستوفاة بشكل أولي","مستوفاة بشكل جزئي")))</f>
        <v>مستوفاة بشكل متقدم</v>
      </c>
      <c r="P221" s="22"/>
    </row>
    <row r="222" customFormat="false" ht="15" hidden="false" customHeight="true" outlineLevel="0" collapsed="false">
      <c r="A222" s="20" t="s">
        <v>1036</v>
      </c>
      <c r="B222" s="20" t="s">
        <v>210</v>
      </c>
      <c r="C222" s="19" t="str">
        <f aca="false">IFERROR(INDEX('قائمة الوحدات'!$B$2:$B$41,MATCH($B222,'قائمة الوحدات'!$A$2:$A$41,0)),"")</f>
        <v>MIL</v>
      </c>
      <c r="D222" s="18" t="str">
        <f aca="false">IFERROR(INDEX('قائمة الوحدات'!$C$2:$C$41,MATCH($B222,'قائمة الوحدات'!$A$2:$A$41,0)),"")</f>
        <v>الجهاز العسكري</v>
      </c>
      <c r="E222" s="18" t="str">
        <f aca="false">IFERROR(INDEX('قائمة الوحدات'!$D$2:$D$41,MATCH($B222,'قائمة الوحدات'!$A$2:$A$41,0)),"")</f>
        <v>الإدارة العامة للعمليات المشتركة</v>
      </c>
      <c r="F222" s="18" t="str">
        <f aca="false">IFERROR(INDEX('قائمة الوحدات'!$F$2:$F$41,MATCH($B222,'قائمة الوحدات'!$A$2:$A$41,0)),"")</f>
        <v>الإدارة العامة للعمليات المشتركة</v>
      </c>
      <c r="G222" s="20" t="s">
        <v>62</v>
      </c>
      <c r="H222" s="18" t="str">
        <f aca="false">IFERROR(INDEX(المرجع!$A$2:$A$19,MATCH($G222,المرجع!$B$2:$B$19,0)),"")</f>
        <v>البناء المؤسسي</v>
      </c>
      <c r="I222" s="20" t="s">
        <v>52</v>
      </c>
      <c r="J222" s="18" t="str">
        <f aca="false">IFERROR(INDEX(المرجع!$D$2:$D$19,MATCH($I222,المرجع!$E$2:$E$19,0)),"")</f>
        <v>الحوكمة</v>
      </c>
      <c r="K222" s="20" t="s">
        <v>96</v>
      </c>
      <c r="L222" s="21" t="str">
        <f aca="false">IFERROR(INDEX('نقاط التحقق'!$G$2:$G$31,MATCH($K222,'نقاط التحقق'!$A$2:$A$31,0))&amp;"","")</f>
        <v>مصفوفة صلاحيات معتمدة ومعممة على أصحاب المصلحة</v>
      </c>
      <c r="M222" s="17" t="n">
        <v>75</v>
      </c>
      <c r="N222" s="17" t="n">
        <v>100</v>
      </c>
      <c r="O222" s="19" t="str">
        <f aca="false">IF($M222="","غير مقيّمة",IF($M222&gt;المرجع!$K$3,"مستوفاة بشكل متقدم",IF($M222&lt;=المرجع!$K$2,"مستوفاة بشكل أولي","مستوفاة بشكل جزئي")))</f>
        <v>مستوفاة بشكل متقدم</v>
      </c>
      <c r="P222" s="22"/>
    </row>
    <row r="223" customFormat="false" ht="15" hidden="false" customHeight="true" outlineLevel="0" collapsed="false">
      <c r="A223" s="20" t="s">
        <v>1037</v>
      </c>
      <c r="B223" s="20" t="s">
        <v>210</v>
      </c>
      <c r="C223" s="19" t="str">
        <f aca="false">IFERROR(INDEX('قائمة الوحدات'!$B$2:$B$41,MATCH($B223,'قائمة الوحدات'!$A$2:$A$41,0)),"")</f>
        <v>MIL</v>
      </c>
      <c r="D223" s="18" t="str">
        <f aca="false">IFERROR(INDEX('قائمة الوحدات'!$C$2:$C$41,MATCH($B223,'قائمة الوحدات'!$A$2:$A$41,0)),"")</f>
        <v>الجهاز العسكري</v>
      </c>
      <c r="E223" s="18" t="str">
        <f aca="false">IFERROR(INDEX('قائمة الوحدات'!$D$2:$D$41,MATCH($B223,'قائمة الوحدات'!$A$2:$A$41,0)),"")</f>
        <v>الإدارة العامة للعمليات المشتركة</v>
      </c>
      <c r="F223" s="18" t="str">
        <f aca="false">IFERROR(INDEX('قائمة الوحدات'!$F$2:$F$41,MATCH($B223,'قائمة الوحدات'!$A$2:$A$41,0)),"")</f>
        <v>الإدارة العامة للعمليات المشتركة</v>
      </c>
      <c r="G223" s="20" t="s">
        <v>62</v>
      </c>
      <c r="H223" s="18" t="str">
        <f aca="false">IFERROR(INDEX(المرجع!$A$2:$A$19,MATCH($G223,المرجع!$B$2:$B$19,0)),"")</f>
        <v>البناء المؤسسي</v>
      </c>
      <c r="I223" s="20" t="s">
        <v>52</v>
      </c>
      <c r="J223" s="18" t="str">
        <f aca="false">IFERROR(INDEX(المرجع!$D$2:$D$19,MATCH($I223,المرجع!$E$2:$E$19,0)),"")</f>
        <v>الحوكمة</v>
      </c>
      <c r="K223" s="20" t="s">
        <v>98</v>
      </c>
      <c r="L223" s="21" t="str">
        <f aca="false">IFERROR(INDEX('نقاط التحقق'!$G$2:$G$31,MATCH($K223,'نقاط التحقق'!$A$2:$A$31,0))&amp;"","")</f>
        <v>سياسات معتمدة للتي تملكها الوحدة التنظيمية</v>
      </c>
      <c r="M223" s="17" t="n">
        <v>75</v>
      </c>
      <c r="N223" s="17" t="n">
        <v>100</v>
      </c>
      <c r="O223" s="19" t="str">
        <f aca="false">IF($M223="","غير مقيّمة",IF($M223&gt;المرجع!$K$3,"مستوفاة بشكل متقدم",IF($M223&lt;=المرجع!$K$2,"مستوفاة بشكل أولي","مستوفاة بشكل جزئي")))</f>
        <v>مستوفاة بشكل متقدم</v>
      </c>
      <c r="P223" s="22"/>
    </row>
    <row r="224" customFormat="false" ht="15" hidden="false" customHeight="true" outlineLevel="0" collapsed="false">
      <c r="A224" s="20" t="s">
        <v>1038</v>
      </c>
      <c r="B224" s="20" t="s">
        <v>210</v>
      </c>
      <c r="C224" s="19" t="str">
        <f aca="false">IFERROR(INDEX('قائمة الوحدات'!$B$2:$B$41,MATCH($B224,'قائمة الوحدات'!$A$2:$A$41,0)),"")</f>
        <v>MIL</v>
      </c>
      <c r="D224" s="18" t="str">
        <f aca="false">IFERROR(INDEX('قائمة الوحدات'!$C$2:$C$41,MATCH($B224,'قائمة الوحدات'!$A$2:$A$41,0)),"")</f>
        <v>الجهاز العسكري</v>
      </c>
      <c r="E224" s="18" t="str">
        <f aca="false">IFERROR(INDEX('قائمة الوحدات'!$D$2:$D$41,MATCH($B224,'قائمة الوحدات'!$A$2:$A$41,0)),"")</f>
        <v>الإدارة العامة للعمليات المشتركة</v>
      </c>
      <c r="F224" s="18" t="str">
        <f aca="false">IFERROR(INDEX('قائمة الوحدات'!$F$2:$F$41,MATCH($B224,'قائمة الوحدات'!$A$2:$A$41,0)),"")</f>
        <v>الإدارة العامة للعمليات المشتركة</v>
      </c>
      <c r="G224" s="20" t="s">
        <v>62</v>
      </c>
      <c r="H224" s="18" t="str">
        <f aca="false">IFERROR(INDEX(المرجع!$A$2:$A$19,MATCH($G224,المرجع!$B$2:$B$19,0)),"")</f>
        <v>البناء المؤسسي</v>
      </c>
      <c r="I224" s="20" t="s">
        <v>52</v>
      </c>
      <c r="J224" s="18" t="str">
        <f aca="false">IFERROR(INDEX(المرجع!$D$2:$D$19,MATCH($I224,المرجع!$E$2:$E$19,0)),"")</f>
        <v>الحوكمة</v>
      </c>
      <c r="K224" s="20" t="s">
        <v>100</v>
      </c>
      <c r="L224" s="21" t="str">
        <f aca="false">IFERROR(INDEX('نقاط التحقق'!$G$2:$G$31,MATCH($K224,'نقاط التحقق'!$A$2:$A$31,0))&amp;"","")</f>
        <v>قرار تشكيل معتمد للجان ذات العلاقة</v>
      </c>
      <c r="M224" s="17" t="n">
        <v>75</v>
      </c>
      <c r="N224" s="17" t="n">
        <v>100</v>
      </c>
      <c r="O224" s="19" t="str">
        <f aca="false">IF($M224="","غير مقيّمة",IF($M224&gt;المرجع!$K$3,"مستوفاة بشكل متقدم",IF($M224&lt;=المرجع!$K$2,"مستوفاة بشكل أولي","مستوفاة بشكل جزئي")))</f>
        <v>مستوفاة بشكل متقدم</v>
      </c>
      <c r="P224" s="22"/>
    </row>
    <row r="225" customFormat="false" ht="15" hidden="false" customHeight="true" outlineLevel="0" collapsed="false">
      <c r="A225" s="20" t="s">
        <v>1039</v>
      </c>
      <c r="B225" s="20" t="s">
        <v>210</v>
      </c>
      <c r="C225" s="19" t="str">
        <f aca="false">IFERROR(INDEX('قائمة الوحدات'!$B$2:$B$41,MATCH($B225,'قائمة الوحدات'!$A$2:$A$41,0)),"")</f>
        <v>MIL</v>
      </c>
      <c r="D225" s="18" t="str">
        <f aca="false">IFERROR(INDEX('قائمة الوحدات'!$C$2:$C$41,MATCH($B225,'قائمة الوحدات'!$A$2:$A$41,0)),"")</f>
        <v>الجهاز العسكري</v>
      </c>
      <c r="E225" s="18" t="str">
        <f aca="false">IFERROR(INDEX('قائمة الوحدات'!$D$2:$D$41,MATCH($B225,'قائمة الوحدات'!$A$2:$A$41,0)),"")</f>
        <v>الإدارة العامة للعمليات المشتركة</v>
      </c>
      <c r="F225" s="18" t="str">
        <f aca="false">IFERROR(INDEX('قائمة الوحدات'!$F$2:$F$41,MATCH($B225,'قائمة الوحدات'!$A$2:$A$41,0)),"")</f>
        <v>الإدارة العامة للعمليات المشتركة</v>
      </c>
      <c r="G225" s="20" t="s">
        <v>62</v>
      </c>
      <c r="H225" s="18" t="str">
        <f aca="false">IFERROR(INDEX(المرجع!$A$2:$A$19,MATCH($G225,المرجع!$B$2:$B$19,0)),"")</f>
        <v>البناء المؤسسي</v>
      </c>
      <c r="I225" s="20" t="s">
        <v>55</v>
      </c>
      <c r="J225" s="18" t="str">
        <f aca="false">IFERROR(INDEX(المرجع!$D$2:$D$19,MATCH($I225,المرجع!$E$2:$E$19,0)),"")</f>
        <v>التنظيم</v>
      </c>
      <c r="K225" s="20" t="s">
        <v>102</v>
      </c>
      <c r="L225" s="21" t="str">
        <f aca="false">IFERROR(INDEX('نقاط التحقق'!$G$2:$G$31,MATCH($K225,'نقاط التحقق'!$A$2:$A$31,0))&amp;"","")</f>
        <v>هيكل تنظيمي معتمد من صاحب الصلاحية</v>
      </c>
      <c r="M225" s="17" t="n">
        <v>75</v>
      </c>
      <c r="N225" s="17" t="n">
        <v>100</v>
      </c>
      <c r="O225" s="19" t="str">
        <f aca="false">IF($M225="","غير مقيّمة",IF($M225&gt;المرجع!$K$3,"مستوفاة بشكل متقدم",IF($M225&lt;=المرجع!$K$2,"مستوفاة بشكل أولي","مستوفاة بشكل جزئي")))</f>
        <v>مستوفاة بشكل متقدم</v>
      </c>
      <c r="P225" s="22"/>
    </row>
    <row r="226" customFormat="false" ht="15" hidden="false" customHeight="true" outlineLevel="0" collapsed="false">
      <c r="A226" s="20" t="s">
        <v>1040</v>
      </c>
      <c r="B226" s="20" t="s">
        <v>210</v>
      </c>
      <c r="C226" s="19" t="str">
        <f aca="false">IFERROR(INDEX('قائمة الوحدات'!$B$2:$B$41,MATCH($B226,'قائمة الوحدات'!$A$2:$A$41,0)),"")</f>
        <v>MIL</v>
      </c>
      <c r="D226" s="18" t="str">
        <f aca="false">IFERROR(INDEX('قائمة الوحدات'!$C$2:$C$41,MATCH($B226,'قائمة الوحدات'!$A$2:$A$41,0)),"")</f>
        <v>الجهاز العسكري</v>
      </c>
      <c r="E226" s="18" t="str">
        <f aca="false">IFERROR(INDEX('قائمة الوحدات'!$D$2:$D$41,MATCH($B226,'قائمة الوحدات'!$A$2:$A$41,0)),"")</f>
        <v>الإدارة العامة للعمليات المشتركة</v>
      </c>
      <c r="F226" s="18" t="str">
        <f aca="false">IFERROR(INDEX('قائمة الوحدات'!$F$2:$F$41,MATCH($B226,'قائمة الوحدات'!$A$2:$A$41,0)),"")</f>
        <v>الإدارة العامة للعمليات المشتركة</v>
      </c>
      <c r="G226" s="20" t="s">
        <v>62</v>
      </c>
      <c r="H226" s="18" t="str">
        <f aca="false">IFERROR(INDEX(المرجع!$A$2:$A$19,MATCH($G226,المرجع!$B$2:$B$19,0)),"")</f>
        <v>البناء المؤسسي</v>
      </c>
      <c r="I226" s="20" t="s">
        <v>55</v>
      </c>
      <c r="J226" s="18" t="str">
        <f aca="false">IFERROR(INDEX(المرجع!$D$2:$D$19,MATCH($I226,المرجع!$E$2:$E$19,0)),"")</f>
        <v>التنظيم</v>
      </c>
      <c r="K226" s="20" t="s">
        <v>104</v>
      </c>
      <c r="L226" s="21" t="str">
        <f aca="false">IFERROR(INDEX('نقاط التحقق'!$G$2:$G$31,MATCH($K226,'نقاط التحقق'!$A$2:$A$31,0))&amp;"","")</f>
        <v>هيكل تنظيمي منشأ على نظام القوى العاملة</v>
      </c>
      <c r="M226" s="17" t="n">
        <v>65</v>
      </c>
      <c r="N226" s="17" t="n">
        <v>100</v>
      </c>
      <c r="O226" s="19" t="str">
        <f aca="false">IF($M226="","غير مقيّمة",IF($M226&gt;المرجع!$K$3,"مستوفاة بشكل متقدم",IF($M226&lt;=المرجع!$K$2,"مستوفاة بشكل أولي","مستوفاة بشكل جزئي")))</f>
        <v>مستوفاة بشكل جزئي</v>
      </c>
      <c r="P226" s="22"/>
    </row>
    <row r="227" customFormat="false" ht="15" hidden="false" customHeight="true" outlineLevel="0" collapsed="false">
      <c r="A227" s="20" t="s">
        <v>1041</v>
      </c>
      <c r="B227" s="20" t="s">
        <v>210</v>
      </c>
      <c r="C227" s="19" t="str">
        <f aca="false">IFERROR(INDEX('قائمة الوحدات'!$B$2:$B$41,MATCH($B227,'قائمة الوحدات'!$A$2:$A$41,0)),"")</f>
        <v>MIL</v>
      </c>
      <c r="D227" s="18" t="str">
        <f aca="false">IFERROR(INDEX('قائمة الوحدات'!$C$2:$C$41,MATCH($B227,'قائمة الوحدات'!$A$2:$A$41,0)),"")</f>
        <v>الجهاز العسكري</v>
      </c>
      <c r="E227" s="18" t="str">
        <f aca="false">IFERROR(INDEX('قائمة الوحدات'!$D$2:$D$41,MATCH($B227,'قائمة الوحدات'!$A$2:$A$41,0)),"")</f>
        <v>الإدارة العامة للعمليات المشتركة</v>
      </c>
      <c r="F227" s="18" t="str">
        <f aca="false">IFERROR(INDEX('قائمة الوحدات'!$F$2:$F$41,MATCH($B227,'قائمة الوحدات'!$A$2:$A$41,0)),"")</f>
        <v>الإدارة العامة للعمليات المشتركة</v>
      </c>
      <c r="G227" s="20" t="s">
        <v>62</v>
      </c>
      <c r="H227" s="18" t="str">
        <f aca="false">IFERROR(INDEX(المرجع!$A$2:$A$19,MATCH($G227,المرجع!$B$2:$B$19,0)),"")</f>
        <v>البناء المؤسسي</v>
      </c>
      <c r="I227" s="20" t="s">
        <v>55</v>
      </c>
      <c r="J227" s="18" t="str">
        <f aca="false">IFERROR(INDEX(المرجع!$D$2:$D$19,MATCH($I227,المرجع!$E$2:$E$19,0)),"")</f>
        <v>التنظيم</v>
      </c>
      <c r="K227" s="20" t="s">
        <v>106</v>
      </c>
      <c r="L227" s="21" t="str">
        <f aca="false">IFERROR(INDEX('نقاط التحقق'!$G$2:$G$31,MATCH($K227,'نقاط التحقق'!$A$2:$A$31,0))&amp;"","")</f>
        <v>الموظفون المحددون مسكّنون على الهيكل التنظيمي المستهدف</v>
      </c>
      <c r="M227" s="17" t="n">
        <v>80</v>
      </c>
      <c r="N227" s="17" t="n">
        <v>100</v>
      </c>
      <c r="O227" s="19" t="str">
        <f aca="false">IF($M227="","غير مقيّمة",IF($M227&gt;المرجع!$K$3,"مستوفاة بشكل متقدم",IF($M227&lt;=المرجع!$K$2,"مستوفاة بشكل أولي","مستوفاة بشكل جزئي")))</f>
        <v>مستوفاة بشكل متقدم</v>
      </c>
      <c r="P227" s="22"/>
    </row>
    <row r="228" customFormat="false" ht="15" hidden="false" customHeight="true" outlineLevel="0" collapsed="false">
      <c r="A228" s="20" t="s">
        <v>1042</v>
      </c>
      <c r="B228" s="20" t="s">
        <v>210</v>
      </c>
      <c r="C228" s="19" t="str">
        <f aca="false">IFERROR(INDEX('قائمة الوحدات'!$B$2:$B$41,MATCH($B228,'قائمة الوحدات'!$A$2:$A$41,0)),"")</f>
        <v>MIL</v>
      </c>
      <c r="D228" s="18" t="str">
        <f aca="false">IFERROR(INDEX('قائمة الوحدات'!$C$2:$C$41,MATCH($B228,'قائمة الوحدات'!$A$2:$A$41,0)),"")</f>
        <v>الجهاز العسكري</v>
      </c>
      <c r="E228" s="18" t="str">
        <f aca="false">IFERROR(INDEX('قائمة الوحدات'!$D$2:$D$41,MATCH($B228,'قائمة الوحدات'!$A$2:$A$41,0)),"")</f>
        <v>الإدارة العامة للعمليات المشتركة</v>
      </c>
      <c r="F228" s="18" t="str">
        <f aca="false">IFERROR(INDEX('قائمة الوحدات'!$F$2:$F$41,MATCH($B228,'قائمة الوحدات'!$A$2:$A$41,0)),"")</f>
        <v>الإدارة العامة للعمليات المشتركة</v>
      </c>
      <c r="G228" s="20" t="s">
        <v>62</v>
      </c>
      <c r="H228" s="18" t="str">
        <f aca="false">IFERROR(INDEX(المرجع!$A$2:$A$19,MATCH($G228,المرجع!$B$2:$B$19,0)),"")</f>
        <v>البناء المؤسسي</v>
      </c>
      <c r="I228" s="20" t="s">
        <v>57</v>
      </c>
      <c r="J228" s="18" t="str">
        <f aca="false">IFERROR(INDEX(المرجع!$D$2:$D$19,MATCH($I228,المرجع!$E$2:$E$19,0)),"")</f>
        <v>الموارد</v>
      </c>
      <c r="K228" s="20" t="s">
        <v>108</v>
      </c>
      <c r="L228" s="21" t="str">
        <f aca="false">IFERROR(INDEX('نقاط التحقق'!$G$2:$G$31,MATCH($K228,'نقاط التحقق'!$A$2:$A$31,0))&amp;"","")</f>
        <v>مدير الوحدة التنظيمية والموظفون الرئيسيون معينون/ملحقون</v>
      </c>
      <c r="M228" s="17" t="n">
        <v>100</v>
      </c>
      <c r="N228" s="17" t="n">
        <v>100</v>
      </c>
      <c r="O228" s="19" t="str">
        <f aca="false">IF($M228="","غير مقيّمة",IF($M228&gt;المرجع!$K$3,"مستوفاة بشكل متقدم",IF($M228&lt;=المرجع!$K$2,"مستوفاة بشكل أولي","مستوفاة بشكل جزئي")))</f>
        <v>مستوفاة بشكل متقدم</v>
      </c>
      <c r="P228" s="22"/>
    </row>
    <row r="229" customFormat="false" ht="15" hidden="false" customHeight="true" outlineLevel="0" collapsed="false">
      <c r="A229" s="20" t="s">
        <v>1043</v>
      </c>
      <c r="B229" s="20" t="s">
        <v>210</v>
      </c>
      <c r="C229" s="19" t="str">
        <f aca="false">IFERROR(INDEX('قائمة الوحدات'!$B$2:$B$41,MATCH($B229,'قائمة الوحدات'!$A$2:$A$41,0)),"")</f>
        <v>MIL</v>
      </c>
      <c r="D229" s="18" t="str">
        <f aca="false">IFERROR(INDEX('قائمة الوحدات'!$C$2:$C$41,MATCH($B229,'قائمة الوحدات'!$A$2:$A$41,0)),"")</f>
        <v>الجهاز العسكري</v>
      </c>
      <c r="E229" s="18" t="str">
        <f aca="false">IFERROR(INDEX('قائمة الوحدات'!$D$2:$D$41,MATCH($B229,'قائمة الوحدات'!$A$2:$A$41,0)),"")</f>
        <v>الإدارة العامة للعمليات المشتركة</v>
      </c>
      <c r="F229" s="18" t="str">
        <f aca="false">IFERROR(INDEX('قائمة الوحدات'!$F$2:$F$41,MATCH($B229,'قائمة الوحدات'!$A$2:$A$41,0)),"")</f>
        <v>الإدارة العامة للعمليات المشتركة</v>
      </c>
      <c r="G229" s="20" t="s">
        <v>62</v>
      </c>
      <c r="H229" s="18" t="str">
        <f aca="false">IFERROR(INDEX(المرجع!$A$2:$A$19,MATCH($G229,المرجع!$B$2:$B$19,0)),"")</f>
        <v>البناء المؤسسي</v>
      </c>
      <c r="I229" s="20" t="s">
        <v>57</v>
      </c>
      <c r="J229" s="18" t="str">
        <f aca="false">IFERROR(INDEX(المرجع!$D$2:$D$19,MATCH($I229,المرجع!$E$2:$E$19,0)),"")</f>
        <v>الموارد</v>
      </c>
      <c r="K229" s="20" t="s">
        <v>110</v>
      </c>
      <c r="L229" s="21" t="str">
        <f aca="false">IFERROR(INDEX('نقاط التحقق'!$G$2:$G$31,MATCH($K229,'نقاط التحقق'!$A$2:$A$31,0))&amp;"","")</f>
        <v>خطة توظيف وتدريب مستكملة</v>
      </c>
      <c r="M229" s="17" t="n">
        <v>85</v>
      </c>
      <c r="N229" s="17" t="n">
        <v>85</v>
      </c>
      <c r="O229" s="19" t="str">
        <f aca="false">IF($M229="","غير مقيّمة",IF($M229&gt;المرجع!$K$3,"مستوفاة بشكل متقدم",IF($M229&lt;=المرجع!$K$2,"مستوفاة بشكل أولي","مستوفاة بشكل جزئي")))</f>
        <v>مستوفاة بشكل متقدم</v>
      </c>
      <c r="P229" s="22"/>
    </row>
    <row r="230" customFormat="false" ht="15" hidden="false" customHeight="true" outlineLevel="0" collapsed="false">
      <c r="A230" s="20" t="s">
        <v>1044</v>
      </c>
      <c r="B230" s="20" t="s">
        <v>210</v>
      </c>
      <c r="C230" s="19" t="str">
        <f aca="false">IFERROR(INDEX('قائمة الوحدات'!$B$2:$B$41,MATCH($B230,'قائمة الوحدات'!$A$2:$A$41,0)),"")</f>
        <v>MIL</v>
      </c>
      <c r="D230" s="18" t="str">
        <f aca="false">IFERROR(INDEX('قائمة الوحدات'!$C$2:$C$41,MATCH($B230,'قائمة الوحدات'!$A$2:$A$41,0)),"")</f>
        <v>الجهاز العسكري</v>
      </c>
      <c r="E230" s="18" t="str">
        <f aca="false">IFERROR(INDEX('قائمة الوحدات'!$D$2:$D$41,MATCH($B230,'قائمة الوحدات'!$A$2:$A$41,0)),"")</f>
        <v>الإدارة العامة للعمليات المشتركة</v>
      </c>
      <c r="F230" s="18" t="str">
        <f aca="false">IFERROR(INDEX('قائمة الوحدات'!$F$2:$F$41,MATCH($B230,'قائمة الوحدات'!$A$2:$A$41,0)),"")</f>
        <v>الإدارة العامة للعمليات المشتركة</v>
      </c>
      <c r="G230" s="20" t="s">
        <v>62</v>
      </c>
      <c r="H230" s="18" t="str">
        <f aca="false">IFERROR(INDEX(المرجع!$A$2:$A$19,MATCH($G230,المرجع!$B$2:$B$19,0)),"")</f>
        <v>البناء المؤسسي</v>
      </c>
      <c r="I230" s="20" t="s">
        <v>57</v>
      </c>
      <c r="J230" s="18" t="str">
        <f aca="false">IFERROR(INDEX(المرجع!$D$2:$D$19,MATCH($I230,المرجع!$E$2:$E$19,0)),"")</f>
        <v>الموارد</v>
      </c>
      <c r="K230" s="20" t="s">
        <v>112</v>
      </c>
      <c r="L230" s="21" t="str">
        <f aca="false">IFERROR(INDEX('نقاط التحقق'!$G$2:$G$31,MATCH($K230,'نقاط التحقق'!$A$2:$A$31,0))&amp;"","")</f>
        <v>وجود مساحات مكتبية كافية</v>
      </c>
      <c r="M230" s="17" t="n">
        <v>100</v>
      </c>
      <c r="N230" s="17" t="n">
        <v>100</v>
      </c>
      <c r="O230" s="19" t="str">
        <f aca="false">IF($M230="","غير مقيّمة",IF($M230&gt;المرجع!$K$3,"مستوفاة بشكل متقدم",IF($M230&lt;=المرجع!$K$2,"مستوفاة بشكل أولي","مستوفاة بشكل جزئي")))</f>
        <v>مستوفاة بشكل متقدم</v>
      </c>
      <c r="P230" s="22"/>
    </row>
    <row r="231" customFormat="false" ht="15" hidden="false" customHeight="true" outlineLevel="0" collapsed="false">
      <c r="A231" s="20" t="s">
        <v>1045</v>
      </c>
      <c r="B231" s="20" t="s">
        <v>210</v>
      </c>
      <c r="C231" s="19" t="str">
        <f aca="false">IFERROR(INDEX('قائمة الوحدات'!$B$2:$B$41,MATCH($B231,'قائمة الوحدات'!$A$2:$A$41,0)),"")</f>
        <v>MIL</v>
      </c>
      <c r="D231" s="18" t="str">
        <f aca="false">IFERROR(INDEX('قائمة الوحدات'!$C$2:$C$41,MATCH($B231,'قائمة الوحدات'!$A$2:$A$41,0)),"")</f>
        <v>الجهاز العسكري</v>
      </c>
      <c r="E231" s="18" t="str">
        <f aca="false">IFERROR(INDEX('قائمة الوحدات'!$D$2:$D$41,MATCH($B231,'قائمة الوحدات'!$A$2:$A$41,0)),"")</f>
        <v>الإدارة العامة للعمليات المشتركة</v>
      </c>
      <c r="F231" s="18" t="str">
        <f aca="false">IFERROR(INDEX('قائمة الوحدات'!$F$2:$F$41,MATCH($B231,'قائمة الوحدات'!$A$2:$A$41,0)),"")</f>
        <v>الإدارة العامة للعمليات المشتركة</v>
      </c>
      <c r="G231" s="20" t="s">
        <v>62</v>
      </c>
      <c r="H231" s="18" t="str">
        <f aca="false">IFERROR(INDEX(المرجع!$A$2:$A$19,MATCH($G231,المرجع!$B$2:$B$19,0)),"")</f>
        <v>البناء المؤسسي</v>
      </c>
      <c r="I231" s="20" t="s">
        <v>57</v>
      </c>
      <c r="J231" s="18" t="str">
        <f aca="false">IFERROR(INDEX(المرجع!$D$2:$D$19,MATCH($I231,المرجع!$E$2:$E$19,0)),"")</f>
        <v>الموارد</v>
      </c>
      <c r="K231" s="20" t="s">
        <v>114</v>
      </c>
      <c r="L231" s="21" t="str">
        <f aca="false">IFERROR(INDEX('نقاط التحقق'!$G$2:$G$31,MATCH($K231,'نقاط التحقق'!$A$2:$A$31,0))&amp;"","")</f>
        <v>وجود الاحتياجات التقنية الأساسية</v>
      </c>
      <c r="M231" s="17" t="n">
        <v>70</v>
      </c>
      <c r="N231" s="17" t="n">
        <v>100</v>
      </c>
      <c r="O231" s="19" t="str">
        <f aca="false">IF($M231="","غير مقيّمة",IF($M231&gt;المرجع!$K$3,"مستوفاة بشكل متقدم",IF($M231&lt;=المرجع!$K$2,"مستوفاة بشكل أولي","مستوفاة بشكل جزئي")))</f>
        <v>مستوفاة بشكل جزئي</v>
      </c>
      <c r="P231" s="22"/>
    </row>
    <row r="232" customFormat="false" ht="15" hidden="false" customHeight="true" outlineLevel="0" collapsed="false">
      <c r="A232" s="20" t="s">
        <v>1046</v>
      </c>
      <c r="B232" s="20" t="s">
        <v>210</v>
      </c>
      <c r="C232" s="19" t="str">
        <f aca="false">IFERROR(INDEX('قائمة الوحدات'!$B$2:$B$41,MATCH($B232,'قائمة الوحدات'!$A$2:$A$41,0)),"")</f>
        <v>MIL</v>
      </c>
      <c r="D232" s="18" t="str">
        <f aca="false">IFERROR(INDEX('قائمة الوحدات'!$C$2:$C$41,MATCH($B232,'قائمة الوحدات'!$A$2:$A$41,0)),"")</f>
        <v>الجهاز العسكري</v>
      </c>
      <c r="E232" s="18" t="str">
        <f aca="false">IFERROR(INDEX('قائمة الوحدات'!$D$2:$D$41,MATCH($B232,'قائمة الوحدات'!$A$2:$A$41,0)),"")</f>
        <v>الإدارة العامة للعمليات المشتركة</v>
      </c>
      <c r="F232" s="18" t="str">
        <f aca="false">IFERROR(INDEX('قائمة الوحدات'!$F$2:$F$41,MATCH($B232,'قائمة الوحدات'!$A$2:$A$41,0)),"")</f>
        <v>الإدارة العامة للعمليات المشتركة</v>
      </c>
      <c r="G232" s="20" t="s">
        <v>62</v>
      </c>
      <c r="H232" s="18" t="str">
        <f aca="false">IFERROR(INDEX(المرجع!$A$2:$A$19,MATCH($G232,المرجع!$B$2:$B$19,0)),"")</f>
        <v>البناء المؤسسي</v>
      </c>
      <c r="I232" s="20" t="s">
        <v>60</v>
      </c>
      <c r="J232" s="18" t="str">
        <f aca="false">IFERROR(INDEX(المرجع!$D$2:$D$19,MATCH($I232,المرجع!$E$2:$E$19,0)),"")</f>
        <v>الإجراءات</v>
      </c>
      <c r="K232" s="20" t="s">
        <v>116</v>
      </c>
      <c r="L232" s="21" t="str">
        <f aca="false">IFERROR(INDEX('نقاط التحقق'!$G$2:$G$31,MATCH($K232,'نقاط التحقق'!$A$2:$A$31,0))&amp;"","")</f>
        <v>إجراءات معتمدة للوحدة التنظيمية</v>
      </c>
      <c r="M232" s="17" t="n">
        <v>62</v>
      </c>
      <c r="N232" s="17" t="n">
        <v>100</v>
      </c>
      <c r="O232" s="19" t="str">
        <f aca="false">IF($M232="","غير مقيّمة",IF($M232&gt;المرجع!$K$3,"مستوفاة بشكل متقدم",IF($M232&lt;=المرجع!$K$2,"مستوفاة بشكل أولي","مستوفاة بشكل جزئي")))</f>
        <v>مستوفاة بشكل جزئي</v>
      </c>
      <c r="P232" s="22"/>
    </row>
    <row r="233" customFormat="false" ht="15" hidden="false" customHeight="true" outlineLevel="0" collapsed="false">
      <c r="A233" s="20" t="s">
        <v>1047</v>
      </c>
      <c r="B233" s="20" t="s">
        <v>210</v>
      </c>
      <c r="C233" s="19" t="str">
        <f aca="false">IFERROR(INDEX('قائمة الوحدات'!$B$2:$B$41,MATCH($B233,'قائمة الوحدات'!$A$2:$A$41,0)),"")</f>
        <v>MIL</v>
      </c>
      <c r="D233" s="18" t="str">
        <f aca="false">IFERROR(INDEX('قائمة الوحدات'!$C$2:$C$41,MATCH($B233,'قائمة الوحدات'!$A$2:$A$41,0)),"")</f>
        <v>الجهاز العسكري</v>
      </c>
      <c r="E233" s="18" t="str">
        <f aca="false">IFERROR(INDEX('قائمة الوحدات'!$D$2:$D$41,MATCH($B233,'قائمة الوحدات'!$A$2:$A$41,0)),"")</f>
        <v>الإدارة العامة للعمليات المشتركة</v>
      </c>
      <c r="F233" s="18" t="str">
        <f aca="false">IFERROR(INDEX('قائمة الوحدات'!$F$2:$F$41,MATCH($B233,'قائمة الوحدات'!$A$2:$A$41,0)),"")</f>
        <v>الإدارة العامة للعمليات المشتركة</v>
      </c>
      <c r="G233" s="20" t="s">
        <v>62</v>
      </c>
      <c r="H233" s="18" t="str">
        <f aca="false">IFERROR(INDEX(المرجع!$A$2:$A$19,MATCH($G233,المرجع!$B$2:$B$19,0)),"")</f>
        <v>البناء المؤسسي</v>
      </c>
      <c r="I233" s="20" t="s">
        <v>69</v>
      </c>
      <c r="J233" s="18" t="str">
        <f aca="false">IFERROR(INDEX(المرجع!$D$2:$D$19,MATCH($I233,المرجع!$E$2:$E$19,0)),"")</f>
        <v>إنتاج المخرج الأول</v>
      </c>
      <c r="K233" s="20" t="s">
        <v>118</v>
      </c>
      <c r="L233" s="21" t="str">
        <f aca="false">IFERROR(INDEX('نقاط التحقق'!$G$2:$G$31,MATCH($K233,'نقاط التحقق'!$A$2:$A$31,0))&amp;"","")</f>
        <v>إنتاج المخرج الأول من قبل الوحدة التنظيمية</v>
      </c>
      <c r="M233" s="17" t="n">
        <v>55</v>
      </c>
      <c r="N233" s="17" t="n">
        <v>100</v>
      </c>
      <c r="O233" s="19" t="str">
        <f aca="false">IF($M233="","غير مقيّمة",IF($M233&gt;المرجع!$K$3,"مستوفاة بشكل متقدم",IF($M233&lt;=المرجع!$K$2,"مستوفاة بشكل أولي","مستوفاة بشكل جزئي")))</f>
        <v>مستوفاة بشكل جزئي</v>
      </c>
      <c r="P233" s="22"/>
    </row>
    <row r="234" customFormat="false" ht="15" hidden="false" customHeight="true" outlineLevel="0" collapsed="false">
      <c r="A234" s="20" t="s">
        <v>1048</v>
      </c>
      <c r="B234" s="20" t="s">
        <v>210</v>
      </c>
      <c r="C234" s="19" t="str">
        <f aca="false">IFERROR(INDEX('قائمة الوحدات'!$B$2:$B$41,MATCH($B234,'قائمة الوحدات'!$A$2:$A$41,0)),"")</f>
        <v>MIL</v>
      </c>
      <c r="D234" s="18" t="str">
        <f aca="false">IFERROR(INDEX('قائمة الوحدات'!$C$2:$C$41,MATCH($B234,'قائمة الوحدات'!$A$2:$A$41,0)),"")</f>
        <v>الجهاز العسكري</v>
      </c>
      <c r="E234" s="18" t="str">
        <f aca="false">IFERROR(INDEX('قائمة الوحدات'!$D$2:$D$41,MATCH($B234,'قائمة الوحدات'!$A$2:$A$41,0)),"")</f>
        <v>الإدارة العامة للعمليات المشتركة</v>
      </c>
      <c r="F234" s="18" t="str">
        <f aca="false">IFERROR(INDEX('قائمة الوحدات'!$F$2:$F$41,MATCH($B234,'قائمة الوحدات'!$A$2:$A$41,0)),"")</f>
        <v>الإدارة العامة للعمليات المشتركة</v>
      </c>
      <c r="G234" s="20" t="s">
        <v>66</v>
      </c>
      <c r="H234" s="18" t="str">
        <f aca="false">IFERROR(INDEX(المرجع!$A$2:$A$19,MATCH($G234,المرجع!$B$2:$B$19,0)),"")</f>
        <v>التشغيل</v>
      </c>
      <c r="I234" s="20" t="s">
        <v>49</v>
      </c>
      <c r="J234" s="18" t="str">
        <f aca="false">IFERROR(INDEX(المرجع!$D$2:$D$19,MATCH($I234,المرجع!$E$2:$E$19,0)),"")</f>
        <v>الأهداف ومؤشرات الأداء</v>
      </c>
      <c r="K234" s="20" t="s">
        <v>120</v>
      </c>
      <c r="L234" s="21" t="str">
        <f aca="false">IFERROR(INDEX('نقاط التحقق'!$G$2:$G$31,MATCH($K234,'نقاط التحقق'!$A$2:$A$31,0))&amp;"","")</f>
        <v>تحرك مؤشرات الأداء التشغيلي للوحدة التنظيمية بشكل إيجابي</v>
      </c>
      <c r="M234" s="17" t="n">
        <v>30</v>
      </c>
      <c r="N234" s="17" t="n">
        <v>100</v>
      </c>
      <c r="O234" s="19" t="str">
        <f aca="false">IF($M234="","غير مقيّمة",IF($M234&gt;المرجع!$K$3,"مستوفاة بشكل متقدم",IF($M234&lt;=المرجع!$K$2,"مستوفاة بشكل أولي","مستوفاة بشكل جزئي")))</f>
        <v>مستوفاة بشكل أولي</v>
      </c>
      <c r="P234" s="22"/>
    </row>
    <row r="235" customFormat="false" ht="15" hidden="false" customHeight="true" outlineLevel="0" collapsed="false">
      <c r="A235" s="20" t="s">
        <v>1049</v>
      </c>
      <c r="B235" s="20" t="s">
        <v>210</v>
      </c>
      <c r="C235" s="19" t="str">
        <f aca="false">IFERROR(INDEX('قائمة الوحدات'!$B$2:$B$41,MATCH($B235,'قائمة الوحدات'!$A$2:$A$41,0)),"")</f>
        <v>MIL</v>
      </c>
      <c r="D235" s="18" t="str">
        <f aca="false">IFERROR(INDEX('قائمة الوحدات'!$C$2:$C$41,MATCH($B235,'قائمة الوحدات'!$A$2:$A$41,0)),"")</f>
        <v>الجهاز العسكري</v>
      </c>
      <c r="E235" s="18" t="str">
        <f aca="false">IFERROR(INDEX('قائمة الوحدات'!$D$2:$D$41,MATCH($B235,'قائمة الوحدات'!$A$2:$A$41,0)),"")</f>
        <v>الإدارة العامة للعمليات المشتركة</v>
      </c>
      <c r="F235" s="18" t="str">
        <f aca="false">IFERROR(INDEX('قائمة الوحدات'!$F$2:$F$41,MATCH($B235,'قائمة الوحدات'!$A$2:$A$41,0)),"")</f>
        <v>الإدارة العامة للعمليات المشتركة</v>
      </c>
      <c r="G235" s="20" t="s">
        <v>66</v>
      </c>
      <c r="H235" s="18" t="str">
        <f aca="false">IFERROR(INDEX(المرجع!$A$2:$A$19,MATCH($G235,المرجع!$B$2:$B$19,0)),"")</f>
        <v>التشغيل</v>
      </c>
      <c r="I235" s="20" t="s">
        <v>49</v>
      </c>
      <c r="J235" s="18" t="str">
        <f aca="false">IFERROR(INDEX(المرجع!$D$2:$D$19,MATCH($I235,المرجع!$E$2:$E$19,0)),"")</f>
        <v>الأهداف ومؤشرات الأداء</v>
      </c>
      <c r="K235" s="20" t="s">
        <v>122</v>
      </c>
      <c r="L235" s="21" t="str">
        <f aca="false">IFERROR(INDEX('نقاط التحقق'!$G$2:$G$31,MATCH($K235,'نقاط التحقق'!$A$2:$A$31,0))&amp;"","")</f>
        <v>خطة سنوية معتمدة للوحدة التنظيمية</v>
      </c>
      <c r="M235" s="17" t="n">
        <v>35</v>
      </c>
      <c r="N235" s="17" t="n">
        <v>100</v>
      </c>
      <c r="O235" s="19" t="str">
        <f aca="false">IF($M235="","غير مقيّمة",IF($M235&gt;المرجع!$K$3,"مستوفاة بشكل متقدم",IF($M235&lt;=المرجع!$K$2,"مستوفاة بشكل أولي","مستوفاة بشكل جزئي")))</f>
        <v>مستوفاة بشكل جزئي</v>
      </c>
      <c r="P235" s="22"/>
    </row>
    <row r="236" customFormat="false" ht="15" hidden="false" customHeight="true" outlineLevel="0" collapsed="false">
      <c r="A236" s="20" t="s">
        <v>1050</v>
      </c>
      <c r="B236" s="20" t="s">
        <v>210</v>
      </c>
      <c r="C236" s="19" t="str">
        <f aca="false">IFERROR(INDEX('قائمة الوحدات'!$B$2:$B$41,MATCH($B236,'قائمة الوحدات'!$A$2:$A$41,0)),"")</f>
        <v>MIL</v>
      </c>
      <c r="D236" s="18" t="str">
        <f aca="false">IFERROR(INDEX('قائمة الوحدات'!$C$2:$C$41,MATCH($B236,'قائمة الوحدات'!$A$2:$A$41,0)),"")</f>
        <v>الجهاز العسكري</v>
      </c>
      <c r="E236" s="18" t="str">
        <f aca="false">IFERROR(INDEX('قائمة الوحدات'!$D$2:$D$41,MATCH($B236,'قائمة الوحدات'!$A$2:$A$41,0)),"")</f>
        <v>الإدارة العامة للعمليات المشتركة</v>
      </c>
      <c r="F236" s="18" t="str">
        <f aca="false">IFERROR(INDEX('قائمة الوحدات'!$F$2:$F$41,MATCH($B236,'قائمة الوحدات'!$A$2:$A$41,0)),"")</f>
        <v>الإدارة العامة للعمليات المشتركة</v>
      </c>
      <c r="G236" s="20" t="s">
        <v>66</v>
      </c>
      <c r="H236" s="18" t="str">
        <f aca="false">IFERROR(INDEX(المرجع!$A$2:$A$19,MATCH($G236,المرجع!$B$2:$B$19,0)),"")</f>
        <v>التشغيل</v>
      </c>
      <c r="I236" s="20" t="s">
        <v>52</v>
      </c>
      <c r="J236" s="18" t="str">
        <f aca="false">IFERROR(INDEX(المرجع!$D$2:$D$19,MATCH($I236,المرجع!$E$2:$E$19,0)),"")</f>
        <v>الحوكمة</v>
      </c>
      <c r="K236" s="20" t="s">
        <v>124</v>
      </c>
      <c r="L236" s="21" t="str">
        <f aca="false">IFERROR(INDEX('نقاط التحقق'!$G$2:$G$31,MATCH($K236,'نقاط التحقق'!$A$2:$A$31,0))&amp;"","")</f>
        <v>محاضر لجان موثقة</v>
      </c>
      <c r="M236" s="17" t="n">
        <v>55</v>
      </c>
      <c r="N236" s="17" t="n">
        <v>100</v>
      </c>
      <c r="O236" s="19" t="str">
        <f aca="false">IF($M236="","غير مقيّمة",IF($M236&gt;المرجع!$K$3,"مستوفاة بشكل متقدم",IF($M236&lt;=المرجع!$K$2,"مستوفاة بشكل أولي","مستوفاة بشكل جزئي")))</f>
        <v>مستوفاة بشكل جزئي</v>
      </c>
      <c r="P236" s="22"/>
    </row>
    <row r="237" customFormat="false" ht="15" hidden="false" customHeight="true" outlineLevel="0" collapsed="false">
      <c r="A237" s="20" t="s">
        <v>1051</v>
      </c>
      <c r="B237" s="20" t="s">
        <v>210</v>
      </c>
      <c r="C237" s="19" t="str">
        <f aca="false">IFERROR(INDEX('قائمة الوحدات'!$B$2:$B$41,MATCH($B237,'قائمة الوحدات'!$A$2:$A$41,0)),"")</f>
        <v>MIL</v>
      </c>
      <c r="D237" s="18" t="str">
        <f aca="false">IFERROR(INDEX('قائمة الوحدات'!$C$2:$C$41,MATCH($B237,'قائمة الوحدات'!$A$2:$A$41,0)),"")</f>
        <v>الجهاز العسكري</v>
      </c>
      <c r="E237" s="18" t="str">
        <f aca="false">IFERROR(INDEX('قائمة الوحدات'!$D$2:$D$41,MATCH($B237,'قائمة الوحدات'!$A$2:$A$41,0)),"")</f>
        <v>الإدارة العامة للعمليات المشتركة</v>
      </c>
      <c r="F237" s="18" t="str">
        <f aca="false">IFERROR(INDEX('قائمة الوحدات'!$F$2:$F$41,MATCH($B237,'قائمة الوحدات'!$A$2:$A$41,0)),"")</f>
        <v>الإدارة العامة للعمليات المشتركة</v>
      </c>
      <c r="G237" s="20" t="s">
        <v>66</v>
      </c>
      <c r="H237" s="18" t="str">
        <f aca="false">IFERROR(INDEX(المرجع!$A$2:$A$19,MATCH($G237,المرجع!$B$2:$B$19,0)),"")</f>
        <v>التشغيل</v>
      </c>
      <c r="I237" s="20" t="s">
        <v>52</v>
      </c>
      <c r="J237" s="18" t="str">
        <f aca="false">IFERROR(INDEX(المرجع!$D$2:$D$19,MATCH($I237,المرجع!$E$2:$E$19,0)),"")</f>
        <v>الحوكمة</v>
      </c>
      <c r="K237" s="20" t="s">
        <v>126</v>
      </c>
      <c r="L237" s="21" t="str">
        <f aca="false">IFERROR(INDEX('نقاط التحقق'!$G$2:$G$31,MATCH($K237,'نقاط التحقق'!$A$2:$A$31,0))&amp;"","")</f>
        <v>نشر السياسات التي تملكها الوحدة التنظيمية</v>
      </c>
      <c r="M237" s="17" t="n">
        <v>40</v>
      </c>
      <c r="N237" s="17" t="n">
        <v>100</v>
      </c>
      <c r="O237" s="19" t="str">
        <f aca="false">IF($M237="","غير مقيّمة",IF($M237&gt;المرجع!$K$3,"مستوفاة بشكل متقدم",IF($M237&lt;=المرجع!$K$2,"مستوفاة بشكل أولي","مستوفاة بشكل جزئي")))</f>
        <v>مستوفاة بشكل جزئي</v>
      </c>
      <c r="P237" s="22"/>
    </row>
    <row r="238" customFormat="false" ht="15" hidden="false" customHeight="true" outlineLevel="0" collapsed="false">
      <c r="A238" s="20" t="s">
        <v>1052</v>
      </c>
      <c r="B238" s="20" t="s">
        <v>210</v>
      </c>
      <c r="C238" s="19" t="str">
        <f aca="false">IFERROR(INDEX('قائمة الوحدات'!$B$2:$B$41,MATCH($B238,'قائمة الوحدات'!$A$2:$A$41,0)),"")</f>
        <v>MIL</v>
      </c>
      <c r="D238" s="18" t="str">
        <f aca="false">IFERROR(INDEX('قائمة الوحدات'!$C$2:$C$41,MATCH($B238,'قائمة الوحدات'!$A$2:$A$41,0)),"")</f>
        <v>الجهاز العسكري</v>
      </c>
      <c r="E238" s="18" t="str">
        <f aca="false">IFERROR(INDEX('قائمة الوحدات'!$D$2:$D$41,MATCH($B238,'قائمة الوحدات'!$A$2:$A$41,0)),"")</f>
        <v>الإدارة العامة للعمليات المشتركة</v>
      </c>
      <c r="F238" s="18" t="str">
        <f aca="false">IFERROR(INDEX('قائمة الوحدات'!$F$2:$F$41,MATCH($B238,'قائمة الوحدات'!$A$2:$A$41,0)),"")</f>
        <v>الإدارة العامة للعمليات المشتركة</v>
      </c>
      <c r="G238" s="20" t="s">
        <v>66</v>
      </c>
      <c r="H238" s="18" t="str">
        <f aca="false">IFERROR(INDEX(المرجع!$A$2:$A$19,MATCH($G238,المرجع!$B$2:$B$19,0)),"")</f>
        <v>التشغيل</v>
      </c>
      <c r="I238" s="20" t="s">
        <v>52</v>
      </c>
      <c r="J238" s="18" t="str">
        <f aca="false">IFERROR(INDEX(المرجع!$D$2:$D$19,MATCH($I238,المرجع!$E$2:$E$19,0)),"")</f>
        <v>الحوكمة</v>
      </c>
      <c r="K238" s="20" t="s">
        <v>128</v>
      </c>
      <c r="L238" s="21" t="str">
        <f aca="false">IFERROR(INDEX('نقاط التحقق'!$G$2:$G$31,MATCH($K238,'نقاط التحقق'!$A$2:$A$31,0))&amp;"","")</f>
        <v>اتخاذ القرارات في نطاق الصلاحيات (وجود شواهد)</v>
      </c>
      <c r="M238" s="17" t="n">
        <v>35</v>
      </c>
      <c r="N238" s="17" t="n">
        <v>85</v>
      </c>
      <c r="O238" s="19" t="str">
        <f aca="false">IF($M238="","غير مقيّمة",IF($M238&gt;المرجع!$K$3,"مستوفاة بشكل متقدم",IF($M238&lt;=المرجع!$K$2,"مستوفاة بشكل أولي","مستوفاة بشكل جزئي")))</f>
        <v>مستوفاة بشكل جزئي</v>
      </c>
      <c r="P238" s="22"/>
    </row>
    <row r="239" customFormat="false" ht="15" hidden="false" customHeight="true" outlineLevel="0" collapsed="false">
      <c r="A239" s="20" t="s">
        <v>1053</v>
      </c>
      <c r="B239" s="20" t="s">
        <v>210</v>
      </c>
      <c r="C239" s="19" t="str">
        <f aca="false">IFERROR(INDEX('قائمة الوحدات'!$B$2:$B$41,MATCH($B239,'قائمة الوحدات'!$A$2:$A$41,0)),"")</f>
        <v>MIL</v>
      </c>
      <c r="D239" s="18" t="str">
        <f aca="false">IFERROR(INDEX('قائمة الوحدات'!$C$2:$C$41,MATCH($B239,'قائمة الوحدات'!$A$2:$A$41,0)),"")</f>
        <v>الجهاز العسكري</v>
      </c>
      <c r="E239" s="18" t="str">
        <f aca="false">IFERROR(INDEX('قائمة الوحدات'!$D$2:$D$41,MATCH($B239,'قائمة الوحدات'!$A$2:$A$41,0)),"")</f>
        <v>الإدارة العامة للعمليات المشتركة</v>
      </c>
      <c r="F239" s="18" t="str">
        <f aca="false">IFERROR(INDEX('قائمة الوحدات'!$F$2:$F$41,MATCH($B239,'قائمة الوحدات'!$A$2:$A$41,0)),"")</f>
        <v>الإدارة العامة للعمليات المشتركة</v>
      </c>
      <c r="G239" s="20" t="s">
        <v>66</v>
      </c>
      <c r="H239" s="18" t="str">
        <f aca="false">IFERROR(INDEX(المرجع!$A$2:$A$19,MATCH($G239,المرجع!$B$2:$B$19,0)),"")</f>
        <v>التشغيل</v>
      </c>
      <c r="I239" s="20" t="s">
        <v>57</v>
      </c>
      <c r="J239" s="18" t="str">
        <f aca="false">IFERROR(INDEX(المرجع!$D$2:$D$19,MATCH($I239,المرجع!$E$2:$E$19,0)),"")</f>
        <v>الموارد</v>
      </c>
      <c r="K239" s="20" t="s">
        <v>130</v>
      </c>
      <c r="L239" s="21" t="str">
        <f aca="false">IFERROR(INDEX('نقاط التحقق'!$G$2:$G$31,MATCH($K239,'نقاط التحقق'!$A$2:$A$31,0))&amp;"","")</f>
        <v>موارد مستكملة للحد الأدنى الذي يغطي كافة محاور سلسلة القيمة</v>
      </c>
      <c r="M239" s="17" t="n">
        <v>29</v>
      </c>
      <c r="N239" s="17" t="n">
        <v>80</v>
      </c>
      <c r="O239" s="19" t="str">
        <f aca="false">IF($M239="","غير مقيّمة",IF($M239&gt;المرجع!$K$3,"مستوفاة بشكل متقدم",IF($M239&lt;=المرجع!$K$2,"مستوفاة بشكل أولي","مستوفاة بشكل جزئي")))</f>
        <v>مستوفاة بشكل أولي</v>
      </c>
      <c r="P239" s="22"/>
    </row>
    <row r="240" customFormat="false" ht="15" hidden="false" customHeight="true" outlineLevel="0" collapsed="false">
      <c r="A240" s="20" t="s">
        <v>1054</v>
      </c>
      <c r="B240" s="20" t="s">
        <v>210</v>
      </c>
      <c r="C240" s="19" t="str">
        <f aca="false">IFERROR(INDEX('قائمة الوحدات'!$B$2:$B$41,MATCH($B240,'قائمة الوحدات'!$A$2:$A$41,0)),"")</f>
        <v>MIL</v>
      </c>
      <c r="D240" s="18" t="str">
        <f aca="false">IFERROR(INDEX('قائمة الوحدات'!$C$2:$C$41,MATCH($B240,'قائمة الوحدات'!$A$2:$A$41,0)),"")</f>
        <v>الجهاز العسكري</v>
      </c>
      <c r="E240" s="18" t="str">
        <f aca="false">IFERROR(INDEX('قائمة الوحدات'!$D$2:$D$41,MATCH($B240,'قائمة الوحدات'!$A$2:$A$41,0)),"")</f>
        <v>الإدارة العامة للعمليات المشتركة</v>
      </c>
      <c r="F240" s="18" t="str">
        <f aca="false">IFERROR(INDEX('قائمة الوحدات'!$F$2:$F$41,MATCH($B240,'قائمة الوحدات'!$A$2:$A$41,0)),"")</f>
        <v>الإدارة العامة للعمليات المشتركة</v>
      </c>
      <c r="G240" s="20" t="s">
        <v>66</v>
      </c>
      <c r="H240" s="18" t="str">
        <f aca="false">IFERROR(INDEX(المرجع!$A$2:$A$19,MATCH($G240,المرجع!$B$2:$B$19,0)),"")</f>
        <v>التشغيل</v>
      </c>
      <c r="I240" s="20" t="s">
        <v>60</v>
      </c>
      <c r="J240" s="18" t="str">
        <f aca="false">IFERROR(INDEX(المرجع!$D$2:$D$19,MATCH($I240,المرجع!$E$2:$E$19,0)),"")</f>
        <v>الإجراءات</v>
      </c>
      <c r="K240" s="20" t="s">
        <v>132</v>
      </c>
      <c r="L240" s="21" t="str">
        <f aca="false">IFERROR(INDEX('نقاط التحقق'!$G$2:$G$31,MATCH($K240,'نقاط التحقق'!$A$2:$A$31,0))&amp;"","")</f>
        <v>تحقيق تقييم "مطبق بشكل كامل" من منهجية تقييم فعالية الإجراءات</v>
      </c>
      <c r="M240" s="17" t="n">
        <v>44</v>
      </c>
      <c r="N240" s="17" t="n">
        <v>80</v>
      </c>
      <c r="O240" s="19" t="str">
        <f aca="false">IF($M240="","غير مقيّمة",IF($M240&gt;المرجع!$K$3,"مستوفاة بشكل متقدم",IF($M240&lt;=المرجع!$K$2,"مستوفاة بشكل أولي","مستوفاة بشكل جزئي")))</f>
        <v>مستوفاة بشكل جزئي</v>
      </c>
      <c r="P240" s="22"/>
    </row>
    <row r="241" customFormat="false" ht="15" hidden="false" customHeight="true" outlineLevel="0" collapsed="false">
      <c r="A241" s="20" t="s">
        <v>1055</v>
      </c>
      <c r="B241" s="20" t="s">
        <v>210</v>
      </c>
      <c r="C241" s="19" t="str">
        <f aca="false">IFERROR(INDEX('قائمة الوحدات'!$B$2:$B$41,MATCH($B241,'قائمة الوحدات'!$A$2:$A$41,0)),"")</f>
        <v>MIL</v>
      </c>
      <c r="D241" s="18" t="str">
        <f aca="false">IFERROR(INDEX('قائمة الوحدات'!$C$2:$C$41,MATCH($B241,'قائمة الوحدات'!$A$2:$A$41,0)),"")</f>
        <v>الجهاز العسكري</v>
      </c>
      <c r="E241" s="18" t="str">
        <f aca="false">IFERROR(INDEX('قائمة الوحدات'!$D$2:$D$41,MATCH($B241,'قائمة الوحدات'!$A$2:$A$41,0)),"")</f>
        <v>الإدارة العامة للعمليات المشتركة</v>
      </c>
      <c r="F241" s="18" t="str">
        <f aca="false">IFERROR(INDEX('قائمة الوحدات'!$F$2:$F$41,MATCH($B241,'قائمة الوحدات'!$A$2:$A$41,0)),"")</f>
        <v>الإدارة العامة للعمليات المشتركة</v>
      </c>
      <c r="G241" s="20" t="s">
        <v>66</v>
      </c>
      <c r="H241" s="18" t="str">
        <f aca="false">IFERROR(INDEX(المرجع!$A$2:$A$19,MATCH($G241,المرجع!$B$2:$B$19,0)),"")</f>
        <v>التشغيل</v>
      </c>
      <c r="I241" s="20" t="s">
        <v>71</v>
      </c>
      <c r="J241" s="18" t="str">
        <f aca="false">IFERROR(INDEX(المرجع!$D$2:$D$19,MATCH($I241,المرجع!$E$2:$E$19,0)),"")</f>
        <v>اكتمال المخرجات المستهدفة</v>
      </c>
      <c r="K241" s="20" t="s">
        <v>134</v>
      </c>
      <c r="L241" s="21" t="str">
        <f aca="false">IFERROR(INDEX('نقاط التحقق'!$G$2:$G$31,MATCH($K241,'نقاط التحقق'!$A$2:$A$31,0))&amp;"","")</f>
        <v>اكتمال مخرجات النموذج التشغيلي المستهدف للوحدة التنظيمية</v>
      </c>
      <c r="M241" s="17" t="n">
        <v>56</v>
      </c>
      <c r="N241" s="17" t="n">
        <v>80</v>
      </c>
      <c r="O241" s="19" t="str">
        <f aca="false">IF($M241="","غير مقيّمة",IF($M241&gt;المرجع!$K$3,"مستوفاة بشكل متقدم",IF($M241&lt;=المرجع!$K$2,"مستوفاة بشكل أولي","مستوفاة بشكل جزئي")))</f>
        <v>مستوفاة بشكل جزئي</v>
      </c>
      <c r="P241" s="22"/>
    </row>
    <row r="242" customFormat="false" ht="15" hidden="false" customHeight="true" outlineLevel="0" collapsed="false">
      <c r="A242" s="20" t="s">
        <v>1056</v>
      </c>
      <c r="B242" s="20" t="s">
        <v>212</v>
      </c>
      <c r="C242" s="19" t="str">
        <f aca="false">IFERROR(INDEX('قائمة الوحدات'!$B$2:$B$41,MATCH($B242,'قائمة الوحدات'!$A$2:$A$41,0)),"")</f>
        <v>MIL</v>
      </c>
      <c r="D242" s="18" t="str">
        <f aca="false">IFERROR(INDEX('قائمة الوحدات'!$C$2:$C$41,MATCH($B242,'قائمة الوحدات'!$A$2:$A$41,0)),"")</f>
        <v>الجهاز العسكري</v>
      </c>
      <c r="E242" s="18" t="str">
        <f aca="false">IFERROR(INDEX('قائمة الوحدات'!$D$2:$D$41,MATCH($B242,'قائمة الوحدات'!$A$2:$A$41,0)),"")</f>
        <v>الإدارة العامة للتخطيط والتنظيم العسكري</v>
      </c>
      <c r="F242" s="18" t="str">
        <f aca="false">IFERROR(INDEX('قائمة الوحدات'!$F$2:$F$41,MATCH($B242,'قائمة الوحدات'!$A$2:$A$41,0)),"")</f>
        <v>الإدارة العامة للتخطيط والتنظيم العسكري</v>
      </c>
      <c r="G242" s="20" t="s">
        <v>44</v>
      </c>
      <c r="H242" s="18" t="str">
        <f aca="false">IFERROR(INDEX(المرجع!$A$2:$A$19,MATCH($G242,المرجع!$B$2:$B$19,0)),"")</f>
        <v>التصميم</v>
      </c>
      <c r="I242" s="20" t="s">
        <v>46</v>
      </c>
      <c r="J242" s="18" t="str">
        <f aca="false">IFERROR(INDEX(المرجع!$D$2:$D$19,MATCH($I242,المرجع!$E$2:$E$19,0)),"")</f>
        <v>الدور</v>
      </c>
      <c r="K242" s="20" t="s">
        <v>76</v>
      </c>
      <c r="L242" s="21" t="str">
        <f aca="false">IFERROR(INDEX('نقاط التحقق'!$G$2:$G$31,MATCH($K242,'نقاط التحقق'!$A$2:$A$31,0))&amp;"","")</f>
        <v>دور مفصل للوحدة التنظيمية</v>
      </c>
      <c r="M242" s="17" t="n">
        <v>80</v>
      </c>
      <c r="N242" s="17" t="n">
        <v>85</v>
      </c>
      <c r="O242" s="19" t="str">
        <f aca="false">IF($M242="","غير مقيّمة",IF($M242&gt;المرجع!$K$3,"مستوفاة بشكل متقدم",IF($M242&lt;=المرجع!$K$2,"مستوفاة بشكل أولي","مستوفاة بشكل جزئي")))</f>
        <v>مستوفاة بشكل متقدم</v>
      </c>
      <c r="P242" s="22"/>
    </row>
    <row r="243" customFormat="false" ht="15" hidden="false" customHeight="true" outlineLevel="0" collapsed="false">
      <c r="A243" s="20" t="s">
        <v>1057</v>
      </c>
      <c r="B243" s="20" t="s">
        <v>212</v>
      </c>
      <c r="C243" s="19" t="str">
        <f aca="false">IFERROR(INDEX('قائمة الوحدات'!$B$2:$B$41,MATCH($B243,'قائمة الوحدات'!$A$2:$A$41,0)),"")</f>
        <v>MIL</v>
      </c>
      <c r="D243" s="18" t="str">
        <f aca="false">IFERROR(INDEX('قائمة الوحدات'!$C$2:$C$41,MATCH($B243,'قائمة الوحدات'!$A$2:$A$41,0)),"")</f>
        <v>الجهاز العسكري</v>
      </c>
      <c r="E243" s="18" t="str">
        <f aca="false">IFERROR(INDEX('قائمة الوحدات'!$D$2:$D$41,MATCH($B243,'قائمة الوحدات'!$A$2:$A$41,0)),"")</f>
        <v>الإدارة العامة للتخطيط والتنظيم العسكري</v>
      </c>
      <c r="F243" s="18" t="str">
        <f aca="false">IFERROR(INDEX('قائمة الوحدات'!$F$2:$F$41,MATCH($B243,'قائمة الوحدات'!$A$2:$A$41,0)),"")</f>
        <v>الإدارة العامة للتخطيط والتنظيم العسكري</v>
      </c>
      <c r="G243" s="20" t="s">
        <v>44</v>
      </c>
      <c r="H243" s="18" t="str">
        <f aca="false">IFERROR(INDEX(المرجع!$A$2:$A$19,MATCH($G243,المرجع!$B$2:$B$19,0)),"")</f>
        <v>التصميم</v>
      </c>
      <c r="I243" s="20" t="s">
        <v>49</v>
      </c>
      <c r="J243" s="18" t="str">
        <f aca="false">IFERROR(INDEX(المرجع!$D$2:$D$19,MATCH($I243,المرجع!$E$2:$E$19,0)),"")</f>
        <v>الأهداف ومؤشرات الأداء</v>
      </c>
      <c r="K243" s="20" t="s">
        <v>78</v>
      </c>
      <c r="L243" s="21" t="str">
        <f aca="false">IFERROR(INDEX('نقاط التحقق'!$G$2:$G$31,MATCH($K243,'نقاط التحقق'!$A$2:$A$31,0))&amp;"","")</f>
        <v>أهداف محددة للوحدة التنظيمية وربطها بمؤشرات أداء لقياسها</v>
      </c>
      <c r="M243" s="17" t="n">
        <v>60</v>
      </c>
      <c r="N243" s="17" t="n">
        <v>100</v>
      </c>
      <c r="O243" s="19" t="str">
        <f aca="false">IF($M243="","غير مقيّمة",IF($M243&gt;المرجع!$K$3,"مستوفاة بشكل متقدم",IF($M243&lt;=المرجع!$K$2,"مستوفاة بشكل أولي","مستوفاة بشكل جزئي")))</f>
        <v>مستوفاة بشكل جزئي</v>
      </c>
      <c r="P243" s="22"/>
    </row>
    <row r="244" customFormat="false" ht="15" hidden="false" customHeight="true" outlineLevel="0" collapsed="false">
      <c r="A244" s="20" t="s">
        <v>1058</v>
      </c>
      <c r="B244" s="20" t="s">
        <v>212</v>
      </c>
      <c r="C244" s="19" t="str">
        <f aca="false">IFERROR(INDEX('قائمة الوحدات'!$B$2:$B$41,MATCH($B244,'قائمة الوحدات'!$A$2:$A$41,0)),"")</f>
        <v>MIL</v>
      </c>
      <c r="D244" s="18" t="str">
        <f aca="false">IFERROR(INDEX('قائمة الوحدات'!$C$2:$C$41,MATCH($B244,'قائمة الوحدات'!$A$2:$A$41,0)),"")</f>
        <v>الجهاز العسكري</v>
      </c>
      <c r="E244" s="18" t="str">
        <f aca="false">IFERROR(INDEX('قائمة الوحدات'!$D$2:$D$41,MATCH($B244,'قائمة الوحدات'!$A$2:$A$41,0)),"")</f>
        <v>الإدارة العامة للتخطيط والتنظيم العسكري</v>
      </c>
      <c r="F244" s="18" t="str">
        <f aca="false">IFERROR(INDEX('قائمة الوحدات'!$F$2:$F$41,MATCH($B244,'قائمة الوحدات'!$A$2:$A$41,0)),"")</f>
        <v>الإدارة العامة للتخطيط والتنظيم العسكري</v>
      </c>
      <c r="G244" s="20" t="s">
        <v>44</v>
      </c>
      <c r="H244" s="18" t="str">
        <f aca="false">IFERROR(INDEX(المرجع!$A$2:$A$19,MATCH($G244,المرجع!$B$2:$B$19,0)),"")</f>
        <v>التصميم</v>
      </c>
      <c r="I244" s="20" t="s">
        <v>49</v>
      </c>
      <c r="J244" s="18" t="str">
        <f aca="false">IFERROR(INDEX(المرجع!$D$2:$D$19,MATCH($I244,المرجع!$E$2:$E$19,0)),"")</f>
        <v>الأهداف ومؤشرات الأداء</v>
      </c>
      <c r="K244" s="20" t="s">
        <v>80</v>
      </c>
      <c r="L244" s="21" t="str">
        <f aca="false">IFERROR(INDEX('نقاط التحقق'!$G$2:$G$31,MATCH($K244,'نقاط التحقق'!$A$2:$A$31,0))&amp;"","")</f>
        <v>مؤشرات أداء الوحدة التنظيمية</v>
      </c>
      <c r="M244" s="17" t="n">
        <v>90</v>
      </c>
      <c r="N244" s="17" t="n">
        <v>90</v>
      </c>
      <c r="O244" s="19" t="str">
        <f aca="false">IF($M244="","غير مقيّمة",IF($M244&gt;المرجع!$K$3,"مستوفاة بشكل متقدم",IF($M244&lt;=المرجع!$K$2,"مستوفاة بشكل أولي","مستوفاة بشكل جزئي")))</f>
        <v>مستوفاة بشكل متقدم</v>
      </c>
      <c r="P244" s="22"/>
    </row>
    <row r="245" customFormat="false" ht="15" hidden="false" customHeight="true" outlineLevel="0" collapsed="false">
      <c r="A245" s="20" t="s">
        <v>1059</v>
      </c>
      <c r="B245" s="20" t="s">
        <v>212</v>
      </c>
      <c r="C245" s="19" t="str">
        <f aca="false">IFERROR(INDEX('قائمة الوحدات'!$B$2:$B$41,MATCH($B245,'قائمة الوحدات'!$A$2:$A$41,0)),"")</f>
        <v>MIL</v>
      </c>
      <c r="D245" s="18" t="str">
        <f aca="false">IFERROR(INDEX('قائمة الوحدات'!$C$2:$C$41,MATCH($B245,'قائمة الوحدات'!$A$2:$A$41,0)),"")</f>
        <v>الجهاز العسكري</v>
      </c>
      <c r="E245" s="18" t="str">
        <f aca="false">IFERROR(INDEX('قائمة الوحدات'!$D$2:$D$41,MATCH($B245,'قائمة الوحدات'!$A$2:$A$41,0)),"")</f>
        <v>الإدارة العامة للتخطيط والتنظيم العسكري</v>
      </c>
      <c r="F245" s="18" t="str">
        <f aca="false">IFERROR(INDEX('قائمة الوحدات'!$F$2:$F$41,MATCH($B245,'قائمة الوحدات'!$A$2:$A$41,0)),"")</f>
        <v>الإدارة العامة للتخطيط والتنظيم العسكري</v>
      </c>
      <c r="G245" s="20" t="s">
        <v>44</v>
      </c>
      <c r="H245" s="18" t="str">
        <f aca="false">IFERROR(INDEX(المرجع!$A$2:$A$19,MATCH($G245,المرجع!$B$2:$B$19,0)),"")</f>
        <v>التصميم</v>
      </c>
      <c r="I245" s="20" t="s">
        <v>52</v>
      </c>
      <c r="J245" s="18" t="str">
        <f aca="false">IFERROR(INDEX(المرجع!$D$2:$D$19,MATCH($I245,المرجع!$E$2:$E$19,0)),"")</f>
        <v>الحوكمة</v>
      </c>
      <c r="K245" s="20" t="s">
        <v>82</v>
      </c>
      <c r="L245" s="21" t="str">
        <f aca="false">IFERROR(INDEX('نقاط التحقق'!$G$2:$G$31,MATCH($K245,'نقاط التحقق'!$A$2:$A$31,0))&amp;"","")</f>
        <v>تفصيل القرارات ومصفوفة الصلاحيات واللجان ذات العلاقة لاعتماد مخرجات الوحدة التنظيمية</v>
      </c>
      <c r="M245" s="17" t="n">
        <v>80</v>
      </c>
      <c r="N245" s="17" t="n">
        <v>80</v>
      </c>
      <c r="O245" s="19" t="str">
        <f aca="false">IF($M245="","غير مقيّمة",IF($M245&gt;المرجع!$K$3,"مستوفاة بشكل متقدم",IF($M245&lt;=المرجع!$K$2,"مستوفاة بشكل أولي","مستوفاة بشكل جزئي")))</f>
        <v>مستوفاة بشكل متقدم</v>
      </c>
      <c r="P245" s="22"/>
    </row>
    <row r="246" customFormat="false" ht="15" hidden="false" customHeight="true" outlineLevel="0" collapsed="false">
      <c r="A246" s="20" t="s">
        <v>1060</v>
      </c>
      <c r="B246" s="20" t="s">
        <v>212</v>
      </c>
      <c r="C246" s="19" t="str">
        <f aca="false">IFERROR(INDEX('قائمة الوحدات'!$B$2:$B$41,MATCH($B246,'قائمة الوحدات'!$A$2:$A$41,0)),"")</f>
        <v>MIL</v>
      </c>
      <c r="D246" s="18" t="str">
        <f aca="false">IFERROR(INDEX('قائمة الوحدات'!$C$2:$C$41,MATCH($B246,'قائمة الوحدات'!$A$2:$A$41,0)),"")</f>
        <v>الجهاز العسكري</v>
      </c>
      <c r="E246" s="18" t="str">
        <f aca="false">IFERROR(INDEX('قائمة الوحدات'!$D$2:$D$41,MATCH($B246,'قائمة الوحدات'!$A$2:$A$41,0)),"")</f>
        <v>الإدارة العامة للتخطيط والتنظيم العسكري</v>
      </c>
      <c r="F246" s="18" t="str">
        <f aca="false">IFERROR(INDEX('قائمة الوحدات'!$F$2:$F$41,MATCH($B246,'قائمة الوحدات'!$A$2:$A$41,0)),"")</f>
        <v>الإدارة العامة للتخطيط والتنظيم العسكري</v>
      </c>
      <c r="G246" s="20" t="s">
        <v>44</v>
      </c>
      <c r="H246" s="18" t="str">
        <f aca="false">IFERROR(INDEX(المرجع!$A$2:$A$19,MATCH($G246,المرجع!$B$2:$B$19,0)),"")</f>
        <v>التصميم</v>
      </c>
      <c r="I246" s="20" t="s">
        <v>55</v>
      </c>
      <c r="J246" s="18" t="str">
        <f aca="false">IFERROR(INDEX(المرجع!$D$2:$D$19,MATCH($I246,المرجع!$E$2:$E$19,0)),"")</f>
        <v>التنظيم</v>
      </c>
      <c r="K246" s="20" t="s">
        <v>84</v>
      </c>
      <c r="L246" s="21" t="str">
        <f aca="false">IFERROR(INDEX('نقاط التحقق'!$G$2:$G$31,MATCH($K246,'نقاط التحقق'!$A$2:$A$31,0))&amp;"","")</f>
        <v>تطوير الأدوار والمسؤوليات للوحدة التنظيمية وتفصيل الهيكل التنظيمي</v>
      </c>
      <c r="M246" s="17" t="n">
        <v>68</v>
      </c>
      <c r="N246" s="17" t="n">
        <v>95</v>
      </c>
      <c r="O246" s="19" t="str">
        <f aca="false">IF($M246="","غير مقيّمة",IF($M246&gt;المرجع!$K$3,"مستوفاة بشكل متقدم",IF($M246&lt;=المرجع!$K$2,"مستوفاة بشكل أولي","مستوفاة بشكل جزئي")))</f>
        <v>مستوفاة بشكل جزئي</v>
      </c>
      <c r="P246" s="22"/>
    </row>
    <row r="247" customFormat="false" ht="15" hidden="false" customHeight="true" outlineLevel="0" collapsed="false">
      <c r="A247" s="20" t="s">
        <v>1061</v>
      </c>
      <c r="B247" s="20" t="s">
        <v>212</v>
      </c>
      <c r="C247" s="19" t="str">
        <f aca="false">IFERROR(INDEX('قائمة الوحدات'!$B$2:$B$41,MATCH($B247,'قائمة الوحدات'!$A$2:$A$41,0)),"")</f>
        <v>MIL</v>
      </c>
      <c r="D247" s="18" t="str">
        <f aca="false">IFERROR(INDEX('قائمة الوحدات'!$C$2:$C$41,MATCH($B247,'قائمة الوحدات'!$A$2:$A$41,0)),"")</f>
        <v>الجهاز العسكري</v>
      </c>
      <c r="E247" s="18" t="str">
        <f aca="false">IFERROR(INDEX('قائمة الوحدات'!$D$2:$D$41,MATCH($B247,'قائمة الوحدات'!$A$2:$A$41,0)),"")</f>
        <v>الإدارة العامة للتخطيط والتنظيم العسكري</v>
      </c>
      <c r="F247" s="18" t="str">
        <f aca="false">IFERROR(INDEX('قائمة الوحدات'!$F$2:$F$41,MATCH($B247,'قائمة الوحدات'!$A$2:$A$41,0)),"")</f>
        <v>الإدارة العامة للتخطيط والتنظيم العسكري</v>
      </c>
      <c r="G247" s="20" t="s">
        <v>44</v>
      </c>
      <c r="H247" s="18" t="str">
        <f aca="false">IFERROR(INDEX(المرجع!$A$2:$A$19,MATCH($G247,المرجع!$B$2:$B$19,0)),"")</f>
        <v>التصميم</v>
      </c>
      <c r="I247" s="20" t="s">
        <v>57</v>
      </c>
      <c r="J247" s="18" t="str">
        <f aca="false">IFERROR(INDEX(المرجع!$D$2:$D$19,MATCH($I247,المرجع!$E$2:$E$19,0)),"")</f>
        <v>الموارد</v>
      </c>
      <c r="K247" s="20" t="s">
        <v>86</v>
      </c>
      <c r="L247" s="21" t="str">
        <f aca="false">IFERROR(INDEX('نقاط التحقق'!$G$2:$G$31,MATCH($K247,'نقاط التحقق'!$A$2:$A$31,0))&amp;"","")</f>
        <v>تفصيل احتياج الموارد البشرية للوحدة التنظيمية</v>
      </c>
      <c r="M247" s="17" t="n">
        <v>95</v>
      </c>
      <c r="N247" s="17" t="n">
        <v>100</v>
      </c>
      <c r="O247" s="19" t="str">
        <f aca="false">IF($M247="","غير مقيّمة",IF($M247&gt;المرجع!$K$3,"مستوفاة بشكل متقدم",IF($M247&lt;=المرجع!$K$2,"مستوفاة بشكل أولي","مستوفاة بشكل جزئي")))</f>
        <v>مستوفاة بشكل متقدم</v>
      </c>
      <c r="P247" s="22"/>
    </row>
    <row r="248" customFormat="false" ht="15" hidden="false" customHeight="true" outlineLevel="0" collapsed="false">
      <c r="A248" s="20" t="s">
        <v>1062</v>
      </c>
      <c r="B248" s="20" t="s">
        <v>212</v>
      </c>
      <c r="C248" s="19" t="str">
        <f aca="false">IFERROR(INDEX('قائمة الوحدات'!$B$2:$B$41,MATCH($B248,'قائمة الوحدات'!$A$2:$A$41,0)),"")</f>
        <v>MIL</v>
      </c>
      <c r="D248" s="18" t="str">
        <f aca="false">IFERROR(INDEX('قائمة الوحدات'!$C$2:$C$41,MATCH($B248,'قائمة الوحدات'!$A$2:$A$41,0)),"")</f>
        <v>الجهاز العسكري</v>
      </c>
      <c r="E248" s="18" t="str">
        <f aca="false">IFERROR(INDEX('قائمة الوحدات'!$D$2:$D$41,MATCH($B248,'قائمة الوحدات'!$A$2:$A$41,0)),"")</f>
        <v>الإدارة العامة للتخطيط والتنظيم العسكري</v>
      </c>
      <c r="F248" s="18" t="str">
        <f aca="false">IFERROR(INDEX('قائمة الوحدات'!$F$2:$F$41,MATCH($B248,'قائمة الوحدات'!$A$2:$A$41,0)),"")</f>
        <v>الإدارة العامة للتخطيط والتنظيم العسكري</v>
      </c>
      <c r="G248" s="20" t="s">
        <v>44</v>
      </c>
      <c r="H248" s="18" t="str">
        <f aca="false">IFERROR(INDEX(المرجع!$A$2:$A$19,MATCH($G248,المرجع!$B$2:$B$19,0)),"")</f>
        <v>التصميم</v>
      </c>
      <c r="I248" s="20" t="s">
        <v>60</v>
      </c>
      <c r="J248" s="18" t="str">
        <f aca="false">IFERROR(INDEX(المرجع!$D$2:$D$19,MATCH($I248,المرجع!$E$2:$E$19,0)),"")</f>
        <v>الإجراءات</v>
      </c>
      <c r="K248" s="20" t="s">
        <v>88</v>
      </c>
      <c r="L248" s="21" t="str">
        <f aca="false">IFERROR(INDEX('نقاط التحقق'!$G$2:$G$31,MATCH($K248,'نقاط التحقق'!$A$2:$A$31,0))&amp;"","")</f>
        <v>تفصيل المخرجات إلى إجراءات عالية المستوى</v>
      </c>
      <c r="M248" s="17" t="n">
        <v>88</v>
      </c>
      <c r="N248" s="17" t="n">
        <v>95</v>
      </c>
      <c r="O248" s="19" t="str">
        <f aca="false">IF($M248="","غير مقيّمة",IF($M248&gt;المرجع!$K$3,"مستوفاة بشكل متقدم",IF($M248&lt;=المرجع!$K$2,"مستوفاة بشكل أولي","مستوفاة بشكل جزئي")))</f>
        <v>مستوفاة بشكل متقدم</v>
      </c>
      <c r="P248" s="22"/>
    </row>
    <row r="249" customFormat="false" ht="15" hidden="false" customHeight="true" outlineLevel="0" collapsed="false">
      <c r="A249" s="20" t="s">
        <v>1063</v>
      </c>
      <c r="B249" s="20" t="s">
        <v>212</v>
      </c>
      <c r="C249" s="19" t="str">
        <f aca="false">IFERROR(INDEX('قائمة الوحدات'!$B$2:$B$41,MATCH($B249,'قائمة الوحدات'!$A$2:$A$41,0)),"")</f>
        <v>MIL</v>
      </c>
      <c r="D249" s="18" t="str">
        <f aca="false">IFERROR(INDEX('قائمة الوحدات'!$C$2:$C$41,MATCH($B249,'قائمة الوحدات'!$A$2:$A$41,0)),"")</f>
        <v>الجهاز العسكري</v>
      </c>
      <c r="E249" s="18" t="str">
        <f aca="false">IFERROR(INDEX('قائمة الوحدات'!$D$2:$D$41,MATCH($B249,'قائمة الوحدات'!$A$2:$A$41,0)),"")</f>
        <v>الإدارة العامة للتخطيط والتنظيم العسكري</v>
      </c>
      <c r="F249" s="18" t="str">
        <f aca="false">IFERROR(INDEX('قائمة الوحدات'!$F$2:$F$41,MATCH($B249,'قائمة الوحدات'!$A$2:$A$41,0)),"")</f>
        <v>الإدارة العامة للتخطيط والتنظيم العسكري</v>
      </c>
      <c r="G249" s="20" t="s">
        <v>62</v>
      </c>
      <c r="H249" s="18" t="str">
        <f aca="false">IFERROR(INDEX(المرجع!$A$2:$A$19,MATCH($G249,المرجع!$B$2:$B$19,0)),"")</f>
        <v>البناء المؤسسي</v>
      </c>
      <c r="I249" s="20" t="s">
        <v>46</v>
      </c>
      <c r="J249" s="18" t="str">
        <f aca="false">IFERROR(INDEX(المرجع!$D$2:$D$19,MATCH($I249,المرجع!$E$2:$E$19,0)),"")</f>
        <v>الدور</v>
      </c>
      <c r="K249" s="20" t="s">
        <v>90</v>
      </c>
      <c r="L249" s="21" t="str">
        <f aca="false">IFERROR(INDEX('نقاط التحقق'!$G$2:$G$31,MATCH($K249,'نقاط التحقق'!$A$2:$A$31,0))&amp;"","")</f>
        <v>دور معتمد للوحدة التنظيمية</v>
      </c>
      <c r="M249" s="17" t="n">
        <v>48</v>
      </c>
      <c r="N249" s="17" t="n">
        <v>100</v>
      </c>
      <c r="O249" s="19" t="str">
        <f aca="false">IF($M249="","غير مقيّمة",IF($M249&gt;المرجع!$K$3,"مستوفاة بشكل متقدم",IF($M249&lt;=المرجع!$K$2,"مستوفاة بشكل أولي","مستوفاة بشكل جزئي")))</f>
        <v>مستوفاة بشكل جزئي</v>
      </c>
      <c r="P249" s="22"/>
    </row>
    <row r="250" customFormat="false" ht="15" hidden="false" customHeight="true" outlineLevel="0" collapsed="false">
      <c r="A250" s="20" t="s">
        <v>1064</v>
      </c>
      <c r="B250" s="20" t="s">
        <v>212</v>
      </c>
      <c r="C250" s="19" t="str">
        <f aca="false">IFERROR(INDEX('قائمة الوحدات'!$B$2:$B$41,MATCH($B250,'قائمة الوحدات'!$A$2:$A$41,0)),"")</f>
        <v>MIL</v>
      </c>
      <c r="D250" s="18" t="str">
        <f aca="false">IFERROR(INDEX('قائمة الوحدات'!$C$2:$C$41,MATCH($B250,'قائمة الوحدات'!$A$2:$A$41,0)),"")</f>
        <v>الجهاز العسكري</v>
      </c>
      <c r="E250" s="18" t="str">
        <f aca="false">IFERROR(INDEX('قائمة الوحدات'!$D$2:$D$41,MATCH($B250,'قائمة الوحدات'!$A$2:$A$41,0)),"")</f>
        <v>الإدارة العامة للتخطيط والتنظيم العسكري</v>
      </c>
      <c r="F250" s="18" t="str">
        <f aca="false">IFERROR(INDEX('قائمة الوحدات'!$F$2:$F$41,MATCH($B250,'قائمة الوحدات'!$A$2:$A$41,0)),"")</f>
        <v>الإدارة العامة للتخطيط والتنظيم العسكري</v>
      </c>
      <c r="G250" s="20" t="s">
        <v>62</v>
      </c>
      <c r="H250" s="18" t="str">
        <f aca="false">IFERROR(INDEX(المرجع!$A$2:$A$19,MATCH($G250,المرجع!$B$2:$B$19,0)),"")</f>
        <v>البناء المؤسسي</v>
      </c>
      <c r="I250" s="20" t="s">
        <v>49</v>
      </c>
      <c r="J250" s="18" t="str">
        <f aca="false">IFERROR(INDEX(المرجع!$D$2:$D$19,MATCH($I250,المرجع!$E$2:$E$19,0)),"")</f>
        <v>الأهداف ومؤشرات الأداء</v>
      </c>
      <c r="K250" s="20" t="s">
        <v>92</v>
      </c>
      <c r="L250" s="21" t="str">
        <f aca="false">IFERROR(INDEX('نقاط التحقق'!$G$2:$G$31,MATCH($K250,'نقاط التحقق'!$A$2:$A$31,0))&amp;"","")</f>
        <v>أهداف تشغيلية معتمدة من صاحب الصلاحية</v>
      </c>
      <c r="M250" s="17" t="n">
        <v>90</v>
      </c>
      <c r="N250" s="17" t="n">
        <v>90</v>
      </c>
      <c r="O250" s="19" t="str">
        <f aca="false">IF($M250="","غير مقيّمة",IF($M250&gt;المرجع!$K$3,"مستوفاة بشكل متقدم",IF($M250&lt;=المرجع!$K$2,"مستوفاة بشكل أولي","مستوفاة بشكل جزئي")))</f>
        <v>مستوفاة بشكل متقدم</v>
      </c>
      <c r="P250" s="22"/>
    </row>
    <row r="251" customFormat="false" ht="15" hidden="false" customHeight="true" outlineLevel="0" collapsed="false">
      <c r="A251" s="20" t="s">
        <v>1065</v>
      </c>
      <c r="B251" s="20" t="s">
        <v>212</v>
      </c>
      <c r="C251" s="19" t="str">
        <f aca="false">IFERROR(INDEX('قائمة الوحدات'!$B$2:$B$41,MATCH($B251,'قائمة الوحدات'!$A$2:$A$41,0)),"")</f>
        <v>MIL</v>
      </c>
      <c r="D251" s="18" t="str">
        <f aca="false">IFERROR(INDEX('قائمة الوحدات'!$C$2:$C$41,MATCH($B251,'قائمة الوحدات'!$A$2:$A$41,0)),"")</f>
        <v>الجهاز العسكري</v>
      </c>
      <c r="E251" s="18" t="str">
        <f aca="false">IFERROR(INDEX('قائمة الوحدات'!$D$2:$D$41,MATCH($B251,'قائمة الوحدات'!$A$2:$A$41,0)),"")</f>
        <v>الإدارة العامة للتخطيط والتنظيم العسكري</v>
      </c>
      <c r="F251" s="18" t="str">
        <f aca="false">IFERROR(INDEX('قائمة الوحدات'!$F$2:$F$41,MATCH($B251,'قائمة الوحدات'!$A$2:$A$41,0)),"")</f>
        <v>الإدارة العامة للتخطيط والتنظيم العسكري</v>
      </c>
      <c r="G251" s="20" t="s">
        <v>62</v>
      </c>
      <c r="H251" s="18" t="str">
        <f aca="false">IFERROR(INDEX(المرجع!$A$2:$A$19,MATCH($G251,المرجع!$B$2:$B$19,0)),"")</f>
        <v>البناء المؤسسي</v>
      </c>
      <c r="I251" s="20" t="s">
        <v>49</v>
      </c>
      <c r="J251" s="18" t="str">
        <f aca="false">IFERROR(INDEX(المرجع!$D$2:$D$19,MATCH($I251,المرجع!$E$2:$E$19,0)),"")</f>
        <v>الأهداف ومؤشرات الأداء</v>
      </c>
      <c r="K251" s="20" t="s">
        <v>94</v>
      </c>
      <c r="L251" s="21" t="str">
        <f aca="false">IFERROR(INDEX('نقاط التحقق'!$G$2:$G$31,MATCH($K251,'نقاط التحقق'!$A$2:$A$31,0))&amp;"","")</f>
        <v>نشر الأهداف التشغيلية على موظفي الوحدة التنظيمية</v>
      </c>
      <c r="M251" s="17" t="n">
        <v>85</v>
      </c>
      <c r="N251" s="17" t="n">
        <v>100</v>
      </c>
      <c r="O251" s="19" t="str">
        <f aca="false">IF($M251="","غير مقيّمة",IF($M251&gt;المرجع!$K$3,"مستوفاة بشكل متقدم",IF($M251&lt;=المرجع!$K$2,"مستوفاة بشكل أولي","مستوفاة بشكل جزئي")))</f>
        <v>مستوفاة بشكل متقدم</v>
      </c>
      <c r="P251" s="22"/>
    </row>
    <row r="252" customFormat="false" ht="15" hidden="false" customHeight="true" outlineLevel="0" collapsed="false">
      <c r="A252" s="20" t="s">
        <v>1066</v>
      </c>
      <c r="B252" s="20" t="s">
        <v>212</v>
      </c>
      <c r="C252" s="19" t="str">
        <f aca="false">IFERROR(INDEX('قائمة الوحدات'!$B$2:$B$41,MATCH($B252,'قائمة الوحدات'!$A$2:$A$41,0)),"")</f>
        <v>MIL</v>
      </c>
      <c r="D252" s="18" t="str">
        <f aca="false">IFERROR(INDEX('قائمة الوحدات'!$C$2:$C$41,MATCH($B252,'قائمة الوحدات'!$A$2:$A$41,0)),"")</f>
        <v>الجهاز العسكري</v>
      </c>
      <c r="E252" s="18" t="str">
        <f aca="false">IFERROR(INDEX('قائمة الوحدات'!$D$2:$D$41,MATCH($B252,'قائمة الوحدات'!$A$2:$A$41,0)),"")</f>
        <v>الإدارة العامة للتخطيط والتنظيم العسكري</v>
      </c>
      <c r="F252" s="18" t="str">
        <f aca="false">IFERROR(INDEX('قائمة الوحدات'!$F$2:$F$41,MATCH($B252,'قائمة الوحدات'!$A$2:$A$41,0)),"")</f>
        <v>الإدارة العامة للتخطيط والتنظيم العسكري</v>
      </c>
      <c r="G252" s="20" t="s">
        <v>62</v>
      </c>
      <c r="H252" s="18" t="str">
        <f aca="false">IFERROR(INDEX(المرجع!$A$2:$A$19,MATCH($G252,المرجع!$B$2:$B$19,0)),"")</f>
        <v>البناء المؤسسي</v>
      </c>
      <c r="I252" s="20" t="s">
        <v>52</v>
      </c>
      <c r="J252" s="18" t="str">
        <f aca="false">IFERROR(INDEX(المرجع!$D$2:$D$19,MATCH($I252,المرجع!$E$2:$E$19,0)),"")</f>
        <v>الحوكمة</v>
      </c>
      <c r="K252" s="20" t="s">
        <v>96</v>
      </c>
      <c r="L252" s="21" t="str">
        <f aca="false">IFERROR(INDEX('نقاط التحقق'!$G$2:$G$31,MATCH($K252,'نقاط التحقق'!$A$2:$A$31,0))&amp;"","")</f>
        <v>مصفوفة صلاحيات معتمدة ومعممة على أصحاب المصلحة</v>
      </c>
      <c r="M252" s="17" t="n">
        <v>50</v>
      </c>
      <c r="N252" s="17" t="n">
        <v>80</v>
      </c>
      <c r="O252" s="19" t="str">
        <f aca="false">IF($M252="","غير مقيّمة",IF($M252&gt;المرجع!$K$3,"مستوفاة بشكل متقدم",IF($M252&lt;=المرجع!$K$2,"مستوفاة بشكل أولي","مستوفاة بشكل جزئي")))</f>
        <v>مستوفاة بشكل جزئي</v>
      </c>
      <c r="P252" s="22"/>
    </row>
    <row r="253" customFormat="false" ht="15" hidden="false" customHeight="true" outlineLevel="0" collapsed="false">
      <c r="A253" s="20" t="s">
        <v>1067</v>
      </c>
      <c r="B253" s="20" t="s">
        <v>212</v>
      </c>
      <c r="C253" s="19" t="str">
        <f aca="false">IFERROR(INDEX('قائمة الوحدات'!$B$2:$B$41,MATCH($B253,'قائمة الوحدات'!$A$2:$A$41,0)),"")</f>
        <v>MIL</v>
      </c>
      <c r="D253" s="18" t="str">
        <f aca="false">IFERROR(INDEX('قائمة الوحدات'!$C$2:$C$41,MATCH($B253,'قائمة الوحدات'!$A$2:$A$41,0)),"")</f>
        <v>الجهاز العسكري</v>
      </c>
      <c r="E253" s="18" t="str">
        <f aca="false">IFERROR(INDEX('قائمة الوحدات'!$D$2:$D$41,MATCH($B253,'قائمة الوحدات'!$A$2:$A$41,0)),"")</f>
        <v>الإدارة العامة للتخطيط والتنظيم العسكري</v>
      </c>
      <c r="F253" s="18" t="str">
        <f aca="false">IFERROR(INDEX('قائمة الوحدات'!$F$2:$F$41,MATCH($B253,'قائمة الوحدات'!$A$2:$A$41,0)),"")</f>
        <v>الإدارة العامة للتخطيط والتنظيم العسكري</v>
      </c>
      <c r="G253" s="20" t="s">
        <v>62</v>
      </c>
      <c r="H253" s="18" t="str">
        <f aca="false">IFERROR(INDEX(المرجع!$A$2:$A$19,MATCH($G253,المرجع!$B$2:$B$19,0)),"")</f>
        <v>البناء المؤسسي</v>
      </c>
      <c r="I253" s="20" t="s">
        <v>52</v>
      </c>
      <c r="J253" s="18" t="str">
        <f aca="false">IFERROR(INDEX(المرجع!$D$2:$D$19,MATCH($I253,المرجع!$E$2:$E$19,0)),"")</f>
        <v>الحوكمة</v>
      </c>
      <c r="K253" s="20" t="s">
        <v>98</v>
      </c>
      <c r="L253" s="21" t="str">
        <f aca="false">IFERROR(INDEX('نقاط التحقق'!$G$2:$G$31,MATCH($K253,'نقاط التحقق'!$A$2:$A$31,0))&amp;"","")</f>
        <v>سياسات معتمدة للتي تملكها الوحدة التنظيمية</v>
      </c>
      <c r="M253" s="17" t="n">
        <v>50</v>
      </c>
      <c r="N253" s="17" t="n">
        <v>100</v>
      </c>
      <c r="O253" s="19" t="str">
        <f aca="false">IF($M253="","غير مقيّمة",IF($M253&gt;المرجع!$K$3,"مستوفاة بشكل متقدم",IF($M253&lt;=المرجع!$K$2,"مستوفاة بشكل أولي","مستوفاة بشكل جزئي")))</f>
        <v>مستوفاة بشكل جزئي</v>
      </c>
      <c r="P253" s="22"/>
    </row>
    <row r="254" customFormat="false" ht="15" hidden="false" customHeight="true" outlineLevel="0" collapsed="false">
      <c r="A254" s="20" t="s">
        <v>1068</v>
      </c>
      <c r="B254" s="20" t="s">
        <v>212</v>
      </c>
      <c r="C254" s="19" t="str">
        <f aca="false">IFERROR(INDEX('قائمة الوحدات'!$B$2:$B$41,MATCH($B254,'قائمة الوحدات'!$A$2:$A$41,0)),"")</f>
        <v>MIL</v>
      </c>
      <c r="D254" s="18" t="str">
        <f aca="false">IFERROR(INDEX('قائمة الوحدات'!$C$2:$C$41,MATCH($B254,'قائمة الوحدات'!$A$2:$A$41,0)),"")</f>
        <v>الجهاز العسكري</v>
      </c>
      <c r="E254" s="18" t="str">
        <f aca="false">IFERROR(INDEX('قائمة الوحدات'!$D$2:$D$41,MATCH($B254,'قائمة الوحدات'!$A$2:$A$41,0)),"")</f>
        <v>الإدارة العامة للتخطيط والتنظيم العسكري</v>
      </c>
      <c r="F254" s="18" t="str">
        <f aca="false">IFERROR(INDEX('قائمة الوحدات'!$F$2:$F$41,MATCH($B254,'قائمة الوحدات'!$A$2:$A$41,0)),"")</f>
        <v>الإدارة العامة للتخطيط والتنظيم العسكري</v>
      </c>
      <c r="G254" s="20" t="s">
        <v>62</v>
      </c>
      <c r="H254" s="18" t="str">
        <f aca="false">IFERROR(INDEX(المرجع!$A$2:$A$19,MATCH($G254,المرجع!$B$2:$B$19,0)),"")</f>
        <v>البناء المؤسسي</v>
      </c>
      <c r="I254" s="20" t="s">
        <v>52</v>
      </c>
      <c r="J254" s="18" t="str">
        <f aca="false">IFERROR(INDEX(المرجع!$D$2:$D$19,MATCH($I254,المرجع!$E$2:$E$19,0)),"")</f>
        <v>الحوكمة</v>
      </c>
      <c r="K254" s="20" t="s">
        <v>100</v>
      </c>
      <c r="L254" s="21" t="str">
        <f aca="false">IFERROR(INDEX('نقاط التحقق'!$G$2:$G$31,MATCH($K254,'نقاط التحقق'!$A$2:$A$31,0))&amp;"","")</f>
        <v>قرار تشكيل معتمد للجان ذات العلاقة</v>
      </c>
      <c r="M254" s="17" t="n">
        <v>50</v>
      </c>
      <c r="N254" s="17" t="n">
        <v>100</v>
      </c>
      <c r="O254" s="19" t="str">
        <f aca="false">IF($M254="","غير مقيّمة",IF($M254&gt;المرجع!$K$3,"مستوفاة بشكل متقدم",IF($M254&lt;=المرجع!$K$2,"مستوفاة بشكل أولي","مستوفاة بشكل جزئي")))</f>
        <v>مستوفاة بشكل جزئي</v>
      </c>
      <c r="P254" s="22"/>
    </row>
    <row r="255" customFormat="false" ht="15" hidden="false" customHeight="true" outlineLevel="0" collapsed="false">
      <c r="A255" s="20" t="s">
        <v>1069</v>
      </c>
      <c r="B255" s="20" t="s">
        <v>212</v>
      </c>
      <c r="C255" s="19" t="str">
        <f aca="false">IFERROR(INDEX('قائمة الوحدات'!$B$2:$B$41,MATCH($B255,'قائمة الوحدات'!$A$2:$A$41,0)),"")</f>
        <v>MIL</v>
      </c>
      <c r="D255" s="18" t="str">
        <f aca="false">IFERROR(INDEX('قائمة الوحدات'!$C$2:$C$41,MATCH($B255,'قائمة الوحدات'!$A$2:$A$41,0)),"")</f>
        <v>الجهاز العسكري</v>
      </c>
      <c r="E255" s="18" t="str">
        <f aca="false">IFERROR(INDEX('قائمة الوحدات'!$D$2:$D$41,MATCH($B255,'قائمة الوحدات'!$A$2:$A$41,0)),"")</f>
        <v>الإدارة العامة للتخطيط والتنظيم العسكري</v>
      </c>
      <c r="F255" s="18" t="str">
        <f aca="false">IFERROR(INDEX('قائمة الوحدات'!$F$2:$F$41,MATCH($B255,'قائمة الوحدات'!$A$2:$A$41,0)),"")</f>
        <v>الإدارة العامة للتخطيط والتنظيم العسكري</v>
      </c>
      <c r="G255" s="20" t="s">
        <v>62</v>
      </c>
      <c r="H255" s="18" t="str">
        <f aca="false">IFERROR(INDEX(المرجع!$A$2:$A$19,MATCH($G255,المرجع!$B$2:$B$19,0)),"")</f>
        <v>البناء المؤسسي</v>
      </c>
      <c r="I255" s="20" t="s">
        <v>55</v>
      </c>
      <c r="J255" s="18" t="str">
        <f aca="false">IFERROR(INDEX(المرجع!$D$2:$D$19,MATCH($I255,المرجع!$E$2:$E$19,0)),"")</f>
        <v>التنظيم</v>
      </c>
      <c r="K255" s="20" t="s">
        <v>102</v>
      </c>
      <c r="L255" s="21" t="str">
        <f aca="false">IFERROR(INDEX('نقاط التحقق'!$G$2:$G$31,MATCH($K255,'نقاط التحقق'!$A$2:$A$31,0))&amp;"","")</f>
        <v>هيكل تنظيمي معتمد من صاحب الصلاحية</v>
      </c>
      <c r="M255" s="17" t="n">
        <v>40</v>
      </c>
      <c r="N255" s="17" t="n">
        <v>100</v>
      </c>
      <c r="O255" s="19" t="str">
        <f aca="false">IF($M255="","غير مقيّمة",IF($M255&gt;المرجع!$K$3,"مستوفاة بشكل متقدم",IF($M255&lt;=المرجع!$K$2,"مستوفاة بشكل أولي","مستوفاة بشكل جزئي")))</f>
        <v>مستوفاة بشكل جزئي</v>
      </c>
      <c r="P255" s="22"/>
    </row>
    <row r="256" customFormat="false" ht="15" hidden="false" customHeight="true" outlineLevel="0" collapsed="false">
      <c r="A256" s="20" t="s">
        <v>1070</v>
      </c>
      <c r="B256" s="20" t="s">
        <v>212</v>
      </c>
      <c r="C256" s="19" t="str">
        <f aca="false">IFERROR(INDEX('قائمة الوحدات'!$B$2:$B$41,MATCH($B256,'قائمة الوحدات'!$A$2:$A$41,0)),"")</f>
        <v>MIL</v>
      </c>
      <c r="D256" s="18" t="str">
        <f aca="false">IFERROR(INDEX('قائمة الوحدات'!$C$2:$C$41,MATCH($B256,'قائمة الوحدات'!$A$2:$A$41,0)),"")</f>
        <v>الجهاز العسكري</v>
      </c>
      <c r="E256" s="18" t="str">
        <f aca="false">IFERROR(INDEX('قائمة الوحدات'!$D$2:$D$41,MATCH($B256,'قائمة الوحدات'!$A$2:$A$41,0)),"")</f>
        <v>الإدارة العامة للتخطيط والتنظيم العسكري</v>
      </c>
      <c r="F256" s="18" t="str">
        <f aca="false">IFERROR(INDEX('قائمة الوحدات'!$F$2:$F$41,MATCH($B256,'قائمة الوحدات'!$A$2:$A$41,0)),"")</f>
        <v>الإدارة العامة للتخطيط والتنظيم العسكري</v>
      </c>
      <c r="G256" s="20" t="s">
        <v>62</v>
      </c>
      <c r="H256" s="18" t="str">
        <f aca="false">IFERROR(INDEX(المرجع!$A$2:$A$19,MATCH($G256,المرجع!$B$2:$B$19,0)),"")</f>
        <v>البناء المؤسسي</v>
      </c>
      <c r="I256" s="20" t="s">
        <v>55</v>
      </c>
      <c r="J256" s="18" t="str">
        <f aca="false">IFERROR(INDEX(المرجع!$D$2:$D$19,MATCH($I256,المرجع!$E$2:$E$19,0)),"")</f>
        <v>التنظيم</v>
      </c>
      <c r="K256" s="20" t="s">
        <v>104</v>
      </c>
      <c r="L256" s="21" t="str">
        <f aca="false">IFERROR(INDEX('نقاط التحقق'!$G$2:$G$31,MATCH($K256,'نقاط التحقق'!$A$2:$A$31,0))&amp;"","")</f>
        <v>هيكل تنظيمي منشأ على نظام القوى العاملة</v>
      </c>
      <c r="M256" s="17" t="n">
        <v>35</v>
      </c>
      <c r="N256" s="17" t="n">
        <v>85</v>
      </c>
      <c r="O256" s="19" t="str">
        <f aca="false">IF($M256="","غير مقيّمة",IF($M256&gt;المرجع!$K$3,"مستوفاة بشكل متقدم",IF($M256&lt;=المرجع!$K$2,"مستوفاة بشكل أولي","مستوفاة بشكل جزئي")))</f>
        <v>مستوفاة بشكل جزئي</v>
      </c>
      <c r="P256" s="22"/>
    </row>
    <row r="257" customFormat="false" ht="15" hidden="false" customHeight="true" outlineLevel="0" collapsed="false">
      <c r="A257" s="20" t="s">
        <v>1071</v>
      </c>
      <c r="B257" s="20" t="s">
        <v>212</v>
      </c>
      <c r="C257" s="19" t="str">
        <f aca="false">IFERROR(INDEX('قائمة الوحدات'!$B$2:$B$41,MATCH($B257,'قائمة الوحدات'!$A$2:$A$41,0)),"")</f>
        <v>MIL</v>
      </c>
      <c r="D257" s="18" t="str">
        <f aca="false">IFERROR(INDEX('قائمة الوحدات'!$C$2:$C$41,MATCH($B257,'قائمة الوحدات'!$A$2:$A$41,0)),"")</f>
        <v>الجهاز العسكري</v>
      </c>
      <c r="E257" s="18" t="str">
        <f aca="false">IFERROR(INDEX('قائمة الوحدات'!$D$2:$D$41,MATCH($B257,'قائمة الوحدات'!$A$2:$A$41,0)),"")</f>
        <v>الإدارة العامة للتخطيط والتنظيم العسكري</v>
      </c>
      <c r="F257" s="18" t="str">
        <f aca="false">IFERROR(INDEX('قائمة الوحدات'!$F$2:$F$41,MATCH($B257,'قائمة الوحدات'!$A$2:$A$41,0)),"")</f>
        <v>الإدارة العامة للتخطيط والتنظيم العسكري</v>
      </c>
      <c r="G257" s="20" t="s">
        <v>62</v>
      </c>
      <c r="H257" s="18" t="str">
        <f aca="false">IFERROR(INDEX(المرجع!$A$2:$A$19,MATCH($G257,المرجع!$B$2:$B$19,0)),"")</f>
        <v>البناء المؤسسي</v>
      </c>
      <c r="I257" s="20" t="s">
        <v>55</v>
      </c>
      <c r="J257" s="18" t="str">
        <f aca="false">IFERROR(INDEX(المرجع!$D$2:$D$19,MATCH($I257,المرجع!$E$2:$E$19,0)),"")</f>
        <v>التنظيم</v>
      </c>
      <c r="K257" s="20" t="s">
        <v>106</v>
      </c>
      <c r="L257" s="21" t="str">
        <f aca="false">IFERROR(INDEX('نقاط التحقق'!$G$2:$G$31,MATCH($K257,'نقاط التحقق'!$A$2:$A$31,0))&amp;"","")</f>
        <v>الموظفون المحددون مسكّنون على الهيكل التنظيمي المستهدف</v>
      </c>
      <c r="M257" s="17" t="n">
        <v>55</v>
      </c>
      <c r="N257" s="17" t="n">
        <v>95</v>
      </c>
      <c r="O257" s="19" t="str">
        <f aca="false">IF($M257="","غير مقيّمة",IF($M257&gt;المرجع!$K$3,"مستوفاة بشكل متقدم",IF($M257&lt;=المرجع!$K$2,"مستوفاة بشكل أولي","مستوفاة بشكل جزئي")))</f>
        <v>مستوفاة بشكل جزئي</v>
      </c>
      <c r="P257" s="22"/>
    </row>
    <row r="258" customFormat="false" ht="15" hidden="false" customHeight="true" outlineLevel="0" collapsed="false">
      <c r="A258" s="20" t="s">
        <v>1072</v>
      </c>
      <c r="B258" s="20" t="s">
        <v>212</v>
      </c>
      <c r="C258" s="19" t="str">
        <f aca="false">IFERROR(INDEX('قائمة الوحدات'!$B$2:$B$41,MATCH($B258,'قائمة الوحدات'!$A$2:$A$41,0)),"")</f>
        <v>MIL</v>
      </c>
      <c r="D258" s="18" t="str">
        <f aca="false">IFERROR(INDEX('قائمة الوحدات'!$C$2:$C$41,MATCH($B258,'قائمة الوحدات'!$A$2:$A$41,0)),"")</f>
        <v>الجهاز العسكري</v>
      </c>
      <c r="E258" s="18" t="str">
        <f aca="false">IFERROR(INDEX('قائمة الوحدات'!$D$2:$D$41,MATCH($B258,'قائمة الوحدات'!$A$2:$A$41,0)),"")</f>
        <v>الإدارة العامة للتخطيط والتنظيم العسكري</v>
      </c>
      <c r="F258" s="18" t="str">
        <f aca="false">IFERROR(INDEX('قائمة الوحدات'!$F$2:$F$41,MATCH($B258,'قائمة الوحدات'!$A$2:$A$41,0)),"")</f>
        <v>الإدارة العامة للتخطيط والتنظيم العسكري</v>
      </c>
      <c r="G258" s="20" t="s">
        <v>62</v>
      </c>
      <c r="H258" s="18" t="str">
        <f aca="false">IFERROR(INDEX(المرجع!$A$2:$A$19,MATCH($G258,المرجع!$B$2:$B$19,0)),"")</f>
        <v>البناء المؤسسي</v>
      </c>
      <c r="I258" s="20" t="s">
        <v>57</v>
      </c>
      <c r="J258" s="18" t="str">
        <f aca="false">IFERROR(INDEX(المرجع!$D$2:$D$19,MATCH($I258,المرجع!$E$2:$E$19,0)),"")</f>
        <v>الموارد</v>
      </c>
      <c r="K258" s="20" t="s">
        <v>108</v>
      </c>
      <c r="L258" s="21" t="str">
        <f aca="false">IFERROR(INDEX('نقاط التحقق'!$G$2:$G$31,MATCH($K258,'نقاط التحقق'!$A$2:$A$31,0))&amp;"","")</f>
        <v>مدير الوحدة التنظيمية والموظفون الرئيسيون معينون/ملحقون</v>
      </c>
      <c r="M258" s="17" t="n">
        <v>70</v>
      </c>
      <c r="N258" s="17" t="n">
        <v>90</v>
      </c>
      <c r="O258" s="19" t="str">
        <f aca="false">IF($M258="","غير مقيّمة",IF($M258&gt;المرجع!$K$3,"مستوفاة بشكل متقدم",IF($M258&lt;=المرجع!$K$2,"مستوفاة بشكل أولي","مستوفاة بشكل جزئي")))</f>
        <v>مستوفاة بشكل جزئي</v>
      </c>
      <c r="P258" s="22"/>
    </row>
    <row r="259" customFormat="false" ht="15" hidden="false" customHeight="true" outlineLevel="0" collapsed="false">
      <c r="A259" s="20" t="s">
        <v>1073</v>
      </c>
      <c r="B259" s="20" t="s">
        <v>212</v>
      </c>
      <c r="C259" s="19" t="str">
        <f aca="false">IFERROR(INDEX('قائمة الوحدات'!$B$2:$B$41,MATCH($B259,'قائمة الوحدات'!$A$2:$A$41,0)),"")</f>
        <v>MIL</v>
      </c>
      <c r="D259" s="18" t="str">
        <f aca="false">IFERROR(INDEX('قائمة الوحدات'!$C$2:$C$41,MATCH($B259,'قائمة الوحدات'!$A$2:$A$41,0)),"")</f>
        <v>الجهاز العسكري</v>
      </c>
      <c r="E259" s="18" t="str">
        <f aca="false">IFERROR(INDEX('قائمة الوحدات'!$D$2:$D$41,MATCH($B259,'قائمة الوحدات'!$A$2:$A$41,0)),"")</f>
        <v>الإدارة العامة للتخطيط والتنظيم العسكري</v>
      </c>
      <c r="F259" s="18" t="str">
        <f aca="false">IFERROR(INDEX('قائمة الوحدات'!$F$2:$F$41,MATCH($B259,'قائمة الوحدات'!$A$2:$A$41,0)),"")</f>
        <v>الإدارة العامة للتخطيط والتنظيم العسكري</v>
      </c>
      <c r="G259" s="20" t="s">
        <v>62</v>
      </c>
      <c r="H259" s="18" t="str">
        <f aca="false">IFERROR(INDEX(المرجع!$A$2:$A$19,MATCH($G259,المرجع!$B$2:$B$19,0)),"")</f>
        <v>البناء المؤسسي</v>
      </c>
      <c r="I259" s="20" t="s">
        <v>57</v>
      </c>
      <c r="J259" s="18" t="str">
        <f aca="false">IFERROR(INDEX(المرجع!$D$2:$D$19,MATCH($I259,المرجع!$E$2:$E$19,0)),"")</f>
        <v>الموارد</v>
      </c>
      <c r="K259" s="20" t="s">
        <v>110</v>
      </c>
      <c r="L259" s="21" t="str">
        <f aca="false">IFERROR(INDEX('نقاط التحقق'!$G$2:$G$31,MATCH($K259,'نقاط التحقق'!$A$2:$A$31,0))&amp;"","")</f>
        <v>خطة توظيف وتدريب مستكملة</v>
      </c>
      <c r="M259" s="17" t="n">
        <v>90</v>
      </c>
      <c r="N259" s="17" t="n">
        <v>90</v>
      </c>
      <c r="O259" s="19" t="str">
        <f aca="false">IF($M259="","غير مقيّمة",IF($M259&gt;المرجع!$K$3,"مستوفاة بشكل متقدم",IF($M259&lt;=المرجع!$K$2,"مستوفاة بشكل أولي","مستوفاة بشكل جزئي")))</f>
        <v>مستوفاة بشكل متقدم</v>
      </c>
      <c r="P259" s="22"/>
    </row>
    <row r="260" customFormat="false" ht="15" hidden="false" customHeight="true" outlineLevel="0" collapsed="false">
      <c r="A260" s="20" t="s">
        <v>1074</v>
      </c>
      <c r="B260" s="20" t="s">
        <v>212</v>
      </c>
      <c r="C260" s="19" t="str">
        <f aca="false">IFERROR(INDEX('قائمة الوحدات'!$B$2:$B$41,MATCH($B260,'قائمة الوحدات'!$A$2:$A$41,0)),"")</f>
        <v>MIL</v>
      </c>
      <c r="D260" s="18" t="str">
        <f aca="false">IFERROR(INDEX('قائمة الوحدات'!$C$2:$C$41,MATCH($B260,'قائمة الوحدات'!$A$2:$A$41,0)),"")</f>
        <v>الجهاز العسكري</v>
      </c>
      <c r="E260" s="18" t="str">
        <f aca="false">IFERROR(INDEX('قائمة الوحدات'!$D$2:$D$41,MATCH($B260,'قائمة الوحدات'!$A$2:$A$41,0)),"")</f>
        <v>الإدارة العامة للتخطيط والتنظيم العسكري</v>
      </c>
      <c r="F260" s="18" t="str">
        <f aca="false">IFERROR(INDEX('قائمة الوحدات'!$F$2:$F$41,MATCH($B260,'قائمة الوحدات'!$A$2:$A$41,0)),"")</f>
        <v>الإدارة العامة للتخطيط والتنظيم العسكري</v>
      </c>
      <c r="G260" s="20" t="s">
        <v>62</v>
      </c>
      <c r="H260" s="18" t="str">
        <f aca="false">IFERROR(INDEX(المرجع!$A$2:$A$19,MATCH($G260,المرجع!$B$2:$B$19,0)),"")</f>
        <v>البناء المؤسسي</v>
      </c>
      <c r="I260" s="20" t="s">
        <v>57</v>
      </c>
      <c r="J260" s="18" t="str">
        <f aca="false">IFERROR(INDEX(المرجع!$D$2:$D$19,MATCH($I260,المرجع!$E$2:$E$19,0)),"")</f>
        <v>الموارد</v>
      </c>
      <c r="K260" s="20" t="s">
        <v>112</v>
      </c>
      <c r="L260" s="21" t="str">
        <f aca="false">IFERROR(INDEX('نقاط التحقق'!$G$2:$G$31,MATCH($K260,'نقاط التحقق'!$A$2:$A$31,0))&amp;"","")</f>
        <v>وجود مساحات مكتبية كافية</v>
      </c>
      <c r="M260" s="17" t="n">
        <v>65</v>
      </c>
      <c r="N260" s="17" t="n">
        <v>95</v>
      </c>
      <c r="O260" s="19" t="str">
        <f aca="false">IF($M260="","غير مقيّمة",IF($M260&gt;المرجع!$K$3,"مستوفاة بشكل متقدم",IF($M260&lt;=المرجع!$K$2,"مستوفاة بشكل أولي","مستوفاة بشكل جزئي")))</f>
        <v>مستوفاة بشكل جزئي</v>
      </c>
      <c r="P260" s="22"/>
    </row>
    <row r="261" customFormat="false" ht="15" hidden="false" customHeight="true" outlineLevel="0" collapsed="false">
      <c r="A261" s="20" t="s">
        <v>1075</v>
      </c>
      <c r="B261" s="20" t="s">
        <v>212</v>
      </c>
      <c r="C261" s="19" t="str">
        <f aca="false">IFERROR(INDEX('قائمة الوحدات'!$B$2:$B$41,MATCH($B261,'قائمة الوحدات'!$A$2:$A$41,0)),"")</f>
        <v>MIL</v>
      </c>
      <c r="D261" s="18" t="str">
        <f aca="false">IFERROR(INDEX('قائمة الوحدات'!$C$2:$C$41,MATCH($B261,'قائمة الوحدات'!$A$2:$A$41,0)),"")</f>
        <v>الجهاز العسكري</v>
      </c>
      <c r="E261" s="18" t="str">
        <f aca="false">IFERROR(INDEX('قائمة الوحدات'!$D$2:$D$41,MATCH($B261,'قائمة الوحدات'!$A$2:$A$41,0)),"")</f>
        <v>الإدارة العامة للتخطيط والتنظيم العسكري</v>
      </c>
      <c r="F261" s="18" t="str">
        <f aca="false">IFERROR(INDEX('قائمة الوحدات'!$F$2:$F$41,MATCH($B261,'قائمة الوحدات'!$A$2:$A$41,0)),"")</f>
        <v>الإدارة العامة للتخطيط والتنظيم العسكري</v>
      </c>
      <c r="G261" s="20" t="s">
        <v>62</v>
      </c>
      <c r="H261" s="18" t="str">
        <f aca="false">IFERROR(INDEX(المرجع!$A$2:$A$19,MATCH($G261,المرجع!$B$2:$B$19,0)),"")</f>
        <v>البناء المؤسسي</v>
      </c>
      <c r="I261" s="20" t="s">
        <v>57</v>
      </c>
      <c r="J261" s="18" t="str">
        <f aca="false">IFERROR(INDEX(المرجع!$D$2:$D$19,MATCH($I261,المرجع!$E$2:$E$19,0)),"")</f>
        <v>الموارد</v>
      </c>
      <c r="K261" s="20" t="s">
        <v>114</v>
      </c>
      <c r="L261" s="21" t="str">
        <f aca="false">IFERROR(INDEX('نقاط التحقق'!$G$2:$G$31,MATCH($K261,'نقاط التحقق'!$A$2:$A$31,0))&amp;"","")</f>
        <v>وجود الاحتياجات التقنية الأساسية</v>
      </c>
      <c r="M261" s="17" t="n">
        <v>75</v>
      </c>
      <c r="N261" s="17" t="n">
        <v>100</v>
      </c>
      <c r="O261" s="19" t="str">
        <f aca="false">IF($M261="","غير مقيّمة",IF($M261&gt;المرجع!$K$3,"مستوفاة بشكل متقدم",IF($M261&lt;=المرجع!$K$2,"مستوفاة بشكل أولي","مستوفاة بشكل جزئي")))</f>
        <v>مستوفاة بشكل متقدم</v>
      </c>
      <c r="P261" s="22"/>
    </row>
    <row r="262" customFormat="false" ht="15" hidden="false" customHeight="true" outlineLevel="0" collapsed="false">
      <c r="A262" s="20" t="s">
        <v>1076</v>
      </c>
      <c r="B262" s="20" t="s">
        <v>212</v>
      </c>
      <c r="C262" s="19" t="str">
        <f aca="false">IFERROR(INDEX('قائمة الوحدات'!$B$2:$B$41,MATCH($B262,'قائمة الوحدات'!$A$2:$A$41,0)),"")</f>
        <v>MIL</v>
      </c>
      <c r="D262" s="18" t="str">
        <f aca="false">IFERROR(INDEX('قائمة الوحدات'!$C$2:$C$41,MATCH($B262,'قائمة الوحدات'!$A$2:$A$41,0)),"")</f>
        <v>الجهاز العسكري</v>
      </c>
      <c r="E262" s="18" t="str">
        <f aca="false">IFERROR(INDEX('قائمة الوحدات'!$D$2:$D$41,MATCH($B262,'قائمة الوحدات'!$A$2:$A$41,0)),"")</f>
        <v>الإدارة العامة للتخطيط والتنظيم العسكري</v>
      </c>
      <c r="F262" s="18" t="str">
        <f aca="false">IFERROR(INDEX('قائمة الوحدات'!$F$2:$F$41,MATCH($B262,'قائمة الوحدات'!$A$2:$A$41,0)),"")</f>
        <v>الإدارة العامة للتخطيط والتنظيم العسكري</v>
      </c>
      <c r="G262" s="20" t="s">
        <v>62</v>
      </c>
      <c r="H262" s="18" t="str">
        <f aca="false">IFERROR(INDEX(المرجع!$A$2:$A$19,MATCH($G262,المرجع!$B$2:$B$19,0)),"")</f>
        <v>البناء المؤسسي</v>
      </c>
      <c r="I262" s="20" t="s">
        <v>60</v>
      </c>
      <c r="J262" s="18" t="str">
        <f aca="false">IFERROR(INDEX(المرجع!$D$2:$D$19,MATCH($I262,المرجع!$E$2:$E$19,0)),"")</f>
        <v>الإجراءات</v>
      </c>
      <c r="K262" s="20" t="s">
        <v>116</v>
      </c>
      <c r="L262" s="21" t="str">
        <f aca="false">IFERROR(INDEX('نقاط التحقق'!$G$2:$G$31,MATCH($K262,'نقاط التحقق'!$A$2:$A$31,0))&amp;"","")</f>
        <v>إجراءات معتمدة للوحدة التنظيمية</v>
      </c>
      <c r="M262" s="17" t="n">
        <v>49</v>
      </c>
      <c r="N262" s="17" t="n">
        <v>80</v>
      </c>
      <c r="O262" s="19" t="str">
        <f aca="false">IF($M262="","غير مقيّمة",IF($M262&gt;المرجع!$K$3,"مستوفاة بشكل متقدم",IF($M262&lt;=المرجع!$K$2,"مستوفاة بشكل أولي","مستوفاة بشكل جزئي")))</f>
        <v>مستوفاة بشكل جزئي</v>
      </c>
      <c r="P262" s="22"/>
    </row>
    <row r="263" customFormat="false" ht="15" hidden="false" customHeight="true" outlineLevel="0" collapsed="false">
      <c r="A263" s="20" t="s">
        <v>1077</v>
      </c>
      <c r="B263" s="20" t="s">
        <v>212</v>
      </c>
      <c r="C263" s="19" t="str">
        <f aca="false">IFERROR(INDEX('قائمة الوحدات'!$B$2:$B$41,MATCH($B263,'قائمة الوحدات'!$A$2:$A$41,0)),"")</f>
        <v>MIL</v>
      </c>
      <c r="D263" s="18" t="str">
        <f aca="false">IFERROR(INDEX('قائمة الوحدات'!$C$2:$C$41,MATCH($B263,'قائمة الوحدات'!$A$2:$A$41,0)),"")</f>
        <v>الجهاز العسكري</v>
      </c>
      <c r="E263" s="18" t="str">
        <f aca="false">IFERROR(INDEX('قائمة الوحدات'!$D$2:$D$41,MATCH($B263,'قائمة الوحدات'!$A$2:$A$41,0)),"")</f>
        <v>الإدارة العامة للتخطيط والتنظيم العسكري</v>
      </c>
      <c r="F263" s="18" t="str">
        <f aca="false">IFERROR(INDEX('قائمة الوحدات'!$F$2:$F$41,MATCH($B263,'قائمة الوحدات'!$A$2:$A$41,0)),"")</f>
        <v>الإدارة العامة للتخطيط والتنظيم العسكري</v>
      </c>
      <c r="G263" s="20" t="s">
        <v>62</v>
      </c>
      <c r="H263" s="18" t="str">
        <f aca="false">IFERROR(INDEX(المرجع!$A$2:$A$19,MATCH($G263,المرجع!$B$2:$B$19,0)),"")</f>
        <v>البناء المؤسسي</v>
      </c>
      <c r="I263" s="20" t="s">
        <v>69</v>
      </c>
      <c r="J263" s="18" t="str">
        <f aca="false">IFERROR(INDEX(المرجع!$D$2:$D$19,MATCH($I263,المرجع!$E$2:$E$19,0)),"")</f>
        <v>إنتاج المخرج الأول</v>
      </c>
      <c r="K263" s="20" t="s">
        <v>118</v>
      </c>
      <c r="L263" s="21" t="str">
        <f aca="false">IFERROR(INDEX('نقاط التحقق'!$G$2:$G$31,MATCH($K263,'نقاط التحقق'!$A$2:$A$31,0))&amp;"","")</f>
        <v>إنتاج المخرج الأول من قبل الوحدة التنظيمية</v>
      </c>
      <c r="M263" s="17" t="n">
        <v>49</v>
      </c>
      <c r="N263" s="17" t="n">
        <v>100</v>
      </c>
      <c r="O263" s="19" t="str">
        <f aca="false">IF($M263="","غير مقيّمة",IF($M263&gt;المرجع!$K$3,"مستوفاة بشكل متقدم",IF($M263&lt;=المرجع!$K$2,"مستوفاة بشكل أولي","مستوفاة بشكل جزئي")))</f>
        <v>مستوفاة بشكل جزئي</v>
      </c>
      <c r="P263" s="22"/>
    </row>
    <row r="264" customFormat="false" ht="15" hidden="false" customHeight="true" outlineLevel="0" collapsed="false">
      <c r="A264" s="20" t="s">
        <v>1078</v>
      </c>
      <c r="B264" s="20" t="s">
        <v>212</v>
      </c>
      <c r="C264" s="19" t="str">
        <f aca="false">IFERROR(INDEX('قائمة الوحدات'!$B$2:$B$41,MATCH($B264,'قائمة الوحدات'!$A$2:$A$41,0)),"")</f>
        <v>MIL</v>
      </c>
      <c r="D264" s="18" t="str">
        <f aca="false">IFERROR(INDEX('قائمة الوحدات'!$C$2:$C$41,MATCH($B264,'قائمة الوحدات'!$A$2:$A$41,0)),"")</f>
        <v>الجهاز العسكري</v>
      </c>
      <c r="E264" s="18" t="str">
        <f aca="false">IFERROR(INDEX('قائمة الوحدات'!$D$2:$D$41,MATCH($B264,'قائمة الوحدات'!$A$2:$A$41,0)),"")</f>
        <v>الإدارة العامة للتخطيط والتنظيم العسكري</v>
      </c>
      <c r="F264" s="18" t="str">
        <f aca="false">IFERROR(INDEX('قائمة الوحدات'!$F$2:$F$41,MATCH($B264,'قائمة الوحدات'!$A$2:$A$41,0)),"")</f>
        <v>الإدارة العامة للتخطيط والتنظيم العسكري</v>
      </c>
      <c r="G264" s="20" t="s">
        <v>66</v>
      </c>
      <c r="H264" s="18" t="str">
        <f aca="false">IFERROR(INDEX(المرجع!$A$2:$A$19,MATCH($G264,المرجع!$B$2:$B$19,0)),"")</f>
        <v>التشغيل</v>
      </c>
      <c r="I264" s="20" t="s">
        <v>49</v>
      </c>
      <c r="J264" s="18" t="str">
        <f aca="false">IFERROR(INDEX(المرجع!$D$2:$D$19,MATCH($I264,المرجع!$E$2:$E$19,0)),"")</f>
        <v>الأهداف ومؤشرات الأداء</v>
      </c>
      <c r="K264" s="20" t="s">
        <v>120</v>
      </c>
      <c r="L264" s="21" t="str">
        <f aca="false">IFERROR(INDEX('نقاط التحقق'!$G$2:$G$31,MATCH($K264,'نقاط التحقق'!$A$2:$A$31,0))&amp;"","")</f>
        <v>تحرك مؤشرات الأداء التشغيلي للوحدة التنظيمية بشكل إيجابي</v>
      </c>
      <c r="M264" s="17" t="n">
        <v>35</v>
      </c>
      <c r="N264" s="17" t="n">
        <v>100</v>
      </c>
      <c r="O264" s="19" t="str">
        <f aca="false">IF($M264="","غير مقيّمة",IF($M264&gt;المرجع!$K$3,"مستوفاة بشكل متقدم",IF($M264&lt;=المرجع!$K$2,"مستوفاة بشكل أولي","مستوفاة بشكل جزئي")))</f>
        <v>مستوفاة بشكل جزئي</v>
      </c>
      <c r="P264" s="22"/>
    </row>
    <row r="265" customFormat="false" ht="15" hidden="false" customHeight="true" outlineLevel="0" collapsed="false">
      <c r="A265" s="20" t="s">
        <v>1079</v>
      </c>
      <c r="B265" s="20" t="s">
        <v>212</v>
      </c>
      <c r="C265" s="19" t="str">
        <f aca="false">IFERROR(INDEX('قائمة الوحدات'!$B$2:$B$41,MATCH($B265,'قائمة الوحدات'!$A$2:$A$41,0)),"")</f>
        <v>MIL</v>
      </c>
      <c r="D265" s="18" t="str">
        <f aca="false">IFERROR(INDEX('قائمة الوحدات'!$C$2:$C$41,MATCH($B265,'قائمة الوحدات'!$A$2:$A$41,0)),"")</f>
        <v>الجهاز العسكري</v>
      </c>
      <c r="E265" s="18" t="str">
        <f aca="false">IFERROR(INDEX('قائمة الوحدات'!$D$2:$D$41,MATCH($B265,'قائمة الوحدات'!$A$2:$A$41,0)),"")</f>
        <v>الإدارة العامة للتخطيط والتنظيم العسكري</v>
      </c>
      <c r="F265" s="18" t="str">
        <f aca="false">IFERROR(INDEX('قائمة الوحدات'!$F$2:$F$41,MATCH($B265,'قائمة الوحدات'!$A$2:$A$41,0)),"")</f>
        <v>الإدارة العامة للتخطيط والتنظيم العسكري</v>
      </c>
      <c r="G265" s="20" t="s">
        <v>66</v>
      </c>
      <c r="H265" s="18" t="str">
        <f aca="false">IFERROR(INDEX(المرجع!$A$2:$A$19,MATCH($G265,المرجع!$B$2:$B$19,0)),"")</f>
        <v>التشغيل</v>
      </c>
      <c r="I265" s="20" t="s">
        <v>49</v>
      </c>
      <c r="J265" s="18" t="str">
        <f aca="false">IFERROR(INDEX(المرجع!$D$2:$D$19,MATCH($I265,المرجع!$E$2:$E$19,0)),"")</f>
        <v>الأهداف ومؤشرات الأداء</v>
      </c>
      <c r="K265" s="20" t="s">
        <v>122</v>
      </c>
      <c r="L265" s="21" t="str">
        <f aca="false">IFERROR(INDEX('نقاط التحقق'!$G$2:$G$31,MATCH($K265,'نقاط التحقق'!$A$2:$A$31,0))&amp;"","")</f>
        <v>خطة سنوية معتمدة للوحدة التنظيمية</v>
      </c>
      <c r="M265" s="17" t="n">
        <v>20</v>
      </c>
      <c r="N265" s="17" t="n">
        <v>100</v>
      </c>
      <c r="O265" s="19" t="str">
        <f aca="false">IF($M265="","غير مقيّمة",IF($M265&gt;المرجع!$K$3,"مستوفاة بشكل متقدم",IF($M265&lt;=المرجع!$K$2,"مستوفاة بشكل أولي","مستوفاة بشكل جزئي")))</f>
        <v>مستوفاة بشكل أولي</v>
      </c>
      <c r="P265" s="22"/>
    </row>
    <row r="266" customFormat="false" ht="15" hidden="false" customHeight="true" outlineLevel="0" collapsed="false">
      <c r="A266" s="20" t="s">
        <v>1080</v>
      </c>
      <c r="B266" s="20" t="s">
        <v>212</v>
      </c>
      <c r="C266" s="19" t="str">
        <f aca="false">IFERROR(INDEX('قائمة الوحدات'!$B$2:$B$41,MATCH($B266,'قائمة الوحدات'!$A$2:$A$41,0)),"")</f>
        <v>MIL</v>
      </c>
      <c r="D266" s="18" t="str">
        <f aca="false">IFERROR(INDEX('قائمة الوحدات'!$C$2:$C$41,MATCH($B266,'قائمة الوحدات'!$A$2:$A$41,0)),"")</f>
        <v>الجهاز العسكري</v>
      </c>
      <c r="E266" s="18" t="str">
        <f aca="false">IFERROR(INDEX('قائمة الوحدات'!$D$2:$D$41,MATCH($B266,'قائمة الوحدات'!$A$2:$A$41,0)),"")</f>
        <v>الإدارة العامة للتخطيط والتنظيم العسكري</v>
      </c>
      <c r="F266" s="18" t="str">
        <f aca="false">IFERROR(INDEX('قائمة الوحدات'!$F$2:$F$41,MATCH($B266,'قائمة الوحدات'!$A$2:$A$41,0)),"")</f>
        <v>الإدارة العامة للتخطيط والتنظيم العسكري</v>
      </c>
      <c r="G266" s="20" t="s">
        <v>66</v>
      </c>
      <c r="H266" s="18" t="str">
        <f aca="false">IFERROR(INDEX(المرجع!$A$2:$A$19,MATCH($G266,المرجع!$B$2:$B$19,0)),"")</f>
        <v>التشغيل</v>
      </c>
      <c r="I266" s="20" t="s">
        <v>52</v>
      </c>
      <c r="J266" s="18" t="str">
        <f aca="false">IFERROR(INDEX(المرجع!$D$2:$D$19,MATCH($I266,المرجع!$E$2:$E$19,0)),"")</f>
        <v>الحوكمة</v>
      </c>
      <c r="K266" s="20" t="s">
        <v>124</v>
      </c>
      <c r="L266" s="21" t="str">
        <f aca="false">IFERROR(INDEX('نقاط التحقق'!$G$2:$G$31,MATCH($K266,'نقاط التحقق'!$A$2:$A$31,0))&amp;"","")</f>
        <v>محاضر لجان موثقة</v>
      </c>
      <c r="M266" s="17" t="n">
        <v>45</v>
      </c>
      <c r="N266" s="17" t="n">
        <v>80</v>
      </c>
      <c r="O266" s="19" t="str">
        <f aca="false">IF($M266="","غير مقيّمة",IF($M266&gt;المرجع!$K$3,"مستوفاة بشكل متقدم",IF($M266&lt;=المرجع!$K$2,"مستوفاة بشكل أولي","مستوفاة بشكل جزئي")))</f>
        <v>مستوفاة بشكل جزئي</v>
      </c>
      <c r="P266" s="22"/>
    </row>
    <row r="267" customFormat="false" ht="15" hidden="false" customHeight="true" outlineLevel="0" collapsed="false">
      <c r="A267" s="20" t="s">
        <v>1081</v>
      </c>
      <c r="B267" s="20" t="s">
        <v>212</v>
      </c>
      <c r="C267" s="19" t="str">
        <f aca="false">IFERROR(INDEX('قائمة الوحدات'!$B$2:$B$41,MATCH($B267,'قائمة الوحدات'!$A$2:$A$41,0)),"")</f>
        <v>MIL</v>
      </c>
      <c r="D267" s="18" t="str">
        <f aca="false">IFERROR(INDEX('قائمة الوحدات'!$C$2:$C$41,MATCH($B267,'قائمة الوحدات'!$A$2:$A$41,0)),"")</f>
        <v>الجهاز العسكري</v>
      </c>
      <c r="E267" s="18" t="str">
        <f aca="false">IFERROR(INDEX('قائمة الوحدات'!$D$2:$D$41,MATCH($B267,'قائمة الوحدات'!$A$2:$A$41,0)),"")</f>
        <v>الإدارة العامة للتخطيط والتنظيم العسكري</v>
      </c>
      <c r="F267" s="18" t="str">
        <f aca="false">IFERROR(INDEX('قائمة الوحدات'!$F$2:$F$41,MATCH($B267,'قائمة الوحدات'!$A$2:$A$41,0)),"")</f>
        <v>الإدارة العامة للتخطيط والتنظيم العسكري</v>
      </c>
      <c r="G267" s="20" t="s">
        <v>66</v>
      </c>
      <c r="H267" s="18" t="str">
        <f aca="false">IFERROR(INDEX(المرجع!$A$2:$A$19,MATCH($G267,المرجع!$B$2:$B$19,0)),"")</f>
        <v>التشغيل</v>
      </c>
      <c r="I267" s="20" t="s">
        <v>52</v>
      </c>
      <c r="J267" s="18" t="str">
        <f aca="false">IFERROR(INDEX(المرجع!$D$2:$D$19,MATCH($I267,المرجع!$E$2:$E$19,0)),"")</f>
        <v>الحوكمة</v>
      </c>
      <c r="K267" s="20" t="s">
        <v>126</v>
      </c>
      <c r="L267" s="21" t="str">
        <f aca="false">IFERROR(INDEX('نقاط التحقق'!$G$2:$G$31,MATCH($K267,'نقاط التحقق'!$A$2:$A$31,0))&amp;"","")</f>
        <v>نشر السياسات التي تملكها الوحدة التنظيمية</v>
      </c>
      <c r="M267" s="17" t="n">
        <v>70</v>
      </c>
      <c r="N267" s="17" t="n">
        <v>100</v>
      </c>
      <c r="O267" s="19" t="str">
        <f aca="false">IF($M267="","غير مقيّمة",IF($M267&gt;المرجع!$K$3,"مستوفاة بشكل متقدم",IF($M267&lt;=المرجع!$K$2,"مستوفاة بشكل أولي","مستوفاة بشكل جزئي")))</f>
        <v>مستوفاة بشكل جزئي</v>
      </c>
      <c r="P267" s="22"/>
    </row>
    <row r="268" customFormat="false" ht="15" hidden="false" customHeight="true" outlineLevel="0" collapsed="false">
      <c r="A268" s="20" t="s">
        <v>1082</v>
      </c>
      <c r="B268" s="20" t="s">
        <v>212</v>
      </c>
      <c r="C268" s="19" t="str">
        <f aca="false">IFERROR(INDEX('قائمة الوحدات'!$B$2:$B$41,MATCH($B268,'قائمة الوحدات'!$A$2:$A$41,0)),"")</f>
        <v>MIL</v>
      </c>
      <c r="D268" s="18" t="str">
        <f aca="false">IFERROR(INDEX('قائمة الوحدات'!$C$2:$C$41,MATCH($B268,'قائمة الوحدات'!$A$2:$A$41,0)),"")</f>
        <v>الجهاز العسكري</v>
      </c>
      <c r="E268" s="18" t="str">
        <f aca="false">IFERROR(INDEX('قائمة الوحدات'!$D$2:$D$41,MATCH($B268,'قائمة الوحدات'!$A$2:$A$41,0)),"")</f>
        <v>الإدارة العامة للتخطيط والتنظيم العسكري</v>
      </c>
      <c r="F268" s="18" t="str">
        <f aca="false">IFERROR(INDEX('قائمة الوحدات'!$F$2:$F$41,MATCH($B268,'قائمة الوحدات'!$A$2:$A$41,0)),"")</f>
        <v>الإدارة العامة للتخطيط والتنظيم العسكري</v>
      </c>
      <c r="G268" s="20" t="s">
        <v>66</v>
      </c>
      <c r="H268" s="18" t="str">
        <f aca="false">IFERROR(INDEX(المرجع!$A$2:$A$19,MATCH($G268,المرجع!$B$2:$B$19,0)),"")</f>
        <v>التشغيل</v>
      </c>
      <c r="I268" s="20" t="s">
        <v>52</v>
      </c>
      <c r="J268" s="18" t="str">
        <f aca="false">IFERROR(INDEX(المرجع!$D$2:$D$19,MATCH($I268,المرجع!$E$2:$E$19,0)),"")</f>
        <v>الحوكمة</v>
      </c>
      <c r="K268" s="20" t="s">
        <v>128</v>
      </c>
      <c r="L268" s="21" t="str">
        <f aca="false">IFERROR(INDEX('نقاط التحقق'!$G$2:$G$31,MATCH($K268,'نقاط التحقق'!$A$2:$A$31,0))&amp;"","")</f>
        <v>اتخاذ القرارات في نطاق الصلاحيات (وجود شواهد)</v>
      </c>
      <c r="M268" s="17" t="n">
        <v>70</v>
      </c>
      <c r="N268" s="17" t="n">
        <v>100</v>
      </c>
      <c r="O268" s="19" t="str">
        <f aca="false">IF($M268="","غير مقيّمة",IF($M268&gt;المرجع!$K$3,"مستوفاة بشكل متقدم",IF($M268&lt;=المرجع!$K$2,"مستوفاة بشكل أولي","مستوفاة بشكل جزئي")))</f>
        <v>مستوفاة بشكل جزئي</v>
      </c>
      <c r="P268" s="22"/>
    </row>
    <row r="269" customFormat="false" ht="15" hidden="false" customHeight="true" outlineLevel="0" collapsed="false">
      <c r="A269" s="20" t="s">
        <v>1083</v>
      </c>
      <c r="B269" s="20" t="s">
        <v>212</v>
      </c>
      <c r="C269" s="19" t="str">
        <f aca="false">IFERROR(INDEX('قائمة الوحدات'!$B$2:$B$41,MATCH($B269,'قائمة الوحدات'!$A$2:$A$41,0)),"")</f>
        <v>MIL</v>
      </c>
      <c r="D269" s="18" t="str">
        <f aca="false">IFERROR(INDEX('قائمة الوحدات'!$C$2:$C$41,MATCH($B269,'قائمة الوحدات'!$A$2:$A$41,0)),"")</f>
        <v>الجهاز العسكري</v>
      </c>
      <c r="E269" s="18" t="str">
        <f aca="false">IFERROR(INDEX('قائمة الوحدات'!$D$2:$D$41,MATCH($B269,'قائمة الوحدات'!$A$2:$A$41,0)),"")</f>
        <v>الإدارة العامة للتخطيط والتنظيم العسكري</v>
      </c>
      <c r="F269" s="18" t="str">
        <f aca="false">IFERROR(INDEX('قائمة الوحدات'!$F$2:$F$41,MATCH($B269,'قائمة الوحدات'!$A$2:$A$41,0)),"")</f>
        <v>الإدارة العامة للتخطيط والتنظيم العسكري</v>
      </c>
      <c r="G269" s="20" t="s">
        <v>66</v>
      </c>
      <c r="H269" s="18" t="str">
        <f aca="false">IFERROR(INDEX(المرجع!$A$2:$A$19,MATCH($G269,المرجع!$B$2:$B$19,0)),"")</f>
        <v>التشغيل</v>
      </c>
      <c r="I269" s="20" t="s">
        <v>57</v>
      </c>
      <c r="J269" s="18" t="str">
        <f aca="false">IFERROR(INDEX(المرجع!$D$2:$D$19,MATCH($I269,المرجع!$E$2:$E$19,0)),"")</f>
        <v>الموارد</v>
      </c>
      <c r="K269" s="20" t="s">
        <v>130</v>
      </c>
      <c r="L269" s="21" t="str">
        <f aca="false">IFERROR(INDEX('نقاط التحقق'!$G$2:$G$31,MATCH($K269,'نقاط التحقق'!$A$2:$A$31,0))&amp;"","")</f>
        <v>موارد مستكملة للحد الأدنى الذي يغطي كافة محاور سلسلة القيمة</v>
      </c>
      <c r="M269" s="17" t="n">
        <v>37</v>
      </c>
      <c r="N269" s="17" t="n">
        <v>80</v>
      </c>
      <c r="O269" s="19" t="str">
        <f aca="false">IF($M269="","غير مقيّمة",IF($M269&gt;المرجع!$K$3,"مستوفاة بشكل متقدم",IF($M269&lt;=المرجع!$K$2,"مستوفاة بشكل أولي","مستوفاة بشكل جزئي")))</f>
        <v>مستوفاة بشكل جزئي</v>
      </c>
      <c r="P269" s="22"/>
    </row>
    <row r="270" customFormat="false" ht="15" hidden="false" customHeight="true" outlineLevel="0" collapsed="false">
      <c r="A270" s="20" t="s">
        <v>1084</v>
      </c>
      <c r="B270" s="20" t="s">
        <v>212</v>
      </c>
      <c r="C270" s="19" t="str">
        <f aca="false">IFERROR(INDEX('قائمة الوحدات'!$B$2:$B$41,MATCH($B270,'قائمة الوحدات'!$A$2:$A$41,0)),"")</f>
        <v>MIL</v>
      </c>
      <c r="D270" s="18" t="str">
        <f aca="false">IFERROR(INDEX('قائمة الوحدات'!$C$2:$C$41,MATCH($B270,'قائمة الوحدات'!$A$2:$A$41,0)),"")</f>
        <v>الجهاز العسكري</v>
      </c>
      <c r="E270" s="18" t="str">
        <f aca="false">IFERROR(INDEX('قائمة الوحدات'!$D$2:$D$41,MATCH($B270,'قائمة الوحدات'!$A$2:$A$41,0)),"")</f>
        <v>الإدارة العامة للتخطيط والتنظيم العسكري</v>
      </c>
      <c r="F270" s="18" t="str">
        <f aca="false">IFERROR(INDEX('قائمة الوحدات'!$F$2:$F$41,MATCH($B270,'قائمة الوحدات'!$A$2:$A$41,0)),"")</f>
        <v>الإدارة العامة للتخطيط والتنظيم العسكري</v>
      </c>
      <c r="G270" s="20" t="s">
        <v>66</v>
      </c>
      <c r="H270" s="18" t="str">
        <f aca="false">IFERROR(INDEX(المرجع!$A$2:$A$19,MATCH($G270,المرجع!$B$2:$B$19,0)),"")</f>
        <v>التشغيل</v>
      </c>
      <c r="I270" s="20" t="s">
        <v>60</v>
      </c>
      <c r="J270" s="18" t="str">
        <f aca="false">IFERROR(INDEX(المرجع!$D$2:$D$19,MATCH($I270,المرجع!$E$2:$E$19,0)),"")</f>
        <v>الإجراءات</v>
      </c>
      <c r="K270" s="20" t="s">
        <v>132</v>
      </c>
      <c r="L270" s="21" t="str">
        <f aca="false">IFERROR(INDEX('نقاط التحقق'!$G$2:$G$31,MATCH($K270,'نقاط التحقق'!$A$2:$A$31,0))&amp;"","")</f>
        <v>تحقيق تقييم "مطبق بشكل كامل" من منهجية تقييم فعالية الإجراءات</v>
      </c>
      <c r="M270" s="17" t="n">
        <v>23</v>
      </c>
      <c r="N270" s="17" t="n">
        <v>100</v>
      </c>
      <c r="O270" s="19" t="str">
        <f aca="false">IF($M270="","غير مقيّمة",IF($M270&gt;المرجع!$K$3,"مستوفاة بشكل متقدم",IF($M270&lt;=المرجع!$K$2,"مستوفاة بشكل أولي","مستوفاة بشكل جزئي")))</f>
        <v>مستوفاة بشكل أولي</v>
      </c>
      <c r="P270" s="22"/>
    </row>
    <row r="271" customFormat="false" ht="15" hidden="false" customHeight="true" outlineLevel="0" collapsed="false">
      <c r="A271" s="20" t="s">
        <v>1085</v>
      </c>
      <c r="B271" s="20" t="s">
        <v>212</v>
      </c>
      <c r="C271" s="19" t="str">
        <f aca="false">IFERROR(INDEX('قائمة الوحدات'!$B$2:$B$41,MATCH($B271,'قائمة الوحدات'!$A$2:$A$41,0)),"")</f>
        <v>MIL</v>
      </c>
      <c r="D271" s="18" t="str">
        <f aca="false">IFERROR(INDEX('قائمة الوحدات'!$C$2:$C$41,MATCH($B271,'قائمة الوحدات'!$A$2:$A$41,0)),"")</f>
        <v>الجهاز العسكري</v>
      </c>
      <c r="E271" s="18" t="str">
        <f aca="false">IFERROR(INDEX('قائمة الوحدات'!$D$2:$D$41,MATCH($B271,'قائمة الوحدات'!$A$2:$A$41,0)),"")</f>
        <v>الإدارة العامة للتخطيط والتنظيم العسكري</v>
      </c>
      <c r="F271" s="18" t="str">
        <f aca="false">IFERROR(INDEX('قائمة الوحدات'!$F$2:$F$41,MATCH($B271,'قائمة الوحدات'!$A$2:$A$41,0)),"")</f>
        <v>الإدارة العامة للتخطيط والتنظيم العسكري</v>
      </c>
      <c r="G271" s="20" t="s">
        <v>66</v>
      </c>
      <c r="H271" s="18" t="str">
        <f aca="false">IFERROR(INDEX(المرجع!$A$2:$A$19,MATCH($G271,المرجع!$B$2:$B$19,0)),"")</f>
        <v>التشغيل</v>
      </c>
      <c r="I271" s="20" t="s">
        <v>71</v>
      </c>
      <c r="J271" s="18" t="str">
        <f aca="false">IFERROR(INDEX(المرجع!$D$2:$D$19,MATCH($I271,المرجع!$E$2:$E$19,0)),"")</f>
        <v>اكتمال المخرجات المستهدفة</v>
      </c>
      <c r="K271" s="20" t="s">
        <v>134</v>
      </c>
      <c r="L271" s="21" t="str">
        <f aca="false">IFERROR(INDEX('نقاط التحقق'!$G$2:$G$31,MATCH($K271,'نقاط التحقق'!$A$2:$A$31,0))&amp;"","")</f>
        <v>اكتمال مخرجات النموذج التشغيلي المستهدف للوحدة التنظيمية</v>
      </c>
      <c r="M271" s="17" t="n">
        <v>21</v>
      </c>
      <c r="N271" s="17" t="n">
        <v>100</v>
      </c>
      <c r="O271" s="19" t="str">
        <f aca="false">IF($M271="","غير مقيّمة",IF($M271&gt;المرجع!$K$3,"مستوفاة بشكل متقدم",IF($M271&lt;=المرجع!$K$2,"مستوفاة بشكل أولي","مستوفاة بشكل جزئي")))</f>
        <v>مستوفاة بشكل أولي</v>
      </c>
      <c r="P271" s="22"/>
    </row>
    <row r="272" customFormat="false" ht="15" hidden="false" customHeight="true" outlineLevel="0" collapsed="false">
      <c r="A272" s="20" t="s">
        <v>1086</v>
      </c>
      <c r="B272" s="20" t="s">
        <v>214</v>
      </c>
      <c r="C272" s="19" t="str">
        <f aca="false">IFERROR(INDEX('قائمة الوحدات'!$B$2:$B$41,MATCH($B272,'قائمة الوحدات'!$A$2:$A$41,0)),"")</f>
        <v>MIL</v>
      </c>
      <c r="D272" s="18" t="str">
        <f aca="false">IFERROR(INDEX('قائمة الوحدات'!$C$2:$C$41,MATCH($B272,'قائمة الوحدات'!$A$2:$A$41,0)),"")</f>
        <v>الجهاز العسكري</v>
      </c>
      <c r="E272" s="18" t="str">
        <f aca="false">IFERROR(INDEX('قائمة الوحدات'!$D$2:$D$41,MATCH($B272,'قائمة الوحدات'!$A$2:$A$41,0)),"")</f>
        <v>الإدارة العامة للإمداد والتموين</v>
      </c>
      <c r="F272" s="18" t="str">
        <f aca="false">IFERROR(INDEX('قائمة الوحدات'!$F$2:$F$41,MATCH($B272,'قائمة الوحدات'!$A$2:$A$41,0)),"")</f>
        <v>الإدارة العامة للإمداد والتموين</v>
      </c>
      <c r="G272" s="20" t="s">
        <v>44</v>
      </c>
      <c r="H272" s="18" t="str">
        <f aca="false">IFERROR(INDEX(المرجع!$A$2:$A$19,MATCH($G272,المرجع!$B$2:$B$19,0)),"")</f>
        <v>التصميم</v>
      </c>
      <c r="I272" s="20" t="s">
        <v>46</v>
      </c>
      <c r="J272" s="18" t="str">
        <f aca="false">IFERROR(INDEX(المرجع!$D$2:$D$19,MATCH($I272,المرجع!$E$2:$E$19,0)),"")</f>
        <v>الدور</v>
      </c>
      <c r="K272" s="20" t="s">
        <v>76</v>
      </c>
      <c r="L272" s="21" t="str">
        <f aca="false">IFERROR(INDEX('نقاط التحقق'!$G$2:$G$31,MATCH($K272,'نقاط التحقق'!$A$2:$A$31,0))&amp;"","")</f>
        <v>دور مفصل للوحدة التنظيمية</v>
      </c>
      <c r="M272" s="17" t="n">
        <v>71</v>
      </c>
      <c r="N272" s="17" t="n">
        <v>95</v>
      </c>
      <c r="O272" s="19" t="str">
        <f aca="false">IF($M272="","غير مقيّمة",IF($M272&gt;المرجع!$K$3,"مستوفاة بشكل متقدم",IF($M272&lt;=المرجع!$K$2,"مستوفاة بشكل أولي","مستوفاة بشكل جزئي")))</f>
        <v>مستوفاة بشكل متقدم</v>
      </c>
      <c r="P272" s="22"/>
    </row>
    <row r="273" customFormat="false" ht="15" hidden="false" customHeight="true" outlineLevel="0" collapsed="false">
      <c r="A273" s="20" t="s">
        <v>1087</v>
      </c>
      <c r="B273" s="20" t="s">
        <v>214</v>
      </c>
      <c r="C273" s="19" t="str">
        <f aca="false">IFERROR(INDEX('قائمة الوحدات'!$B$2:$B$41,MATCH($B273,'قائمة الوحدات'!$A$2:$A$41,0)),"")</f>
        <v>MIL</v>
      </c>
      <c r="D273" s="18" t="str">
        <f aca="false">IFERROR(INDEX('قائمة الوحدات'!$C$2:$C$41,MATCH($B273,'قائمة الوحدات'!$A$2:$A$41,0)),"")</f>
        <v>الجهاز العسكري</v>
      </c>
      <c r="E273" s="18" t="str">
        <f aca="false">IFERROR(INDEX('قائمة الوحدات'!$D$2:$D$41,MATCH($B273,'قائمة الوحدات'!$A$2:$A$41,0)),"")</f>
        <v>الإدارة العامة للإمداد والتموين</v>
      </c>
      <c r="F273" s="18" t="str">
        <f aca="false">IFERROR(INDEX('قائمة الوحدات'!$F$2:$F$41,MATCH($B273,'قائمة الوحدات'!$A$2:$A$41,0)),"")</f>
        <v>الإدارة العامة للإمداد والتموين</v>
      </c>
      <c r="G273" s="20" t="s">
        <v>44</v>
      </c>
      <c r="H273" s="18" t="str">
        <f aca="false">IFERROR(INDEX(المرجع!$A$2:$A$19,MATCH($G273,المرجع!$B$2:$B$19,0)),"")</f>
        <v>التصميم</v>
      </c>
      <c r="I273" s="20" t="s">
        <v>49</v>
      </c>
      <c r="J273" s="18" t="str">
        <f aca="false">IFERROR(INDEX(المرجع!$D$2:$D$19,MATCH($I273,المرجع!$E$2:$E$19,0)),"")</f>
        <v>الأهداف ومؤشرات الأداء</v>
      </c>
      <c r="K273" s="20" t="s">
        <v>78</v>
      </c>
      <c r="L273" s="21" t="str">
        <f aca="false">IFERROR(INDEX('نقاط التحقق'!$G$2:$G$31,MATCH($K273,'نقاط التحقق'!$A$2:$A$31,0))&amp;"","")</f>
        <v>أهداف محددة للوحدة التنظيمية وربطها بمؤشرات أداء لقياسها</v>
      </c>
      <c r="M273" s="17" t="n">
        <v>100</v>
      </c>
      <c r="N273" s="17" t="n">
        <v>100</v>
      </c>
      <c r="O273" s="19" t="str">
        <f aca="false">IF($M273="","غير مقيّمة",IF($M273&gt;المرجع!$K$3,"مستوفاة بشكل متقدم",IF($M273&lt;=المرجع!$K$2,"مستوفاة بشكل أولي","مستوفاة بشكل جزئي")))</f>
        <v>مستوفاة بشكل متقدم</v>
      </c>
      <c r="P273" s="22"/>
    </row>
    <row r="274" customFormat="false" ht="15" hidden="false" customHeight="true" outlineLevel="0" collapsed="false">
      <c r="A274" s="20" t="s">
        <v>1088</v>
      </c>
      <c r="B274" s="20" t="s">
        <v>214</v>
      </c>
      <c r="C274" s="19" t="str">
        <f aca="false">IFERROR(INDEX('قائمة الوحدات'!$B$2:$B$41,MATCH($B274,'قائمة الوحدات'!$A$2:$A$41,0)),"")</f>
        <v>MIL</v>
      </c>
      <c r="D274" s="18" t="str">
        <f aca="false">IFERROR(INDEX('قائمة الوحدات'!$C$2:$C$41,MATCH($B274,'قائمة الوحدات'!$A$2:$A$41,0)),"")</f>
        <v>الجهاز العسكري</v>
      </c>
      <c r="E274" s="18" t="str">
        <f aca="false">IFERROR(INDEX('قائمة الوحدات'!$D$2:$D$41,MATCH($B274,'قائمة الوحدات'!$A$2:$A$41,0)),"")</f>
        <v>الإدارة العامة للإمداد والتموين</v>
      </c>
      <c r="F274" s="18" t="str">
        <f aca="false">IFERROR(INDEX('قائمة الوحدات'!$F$2:$F$41,MATCH($B274,'قائمة الوحدات'!$A$2:$A$41,0)),"")</f>
        <v>الإدارة العامة للإمداد والتموين</v>
      </c>
      <c r="G274" s="20" t="s">
        <v>44</v>
      </c>
      <c r="H274" s="18" t="str">
        <f aca="false">IFERROR(INDEX(المرجع!$A$2:$A$19,MATCH($G274,المرجع!$B$2:$B$19,0)),"")</f>
        <v>التصميم</v>
      </c>
      <c r="I274" s="20" t="s">
        <v>49</v>
      </c>
      <c r="J274" s="18" t="str">
        <f aca="false">IFERROR(INDEX(المرجع!$D$2:$D$19,MATCH($I274,المرجع!$E$2:$E$19,0)),"")</f>
        <v>الأهداف ومؤشرات الأداء</v>
      </c>
      <c r="K274" s="20" t="s">
        <v>80</v>
      </c>
      <c r="L274" s="21" t="str">
        <f aca="false">IFERROR(INDEX('نقاط التحقق'!$G$2:$G$31,MATCH($K274,'نقاط التحقق'!$A$2:$A$31,0))&amp;"","")</f>
        <v>مؤشرات أداء الوحدة التنظيمية</v>
      </c>
      <c r="M274" s="17" t="n">
        <v>100</v>
      </c>
      <c r="N274" s="17" t="n">
        <v>100</v>
      </c>
      <c r="O274" s="19" t="str">
        <f aca="false">IF($M274="","غير مقيّمة",IF($M274&gt;المرجع!$K$3,"مستوفاة بشكل متقدم",IF($M274&lt;=المرجع!$K$2,"مستوفاة بشكل أولي","مستوفاة بشكل جزئي")))</f>
        <v>مستوفاة بشكل متقدم</v>
      </c>
      <c r="P274" s="22"/>
    </row>
    <row r="275" customFormat="false" ht="15" hidden="false" customHeight="true" outlineLevel="0" collapsed="false">
      <c r="A275" s="20" t="s">
        <v>1089</v>
      </c>
      <c r="B275" s="20" t="s">
        <v>214</v>
      </c>
      <c r="C275" s="19" t="str">
        <f aca="false">IFERROR(INDEX('قائمة الوحدات'!$B$2:$B$41,MATCH($B275,'قائمة الوحدات'!$A$2:$A$41,0)),"")</f>
        <v>MIL</v>
      </c>
      <c r="D275" s="18" t="str">
        <f aca="false">IFERROR(INDEX('قائمة الوحدات'!$C$2:$C$41,MATCH($B275,'قائمة الوحدات'!$A$2:$A$41,0)),"")</f>
        <v>الجهاز العسكري</v>
      </c>
      <c r="E275" s="18" t="str">
        <f aca="false">IFERROR(INDEX('قائمة الوحدات'!$D$2:$D$41,MATCH($B275,'قائمة الوحدات'!$A$2:$A$41,0)),"")</f>
        <v>الإدارة العامة للإمداد والتموين</v>
      </c>
      <c r="F275" s="18" t="str">
        <f aca="false">IFERROR(INDEX('قائمة الوحدات'!$F$2:$F$41,MATCH($B275,'قائمة الوحدات'!$A$2:$A$41,0)),"")</f>
        <v>الإدارة العامة للإمداد والتموين</v>
      </c>
      <c r="G275" s="20" t="s">
        <v>44</v>
      </c>
      <c r="H275" s="18" t="str">
        <f aca="false">IFERROR(INDEX(المرجع!$A$2:$A$19,MATCH($G275,المرجع!$B$2:$B$19,0)),"")</f>
        <v>التصميم</v>
      </c>
      <c r="I275" s="20" t="s">
        <v>52</v>
      </c>
      <c r="J275" s="18" t="str">
        <f aca="false">IFERROR(INDEX(المرجع!$D$2:$D$19,MATCH($I275,المرجع!$E$2:$E$19,0)),"")</f>
        <v>الحوكمة</v>
      </c>
      <c r="K275" s="20" t="s">
        <v>82</v>
      </c>
      <c r="L275" s="21" t="str">
        <f aca="false">IFERROR(INDEX('نقاط التحقق'!$G$2:$G$31,MATCH($K275,'نقاط التحقق'!$A$2:$A$31,0))&amp;"","")</f>
        <v>تفصيل القرارات ومصفوفة الصلاحيات واللجان ذات العلاقة لاعتماد مخرجات الوحدة التنظيمية</v>
      </c>
      <c r="M275" s="17" t="n">
        <v>96</v>
      </c>
      <c r="N275" s="17" t="n">
        <v>96</v>
      </c>
      <c r="O275" s="19" t="str">
        <f aca="false">IF($M275="","غير مقيّمة",IF($M275&gt;المرجع!$K$3,"مستوفاة بشكل متقدم",IF($M275&lt;=المرجع!$K$2,"مستوفاة بشكل أولي","مستوفاة بشكل جزئي")))</f>
        <v>مستوفاة بشكل متقدم</v>
      </c>
      <c r="P275" s="22"/>
    </row>
    <row r="276" customFormat="false" ht="15" hidden="false" customHeight="true" outlineLevel="0" collapsed="false">
      <c r="A276" s="20" t="s">
        <v>1090</v>
      </c>
      <c r="B276" s="20" t="s">
        <v>214</v>
      </c>
      <c r="C276" s="19" t="str">
        <f aca="false">IFERROR(INDEX('قائمة الوحدات'!$B$2:$B$41,MATCH($B276,'قائمة الوحدات'!$A$2:$A$41,0)),"")</f>
        <v>MIL</v>
      </c>
      <c r="D276" s="18" t="str">
        <f aca="false">IFERROR(INDEX('قائمة الوحدات'!$C$2:$C$41,MATCH($B276,'قائمة الوحدات'!$A$2:$A$41,0)),"")</f>
        <v>الجهاز العسكري</v>
      </c>
      <c r="E276" s="18" t="str">
        <f aca="false">IFERROR(INDEX('قائمة الوحدات'!$D$2:$D$41,MATCH($B276,'قائمة الوحدات'!$A$2:$A$41,0)),"")</f>
        <v>الإدارة العامة للإمداد والتموين</v>
      </c>
      <c r="F276" s="18" t="str">
        <f aca="false">IFERROR(INDEX('قائمة الوحدات'!$F$2:$F$41,MATCH($B276,'قائمة الوحدات'!$A$2:$A$41,0)),"")</f>
        <v>الإدارة العامة للإمداد والتموين</v>
      </c>
      <c r="G276" s="20" t="s">
        <v>44</v>
      </c>
      <c r="H276" s="18" t="str">
        <f aca="false">IFERROR(INDEX(المرجع!$A$2:$A$19,MATCH($G276,المرجع!$B$2:$B$19,0)),"")</f>
        <v>التصميم</v>
      </c>
      <c r="I276" s="20" t="s">
        <v>55</v>
      </c>
      <c r="J276" s="18" t="str">
        <f aca="false">IFERROR(INDEX(المرجع!$D$2:$D$19,MATCH($I276,المرجع!$E$2:$E$19,0)),"")</f>
        <v>التنظيم</v>
      </c>
      <c r="K276" s="20" t="s">
        <v>84</v>
      </c>
      <c r="L276" s="21" t="str">
        <f aca="false">IFERROR(INDEX('نقاط التحقق'!$G$2:$G$31,MATCH($K276,'نقاط التحقق'!$A$2:$A$31,0))&amp;"","")</f>
        <v>تطوير الأدوار والمسؤوليات للوحدة التنظيمية وتفصيل الهيكل التنظيمي</v>
      </c>
      <c r="M276" s="17" t="n">
        <v>94</v>
      </c>
      <c r="N276" s="17" t="n">
        <v>100</v>
      </c>
      <c r="O276" s="19" t="str">
        <f aca="false">IF($M276="","غير مقيّمة",IF($M276&gt;المرجع!$K$3,"مستوفاة بشكل متقدم",IF($M276&lt;=المرجع!$K$2,"مستوفاة بشكل أولي","مستوفاة بشكل جزئي")))</f>
        <v>مستوفاة بشكل متقدم</v>
      </c>
      <c r="P276" s="22"/>
    </row>
    <row r="277" customFormat="false" ht="15" hidden="false" customHeight="true" outlineLevel="0" collapsed="false">
      <c r="A277" s="20" t="s">
        <v>1091</v>
      </c>
      <c r="B277" s="20" t="s">
        <v>214</v>
      </c>
      <c r="C277" s="19" t="str">
        <f aca="false">IFERROR(INDEX('قائمة الوحدات'!$B$2:$B$41,MATCH($B277,'قائمة الوحدات'!$A$2:$A$41,0)),"")</f>
        <v>MIL</v>
      </c>
      <c r="D277" s="18" t="str">
        <f aca="false">IFERROR(INDEX('قائمة الوحدات'!$C$2:$C$41,MATCH($B277,'قائمة الوحدات'!$A$2:$A$41,0)),"")</f>
        <v>الجهاز العسكري</v>
      </c>
      <c r="E277" s="18" t="str">
        <f aca="false">IFERROR(INDEX('قائمة الوحدات'!$D$2:$D$41,MATCH($B277,'قائمة الوحدات'!$A$2:$A$41,0)),"")</f>
        <v>الإدارة العامة للإمداد والتموين</v>
      </c>
      <c r="F277" s="18" t="str">
        <f aca="false">IFERROR(INDEX('قائمة الوحدات'!$F$2:$F$41,MATCH($B277,'قائمة الوحدات'!$A$2:$A$41,0)),"")</f>
        <v>الإدارة العامة للإمداد والتموين</v>
      </c>
      <c r="G277" s="20" t="s">
        <v>44</v>
      </c>
      <c r="H277" s="18" t="str">
        <f aca="false">IFERROR(INDEX(المرجع!$A$2:$A$19,MATCH($G277,المرجع!$B$2:$B$19,0)),"")</f>
        <v>التصميم</v>
      </c>
      <c r="I277" s="20" t="s">
        <v>57</v>
      </c>
      <c r="J277" s="18" t="str">
        <f aca="false">IFERROR(INDEX(المرجع!$D$2:$D$19,MATCH($I277,المرجع!$E$2:$E$19,0)),"")</f>
        <v>الموارد</v>
      </c>
      <c r="K277" s="20" t="s">
        <v>86</v>
      </c>
      <c r="L277" s="21" t="str">
        <f aca="false">IFERROR(INDEX('نقاط التحقق'!$G$2:$G$31,MATCH($K277,'نقاط التحقق'!$A$2:$A$31,0))&amp;"","")</f>
        <v>تفصيل احتياج الموارد البشرية للوحدة التنظيمية</v>
      </c>
      <c r="M277" s="17" t="n">
        <v>97</v>
      </c>
      <c r="N277" s="17" t="n">
        <v>97</v>
      </c>
      <c r="O277" s="19" t="str">
        <f aca="false">IF($M277="","غير مقيّمة",IF($M277&gt;المرجع!$K$3,"مستوفاة بشكل متقدم",IF($M277&lt;=المرجع!$K$2,"مستوفاة بشكل أولي","مستوفاة بشكل جزئي")))</f>
        <v>مستوفاة بشكل متقدم</v>
      </c>
      <c r="P277" s="22"/>
    </row>
    <row r="278" customFormat="false" ht="15" hidden="false" customHeight="true" outlineLevel="0" collapsed="false">
      <c r="A278" s="20" t="s">
        <v>1092</v>
      </c>
      <c r="B278" s="20" t="s">
        <v>214</v>
      </c>
      <c r="C278" s="19" t="str">
        <f aca="false">IFERROR(INDEX('قائمة الوحدات'!$B$2:$B$41,MATCH($B278,'قائمة الوحدات'!$A$2:$A$41,0)),"")</f>
        <v>MIL</v>
      </c>
      <c r="D278" s="18" t="str">
        <f aca="false">IFERROR(INDEX('قائمة الوحدات'!$C$2:$C$41,MATCH($B278,'قائمة الوحدات'!$A$2:$A$41,0)),"")</f>
        <v>الجهاز العسكري</v>
      </c>
      <c r="E278" s="18" t="str">
        <f aca="false">IFERROR(INDEX('قائمة الوحدات'!$D$2:$D$41,MATCH($B278,'قائمة الوحدات'!$A$2:$A$41,0)),"")</f>
        <v>الإدارة العامة للإمداد والتموين</v>
      </c>
      <c r="F278" s="18" t="str">
        <f aca="false">IFERROR(INDEX('قائمة الوحدات'!$F$2:$F$41,MATCH($B278,'قائمة الوحدات'!$A$2:$A$41,0)),"")</f>
        <v>الإدارة العامة للإمداد والتموين</v>
      </c>
      <c r="G278" s="20" t="s">
        <v>44</v>
      </c>
      <c r="H278" s="18" t="str">
        <f aca="false">IFERROR(INDEX(المرجع!$A$2:$A$19,MATCH($G278,المرجع!$B$2:$B$19,0)),"")</f>
        <v>التصميم</v>
      </c>
      <c r="I278" s="20" t="s">
        <v>60</v>
      </c>
      <c r="J278" s="18" t="str">
        <f aca="false">IFERROR(INDEX(المرجع!$D$2:$D$19,MATCH($I278,المرجع!$E$2:$E$19,0)),"")</f>
        <v>الإجراءات</v>
      </c>
      <c r="K278" s="20" t="s">
        <v>88</v>
      </c>
      <c r="L278" s="21" t="str">
        <f aca="false">IFERROR(INDEX('نقاط التحقق'!$G$2:$G$31,MATCH($K278,'نقاط التحقق'!$A$2:$A$31,0))&amp;"","")</f>
        <v>تفصيل المخرجات إلى إجراءات عالية المستوى</v>
      </c>
      <c r="M278" s="17" t="n">
        <v>68</v>
      </c>
      <c r="N278" s="17" t="n">
        <v>85</v>
      </c>
      <c r="O278" s="19" t="str">
        <f aca="false">IF($M278="","غير مقيّمة",IF($M278&gt;المرجع!$K$3,"مستوفاة بشكل متقدم",IF($M278&lt;=المرجع!$K$2,"مستوفاة بشكل أولي","مستوفاة بشكل جزئي")))</f>
        <v>مستوفاة بشكل جزئي</v>
      </c>
      <c r="P278" s="22"/>
    </row>
    <row r="279" customFormat="false" ht="15" hidden="false" customHeight="true" outlineLevel="0" collapsed="false">
      <c r="A279" s="20" t="s">
        <v>1093</v>
      </c>
      <c r="B279" s="20" t="s">
        <v>214</v>
      </c>
      <c r="C279" s="19" t="str">
        <f aca="false">IFERROR(INDEX('قائمة الوحدات'!$B$2:$B$41,MATCH($B279,'قائمة الوحدات'!$A$2:$A$41,0)),"")</f>
        <v>MIL</v>
      </c>
      <c r="D279" s="18" t="str">
        <f aca="false">IFERROR(INDEX('قائمة الوحدات'!$C$2:$C$41,MATCH($B279,'قائمة الوحدات'!$A$2:$A$41,0)),"")</f>
        <v>الجهاز العسكري</v>
      </c>
      <c r="E279" s="18" t="str">
        <f aca="false">IFERROR(INDEX('قائمة الوحدات'!$D$2:$D$41,MATCH($B279,'قائمة الوحدات'!$A$2:$A$41,0)),"")</f>
        <v>الإدارة العامة للإمداد والتموين</v>
      </c>
      <c r="F279" s="18" t="str">
        <f aca="false">IFERROR(INDEX('قائمة الوحدات'!$F$2:$F$41,MATCH($B279,'قائمة الوحدات'!$A$2:$A$41,0)),"")</f>
        <v>الإدارة العامة للإمداد والتموين</v>
      </c>
      <c r="G279" s="20" t="s">
        <v>62</v>
      </c>
      <c r="H279" s="18" t="str">
        <f aca="false">IFERROR(INDEX(المرجع!$A$2:$A$19,MATCH($G279,المرجع!$B$2:$B$19,0)),"")</f>
        <v>البناء المؤسسي</v>
      </c>
      <c r="I279" s="20" t="s">
        <v>46</v>
      </c>
      <c r="J279" s="18" t="str">
        <f aca="false">IFERROR(INDEX(المرجع!$D$2:$D$19,MATCH($I279,المرجع!$E$2:$E$19,0)),"")</f>
        <v>الدور</v>
      </c>
      <c r="K279" s="20" t="s">
        <v>90</v>
      </c>
      <c r="L279" s="21" t="str">
        <f aca="false">IFERROR(INDEX('نقاط التحقق'!$G$2:$G$31,MATCH($K279,'نقاط التحقق'!$A$2:$A$31,0))&amp;"","")</f>
        <v>دور معتمد للوحدة التنظيمية</v>
      </c>
      <c r="M279" s="17" t="n">
        <v>70</v>
      </c>
      <c r="N279" s="17" t="n">
        <v>100</v>
      </c>
      <c r="O279" s="19" t="str">
        <f aca="false">IF($M279="","غير مقيّمة",IF($M279&gt;المرجع!$K$3,"مستوفاة بشكل متقدم",IF($M279&lt;=المرجع!$K$2,"مستوفاة بشكل أولي","مستوفاة بشكل جزئي")))</f>
        <v>مستوفاة بشكل جزئي</v>
      </c>
      <c r="P279" s="22"/>
    </row>
    <row r="280" customFormat="false" ht="15" hidden="false" customHeight="true" outlineLevel="0" collapsed="false">
      <c r="A280" s="20" t="s">
        <v>1094</v>
      </c>
      <c r="B280" s="20" t="s">
        <v>214</v>
      </c>
      <c r="C280" s="19" t="str">
        <f aca="false">IFERROR(INDEX('قائمة الوحدات'!$B$2:$B$41,MATCH($B280,'قائمة الوحدات'!$A$2:$A$41,0)),"")</f>
        <v>MIL</v>
      </c>
      <c r="D280" s="18" t="str">
        <f aca="false">IFERROR(INDEX('قائمة الوحدات'!$C$2:$C$41,MATCH($B280,'قائمة الوحدات'!$A$2:$A$41,0)),"")</f>
        <v>الجهاز العسكري</v>
      </c>
      <c r="E280" s="18" t="str">
        <f aca="false">IFERROR(INDEX('قائمة الوحدات'!$D$2:$D$41,MATCH($B280,'قائمة الوحدات'!$A$2:$A$41,0)),"")</f>
        <v>الإدارة العامة للإمداد والتموين</v>
      </c>
      <c r="F280" s="18" t="str">
        <f aca="false">IFERROR(INDEX('قائمة الوحدات'!$F$2:$F$41,MATCH($B280,'قائمة الوحدات'!$A$2:$A$41,0)),"")</f>
        <v>الإدارة العامة للإمداد والتموين</v>
      </c>
      <c r="G280" s="20" t="s">
        <v>62</v>
      </c>
      <c r="H280" s="18" t="str">
        <f aca="false">IFERROR(INDEX(المرجع!$A$2:$A$19,MATCH($G280,المرجع!$B$2:$B$19,0)),"")</f>
        <v>البناء المؤسسي</v>
      </c>
      <c r="I280" s="20" t="s">
        <v>49</v>
      </c>
      <c r="J280" s="18" t="str">
        <f aca="false">IFERROR(INDEX(المرجع!$D$2:$D$19,MATCH($I280,المرجع!$E$2:$E$19,0)),"")</f>
        <v>الأهداف ومؤشرات الأداء</v>
      </c>
      <c r="K280" s="20" t="s">
        <v>92</v>
      </c>
      <c r="L280" s="21" t="str">
        <f aca="false">IFERROR(INDEX('نقاط التحقق'!$G$2:$G$31,MATCH($K280,'نقاط التحقق'!$A$2:$A$31,0))&amp;"","")</f>
        <v>أهداف تشغيلية معتمدة من صاحب الصلاحية</v>
      </c>
      <c r="M280" s="17" t="n">
        <v>80</v>
      </c>
      <c r="N280" s="17" t="n">
        <v>100</v>
      </c>
      <c r="O280" s="19" t="str">
        <f aca="false">IF($M280="","غير مقيّمة",IF($M280&gt;المرجع!$K$3,"مستوفاة بشكل متقدم",IF($M280&lt;=المرجع!$K$2,"مستوفاة بشكل أولي","مستوفاة بشكل جزئي")))</f>
        <v>مستوفاة بشكل متقدم</v>
      </c>
      <c r="P280" s="22"/>
    </row>
    <row r="281" customFormat="false" ht="15" hidden="false" customHeight="true" outlineLevel="0" collapsed="false">
      <c r="A281" s="20" t="s">
        <v>1095</v>
      </c>
      <c r="B281" s="20" t="s">
        <v>214</v>
      </c>
      <c r="C281" s="19" t="str">
        <f aca="false">IFERROR(INDEX('قائمة الوحدات'!$B$2:$B$41,MATCH($B281,'قائمة الوحدات'!$A$2:$A$41,0)),"")</f>
        <v>MIL</v>
      </c>
      <c r="D281" s="18" t="str">
        <f aca="false">IFERROR(INDEX('قائمة الوحدات'!$C$2:$C$41,MATCH($B281,'قائمة الوحدات'!$A$2:$A$41,0)),"")</f>
        <v>الجهاز العسكري</v>
      </c>
      <c r="E281" s="18" t="str">
        <f aca="false">IFERROR(INDEX('قائمة الوحدات'!$D$2:$D$41,MATCH($B281,'قائمة الوحدات'!$A$2:$A$41,0)),"")</f>
        <v>الإدارة العامة للإمداد والتموين</v>
      </c>
      <c r="F281" s="18" t="str">
        <f aca="false">IFERROR(INDEX('قائمة الوحدات'!$F$2:$F$41,MATCH($B281,'قائمة الوحدات'!$A$2:$A$41,0)),"")</f>
        <v>الإدارة العامة للإمداد والتموين</v>
      </c>
      <c r="G281" s="20" t="s">
        <v>62</v>
      </c>
      <c r="H281" s="18" t="str">
        <f aca="false">IFERROR(INDEX(المرجع!$A$2:$A$19,MATCH($G281,المرجع!$B$2:$B$19,0)),"")</f>
        <v>البناء المؤسسي</v>
      </c>
      <c r="I281" s="20" t="s">
        <v>49</v>
      </c>
      <c r="J281" s="18" t="str">
        <f aca="false">IFERROR(INDEX(المرجع!$D$2:$D$19,MATCH($I281,المرجع!$E$2:$E$19,0)),"")</f>
        <v>الأهداف ومؤشرات الأداء</v>
      </c>
      <c r="K281" s="20" t="s">
        <v>94</v>
      </c>
      <c r="L281" s="21" t="str">
        <f aca="false">IFERROR(INDEX('نقاط التحقق'!$G$2:$G$31,MATCH($K281,'نقاط التحقق'!$A$2:$A$31,0))&amp;"","")</f>
        <v>نشر الأهداف التشغيلية على موظفي الوحدة التنظيمية</v>
      </c>
      <c r="M281" s="17" t="n">
        <v>70</v>
      </c>
      <c r="N281" s="17" t="n">
        <v>85</v>
      </c>
      <c r="O281" s="19" t="str">
        <f aca="false">IF($M281="","غير مقيّمة",IF($M281&gt;المرجع!$K$3,"مستوفاة بشكل متقدم",IF($M281&lt;=المرجع!$K$2,"مستوفاة بشكل أولي","مستوفاة بشكل جزئي")))</f>
        <v>مستوفاة بشكل جزئي</v>
      </c>
      <c r="P281" s="22"/>
    </row>
    <row r="282" customFormat="false" ht="15" hidden="false" customHeight="true" outlineLevel="0" collapsed="false">
      <c r="A282" s="20" t="s">
        <v>1096</v>
      </c>
      <c r="B282" s="20" t="s">
        <v>214</v>
      </c>
      <c r="C282" s="19" t="str">
        <f aca="false">IFERROR(INDEX('قائمة الوحدات'!$B$2:$B$41,MATCH($B282,'قائمة الوحدات'!$A$2:$A$41,0)),"")</f>
        <v>MIL</v>
      </c>
      <c r="D282" s="18" t="str">
        <f aca="false">IFERROR(INDEX('قائمة الوحدات'!$C$2:$C$41,MATCH($B282,'قائمة الوحدات'!$A$2:$A$41,0)),"")</f>
        <v>الجهاز العسكري</v>
      </c>
      <c r="E282" s="18" t="str">
        <f aca="false">IFERROR(INDEX('قائمة الوحدات'!$D$2:$D$41,MATCH($B282,'قائمة الوحدات'!$A$2:$A$41,0)),"")</f>
        <v>الإدارة العامة للإمداد والتموين</v>
      </c>
      <c r="F282" s="18" t="str">
        <f aca="false">IFERROR(INDEX('قائمة الوحدات'!$F$2:$F$41,MATCH($B282,'قائمة الوحدات'!$A$2:$A$41,0)),"")</f>
        <v>الإدارة العامة للإمداد والتموين</v>
      </c>
      <c r="G282" s="20" t="s">
        <v>62</v>
      </c>
      <c r="H282" s="18" t="str">
        <f aca="false">IFERROR(INDEX(المرجع!$A$2:$A$19,MATCH($G282,المرجع!$B$2:$B$19,0)),"")</f>
        <v>البناء المؤسسي</v>
      </c>
      <c r="I282" s="20" t="s">
        <v>52</v>
      </c>
      <c r="J282" s="18" t="str">
        <f aca="false">IFERROR(INDEX(المرجع!$D$2:$D$19,MATCH($I282,المرجع!$E$2:$E$19,0)),"")</f>
        <v>الحوكمة</v>
      </c>
      <c r="K282" s="20" t="s">
        <v>96</v>
      </c>
      <c r="L282" s="21" t="str">
        <f aca="false">IFERROR(INDEX('نقاط التحقق'!$G$2:$G$31,MATCH($K282,'نقاط التحقق'!$A$2:$A$31,0))&amp;"","")</f>
        <v>مصفوفة صلاحيات معتمدة ومعممة على أصحاب المصلحة</v>
      </c>
      <c r="M282" s="17" t="n">
        <v>100</v>
      </c>
      <c r="N282" s="17" t="n">
        <v>100</v>
      </c>
      <c r="O282" s="19" t="str">
        <f aca="false">IF($M282="","غير مقيّمة",IF($M282&gt;المرجع!$K$3,"مستوفاة بشكل متقدم",IF($M282&lt;=المرجع!$K$2,"مستوفاة بشكل أولي","مستوفاة بشكل جزئي")))</f>
        <v>مستوفاة بشكل متقدم</v>
      </c>
      <c r="P282" s="22"/>
    </row>
    <row r="283" customFormat="false" ht="15" hidden="false" customHeight="true" outlineLevel="0" collapsed="false">
      <c r="A283" s="20" t="s">
        <v>1097</v>
      </c>
      <c r="B283" s="20" t="s">
        <v>214</v>
      </c>
      <c r="C283" s="19" t="str">
        <f aca="false">IFERROR(INDEX('قائمة الوحدات'!$B$2:$B$41,MATCH($B283,'قائمة الوحدات'!$A$2:$A$41,0)),"")</f>
        <v>MIL</v>
      </c>
      <c r="D283" s="18" t="str">
        <f aca="false">IFERROR(INDEX('قائمة الوحدات'!$C$2:$C$41,MATCH($B283,'قائمة الوحدات'!$A$2:$A$41,0)),"")</f>
        <v>الجهاز العسكري</v>
      </c>
      <c r="E283" s="18" t="str">
        <f aca="false">IFERROR(INDEX('قائمة الوحدات'!$D$2:$D$41,MATCH($B283,'قائمة الوحدات'!$A$2:$A$41,0)),"")</f>
        <v>الإدارة العامة للإمداد والتموين</v>
      </c>
      <c r="F283" s="18" t="str">
        <f aca="false">IFERROR(INDEX('قائمة الوحدات'!$F$2:$F$41,MATCH($B283,'قائمة الوحدات'!$A$2:$A$41,0)),"")</f>
        <v>الإدارة العامة للإمداد والتموين</v>
      </c>
      <c r="G283" s="20" t="s">
        <v>62</v>
      </c>
      <c r="H283" s="18" t="str">
        <f aca="false">IFERROR(INDEX(المرجع!$A$2:$A$19,MATCH($G283,المرجع!$B$2:$B$19,0)),"")</f>
        <v>البناء المؤسسي</v>
      </c>
      <c r="I283" s="20" t="s">
        <v>52</v>
      </c>
      <c r="J283" s="18" t="str">
        <f aca="false">IFERROR(INDEX(المرجع!$D$2:$D$19,MATCH($I283,المرجع!$E$2:$E$19,0)),"")</f>
        <v>الحوكمة</v>
      </c>
      <c r="K283" s="20" t="s">
        <v>98</v>
      </c>
      <c r="L283" s="21" t="str">
        <f aca="false">IFERROR(INDEX('نقاط التحقق'!$G$2:$G$31,MATCH($K283,'نقاط التحقق'!$A$2:$A$31,0))&amp;"","")</f>
        <v>سياسات معتمدة للتي تملكها الوحدة التنظيمية</v>
      </c>
      <c r="M283" s="17" t="n">
        <v>80</v>
      </c>
      <c r="N283" s="17" t="n">
        <v>100</v>
      </c>
      <c r="O283" s="19" t="str">
        <f aca="false">IF($M283="","غير مقيّمة",IF($M283&gt;المرجع!$K$3,"مستوفاة بشكل متقدم",IF($M283&lt;=المرجع!$K$2,"مستوفاة بشكل أولي","مستوفاة بشكل جزئي")))</f>
        <v>مستوفاة بشكل متقدم</v>
      </c>
      <c r="P283" s="22"/>
    </row>
    <row r="284" customFormat="false" ht="15" hidden="false" customHeight="true" outlineLevel="0" collapsed="false">
      <c r="A284" s="20" t="s">
        <v>1098</v>
      </c>
      <c r="B284" s="20" t="s">
        <v>214</v>
      </c>
      <c r="C284" s="19" t="str">
        <f aca="false">IFERROR(INDEX('قائمة الوحدات'!$B$2:$B$41,MATCH($B284,'قائمة الوحدات'!$A$2:$A$41,0)),"")</f>
        <v>MIL</v>
      </c>
      <c r="D284" s="18" t="str">
        <f aca="false">IFERROR(INDEX('قائمة الوحدات'!$C$2:$C$41,MATCH($B284,'قائمة الوحدات'!$A$2:$A$41,0)),"")</f>
        <v>الجهاز العسكري</v>
      </c>
      <c r="E284" s="18" t="str">
        <f aca="false">IFERROR(INDEX('قائمة الوحدات'!$D$2:$D$41,MATCH($B284,'قائمة الوحدات'!$A$2:$A$41,0)),"")</f>
        <v>الإدارة العامة للإمداد والتموين</v>
      </c>
      <c r="F284" s="18" t="str">
        <f aca="false">IFERROR(INDEX('قائمة الوحدات'!$F$2:$F$41,MATCH($B284,'قائمة الوحدات'!$A$2:$A$41,0)),"")</f>
        <v>الإدارة العامة للإمداد والتموين</v>
      </c>
      <c r="G284" s="20" t="s">
        <v>62</v>
      </c>
      <c r="H284" s="18" t="str">
        <f aca="false">IFERROR(INDEX(المرجع!$A$2:$A$19,MATCH($G284,المرجع!$B$2:$B$19,0)),"")</f>
        <v>البناء المؤسسي</v>
      </c>
      <c r="I284" s="20" t="s">
        <v>52</v>
      </c>
      <c r="J284" s="18" t="str">
        <f aca="false">IFERROR(INDEX(المرجع!$D$2:$D$19,MATCH($I284,المرجع!$E$2:$E$19,0)),"")</f>
        <v>الحوكمة</v>
      </c>
      <c r="K284" s="20" t="s">
        <v>100</v>
      </c>
      <c r="L284" s="21" t="str">
        <f aca="false">IFERROR(INDEX('نقاط التحقق'!$G$2:$G$31,MATCH($K284,'نقاط التحقق'!$A$2:$A$31,0))&amp;"","")</f>
        <v>قرار تشكيل معتمد للجان ذات العلاقة</v>
      </c>
      <c r="M284" s="17" t="n">
        <v>80</v>
      </c>
      <c r="N284" s="17" t="n">
        <v>100</v>
      </c>
      <c r="O284" s="19" t="str">
        <f aca="false">IF($M284="","غير مقيّمة",IF($M284&gt;المرجع!$K$3,"مستوفاة بشكل متقدم",IF($M284&lt;=المرجع!$K$2,"مستوفاة بشكل أولي","مستوفاة بشكل جزئي")))</f>
        <v>مستوفاة بشكل متقدم</v>
      </c>
      <c r="P284" s="22"/>
    </row>
    <row r="285" customFormat="false" ht="15" hidden="false" customHeight="true" outlineLevel="0" collapsed="false">
      <c r="A285" s="20" t="s">
        <v>1099</v>
      </c>
      <c r="B285" s="20" t="s">
        <v>214</v>
      </c>
      <c r="C285" s="19" t="str">
        <f aca="false">IFERROR(INDEX('قائمة الوحدات'!$B$2:$B$41,MATCH($B285,'قائمة الوحدات'!$A$2:$A$41,0)),"")</f>
        <v>MIL</v>
      </c>
      <c r="D285" s="18" t="str">
        <f aca="false">IFERROR(INDEX('قائمة الوحدات'!$C$2:$C$41,MATCH($B285,'قائمة الوحدات'!$A$2:$A$41,0)),"")</f>
        <v>الجهاز العسكري</v>
      </c>
      <c r="E285" s="18" t="str">
        <f aca="false">IFERROR(INDEX('قائمة الوحدات'!$D$2:$D$41,MATCH($B285,'قائمة الوحدات'!$A$2:$A$41,0)),"")</f>
        <v>الإدارة العامة للإمداد والتموين</v>
      </c>
      <c r="F285" s="18" t="str">
        <f aca="false">IFERROR(INDEX('قائمة الوحدات'!$F$2:$F$41,MATCH($B285,'قائمة الوحدات'!$A$2:$A$41,0)),"")</f>
        <v>الإدارة العامة للإمداد والتموين</v>
      </c>
      <c r="G285" s="20" t="s">
        <v>62</v>
      </c>
      <c r="H285" s="18" t="str">
        <f aca="false">IFERROR(INDEX(المرجع!$A$2:$A$19,MATCH($G285,المرجع!$B$2:$B$19,0)),"")</f>
        <v>البناء المؤسسي</v>
      </c>
      <c r="I285" s="20" t="s">
        <v>55</v>
      </c>
      <c r="J285" s="18" t="str">
        <f aca="false">IFERROR(INDEX(المرجع!$D$2:$D$19,MATCH($I285,المرجع!$E$2:$E$19,0)),"")</f>
        <v>التنظيم</v>
      </c>
      <c r="K285" s="20" t="s">
        <v>102</v>
      </c>
      <c r="L285" s="21" t="str">
        <f aca="false">IFERROR(INDEX('نقاط التحقق'!$G$2:$G$31,MATCH($K285,'نقاط التحقق'!$A$2:$A$31,0))&amp;"","")</f>
        <v>هيكل تنظيمي معتمد من صاحب الصلاحية</v>
      </c>
      <c r="M285" s="17" t="n">
        <v>80</v>
      </c>
      <c r="N285" s="17" t="n">
        <v>95</v>
      </c>
      <c r="O285" s="19" t="str">
        <f aca="false">IF($M285="","غير مقيّمة",IF($M285&gt;المرجع!$K$3,"مستوفاة بشكل متقدم",IF($M285&lt;=المرجع!$K$2,"مستوفاة بشكل أولي","مستوفاة بشكل جزئي")))</f>
        <v>مستوفاة بشكل متقدم</v>
      </c>
      <c r="P285" s="22"/>
    </row>
    <row r="286" customFormat="false" ht="15" hidden="false" customHeight="true" outlineLevel="0" collapsed="false">
      <c r="A286" s="20" t="s">
        <v>1100</v>
      </c>
      <c r="B286" s="20" t="s">
        <v>214</v>
      </c>
      <c r="C286" s="19" t="str">
        <f aca="false">IFERROR(INDEX('قائمة الوحدات'!$B$2:$B$41,MATCH($B286,'قائمة الوحدات'!$A$2:$A$41,0)),"")</f>
        <v>MIL</v>
      </c>
      <c r="D286" s="18" t="str">
        <f aca="false">IFERROR(INDEX('قائمة الوحدات'!$C$2:$C$41,MATCH($B286,'قائمة الوحدات'!$A$2:$A$41,0)),"")</f>
        <v>الجهاز العسكري</v>
      </c>
      <c r="E286" s="18" t="str">
        <f aca="false">IFERROR(INDEX('قائمة الوحدات'!$D$2:$D$41,MATCH($B286,'قائمة الوحدات'!$A$2:$A$41,0)),"")</f>
        <v>الإدارة العامة للإمداد والتموين</v>
      </c>
      <c r="F286" s="18" t="str">
        <f aca="false">IFERROR(INDEX('قائمة الوحدات'!$F$2:$F$41,MATCH($B286,'قائمة الوحدات'!$A$2:$A$41,0)),"")</f>
        <v>الإدارة العامة للإمداد والتموين</v>
      </c>
      <c r="G286" s="20" t="s">
        <v>62</v>
      </c>
      <c r="H286" s="18" t="str">
        <f aca="false">IFERROR(INDEX(المرجع!$A$2:$A$19,MATCH($G286,المرجع!$B$2:$B$19,0)),"")</f>
        <v>البناء المؤسسي</v>
      </c>
      <c r="I286" s="20" t="s">
        <v>55</v>
      </c>
      <c r="J286" s="18" t="str">
        <f aca="false">IFERROR(INDEX(المرجع!$D$2:$D$19,MATCH($I286,المرجع!$E$2:$E$19,0)),"")</f>
        <v>التنظيم</v>
      </c>
      <c r="K286" s="20" t="s">
        <v>104</v>
      </c>
      <c r="L286" s="21" t="str">
        <f aca="false">IFERROR(INDEX('نقاط التحقق'!$G$2:$G$31,MATCH($K286,'نقاط التحقق'!$A$2:$A$31,0))&amp;"","")</f>
        <v>هيكل تنظيمي منشأ على نظام القوى العاملة</v>
      </c>
      <c r="M286" s="17" t="n">
        <v>75</v>
      </c>
      <c r="N286" s="17" t="n">
        <v>95</v>
      </c>
      <c r="O286" s="19" t="str">
        <f aca="false">IF($M286="","غير مقيّمة",IF($M286&gt;المرجع!$K$3,"مستوفاة بشكل متقدم",IF($M286&lt;=المرجع!$K$2,"مستوفاة بشكل أولي","مستوفاة بشكل جزئي")))</f>
        <v>مستوفاة بشكل متقدم</v>
      </c>
      <c r="P286" s="22"/>
    </row>
    <row r="287" customFormat="false" ht="15" hidden="false" customHeight="true" outlineLevel="0" collapsed="false">
      <c r="A287" s="20" t="s">
        <v>1101</v>
      </c>
      <c r="B287" s="20" t="s">
        <v>214</v>
      </c>
      <c r="C287" s="19" t="str">
        <f aca="false">IFERROR(INDEX('قائمة الوحدات'!$B$2:$B$41,MATCH($B287,'قائمة الوحدات'!$A$2:$A$41,0)),"")</f>
        <v>MIL</v>
      </c>
      <c r="D287" s="18" t="str">
        <f aca="false">IFERROR(INDEX('قائمة الوحدات'!$C$2:$C$41,MATCH($B287,'قائمة الوحدات'!$A$2:$A$41,0)),"")</f>
        <v>الجهاز العسكري</v>
      </c>
      <c r="E287" s="18" t="str">
        <f aca="false">IFERROR(INDEX('قائمة الوحدات'!$D$2:$D$41,MATCH($B287,'قائمة الوحدات'!$A$2:$A$41,0)),"")</f>
        <v>الإدارة العامة للإمداد والتموين</v>
      </c>
      <c r="F287" s="18" t="str">
        <f aca="false">IFERROR(INDEX('قائمة الوحدات'!$F$2:$F$41,MATCH($B287,'قائمة الوحدات'!$A$2:$A$41,0)),"")</f>
        <v>الإدارة العامة للإمداد والتموين</v>
      </c>
      <c r="G287" s="20" t="s">
        <v>62</v>
      </c>
      <c r="H287" s="18" t="str">
        <f aca="false">IFERROR(INDEX(المرجع!$A$2:$A$19,MATCH($G287,المرجع!$B$2:$B$19,0)),"")</f>
        <v>البناء المؤسسي</v>
      </c>
      <c r="I287" s="20" t="s">
        <v>55</v>
      </c>
      <c r="J287" s="18" t="str">
        <f aca="false">IFERROR(INDEX(المرجع!$D$2:$D$19,MATCH($I287,المرجع!$E$2:$E$19,0)),"")</f>
        <v>التنظيم</v>
      </c>
      <c r="K287" s="20" t="s">
        <v>106</v>
      </c>
      <c r="L287" s="21" t="str">
        <f aca="false">IFERROR(INDEX('نقاط التحقق'!$G$2:$G$31,MATCH($K287,'نقاط التحقق'!$A$2:$A$31,0))&amp;"","")</f>
        <v>الموظفون المحددون مسكّنون على الهيكل التنظيمي المستهدف</v>
      </c>
      <c r="M287" s="17" t="n">
        <v>100</v>
      </c>
      <c r="N287" s="17" t="n">
        <v>100</v>
      </c>
      <c r="O287" s="19" t="str">
        <f aca="false">IF($M287="","غير مقيّمة",IF($M287&gt;المرجع!$K$3,"مستوفاة بشكل متقدم",IF($M287&lt;=المرجع!$K$2,"مستوفاة بشكل أولي","مستوفاة بشكل جزئي")))</f>
        <v>مستوفاة بشكل متقدم</v>
      </c>
      <c r="P287" s="22"/>
    </row>
    <row r="288" customFormat="false" ht="15" hidden="false" customHeight="true" outlineLevel="0" collapsed="false">
      <c r="A288" s="20" t="s">
        <v>1102</v>
      </c>
      <c r="B288" s="20" t="s">
        <v>214</v>
      </c>
      <c r="C288" s="19" t="str">
        <f aca="false">IFERROR(INDEX('قائمة الوحدات'!$B$2:$B$41,MATCH($B288,'قائمة الوحدات'!$A$2:$A$41,0)),"")</f>
        <v>MIL</v>
      </c>
      <c r="D288" s="18" t="str">
        <f aca="false">IFERROR(INDEX('قائمة الوحدات'!$C$2:$C$41,MATCH($B288,'قائمة الوحدات'!$A$2:$A$41,0)),"")</f>
        <v>الجهاز العسكري</v>
      </c>
      <c r="E288" s="18" t="str">
        <f aca="false">IFERROR(INDEX('قائمة الوحدات'!$D$2:$D$41,MATCH($B288,'قائمة الوحدات'!$A$2:$A$41,0)),"")</f>
        <v>الإدارة العامة للإمداد والتموين</v>
      </c>
      <c r="F288" s="18" t="str">
        <f aca="false">IFERROR(INDEX('قائمة الوحدات'!$F$2:$F$41,MATCH($B288,'قائمة الوحدات'!$A$2:$A$41,0)),"")</f>
        <v>الإدارة العامة للإمداد والتموين</v>
      </c>
      <c r="G288" s="20" t="s">
        <v>62</v>
      </c>
      <c r="H288" s="18" t="str">
        <f aca="false">IFERROR(INDEX(المرجع!$A$2:$A$19,MATCH($G288,المرجع!$B$2:$B$19,0)),"")</f>
        <v>البناء المؤسسي</v>
      </c>
      <c r="I288" s="20" t="s">
        <v>57</v>
      </c>
      <c r="J288" s="18" t="str">
        <f aca="false">IFERROR(INDEX(المرجع!$D$2:$D$19,MATCH($I288,المرجع!$E$2:$E$19,0)),"")</f>
        <v>الموارد</v>
      </c>
      <c r="K288" s="20" t="s">
        <v>108</v>
      </c>
      <c r="L288" s="21" t="str">
        <f aca="false">IFERROR(INDEX('نقاط التحقق'!$G$2:$G$31,MATCH($K288,'نقاط التحقق'!$A$2:$A$31,0))&amp;"","")</f>
        <v>مدير الوحدة التنظيمية والموظفون الرئيسيون معينون/ملحقون</v>
      </c>
      <c r="M288" s="17" t="n">
        <v>35</v>
      </c>
      <c r="N288" s="17" t="n">
        <v>95</v>
      </c>
      <c r="O288" s="19" t="str">
        <f aca="false">IF($M288="","غير مقيّمة",IF($M288&gt;المرجع!$K$3,"مستوفاة بشكل متقدم",IF($M288&lt;=المرجع!$K$2,"مستوفاة بشكل أولي","مستوفاة بشكل جزئي")))</f>
        <v>مستوفاة بشكل جزئي</v>
      </c>
      <c r="P288" s="22"/>
    </row>
    <row r="289" customFormat="false" ht="15" hidden="false" customHeight="true" outlineLevel="0" collapsed="false">
      <c r="A289" s="20" t="s">
        <v>1103</v>
      </c>
      <c r="B289" s="20" t="s">
        <v>214</v>
      </c>
      <c r="C289" s="19" t="str">
        <f aca="false">IFERROR(INDEX('قائمة الوحدات'!$B$2:$B$41,MATCH($B289,'قائمة الوحدات'!$A$2:$A$41,0)),"")</f>
        <v>MIL</v>
      </c>
      <c r="D289" s="18" t="str">
        <f aca="false">IFERROR(INDEX('قائمة الوحدات'!$C$2:$C$41,MATCH($B289,'قائمة الوحدات'!$A$2:$A$41,0)),"")</f>
        <v>الجهاز العسكري</v>
      </c>
      <c r="E289" s="18" t="str">
        <f aca="false">IFERROR(INDEX('قائمة الوحدات'!$D$2:$D$41,MATCH($B289,'قائمة الوحدات'!$A$2:$A$41,0)),"")</f>
        <v>الإدارة العامة للإمداد والتموين</v>
      </c>
      <c r="F289" s="18" t="str">
        <f aca="false">IFERROR(INDEX('قائمة الوحدات'!$F$2:$F$41,MATCH($B289,'قائمة الوحدات'!$A$2:$A$41,0)),"")</f>
        <v>الإدارة العامة للإمداد والتموين</v>
      </c>
      <c r="G289" s="20" t="s">
        <v>62</v>
      </c>
      <c r="H289" s="18" t="str">
        <f aca="false">IFERROR(INDEX(المرجع!$A$2:$A$19,MATCH($G289,المرجع!$B$2:$B$19,0)),"")</f>
        <v>البناء المؤسسي</v>
      </c>
      <c r="I289" s="20" t="s">
        <v>57</v>
      </c>
      <c r="J289" s="18" t="str">
        <f aca="false">IFERROR(INDEX(المرجع!$D$2:$D$19,MATCH($I289,المرجع!$E$2:$E$19,0)),"")</f>
        <v>الموارد</v>
      </c>
      <c r="K289" s="20" t="s">
        <v>110</v>
      </c>
      <c r="L289" s="21" t="str">
        <f aca="false">IFERROR(INDEX('نقاط التحقق'!$G$2:$G$31,MATCH($K289,'نقاط التحقق'!$A$2:$A$31,0))&amp;"","")</f>
        <v>خطة توظيف وتدريب مستكملة</v>
      </c>
      <c r="M289" s="17" t="n">
        <v>35</v>
      </c>
      <c r="N289" s="17" t="n">
        <v>80</v>
      </c>
      <c r="O289" s="19" t="str">
        <f aca="false">IF($M289="","غير مقيّمة",IF($M289&gt;المرجع!$K$3,"مستوفاة بشكل متقدم",IF($M289&lt;=المرجع!$K$2,"مستوفاة بشكل أولي","مستوفاة بشكل جزئي")))</f>
        <v>مستوفاة بشكل جزئي</v>
      </c>
      <c r="P289" s="22"/>
    </row>
    <row r="290" customFormat="false" ht="15" hidden="false" customHeight="true" outlineLevel="0" collapsed="false">
      <c r="A290" s="20" t="s">
        <v>1104</v>
      </c>
      <c r="B290" s="20" t="s">
        <v>214</v>
      </c>
      <c r="C290" s="19" t="str">
        <f aca="false">IFERROR(INDEX('قائمة الوحدات'!$B$2:$B$41,MATCH($B290,'قائمة الوحدات'!$A$2:$A$41,0)),"")</f>
        <v>MIL</v>
      </c>
      <c r="D290" s="18" t="str">
        <f aca="false">IFERROR(INDEX('قائمة الوحدات'!$C$2:$C$41,MATCH($B290,'قائمة الوحدات'!$A$2:$A$41,0)),"")</f>
        <v>الجهاز العسكري</v>
      </c>
      <c r="E290" s="18" t="str">
        <f aca="false">IFERROR(INDEX('قائمة الوحدات'!$D$2:$D$41,MATCH($B290,'قائمة الوحدات'!$A$2:$A$41,0)),"")</f>
        <v>الإدارة العامة للإمداد والتموين</v>
      </c>
      <c r="F290" s="18" t="str">
        <f aca="false">IFERROR(INDEX('قائمة الوحدات'!$F$2:$F$41,MATCH($B290,'قائمة الوحدات'!$A$2:$A$41,0)),"")</f>
        <v>الإدارة العامة للإمداد والتموين</v>
      </c>
      <c r="G290" s="20" t="s">
        <v>62</v>
      </c>
      <c r="H290" s="18" t="str">
        <f aca="false">IFERROR(INDEX(المرجع!$A$2:$A$19,MATCH($G290,المرجع!$B$2:$B$19,0)),"")</f>
        <v>البناء المؤسسي</v>
      </c>
      <c r="I290" s="20" t="s">
        <v>57</v>
      </c>
      <c r="J290" s="18" t="str">
        <f aca="false">IFERROR(INDEX(المرجع!$D$2:$D$19,MATCH($I290,المرجع!$E$2:$E$19,0)),"")</f>
        <v>الموارد</v>
      </c>
      <c r="K290" s="20" t="s">
        <v>112</v>
      </c>
      <c r="L290" s="21" t="str">
        <f aca="false">IFERROR(INDEX('نقاط التحقق'!$G$2:$G$31,MATCH($K290,'نقاط التحقق'!$A$2:$A$31,0))&amp;"","")</f>
        <v>وجود مساحات مكتبية كافية</v>
      </c>
      <c r="M290" s="17" t="n">
        <v>60</v>
      </c>
      <c r="N290" s="17" t="n">
        <v>95</v>
      </c>
      <c r="O290" s="19" t="str">
        <f aca="false">IF($M290="","غير مقيّمة",IF($M290&gt;المرجع!$K$3,"مستوفاة بشكل متقدم",IF($M290&lt;=المرجع!$K$2,"مستوفاة بشكل أولي","مستوفاة بشكل جزئي")))</f>
        <v>مستوفاة بشكل جزئي</v>
      </c>
      <c r="P290" s="22"/>
    </row>
    <row r="291" customFormat="false" ht="15" hidden="false" customHeight="true" outlineLevel="0" collapsed="false">
      <c r="A291" s="20" t="s">
        <v>1105</v>
      </c>
      <c r="B291" s="20" t="s">
        <v>214</v>
      </c>
      <c r="C291" s="19" t="str">
        <f aca="false">IFERROR(INDEX('قائمة الوحدات'!$B$2:$B$41,MATCH($B291,'قائمة الوحدات'!$A$2:$A$41,0)),"")</f>
        <v>MIL</v>
      </c>
      <c r="D291" s="18" t="str">
        <f aca="false">IFERROR(INDEX('قائمة الوحدات'!$C$2:$C$41,MATCH($B291,'قائمة الوحدات'!$A$2:$A$41,0)),"")</f>
        <v>الجهاز العسكري</v>
      </c>
      <c r="E291" s="18" t="str">
        <f aca="false">IFERROR(INDEX('قائمة الوحدات'!$D$2:$D$41,MATCH($B291,'قائمة الوحدات'!$A$2:$A$41,0)),"")</f>
        <v>الإدارة العامة للإمداد والتموين</v>
      </c>
      <c r="F291" s="18" t="str">
        <f aca="false">IFERROR(INDEX('قائمة الوحدات'!$F$2:$F$41,MATCH($B291,'قائمة الوحدات'!$A$2:$A$41,0)),"")</f>
        <v>الإدارة العامة للإمداد والتموين</v>
      </c>
      <c r="G291" s="20" t="s">
        <v>62</v>
      </c>
      <c r="H291" s="18" t="str">
        <f aca="false">IFERROR(INDEX(المرجع!$A$2:$A$19,MATCH($G291,المرجع!$B$2:$B$19,0)),"")</f>
        <v>البناء المؤسسي</v>
      </c>
      <c r="I291" s="20" t="s">
        <v>57</v>
      </c>
      <c r="J291" s="18" t="str">
        <f aca="false">IFERROR(INDEX(المرجع!$D$2:$D$19,MATCH($I291,المرجع!$E$2:$E$19,0)),"")</f>
        <v>الموارد</v>
      </c>
      <c r="K291" s="20" t="s">
        <v>114</v>
      </c>
      <c r="L291" s="21" t="str">
        <f aca="false">IFERROR(INDEX('نقاط التحقق'!$G$2:$G$31,MATCH($K291,'نقاط التحقق'!$A$2:$A$31,0))&amp;"","")</f>
        <v>وجود الاحتياجات التقنية الأساسية</v>
      </c>
      <c r="M291" s="17" t="n">
        <v>30</v>
      </c>
      <c r="N291" s="17" t="n">
        <v>100</v>
      </c>
      <c r="O291" s="19" t="str">
        <f aca="false">IF($M291="","غير مقيّمة",IF($M291&gt;المرجع!$K$3,"مستوفاة بشكل متقدم",IF($M291&lt;=المرجع!$K$2,"مستوفاة بشكل أولي","مستوفاة بشكل جزئي")))</f>
        <v>مستوفاة بشكل أولي</v>
      </c>
      <c r="P291" s="22"/>
    </row>
    <row r="292" customFormat="false" ht="15" hidden="false" customHeight="true" outlineLevel="0" collapsed="false">
      <c r="A292" s="20" t="s">
        <v>1106</v>
      </c>
      <c r="B292" s="20" t="s">
        <v>214</v>
      </c>
      <c r="C292" s="19" t="str">
        <f aca="false">IFERROR(INDEX('قائمة الوحدات'!$B$2:$B$41,MATCH($B292,'قائمة الوحدات'!$A$2:$A$41,0)),"")</f>
        <v>MIL</v>
      </c>
      <c r="D292" s="18" t="str">
        <f aca="false">IFERROR(INDEX('قائمة الوحدات'!$C$2:$C$41,MATCH($B292,'قائمة الوحدات'!$A$2:$A$41,0)),"")</f>
        <v>الجهاز العسكري</v>
      </c>
      <c r="E292" s="18" t="str">
        <f aca="false">IFERROR(INDEX('قائمة الوحدات'!$D$2:$D$41,MATCH($B292,'قائمة الوحدات'!$A$2:$A$41,0)),"")</f>
        <v>الإدارة العامة للإمداد والتموين</v>
      </c>
      <c r="F292" s="18" t="str">
        <f aca="false">IFERROR(INDEX('قائمة الوحدات'!$F$2:$F$41,MATCH($B292,'قائمة الوحدات'!$A$2:$A$41,0)),"")</f>
        <v>الإدارة العامة للإمداد والتموين</v>
      </c>
      <c r="G292" s="20" t="s">
        <v>62</v>
      </c>
      <c r="H292" s="18" t="str">
        <f aca="false">IFERROR(INDEX(المرجع!$A$2:$A$19,MATCH($G292,المرجع!$B$2:$B$19,0)),"")</f>
        <v>البناء المؤسسي</v>
      </c>
      <c r="I292" s="20" t="s">
        <v>60</v>
      </c>
      <c r="J292" s="18" t="str">
        <f aca="false">IFERROR(INDEX(المرجع!$D$2:$D$19,MATCH($I292,المرجع!$E$2:$E$19,0)),"")</f>
        <v>الإجراءات</v>
      </c>
      <c r="K292" s="20" t="s">
        <v>116</v>
      </c>
      <c r="L292" s="21" t="str">
        <f aca="false">IFERROR(INDEX('نقاط التحقق'!$G$2:$G$31,MATCH($K292,'نقاط التحقق'!$A$2:$A$31,0))&amp;"","")</f>
        <v>إجراءات معتمدة للوحدة التنظيمية</v>
      </c>
      <c r="M292" s="17" t="n">
        <v>44</v>
      </c>
      <c r="N292" s="17" t="n">
        <v>90</v>
      </c>
      <c r="O292" s="19" t="str">
        <f aca="false">IF($M292="","غير مقيّمة",IF($M292&gt;المرجع!$K$3,"مستوفاة بشكل متقدم",IF($M292&lt;=المرجع!$K$2,"مستوفاة بشكل أولي","مستوفاة بشكل جزئي")))</f>
        <v>مستوفاة بشكل جزئي</v>
      </c>
      <c r="P292" s="22"/>
    </row>
    <row r="293" customFormat="false" ht="15" hidden="false" customHeight="true" outlineLevel="0" collapsed="false">
      <c r="A293" s="20" t="s">
        <v>1107</v>
      </c>
      <c r="B293" s="20" t="s">
        <v>214</v>
      </c>
      <c r="C293" s="19" t="str">
        <f aca="false">IFERROR(INDEX('قائمة الوحدات'!$B$2:$B$41,MATCH($B293,'قائمة الوحدات'!$A$2:$A$41,0)),"")</f>
        <v>MIL</v>
      </c>
      <c r="D293" s="18" t="str">
        <f aca="false">IFERROR(INDEX('قائمة الوحدات'!$C$2:$C$41,MATCH($B293,'قائمة الوحدات'!$A$2:$A$41,0)),"")</f>
        <v>الجهاز العسكري</v>
      </c>
      <c r="E293" s="18" t="str">
        <f aca="false">IFERROR(INDEX('قائمة الوحدات'!$D$2:$D$41,MATCH($B293,'قائمة الوحدات'!$A$2:$A$41,0)),"")</f>
        <v>الإدارة العامة للإمداد والتموين</v>
      </c>
      <c r="F293" s="18" t="str">
        <f aca="false">IFERROR(INDEX('قائمة الوحدات'!$F$2:$F$41,MATCH($B293,'قائمة الوحدات'!$A$2:$A$41,0)),"")</f>
        <v>الإدارة العامة للإمداد والتموين</v>
      </c>
      <c r="G293" s="20" t="s">
        <v>62</v>
      </c>
      <c r="H293" s="18" t="str">
        <f aca="false">IFERROR(INDEX(المرجع!$A$2:$A$19,MATCH($G293,المرجع!$B$2:$B$19,0)),"")</f>
        <v>البناء المؤسسي</v>
      </c>
      <c r="I293" s="20" t="s">
        <v>69</v>
      </c>
      <c r="J293" s="18" t="str">
        <f aca="false">IFERROR(INDEX(المرجع!$D$2:$D$19,MATCH($I293,المرجع!$E$2:$E$19,0)),"")</f>
        <v>إنتاج المخرج الأول</v>
      </c>
      <c r="K293" s="20" t="s">
        <v>118</v>
      </c>
      <c r="L293" s="21" t="str">
        <f aca="false">IFERROR(INDEX('نقاط التحقق'!$G$2:$G$31,MATCH($K293,'نقاط التحقق'!$A$2:$A$31,0))&amp;"","")</f>
        <v>إنتاج المخرج الأول من قبل الوحدة التنظيمية</v>
      </c>
      <c r="M293" s="17" t="n">
        <v>46</v>
      </c>
      <c r="N293" s="17" t="n">
        <v>100</v>
      </c>
      <c r="O293" s="19" t="str">
        <f aca="false">IF($M293="","غير مقيّمة",IF($M293&gt;المرجع!$K$3,"مستوفاة بشكل متقدم",IF($M293&lt;=المرجع!$K$2,"مستوفاة بشكل أولي","مستوفاة بشكل جزئي")))</f>
        <v>مستوفاة بشكل جزئي</v>
      </c>
      <c r="P293" s="22"/>
    </row>
    <row r="294" customFormat="false" ht="15" hidden="false" customHeight="true" outlineLevel="0" collapsed="false">
      <c r="A294" s="20" t="s">
        <v>1108</v>
      </c>
      <c r="B294" s="20" t="s">
        <v>214</v>
      </c>
      <c r="C294" s="19" t="str">
        <f aca="false">IFERROR(INDEX('قائمة الوحدات'!$B$2:$B$41,MATCH($B294,'قائمة الوحدات'!$A$2:$A$41,0)),"")</f>
        <v>MIL</v>
      </c>
      <c r="D294" s="18" t="str">
        <f aca="false">IFERROR(INDEX('قائمة الوحدات'!$C$2:$C$41,MATCH($B294,'قائمة الوحدات'!$A$2:$A$41,0)),"")</f>
        <v>الجهاز العسكري</v>
      </c>
      <c r="E294" s="18" t="str">
        <f aca="false">IFERROR(INDEX('قائمة الوحدات'!$D$2:$D$41,MATCH($B294,'قائمة الوحدات'!$A$2:$A$41,0)),"")</f>
        <v>الإدارة العامة للإمداد والتموين</v>
      </c>
      <c r="F294" s="18" t="str">
        <f aca="false">IFERROR(INDEX('قائمة الوحدات'!$F$2:$F$41,MATCH($B294,'قائمة الوحدات'!$A$2:$A$41,0)),"")</f>
        <v>الإدارة العامة للإمداد والتموين</v>
      </c>
      <c r="G294" s="20" t="s">
        <v>66</v>
      </c>
      <c r="H294" s="18" t="str">
        <f aca="false">IFERROR(INDEX(المرجع!$A$2:$A$19,MATCH($G294,المرجع!$B$2:$B$19,0)),"")</f>
        <v>التشغيل</v>
      </c>
      <c r="I294" s="20" t="s">
        <v>49</v>
      </c>
      <c r="J294" s="18" t="str">
        <f aca="false">IFERROR(INDEX(المرجع!$D$2:$D$19,MATCH($I294,المرجع!$E$2:$E$19,0)),"")</f>
        <v>الأهداف ومؤشرات الأداء</v>
      </c>
      <c r="K294" s="20" t="s">
        <v>120</v>
      </c>
      <c r="L294" s="21" t="str">
        <f aca="false">IFERROR(INDEX('نقاط التحقق'!$G$2:$G$31,MATCH($K294,'نقاط التحقق'!$A$2:$A$31,0))&amp;"","")</f>
        <v>تحرك مؤشرات الأداء التشغيلي للوحدة التنظيمية بشكل إيجابي</v>
      </c>
      <c r="M294" s="17" t="n">
        <v>55</v>
      </c>
      <c r="N294" s="17" t="n">
        <v>80</v>
      </c>
      <c r="O294" s="19" t="str">
        <f aca="false">IF($M294="","غير مقيّمة",IF($M294&gt;المرجع!$K$3,"مستوفاة بشكل متقدم",IF($M294&lt;=المرجع!$K$2,"مستوفاة بشكل أولي","مستوفاة بشكل جزئي")))</f>
        <v>مستوفاة بشكل جزئي</v>
      </c>
      <c r="P294" s="22"/>
    </row>
    <row r="295" customFormat="false" ht="15" hidden="false" customHeight="true" outlineLevel="0" collapsed="false">
      <c r="A295" s="20" t="s">
        <v>1109</v>
      </c>
      <c r="B295" s="20" t="s">
        <v>214</v>
      </c>
      <c r="C295" s="19" t="str">
        <f aca="false">IFERROR(INDEX('قائمة الوحدات'!$B$2:$B$41,MATCH($B295,'قائمة الوحدات'!$A$2:$A$41,0)),"")</f>
        <v>MIL</v>
      </c>
      <c r="D295" s="18" t="str">
        <f aca="false">IFERROR(INDEX('قائمة الوحدات'!$C$2:$C$41,MATCH($B295,'قائمة الوحدات'!$A$2:$A$41,0)),"")</f>
        <v>الجهاز العسكري</v>
      </c>
      <c r="E295" s="18" t="str">
        <f aca="false">IFERROR(INDEX('قائمة الوحدات'!$D$2:$D$41,MATCH($B295,'قائمة الوحدات'!$A$2:$A$41,0)),"")</f>
        <v>الإدارة العامة للإمداد والتموين</v>
      </c>
      <c r="F295" s="18" t="str">
        <f aca="false">IFERROR(INDEX('قائمة الوحدات'!$F$2:$F$41,MATCH($B295,'قائمة الوحدات'!$A$2:$A$41,0)),"")</f>
        <v>الإدارة العامة للإمداد والتموين</v>
      </c>
      <c r="G295" s="20" t="s">
        <v>66</v>
      </c>
      <c r="H295" s="18" t="str">
        <f aca="false">IFERROR(INDEX(المرجع!$A$2:$A$19,MATCH($G295,المرجع!$B$2:$B$19,0)),"")</f>
        <v>التشغيل</v>
      </c>
      <c r="I295" s="20" t="s">
        <v>49</v>
      </c>
      <c r="J295" s="18" t="str">
        <f aca="false">IFERROR(INDEX(المرجع!$D$2:$D$19,MATCH($I295,المرجع!$E$2:$E$19,0)),"")</f>
        <v>الأهداف ومؤشرات الأداء</v>
      </c>
      <c r="K295" s="20" t="s">
        <v>122</v>
      </c>
      <c r="L295" s="21" t="str">
        <f aca="false">IFERROR(INDEX('نقاط التحقق'!$G$2:$G$31,MATCH($K295,'نقاط التحقق'!$A$2:$A$31,0))&amp;"","")</f>
        <v>خطة سنوية معتمدة للوحدة التنظيمية</v>
      </c>
      <c r="M295" s="17" t="n">
        <v>65</v>
      </c>
      <c r="N295" s="17" t="n">
        <v>100</v>
      </c>
      <c r="O295" s="19" t="str">
        <f aca="false">IF($M295="","غير مقيّمة",IF($M295&gt;المرجع!$K$3,"مستوفاة بشكل متقدم",IF($M295&lt;=المرجع!$K$2,"مستوفاة بشكل أولي","مستوفاة بشكل جزئي")))</f>
        <v>مستوفاة بشكل جزئي</v>
      </c>
      <c r="P295" s="22"/>
    </row>
    <row r="296" customFormat="false" ht="15" hidden="false" customHeight="true" outlineLevel="0" collapsed="false">
      <c r="A296" s="20" t="s">
        <v>1110</v>
      </c>
      <c r="B296" s="20" t="s">
        <v>214</v>
      </c>
      <c r="C296" s="19" t="str">
        <f aca="false">IFERROR(INDEX('قائمة الوحدات'!$B$2:$B$41,MATCH($B296,'قائمة الوحدات'!$A$2:$A$41,0)),"")</f>
        <v>MIL</v>
      </c>
      <c r="D296" s="18" t="str">
        <f aca="false">IFERROR(INDEX('قائمة الوحدات'!$C$2:$C$41,MATCH($B296,'قائمة الوحدات'!$A$2:$A$41,0)),"")</f>
        <v>الجهاز العسكري</v>
      </c>
      <c r="E296" s="18" t="str">
        <f aca="false">IFERROR(INDEX('قائمة الوحدات'!$D$2:$D$41,MATCH($B296,'قائمة الوحدات'!$A$2:$A$41,0)),"")</f>
        <v>الإدارة العامة للإمداد والتموين</v>
      </c>
      <c r="F296" s="18" t="str">
        <f aca="false">IFERROR(INDEX('قائمة الوحدات'!$F$2:$F$41,MATCH($B296,'قائمة الوحدات'!$A$2:$A$41,0)),"")</f>
        <v>الإدارة العامة للإمداد والتموين</v>
      </c>
      <c r="G296" s="20" t="s">
        <v>66</v>
      </c>
      <c r="H296" s="18" t="str">
        <f aca="false">IFERROR(INDEX(المرجع!$A$2:$A$19,MATCH($G296,المرجع!$B$2:$B$19,0)),"")</f>
        <v>التشغيل</v>
      </c>
      <c r="I296" s="20" t="s">
        <v>52</v>
      </c>
      <c r="J296" s="18" t="str">
        <f aca="false">IFERROR(INDEX(المرجع!$D$2:$D$19,MATCH($I296,المرجع!$E$2:$E$19,0)),"")</f>
        <v>الحوكمة</v>
      </c>
      <c r="K296" s="20" t="s">
        <v>124</v>
      </c>
      <c r="L296" s="21" t="str">
        <f aca="false">IFERROR(INDEX('نقاط التحقق'!$G$2:$G$31,MATCH($K296,'نقاط التحقق'!$A$2:$A$31,0))&amp;"","")</f>
        <v>محاضر لجان موثقة</v>
      </c>
      <c r="M296" s="17" t="n">
        <v>35</v>
      </c>
      <c r="N296" s="17" t="n">
        <v>100</v>
      </c>
      <c r="O296" s="19" t="str">
        <f aca="false">IF($M296="","غير مقيّمة",IF($M296&gt;المرجع!$K$3,"مستوفاة بشكل متقدم",IF($M296&lt;=المرجع!$K$2,"مستوفاة بشكل أولي","مستوفاة بشكل جزئي")))</f>
        <v>مستوفاة بشكل جزئي</v>
      </c>
      <c r="P296" s="22"/>
    </row>
    <row r="297" customFormat="false" ht="15" hidden="false" customHeight="true" outlineLevel="0" collapsed="false">
      <c r="A297" s="20" t="s">
        <v>1111</v>
      </c>
      <c r="B297" s="20" t="s">
        <v>214</v>
      </c>
      <c r="C297" s="19" t="str">
        <f aca="false">IFERROR(INDEX('قائمة الوحدات'!$B$2:$B$41,MATCH($B297,'قائمة الوحدات'!$A$2:$A$41,0)),"")</f>
        <v>MIL</v>
      </c>
      <c r="D297" s="18" t="str">
        <f aca="false">IFERROR(INDEX('قائمة الوحدات'!$C$2:$C$41,MATCH($B297,'قائمة الوحدات'!$A$2:$A$41,0)),"")</f>
        <v>الجهاز العسكري</v>
      </c>
      <c r="E297" s="18" t="str">
        <f aca="false">IFERROR(INDEX('قائمة الوحدات'!$D$2:$D$41,MATCH($B297,'قائمة الوحدات'!$A$2:$A$41,0)),"")</f>
        <v>الإدارة العامة للإمداد والتموين</v>
      </c>
      <c r="F297" s="18" t="str">
        <f aca="false">IFERROR(INDEX('قائمة الوحدات'!$F$2:$F$41,MATCH($B297,'قائمة الوحدات'!$A$2:$A$41,0)),"")</f>
        <v>الإدارة العامة للإمداد والتموين</v>
      </c>
      <c r="G297" s="20" t="s">
        <v>66</v>
      </c>
      <c r="H297" s="18" t="str">
        <f aca="false">IFERROR(INDEX(المرجع!$A$2:$A$19,MATCH($G297,المرجع!$B$2:$B$19,0)),"")</f>
        <v>التشغيل</v>
      </c>
      <c r="I297" s="20" t="s">
        <v>52</v>
      </c>
      <c r="J297" s="18" t="str">
        <f aca="false">IFERROR(INDEX(المرجع!$D$2:$D$19,MATCH($I297,المرجع!$E$2:$E$19,0)),"")</f>
        <v>الحوكمة</v>
      </c>
      <c r="K297" s="20" t="s">
        <v>126</v>
      </c>
      <c r="L297" s="21" t="str">
        <f aca="false">IFERROR(INDEX('نقاط التحقق'!$G$2:$G$31,MATCH($K297,'نقاط التحقق'!$A$2:$A$31,0))&amp;"","")</f>
        <v>نشر السياسات التي تملكها الوحدة التنظيمية</v>
      </c>
      <c r="M297" s="17" t="n">
        <v>25</v>
      </c>
      <c r="N297" s="17" t="n">
        <v>100</v>
      </c>
      <c r="O297" s="19" t="str">
        <f aca="false">IF($M297="","غير مقيّمة",IF($M297&gt;المرجع!$K$3,"مستوفاة بشكل متقدم",IF($M297&lt;=المرجع!$K$2,"مستوفاة بشكل أولي","مستوفاة بشكل جزئي")))</f>
        <v>مستوفاة بشكل أولي</v>
      </c>
      <c r="P297" s="22"/>
    </row>
    <row r="298" customFormat="false" ht="15" hidden="false" customHeight="true" outlineLevel="0" collapsed="false">
      <c r="A298" s="20" t="s">
        <v>1112</v>
      </c>
      <c r="B298" s="20" t="s">
        <v>214</v>
      </c>
      <c r="C298" s="19" t="str">
        <f aca="false">IFERROR(INDEX('قائمة الوحدات'!$B$2:$B$41,MATCH($B298,'قائمة الوحدات'!$A$2:$A$41,0)),"")</f>
        <v>MIL</v>
      </c>
      <c r="D298" s="18" t="str">
        <f aca="false">IFERROR(INDEX('قائمة الوحدات'!$C$2:$C$41,MATCH($B298,'قائمة الوحدات'!$A$2:$A$41,0)),"")</f>
        <v>الجهاز العسكري</v>
      </c>
      <c r="E298" s="18" t="str">
        <f aca="false">IFERROR(INDEX('قائمة الوحدات'!$D$2:$D$41,MATCH($B298,'قائمة الوحدات'!$A$2:$A$41,0)),"")</f>
        <v>الإدارة العامة للإمداد والتموين</v>
      </c>
      <c r="F298" s="18" t="str">
        <f aca="false">IFERROR(INDEX('قائمة الوحدات'!$F$2:$F$41,MATCH($B298,'قائمة الوحدات'!$A$2:$A$41,0)),"")</f>
        <v>الإدارة العامة للإمداد والتموين</v>
      </c>
      <c r="G298" s="20" t="s">
        <v>66</v>
      </c>
      <c r="H298" s="18" t="str">
        <f aca="false">IFERROR(INDEX(المرجع!$A$2:$A$19,MATCH($G298,المرجع!$B$2:$B$19,0)),"")</f>
        <v>التشغيل</v>
      </c>
      <c r="I298" s="20" t="s">
        <v>52</v>
      </c>
      <c r="J298" s="18" t="str">
        <f aca="false">IFERROR(INDEX(المرجع!$D$2:$D$19,MATCH($I298,المرجع!$E$2:$E$19,0)),"")</f>
        <v>الحوكمة</v>
      </c>
      <c r="K298" s="20" t="s">
        <v>128</v>
      </c>
      <c r="L298" s="21" t="str">
        <f aca="false">IFERROR(INDEX('نقاط التحقق'!$G$2:$G$31,MATCH($K298,'نقاط التحقق'!$A$2:$A$31,0))&amp;"","")</f>
        <v>اتخاذ القرارات في نطاق الصلاحيات (وجود شواهد)</v>
      </c>
      <c r="M298" s="17" t="n">
        <v>25</v>
      </c>
      <c r="N298" s="17" t="n">
        <v>85</v>
      </c>
      <c r="O298" s="19" t="str">
        <f aca="false">IF($M298="","غير مقيّمة",IF($M298&gt;المرجع!$K$3,"مستوفاة بشكل متقدم",IF($M298&lt;=المرجع!$K$2,"مستوفاة بشكل أولي","مستوفاة بشكل جزئي")))</f>
        <v>مستوفاة بشكل أولي</v>
      </c>
      <c r="P298" s="22"/>
    </row>
    <row r="299" customFormat="false" ht="15" hidden="false" customHeight="true" outlineLevel="0" collapsed="false">
      <c r="A299" s="20" t="s">
        <v>1113</v>
      </c>
      <c r="B299" s="20" t="s">
        <v>214</v>
      </c>
      <c r="C299" s="19" t="str">
        <f aca="false">IFERROR(INDEX('قائمة الوحدات'!$B$2:$B$41,MATCH($B299,'قائمة الوحدات'!$A$2:$A$41,0)),"")</f>
        <v>MIL</v>
      </c>
      <c r="D299" s="18" t="str">
        <f aca="false">IFERROR(INDEX('قائمة الوحدات'!$C$2:$C$41,MATCH($B299,'قائمة الوحدات'!$A$2:$A$41,0)),"")</f>
        <v>الجهاز العسكري</v>
      </c>
      <c r="E299" s="18" t="str">
        <f aca="false">IFERROR(INDEX('قائمة الوحدات'!$D$2:$D$41,MATCH($B299,'قائمة الوحدات'!$A$2:$A$41,0)),"")</f>
        <v>الإدارة العامة للإمداد والتموين</v>
      </c>
      <c r="F299" s="18" t="str">
        <f aca="false">IFERROR(INDEX('قائمة الوحدات'!$F$2:$F$41,MATCH($B299,'قائمة الوحدات'!$A$2:$A$41,0)),"")</f>
        <v>الإدارة العامة للإمداد والتموين</v>
      </c>
      <c r="G299" s="20" t="s">
        <v>66</v>
      </c>
      <c r="H299" s="18" t="str">
        <f aca="false">IFERROR(INDEX(المرجع!$A$2:$A$19,MATCH($G299,المرجع!$B$2:$B$19,0)),"")</f>
        <v>التشغيل</v>
      </c>
      <c r="I299" s="20" t="s">
        <v>57</v>
      </c>
      <c r="J299" s="18" t="str">
        <f aca="false">IFERROR(INDEX(المرجع!$D$2:$D$19,MATCH($I299,المرجع!$E$2:$E$19,0)),"")</f>
        <v>الموارد</v>
      </c>
      <c r="K299" s="20" t="s">
        <v>130</v>
      </c>
      <c r="L299" s="21" t="str">
        <f aca="false">IFERROR(INDEX('نقاط التحقق'!$G$2:$G$31,MATCH($K299,'نقاط التحقق'!$A$2:$A$31,0))&amp;"","")</f>
        <v>موارد مستكملة للحد الأدنى الذي يغطي كافة محاور سلسلة القيمة</v>
      </c>
      <c r="M299" s="17" t="n">
        <v>41</v>
      </c>
      <c r="N299" s="17" t="n">
        <v>80</v>
      </c>
      <c r="O299" s="19" t="str">
        <f aca="false">IF($M299="","غير مقيّمة",IF($M299&gt;المرجع!$K$3,"مستوفاة بشكل متقدم",IF($M299&lt;=المرجع!$K$2,"مستوفاة بشكل أولي","مستوفاة بشكل جزئي")))</f>
        <v>مستوفاة بشكل جزئي</v>
      </c>
      <c r="P299" s="22"/>
    </row>
    <row r="300" customFormat="false" ht="15" hidden="false" customHeight="true" outlineLevel="0" collapsed="false">
      <c r="A300" s="20" t="s">
        <v>1114</v>
      </c>
      <c r="B300" s="20" t="s">
        <v>214</v>
      </c>
      <c r="C300" s="19" t="str">
        <f aca="false">IFERROR(INDEX('قائمة الوحدات'!$B$2:$B$41,MATCH($B300,'قائمة الوحدات'!$A$2:$A$41,0)),"")</f>
        <v>MIL</v>
      </c>
      <c r="D300" s="18" t="str">
        <f aca="false">IFERROR(INDEX('قائمة الوحدات'!$C$2:$C$41,MATCH($B300,'قائمة الوحدات'!$A$2:$A$41,0)),"")</f>
        <v>الجهاز العسكري</v>
      </c>
      <c r="E300" s="18" t="str">
        <f aca="false">IFERROR(INDEX('قائمة الوحدات'!$D$2:$D$41,MATCH($B300,'قائمة الوحدات'!$A$2:$A$41,0)),"")</f>
        <v>الإدارة العامة للإمداد والتموين</v>
      </c>
      <c r="F300" s="18" t="str">
        <f aca="false">IFERROR(INDEX('قائمة الوحدات'!$F$2:$F$41,MATCH($B300,'قائمة الوحدات'!$A$2:$A$41,0)),"")</f>
        <v>الإدارة العامة للإمداد والتموين</v>
      </c>
      <c r="G300" s="20" t="s">
        <v>66</v>
      </c>
      <c r="H300" s="18" t="str">
        <f aca="false">IFERROR(INDEX(المرجع!$A$2:$A$19,MATCH($G300,المرجع!$B$2:$B$19,0)),"")</f>
        <v>التشغيل</v>
      </c>
      <c r="I300" s="20" t="s">
        <v>60</v>
      </c>
      <c r="J300" s="18" t="str">
        <f aca="false">IFERROR(INDEX(المرجع!$D$2:$D$19,MATCH($I300,المرجع!$E$2:$E$19,0)),"")</f>
        <v>الإجراءات</v>
      </c>
      <c r="K300" s="20" t="s">
        <v>132</v>
      </c>
      <c r="L300" s="21" t="str">
        <f aca="false">IFERROR(INDEX('نقاط التحقق'!$G$2:$G$31,MATCH($K300,'نقاط التحقق'!$A$2:$A$31,0))&amp;"","")</f>
        <v>تحقيق تقييم "مطبق بشكل كامل" من منهجية تقييم فعالية الإجراءات</v>
      </c>
      <c r="M300" s="17" t="n">
        <v>55</v>
      </c>
      <c r="N300" s="17" t="n">
        <v>100</v>
      </c>
      <c r="O300" s="19" t="str">
        <f aca="false">IF($M300="","غير مقيّمة",IF($M300&gt;المرجع!$K$3,"مستوفاة بشكل متقدم",IF($M300&lt;=المرجع!$K$2,"مستوفاة بشكل أولي","مستوفاة بشكل جزئي")))</f>
        <v>مستوفاة بشكل جزئي</v>
      </c>
      <c r="P300" s="22"/>
    </row>
    <row r="301" customFormat="false" ht="15" hidden="false" customHeight="true" outlineLevel="0" collapsed="false">
      <c r="A301" s="20" t="s">
        <v>1115</v>
      </c>
      <c r="B301" s="20" t="s">
        <v>214</v>
      </c>
      <c r="C301" s="19" t="str">
        <f aca="false">IFERROR(INDEX('قائمة الوحدات'!$B$2:$B$41,MATCH($B301,'قائمة الوحدات'!$A$2:$A$41,0)),"")</f>
        <v>MIL</v>
      </c>
      <c r="D301" s="18" t="str">
        <f aca="false">IFERROR(INDEX('قائمة الوحدات'!$C$2:$C$41,MATCH($B301,'قائمة الوحدات'!$A$2:$A$41,0)),"")</f>
        <v>الجهاز العسكري</v>
      </c>
      <c r="E301" s="18" t="str">
        <f aca="false">IFERROR(INDEX('قائمة الوحدات'!$D$2:$D$41,MATCH($B301,'قائمة الوحدات'!$A$2:$A$41,0)),"")</f>
        <v>الإدارة العامة للإمداد والتموين</v>
      </c>
      <c r="F301" s="18" t="str">
        <f aca="false">IFERROR(INDEX('قائمة الوحدات'!$F$2:$F$41,MATCH($B301,'قائمة الوحدات'!$A$2:$A$41,0)),"")</f>
        <v>الإدارة العامة للإمداد والتموين</v>
      </c>
      <c r="G301" s="20" t="s">
        <v>66</v>
      </c>
      <c r="H301" s="18" t="str">
        <f aca="false">IFERROR(INDEX(المرجع!$A$2:$A$19,MATCH($G301,المرجع!$B$2:$B$19,0)),"")</f>
        <v>التشغيل</v>
      </c>
      <c r="I301" s="20" t="s">
        <v>71</v>
      </c>
      <c r="J301" s="18" t="str">
        <f aca="false">IFERROR(INDEX(المرجع!$D$2:$D$19,MATCH($I301,المرجع!$E$2:$E$19,0)),"")</f>
        <v>اكتمال المخرجات المستهدفة</v>
      </c>
      <c r="K301" s="20" t="s">
        <v>134</v>
      </c>
      <c r="L301" s="21" t="str">
        <f aca="false">IFERROR(INDEX('نقاط التحقق'!$G$2:$G$31,MATCH($K301,'نقاط التحقق'!$A$2:$A$31,0))&amp;"","")</f>
        <v>اكتمال مخرجات النموذج التشغيلي المستهدف للوحدة التنظيمية</v>
      </c>
      <c r="M301" s="17" t="n">
        <v>45</v>
      </c>
      <c r="N301" s="17" t="n">
        <v>85</v>
      </c>
      <c r="O301" s="19" t="str">
        <f aca="false">IF($M301="","غير مقيّمة",IF($M301&gt;المرجع!$K$3,"مستوفاة بشكل متقدم",IF($M301&lt;=المرجع!$K$2,"مستوفاة بشكل أولي","مستوفاة بشكل جزئي")))</f>
        <v>مستوفاة بشكل جزئي</v>
      </c>
      <c r="P301" s="22"/>
    </row>
    <row r="302" customFormat="false" ht="15" hidden="false" customHeight="true" outlineLevel="0" collapsed="false">
      <c r="A302" s="20" t="s">
        <v>1116</v>
      </c>
      <c r="B302" s="20" t="s">
        <v>216</v>
      </c>
      <c r="C302" s="19" t="str">
        <f aca="false">IFERROR(INDEX('قائمة الوحدات'!$B$2:$B$41,MATCH($B302,'قائمة الوحدات'!$A$2:$A$41,0)),"")</f>
        <v>MIL</v>
      </c>
      <c r="D302" s="18" t="str">
        <f aca="false">IFERROR(INDEX('قائمة الوحدات'!$C$2:$C$41,MATCH($B302,'قائمة الوحدات'!$A$2:$A$41,0)),"")</f>
        <v>الجهاز العسكري</v>
      </c>
      <c r="E302" s="18" t="str">
        <f aca="false">IFERROR(INDEX('قائمة الوحدات'!$D$2:$D$41,MATCH($B302,'قائمة الوحدات'!$A$2:$A$41,0)),"")</f>
        <v>الإدارة العامة للاتصالات وتقنية المعلومات العسكرية</v>
      </c>
      <c r="F302" s="18" t="str">
        <f aca="false">IFERROR(INDEX('قائمة الوحدات'!$F$2:$F$41,MATCH($B302,'قائمة الوحدات'!$A$2:$A$41,0)),"")</f>
        <v>الإدارة العامة للاتصالات وتقنية المعلومات العسكرية</v>
      </c>
      <c r="G302" s="20" t="s">
        <v>44</v>
      </c>
      <c r="H302" s="18" t="str">
        <f aca="false">IFERROR(INDEX(المرجع!$A$2:$A$19,MATCH($G302,المرجع!$B$2:$B$19,0)),"")</f>
        <v>التصميم</v>
      </c>
      <c r="I302" s="20" t="s">
        <v>46</v>
      </c>
      <c r="J302" s="18" t="str">
        <f aca="false">IFERROR(INDEX(المرجع!$D$2:$D$19,MATCH($I302,المرجع!$E$2:$E$19,0)),"")</f>
        <v>الدور</v>
      </c>
      <c r="K302" s="20" t="s">
        <v>76</v>
      </c>
      <c r="L302" s="21" t="str">
        <f aca="false">IFERROR(INDEX('نقاط التحقق'!$G$2:$G$31,MATCH($K302,'نقاط التحقق'!$A$2:$A$31,0))&amp;"","")</f>
        <v>دور مفصل للوحدة التنظيمية</v>
      </c>
      <c r="M302" s="17" t="n">
        <v>84</v>
      </c>
      <c r="N302" s="17" t="n">
        <v>90</v>
      </c>
      <c r="O302" s="19" t="str">
        <f aca="false">IF($M302="","غير مقيّمة",IF($M302&gt;المرجع!$K$3,"مستوفاة بشكل متقدم",IF($M302&lt;=المرجع!$K$2,"مستوفاة بشكل أولي","مستوفاة بشكل جزئي")))</f>
        <v>مستوفاة بشكل متقدم</v>
      </c>
      <c r="P302" s="22"/>
    </row>
    <row r="303" customFormat="false" ht="15" hidden="false" customHeight="true" outlineLevel="0" collapsed="false">
      <c r="A303" s="20" t="s">
        <v>1117</v>
      </c>
      <c r="B303" s="20" t="s">
        <v>216</v>
      </c>
      <c r="C303" s="19" t="str">
        <f aca="false">IFERROR(INDEX('قائمة الوحدات'!$B$2:$B$41,MATCH($B303,'قائمة الوحدات'!$A$2:$A$41,0)),"")</f>
        <v>MIL</v>
      </c>
      <c r="D303" s="18" t="str">
        <f aca="false">IFERROR(INDEX('قائمة الوحدات'!$C$2:$C$41,MATCH($B303,'قائمة الوحدات'!$A$2:$A$41,0)),"")</f>
        <v>الجهاز العسكري</v>
      </c>
      <c r="E303" s="18" t="str">
        <f aca="false">IFERROR(INDEX('قائمة الوحدات'!$D$2:$D$41,MATCH($B303,'قائمة الوحدات'!$A$2:$A$41,0)),"")</f>
        <v>الإدارة العامة للاتصالات وتقنية المعلومات العسكرية</v>
      </c>
      <c r="F303" s="18" t="str">
        <f aca="false">IFERROR(INDEX('قائمة الوحدات'!$F$2:$F$41,MATCH($B303,'قائمة الوحدات'!$A$2:$A$41,0)),"")</f>
        <v>الإدارة العامة للاتصالات وتقنية المعلومات العسكرية</v>
      </c>
      <c r="G303" s="20" t="s">
        <v>44</v>
      </c>
      <c r="H303" s="18" t="str">
        <f aca="false">IFERROR(INDEX(المرجع!$A$2:$A$19,MATCH($G303,المرجع!$B$2:$B$19,0)),"")</f>
        <v>التصميم</v>
      </c>
      <c r="I303" s="20" t="s">
        <v>49</v>
      </c>
      <c r="J303" s="18" t="str">
        <f aca="false">IFERROR(INDEX(المرجع!$D$2:$D$19,MATCH($I303,المرجع!$E$2:$E$19,0)),"")</f>
        <v>الأهداف ومؤشرات الأداء</v>
      </c>
      <c r="K303" s="20" t="s">
        <v>78</v>
      </c>
      <c r="L303" s="21" t="str">
        <f aca="false">IFERROR(INDEX('نقاط التحقق'!$G$2:$G$31,MATCH($K303,'نقاط التحقق'!$A$2:$A$31,0))&amp;"","")</f>
        <v>أهداف محددة للوحدة التنظيمية وربطها بمؤشرات أداء لقياسها</v>
      </c>
      <c r="M303" s="17" t="n">
        <v>70</v>
      </c>
      <c r="N303" s="17" t="n">
        <v>90</v>
      </c>
      <c r="O303" s="19" t="str">
        <f aca="false">IF($M303="","غير مقيّمة",IF($M303&gt;المرجع!$K$3,"مستوفاة بشكل متقدم",IF($M303&lt;=المرجع!$K$2,"مستوفاة بشكل أولي","مستوفاة بشكل جزئي")))</f>
        <v>مستوفاة بشكل جزئي</v>
      </c>
      <c r="P303" s="22"/>
    </row>
    <row r="304" customFormat="false" ht="15" hidden="false" customHeight="true" outlineLevel="0" collapsed="false">
      <c r="A304" s="20" t="s">
        <v>1118</v>
      </c>
      <c r="B304" s="20" t="s">
        <v>216</v>
      </c>
      <c r="C304" s="19" t="str">
        <f aca="false">IFERROR(INDEX('قائمة الوحدات'!$B$2:$B$41,MATCH($B304,'قائمة الوحدات'!$A$2:$A$41,0)),"")</f>
        <v>MIL</v>
      </c>
      <c r="D304" s="18" t="str">
        <f aca="false">IFERROR(INDEX('قائمة الوحدات'!$C$2:$C$41,MATCH($B304,'قائمة الوحدات'!$A$2:$A$41,0)),"")</f>
        <v>الجهاز العسكري</v>
      </c>
      <c r="E304" s="18" t="str">
        <f aca="false">IFERROR(INDEX('قائمة الوحدات'!$D$2:$D$41,MATCH($B304,'قائمة الوحدات'!$A$2:$A$41,0)),"")</f>
        <v>الإدارة العامة للاتصالات وتقنية المعلومات العسكرية</v>
      </c>
      <c r="F304" s="18" t="str">
        <f aca="false">IFERROR(INDEX('قائمة الوحدات'!$F$2:$F$41,MATCH($B304,'قائمة الوحدات'!$A$2:$A$41,0)),"")</f>
        <v>الإدارة العامة للاتصالات وتقنية المعلومات العسكرية</v>
      </c>
      <c r="G304" s="20" t="s">
        <v>44</v>
      </c>
      <c r="H304" s="18" t="str">
        <f aca="false">IFERROR(INDEX(المرجع!$A$2:$A$19,MATCH($G304,المرجع!$B$2:$B$19,0)),"")</f>
        <v>التصميم</v>
      </c>
      <c r="I304" s="20" t="s">
        <v>49</v>
      </c>
      <c r="J304" s="18" t="str">
        <f aca="false">IFERROR(INDEX(المرجع!$D$2:$D$19,MATCH($I304,المرجع!$E$2:$E$19,0)),"")</f>
        <v>الأهداف ومؤشرات الأداء</v>
      </c>
      <c r="K304" s="20" t="s">
        <v>80</v>
      </c>
      <c r="L304" s="21" t="str">
        <f aca="false">IFERROR(INDEX('نقاط التحقق'!$G$2:$G$31,MATCH($K304,'نقاط التحقق'!$A$2:$A$31,0))&amp;"","")</f>
        <v>مؤشرات أداء الوحدة التنظيمية</v>
      </c>
      <c r="M304" s="17" t="n">
        <v>75</v>
      </c>
      <c r="N304" s="17" t="n">
        <v>100</v>
      </c>
      <c r="O304" s="19" t="str">
        <f aca="false">IF($M304="","غير مقيّمة",IF($M304&gt;المرجع!$K$3,"مستوفاة بشكل متقدم",IF($M304&lt;=المرجع!$K$2,"مستوفاة بشكل أولي","مستوفاة بشكل جزئي")))</f>
        <v>مستوفاة بشكل متقدم</v>
      </c>
      <c r="P304" s="22"/>
    </row>
    <row r="305" customFormat="false" ht="15" hidden="false" customHeight="true" outlineLevel="0" collapsed="false">
      <c r="A305" s="20" t="s">
        <v>1119</v>
      </c>
      <c r="B305" s="20" t="s">
        <v>216</v>
      </c>
      <c r="C305" s="19" t="str">
        <f aca="false">IFERROR(INDEX('قائمة الوحدات'!$B$2:$B$41,MATCH($B305,'قائمة الوحدات'!$A$2:$A$41,0)),"")</f>
        <v>MIL</v>
      </c>
      <c r="D305" s="18" t="str">
        <f aca="false">IFERROR(INDEX('قائمة الوحدات'!$C$2:$C$41,MATCH($B305,'قائمة الوحدات'!$A$2:$A$41,0)),"")</f>
        <v>الجهاز العسكري</v>
      </c>
      <c r="E305" s="18" t="str">
        <f aca="false">IFERROR(INDEX('قائمة الوحدات'!$D$2:$D$41,MATCH($B305,'قائمة الوحدات'!$A$2:$A$41,0)),"")</f>
        <v>الإدارة العامة للاتصالات وتقنية المعلومات العسكرية</v>
      </c>
      <c r="F305" s="18" t="str">
        <f aca="false">IFERROR(INDEX('قائمة الوحدات'!$F$2:$F$41,MATCH($B305,'قائمة الوحدات'!$A$2:$A$41,0)),"")</f>
        <v>الإدارة العامة للاتصالات وتقنية المعلومات العسكرية</v>
      </c>
      <c r="G305" s="20" t="s">
        <v>44</v>
      </c>
      <c r="H305" s="18" t="str">
        <f aca="false">IFERROR(INDEX(المرجع!$A$2:$A$19,MATCH($G305,المرجع!$B$2:$B$19,0)),"")</f>
        <v>التصميم</v>
      </c>
      <c r="I305" s="20" t="s">
        <v>52</v>
      </c>
      <c r="J305" s="18" t="str">
        <f aca="false">IFERROR(INDEX(المرجع!$D$2:$D$19,MATCH($I305,المرجع!$E$2:$E$19,0)),"")</f>
        <v>الحوكمة</v>
      </c>
      <c r="K305" s="20" t="s">
        <v>82</v>
      </c>
      <c r="L305" s="21" t="str">
        <f aca="false">IFERROR(INDEX('نقاط التحقق'!$G$2:$G$31,MATCH($K305,'نقاط التحقق'!$A$2:$A$31,0))&amp;"","")</f>
        <v>تفصيل القرارات ومصفوفة الصلاحيات واللجان ذات العلاقة لاعتماد مخرجات الوحدة التنظيمية</v>
      </c>
      <c r="M305" s="17" t="n">
        <v>97</v>
      </c>
      <c r="N305" s="17" t="n">
        <v>100</v>
      </c>
      <c r="O305" s="19" t="str">
        <f aca="false">IF($M305="","غير مقيّمة",IF($M305&gt;المرجع!$K$3,"مستوفاة بشكل متقدم",IF($M305&lt;=المرجع!$K$2,"مستوفاة بشكل أولي","مستوفاة بشكل جزئي")))</f>
        <v>مستوفاة بشكل متقدم</v>
      </c>
      <c r="P305" s="22"/>
    </row>
    <row r="306" customFormat="false" ht="15" hidden="false" customHeight="true" outlineLevel="0" collapsed="false">
      <c r="A306" s="20" t="s">
        <v>1120</v>
      </c>
      <c r="B306" s="20" t="s">
        <v>216</v>
      </c>
      <c r="C306" s="19" t="str">
        <f aca="false">IFERROR(INDEX('قائمة الوحدات'!$B$2:$B$41,MATCH($B306,'قائمة الوحدات'!$A$2:$A$41,0)),"")</f>
        <v>MIL</v>
      </c>
      <c r="D306" s="18" t="str">
        <f aca="false">IFERROR(INDEX('قائمة الوحدات'!$C$2:$C$41,MATCH($B306,'قائمة الوحدات'!$A$2:$A$41,0)),"")</f>
        <v>الجهاز العسكري</v>
      </c>
      <c r="E306" s="18" t="str">
        <f aca="false">IFERROR(INDEX('قائمة الوحدات'!$D$2:$D$41,MATCH($B306,'قائمة الوحدات'!$A$2:$A$41,0)),"")</f>
        <v>الإدارة العامة للاتصالات وتقنية المعلومات العسكرية</v>
      </c>
      <c r="F306" s="18" t="str">
        <f aca="false">IFERROR(INDEX('قائمة الوحدات'!$F$2:$F$41,MATCH($B306,'قائمة الوحدات'!$A$2:$A$41,0)),"")</f>
        <v>الإدارة العامة للاتصالات وتقنية المعلومات العسكرية</v>
      </c>
      <c r="G306" s="20" t="s">
        <v>44</v>
      </c>
      <c r="H306" s="18" t="str">
        <f aca="false">IFERROR(INDEX(المرجع!$A$2:$A$19,MATCH($G306,المرجع!$B$2:$B$19,0)),"")</f>
        <v>التصميم</v>
      </c>
      <c r="I306" s="20" t="s">
        <v>55</v>
      </c>
      <c r="J306" s="18" t="str">
        <f aca="false">IFERROR(INDEX(المرجع!$D$2:$D$19,MATCH($I306,المرجع!$E$2:$E$19,0)),"")</f>
        <v>التنظيم</v>
      </c>
      <c r="K306" s="20" t="s">
        <v>84</v>
      </c>
      <c r="L306" s="21" t="str">
        <f aca="false">IFERROR(INDEX('نقاط التحقق'!$G$2:$G$31,MATCH($K306,'نقاط التحقق'!$A$2:$A$31,0))&amp;"","")</f>
        <v>تطوير الأدوار والمسؤوليات للوحدة التنظيمية وتفصيل الهيكل التنظيمي</v>
      </c>
      <c r="M306" s="17" t="n">
        <v>98</v>
      </c>
      <c r="N306" s="17" t="n">
        <v>100</v>
      </c>
      <c r="O306" s="19" t="str">
        <f aca="false">IF($M306="","غير مقيّمة",IF($M306&gt;المرجع!$K$3,"مستوفاة بشكل متقدم",IF($M306&lt;=المرجع!$K$2,"مستوفاة بشكل أولي","مستوفاة بشكل جزئي")))</f>
        <v>مستوفاة بشكل متقدم</v>
      </c>
      <c r="P306" s="22"/>
    </row>
    <row r="307" customFormat="false" ht="15" hidden="false" customHeight="true" outlineLevel="0" collapsed="false">
      <c r="A307" s="20" t="s">
        <v>1121</v>
      </c>
      <c r="B307" s="20" t="s">
        <v>216</v>
      </c>
      <c r="C307" s="19" t="str">
        <f aca="false">IFERROR(INDEX('قائمة الوحدات'!$B$2:$B$41,MATCH($B307,'قائمة الوحدات'!$A$2:$A$41,0)),"")</f>
        <v>MIL</v>
      </c>
      <c r="D307" s="18" t="str">
        <f aca="false">IFERROR(INDEX('قائمة الوحدات'!$C$2:$C$41,MATCH($B307,'قائمة الوحدات'!$A$2:$A$41,0)),"")</f>
        <v>الجهاز العسكري</v>
      </c>
      <c r="E307" s="18" t="str">
        <f aca="false">IFERROR(INDEX('قائمة الوحدات'!$D$2:$D$41,MATCH($B307,'قائمة الوحدات'!$A$2:$A$41,0)),"")</f>
        <v>الإدارة العامة للاتصالات وتقنية المعلومات العسكرية</v>
      </c>
      <c r="F307" s="18" t="str">
        <f aca="false">IFERROR(INDEX('قائمة الوحدات'!$F$2:$F$41,MATCH($B307,'قائمة الوحدات'!$A$2:$A$41,0)),"")</f>
        <v>الإدارة العامة للاتصالات وتقنية المعلومات العسكرية</v>
      </c>
      <c r="G307" s="20" t="s">
        <v>44</v>
      </c>
      <c r="H307" s="18" t="str">
        <f aca="false">IFERROR(INDEX(المرجع!$A$2:$A$19,MATCH($G307,المرجع!$B$2:$B$19,0)),"")</f>
        <v>التصميم</v>
      </c>
      <c r="I307" s="20" t="s">
        <v>57</v>
      </c>
      <c r="J307" s="18" t="str">
        <f aca="false">IFERROR(INDEX(المرجع!$D$2:$D$19,MATCH($I307,المرجع!$E$2:$E$19,0)),"")</f>
        <v>الموارد</v>
      </c>
      <c r="K307" s="20" t="s">
        <v>86</v>
      </c>
      <c r="L307" s="21" t="str">
        <f aca="false">IFERROR(INDEX('نقاط التحقق'!$G$2:$G$31,MATCH($K307,'نقاط التحقق'!$A$2:$A$31,0))&amp;"","")</f>
        <v>تفصيل احتياج الموارد البشرية للوحدة التنظيمية</v>
      </c>
      <c r="M307" s="17" t="n">
        <v>80</v>
      </c>
      <c r="N307" s="17" t="n">
        <v>90</v>
      </c>
      <c r="O307" s="19" t="str">
        <f aca="false">IF($M307="","غير مقيّمة",IF($M307&gt;المرجع!$K$3,"مستوفاة بشكل متقدم",IF($M307&lt;=المرجع!$K$2,"مستوفاة بشكل أولي","مستوفاة بشكل جزئي")))</f>
        <v>مستوفاة بشكل متقدم</v>
      </c>
      <c r="P307" s="22"/>
    </row>
    <row r="308" customFormat="false" ht="15" hidden="false" customHeight="true" outlineLevel="0" collapsed="false">
      <c r="A308" s="20" t="s">
        <v>1122</v>
      </c>
      <c r="B308" s="20" t="s">
        <v>216</v>
      </c>
      <c r="C308" s="19" t="str">
        <f aca="false">IFERROR(INDEX('قائمة الوحدات'!$B$2:$B$41,MATCH($B308,'قائمة الوحدات'!$A$2:$A$41,0)),"")</f>
        <v>MIL</v>
      </c>
      <c r="D308" s="18" t="str">
        <f aca="false">IFERROR(INDEX('قائمة الوحدات'!$C$2:$C$41,MATCH($B308,'قائمة الوحدات'!$A$2:$A$41,0)),"")</f>
        <v>الجهاز العسكري</v>
      </c>
      <c r="E308" s="18" t="str">
        <f aca="false">IFERROR(INDEX('قائمة الوحدات'!$D$2:$D$41,MATCH($B308,'قائمة الوحدات'!$A$2:$A$41,0)),"")</f>
        <v>الإدارة العامة للاتصالات وتقنية المعلومات العسكرية</v>
      </c>
      <c r="F308" s="18" t="str">
        <f aca="false">IFERROR(INDEX('قائمة الوحدات'!$F$2:$F$41,MATCH($B308,'قائمة الوحدات'!$A$2:$A$41,0)),"")</f>
        <v>الإدارة العامة للاتصالات وتقنية المعلومات العسكرية</v>
      </c>
      <c r="G308" s="20" t="s">
        <v>44</v>
      </c>
      <c r="H308" s="18" t="str">
        <f aca="false">IFERROR(INDEX(المرجع!$A$2:$A$19,MATCH($G308,المرجع!$B$2:$B$19,0)),"")</f>
        <v>التصميم</v>
      </c>
      <c r="I308" s="20" t="s">
        <v>60</v>
      </c>
      <c r="J308" s="18" t="str">
        <f aca="false">IFERROR(INDEX(المرجع!$D$2:$D$19,MATCH($I308,المرجع!$E$2:$E$19,0)),"")</f>
        <v>الإجراءات</v>
      </c>
      <c r="K308" s="20" t="s">
        <v>88</v>
      </c>
      <c r="L308" s="21" t="str">
        <f aca="false">IFERROR(INDEX('نقاط التحقق'!$G$2:$G$31,MATCH($K308,'نقاط التحقق'!$A$2:$A$31,0))&amp;"","")</f>
        <v>تفصيل المخرجات إلى إجراءات عالية المستوى</v>
      </c>
      <c r="M308" s="17" t="n">
        <v>68</v>
      </c>
      <c r="N308" s="17" t="n">
        <v>100</v>
      </c>
      <c r="O308" s="19" t="str">
        <f aca="false">IF($M308="","غير مقيّمة",IF($M308&gt;المرجع!$K$3,"مستوفاة بشكل متقدم",IF($M308&lt;=المرجع!$K$2,"مستوفاة بشكل أولي","مستوفاة بشكل جزئي")))</f>
        <v>مستوفاة بشكل جزئي</v>
      </c>
      <c r="P308" s="22"/>
    </row>
    <row r="309" customFormat="false" ht="15" hidden="false" customHeight="true" outlineLevel="0" collapsed="false">
      <c r="A309" s="20" t="s">
        <v>1123</v>
      </c>
      <c r="B309" s="20" t="s">
        <v>216</v>
      </c>
      <c r="C309" s="19" t="str">
        <f aca="false">IFERROR(INDEX('قائمة الوحدات'!$B$2:$B$41,MATCH($B309,'قائمة الوحدات'!$A$2:$A$41,0)),"")</f>
        <v>MIL</v>
      </c>
      <c r="D309" s="18" t="str">
        <f aca="false">IFERROR(INDEX('قائمة الوحدات'!$C$2:$C$41,MATCH($B309,'قائمة الوحدات'!$A$2:$A$41,0)),"")</f>
        <v>الجهاز العسكري</v>
      </c>
      <c r="E309" s="18" t="str">
        <f aca="false">IFERROR(INDEX('قائمة الوحدات'!$D$2:$D$41,MATCH($B309,'قائمة الوحدات'!$A$2:$A$41,0)),"")</f>
        <v>الإدارة العامة للاتصالات وتقنية المعلومات العسكرية</v>
      </c>
      <c r="F309" s="18" t="str">
        <f aca="false">IFERROR(INDEX('قائمة الوحدات'!$F$2:$F$41,MATCH($B309,'قائمة الوحدات'!$A$2:$A$41,0)),"")</f>
        <v>الإدارة العامة للاتصالات وتقنية المعلومات العسكرية</v>
      </c>
      <c r="G309" s="20" t="s">
        <v>62</v>
      </c>
      <c r="H309" s="18" t="str">
        <f aca="false">IFERROR(INDEX(المرجع!$A$2:$A$19,MATCH($G309,المرجع!$B$2:$B$19,0)),"")</f>
        <v>البناء المؤسسي</v>
      </c>
      <c r="I309" s="20" t="s">
        <v>46</v>
      </c>
      <c r="J309" s="18" t="str">
        <f aca="false">IFERROR(INDEX(المرجع!$D$2:$D$19,MATCH($I309,المرجع!$E$2:$E$19,0)),"")</f>
        <v>الدور</v>
      </c>
      <c r="K309" s="20" t="s">
        <v>90</v>
      </c>
      <c r="L309" s="21" t="str">
        <f aca="false">IFERROR(INDEX('نقاط التحقق'!$G$2:$G$31,MATCH($K309,'نقاط التحقق'!$A$2:$A$31,0))&amp;"","")</f>
        <v>دور معتمد للوحدة التنظيمية</v>
      </c>
      <c r="M309" s="17" t="n">
        <v>53</v>
      </c>
      <c r="N309" s="17" t="n">
        <v>100</v>
      </c>
      <c r="O309" s="19" t="str">
        <f aca="false">IF($M309="","غير مقيّمة",IF($M309&gt;المرجع!$K$3,"مستوفاة بشكل متقدم",IF($M309&lt;=المرجع!$K$2,"مستوفاة بشكل أولي","مستوفاة بشكل جزئي")))</f>
        <v>مستوفاة بشكل جزئي</v>
      </c>
      <c r="P309" s="22"/>
    </row>
    <row r="310" customFormat="false" ht="15" hidden="false" customHeight="true" outlineLevel="0" collapsed="false">
      <c r="A310" s="20" t="s">
        <v>1124</v>
      </c>
      <c r="B310" s="20" t="s">
        <v>216</v>
      </c>
      <c r="C310" s="19" t="str">
        <f aca="false">IFERROR(INDEX('قائمة الوحدات'!$B$2:$B$41,MATCH($B310,'قائمة الوحدات'!$A$2:$A$41,0)),"")</f>
        <v>MIL</v>
      </c>
      <c r="D310" s="18" t="str">
        <f aca="false">IFERROR(INDEX('قائمة الوحدات'!$C$2:$C$41,MATCH($B310,'قائمة الوحدات'!$A$2:$A$41,0)),"")</f>
        <v>الجهاز العسكري</v>
      </c>
      <c r="E310" s="18" t="str">
        <f aca="false">IFERROR(INDEX('قائمة الوحدات'!$D$2:$D$41,MATCH($B310,'قائمة الوحدات'!$A$2:$A$41,0)),"")</f>
        <v>الإدارة العامة للاتصالات وتقنية المعلومات العسكرية</v>
      </c>
      <c r="F310" s="18" t="str">
        <f aca="false">IFERROR(INDEX('قائمة الوحدات'!$F$2:$F$41,MATCH($B310,'قائمة الوحدات'!$A$2:$A$41,0)),"")</f>
        <v>الإدارة العامة للاتصالات وتقنية المعلومات العسكرية</v>
      </c>
      <c r="G310" s="20" t="s">
        <v>62</v>
      </c>
      <c r="H310" s="18" t="str">
        <f aca="false">IFERROR(INDEX(المرجع!$A$2:$A$19,MATCH($G310,المرجع!$B$2:$B$19,0)),"")</f>
        <v>البناء المؤسسي</v>
      </c>
      <c r="I310" s="20" t="s">
        <v>49</v>
      </c>
      <c r="J310" s="18" t="str">
        <f aca="false">IFERROR(INDEX(المرجع!$D$2:$D$19,MATCH($I310,المرجع!$E$2:$E$19,0)),"")</f>
        <v>الأهداف ومؤشرات الأداء</v>
      </c>
      <c r="K310" s="20" t="s">
        <v>92</v>
      </c>
      <c r="L310" s="21" t="str">
        <f aca="false">IFERROR(INDEX('نقاط التحقق'!$G$2:$G$31,MATCH($K310,'نقاط التحقق'!$A$2:$A$31,0))&amp;"","")</f>
        <v>أهداف تشغيلية معتمدة من صاحب الصلاحية</v>
      </c>
      <c r="M310" s="17" t="n">
        <v>65</v>
      </c>
      <c r="N310" s="17" t="n">
        <v>85</v>
      </c>
      <c r="O310" s="19" t="str">
        <f aca="false">IF($M310="","غير مقيّمة",IF($M310&gt;المرجع!$K$3,"مستوفاة بشكل متقدم",IF($M310&lt;=المرجع!$K$2,"مستوفاة بشكل أولي","مستوفاة بشكل جزئي")))</f>
        <v>مستوفاة بشكل جزئي</v>
      </c>
      <c r="P310" s="22"/>
    </row>
    <row r="311" customFormat="false" ht="15" hidden="false" customHeight="true" outlineLevel="0" collapsed="false">
      <c r="A311" s="20" t="s">
        <v>1125</v>
      </c>
      <c r="B311" s="20" t="s">
        <v>216</v>
      </c>
      <c r="C311" s="19" t="str">
        <f aca="false">IFERROR(INDEX('قائمة الوحدات'!$B$2:$B$41,MATCH($B311,'قائمة الوحدات'!$A$2:$A$41,0)),"")</f>
        <v>MIL</v>
      </c>
      <c r="D311" s="18" t="str">
        <f aca="false">IFERROR(INDEX('قائمة الوحدات'!$C$2:$C$41,MATCH($B311,'قائمة الوحدات'!$A$2:$A$41,0)),"")</f>
        <v>الجهاز العسكري</v>
      </c>
      <c r="E311" s="18" t="str">
        <f aca="false">IFERROR(INDEX('قائمة الوحدات'!$D$2:$D$41,MATCH($B311,'قائمة الوحدات'!$A$2:$A$41,0)),"")</f>
        <v>الإدارة العامة للاتصالات وتقنية المعلومات العسكرية</v>
      </c>
      <c r="F311" s="18" t="str">
        <f aca="false">IFERROR(INDEX('قائمة الوحدات'!$F$2:$F$41,MATCH($B311,'قائمة الوحدات'!$A$2:$A$41,0)),"")</f>
        <v>الإدارة العامة للاتصالات وتقنية المعلومات العسكرية</v>
      </c>
      <c r="G311" s="20" t="s">
        <v>62</v>
      </c>
      <c r="H311" s="18" t="str">
        <f aca="false">IFERROR(INDEX(المرجع!$A$2:$A$19,MATCH($G311,المرجع!$B$2:$B$19,0)),"")</f>
        <v>البناء المؤسسي</v>
      </c>
      <c r="I311" s="20" t="s">
        <v>49</v>
      </c>
      <c r="J311" s="18" t="str">
        <f aca="false">IFERROR(INDEX(المرجع!$D$2:$D$19,MATCH($I311,المرجع!$E$2:$E$19,0)),"")</f>
        <v>الأهداف ومؤشرات الأداء</v>
      </c>
      <c r="K311" s="20" t="s">
        <v>94</v>
      </c>
      <c r="L311" s="21" t="str">
        <f aca="false">IFERROR(INDEX('نقاط التحقق'!$G$2:$G$31,MATCH($K311,'نقاط التحقق'!$A$2:$A$31,0))&amp;"","")</f>
        <v>نشر الأهداف التشغيلية على موظفي الوحدة التنظيمية</v>
      </c>
      <c r="M311" s="17" t="n">
        <v>75</v>
      </c>
      <c r="N311" s="17" t="n">
        <v>80</v>
      </c>
      <c r="O311" s="19" t="str">
        <f aca="false">IF($M311="","غير مقيّمة",IF($M311&gt;المرجع!$K$3,"مستوفاة بشكل متقدم",IF($M311&lt;=المرجع!$K$2,"مستوفاة بشكل أولي","مستوفاة بشكل جزئي")))</f>
        <v>مستوفاة بشكل متقدم</v>
      </c>
      <c r="P311" s="22"/>
    </row>
    <row r="312" customFormat="false" ht="15" hidden="false" customHeight="true" outlineLevel="0" collapsed="false">
      <c r="A312" s="20" t="s">
        <v>1126</v>
      </c>
      <c r="B312" s="20" t="s">
        <v>216</v>
      </c>
      <c r="C312" s="19" t="str">
        <f aca="false">IFERROR(INDEX('قائمة الوحدات'!$B$2:$B$41,MATCH($B312,'قائمة الوحدات'!$A$2:$A$41,0)),"")</f>
        <v>MIL</v>
      </c>
      <c r="D312" s="18" t="str">
        <f aca="false">IFERROR(INDEX('قائمة الوحدات'!$C$2:$C$41,MATCH($B312,'قائمة الوحدات'!$A$2:$A$41,0)),"")</f>
        <v>الجهاز العسكري</v>
      </c>
      <c r="E312" s="18" t="str">
        <f aca="false">IFERROR(INDEX('قائمة الوحدات'!$D$2:$D$41,MATCH($B312,'قائمة الوحدات'!$A$2:$A$41,0)),"")</f>
        <v>الإدارة العامة للاتصالات وتقنية المعلومات العسكرية</v>
      </c>
      <c r="F312" s="18" t="str">
        <f aca="false">IFERROR(INDEX('قائمة الوحدات'!$F$2:$F$41,MATCH($B312,'قائمة الوحدات'!$A$2:$A$41,0)),"")</f>
        <v>الإدارة العامة للاتصالات وتقنية المعلومات العسكرية</v>
      </c>
      <c r="G312" s="20" t="s">
        <v>62</v>
      </c>
      <c r="H312" s="18" t="str">
        <f aca="false">IFERROR(INDEX(المرجع!$A$2:$A$19,MATCH($G312,المرجع!$B$2:$B$19,0)),"")</f>
        <v>البناء المؤسسي</v>
      </c>
      <c r="I312" s="20" t="s">
        <v>52</v>
      </c>
      <c r="J312" s="18" t="str">
        <f aca="false">IFERROR(INDEX(المرجع!$D$2:$D$19,MATCH($I312,المرجع!$E$2:$E$19,0)),"")</f>
        <v>الحوكمة</v>
      </c>
      <c r="K312" s="20" t="s">
        <v>96</v>
      </c>
      <c r="L312" s="21" t="str">
        <f aca="false">IFERROR(INDEX('نقاط التحقق'!$G$2:$G$31,MATCH($K312,'نقاط التحقق'!$A$2:$A$31,0))&amp;"","")</f>
        <v>مصفوفة صلاحيات معتمدة ومعممة على أصحاب المصلحة</v>
      </c>
      <c r="M312" s="17" t="n">
        <v>65</v>
      </c>
      <c r="N312" s="17" t="n">
        <v>95</v>
      </c>
      <c r="O312" s="19" t="str">
        <f aca="false">IF($M312="","غير مقيّمة",IF($M312&gt;المرجع!$K$3,"مستوفاة بشكل متقدم",IF($M312&lt;=المرجع!$K$2,"مستوفاة بشكل أولي","مستوفاة بشكل جزئي")))</f>
        <v>مستوفاة بشكل جزئي</v>
      </c>
      <c r="P312" s="22"/>
    </row>
    <row r="313" customFormat="false" ht="15" hidden="false" customHeight="true" outlineLevel="0" collapsed="false">
      <c r="A313" s="20" t="s">
        <v>1127</v>
      </c>
      <c r="B313" s="20" t="s">
        <v>216</v>
      </c>
      <c r="C313" s="19" t="str">
        <f aca="false">IFERROR(INDEX('قائمة الوحدات'!$B$2:$B$41,MATCH($B313,'قائمة الوحدات'!$A$2:$A$41,0)),"")</f>
        <v>MIL</v>
      </c>
      <c r="D313" s="18" t="str">
        <f aca="false">IFERROR(INDEX('قائمة الوحدات'!$C$2:$C$41,MATCH($B313,'قائمة الوحدات'!$A$2:$A$41,0)),"")</f>
        <v>الجهاز العسكري</v>
      </c>
      <c r="E313" s="18" t="str">
        <f aca="false">IFERROR(INDEX('قائمة الوحدات'!$D$2:$D$41,MATCH($B313,'قائمة الوحدات'!$A$2:$A$41,0)),"")</f>
        <v>الإدارة العامة للاتصالات وتقنية المعلومات العسكرية</v>
      </c>
      <c r="F313" s="18" t="str">
        <f aca="false">IFERROR(INDEX('قائمة الوحدات'!$F$2:$F$41,MATCH($B313,'قائمة الوحدات'!$A$2:$A$41,0)),"")</f>
        <v>الإدارة العامة للاتصالات وتقنية المعلومات العسكرية</v>
      </c>
      <c r="G313" s="20" t="s">
        <v>62</v>
      </c>
      <c r="H313" s="18" t="str">
        <f aca="false">IFERROR(INDEX(المرجع!$A$2:$A$19,MATCH($G313,المرجع!$B$2:$B$19,0)),"")</f>
        <v>البناء المؤسسي</v>
      </c>
      <c r="I313" s="20" t="s">
        <v>52</v>
      </c>
      <c r="J313" s="18" t="str">
        <f aca="false">IFERROR(INDEX(المرجع!$D$2:$D$19,MATCH($I313,المرجع!$E$2:$E$19,0)),"")</f>
        <v>الحوكمة</v>
      </c>
      <c r="K313" s="20" t="s">
        <v>98</v>
      </c>
      <c r="L313" s="21" t="str">
        <f aca="false">IFERROR(INDEX('نقاط التحقق'!$G$2:$G$31,MATCH($K313,'نقاط التحقق'!$A$2:$A$31,0))&amp;"","")</f>
        <v>سياسات معتمدة للتي تملكها الوحدة التنظيمية</v>
      </c>
      <c r="M313" s="17" t="n">
        <v>95</v>
      </c>
      <c r="N313" s="17" t="n">
        <v>95</v>
      </c>
      <c r="O313" s="19" t="str">
        <f aca="false">IF($M313="","غير مقيّمة",IF($M313&gt;المرجع!$K$3,"مستوفاة بشكل متقدم",IF($M313&lt;=المرجع!$K$2,"مستوفاة بشكل أولي","مستوفاة بشكل جزئي")))</f>
        <v>مستوفاة بشكل متقدم</v>
      </c>
      <c r="P313" s="22"/>
    </row>
    <row r="314" customFormat="false" ht="15" hidden="false" customHeight="true" outlineLevel="0" collapsed="false">
      <c r="A314" s="20" t="s">
        <v>1128</v>
      </c>
      <c r="B314" s="20" t="s">
        <v>216</v>
      </c>
      <c r="C314" s="19" t="str">
        <f aca="false">IFERROR(INDEX('قائمة الوحدات'!$B$2:$B$41,MATCH($B314,'قائمة الوحدات'!$A$2:$A$41,0)),"")</f>
        <v>MIL</v>
      </c>
      <c r="D314" s="18" t="str">
        <f aca="false">IFERROR(INDEX('قائمة الوحدات'!$C$2:$C$41,MATCH($B314,'قائمة الوحدات'!$A$2:$A$41,0)),"")</f>
        <v>الجهاز العسكري</v>
      </c>
      <c r="E314" s="18" t="str">
        <f aca="false">IFERROR(INDEX('قائمة الوحدات'!$D$2:$D$41,MATCH($B314,'قائمة الوحدات'!$A$2:$A$41,0)),"")</f>
        <v>الإدارة العامة للاتصالات وتقنية المعلومات العسكرية</v>
      </c>
      <c r="F314" s="18" t="str">
        <f aca="false">IFERROR(INDEX('قائمة الوحدات'!$F$2:$F$41,MATCH($B314,'قائمة الوحدات'!$A$2:$A$41,0)),"")</f>
        <v>الإدارة العامة للاتصالات وتقنية المعلومات العسكرية</v>
      </c>
      <c r="G314" s="20" t="s">
        <v>62</v>
      </c>
      <c r="H314" s="18" t="str">
        <f aca="false">IFERROR(INDEX(المرجع!$A$2:$A$19,MATCH($G314,المرجع!$B$2:$B$19,0)),"")</f>
        <v>البناء المؤسسي</v>
      </c>
      <c r="I314" s="20" t="s">
        <v>52</v>
      </c>
      <c r="J314" s="18" t="str">
        <f aca="false">IFERROR(INDEX(المرجع!$D$2:$D$19,MATCH($I314,المرجع!$E$2:$E$19,0)),"")</f>
        <v>الحوكمة</v>
      </c>
      <c r="K314" s="20" t="s">
        <v>100</v>
      </c>
      <c r="L314" s="21" t="str">
        <f aca="false">IFERROR(INDEX('نقاط التحقق'!$G$2:$G$31,MATCH($K314,'نقاط التحقق'!$A$2:$A$31,0))&amp;"","")</f>
        <v>قرار تشكيل معتمد للجان ذات العلاقة</v>
      </c>
      <c r="M314" s="17" t="n">
        <v>95</v>
      </c>
      <c r="N314" s="17" t="n">
        <v>95</v>
      </c>
      <c r="O314" s="19" t="str">
        <f aca="false">IF($M314="","غير مقيّمة",IF($M314&gt;المرجع!$K$3,"مستوفاة بشكل متقدم",IF($M314&lt;=المرجع!$K$2,"مستوفاة بشكل أولي","مستوفاة بشكل جزئي")))</f>
        <v>مستوفاة بشكل متقدم</v>
      </c>
      <c r="P314" s="22"/>
    </row>
    <row r="315" customFormat="false" ht="15" hidden="false" customHeight="true" outlineLevel="0" collapsed="false">
      <c r="A315" s="20" t="s">
        <v>1129</v>
      </c>
      <c r="B315" s="20" t="s">
        <v>216</v>
      </c>
      <c r="C315" s="19" t="str">
        <f aca="false">IFERROR(INDEX('قائمة الوحدات'!$B$2:$B$41,MATCH($B315,'قائمة الوحدات'!$A$2:$A$41,0)),"")</f>
        <v>MIL</v>
      </c>
      <c r="D315" s="18" t="str">
        <f aca="false">IFERROR(INDEX('قائمة الوحدات'!$C$2:$C$41,MATCH($B315,'قائمة الوحدات'!$A$2:$A$41,0)),"")</f>
        <v>الجهاز العسكري</v>
      </c>
      <c r="E315" s="18" t="str">
        <f aca="false">IFERROR(INDEX('قائمة الوحدات'!$D$2:$D$41,MATCH($B315,'قائمة الوحدات'!$A$2:$A$41,0)),"")</f>
        <v>الإدارة العامة للاتصالات وتقنية المعلومات العسكرية</v>
      </c>
      <c r="F315" s="18" t="str">
        <f aca="false">IFERROR(INDEX('قائمة الوحدات'!$F$2:$F$41,MATCH($B315,'قائمة الوحدات'!$A$2:$A$41,0)),"")</f>
        <v>الإدارة العامة للاتصالات وتقنية المعلومات العسكرية</v>
      </c>
      <c r="G315" s="20" t="s">
        <v>62</v>
      </c>
      <c r="H315" s="18" t="str">
        <f aca="false">IFERROR(INDEX(المرجع!$A$2:$A$19,MATCH($G315,المرجع!$B$2:$B$19,0)),"")</f>
        <v>البناء المؤسسي</v>
      </c>
      <c r="I315" s="20" t="s">
        <v>55</v>
      </c>
      <c r="J315" s="18" t="str">
        <f aca="false">IFERROR(INDEX(المرجع!$D$2:$D$19,MATCH($I315,المرجع!$E$2:$E$19,0)),"")</f>
        <v>التنظيم</v>
      </c>
      <c r="K315" s="20" t="s">
        <v>102</v>
      </c>
      <c r="L315" s="21" t="str">
        <f aca="false">IFERROR(INDEX('نقاط التحقق'!$G$2:$G$31,MATCH($K315,'نقاط التحقق'!$A$2:$A$31,0))&amp;"","")</f>
        <v>هيكل تنظيمي معتمد من صاحب الصلاحية</v>
      </c>
      <c r="M315" s="17" t="n">
        <v>60</v>
      </c>
      <c r="N315" s="17" t="n">
        <v>90</v>
      </c>
      <c r="O315" s="19" t="str">
        <f aca="false">IF($M315="","غير مقيّمة",IF($M315&gt;المرجع!$K$3,"مستوفاة بشكل متقدم",IF($M315&lt;=المرجع!$K$2,"مستوفاة بشكل أولي","مستوفاة بشكل جزئي")))</f>
        <v>مستوفاة بشكل جزئي</v>
      </c>
      <c r="P315" s="22"/>
    </row>
    <row r="316" customFormat="false" ht="15" hidden="false" customHeight="true" outlineLevel="0" collapsed="false">
      <c r="A316" s="20" t="s">
        <v>1130</v>
      </c>
      <c r="B316" s="20" t="s">
        <v>216</v>
      </c>
      <c r="C316" s="19" t="str">
        <f aca="false">IFERROR(INDEX('قائمة الوحدات'!$B$2:$B$41,MATCH($B316,'قائمة الوحدات'!$A$2:$A$41,0)),"")</f>
        <v>MIL</v>
      </c>
      <c r="D316" s="18" t="str">
        <f aca="false">IFERROR(INDEX('قائمة الوحدات'!$C$2:$C$41,MATCH($B316,'قائمة الوحدات'!$A$2:$A$41,0)),"")</f>
        <v>الجهاز العسكري</v>
      </c>
      <c r="E316" s="18" t="str">
        <f aca="false">IFERROR(INDEX('قائمة الوحدات'!$D$2:$D$41,MATCH($B316,'قائمة الوحدات'!$A$2:$A$41,0)),"")</f>
        <v>الإدارة العامة للاتصالات وتقنية المعلومات العسكرية</v>
      </c>
      <c r="F316" s="18" t="str">
        <f aca="false">IFERROR(INDEX('قائمة الوحدات'!$F$2:$F$41,MATCH($B316,'قائمة الوحدات'!$A$2:$A$41,0)),"")</f>
        <v>الإدارة العامة للاتصالات وتقنية المعلومات العسكرية</v>
      </c>
      <c r="G316" s="20" t="s">
        <v>62</v>
      </c>
      <c r="H316" s="18" t="str">
        <f aca="false">IFERROR(INDEX(المرجع!$A$2:$A$19,MATCH($G316,المرجع!$B$2:$B$19,0)),"")</f>
        <v>البناء المؤسسي</v>
      </c>
      <c r="I316" s="20" t="s">
        <v>55</v>
      </c>
      <c r="J316" s="18" t="str">
        <f aca="false">IFERROR(INDEX(المرجع!$D$2:$D$19,MATCH($I316,المرجع!$E$2:$E$19,0)),"")</f>
        <v>التنظيم</v>
      </c>
      <c r="K316" s="20" t="s">
        <v>104</v>
      </c>
      <c r="L316" s="21" t="str">
        <f aca="false">IFERROR(INDEX('نقاط التحقق'!$G$2:$G$31,MATCH($K316,'نقاط التحقق'!$A$2:$A$31,0))&amp;"","")</f>
        <v>هيكل تنظيمي منشأ على نظام القوى العاملة</v>
      </c>
      <c r="M316" s="17" t="n">
        <v>65</v>
      </c>
      <c r="N316" s="17" t="n">
        <v>100</v>
      </c>
      <c r="O316" s="19" t="str">
        <f aca="false">IF($M316="","غير مقيّمة",IF($M316&gt;المرجع!$K$3,"مستوفاة بشكل متقدم",IF($M316&lt;=المرجع!$K$2,"مستوفاة بشكل أولي","مستوفاة بشكل جزئي")))</f>
        <v>مستوفاة بشكل جزئي</v>
      </c>
      <c r="P316" s="22"/>
    </row>
    <row r="317" customFormat="false" ht="15" hidden="false" customHeight="true" outlineLevel="0" collapsed="false">
      <c r="A317" s="20" t="s">
        <v>1131</v>
      </c>
      <c r="B317" s="20" t="s">
        <v>216</v>
      </c>
      <c r="C317" s="19" t="str">
        <f aca="false">IFERROR(INDEX('قائمة الوحدات'!$B$2:$B$41,MATCH($B317,'قائمة الوحدات'!$A$2:$A$41,0)),"")</f>
        <v>MIL</v>
      </c>
      <c r="D317" s="18" t="str">
        <f aca="false">IFERROR(INDEX('قائمة الوحدات'!$C$2:$C$41,MATCH($B317,'قائمة الوحدات'!$A$2:$A$41,0)),"")</f>
        <v>الجهاز العسكري</v>
      </c>
      <c r="E317" s="18" t="str">
        <f aca="false">IFERROR(INDEX('قائمة الوحدات'!$D$2:$D$41,MATCH($B317,'قائمة الوحدات'!$A$2:$A$41,0)),"")</f>
        <v>الإدارة العامة للاتصالات وتقنية المعلومات العسكرية</v>
      </c>
      <c r="F317" s="18" t="str">
        <f aca="false">IFERROR(INDEX('قائمة الوحدات'!$F$2:$F$41,MATCH($B317,'قائمة الوحدات'!$A$2:$A$41,0)),"")</f>
        <v>الإدارة العامة للاتصالات وتقنية المعلومات العسكرية</v>
      </c>
      <c r="G317" s="20" t="s">
        <v>62</v>
      </c>
      <c r="H317" s="18" t="str">
        <f aca="false">IFERROR(INDEX(المرجع!$A$2:$A$19,MATCH($G317,المرجع!$B$2:$B$19,0)),"")</f>
        <v>البناء المؤسسي</v>
      </c>
      <c r="I317" s="20" t="s">
        <v>55</v>
      </c>
      <c r="J317" s="18" t="str">
        <f aca="false">IFERROR(INDEX(المرجع!$D$2:$D$19,MATCH($I317,المرجع!$E$2:$E$19,0)),"")</f>
        <v>التنظيم</v>
      </c>
      <c r="K317" s="20" t="s">
        <v>106</v>
      </c>
      <c r="L317" s="21" t="str">
        <f aca="false">IFERROR(INDEX('نقاط التحقق'!$G$2:$G$31,MATCH($K317,'نقاط التحقق'!$A$2:$A$31,0))&amp;"","")</f>
        <v>الموظفون المحددون مسكّنون على الهيكل التنظيمي المستهدف</v>
      </c>
      <c r="M317" s="17" t="n">
        <v>40</v>
      </c>
      <c r="N317" s="17" t="n">
        <v>80</v>
      </c>
      <c r="O317" s="19" t="str">
        <f aca="false">IF($M317="","غير مقيّمة",IF($M317&gt;المرجع!$K$3,"مستوفاة بشكل متقدم",IF($M317&lt;=المرجع!$K$2,"مستوفاة بشكل أولي","مستوفاة بشكل جزئي")))</f>
        <v>مستوفاة بشكل جزئي</v>
      </c>
      <c r="P317" s="22"/>
    </row>
    <row r="318" customFormat="false" ht="15" hidden="false" customHeight="true" outlineLevel="0" collapsed="false">
      <c r="A318" s="20" t="s">
        <v>1132</v>
      </c>
      <c r="B318" s="20" t="s">
        <v>216</v>
      </c>
      <c r="C318" s="19" t="str">
        <f aca="false">IFERROR(INDEX('قائمة الوحدات'!$B$2:$B$41,MATCH($B318,'قائمة الوحدات'!$A$2:$A$41,0)),"")</f>
        <v>MIL</v>
      </c>
      <c r="D318" s="18" t="str">
        <f aca="false">IFERROR(INDEX('قائمة الوحدات'!$C$2:$C$41,MATCH($B318,'قائمة الوحدات'!$A$2:$A$41,0)),"")</f>
        <v>الجهاز العسكري</v>
      </c>
      <c r="E318" s="18" t="str">
        <f aca="false">IFERROR(INDEX('قائمة الوحدات'!$D$2:$D$41,MATCH($B318,'قائمة الوحدات'!$A$2:$A$41,0)),"")</f>
        <v>الإدارة العامة للاتصالات وتقنية المعلومات العسكرية</v>
      </c>
      <c r="F318" s="18" t="str">
        <f aca="false">IFERROR(INDEX('قائمة الوحدات'!$F$2:$F$41,MATCH($B318,'قائمة الوحدات'!$A$2:$A$41,0)),"")</f>
        <v>الإدارة العامة للاتصالات وتقنية المعلومات العسكرية</v>
      </c>
      <c r="G318" s="20" t="s">
        <v>62</v>
      </c>
      <c r="H318" s="18" t="str">
        <f aca="false">IFERROR(INDEX(المرجع!$A$2:$A$19,MATCH($G318,المرجع!$B$2:$B$19,0)),"")</f>
        <v>البناء المؤسسي</v>
      </c>
      <c r="I318" s="20" t="s">
        <v>57</v>
      </c>
      <c r="J318" s="18" t="str">
        <f aca="false">IFERROR(INDEX(المرجع!$D$2:$D$19,MATCH($I318,المرجع!$E$2:$E$19,0)),"")</f>
        <v>الموارد</v>
      </c>
      <c r="K318" s="20" t="s">
        <v>108</v>
      </c>
      <c r="L318" s="21" t="str">
        <f aca="false">IFERROR(INDEX('نقاط التحقق'!$G$2:$G$31,MATCH($K318,'نقاط التحقق'!$A$2:$A$31,0))&amp;"","")</f>
        <v>مدير الوحدة التنظيمية والموظفون الرئيسيون معينون/ملحقون</v>
      </c>
      <c r="M318" s="17" t="n">
        <v>75</v>
      </c>
      <c r="N318" s="17" t="n">
        <v>100</v>
      </c>
      <c r="O318" s="19" t="str">
        <f aca="false">IF($M318="","غير مقيّمة",IF($M318&gt;المرجع!$K$3,"مستوفاة بشكل متقدم",IF($M318&lt;=المرجع!$K$2,"مستوفاة بشكل أولي","مستوفاة بشكل جزئي")))</f>
        <v>مستوفاة بشكل متقدم</v>
      </c>
      <c r="P318" s="22"/>
    </row>
    <row r="319" customFormat="false" ht="15" hidden="false" customHeight="true" outlineLevel="0" collapsed="false">
      <c r="A319" s="20" t="s">
        <v>1133</v>
      </c>
      <c r="B319" s="20" t="s">
        <v>216</v>
      </c>
      <c r="C319" s="19" t="str">
        <f aca="false">IFERROR(INDEX('قائمة الوحدات'!$B$2:$B$41,MATCH($B319,'قائمة الوحدات'!$A$2:$A$41,0)),"")</f>
        <v>MIL</v>
      </c>
      <c r="D319" s="18" t="str">
        <f aca="false">IFERROR(INDEX('قائمة الوحدات'!$C$2:$C$41,MATCH($B319,'قائمة الوحدات'!$A$2:$A$41,0)),"")</f>
        <v>الجهاز العسكري</v>
      </c>
      <c r="E319" s="18" t="str">
        <f aca="false">IFERROR(INDEX('قائمة الوحدات'!$D$2:$D$41,MATCH($B319,'قائمة الوحدات'!$A$2:$A$41,0)),"")</f>
        <v>الإدارة العامة للاتصالات وتقنية المعلومات العسكرية</v>
      </c>
      <c r="F319" s="18" t="str">
        <f aca="false">IFERROR(INDEX('قائمة الوحدات'!$F$2:$F$41,MATCH($B319,'قائمة الوحدات'!$A$2:$A$41,0)),"")</f>
        <v>الإدارة العامة للاتصالات وتقنية المعلومات العسكرية</v>
      </c>
      <c r="G319" s="20" t="s">
        <v>62</v>
      </c>
      <c r="H319" s="18" t="str">
        <f aca="false">IFERROR(INDEX(المرجع!$A$2:$A$19,MATCH($G319,المرجع!$B$2:$B$19,0)),"")</f>
        <v>البناء المؤسسي</v>
      </c>
      <c r="I319" s="20" t="s">
        <v>57</v>
      </c>
      <c r="J319" s="18" t="str">
        <f aca="false">IFERROR(INDEX(المرجع!$D$2:$D$19,MATCH($I319,المرجع!$E$2:$E$19,0)),"")</f>
        <v>الموارد</v>
      </c>
      <c r="K319" s="20" t="s">
        <v>110</v>
      </c>
      <c r="L319" s="21" t="str">
        <f aca="false">IFERROR(INDEX('نقاط التحقق'!$G$2:$G$31,MATCH($K319,'نقاط التحقق'!$A$2:$A$31,0))&amp;"","")</f>
        <v>خطة توظيف وتدريب مستكملة</v>
      </c>
      <c r="M319" s="17" t="n">
        <v>80</v>
      </c>
      <c r="N319" s="17" t="n">
        <v>85</v>
      </c>
      <c r="O319" s="19" t="str">
        <f aca="false">IF($M319="","غير مقيّمة",IF($M319&gt;المرجع!$K$3,"مستوفاة بشكل متقدم",IF($M319&lt;=المرجع!$K$2,"مستوفاة بشكل أولي","مستوفاة بشكل جزئي")))</f>
        <v>مستوفاة بشكل متقدم</v>
      </c>
      <c r="P319" s="22"/>
    </row>
    <row r="320" customFormat="false" ht="15" hidden="false" customHeight="true" outlineLevel="0" collapsed="false">
      <c r="A320" s="20" t="s">
        <v>1134</v>
      </c>
      <c r="B320" s="20" t="s">
        <v>216</v>
      </c>
      <c r="C320" s="19" t="str">
        <f aca="false">IFERROR(INDEX('قائمة الوحدات'!$B$2:$B$41,MATCH($B320,'قائمة الوحدات'!$A$2:$A$41,0)),"")</f>
        <v>MIL</v>
      </c>
      <c r="D320" s="18" t="str">
        <f aca="false">IFERROR(INDEX('قائمة الوحدات'!$C$2:$C$41,MATCH($B320,'قائمة الوحدات'!$A$2:$A$41,0)),"")</f>
        <v>الجهاز العسكري</v>
      </c>
      <c r="E320" s="18" t="str">
        <f aca="false">IFERROR(INDEX('قائمة الوحدات'!$D$2:$D$41,MATCH($B320,'قائمة الوحدات'!$A$2:$A$41,0)),"")</f>
        <v>الإدارة العامة للاتصالات وتقنية المعلومات العسكرية</v>
      </c>
      <c r="F320" s="18" t="str">
        <f aca="false">IFERROR(INDEX('قائمة الوحدات'!$F$2:$F$41,MATCH($B320,'قائمة الوحدات'!$A$2:$A$41,0)),"")</f>
        <v>الإدارة العامة للاتصالات وتقنية المعلومات العسكرية</v>
      </c>
      <c r="G320" s="20" t="s">
        <v>62</v>
      </c>
      <c r="H320" s="18" t="str">
        <f aca="false">IFERROR(INDEX(المرجع!$A$2:$A$19,MATCH($G320,المرجع!$B$2:$B$19,0)),"")</f>
        <v>البناء المؤسسي</v>
      </c>
      <c r="I320" s="20" t="s">
        <v>57</v>
      </c>
      <c r="J320" s="18" t="str">
        <f aca="false">IFERROR(INDEX(المرجع!$D$2:$D$19,MATCH($I320,المرجع!$E$2:$E$19,0)),"")</f>
        <v>الموارد</v>
      </c>
      <c r="K320" s="20" t="s">
        <v>112</v>
      </c>
      <c r="L320" s="21" t="str">
        <f aca="false">IFERROR(INDEX('نقاط التحقق'!$G$2:$G$31,MATCH($K320,'نقاط التحقق'!$A$2:$A$31,0))&amp;"","")</f>
        <v>وجود مساحات مكتبية كافية</v>
      </c>
      <c r="M320" s="17" t="n">
        <v>80</v>
      </c>
      <c r="N320" s="17" t="n">
        <v>100</v>
      </c>
      <c r="O320" s="19" t="str">
        <f aca="false">IF($M320="","غير مقيّمة",IF($M320&gt;المرجع!$K$3,"مستوفاة بشكل متقدم",IF($M320&lt;=المرجع!$K$2,"مستوفاة بشكل أولي","مستوفاة بشكل جزئي")))</f>
        <v>مستوفاة بشكل متقدم</v>
      </c>
      <c r="P320" s="22"/>
    </row>
    <row r="321" customFormat="false" ht="15" hidden="false" customHeight="true" outlineLevel="0" collapsed="false">
      <c r="A321" s="20" t="s">
        <v>1135</v>
      </c>
      <c r="B321" s="20" t="s">
        <v>216</v>
      </c>
      <c r="C321" s="19" t="str">
        <f aca="false">IFERROR(INDEX('قائمة الوحدات'!$B$2:$B$41,MATCH($B321,'قائمة الوحدات'!$A$2:$A$41,0)),"")</f>
        <v>MIL</v>
      </c>
      <c r="D321" s="18" t="str">
        <f aca="false">IFERROR(INDEX('قائمة الوحدات'!$C$2:$C$41,MATCH($B321,'قائمة الوحدات'!$A$2:$A$41,0)),"")</f>
        <v>الجهاز العسكري</v>
      </c>
      <c r="E321" s="18" t="str">
        <f aca="false">IFERROR(INDEX('قائمة الوحدات'!$D$2:$D$41,MATCH($B321,'قائمة الوحدات'!$A$2:$A$41,0)),"")</f>
        <v>الإدارة العامة للاتصالات وتقنية المعلومات العسكرية</v>
      </c>
      <c r="F321" s="18" t="str">
        <f aca="false">IFERROR(INDEX('قائمة الوحدات'!$F$2:$F$41,MATCH($B321,'قائمة الوحدات'!$A$2:$A$41,0)),"")</f>
        <v>الإدارة العامة للاتصالات وتقنية المعلومات العسكرية</v>
      </c>
      <c r="G321" s="20" t="s">
        <v>62</v>
      </c>
      <c r="H321" s="18" t="str">
        <f aca="false">IFERROR(INDEX(المرجع!$A$2:$A$19,MATCH($G321,المرجع!$B$2:$B$19,0)),"")</f>
        <v>البناء المؤسسي</v>
      </c>
      <c r="I321" s="20" t="s">
        <v>57</v>
      </c>
      <c r="J321" s="18" t="str">
        <f aca="false">IFERROR(INDEX(المرجع!$D$2:$D$19,MATCH($I321,المرجع!$E$2:$E$19,0)),"")</f>
        <v>الموارد</v>
      </c>
      <c r="K321" s="20" t="s">
        <v>114</v>
      </c>
      <c r="L321" s="21" t="str">
        <f aca="false">IFERROR(INDEX('نقاط التحقق'!$G$2:$G$31,MATCH($K321,'نقاط التحقق'!$A$2:$A$31,0))&amp;"","")</f>
        <v>وجود الاحتياجات التقنية الأساسية</v>
      </c>
      <c r="M321" s="17" t="n">
        <v>70</v>
      </c>
      <c r="N321" s="17" t="n">
        <v>95</v>
      </c>
      <c r="O321" s="19" t="str">
        <f aca="false">IF($M321="","غير مقيّمة",IF($M321&gt;المرجع!$K$3,"مستوفاة بشكل متقدم",IF($M321&lt;=المرجع!$K$2,"مستوفاة بشكل أولي","مستوفاة بشكل جزئي")))</f>
        <v>مستوفاة بشكل جزئي</v>
      </c>
      <c r="P321" s="22"/>
    </row>
    <row r="322" customFormat="false" ht="15" hidden="false" customHeight="true" outlineLevel="0" collapsed="false">
      <c r="A322" s="20" t="s">
        <v>1136</v>
      </c>
      <c r="B322" s="20" t="s">
        <v>216</v>
      </c>
      <c r="C322" s="19" t="str">
        <f aca="false">IFERROR(INDEX('قائمة الوحدات'!$B$2:$B$41,MATCH($B322,'قائمة الوحدات'!$A$2:$A$41,0)),"")</f>
        <v>MIL</v>
      </c>
      <c r="D322" s="18" t="str">
        <f aca="false">IFERROR(INDEX('قائمة الوحدات'!$C$2:$C$41,MATCH($B322,'قائمة الوحدات'!$A$2:$A$41,0)),"")</f>
        <v>الجهاز العسكري</v>
      </c>
      <c r="E322" s="18" t="str">
        <f aca="false">IFERROR(INDEX('قائمة الوحدات'!$D$2:$D$41,MATCH($B322,'قائمة الوحدات'!$A$2:$A$41,0)),"")</f>
        <v>الإدارة العامة للاتصالات وتقنية المعلومات العسكرية</v>
      </c>
      <c r="F322" s="18" t="str">
        <f aca="false">IFERROR(INDEX('قائمة الوحدات'!$F$2:$F$41,MATCH($B322,'قائمة الوحدات'!$A$2:$A$41,0)),"")</f>
        <v>الإدارة العامة للاتصالات وتقنية المعلومات العسكرية</v>
      </c>
      <c r="G322" s="20" t="s">
        <v>62</v>
      </c>
      <c r="H322" s="18" t="str">
        <f aca="false">IFERROR(INDEX(المرجع!$A$2:$A$19,MATCH($G322,المرجع!$B$2:$B$19,0)),"")</f>
        <v>البناء المؤسسي</v>
      </c>
      <c r="I322" s="20" t="s">
        <v>60</v>
      </c>
      <c r="J322" s="18" t="str">
        <f aca="false">IFERROR(INDEX(المرجع!$D$2:$D$19,MATCH($I322,المرجع!$E$2:$E$19,0)),"")</f>
        <v>الإجراءات</v>
      </c>
      <c r="K322" s="20" t="s">
        <v>116</v>
      </c>
      <c r="L322" s="21" t="str">
        <f aca="false">IFERROR(INDEX('نقاط التحقق'!$G$2:$G$31,MATCH($K322,'نقاط التحقق'!$A$2:$A$31,0))&amp;"","")</f>
        <v>إجراءات معتمدة للوحدة التنظيمية</v>
      </c>
      <c r="M322" s="17" t="n">
        <v>77</v>
      </c>
      <c r="N322" s="17" t="n">
        <v>90</v>
      </c>
      <c r="O322" s="19" t="str">
        <f aca="false">IF($M322="","غير مقيّمة",IF($M322&gt;المرجع!$K$3,"مستوفاة بشكل متقدم",IF($M322&lt;=المرجع!$K$2,"مستوفاة بشكل أولي","مستوفاة بشكل جزئي")))</f>
        <v>مستوفاة بشكل متقدم</v>
      </c>
      <c r="P322" s="22"/>
    </row>
    <row r="323" customFormat="false" ht="15" hidden="false" customHeight="true" outlineLevel="0" collapsed="false">
      <c r="A323" s="20" t="s">
        <v>1137</v>
      </c>
      <c r="B323" s="20" t="s">
        <v>216</v>
      </c>
      <c r="C323" s="19" t="str">
        <f aca="false">IFERROR(INDEX('قائمة الوحدات'!$B$2:$B$41,MATCH($B323,'قائمة الوحدات'!$A$2:$A$41,0)),"")</f>
        <v>MIL</v>
      </c>
      <c r="D323" s="18" t="str">
        <f aca="false">IFERROR(INDEX('قائمة الوحدات'!$C$2:$C$41,MATCH($B323,'قائمة الوحدات'!$A$2:$A$41,0)),"")</f>
        <v>الجهاز العسكري</v>
      </c>
      <c r="E323" s="18" t="str">
        <f aca="false">IFERROR(INDEX('قائمة الوحدات'!$D$2:$D$41,MATCH($B323,'قائمة الوحدات'!$A$2:$A$41,0)),"")</f>
        <v>الإدارة العامة للاتصالات وتقنية المعلومات العسكرية</v>
      </c>
      <c r="F323" s="18" t="str">
        <f aca="false">IFERROR(INDEX('قائمة الوحدات'!$F$2:$F$41,MATCH($B323,'قائمة الوحدات'!$A$2:$A$41,0)),"")</f>
        <v>الإدارة العامة للاتصالات وتقنية المعلومات العسكرية</v>
      </c>
      <c r="G323" s="20" t="s">
        <v>62</v>
      </c>
      <c r="H323" s="18" t="str">
        <f aca="false">IFERROR(INDEX(المرجع!$A$2:$A$19,MATCH($G323,المرجع!$B$2:$B$19,0)),"")</f>
        <v>البناء المؤسسي</v>
      </c>
      <c r="I323" s="20" t="s">
        <v>69</v>
      </c>
      <c r="J323" s="18" t="str">
        <f aca="false">IFERROR(INDEX(المرجع!$D$2:$D$19,MATCH($I323,المرجع!$E$2:$E$19,0)),"")</f>
        <v>إنتاج المخرج الأول</v>
      </c>
      <c r="K323" s="20" t="s">
        <v>118</v>
      </c>
      <c r="L323" s="21" t="str">
        <f aca="false">IFERROR(INDEX('نقاط التحقق'!$G$2:$G$31,MATCH($K323,'نقاط التحقق'!$A$2:$A$31,0))&amp;"","")</f>
        <v>إنتاج المخرج الأول من قبل الوحدة التنظيمية</v>
      </c>
      <c r="M323" s="17" t="n">
        <v>83</v>
      </c>
      <c r="N323" s="17" t="n">
        <v>100</v>
      </c>
      <c r="O323" s="19" t="str">
        <f aca="false">IF($M323="","غير مقيّمة",IF($M323&gt;المرجع!$K$3,"مستوفاة بشكل متقدم",IF($M323&lt;=المرجع!$K$2,"مستوفاة بشكل أولي","مستوفاة بشكل جزئي")))</f>
        <v>مستوفاة بشكل متقدم</v>
      </c>
      <c r="P323" s="22"/>
    </row>
    <row r="324" customFormat="false" ht="15" hidden="false" customHeight="true" outlineLevel="0" collapsed="false">
      <c r="A324" s="20" t="s">
        <v>1138</v>
      </c>
      <c r="B324" s="20" t="s">
        <v>216</v>
      </c>
      <c r="C324" s="19" t="str">
        <f aca="false">IFERROR(INDEX('قائمة الوحدات'!$B$2:$B$41,MATCH($B324,'قائمة الوحدات'!$A$2:$A$41,0)),"")</f>
        <v>MIL</v>
      </c>
      <c r="D324" s="18" t="str">
        <f aca="false">IFERROR(INDEX('قائمة الوحدات'!$C$2:$C$41,MATCH($B324,'قائمة الوحدات'!$A$2:$A$41,0)),"")</f>
        <v>الجهاز العسكري</v>
      </c>
      <c r="E324" s="18" t="str">
        <f aca="false">IFERROR(INDEX('قائمة الوحدات'!$D$2:$D$41,MATCH($B324,'قائمة الوحدات'!$A$2:$A$41,0)),"")</f>
        <v>الإدارة العامة للاتصالات وتقنية المعلومات العسكرية</v>
      </c>
      <c r="F324" s="18" t="str">
        <f aca="false">IFERROR(INDEX('قائمة الوحدات'!$F$2:$F$41,MATCH($B324,'قائمة الوحدات'!$A$2:$A$41,0)),"")</f>
        <v>الإدارة العامة للاتصالات وتقنية المعلومات العسكرية</v>
      </c>
      <c r="G324" s="20" t="s">
        <v>66</v>
      </c>
      <c r="H324" s="18" t="str">
        <f aca="false">IFERROR(INDEX(المرجع!$A$2:$A$19,MATCH($G324,المرجع!$B$2:$B$19,0)),"")</f>
        <v>التشغيل</v>
      </c>
      <c r="I324" s="20" t="s">
        <v>49</v>
      </c>
      <c r="J324" s="18" t="str">
        <f aca="false">IFERROR(INDEX(المرجع!$D$2:$D$19,MATCH($I324,المرجع!$E$2:$E$19,0)),"")</f>
        <v>الأهداف ومؤشرات الأداء</v>
      </c>
      <c r="K324" s="20" t="s">
        <v>120</v>
      </c>
      <c r="L324" s="21" t="str">
        <f aca="false">IFERROR(INDEX('نقاط التحقق'!$G$2:$G$31,MATCH($K324,'نقاط التحقق'!$A$2:$A$31,0))&amp;"","")</f>
        <v>تحرك مؤشرات الأداء التشغيلي للوحدة التنظيمية بشكل إيجابي</v>
      </c>
      <c r="M324" s="17" t="n">
        <v>35</v>
      </c>
      <c r="N324" s="17" t="n">
        <v>100</v>
      </c>
      <c r="O324" s="19" t="str">
        <f aca="false">IF($M324="","غير مقيّمة",IF($M324&gt;المرجع!$K$3,"مستوفاة بشكل متقدم",IF($M324&lt;=المرجع!$K$2,"مستوفاة بشكل أولي","مستوفاة بشكل جزئي")))</f>
        <v>مستوفاة بشكل جزئي</v>
      </c>
      <c r="P324" s="22"/>
    </row>
    <row r="325" customFormat="false" ht="15" hidden="false" customHeight="true" outlineLevel="0" collapsed="false">
      <c r="A325" s="20" t="s">
        <v>1139</v>
      </c>
      <c r="B325" s="20" t="s">
        <v>216</v>
      </c>
      <c r="C325" s="19" t="str">
        <f aca="false">IFERROR(INDEX('قائمة الوحدات'!$B$2:$B$41,MATCH($B325,'قائمة الوحدات'!$A$2:$A$41,0)),"")</f>
        <v>MIL</v>
      </c>
      <c r="D325" s="18" t="str">
        <f aca="false">IFERROR(INDEX('قائمة الوحدات'!$C$2:$C$41,MATCH($B325,'قائمة الوحدات'!$A$2:$A$41,0)),"")</f>
        <v>الجهاز العسكري</v>
      </c>
      <c r="E325" s="18" t="str">
        <f aca="false">IFERROR(INDEX('قائمة الوحدات'!$D$2:$D$41,MATCH($B325,'قائمة الوحدات'!$A$2:$A$41,0)),"")</f>
        <v>الإدارة العامة للاتصالات وتقنية المعلومات العسكرية</v>
      </c>
      <c r="F325" s="18" t="str">
        <f aca="false">IFERROR(INDEX('قائمة الوحدات'!$F$2:$F$41,MATCH($B325,'قائمة الوحدات'!$A$2:$A$41,0)),"")</f>
        <v>الإدارة العامة للاتصالات وتقنية المعلومات العسكرية</v>
      </c>
      <c r="G325" s="20" t="s">
        <v>66</v>
      </c>
      <c r="H325" s="18" t="str">
        <f aca="false">IFERROR(INDEX(المرجع!$A$2:$A$19,MATCH($G325,المرجع!$B$2:$B$19,0)),"")</f>
        <v>التشغيل</v>
      </c>
      <c r="I325" s="20" t="s">
        <v>49</v>
      </c>
      <c r="J325" s="18" t="str">
        <f aca="false">IFERROR(INDEX(المرجع!$D$2:$D$19,MATCH($I325,المرجع!$E$2:$E$19,0)),"")</f>
        <v>الأهداف ومؤشرات الأداء</v>
      </c>
      <c r="K325" s="20" t="s">
        <v>122</v>
      </c>
      <c r="L325" s="21" t="str">
        <f aca="false">IFERROR(INDEX('نقاط التحقق'!$G$2:$G$31,MATCH($K325,'نقاط التحقق'!$A$2:$A$31,0))&amp;"","")</f>
        <v>خطة سنوية معتمدة للوحدة التنظيمية</v>
      </c>
      <c r="M325" s="17" t="n">
        <v>40</v>
      </c>
      <c r="N325" s="17" t="n">
        <v>90</v>
      </c>
      <c r="O325" s="19" t="str">
        <f aca="false">IF($M325="","غير مقيّمة",IF($M325&gt;المرجع!$K$3,"مستوفاة بشكل متقدم",IF($M325&lt;=المرجع!$K$2,"مستوفاة بشكل أولي","مستوفاة بشكل جزئي")))</f>
        <v>مستوفاة بشكل جزئي</v>
      </c>
      <c r="P325" s="22"/>
    </row>
    <row r="326" customFormat="false" ht="15" hidden="false" customHeight="true" outlineLevel="0" collapsed="false">
      <c r="A326" s="20" t="s">
        <v>1140</v>
      </c>
      <c r="B326" s="20" t="s">
        <v>216</v>
      </c>
      <c r="C326" s="19" t="str">
        <f aca="false">IFERROR(INDEX('قائمة الوحدات'!$B$2:$B$41,MATCH($B326,'قائمة الوحدات'!$A$2:$A$41,0)),"")</f>
        <v>MIL</v>
      </c>
      <c r="D326" s="18" t="str">
        <f aca="false">IFERROR(INDEX('قائمة الوحدات'!$C$2:$C$41,MATCH($B326,'قائمة الوحدات'!$A$2:$A$41,0)),"")</f>
        <v>الجهاز العسكري</v>
      </c>
      <c r="E326" s="18" t="str">
        <f aca="false">IFERROR(INDEX('قائمة الوحدات'!$D$2:$D$41,MATCH($B326,'قائمة الوحدات'!$A$2:$A$41,0)),"")</f>
        <v>الإدارة العامة للاتصالات وتقنية المعلومات العسكرية</v>
      </c>
      <c r="F326" s="18" t="str">
        <f aca="false">IFERROR(INDEX('قائمة الوحدات'!$F$2:$F$41,MATCH($B326,'قائمة الوحدات'!$A$2:$A$41,0)),"")</f>
        <v>الإدارة العامة للاتصالات وتقنية المعلومات العسكرية</v>
      </c>
      <c r="G326" s="20" t="s">
        <v>66</v>
      </c>
      <c r="H326" s="18" t="str">
        <f aca="false">IFERROR(INDEX(المرجع!$A$2:$A$19,MATCH($G326,المرجع!$B$2:$B$19,0)),"")</f>
        <v>التشغيل</v>
      </c>
      <c r="I326" s="20" t="s">
        <v>52</v>
      </c>
      <c r="J326" s="18" t="str">
        <f aca="false">IFERROR(INDEX(المرجع!$D$2:$D$19,MATCH($I326,المرجع!$E$2:$E$19,0)),"")</f>
        <v>الحوكمة</v>
      </c>
      <c r="K326" s="20" t="s">
        <v>124</v>
      </c>
      <c r="L326" s="21" t="str">
        <f aca="false">IFERROR(INDEX('نقاط التحقق'!$G$2:$G$31,MATCH($K326,'نقاط التحقق'!$A$2:$A$31,0))&amp;"","")</f>
        <v>محاضر لجان موثقة</v>
      </c>
      <c r="M326" s="17" t="n">
        <v>55</v>
      </c>
      <c r="N326" s="17" t="n">
        <v>95</v>
      </c>
      <c r="O326" s="19" t="str">
        <f aca="false">IF($M326="","غير مقيّمة",IF($M326&gt;المرجع!$K$3,"مستوفاة بشكل متقدم",IF($M326&lt;=المرجع!$K$2,"مستوفاة بشكل أولي","مستوفاة بشكل جزئي")))</f>
        <v>مستوفاة بشكل جزئي</v>
      </c>
      <c r="P326" s="22"/>
    </row>
    <row r="327" customFormat="false" ht="15" hidden="false" customHeight="true" outlineLevel="0" collapsed="false">
      <c r="A327" s="20" t="s">
        <v>1141</v>
      </c>
      <c r="B327" s="20" t="s">
        <v>216</v>
      </c>
      <c r="C327" s="19" t="str">
        <f aca="false">IFERROR(INDEX('قائمة الوحدات'!$B$2:$B$41,MATCH($B327,'قائمة الوحدات'!$A$2:$A$41,0)),"")</f>
        <v>MIL</v>
      </c>
      <c r="D327" s="18" t="str">
        <f aca="false">IFERROR(INDEX('قائمة الوحدات'!$C$2:$C$41,MATCH($B327,'قائمة الوحدات'!$A$2:$A$41,0)),"")</f>
        <v>الجهاز العسكري</v>
      </c>
      <c r="E327" s="18" t="str">
        <f aca="false">IFERROR(INDEX('قائمة الوحدات'!$D$2:$D$41,MATCH($B327,'قائمة الوحدات'!$A$2:$A$41,0)),"")</f>
        <v>الإدارة العامة للاتصالات وتقنية المعلومات العسكرية</v>
      </c>
      <c r="F327" s="18" t="str">
        <f aca="false">IFERROR(INDEX('قائمة الوحدات'!$F$2:$F$41,MATCH($B327,'قائمة الوحدات'!$A$2:$A$41,0)),"")</f>
        <v>الإدارة العامة للاتصالات وتقنية المعلومات العسكرية</v>
      </c>
      <c r="G327" s="20" t="s">
        <v>66</v>
      </c>
      <c r="H327" s="18" t="str">
        <f aca="false">IFERROR(INDEX(المرجع!$A$2:$A$19,MATCH($G327,المرجع!$B$2:$B$19,0)),"")</f>
        <v>التشغيل</v>
      </c>
      <c r="I327" s="20" t="s">
        <v>52</v>
      </c>
      <c r="J327" s="18" t="str">
        <f aca="false">IFERROR(INDEX(المرجع!$D$2:$D$19,MATCH($I327,المرجع!$E$2:$E$19,0)),"")</f>
        <v>الحوكمة</v>
      </c>
      <c r="K327" s="20" t="s">
        <v>126</v>
      </c>
      <c r="L327" s="21" t="str">
        <f aca="false">IFERROR(INDEX('نقاط التحقق'!$G$2:$G$31,MATCH($K327,'نقاط التحقق'!$A$2:$A$31,0))&amp;"","")</f>
        <v>نشر السياسات التي تملكها الوحدة التنظيمية</v>
      </c>
      <c r="M327" s="17" t="n">
        <v>70</v>
      </c>
      <c r="N327" s="17" t="n">
        <v>95</v>
      </c>
      <c r="O327" s="19" t="str">
        <f aca="false">IF($M327="","غير مقيّمة",IF($M327&gt;المرجع!$K$3,"مستوفاة بشكل متقدم",IF($M327&lt;=المرجع!$K$2,"مستوفاة بشكل أولي","مستوفاة بشكل جزئي")))</f>
        <v>مستوفاة بشكل جزئي</v>
      </c>
      <c r="P327" s="22"/>
    </row>
    <row r="328" customFormat="false" ht="15" hidden="false" customHeight="true" outlineLevel="0" collapsed="false">
      <c r="A328" s="20" t="s">
        <v>1142</v>
      </c>
      <c r="B328" s="20" t="s">
        <v>216</v>
      </c>
      <c r="C328" s="19" t="str">
        <f aca="false">IFERROR(INDEX('قائمة الوحدات'!$B$2:$B$41,MATCH($B328,'قائمة الوحدات'!$A$2:$A$41,0)),"")</f>
        <v>MIL</v>
      </c>
      <c r="D328" s="18" t="str">
        <f aca="false">IFERROR(INDEX('قائمة الوحدات'!$C$2:$C$41,MATCH($B328,'قائمة الوحدات'!$A$2:$A$41,0)),"")</f>
        <v>الجهاز العسكري</v>
      </c>
      <c r="E328" s="18" t="str">
        <f aca="false">IFERROR(INDEX('قائمة الوحدات'!$D$2:$D$41,MATCH($B328,'قائمة الوحدات'!$A$2:$A$41,0)),"")</f>
        <v>الإدارة العامة للاتصالات وتقنية المعلومات العسكرية</v>
      </c>
      <c r="F328" s="18" t="str">
        <f aca="false">IFERROR(INDEX('قائمة الوحدات'!$F$2:$F$41,MATCH($B328,'قائمة الوحدات'!$A$2:$A$41,0)),"")</f>
        <v>الإدارة العامة للاتصالات وتقنية المعلومات العسكرية</v>
      </c>
      <c r="G328" s="20" t="s">
        <v>66</v>
      </c>
      <c r="H328" s="18" t="str">
        <f aca="false">IFERROR(INDEX(المرجع!$A$2:$A$19,MATCH($G328,المرجع!$B$2:$B$19,0)),"")</f>
        <v>التشغيل</v>
      </c>
      <c r="I328" s="20" t="s">
        <v>52</v>
      </c>
      <c r="J328" s="18" t="str">
        <f aca="false">IFERROR(INDEX(المرجع!$D$2:$D$19,MATCH($I328,المرجع!$E$2:$E$19,0)),"")</f>
        <v>الحوكمة</v>
      </c>
      <c r="K328" s="20" t="s">
        <v>128</v>
      </c>
      <c r="L328" s="21" t="str">
        <f aca="false">IFERROR(INDEX('نقاط التحقق'!$G$2:$G$31,MATCH($K328,'نقاط التحقق'!$A$2:$A$31,0))&amp;"","")</f>
        <v>اتخاذ القرارات في نطاق الصلاحيات (وجود شواهد)</v>
      </c>
      <c r="M328" s="17" t="n">
        <v>55</v>
      </c>
      <c r="N328" s="17" t="n">
        <v>95</v>
      </c>
      <c r="O328" s="19" t="str">
        <f aca="false">IF($M328="","غير مقيّمة",IF($M328&gt;المرجع!$K$3,"مستوفاة بشكل متقدم",IF($M328&lt;=المرجع!$K$2,"مستوفاة بشكل أولي","مستوفاة بشكل جزئي")))</f>
        <v>مستوفاة بشكل جزئي</v>
      </c>
      <c r="P328" s="22"/>
    </row>
    <row r="329" customFormat="false" ht="15" hidden="false" customHeight="true" outlineLevel="0" collapsed="false">
      <c r="A329" s="20" t="s">
        <v>1143</v>
      </c>
      <c r="B329" s="20" t="s">
        <v>216</v>
      </c>
      <c r="C329" s="19" t="str">
        <f aca="false">IFERROR(INDEX('قائمة الوحدات'!$B$2:$B$41,MATCH($B329,'قائمة الوحدات'!$A$2:$A$41,0)),"")</f>
        <v>MIL</v>
      </c>
      <c r="D329" s="18" t="str">
        <f aca="false">IFERROR(INDEX('قائمة الوحدات'!$C$2:$C$41,MATCH($B329,'قائمة الوحدات'!$A$2:$A$41,0)),"")</f>
        <v>الجهاز العسكري</v>
      </c>
      <c r="E329" s="18" t="str">
        <f aca="false">IFERROR(INDEX('قائمة الوحدات'!$D$2:$D$41,MATCH($B329,'قائمة الوحدات'!$A$2:$A$41,0)),"")</f>
        <v>الإدارة العامة للاتصالات وتقنية المعلومات العسكرية</v>
      </c>
      <c r="F329" s="18" t="str">
        <f aca="false">IFERROR(INDEX('قائمة الوحدات'!$F$2:$F$41,MATCH($B329,'قائمة الوحدات'!$A$2:$A$41,0)),"")</f>
        <v>الإدارة العامة للاتصالات وتقنية المعلومات العسكرية</v>
      </c>
      <c r="G329" s="20" t="s">
        <v>66</v>
      </c>
      <c r="H329" s="18" t="str">
        <f aca="false">IFERROR(INDEX(المرجع!$A$2:$A$19,MATCH($G329,المرجع!$B$2:$B$19,0)),"")</f>
        <v>التشغيل</v>
      </c>
      <c r="I329" s="20" t="s">
        <v>57</v>
      </c>
      <c r="J329" s="18" t="str">
        <f aca="false">IFERROR(INDEX(المرجع!$D$2:$D$19,MATCH($I329,المرجع!$E$2:$E$19,0)),"")</f>
        <v>الموارد</v>
      </c>
      <c r="K329" s="20" t="s">
        <v>130</v>
      </c>
      <c r="L329" s="21" t="str">
        <f aca="false">IFERROR(INDEX('نقاط التحقق'!$G$2:$G$31,MATCH($K329,'نقاط التحقق'!$A$2:$A$31,0))&amp;"","")</f>
        <v>موارد مستكملة للحد الأدنى الذي يغطي كافة محاور سلسلة القيمة</v>
      </c>
      <c r="M329" s="17" t="n">
        <v>37</v>
      </c>
      <c r="N329" s="17" t="n">
        <v>100</v>
      </c>
      <c r="O329" s="19" t="str">
        <f aca="false">IF($M329="","غير مقيّمة",IF($M329&gt;المرجع!$K$3,"مستوفاة بشكل متقدم",IF($M329&lt;=المرجع!$K$2,"مستوفاة بشكل أولي","مستوفاة بشكل جزئي")))</f>
        <v>مستوفاة بشكل جزئي</v>
      </c>
      <c r="P329" s="22"/>
    </row>
    <row r="330" customFormat="false" ht="15" hidden="false" customHeight="true" outlineLevel="0" collapsed="false">
      <c r="A330" s="20" t="s">
        <v>1144</v>
      </c>
      <c r="B330" s="20" t="s">
        <v>216</v>
      </c>
      <c r="C330" s="19" t="str">
        <f aca="false">IFERROR(INDEX('قائمة الوحدات'!$B$2:$B$41,MATCH($B330,'قائمة الوحدات'!$A$2:$A$41,0)),"")</f>
        <v>MIL</v>
      </c>
      <c r="D330" s="18" t="str">
        <f aca="false">IFERROR(INDEX('قائمة الوحدات'!$C$2:$C$41,MATCH($B330,'قائمة الوحدات'!$A$2:$A$41,0)),"")</f>
        <v>الجهاز العسكري</v>
      </c>
      <c r="E330" s="18" t="str">
        <f aca="false">IFERROR(INDEX('قائمة الوحدات'!$D$2:$D$41,MATCH($B330,'قائمة الوحدات'!$A$2:$A$41,0)),"")</f>
        <v>الإدارة العامة للاتصالات وتقنية المعلومات العسكرية</v>
      </c>
      <c r="F330" s="18" t="str">
        <f aca="false">IFERROR(INDEX('قائمة الوحدات'!$F$2:$F$41,MATCH($B330,'قائمة الوحدات'!$A$2:$A$41,0)),"")</f>
        <v>الإدارة العامة للاتصالات وتقنية المعلومات العسكرية</v>
      </c>
      <c r="G330" s="20" t="s">
        <v>66</v>
      </c>
      <c r="H330" s="18" t="str">
        <f aca="false">IFERROR(INDEX(المرجع!$A$2:$A$19,MATCH($G330,المرجع!$B$2:$B$19,0)),"")</f>
        <v>التشغيل</v>
      </c>
      <c r="I330" s="20" t="s">
        <v>60</v>
      </c>
      <c r="J330" s="18" t="str">
        <f aca="false">IFERROR(INDEX(المرجع!$D$2:$D$19,MATCH($I330,المرجع!$E$2:$E$19,0)),"")</f>
        <v>الإجراءات</v>
      </c>
      <c r="K330" s="20" t="s">
        <v>132</v>
      </c>
      <c r="L330" s="21" t="str">
        <f aca="false">IFERROR(INDEX('نقاط التحقق'!$G$2:$G$31,MATCH($K330,'نقاط التحقق'!$A$2:$A$31,0))&amp;"","")</f>
        <v>تحقيق تقييم "مطبق بشكل كامل" من منهجية تقييم فعالية الإجراءات</v>
      </c>
      <c r="M330" s="17" t="n">
        <v>28</v>
      </c>
      <c r="N330" s="17" t="n">
        <v>80</v>
      </c>
      <c r="O330" s="19" t="str">
        <f aca="false">IF($M330="","غير مقيّمة",IF($M330&gt;المرجع!$K$3,"مستوفاة بشكل متقدم",IF($M330&lt;=المرجع!$K$2,"مستوفاة بشكل أولي","مستوفاة بشكل جزئي")))</f>
        <v>مستوفاة بشكل أولي</v>
      </c>
      <c r="P330" s="22"/>
    </row>
    <row r="331" customFormat="false" ht="15" hidden="false" customHeight="true" outlineLevel="0" collapsed="false">
      <c r="A331" s="20" t="s">
        <v>1145</v>
      </c>
      <c r="B331" s="20" t="s">
        <v>216</v>
      </c>
      <c r="C331" s="19" t="str">
        <f aca="false">IFERROR(INDEX('قائمة الوحدات'!$B$2:$B$41,MATCH($B331,'قائمة الوحدات'!$A$2:$A$41,0)),"")</f>
        <v>MIL</v>
      </c>
      <c r="D331" s="18" t="str">
        <f aca="false">IFERROR(INDEX('قائمة الوحدات'!$C$2:$C$41,MATCH($B331,'قائمة الوحدات'!$A$2:$A$41,0)),"")</f>
        <v>الجهاز العسكري</v>
      </c>
      <c r="E331" s="18" t="str">
        <f aca="false">IFERROR(INDEX('قائمة الوحدات'!$D$2:$D$41,MATCH($B331,'قائمة الوحدات'!$A$2:$A$41,0)),"")</f>
        <v>الإدارة العامة للاتصالات وتقنية المعلومات العسكرية</v>
      </c>
      <c r="F331" s="18" t="str">
        <f aca="false">IFERROR(INDEX('قائمة الوحدات'!$F$2:$F$41,MATCH($B331,'قائمة الوحدات'!$A$2:$A$41,0)),"")</f>
        <v>الإدارة العامة للاتصالات وتقنية المعلومات العسكرية</v>
      </c>
      <c r="G331" s="20" t="s">
        <v>66</v>
      </c>
      <c r="H331" s="18" t="str">
        <f aca="false">IFERROR(INDEX(المرجع!$A$2:$A$19,MATCH($G331,المرجع!$B$2:$B$19,0)),"")</f>
        <v>التشغيل</v>
      </c>
      <c r="I331" s="20" t="s">
        <v>71</v>
      </c>
      <c r="J331" s="18" t="str">
        <f aca="false">IFERROR(INDEX(المرجع!$D$2:$D$19,MATCH($I331,المرجع!$E$2:$E$19,0)),"")</f>
        <v>اكتمال المخرجات المستهدفة</v>
      </c>
      <c r="K331" s="20" t="s">
        <v>134</v>
      </c>
      <c r="L331" s="21" t="str">
        <f aca="false">IFERROR(INDEX('نقاط التحقق'!$G$2:$G$31,MATCH($K331,'نقاط التحقق'!$A$2:$A$31,0))&amp;"","")</f>
        <v>اكتمال مخرجات النموذج التشغيلي المستهدف للوحدة التنظيمية</v>
      </c>
      <c r="M331" s="17" t="n">
        <v>44</v>
      </c>
      <c r="N331" s="17" t="n">
        <v>100</v>
      </c>
      <c r="O331" s="19" t="str">
        <f aca="false">IF($M331="","غير مقيّمة",IF($M331&gt;المرجع!$K$3,"مستوفاة بشكل متقدم",IF($M331&lt;=المرجع!$K$2,"مستوفاة بشكل أولي","مستوفاة بشكل جزئي")))</f>
        <v>مستوفاة بشكل جزئي</v>
      </c>
      <c r="P331" s="22"/>
    </row>
    <row r="332" customFormat="false" ht="15" hidden="false" customHeight="true" outlineLevel="0" collapsed="false">
      <c r="A332" s="20" t="s">
        <v>1146</v>
      </c>
      <c r="B332" s="20" t="s">
        <v>218</v>
      </c>
      <c r="C332" s="19" t="str">
        <f aca="false">IFERROR(INDEX('قائمة الوحدات'!$B$2:$B$41,MATCH($B332,'قائمة الوحدات'!$A$2:$A$41,0)),"")</f>
        <v>MIL</v>
      </c>
      <c r="D332" s="18" t="str">
        <f aca="false">IFERROR(INDEX('قائمة الوحدات'!$C$2:$C$41,MATCH($B332,'قائمة الوحدات'!$A$2:$A$41,0)),"")</f>
        <v>الجهاز العسكري</v>
      </c>
      <c r="E332" s="18" t="str">
        <f aca="false">IFERROR(INDEX('قائمة الوحدات'!$D$2:$D$41,MATCH($B332,'قائمة الوحدات'!$A$2:$A$41,0)),"")</f>
        <v>الإدارة العامة للشؤون الهندسية العسكرية</v>
      </c>
      <c r="F332" s="18" t="str">
        <f aca="false">IFERROR(INDEX('قائمة الوحدات'!$F$2:$F$41,MATCH($B332,'قائمة الوحدات'!$A$2:$A$41,0)),"")</f>
        <v>الإدارة العامة للشؤون الهندسية العسكرية</v>
      </c>
      <c r="G332" s="20" t="s">
        <v>44</v>
      </c>
      <c r="H332" s="18" t="str">
        <f aca="false">IFERROR(INDEX(المرجع!$A$2:$A$19,MATCH($G332,المرجع!$B$2:$B$19,0)),"")</f>
        <v>التصميم</v>
      </c>
      <c r="I332" s="20" t="s">
        <v>46</v>
      </c>
      <c r="J332" s="18" t="str">
        <f aca="false">IFERROR(INDEX(المرجع!$D$2:$D$19,MATCH($I332,المرجع!$E$2:$E$19,0)),"")</f>
        <v>الدور</v>
      </c>
      <c r="K332" s="20" t="s">
        <v>76</v>
      </c>
      <c r="L332" s="21" t="str">
        <f aca="false">IFERROR(INDEX('نقاط التحقق'!$G$2:$G$31,MATCH($K332,'نقاط التحقق'!$A$2:$A$31,0))&amp;"","")</f>
        <v>دور مفصل للوحدة التنظيمية</v>
      </c>
      <c r="M332" s="17" t="n">
        <v>86</v>
      </c>
      <c r="N332" s="17" t="n">
        <v>86</v>
      </c>
      <c r="O332" s="19" t="str">
        <f aca="false">IF($M332="","غير مقيّمة",IF($M332&gt;المرجع!$K$3,"مستوفاة بشكل متقدم",IF($M332&lt;=المرجع!$K$2,"مستوفاة بشكل أولي","مستوفاة بشكل جزئي")))</f>
        <v>مستوفاة بشكل متقدم</v>
      </c>
      <c r="P332" s="22"/>
    </row>
    <row r="333" customFormat="false" ht="15" hidden="false" customHeight="true" outlineLevel="0" collapsed="false">
      <c r="A333" s="20" t="s">
        <v>1147</v>
      </c>
      <c r="B333" s="20" t="s">
        <v>218</v>
      </c>
      <c r="C333" s="19" t="str">
        <f aca="false">IFERROR(INDEX('قائمة الوحدات'!$B$2:$B$41,MATCH($B333,'قائمة الوحدات'!$A$2:$A$41,0)),"")</f>
        <v>MIL</v>
      </c>
      <c r="D333" s="18" t="str">
        <f aca="false">IFERROR(INDEX('قائمة الوحدات'!$C$2:$C$41,MATCH($B333,'قائمة الوحدات'!$A$2:$A$41,0)),"")</f>
        <v>الجهاز العسكري</v>
      </c>
      <c r="E333" s="18" t="str">
        <f aca="false">IFERROR(INDEX('قائمة الوحدات'!$D$2:$D$41,MATCH($B333,'قائمة الوحدات'!$A$2:$A$41,0)),"")</f>
        <v>الإدارة العامة للشؤون الهندسية العسكرية</v>
      </c>
      <c r="F333" s="18" t="str">
        <f aca="false">IFERROR(INDEX('قائمة الوحدات'!$F$2:$F$41,MATCH($B333,'قائمة الوحدات'!$A$2:$A$41,0)),"")</f>
        <v>الإدارة العامة للشؤون الهندسية العسكرية</v>
      </c>
      <c r="G333" s="20" t="s">
        <v>44</v>
      </c>
      <c r="H333" s="18" t="str">
        <f aca="false">IFERROR(INDEX(المرجع!$A$2:$A$19,MATCH($G333,المرجع!$B$2:$B$19,0)),"")</f>
        <v>التصميم</v>
      </c>
      <c r="I333" s="20" t="s">
        <v>49</v>
      </c>
      <c r="J333" s="18" t="str">
        <f aca="false">IFERROR(INDEX(المرجع!$D$2:$D$19,MATCH($I333,المرجع!$E$2:$E$19,0)),"")</f>
        <v>الأهداف ومؤشرات الأداء</v>
      </c>
      <c r="K333" s="20" t="s">
        <v>78</v>
      </c>
      <c r="L333" s="21" t="str">
        <f aca="false">IFERROR(INDEX('نقاط التحقق'!$G$2:$G$31,MATCH($K333,'نقاط التحقق'!$A$2:$A$31,0))&amp;"","")</f>
        <v>أهداف محددة للوحدة التنظيمية وربطها بمؤشرات أداء لقياسها</v>
      </c>
      <c r="M333" s="17" t="n">
        <v>75</v>
      </c>
      <c r="N333" s="17" t="n">
        <v>90</v>
      </c>
      <c r="O333" s="19" t="str">
        <f aca="false">IF($M333="","غير مقيّمة",IF($M333&gt;المرجع!$K$3,"مستوفاة بشكل متقدم",IF($M333&lt;=المرجع!$K$2,"مستوفاة بشكل أولي","مستوفاة بشكل جزئي")))</f>
        <v>مستوفاة بشكل متقدم</v>
      </c>
      <c r="P333" s="22"/>
    </row>
    <row r="334" customFormat="false" ht="15" hidden="false" customHeight="true" outlineLevel="0" collapsed="false">
      <c r="A334" s="20" t="s">
        <v>1148</v>
      </c>
      <c r="B334" s="20" t="s">
        <v>218</v>
      </c>
      <c r="C334" s="19" t="str">
        <f aca="false">IFERROR(INDEX('قائمة الوحدات'!$B$2:$B$41,MATCH($B334,'قائمة الوحدات'!$A$2:$A$41,0)),"")</f>
        <v>MIL</v>
      </c>
      <c r="D334" s="18" t="str">
        <f aca="false">IFERROR(INDEX('قائمة الوحدات'!$C$2:$C$41,MATCH($B334,'قائمة الوحدات'!$A$2:$A$41,0)),"")</f>
        <v>الجهاز العسكري</v>
      </c>
      <c r="E334" s="18" t="str">
        <f aca="false">IFERROR(INDEX('قائمة الوحدات'!$D$2:$D$41,MATCH($B334,'قائمة الوحدات'!$A$2:$A$41,0)),"")</f>
        <v>الإدارة العامة للشؤون الهندسية العسكرية</v>
      </c>
      <c r="F334" s="18" t="str">
        <f aca="false">IFERROR(INDEX('قائمة الوحدات'!$F$2:$F$41,MATCH($B334,'قائمة الوحدات'!$A$2:$A$41,0)),"")</f>
        <v>الإدارة العامة للشؤون الهندسية العسكرية</v>
      </c>
      <c r="G334" s="20" t="s">
        <v>44</v>
      </c>
      <c r="H334" s="18" t="str">
        <f aca="false">IFERROR(INDEX(المرجع!$A$2:$A$19,MATCH($G334,المرجع!$B$2:$B$19,0)),"")</f>
        <v>التصميم</v>
      </c>
      <c r="I334" s="20" t="s">
        <v>49</v>
      </c>
      <c r="J334" s="18" t="str">
        <f aca="false">IFERROR(INDEX(المرجع!$D$2:$D$19,MATCH($I334,المرجع!$E$2:$E$19,0)),"")</f>
        <v>الأهداف ومؤشرات الأداء</v>
      </c>
      <c r="K334" s="20" t="s">
        <v>80</v>
      </c>
      <c r="L334" s="21" t="str">
        <f aca="false">IFERROR(INDEX('نقاط التحقق'!$G$2:$G$31,MATCH($K334,'نقاط التحقق'!$A$2:$A$31,0))&amp;"","")</f>
        <v>مؤشرات أداء الوحدة التنظيمية</v>
      </c>
      <c r="M334" s="17" t="n">
        <v>80</v>
      </c>
      <c r="N334" s="17" t="n">
        <v>80</v>
      </c>
      <c r="O334" s="19" t="str">
        <f aca="false">IF($M334="","غير مقيّمة",IF($M334&gt;المرجع!$K$3,"مستوفاة بشكل متقدم",IF($M334&lt;=المرجع!$K$2,"مستوفاة بشكل أولي","مستوفاة بشكل جزئي")))</f>
        <v>مستوفاة بشكل متقدم</v>
      </c>
      <c r="P334" s="22"/>
    </row>
    <row r="335" customFormat="false" ht="15" hidden="false" customHeight="true" outlineLevel="0" collapsed="false">
      <c r="A335" s="20" t="s">
        <v>1149</v>
      </c>
      <c r="B335" s="20" t="s">
        <v>218</v>
      </c>
      <c r="C335" s="19" t="str">
        <f aca="false">IFERROR(INDEX('قائمة الوحدات'!$B$2:$B$41,MATCH($B335,'قائمة الوحدات'!$A$2:$A$41,0)),"")</f>
        <v>MIL</v>
      </c>
      <c r="D335" s="18" t="str">
        <f aca="false">IFERROR(INDEX('قائمة الوحدات'!$C$2:$C$41,MATCH($B335,'قائمة الوحدات'!$A$2:$A$41,0)),"")</f>
        <v>الجهاز العسكري</v>
      </c>
      <c r="E335" s="18" t="str">
        <f aca="false">IFERROR(INDEX('قائمة الوحدات'!$D$2:$D$41,MATCH($B335,'قائمة الوحدات'!$A$2:$A$41,0)),"")</f>
        <v>الإدارة العامة للشؤون الهندسية العسكرية</v>
      </c>
      <c r="F335" s="18" t="str">
        <f aca="false">IFERROR(INDEX('قائمة الوحدات'!$F$2:$F$41,MATCH($B335,'قائمة الوحدات'!$A$2:$A$41,0)),"")</f>
        <v>الإدارة العامة للشؤون الهندسية العسكرية</v>
      </c>
      <c r="G335" s="20" t="s">
        <v>44</v>
      </c>
      <c r="H335" s="18" t="str">
        <f aca="false">IFERROR(INDEX(المرجع!$A$2:$A$19,MATCH($G335,المرجع!$B$2:$B$19,0)),"")</f>
        <v>التصميم</v>
      </c>
      <c r="I335" s="20" t="s">
        <v>52</v>
      </c>
      <c r="J335" s="18" t="str">
        <f aca="false">IFERROR(INDEX(المرجع!$D$2:$D$19,MATCH($I335,المرجع!$E$2:$E$19,0)),"")</f>
        <v>الحوكمة</v>
      </c>
      <c r="K335" s="20" t="s">
        <v>82</v>
      </c>
      <c r="L335" s="21" t="str">
        <f aca="false">IFERROR(INDEX('نقاط التحقق'!$G$2:$G$31,MATCH($K335,'نقاط التحقق'!$A$2:$A$31,0))&amp;"","")</f>
        <v>تفصيل القرارات ومصفوفة الصلاحيات واللجان ذات العلاقة لاعتماد مخرجات الوحدة التنظيمية</v>
      </c>
      <c r="M335" s="17" t="n">
        <v>74</v>
      </c>
      <c r="N335" s="17" t="n">
        <v>95</v>
      </c>
      <c r="O335" s="19" t="str">
        <f aca="false">IF($M335="","غير مقيّمة",IF($M335&gt;المرجع!$K$3,"مستوفاة بشكل متقدم",IF($M335&lt;=المرجع!$K$2,"مستوفاة بشكل أولي","مستوفاة بشكل جزئي")))</f>
        <v>مستوفاة بشكل متقدم</v>
      </c>
      <c r="P335" s="22"/>
    </row>
    <row r="336" customFormat="false" ht="15" hidden="false" customHeight="true" outlineLevel="0" collapsed="false">
      <c r="A336" s="20" t="s">
        <v>1150</v>
      </c>
      <c r="B336" s="20" t="s">
        <v>218</v>
      </c>
      <c r="C336" s="19" t="str">
        <f aca="false">IFERROR(INDEX('قائمة الوحدات'!$B$2:$B$41,MATCH($B336,'قائمة الوحدات'!$A$2:$A$41,0)),"")</f>
        <v>MIL</v>
      </c>
      <c r="D336" s="18" t="str">
        <f aca="false">IFERROR(INDEX('قائمة الوحدات'!$C$2:$C$41,MATCH($B336,'قائمة الوحدات'!$A$2:$A$41,0)),"")</f>
        <v>الجهاز العسكري</v>
      </c>
      <c r="E336" s="18" t="str">
        <f aca="false">IFERROR(INDEX('قائمة الوحدات'!$D$2:$D$41,MATCH($B336,'قائمة الوحدات'!$A$2:$A$41,0)),"")</f>
        <v>الإدارة العامة للشؤون الهندسية العسكرية</v>
      </c>
      <c r="F336" s="18" t="str">
        <f aca="false">IFERROR(INDEX('قائمة الوحدات'!$F$2:$F$41,MATCH($B336,'قائمة الوحدات'!$A$2:$A$41,0)),"")</f>
        <v>الإدارة العامة للشؤون الهندسية العسكرية</v>
      </c>
      <c r="G336" s="20" t="s">
        <v>44</v>
      </c>
      <c r="H336" s="18" t="str">
        <f aca="false">IFERROR(INDEX(المرجع!$A$2:$A$19,MATCH($G336,المرجع!$B$2:$B$19,0)),"")</f>
        <v>التصميم</v>
      </c>
      <c r="I336" s="20" t="s">
        <v>55</v>
      </c>
      <c r="J336" s="18" t="str">
        <f aca="false">IFERROR(INDEX(المرجع!$D$2:$D$19,MATCH($I336,المرجع!$E$2:$E$19,0)),"")</f>
        <v>التنظيم</v>
      </c>
      <c r="K336" s="20" t="s">
        <v>84</v>
      </c>
      <c r="L336" s="21" t="str">
        <f aca="false">IFERROR(INDEX('نقاط التحقق'!$G$2:$G$31,MATCH($K336,'نقاط التحقق'!$A$2:$A$31,0))&amp;"","")</f>
        <v>تطوير الأدوار والمسؤوليات للوحدة التنظيمية وتفصيل الهيكل التنظيمي</v>
      </c>
      <c r="M336" s="17" t="n">
        <v>83</v>
      </c>
      <c r="N336" s="17" t="n">
        <v>83</v>
      </c>
      <c r="O336" s="19" t="str">
        <f aca="false">IF($M336="","غير مقيّمة",IF($M336&gt;المرجع!$K$3,"مستوفاة بشكل متقدم",IF($M336&lt;=المرجع!$K$2,"مستوفاة بشكل أولي","مستوفاة بشكل جزئي")))</f>
        <v>مستوفاة بشكل متقدم</v>
      </c>
      <c r="P336" s="22"/>
    </row>
    <row r="337" customFormat="false" ht="15" hidden="false" customHeight="true" outlineLevel="0" collapsed="false">
      <c r="A337" s="20" t="s">
        <v>1151</v>
      </c>
      <c r="B337" s="20" t="s">
        <v>218</v>
      </c>
      <c r="C337" s="19" t="str">
        <f aca="false">IFERROR(INDEX('قائمة الوحدات'!$B$2:$B$41,MATCH($B337,'قائمة الوحدات'!$A$2:$A$41,0)),"")</f>
        <v>MIL</v>
      </c>
      <c r="D337" s="18" t="str">
        <f aca="false">IFERROR(INDEX('قائمة الوحدات'!$C$2:$C$41,MATCH($B337,'قائمة الوحدات'!$A$2:$A$41,0)),"")</f>
        <v>الجهاز العسكري</v>
      </c>
      <c r="E337" s="18" t="str">
        <f aca="false">IFERROR(INDEX('قائمة الوحدات'!$D$2:$D$41,MATCH($B337,'قائمة الوحدات'!$A$2:$A$41,0)),"")</f>
        <v>الإدارة العامة للشؤون الهندسية العسكرية</v>
      </c>
      <c r="F337" s="18" t="str">
        <f aca="false">IFERROR(INDEX('قائمة الوحدات'!$F$2:$F$41,MATCH($B337,'قائمة الوحدات'!$A$2:$A$41,0)),"")</f>
        <v>الإدارة العامة للشؤون الهندسية العسكرية</v>
      </c>
      <c r="G337" s="20" t="s">
        <v>44</v>
      </c>
      <c r="H337" s="18" t="str">
        <f aca="false">IFERROR(INDEX(المرجع!$A$2:$A$19,MATCH($G337,المرجع!$B$2:$B$19,0)),"")</f>
        <v>التصميم</v>
      </c>
      <c r="I337" s="20" t="s">
        <v>57</v>
      </c>
      <c r="J337" s="18" t="str">
        <f aca="false">IFERROR(INDEX(المرجع!$D$2:$D$19,MATCH($I337,المرجع!$E$2:$E$19,0)),"")</f>
        <v>الموارد</v>
      </c>
      <c r="K337" s="20" t="s">
        <v>86</v>
      </c>
      <c r="L337" s="21" t="str">
        <f aca="false">IFERROR(INDEX('نقاط التحقق'!$G$2:$G$31,MATCH($K337,'نقاط التحقق'!$A$2:$A$31,0))&amp;"","")</f>
        <v>تفصيل احتياج الموارد البشرية للوحدة التنظيمية</v>
      </c>
      <c r="M337" s="17" t="n">
        <v>80</v>
      </c>
      <c r="N337" s="17" t="n">
        <v>90</v>
      </c>
      <c r="O337" s="19" t="str">
        <f aca="false">IF($M337="","غير مقيّمة",IF($M337&gt;المرجع!$K$3,"مستوفاة بشكل متقدم",IF($M337&lt;=المرجع!$K$2,"مستوفاة بشكل أولي","مستوفاة بشكل جزئي")))</f>
        <v>مستوفاة بشكل متقدم</v>
      </c>
      <c r="P337" s="22"/>
    </row>
    <row r="338" customFormat="false" ht="15" hidden="false" customHeight="true" outlineLevel="0" collapsed="false">
      <c r="A338" s="20" t="s">
        <v>1152</v>
      </c>
      <c r="B338" s="20" t="s">
        <v>218</v>
      </c>
      <c r="C338" s="19" t="str">
        <f aca="false">IFERROR(INDEX('قائمة الوحدات'!$B$2:$B$41,MATCH($B338,'قائمة الوحدات'!$A$2:$A$41,0)),"")</f>
        <v>MIL</v>
      </c>
      <c r="D338" s="18" t="str">
        <f aca="false">IFERROR(INDEX('قائمة الوحدات'!$C$2:$C$41,MATCH($B338,'قائمة الوحدات'!$A$2:$A$41,0)),"")</f>
        <v>الجهاز العسكري</v>
      </c>
      <c r="E338" s="18" t="str">
        <f aca="false">IFERROR(INDEX('قائمة الوحدات'!$D$2:$D$41,MATCH($B338,'قائمة الوحدات'!$A$2:$A$41,0)),"")</f>
        <v>الإدارة العامة للشؤون الهندسية العسكرية</v>
      </c>
      <c r="F338" s="18" t="str">
        <f aca="false">IFERROR(INDEX('قائمة الوحدات'!$F$2:$F$41,MATCH($B338,'قائمة الوحدات'!$A$2:$A$41,0)),"")</f>
        <v>الإدارة العامة للشؤون الهندسية العسكرية</v>
      </c>
      <c r="G338" s="20" t="s">
        <v>44</v>
      </c>
      <c r="H338" s="18" t="str">
        <f aca="false">IFERROR(INDEX(المرجع!$A$2:$A$19,MATCH($G338,المرجع!$B$2:$B$19,0)),"")</f>
        <v>التصميم</v>
      </c>
      <c r="I338" s="20" t="s">
        <v>60</v>
      </c>
      <c r="J338" s="18" t="str">
        <f aca="false">IFERROR(INDEX(المرجع!$D$2:$D$19,MATCH($I338,المرجع!$E$2:$E$19,0)),"")</f>
        <v>الإجراءات</v>
      </c>
      <c r="K338" s="20" t="s">
        <v>88</v>
      </c>
      <c r="L338" s="21" t="str">
        <f aca="false">IFERROR(INDEX('نقاط التحقق'!$G$2:$G$31,MATCH($K338,'نقاط التحقق'!$A$2:$A$31,0))&amp;"","")</f>
        <v>تفصيل المخرجات إلى إجراءات عالية المستوى</v>
      </c>
      <c r="M338" s="17" t="n">
        <v>89</v>
      </c>
      <c r="N338" s="17" t="n">
        <v>95</v>
      </c>
      <c r="O338" s="19" t="str">
        <f aca="false">IF($M338="","غير مقيّمة",IF($M338&gt;المرجع!$K$3,"مستوفاة بشكل متقدم",IF($M338&lt;=المرجع!$K$2,"مستوفاة بشكل أولي","مستوفاة بشكل جزئي")))</f>
        <v>مستوفاة بشكل متقدم</v>
      </c>
      <c r="P338" s="22"/>
    </row>
    <row r="339" customFormat="false" ht="15" hidden="false" customHeight="true" outlineLevel="0" collapsed="false">
      <c r="A339" s="20" t="s">
        <v>1153</v>
      </c>
      <c r="B339" s="20" t="s">
        <v>218</v>
      </c>
      <c r="C339" s="19" t="str">
        <f aca="false">IFERROR(INDEX('قائمة الوحدات'!$B$2:$B$41,MATCH($B339,'قائمة الوحدات'!$A$2:$A$41,0)),"")</f>
        <v>MIL</v>
      </c>
      <c r="D339" s="18" t="str">
        <f aca="false">IFERROR(INDEX('قائمة الوحدات'!$C$2:$C$41,MATCH($B339,'قائمة الوحدات'!$A$2:$A$41,0)),"")</f>
        <v>الجهاز العسكري</v>
      </c>
      <c r="E339" s="18" t="str">
        <f aca="false">IFERROR(INDEX('قائمة الوحدات'!$D$2:$D$41,MATCH($B339,'قائمة الوحدات'!$A$2:$A$41,0)),"")</f>
        <v>الإدارة العامة للشؤون الهندسية العسكرية</v>
      </c>
      <c r="F339" s="18" t="str">
        <f aca="false">IFERROR(INDEX('قائمة الوحدات'!$F$2:$F$41,MATCH($B339,'قائمة الوحدات'!$A$2:$A$41,0)),"")</f>
        <v>الإدارة العامة للشؤون الهندسية العسكرية</v>
      </c>
      <c r="G339" s="20" t="s">
        <v>62</v>
      </c>
      <c r="H339" s="18" t="str">
        <f aca="false">IFERROR(INDEX(المرجع!$A$2:$A$19,MATCH($G339,المرجع!$B$2:$B$19,0)),"")</f>
        <v>البناء المؤسسي</v>
      </c>
      <c r="I339" s="20" t="s">
        <v>46</v>
      </c>
      <c r="J339" s="18" t="str">
        <f aca="false">IFERROR(INDEX(المرجع!$D$2:$D$19,MATCH($I339,المرجع!$E$2:$E$19,0)),"")</f>
        <v>الدور</v>
      </c>
      <c r="K339" s="20" t="s">
        <v>90</v>
      </c>
      <c r="L339" s="21" t="str">
        <f aca="false">IFERROR(INDEX('نقاط التحقق'!$G$2:$G$31,MATCH($K339,'نقاط التحقق'!$A$2:$A$31,0))&amp;"","")</f>
        <v>دور معتمد للوحدة التنظيمية</v>
      </c>
      <c r="M339" s="17" t="n">
        <v>52</v>
      </c>
      <c r="N339" s="17" t="n">
        <v>80</v>
      </c>
      <c r="O339" s="19" t="str">
        <f aca="false">IF($M339="","غير مقيّمة",IF($M339&gt;المرجع!$K$3,"مستوفاة بشكل متقدم",IF($M339&lt;=المرجع!$K$2,"مستوفاة بشكل أولي","مستوفاة بشكل جزئي")))</f>
        <v>مستوفاة بشكل جزئي</v>
      </c>
      <c r="P339" s="22"/>
    </row>
    <row r="340" customFormat="false" ht="15" hidden="false" customHeight="true" outlineLevel="0" collapsed="false">
      <c r="A340" s="20" t="s">
        <v>1154</v>
      </c>
      <c r="B340" s="20" t="s">
        <v>218</v>
      </c>
      <c r="C340" s="19" t="str">
        <f aca="false">IFERROR(INDEX('قائمة الوحدات'!$B$2:$B$41,MATCH($B340,'قائمة الوحدات'!$A$2:$A$41,0)),"")</f>
        <v>MIL</v>
      </c>
      <c r="D340" s="18" t="str">
        <f aca="false">IFERROR(INDEX('قائمة الوحدات'!$C$2:$C$41,MATCH($B340,'قائمة الوحدات'!$A$2:$A$41,0)),"")</f>
        <v>الجهاز العسكري</v>
      </c>
      <c r="E340" s="18" t="str">
        <f aca="false">IFERROR(INDEX('قائمة الوحدات'!$D$2:$D$41,MATCH($B340,'قائمة الوحدات'!$A$2:$A$41,0)),"")</f>
        <v>الإدارة العامة للشؤون الهندسية العسكرية</v>
      </c>
      <c r="F340" s="18" t="str">
        <f aca="false">IFERROR(INDEX('قائمة الوحدات'!$F$2:$F$41,MATCH($B340,'قائمة الوحدات'!$A$2:$A$41,0)),"")</f>
        <v>الإدارة العامة للشؤون الهندسية العسكرية</v>
      </c>
      <c r="G340" s="20" t="s">
        <v>62</v>
      </c>
      <c r="H340" s="18" t="str">
        <f aca="false">IFERROR(INDEX(المرجع!$A$2:$A$19,MATCH($G340,المرجع!$B$2:$B$19,0)),"")</f>
        <v>البناء المؤسسي</v>
      </c>
      <c r="I340" s="20" t="s">
        <v>49</v>
      </c>
      <c r="J340" s="18" t="str">
        <f aca="false">IFERROR(INDEX(المرجع!$D$2:$D$19,MATCH($I340,المرجع!$E$2:$E$19,0)),"")</f>
        <v>الأهداف ومؤشرات الأداء</v>
      </c>
      <c r="K340" s="20" t="s">
        <v>92</v>
      </c>
      <c r="L340" s="21" t="str">
        <f aca="false">IFERROR(INDEX('نقاط التحقق'!$G$2:$G$31,MATCH($K340,'نقاط التحقق'!$A$2:$A$31,0))&amp;"","")</f>
        <v>أهداف تشغيلية معتمدة من صاحب الصلاحية</v>
      </c>
      <c r="M340" s="17" t="n">
        <v>55</v>
      </c>
      <c r="N340" s="17" t="n">
        <v>100</v>
      </c>
      <c r="O340" s="19" t="str">
        <f aca="false">IF($M340="","غير مقيّمة",IF($M340&gt;المرجع!$K$3,"مستوفاة بشكل متقدم",IF($M340&lt;=المرجع!$K$2,"مستوفاة بشكل أولي","مستوفاة بشكل جزئي")))</f>
        <v>مستوفاة بشكل جزئي</v>
      </c>
      <c r="P340" s="22"/>
    </row>
    <row r="341" customFormat="false" ht="15" hidden="false" customHeight="true" outlineLevel="0" collapsed="false">
      <c r="A341" s="20" t="s">
        <v>1155</v>
      </c>
      <c r="B341" s="20" t="s">
        <v>218</v>
      </c>
      <c r="C341" s="19" t="str">
        <f aca="false">IFERROR(INDEX('قائمة الوحدات'!$B$2:$B$41,MATCH($B341,'قائمة الوحدات'!$A$2:$A$41,0)),"")</f>
        <v>MIL</v>
      </c>
      <c r="D341" s="18" t="str">
        <f aca="false">IFERROR(INDEX('قائمة الوحدات'!$C$2:$C$41,MATCH($B341,'قائمة الوحدات'!$A$2:$A$41,0)),"")</f>
        <v>الجهاز العسكري</v>
      </c>
      <c r="E341" s="18" t="str">
        <f aca="false">IFERROR(INDEX('قائمة الوحدات'!$D$2:$D$41,MATCH($B341,'قائمة الوحدات'!$A$2:$A$41,0)),"")</f>
        <v>الإدارة العامة للشؤون الهندسية العسكرية</v>
      </c>
      <c r="F341" s="18" t="str">
        <f aca="false">IFERROR(INDEX('قائمة الوحدات'!$F$2:$F$41,MATCH($B341,'قائمة الوحدات'!$A$2:$A$41,0)),"")</f>
        <v>الإدارة العامة للشؤون الهندسية العسكرية</v>
      </c>
      <c r="G341" s="20" t="s">
        <v>62</v>
      </c>
      <c r="H341" s="18" t="str">
        <f aca="false">IFERROR(INDEX(المرجع!$A$2:$A$19,MATCH($G341,المرجع!$B$2:$B$19,0)),"")</f>
        <v>البناء المؤسسي</v>
      </c>
      <c r="I341" s="20" t="s">
        <v>49</v>
      </c>
      <c r="J341" s="18" t="str">
        <f aca="false">IFERROR(INDEX(المرجع!$D$2:$D$19,MATCH($I341,المرجع!$E$2:$E$19,0)),"")</f>
        <v>الأهداف ومؤشرات الأداء</v>
      </c>
      <c r="K341" s="20" t="s">
        <v>94</v>
      </c>
      <c r="L341" s="21" t="str">
        <f aca="false">IFERROR(INDEX('نقاط التحقق'!$G$2:$G$31,MATCH($K341,'نقاط التحقق'!$A$2:$A$31,0))&amp;"","")</f>
        <v>نشر الأهداف التشغيلية على موظفي الوحدة التنظيمية</v>
      </c>
      <c r="M341" s="17" t="n">
        <v>75</v>
      </c>
      <c r="N341" s="17" t="n">
        <v>100</v>
      </c>
      <c r="O341" s="19" t="str">
        <f aca="false">IF($M341="","غير مقيّمة",IF($M341&gt;المرجع!$K$3,"مستوفاة بشكل متقدم",IF($M341&lt;=المرجع!$K$2,"مستوفاة بشكل أولي","مستوفاة بشكل جزئي")))</f>
        <v>مستوفاة بشكل متقدم</v>
      </c>
      <c r="P341" s="22"/>
    </row>
    <row r="342" customFormat="false" ht="15" hidden="false" customHeight="true" outlineLevel="0" collapsed="false">
      <c r="A342" s="20" t="s">
        <v>1156</v>
      </c>
      <c r="B342" s="20" t="s">
        <v>218</v>
      </c>
      <c r="C342" s="19" t="str">
        <f aca="false">IFERROR(INDEX('قائمة الوحدات'!$B$2:$B$41,MATCH($B342,'قائمة الوحدات'!$A$2:$A$41,0)),"")</f>
        <v>MIL</v>
      </c>
      <c r="D342" s="18" t="str">
        <f aca="false">IFERROR(INDEX('قائمة الوحدات'!$C$2:$C$41,MATCH($B342,'قائمة الوحدات'!$A$2:$A$41,0)),"")</f>
        <v>الجهاز العسكري</v>
      </c>
      <c r="E342" s="18" t="str">
        <f aca="false">IFERROR(INDEX('قائمة الوحدات'!$D$2:$D$41,MATCH($B342,'قائمة الوحدات'!$A$2:$A$41,0)),"")</f>
        <v>الإدارة العامة للشؤون الهندسية العسكرية</v>
      </c>
      <c r="F342" s="18" t="str">
        <f aca="false">IFERROR(INDEX('قائمة الوحدات'!$F$2:$F$41,MATCH($B342,'قائمة الوحدات'!$A$2:$A$41,0)),"")</f>
        <v>الإدارة العامة للشؤون الهندسية العسكرية</v>
      </c>
      <c r="G342" s="20" t="s">
        <v>62</v>
      </c>
      <c r="H342" s="18" t="str">
        <f aca="false">IFERROR(INDEX(المرجع!$A$2:$A$19,MATCH($G342,المرجع!$B$2:$B$19,0)),"")</f>
        <v>البناء المؤسسي</v>
      </c>
      <c r="I342" s="20" t="s">
        <v>52</v>
      </c>
      <c r="J342" s="18" t="str">
        <f aca="false">IFERROR(INDEX(المرجع!$D$2:$D$19,MATCH($I342,المرجع!$E$2:$E$19,0)),"")</f>
        <v>الحوكمة</v>
      </c>
      <c r="K342" s="20" t="s">
        <v>96</v>
      </c>
      <c r="L342" s="21" t="str">
        <f aca="false">IFERROR(INDEX('نقاط التحقق'!$G$2:$G$31,MATCH($K342,'نقاط التحقق'!$A$2:$A$31,0))&amp;"","")</f>
        <v>مصفوفة صلاحيات معتمدة ومعممة على أصحاب المصلحة</v>
      </c>
      <c r="M342" s="17" t="n">
        <v>85</v>
      </c>
      <c r="N342" s="17" t="n">
        <v>95</v>
      </c>
      <c r="O342" s="19" t="str">
        <f aca="false">IF($M342="","غير مقيّمة",IF($M342&gt;المرجع!$K$3,"مستوفاة بشكل متقدم",IF($M342&lt;=المرجع!$K$2,"مستوفاة بشكل أولي","مستوفاة بشكل جزئي")))</f>
        <v>مستوفاة بشكل متقدم</v>
      </c>
      <c r="P342" s="22"/>
    </row>
    <row r="343" customFormat="false" ht="15" hidden="false" customHeight="true" outlineLevel="0" collapsed="false">
      <c r="A343" s="20" t="s">
        <v>1157</v>
      </c>
      <c r="B343" s="20" t="s">
        <v>218</v>
      </c>
      <c r="C343" s="19" t="str">
        <f aca="false">IFERROR(INDEX('قائمة الوحدات'!$B$2:$B$41,MATCH($B343,'قائمة الوحدات'!$A$2:$A$41,0)),"")</f>
        <v>MIL</v>
      </c>
      <c r="D343" s="18" t="str">
        <f aca="false">IFERROR(INDEX('قائمة الوحدات'!$C$2:$C$41,MATCH($B343,'قائمة الوحدات'!$A$2:$A$41,0)),"")</f>
        <v>الجهاز العسكري</v>
      </c>
      <c r="E343" s="18" t="str">
        <f aca="false">IFERROR(INDEX('قائمة الوحدات'!$D$2:$D$41,MATCH($B343,'قائمة الوحدات'!$A$2:$A$41,0)),"")</f>
        <v>الإدارة العامة للشؤون الهندسية العسكرية</v>
      </c>
      <c r="F343" s="18" t="str">
        <f aca="false">IFERROR(INDEX('قائمة الوحدات'!$F$2:$F$41,MATCH($B343,'قائمة الوحدات'!$A$2:$A$41,0)),"")</f>
        <v>الإدارة العامة للشؤون الهندسية العسكرية</v>
      </c>
      <c r="G343" s="20" t="s">
        <v>62</v>
      </c>
      <c r="H343" s="18" t="str">
        <f aca="false">IFERROR(INDEX(المرجع!$A$2:$A$19,MATCH($G343,المرجع!$B$2:$B$19,0)),"")</f>
        <v>البناء المؤسسي</v>
      </c>
      <c r="I343" s="20" t="s">
        <v>52</v>
      </c>
      <c r="J343" s="18" t="str">
        <f aca="false">IFERROR(INDEX(المرجع!$D$2:$D$19,MATCH($I343,المرجع!$E$2:$E$19,0)),"")</f>
        <v>الحوكمة</v>
      </c>
      <c r="K343" s="20" t="s">
        <v>98</v>
      </c>
      <c r="L343" s="21" t="str">
        <f aca="false">IFERROR(INDEX('نقاط التحقق'!$G$2:$G$31,MATCH($K343,'نقاط التحقق'!$A$2:$A$31,0))&amp;"","")</f>
        <v>سياسات معتمدة للتي تملكها الوحدة التنظيمية</v>
      </c>
      <c r="M343" s="17" t="n">
        <v>60</v>
      </c>
      <c r="N343" s="17" t="n">
        <v>90</v>
      </c>
      <c r="O343" s="19" t="str">
        <f aca="false">IF($M343="","غير مقيّمة",IF($M343&gt;المرجع!$K$3,"مستوفاة بشكل متقدم",IF($M343&lt;=المرجع!$K$2,"مستوفاة بشكل أولي","مستوفاة بشكل جزئي")))</f>
        <v>مستوفاة بشكل جزئي</v>
      </c>
      <c r="P343" s="22"/>
    </row>
    <row r="344" customFormat="false" ht="15" hidden="false" customHeight="true" outlineLevel="0" collapsed="false">
      <c r="A344" s="20" t="s">
        <v>1158</v>
      </c>
      <c r="B344" s="20" t="s">
        <v>218</v>
      </c>
      <c r="C344" s="19" t="str">
        <f aca="false">IFERROR(INDEX('قائمة الوحدات'!$B$2:$B$41,MATCH($B344,'قائمة الوحدات'!$A$2:$A$41,0)),"")</f>
        <v>MIL</v>
      </c>
      <c r="D344" s="18" t="str">
        <f aca="false">IFERROR(INDEX('قائمة الوحدات'!$C$2:$C$41,MATCH($B344,'قائمة الوحدات'!$A$2:$A$41,0)),"")</f>
        <v>الجهاز العسكري</v>
      </c>
      <c r="E344" s="18" t="str">
        <f aca="false">IFERROR(INDEX('قائمة الوحدات'!$D$2:$D$41,MATCH($B344,'قائمة الوحدات'!$A$2:$A$41,0)),"")</f>
        <v>الإدارة العامة للشؤون الهندسية العسكرية</v>
      </c>
      <c r="F344" s="18" t="str">
        <f aca="false">IFERROR(INDEX('قائمة الوحدات'!$F$2:$F$41,MATCH($B344,'قائمة الوحدات'!$A$2:$A$41,0)),"")</f>
        <v>الإدارة العامة للشؤون الهندسية العسكرية</v>
      </c>
      <c r="G344" s="20" t="s">
        <v>62</v>
      </c>
      <c r="H344" s="18" t="str">
        <f aca="false">IFERROR(INDEX(المرجع!$A$2:$A$19,MATCH($G344,المرجع!$B$2:$B$19,0)),"")</f>
        <v>البناء المؤسسي</v>
      </c>
      <c r="I344" s="20" t="s">
        <v>52</v>
      </c>
      <c r="J344" s="18" t="str">
        <f aca="false">IFERROR(INDEX(المرجع!$D$2:$D$19,MATCH($I344,المرجع!$E$2:$E$19,0)),"")</f>
        <v>الحوكمة</v>
      </c>
      <c r="K344" s="20" t="s">
        <v>100</v>
      </c>
      <c r="L344" s="21" t="str">
        <f aca="false">IFERROR(INDEX('نقاط التحقق'!$G$2:$G$31,MATCH($K344,'نقاط التحقق'!$A$2:$A$31,0))&amp;"","")</f>
        <v>قرار تشكيل معتمد للجان ذات العلاقة</v>
      </c>
      <c r="M344" s="17" t="n">
        <v>55</v>
      </c>
      <c r="N344" s="17" t="n">
        <v>95</v>
      </c>
      <c r="O344" s="19" t="str">
        <f aca="false">IF($M344="","غير مقيّمة",IF($M344&gt;المرجع!$K$3,"مستوفاة بشكل متقدم",IF($M344&lt;=المرجع!$K$2,"مستوفاة بشكل أولي","مستوفاة بشكل جزئي")))</f>
        <v>مستوفاة بشكل جزئي</v>
      </c>
      <c r="P344" s="22"/>
    </row>
    <row r="345" customFormat="false" ht="15" hidden="false" customHeight="true" outlineLevel="0" collapsed="false">
      <c r="A345" s="20" t="s">
        <v>1159</v>
      </c>
      <c r="B345" s="20" t="s">
        <v>218</v>
      </c>
      <c r="C345" s="19" t="str">
        <f aca="false">IFERROR(INDEX('قائمة الوحدات'!$B$2:$B$41,MATCH($B345,'قائمة الوحدات'!$A$2:$A$41,0)),"")</f>
        <v>MIL</v>
      </c>
      <c r="D345" s="18" t="str">
        <f aca="false">IFERROR(INDEX('قائمة الوحدات'!$C$2:$C$41,MATCH($B345,'قائمة الوحدات'!$A$2:$A$41,0)),"")</f>
        <v>الجهاز العسكري</v>
      </c>
      <c r="E345" s="18" t="str">
        <f aca="false">IFERROR(INDEX('قائمة الوحدات'!$D$2:$D$41,MATCH($B345,'قائمة الوحدات'!$A$2:$A$41,0)),"")</f>
        <v>الإدارة العامة للشؤون الهندسية العسكرية</v>
      </c>
      <c r="F345" s="18" t="str">
        <f aca="false">IFERROR(INDEX('قائمة الوحدات'!$F$2:$F$41,MATCH($B345,'قائمة الوحدات'!$A$2:$A$41,0)),"")</f>
        <v>الإدارة العامة للشؤون الهندسية العسكرية</v>
      </c>
      <c r="G345" s="20" t="s">
        <v>62</v>
      </c>
      <c r="H345" s="18" t="str">
        <f aca="false">IFERROR(INDEX(المرجع!$A$2:$A$19,MATCH($G345,المرجع!$B$2:$B$19,0)),"")</f>
        <v>البناء المؤسسي</v>
      </c>
      <c r="I345" s="20" t="s">
        <v>55</v>
      </c>
      <c r="J345" s="18" t="str">
        <f aca="false">IFERROR(INDEX(المرجع!$D$2:$D$19,MATCH($I345,المرجع!$E$2:$E$19,0)),"")</f>
        <v>التنظيم</v>
      </c>
      <c r="K345" s="20" t="s">
        <v>102</v>
      </c>
      <c r="L345" s="21" t="str">
        <f aca="false">IFERROR(INDEX('نقاط التحقق'!$G$2:$G$31,MATCH($K345,'نقاط التحقق'!$A$2:$A$31,0))&amp;"","")</f>
        <v>هيكل تنظيمي معتمد من صاحب الصلاحية</v>
      </c>
      <c r="M345" s="17" t="n">
        <v>35</v>
      </c>
      <c r="N345" s="17" t="n">
        <v>85</v>
      </c>
      <c r="O345" s="19" t="str">
        <f aca="false">IF($M345="","غير مقيّمة",IF($M345&gt;المرجع!$K$3,"مستوفاة بشكل متقدم",IF($M345&lt;=المرجع!$K$2,"مستوفاة بشكل أولي","مستوفاة بشكل جزئي")))</f>
        <v>مستوفاة بشكل جزئي</v>
      </c>
      <c r="P345" s="22"/>
    </row>
    <row r="346" customFormat="false" ht="15" hidden="false" customHeight="true" outlineLevel="0" collapsed="false">
      <c r="A346" s="20" t="s">
        <v>1160</v>
      </c>
      <c r="B346" s="20" t="s">
        <v>218</v>
      </c>
      <c r="C346" s="19" t="str">
        <f aca="false">IFERROR(INDEX('قائمة الوحدات'!$B$2:$B$41,MATCH($B346,'قائمة الوحدات'!$A$2:$A$41,0)),"")</f>
        <v>MIL</v>
      </c>
      <c r="D346" s="18" t="str">
        <f aca="false">IFERROR(INDEX('قائمة الوحدات'!$C$2:$C$41,MATCH($B346,'قائمة الوحدات'!$A$2:$A$41,0)),"")</f>
        <v>الجهاز العسكري</v>
      </c>
      <c r="E346" s="18" t="str">
        <f aca="false">IFERROR(INDEX('قائمة الوحدات'!$D$2:$D$41,MATCH($B346,'قائمة الوحدات'!$A$2:$A$41,0)),"")</f>
        <v>الإدارة العامة للشؤون الهندسية العسكرية</v>
      </c>
      <c r="F346" s="18" t="str">
        <f aca="false">IFERROR(INDEX('قائمة الوحدات'!$F$2:$F$41,MATCH($B346,'قائمة الوحدات'!$A$2:$A$41,0)),"")</f>
        <v>الإدارة العامة للشؤون الهندسية العسكرية</v>
      </c>
      <c r="G346" s="20" t="s">
        <v>62</v>
      </c>
      <c r="H346" s="18" t="str">
        <f aca="false">IFERROR(INDEX(المرجع!$A$2:$A$19,MATCH($G346,المرجع!$B$2:$B$19,0)),"")</f>
        <v>البناء المؤسسي</v>
      </c>
      <c r="I346" s="20" t="s">
        <v>55</v>
      </c>
      <c r="J346" s="18" t="str">
        <f aca="false">IFERROR(INDEX(المرجع!$D$2:$D$19,MATCH($I346,المرجع!$E$2:$E$19,0)),"")</f>
        <v>التنظيم</v>
      </c>
      <c r="K346" s="20" t="s">
        <v>104</v>
      </c>
      <c r="L346" s="21" t="str">
        <f aca="false">IFERROR(INDEX('نقاط التحقق'!$G$2:$G$31,MATCH($K346,'نقاط التحقق'!$A$2:$A$31,0))&amp;"","")</f>
        <v>هيكل تنظيمي منشأ على نظام القوى العاملة</v>
      </c>
      <c r="M346" s="17" t="n">
        <v>30</v>
      </c>
      <c r="N346" s="17" t="n">
        <v>85</v>
      </c>
      <c r="O346" s="19" t="str">
        <f aca="false">IF($M346="","غير مقيّمة",IF($M346&gt;المرجع!$K$3,"مستوفاة بشكل متقدم",IF($M346&lt;=المرجع!$K$2,"مستوفاة بشكل أولي","مستوفاة بشكل جزئي")))</f>
        <v>مستوفاة بشكل أولي</v>
      </c>
      <c r="P346" s="22"/>
    </row>
    <row r="347" customFormat="false" ht="15" hidden="false" customHeight="true" outlineLevel="0" collapsed="false">
      <c r="A347" s="20" t="s">
        <v>1161</v>
      </c>
      <c r="B347" s="20" t="s">
        <v>218</v>
      </c>
      <c r="C347" s="19" t="str">
        <f aca="false">IFERROR(INDEX('قائمة الوحدات'!$B$2:$B$41,MATCH($B347,'قائمة الوحدات'!$A$2:$A$41,0)),"")</f>
        <v>MIL</v>
      </c>
      <c r="D347" s="18" t="str">
        <f aca="false">IFERROR(INDEX('قائمة الوحدات'!$C$2:$C$41,MATCH($B347,'قائمة الوحدات'!$A$2:$A$41,0)),"")</f>
        <v>الجهاز العسكري</v>
      </c>
      <c r="E347" s="18" t="str">
        <f aca="false">IFERROR(INDEX('قائمة الوحدات'!$D$2:$D$41,MATCH($B347,'قائمة الوحدات'!$A$2:$A$41,0)),"")</f>
        <v>الإدارة العامة للشؤون الهندسية العسكرية</v>
      </c>
      <c r="F347" s="18" t="str">
        <f aca="false">IFERROR(INDEX('قائمة الوحدات'!$F$2:$F$41,MATCH($B347,'قائمة الوحدات'!$A$2:$A$41,0)),"")</f>
        <v>الإدارة العامة للشؤون الهندسية العسكرية</v>
      </c>
      <c r="G347" s="20" t="s">
        <v>62</v>
      </c>
      <c r="H347" s="18" t="str">
        <f aca="false">IFERROR(INDEX(المرجع!$A$2:$A$19,MATCH($G347,المرجع!$B$2:$B$19,0)),"")</f>
        <v>البناء المؤسسي</v>
      </c>
      <c r="I347" s="20" t="s">
        <v>55</v>
      </c>
      <c r="J347" s="18" t="str">
        <f aca="false">IFERROR(INDEX(المرجع!$D$2:$D$19,MATCH($I347,المرجع!$E$2:$E$19,0)),"")</f>
        <v>التنظيم</v>
      </c>
      <c r="K347" s="20" t="s">
        <v>106</v>
      </c>
      <c r="L347" s="21" t="str">
        <f aca="false">IFERROR(INDEX('نقاط التحقق'!$G$2:$G$31,MATCH($K347,'نقاط التحقق'!$A$2:$A$31,0))&amp;"","")</f>
        <v>الموظفون المحددون مسكّنون على الهيكل التنظيمي المستهدف</v>
      </c>
      <c r="M347" s="17" t="n">
        <v>40</v>
      </c>
      <c r="N347" s="17" t="n">
        <v>80</v>
      </c>
      <c r="O347" s="19" t="str">
        <f aca="false">IF($M347="","غير مقيّمة",IF($M347&gt;المرجع!$K$3,"مستوفاة بشكل متقدم",IF($M347&lt;=المرجع!$K$2,"مستوفاة بشكل أولي","مستوفاة بشكل جزئي")))</f>
        <v>مستوفاة بشكل جزئي</v>
      </c>
      <c r="P347" s="22"/>
    </row>
    <row r="348" customFormat="false" ht="15" hidden="false" customHeight="true" outlineLevel="0" collapsed="false">
      <c r="A348" s="20" t="s">
        <v>1162</v>
      </c>
      <c r="B348" s="20" t="s">
        <v>218</v>
      </c>
      <c r="C348" s="19" t="str">
        <f aca="false">IFERROR(INDEX('قائمة الوحدات'!$B$2:$B$41,MATCH($B348,'قائمة الوحدات'!$A$2:$A$41,0)),"")</f>
        <v>MIL</v>
      </c>
      <c r="D348" s="18" t="str">
        <f aca="false">IFERROR(INDEX('قائمة الوحدات'!$C$2:$C$41,MATCH($B348,'قائمة الوحدات'!$A$2:$A$41,0)),"")</f>
        <v>الجهاز العسكري</v>
      </c>
      <c r="E348" s="18" t="str">
        <f aca="false">IFERROR(INDEX('قائمة الوحدات'!$D$2:$D$41,MATCH($B348,'قائمة الوحدات'!$A$2:$A$41,0)),"")</f>
        <v>الإدارة العامة للشؤون الهندسية العسكرية</v>
      </c>
      <c r="F348" s="18" t="str">
        <f aca="false">IFERROR(INDEX('قائمة الوحدات'!$F$2:$F$41,MATCH($B348,'قائمة الوحدات'!$A$2:$A$41,0)),"")</f>
        <v>الإدارة العامة للشؤون الهندسية العسكرية</v>
      </c>
      <c r="G348" s="20" t="s">
        <v>62</v>
      </c>
      <c r="H348" s="18" t="str">
        <f aca="false">IFERROR(INDEX(المرجع!$A$2:$A$19,MATCH($G348,المرجع!$B$2:$B$19,0)),"")</f>
        <v>البناء المؤسسي</v>
      </c>
      <c r="I348" s="20" t="s">
        <v>57</v>
      </c>
      <c r="J348" s="18" t="str">
        <f aca="false">IFERROR(INDEX(المرجع!$D$2:$D$19,MATCH($I348,المرجع!$E$2:$E$19,0)),"")</f>
        <v>الموارد</v>
      </c>
      <c r="K348" s="20" t="s">
        <v>108</v>
      </c>
      <c r="L348" s="21" t="str">
        <f aca="false">IFERROR(INDEX('نقاط التحقق'!$G$2:$G$31,MATCH($K348,'نقاط التحقق'!$A$2:$A$31,0))&amp;"","")</f>
        <v>مدير الوحدة التنظيمية والموظفون الرئيسيون معينون/ملحقون</v>
      </c>
      <c r="M348" s="17" t="n">
        <v>65</v>
      </c>
      <c r="N348" s="17" t="n">
        <v>100</v>
      </c>
      <c r="O348" s="19" t="str">
        <f aca="false">IF($M348="","غير مقيّمة",IF($M348&gt;المرجع!$K$3,"مستوفاة بشكل متقدم",IF($M348&lt;=المرجع!$K$2,"مستوفاة بشكل أولي","مستوفاة بشكل جزئي")))</f>
        <v>مستوفاة بشكل جزئي</v>
      </c>
      <c r="P348" s="22"/>
    </row>
    <row r="349" customFormat="false" ht="15" hidden="false" customHeight="true" outlineLevel="0" collapsed="false">
      <c r="A349" s="20" t="s">
        <v>1163</v>
      </c>
      <c r="B349" s="20" t="s">
        <v>218</v>
      </c>
      <c r="C349" s="19" t="str">
        <f aca="false">IFERROR(INDEX('قائمة الوحدات'!$B$2:$B$41,MATCH($B349,'قائمة الوحدات'!$A$2:$A$41,0)),"")</f>
        <v>MIL</v>
      </c>
      <c r="D349" s="18" t="str">
        <f aca="false">IFERROR(INDEX('قائمة الوحدات'!$C$2:$C$41,MATCH($B349,'قائمة الوحدات'!$A$2:$A$41,0)),"")</f>
        <v>الجهاز العسكري</v>
      </c>
      <c r="E349" s="18" t="str">
        <f aca="false">IFERROR(INDEX('قائمة الوحدات'!$D$2:$D$41,MATCH($B349,'قائمة الوحدات'!$A$2:$A$41,0)),"")</f>
        <v>الإدارة العامة للشؤون الهندسية العسكرية</v>
      </c>
      <c r="F349" s="18" t="str">
        <f aca="false">IFERROR(INDEX('قائمة الوحدات'!$F$2:$F$41,MATCH($B349,'قائمة الوحدات'!$A$2:$A$41,0)),"")</f>
        <v>الإدارة العامة للشؤون الهندسية العسكرية</v>
      </c>
      <c r="G349" s="20" t="s">
        <v>62</v>
      </c>
      <c r="H349" s="18" t="str">
        <f aca="false">IFERROR(INDEX(المرجع!$A$2:$A$19,MATCH($G349,المرجع!$B$2:$B$19,0)),"")</f>
        <v>البناء المؤسسي</v>
      </c>
      <c r="I349" s="20" t="s">
        <v>57</v>
      </c>
      <c r="J349" s="18" t="str">
        <f aca="false">IFERROR(INDEX(المرجع!$D$2:$D$19,MATCH($I349,المرجع!$E$2:$E$19,0)),"")</f>
        <v>الموارد</v>
      </c>
      <c r="K349" s="20" t="s">
        <v>110</v>
      </c>
      <c r="L349" s="21" t="str">
        <f aca="false">IFERROR(INDEX('نقاط التحقق'!$G$2:$G$31,MATCH($K349,'نقاط التحقق'!$A$2:$A$31,0))&amp;"","")</f>
        <v>خطة توظيف وتدريب مستكملة</v>
      </c>
      <c r="M349" s="17" t="n">
        <v>75</v>
      </c>
      <c r="N349" s="17" t="n">
        <v>80</v>
      </c>
      <c r="O349" s="19" t="str">
        <f aca="false">IF($M349="","غير مقيّمة",IF($M349&gt;المرجع!$K$3,"مستوفاة بشكل متقدم",IF($M349&lt;=المرجع!$K$2,"مستوفاة بشكل أولي","مستوفاة بشكل جزئي")))</f>
        <v>مستوفاة بشكل متقدم</v>
      </c>
      <c r="P349" s="22"/>
    </row>
    <row r="350" customFormat="false" ht="15" hidden="false" customHeight="true" outlineLevel="0" collapsed="false">
      <c r="A350" s="20" t="s">
        <v>1164</v>
      </c>
      <c r="B350" s="20" t="s">
        <v>218</v>
      </c>
      <c r="C350" s="19" t="str">
        <f aca="false">IFERROR(INDEX('قائمة الوحدات'!$B$2:$B$41,MATCH($B350,'قائمة الوحدات'!$A$2:$A$41,0)),"")</f>
        <v>MIL</v>
      </c>
      <c r="D350" s="18" t="str">
        <f aca="false">IFERROR(INDEX('قائمة الوحدات'!$C$2:$C$41,MATCH($B350,'قائمة الوحدات'!$A$2:$A$41,0)),"")</f>
        <v>الجهاز العسكري</v>
      </c>
      <c r="E350" s="18" t="str">
        <f aca="false">IFERROR(INDEX('قائمة الوحدات'!$D$2:$D$41,MATCH($B350,'قائمة الوحدات'!$A$2:$A$41,0)),"")</f>
        <v>الإدارة العامة للشؤون الهندسية العسكرية</v>
      </c>
      <c r="F350" s="18" t="str">
        <f aca="false">IFERROR(INDEX('قائمة الوحدات'!$F$2:$F$41,MATCH($B350,'قائمة الوحدات'!$A$2:$A$41,0)),"")</f>
        <v>الإدارة العامة للشؤون الهندسية العسكرية</v>
      </c>
      <c r="G350" s="20" t="s">
        <v>62</v>
      </c>
      <c r="H350" s="18" t="str">
        <f aca="false">IFERROR(INDEX(المرجع!$A$2:$A$19,MATCH($G350,المرجع!$B$2:$B$19,0)),"")</f>
        <v>البناء المؤسسي</v>
      </c>
      <c r="I350" s="20" t="s">
        <v>57</v>
      </c>
      <c r="J350" s="18" t="str">
        <f aca="false">IFERROR(INDEX(المرجع!$D$2:$D$19,MATCH($I350,المرجع!$E$2:$E$19,0)),"")</f>
        <v>الموارد</v>
      </c>
      <c r="K350" s="20" t="s">
        <v>112</v>
      </c>
      <c r="L350" s="21" t="str">
        <f aca="false">IFERROR(INDEX('نقاط التحقق'!$G$2:$G$31,MATCH($K350,'نقاط التحقق'!$A$2:$A$31,0))&amp;"","")</f>
        <v>وجود مساحات مكتبية كافية</v>
      </c>
      <c r="M350" s="17" t="n">
        <v>70</v>
      </c>
      <c r="N350" s="17" t="n">
        <v>85</v>
      </c>
      <c r="O350" s="19" t="str">
        <f aca="false">IF($M350="","غير مقيّمة",IF($M350&gt;المرجع!$K$3,"مستوفاة بشكل متقدم",IF($M350&lt;=المرجع!$K$2,"مستوفاة بشكل أولي","مستوفاة بشكل جزئي")))</f>
        <v>مستوفاة بشكل جزئي</v>
      </c>
      <c r="P350" s="22"/>
    </row>
    <row r="351" customFormat="false" ht="15" hidden="false" customHeight="true" outlineLevel="0" collapsed="false">
      <c r="A351" s="20" t="s">
        <v>1165</v>
      </c>
      <c r="B351" s="20" t="s">
        <v>218</v>
      </c>
      <c r="C351" s="19" t="str">
        <f aca="false">IFERROR(INDEX('قائمة الوحدات'!$B$2:$B$41,MATCH($B351,'قائمة الوحدات'!$A$2:$A$41,0)),"")</f>
        <v>MIL</v>
      </c>
      <c r="D351" s="18" t="str">
        <f aca="false">IFERROR(INDEX('قائمة الوحدات'!$C$2:$C$41,MATCH($B351,'قائمة الوحدات'!$A$2:$A$41,0)),"")</f>
        <v>الجهاز العسكري</v>
      </c>
      <c r="E351" s="18" t="str">
        <f aca="false">IFERROR(INDEX('قائمة الوحدات'!$D$2:$D$41,MATCH($B351,'قائمة الوحدات'!$A$2:$A$41,0)),"")</f>
        <v>الإدارة العامة للشؤون الهندسية العسكرية</v>
      </c>
      <c r="F351" s="18" t="str">
        <f aca="false">IFERROR(INDEX('قائمة الوحدات'!$F$2:$F$41,MATCH($B351,'قائمة الوحدات'!$A$2:$A$41,0)),"")</f>
        <v>الإدارة العامة للشؤون الهندسية العسكرية</v>
      </c>
      <c r="G351" s="20" t="s">
        <v>62</v>
      </c>
      <c r="H351" s="18" t="str">
        <f aca="false">IFERROR(INDEX(المرجع!$A$2:$A$19,MATCH($G351,المرجع!$B$2:$B$19,0)),"")</f>
        <v>البناء المؤسسي</v>
      </c>
      <c r="I351" s="20" t="s">
        <v>57</v>
      </c>
      <c r="J351" s="18" t="str">
        <f aca="false">IFERROR(INDEX(المرجع!$D$2:$D$19,MATCH($I351,المرجع!$E$2:$E$19,0)),"")</f>
        <v>الموارد</v>
      </c>
      <c r="K351" s="20" t="s">
        <v>114</v>
      </c>
      <c r="L351" s="21" t="str">
        <f aca="false">IFERROR(INDEX('نقاط التحقق'!$G$2:$G$31,MATCH($K351,'نقاط التحقق'!$A$2:$A$31,0))&amp;"","")</f>
        <v>وجود الاحتياجات التقنية الأساسية</v>
      </c>
      <c r="M351" s="17" t="n">
        <v>70</v>
      </c>
      <c r="N351" s="17" t="n">
        <v>100</v>
      </c>
      <c r="O351" s="19" t="str">
        <f aca="false">IF($M351="","غير مقيّمة",IF($M351&gt;المرجع!$K$3,"مستوفاة بشكل متقدم",IF($M351&lt;=المرجع!$K$2,"مستوفاة بشكل أولي","مستوفاة بشكل جزئي")))</f>
        <v>مستوفاة بشكل جزئي</v>
      </c>
      <c r="P351" s="22"/>
    </row>
    <row r="352" customFormat="false" ht="15" hidden="false" customHeight="true" outlineLevel="0" collapsed="false">
      <c r="A352" s="20" t="s">
        <v>1166</v>
      </c>
      <c r="B352" s="20" t="s">
        <v>218</v>
      </c>
      <c r="C352" s="19" t="str">
        <f aca="false">IFERROR(INDEX('قائمة الوحدات'!$B$2:$B$41,MATCH($B352,'قائمة الوحدات'!$A$2:$A$41,0)),"")</f>
        <v>MIL</v>
      </c>
      <c r="D352" s="18" t="str">
        <f aca="false">IFERROR(INDEX('قائمة الوحدات'!$C$2:$C$41,MATCH($B352,'قائمة الوحدات'!$A$2:$A$41,0)),"")</f>
        <v>الجهاز العسكري</v>
      </c>
      <c r="E352" s="18" t="str">
        <f aca="false">IFERROR(INDEX('قائمة الوحدات'!$D$2:$D$41,MATCH($B352,'قائمة الوحدات'!$A$2:$A$41,0)),"")</f>
        <v>الإدارة العامة للشؤون الهندسية العسكرية</v>
      </c>
      <c r="F352" s="18" t="str">
        <f aca="false">IFERROR(INDEX('قائمة الوحدات'!$F$2:$F$41,MATCH($B352,'قائمة الوحدات'!$A$2:$A$41,0)),"")</f>
        <v>الإدارة العامة للشؤون الهندسية العسكرية</v>
      </c>
      <c r="G352" s="20" t="s">
        <v>62</v>
      </c>
      <c r="H352" s="18" t="str">
        <f aca="false">IFERROR(INDEX(المرجع!$A$2:$A$19,MATCH($G352,المرجع!$B$2:$B$19,0)),"")</f>
        <v>البناء المؤسسي</v>
      </c>
      <c r="I352" s="20" t="s">
        <v>60</v>
      </c>
      <c r="J352" s="18" t="str">
        <f aca="false">IFERROR(INDEX(المرجع!$D$2:$D$19,MATCH($I352,المرجع!$E$2:$E$19,0)),"")</f>
        <v>الإجراءات</v>
      </c>
      <c r="K352" s="20" t="s">
        <v>116</v>
      </c>
      <c r="L352" s="21" t="str">
        <f aca="false">IFERROR(INDEX('نقاط التحقق'!$G$2:$G$31,MATCH($K352,'نقاط التحقق'!$A$2:$A$31,0))&amp;"","")</f>
        <v>إجراءات معتمدة للوحدة التنظيمية</v>
      </c>
      <c r="M352" s="17" t="n">
        <v>70</v>
      </c>
      <c r="N352" s="17" t="n">
        <v>100</v>
      </c>
      <c r="O352" s="19" t="str">
        <f aca="false">IF($M352="","غير مقيّمة",IF($M352&gt;المرجع!$K$3,"مستوفاة بشكل متقدم",IF($M352&lt;=المرجع!$K$2,"مستوفاة بشكل أولي","مستوفاة بشكل جزئي")))</f>
        <v>مستوفاة بشكل جزئي</v>
      </c>
      <c r="P352" s="22"/>
    </row>
    <row r="353" customFormat="false" ht="15" hidden="false" customHeight="true" outlineLevel="0" collapsed="false">
      <c r="A353" s="20" t="s">
        <v>1167</v>
      </c>
      <c r="B353" s="20" t="s">
        <v>218</v>
      </c>
      <c r="C353" s="19" t="str">
        <f aca="false">IFERROR(INDEX('قائمة الوحدات'!$B$2:$B$41,MATCH($B353,'قائمة الوحدات'!$A$2:$A$41,0)),"")</f>
        <v>MIL</v>
      </c>
      <c r="D353" s="18" t="str">
        <f aca="false">IFERROR(INDEX('قائمة الوحدات'!$C$2:$C$41,MATCH($B353,'قائمة الوحدات'!$A$2:$A$41,0)),"")</f>
        <v>الجهاز العسكري</v>
      </c>
      <c r="E353" s="18" t="str">
        <f aca="false">IFERROR(INDEX('قائمة الوحدات'!$D$2:$D$41,MATCH($B353,'قائمة الوحدات'!$A$2:$A$41,0)),"")</f>
        <v>الإدارة العامة للشؤون الهندسية العسكرية</v>
      </c>
      <c r="F353" s="18" t="str">
        <f aca="false">IFERROR(INDEX('قائمة الوحدات'!$F$2:$F$41,MATCH($B353,'قائمة الوحدات'!$A$2:$A$41,0)),"")</f>
        <v>الإدارة العامة للشؤون الهندسية العسكرية</v>
      </c>
      <c r="G353" s="20" t="s">
        <v>62</v>
      </c>
      <c r="H353" s="18" t="str">
        <f aca="false">IFERROR(INDEX(المرجع!$A$2:$A$19,MATCH($G353,المرجع!$B$2:$B$19,0)),"")</f>
        <v>البناء المؤسسي</v>
      </c>
      <c r="I353" s="20" t="s">
        <v>69</v>
      </c>
      <c r="J353" s="18" t="str">
        <f aca="false">IFERROR(INDEX(المرجع!$D$2:$D$19,MATCH($I353,المرجع!$E$2:$E$19,0)),"")</f>
        <v>إنتاج المخرج الأول</v>
      </c>
      <c r="K353" s="20" t="s">
        <v>118</v>
      </c>
      <c r="L353" s="21" t="str">
        <f aca="false">IFERROR(INDEX('نقاط التحقق'!$G$2:$G$31,MATCH($K353,'نقاط التحقق'!$A$2:$A$31,0))&amp;"","")</f>
        <v>إنتاج المخرج الأول من قبل الوحدة التنظيمية</v>
      </c>
      <c r="M353" s="17" t="n">
        <v>79</v>
      </c>
      <c r="N353" s="17" t="n">
        <v>90</v>
      </c>
      <c r="O353" s="19" t="str">
        <f aca="false">IF($M353="","غير مقيّمة",IF($M353&gt;المرجع!$K$3,"مستوفاة بشكل متقدم",IF($M353&lt;=المرجع!$K$2,"مستوفاة بشكل أولي","مستوفاة بشكل جزئي")))</f>
        <v>مستوفاة بشكل متقدم</v>
      </c>
      <c r="P353" s="22"/>
    </row>
    <row r="354" customFormat="false" ht="15" hidden="false" customHeight="true" outlineLevel="0" collapsed="false">
      <c r="A354" s="20" t="s">
        <v>1168</v>
      </c>
      <c r="B354" s="20" t="s">
        <v>218</v>
      </c>
      <c r="C354" s="19" t="str">
        <f aca="false">IFERROR(INDEX('قائمة الوحدات'!$B$2:$B$41,MATCH($B354,'قائمة الوحدات'!$A$2:$A$41,0)),"")</f>
        <v>MIL</v>
      </c>
      <c r="D354" s="18" t="str">
        <f aca="false">IFERROR(INDEX('قائمة الوحدات'!$C$2:$C$41,MATCH($B354,'قائمة الوحدات'!$A$2:$A$41,0)),"")</f>
        <v>الجهاز العسكري</v>
      </c>
      <c r="E354" s="18" t="str">
        <f aca="false">IFERROR(INDEX('قائمة الوحدات'!$D$2:$D$41,MATCH($B354,'قائمة الوحدات'!$A$2:$A$41,0)),"")</f>
        <v>الإدارة العامة للشؤون الهندسية العسكرية</v>
      </c>
      <c r="F354" s="18" t="str">
        <f aca="false">IFERROR(INDEX('قائمة الوحدات'!$F$2:$F$41,MATCH($B354,'قائمة الوحدات'!$A$2:$A$41,0)),"")</f>
        <v>الإدارة العامة للشؤون الهندسية العسكرية</v>
      </c>
      <c r="G354" s="20" t="s">
        <v>66</v>
      </c>
      <c r="H354" s="18" t="str">
        <f aca="false">IFERROR(INDEX(المرجع!$A$2:$A$19,MATCH($G354,المرجع!$B$2:$B$19,0)),"")</f>
        <v>التشغيل</v>
      </c>
      <c r="I354" s="20" t="s">
        <v>49</v>
      </c>
      <c r="J354" s="18" t="str">
        <f aca="false">IFERROR(INDEX(المرجع!$D$2:$D$19,MATCH($I354,المرجع!$E$2:$E$19,0)),"")</f>
        <v>الأهداف ومؤشرات الأداء</v>
      </c>
      <c r="K354" s="20" t="s">
        <v>120</v>
      </c>
      <c r="L354" s="21" t="str">
        <f aca="false">IFERROR(INDEX('نقاط التحقق'!$G$2:$G$31,MATCH($K354,'نقاط التحقق'!$A$2:$A$31,0))&amp;"","")</f>
        <v>تحرك مؤشرات الأداء التشغيلي للوحدة التنظيمية بشكل إيجابي</v>
      </c>
      <c r="M354" s="17" t="n">
        <v>15</v>
      </c>
      <c r="N354" s="17" t="n">
        <v>90</v>
      </c>
      <c r="O354" s="19" t="str">
        <f aca="false">IF($M354="","غير مقيّمة",IF($M354&gt;المرجع!$K$3,"مستوفاة بشكل متقدم",IF($M354&lt;=المرجع!$K$2,"مستوفاة بشكل أولي","مستوفاة بشكل جزئي")))</f>
        <v>مستوفاة بشكل أولي</v>
      </c>
      <c r="P354" s="22"/>
    </row>
    <row r="355" customFormat="false" ht="15" hidden="false" customHeight="true" outlineLevel="0" collapsed="false">
      <c r="A355" s="20" t="s">
        <v>1169</v>
      </c>
      <c r="B355" s="20" t="s">
        <v>218</v>
      </c>
      <c r="C355" s="19" t="str">
        <f aca="false">IFERROR(INDEX('قائمة الوحدات'!$B$2:$B$41,MATCH($B355,'قائمة الوحدات'!$A$2:$A$41,0)),"")</f>
        <v>MIL</v>
      </c>
      <c r="D355" s="18" t="str">
        <f aca="false">IFERROR(INDEX('قائمة الوحدات'!$C$2:$C$41,MATCH($B355,'قائمة الوحدات'!$A$2:$A$41,0)),"")</f>
        <v>الجهاز العسكري</v>
      </c>
      <c r="E355" s="18" t="str">
        <f aca="false">IFERROR(INDEX('قائمة الوحدات'!$D$2:$D$41,MATCH($B355,'قائمة الوحدات'!$A$2:$A$41,0)),"")</f>
        <v>الإدارة العامة للشؤون الهندسية العسكرية</v>
      </c>
      <c r="F355" s="18" t="str">
        <f aca="false">IFERROR(INDEX('قائمة الوحدات'!$F$2:$F$41,MATCH($B355,'قائمة الوحدات'!$A$2:$A$41,0)),"")</f>
        <v>الإدارة العامة للشؤون الهندسية العسكرية</v>
      </c>
      <c r="G355" s="20" t="s">
        <v>66</v>
      </c>
      <c r="H355" s="18" t="str">
        <f aca="false">IFERROR(INDEX(المرجع!$A$2:$A$19,MATCH($G355,المرجع!$B$2:$B$19,0)),"")</f>
        <v>التشغيل</v>
      </c>
      <c r="I355" s="20" t="s">
        <v>49</v>
      </c>
      <c r="J355" s="18" t="str">
        <f aca="false">IFERROR(INDEX(المرجع!$D$2:$D$19,MATCH($I355,المرجع!$E$2:$E$19,0)),"")</f>
        <v>الأهداف ومؤشرات الأداء</v>
      </c>
      <c r="K355" s="20" t="s">
        <v>122</v>
      </c>
      <c r="L355" s="21" t="str">
        <f aca="false">IFERROR(INDEX('نقاط التحقق'!$G$2:$G$31,MATCH($K355,'نقاط التحقق'!$A$2:$A$31,0))&amp;"","")</f>
        <v>خطة سنوية معتمدة للوحدة التنظيمية</v>
      </c>
      <c r="M355" s="17" t="n">
        <v>40</v>
      </c>
      <c r="N355" s="17" t="n">
        <v>85</v>
      </c>
      <c r="O355" s="19" t="str">
        <f aca="false">IF($M355="","غير مقيّمة",IF($M355&gt;المرجع!$K$3,"مستوفاة بشكل متقدم",IF($M355&lt;=المرجع!$K$2,"مستوفاة بشكل أولي","مستوفاة بشكل جزئي")))</f>
        <v>مستوفاة بشكل جزئي</v>
      </c>
      <c r="P355" s="22"/>
    </row>
    <row r="356" customFormat="false" ht="15" hidden="false" customHeight="true" outlineLevel="0" collapsed="false">
      <c r="A356" s="20" t="s">
        <v>1170</v>
      </c>
      <c r="B356" s="20" t="s">
        <v>218</v>
      </c>
      <c r="C356" s="19" t="str">
        <f aca="false">IFERROR(INDEX('قائمة الوحدات'!$B$2:$B$41,MATCH($B356,'قائمة الوحدات'!$A$2:$A$41,0)),"")</f>
        <v>MIL</v>
      </c>
      <c r="D356" s="18" t="str">
        <f aca="false">IFERROR(INDEX('قائمة الوحدات'!$C$2:$C$41,MATCH($B356,'قائمة الوحدات'!$A$2:$A$41,0)),"")</f>
        <v>الجهاز العسكري</v>
      </c>
      <c r="E356" s="18" t="str">
        <f aca="false">IFERROR(INDEX('قائمة الوحدات'!$D$2:$D$41,MATCH($B356,'قائمة الوحدات'!$A$2:$A$41,0)),"")</f>
        <v>الإدارة العامة للشؤون الهندسية العسكرية</v>
      </c>
      <c r="F356" s="18" t="str">
        <f aca="false">IFERROR(INDEX('قائمة الوحدات'!$F$2:$F$41,MATCH($B356,'قائمة الوحدات'!$A$2:$A$41,0)),"")</f>
        <v>الإدارة العامة للشؤون الهندسية العسكرية</v>
      </c>
      <c r="G356" s="20" t="s">
        <v>66</v>
      </c>
      <c r="H356" s="18" t="str">
        <f aca="false">IFERROR(INDEX(المرجع!$A$2:$A$19,MATCH($G356,المرجع!$B$2:$B$19,0)),"")</f>
        <v>التشغيل</v>
      </c>
      <c r="I356" s="20" t="s">
        <v>52</v>
      </c>
      <c r="J356" s="18" t="str">
        <f aca="false">IFERROR(INDEX(المرجع!$D$2:$D$19,MATCH($I356,المرجع!$E$2:$E$19,0)),"")</f>
        <v>الحوكمة</v>
      </c>
      <c r="K356" s="20" t="s">
        <v>124</v>
      </c>
      <c r="L356" s="21" t="str">
        <f aca="false">IFERROR(INDEX('نقاط التحقق'!$G$2:$G$31,MATCH($K356,'نقاط التحقق'!$A$2:$A$31,0))&amp;"","")</f>
        <v>محاضر لجان موثقة</v>
      </c>
      <c r="M356" s="17" t="n">
        <v>45</v>
      </c>
      <c r="N356" s="17" t="n">
        <v>100</v>
      </c>
      <c r="O356" s="19" t="str">
        <f aca="false">IF($M356="","غير مقيّمة",IF($M356&gt;المرجع!$K$3,"مستوفاة بشكل متقدم",IF($M356&lt;=المرجع!$K$2,"مستوفاة بشكل أولي","مستوفاة بشكل جزئي")))</f>
        <v>مستوفاة بشكل جزئي</v>
      </c>
      <c r="P356" s="22"/>
    </row>
    <row r="357" customFormat="false" ht="15" hidden="false" customHeight="true" outlineLevel="0" collapsed="false">
      <c r="A357" s="20" t="s">
        <v>1171</v>
      </c>
      <c r="B357" s="20" t="s">
        <v>218</v>
      </c>
      <c r="C357" s="19" t="str">
        <f aca="false">IFERROR(INDEX('قائمة الوحدات'!$B$2:$B$41,MATCH($B357,'قائمة الوحدات'!$A$2:$A$41,0)),"")</f>
        <v>MIL</v>
      </c>
      <c r="D357" s="18" t="str">
        <f aca="false">IFERROR(INDEX('قائمة الوحدات'!$C$2:$C$41,MATCH($B357,'قائمة الوحدات'!$A$2:$A$41,0)),"")</f>
        <v>الجهاز العسكري</v>
      </c>
      <c r="E357" s="18" t="str">
        <f aca="false">IFERROR(INDEX('قائمة الوحدات'!$D$2:$D$41,MATCH($B357,'قائمة الوحدات'!$A$2:$A$41,0)),"")</f>
        <v>الإدارة العامة للشؤون الهندسية العسكرية</v>
      </c>
      <c r="F357" s="18" t="str">
        <f aca="false">IFERROR(INDEX('قائمة الوحدات'!$F$2:$F$41,MATCH($B357,'قائمة الوحدات'!$A$2:$A$41,0)),"")</f>
        <v>الإدارة العامة للشؤون الهندسية العسكرية</v>
      </c>
      <c r="G357" s="20" t="s">
        <v>66</v>
      </c>
      <c r="H357" s="18" t="str">
        <f aca="false">IFERROR(INDEX(المرجع!$A$2:$A$19,MATCH($G357,المرجع!$B$2:$B$19,0)),"")</f>
        <v>التشغيل</v>
      </c>
      <c r="I357" s="20" t="s">
        <v>52</v>
      </c>
      <c r="J357" s="18" t="str">
        <f aca="false">IFERROR(INDEX(المرجع!$D$2:$D$19,MATCH($I357,المرجع!$E$2:$E$19,0)),"")</f>
        <v>الحوكمة</v>
      </c>
      <c r="K357" s="20" t="s">
        <v>126</v>
      </c>
      <c r="L357" s="21" t="str">
        <f aca="false">IFERROR(INDEX('نقاط التحقق'!$G$2:$G$31,MATCH($K357,'نقاط التحقق'!$A$2:$A$31,0))&amp;"","")</f>
        <v>نشر السياسات التي تملكها الوحدة التنظيمية</v>
      </c>
      <c r="M357" s="17" t="n">
        <v>60</v>
      </c>
      <c r="N357" s="17" t="n">
        <v>100</v>
      </c>
      <c r="O357" s="19" t="str">
        <f aca="false">IF($M357="","غير مقيّمة",IF($M357&gt;المرجع!$K$3,"مستوفاة بشكل متقدم",IF($M357&lt;=المرجع!$K$2,"مستوفاة بشكل أولي","مستوفاة بشكل جزئي")))</f>
        <v>مستوفاة بشكل جزئي</v>
      </c>
      <c r="P357" s="22"/>
    </row>
    <row r="358" customFormat="false" ht="15" hidden="false" customHeight="true" outlineLevel="0" collapsed="false">
      <c r="A358" s="20" t="s">
        <v>1172</v>
      </c>
      <c r="B358" s="20" t="s">
        <v>218</v>
      </c>
      <c r="C358" s="19" t="str">
        <f aca="false">IFERROR(INDEX('قائمة الوحدات'!$B$2:$B$41,MATCH($B358,'قائمة الوحدات'!$A$2:$A$41,0)),"")</f>
        <v>MIL</v>
      </c>
      <c r="D358" s="18" t="str">
        <f aca="false">IFERROR(INDEX('قائمة الوحدات'!$C$2:$C$41,MATCH($B358,'قائمة الوحدات'!$A$2:$A$41,0)),"")</f>
        <v>الجهاز العسكري</v>
      </c>
      <c r="E358" s="18" t="str">
        <f aca="false">IFERROR(INDEX('قائمة الوحدات'!$D$2:$D$41,MATCH($B358,'قائمة الوحدات'!$A$2:$A$41,0)),"")</f>
        <v>الإدارة العامة للشؤون الهندسية العسكرية</v>
      </c>
      <c r="F358" s="18" t="str">
        <f aca="false">IFERROR(INDEX('قائمة الوحدات'!$F$2:$F$41,MATCH($B358,'قائمة الوحدات'!$A$2:$A$41,0)),"")</f>
        <v>الإدارة العامة للشؤون الهندسية العسكرية</v>
      </c>
      <c r="G358" s="20" t="s">
        <v>66</v>
      </c>
      <c r="H358" s="18" t="str">
        <f aca="false">IFERROR(INDEX(المرجع!$A$2:$A$19,MATCH($G358,المرجع!$B$2:$B$19,0)),"")</f>
        <v>التشغيل</v>
      </c>
      <c r="I358" s="20" t="s">
        <v>52</v>
      </c>
      <c r="J358" s="18" t="str">
        <f aca="false">IFERROR(INDEX(المرجع!$D$2:$D$19,MATCH($I358,المرجع!$E$2:$E$19,0)),"")</f>
        <v>الحوكمة</v>
      </c>
      <c r="K358" s="20" t="s">
        <v>128</v>
      </c>
      <c r="L358" s="21" t="str">
        <f aca="false">IFERROR(INDEX('نقاط التحقق'!$G$2:$G$31,MATCH($K358,'نقاط التحقق'!$A$2:$A$31,0))&amp;"","")</f>
        <v>اتخاذ القرارات في نطاق الصلاحيات (وجود شواهد)</v>
      </c>
      <c r="M358" s="17" t="n">
        <v>35</v>
      </c>
      <c r="N358" s="17" t="n">
        <v>100</v>
      </c>
      <c r="O358" s="19" t="str">
        <f aca="false">IF($M358="","غير مقيّمة",IF($M358&gt;المرجع!$K$3,"مستوفاة بشكل متقدم",IF($M358&lt;=المرجع!$K$2,"مستوفاة بشكل أولي","مستوفاة بشكل جزئي")))</f>
        <v>مستوفاة بشكل جزئي</v>
      </c>
      <c r="P358" s="22"/>
    </row>
    <row r="359" customFormat="false" ht="15" hidden="false" customHeight="true" outlineLevel="0" collapsed="false">
      <c r="A359" s="20" t="s">
        <v>1173</v>
      </c>
      <c r="B359" s="20" t="s">
        <v>218</v>
      </c>
      <c r="C359" s="19" t="str">
        <f aca="false">IFERROR(INDEX('قائمة الوحدات'!$B$2:$B$41,MATCH($B359,'قائمة الوحدات'!$A$2:$A$41,0)),"")</f>
        <v>MIL</v>
      </c>
      <c r="D359" s="18" t="str">
        <f aca="false">IFERROR(INDEX('قائمة الوحدات'!$C$2:$C$41,MATCH($B359,'قائمة الوحدات'!$A$2:$A$41,0)),"")</f>
        <v>الجهاز العسكري</v>
      </c>
      <c r="E359" s="18" t="str">
        <f aca="false">IFERROR(INDEX('قائمة الوحدات'!$D$2:$D$41,MATCH($B359,'قائمة الوحدات'!$A$2:$A$41,0)),"")</f>
        <v>الإدارة العامة للشؤون الهندسية العسكرية</v>
      </c>
      <c r="F359" s="18" t="str">
        <f aca="false">IFERROR(INDEX('قائمة الوحدات'!$F$2:$F$41,MATCH($B359,'قائمة الوحدات'!$A$2:$A$41,0)),"")</f>
        <v>الإدارة العامة للشؤون الهندسية العسكرية</v>
      </c>
      <c r="G359" s="20" t="s">
        <v>66</v>
      </c>
      <c r="H359" s="18" t="str">
        <f aca="false">IFERROR(INDEX(المرجع!$A$2:$A$19,MATCH($G359,المرجع!$B$2:$B$19,0)),"")</f>
        <v>التشغيل</v>
      </c>
      <c r="I359" s="20" t="s">
        <v>57</v>
      </c>
      <c r="J359" s="18" t="str">
        <f aca="false">IFERROR(INDEX(المرجع!$D$2:$D$19,MATCH($I359,المرجع!$E$2:$E$19,0)),"")</f>
        <v>الموارد</v>
      </c>
      <c r="K359" s="20" t="s">
        <v>130</v>
      </c>
      <c r="L359" s="21" t="str">
        <f aca="false">IFERROR(INDEX('نقاط التحقق'!$G$2:$G$31,MATCH($K359,'نقاط التحقق'!$A$2:$A$31,0))&amp;"","")</f>
        <v>موارد مستكملة للحد الأدنى الذي يغطي كافة محاور سلسلة القيمة</v>
      </c>
      <c r="M359" s="17" t="n">
        <v>29</v>
      </c>
      <c r="N359" s="17" t="n">
        <v>100</v>
      </c>
      <c r="O359" s="19" t="str">
        <f aca="false">IF($M359="","غير مقيّمة",IF($M359&gt;المرجع!$K$3,"مستوفاة بشكل متقدم",IF($M359&lt;=المرجع!$K$2,"مستوفاة بشكل أولي","مستوفاة بشكل جزئي")))</f>
        <v>مستوفاة بشكل أولي</v>
      </c>
      <c r="P359" s="22"/>
    </row>
    <row r="360" customFormat="false" ht="15" hidden="false" customHeight="true" outlineLevel="0" collapsed="false">
      <c r="A360" s="20" t="s">
        <v>1174</v>
      </c>
      <c r="B360" s="20" t="s">
        <v>218</v>
      </c>
      <c r="C360" s="19" t="str">
        <f aca="false">IFERROR(INDEX('قائمة الوحدات'!$B$2:$B$41,MATCH($B360,'قائمة الوحدات'!$A$2:$A$41,0)),"")</f>
        <v>MIL</v>
      </c>
      <c r="D360" s="18" t="str">
        <f aca="false">IFERROR(INDEX('قائمة الوحدات'!$C$2:$C$41,MATCH($B360,'قائمة الوحدات'!$A$2:$A$41,0)),"")</f>
        <v>الجهاز العسكري</v>
      </c>
      <c r="E360" s="18" t="str">
        <f aca="false">IFERROR(INDEX('قائمة الوحدات'!$D$2:$D$41,MATCH($B360,'قائمة الوحدات'!$A$2:$A$41,0)),"")</f>
        <v>الإدارة العامة للشؤون الهندسية العسكرية</v>
      </c>
      <c r="F360" s="18" t="str">
        <f aca="false">IFERROR(INDEX('قائمة الوحدات'!$F$2:$F$41,MATCH($B360,'قائمة الوحدات'!$A$2:$A$41,0)),"")</f>
        <v>الإدارة العامة للشؤون الهندسية العسكرية</v>
      </c>
      <c r="G360" s="20" t="s">
        <v>66</v>
      </c>
      <c r="H360" s="18" t="str">
        <f aca="false">IFERROR(INDEX(المرجع!$A$2:$A$19,MATCH($G360,المرجع!$B$2:$B$19,0)),"")</f>
        <v>التشغيل</v>
      </c>
      <c r="I360" s="20" t="s">
        <v>60</v>
      </c>
      <c r="J360" s="18" t="str">
        <f aca="false">IFERROR(INDEX(المرجع!$D$2:$D$19,MATCH($I360,المرجع!$E$2:$E$19,0)),"")</f>
        <v>الإجراءات</v>
      </c>
      <c r="K360" s="20" t="s">
        <v>132</v>
      </c>
      <c r="L360" s="21" t="str">
        <f aca="false">IFERROR(INDEX('نقاط التحقق'!$G$2:$G$31,MATCH($K360,'نقاط التحقق'!$A$2:$A$31,0))&amp;"","")</f>
        <v>تحقيق تقييم "مطبق بشكل كامل" من منهجية تقييم فعالية الإجراءات</v>
      </c>
      <c r="M360" s="17" t="n">
        <v>57</v>
      </c>
      <c r="N360" s="17" t="n">
        <v>90</v>
      </c>
      <c r="O360" s="19" t="str">
        <f aca="false">IF($M360="","غير مقيّمة",IF($M360&gt;المرجع!$K$3,"مستوفاة بشكل متقدم",IF($M360&lt;=المرجع!$K$2,"مستوفاة بشكل أولي","مستوفاة بشكل جزئي")))</f>
        <v>مستوفاة بشكل جزئي</v>
      </c>
      <c r="P360" s="22"/>
    </row>
    <row r="361" customFormat="false" ht="15" hidden="false" customHeight="true" outlineLevel="0" collapsed="false">
      <c r="A361" s="20" t="s">
        <v>1175</v>
      </c>
      <c r="B361" s="20" t="s">
        <v>218</v>
      </c>
      <c r="C361" s="19" t="str">
        <f aca="false">IFERROR(INDEX('قائمة الوحدات'!$B$2:$B$41,MATCH($B361,'قائمة الوحدات'!$A$2:$A$41,0)),"")</f>
        <v>MIL</v>
      </c>
      <c r="D361" s="18" t="str">
        <f aca="false">IFERROR(INDEX('قائمة الوحدات'!$C$2:$C$41,MATCH($B361,'قائمة الوحدات'!$A$2:$A$41,0)),"")</f>
        <v>الجهاز العسكري</v>
      </c>
      <c r="E361" s="18" t="str">
        <f aca="false">IFERROR(INDEX('قائمة الوحدات'!$D$2:$D$41,MATCH($B361,'قائمة الوحدات'!$A$2:$A$41,0)),"")</f>
        <v>الإدارة العامة للشؤون الهندسية العسكرية</v>
      </c>
      <c r="F361" s="18" t="str">
        <f aca="false">IFERROR(INDEX('قائمة الوحدات'!$F$2:$F$41,MATCH($B361,'قائمة الوحدات'!$A$2:$A$41,0)),"")</f>
        <v>الإدارة العامة للشؤون الهندسية العسكرية</v>
      </c>
      <c r="G361" s="20" t="s">
        <v>66</v>
      </c>
      <c r="H361" s="18" t="str">
        <f aca="false">IFERROR(INDEX(المرجع!$A$2:$A$19,MATCH($G361,المرجع!$B$2:$B$19,0)),"")</f>
        <v>التشغيل</v>
      </c>
      <c r="I361" s="20" t="s">
        <v>71</v>
      </c>
      <c r="J361" s="18" t="str">
        <f aca="false">IFERROR(INDEX(المرجع!$D$2:$D$19,MATCH($I361,المرجع!$E$2:$E$19,0)),"")</f>
        <v>اكتمال المخرجات المستهدفة</v>
      </c>
      <c r="K361" s="20" t="s">
        <v>134</v>
      </c>
      <c r="L361" s="21" t="str">
        <f aca="false">IFERROR(INDEX('نقاط التحقق'!$G$2:$G$31,MATCH($K361,'نقاط التحقق'!$A$2:$A$31,0))&amp;"","")</f>
        <v>اكتمال مخرجات النموذج التشغيلي المستهدف للوحدة التنظيمية</v>
      </c>
      <c r="M361" s="17" t="n">
        <v>36</v>
      </c>
      <c r="N361" s="17" t="n">
        <v>80</v>
      </c>
      <c r="O361" s="19" t="str">
        <f aca="false">IF($M361="","غير مقيّمة",IF($M361&gt;المرجع!$K$3,"مستوفاة بشكل متقدم",IF($M361&lt;=المرجع!$K$2,"مستوفاة بشكل أولي","مستوفاة بشكل جزئي")))</f>
        <v>مستوفاة بشكل جزئي</v>
      </c>
      <c r="P361" s="22"/>
    </row>
    <row r="362" customFormat="false" ht="15" hidden="false" customHeight="true" outlineLevel="0" collapsed="false">
      <c r="A362" s="20" t="s">
        <v>1176</v>
      </c>
      <c r="B362" s="20" t="s">
        <v>220</v>
      </c>
      <c r="C362" s="19" t="str">
        <f aca="false">IFERROR(INDEX('قائمة الوحدات'!$B$2:$B$41,MATCH($B362,'قائمة الوحدات'!$A$2:$A$41,0)),"")</f>
        <v>MIL</v>
      </c>
      <c r="D362" s="18" t="str">
        <f aca="false">IFERROR(INDEX('قائمة الوحدات'!$C$2:$C$41,MATCH($B362,'قائمة الوحدات'!$A$2:$A$41,0)),"")</f>
        <v>الجهاز العسكري</v>
      </c>
      <c r="E362" s="18" t="str">
        <f aca="false">IFERROR(INDEX('قائمة الوحدات'!$D$2:$D$41,MATCH($B362,'قائمة الوحدات'!$A$2:$A$41,0)),"")</f>
        <v>الإدارة العامة للخدمات الطبية العسكرية</v>
      </c>
      <c r="F362" s="18" t="str">
        <f aca="false">IFERROR(INDEX('قائمة الوحدات'!$F$2:$F$41,MATCH($B362,'قائمة الوحدات'!$A$2:$A$41,0)),"")</f>
        <v>الإدارة العامة للخدمات الطبية العسكرية</v>
      </c>
      <c r="G362" s="20" t="s">
        <v>44</v>
      </c>
      <c r="H362" s="18" t="str">
        <f aca="false">IFERROR(INDEX(المرجع!$A$2:$A$19,MATCH($G362,المرجع!$B$2:$B$19,0)),"")</f>
        <v>التصميم</v>
      </c>
      <c r="I362" s="20" t="s">
        <v>46</v>
      </c>
      <c r="J362" s="18" t="str">
        <f aca="false">IFERROR(INDEX(المرجع!$D$2:$D$19,MATCH($I362,المرجع!$E$2:$E$19,0)),"")</f>
        <v>الدور</v>
      </c>
      <c r="K362" s="20" t="s">
        <v>76</v>
      </c>
      <c r="L362" s="21" t="str">
        <f aca="false">IFERROR(INDEX('نقاط التحقق'!$G$2:$G$31,MATCH($K362,'نقاط التحقق'!$A$2:$A$31,0))&amp;"","")</f>
        <v>دور مفصل للوحدة التنظيمية</v>
      </c>
      <c r="M362" s="17" t="n">
        <v>73</v>
      </c>
      <c r="N362" s="17" t="n">
        <v>100</v>
      </c>
      <c r="O362" s="19" t="str">
        <f aca="false">IF($M362="","غير مقيّمة",IF($M362&gt;المرجع!$K$3,"مستوفاة بشكل متقدم",IF($M362&lt;=المرجع!$K$2,"مستوفاة بشكل أولي","مستوفاة بشكل جزئي")))</f>
        <v>مستوفاة بشكل متقدم</v>
      </c>
      <c r="P362" s="22"/>
    </row>
    <row r="363" customFormat="false" ht="15" hidden="false" customHeight="true" outlineLevel="0" collapsed="false">
      <c r="A363" s="20" t="s">
        <v>1177</v>
      </c>
      <c r="B363" s="20" t="s">
        <v>220</v>
      </c>
      <c r="C363" s="19" t="str">
        <f aca="false">IFERROR(INDEX('قائمة الوحدات'!$B$2:$B$41,MATCH($B363,'قائمة الوحدات'!$A$2:$A$41,0)),"")</f>
        <v>MIL</v>
      </c>
      <c r="D363" s="18" t="str">
        <f aca="false">IFERROR(INDEX('قائمة الوحدات'!$C$2:$C$41,MATCH($B363,'قائمة الوحدات'!$A$2:$A$41,0)),"")</f>
        <v>الجهاز العسكري</v>
      </c>
      <c r="E363" s="18" t="str">
        <f aca="false">IFERROR(INDEX('قائمة الوحدات'!$D$2:$D$41,MATCH($B363,'قائمة الوحدات'!$A$2:$A$41,0)),"")</f>
        <v>الإدارة العامة للخدمات الطبية العسكرية</v>
      </c>
      <c r="F363" s="18" t="str">
        <f aca="false">IFERROR(INDEX('قائمة الوحدات'!$F$2:$F$41,MATCH($B363,'قائمة الوحدات'!$A$2:$A$41,0)),"")</f>
        <v>الإدارة العامة للخدمات الطبية العسكرية</v>
      </c>
      <c r="G363" s="20" t="s">
        <v>44</v>
      </c>
      <c r="H363" s="18" t="str">
        <f aca="false">IFERROR(INDEX(المرجع!$A$2:$A$19,MATCH($G363,المرجع!$B$2:$B$19,0)),"")</f>
        <v>التصميم</v>
      </c>
      <c r="I363" s="20" t="s">
        <v>49</v>
      </c>
      <c r="J363" s="18" t="str">
        <f aca="false">IFERROR(INDEX(المرجع!$D$2:$D$19,MATCH($I363,المرجع!$E$2:$E$19,0)),"")</f>
        <v>الأهداف ومؤشرات الأداء</v>
      </c>
      <c r="K363" s="20" t="s">
        <v>78</v>
      </c>
      <c r="L363" s="21" t="str">
        <f aca="false">IFERROR(INDEX('نقاط التحقق'!$G$2:$G$31,MATCH($K363,'نقاط التحقق'!$A$2:$A$31,0))&amp;"","")</f>
        <v>أهداف محددة للوحدة التنظيمية وربطها بمؤشرات أداء لقياسها</v>
      </c>
      <c r="M363" s="17" t="n">
        <v>80</v>
      </c>
      <c r="N363" s="17" t="n">
        <v>90</v>
      </c>
      <c r="O363" s="19" t="str">
        <f aca="false">IF($M363="","غير مقيّمة",IF($M363&gt;المرجع!$K$3,"مستوفاة بشكل متقدم",IF($M363&lt;=المرجع!$K$2,"مستوفاة بشكل أولي","مستوفاة بشكل جزئي")))</f>
        <v>مستوفاة بشكل متقدم</v>
      </c>
      <c r="P363" s="22"/>
    </row>
    <row r="364" customFormat="false" ht="15" hidden="false" customHeight="true" outlineLevel="0" collapsed="false">
      <c r="A364" s="20" t="s">
        <v>1178</v>
      </c>
      <c r="B364" s="20" t="s">
        <v>220</v>
      </c>
      <c r="C364" s="19" t="str">
        <f aca="false">IFERROR(INDEX('قائمة الوحدات'!$B$2:$B$41,MATCH($B364,'قائمة الوحدات'!$A$2:$A$41,0)),"")</f>
        <v>MIL</v>
      </c>
      <c r="D364" s="18" t="str">
        <f aca="false">IFERROR(INDEX('قائمة الوحدات'!$C$2:$C$41,MATCH($B364,'قائمة الوحدات'!$A$2:$A$41,0)),"")</f>
        <v>الجهاز العسكري</v>
      </c>
      <c r="E364" s="18" t="str">
        <f aca="false">IFERROR(INDEX('قائمة الوحدات'!$D$2:$D$41,MATCH($B364,'قائمة الوحدات'!$A$2:$A$41,0)),"")</f>
        <v>الإدارة العامة للخدمات الطبية العسكرية</v>
      </c>
      <c r="F364" s="18" t="str">
        <f aca="false">IFERROR(INDEX('قائمة الوحدات'!$F$2:$F$41,MATCH($B364,'قائمة الوحدات'!$A$2:$A$41,0)),"")</f>
        <v>الإدارة العامة للخدمات الطبية العسكرية</v>
      </c>
      <c r="G364" s="20" t="s">
        <v>44</v>
      </c>
      <c r="H364" s="18" t="str">
        <f aca="false">IFERROR(INDEX(المرجع!$A$2:$A$19,MATCH($G364,المرجع!$B$2:$B$19,0)),"")</f>
        <v>التصميم</v>
      </c>
      <c r="I364" s="20" t="s">
        <v>49</v>
      </c>
      <c r="J364" s="18" t="str">
        <f aca="false">IFERROR(INDEX(المرجع!$D$2:$D$19,MATCH($I364,المرجع!$E$2:$E$19,0)),"")</f>
        <v>الأهداف ومؤشرات الأداء</v>
      </c>
      <c r="K364" s="20" t="s">
        <v>80</v>
      </c>
      <c r="L364" s="21" t="str">
        <f aca="false">IFERROR(INDEX('نقاط التحقق'!$G$2:$G$31,MATCH($K364,'نقاط التحقق'!$A$2:$A$31,0))&amp;"","")</f>
        <v>مؤشرات أداء الوحدة التنظيمية</v>
      </c>
      <c r="M364" s="17" t="n">
        <v>90</v>
      </c>
      <c r="N364" s="17" t="n">
        <v>90</v>
      </c>
      <c r="O364" s="19" t="str">
        <f aca="false">IF($M364="","غير مقيّمة",IF($M364&gt;المرجع!$K$3,"مستوفاة بشكل متقدم",IF($M364&lt;=المرجع!$K$2,"مستوفاة بشكل أولي","مستوفاة بشكل جزئي")))</f>
        <v>مستوفاة بشكل متقدم</v>
      </c>
      <c r="P364" s="22"/>
    </row>
    <row r="365" customFormat="false" ht="15" hidden="false" customHeight="true" outlineLevel="0" collapsed="false">
      <c r="A365" s="20" t="s">
        <v>1179</v>
      </c>
      <c r="B365" s="20" t="s">
        <v>220</v>
      </c>
      <c r="C365" s="19" t="str">
        <f aca="false">IFERROR(INDEX('قائمة الوحدات'!$B$2:$B$41,MATCH($B365,'قائمة الوحدات'!$A$2:$A$41,0)),"")</f>
        <v>MIL</v>
      </c>
      <c r="D365" s="18" t="str">
        <f aca="false">IFERROR(INDEX('قائمة الوحدات'!$C$2:$C$41,MATCH($B365,'قائمة الوحدات'!$A$2:$A$41,0)),"")</f>
        <v>الجهاز العسكري</v>
      </c>
      <c r="E365" s="18" t="str">
        <f aca="false">IFERROR(INDEX('قائمة الوحدات'!$D$2:$D$41,MATCH($B365,'قائمة الوحدات'!$A$2:$A$41,0)),"")</f>
        <v>الإدارة العامة للخدمات الطبية العسكرية</v>
      </c>
      <c r="F365" s="18" t="str">
        <f aca="false">IFERROR(INDEX('قائمة الوحدات'!$F$2:$F$41,MATCH($B365,'قائمة الوحدات'!$A$2:$A$41,0)),"")</f>
        <v>الإدارة العامة للخدمات الطبية العسكرية</v>
      </c>
      <c r="G365" s="20" t="s">
        <v>44</v>
      </c>
      <c r="H365" s="18" t="str">
        <f aca="false">IFERROR(INDEX(المرجع!$A$2:$A$19,MATCH($G365,المرجع!$B$2:$B$19,0)),"")</f>
        <v>التصميم</v>
      </c>
      <c r="I365" s="20" t="s">
        <v>52</v>
      </c>
      <c r="J365" s="18" t="str">
        <f aca="false">IFERROR(INDEX(المرجع!$D$2:$D$19,MATCH($I365,المرجع!$E$2:$E$19,0)),"")</f>
        <v>الحوكمة</v>
      </c>
      <c r="K365" s="20" t="s">
        <v>82</v>
      </c>
      <c r="L365" s="21" t="str">
        <f aca="false">IFERROR(INDEX('نقاط التحقق'!$G$2:$G$31,MATCH($K365,'نقاط التحقق'!$A$2:$A$31,0))&amp;"","")</f>
        <v>تفصيل القرارات ومصفوفة الصلاحيات واللجان ذات العلاقة لاعتماد مخرجات الوحدة التنظيمية</v>
      </c>
      <c r="M365" s="17" t="n">
        <v>92</v>
      </c>
      <c r="N365" s="17" t="n">
        <v>95</v>
      </c>
      <c r="O365" s="19" t="str">
        <f aca="false">IF($M365="","غير مقيّمة",IF($M365&gt;المرجع!$K$3,"مستوفاة بشكل متقدم",IF($M365&lt;=المرجع!$K$2,"مستوفاة بشكل أولي","مستوفاة بشكل جزئي")))</f>
        <v>مستوفاة بشكل متقدم</v>
      </c>
      <c r="P365" s="22"/>
    </row>
    <row r="366" customFormat="false" ht="15" hidden="false" customHeight="true" outlineLevel="0" collapsed="false">
      <c r="A366" s="20" t="s">
        <v>1180</v>
      </c>
      <c r="B366" s="20" t="s">
        <v>220</v>
      </c>
      <c r="C366" s="19" t="str">
        <f aca="false">IFERROR(INDEX('قائمة الوحدات'!$B$2:$B$41,MATCH($B366,'قائمة الوحدات'!$A$2:$A$41,0)),"")</f>
        <v>MIL</v>
      </c>
      <c r="D366" s="18" t="str">
        <f aca="false">IFERROR(INDEX('قائمة الوحدات'!$C$2:$C$41,MATCH($B366,'قائمة الوحدات'!$A$2:$A$41,0)),"")</f>
        <v>الجهاز العسكري</v>
      </c>
      <c r="E366" s="18" t="str">
        <f aca="false">IFERROR(INDEX('قائمة الوحدات'!$D$2:$D$41,MATCH($B366,'قائمة الوحدات'!$A$2:$A$41,0)),"")</f>
        <v>الإدارة العامة للخدمات الطبية العسكرية</v>
      </c>
      <c r="F366" s="18" t="str">
        <f aca="false">IFERROR(INDEX('قائمة الوحدات'!$F$2:$F$41,MATCH($B366,'قائمة الوحدات'!$A$2:$A$41,0)),"")</f>
        <v>الإدارة العامة للخدمات الطبية العسكرية</v>
      </c>
      <c r="G366" s="20" t="s">
        <v>44</v>
      </c>
      <c r="H366" s="18" t="str">
        <f aca="false">IFERROR(INDEX(المرجع!$A$2:$A$19,MATCH($G366,المرجع!$B$2:$B$19,0)),"")</f>
        <v>التصميم</v>
      </c>
      <c r="I366" s="20" t="s">
        <v>55</v>
      </c>
      <c r="J366" s="18" t="str">
        <f aca="false">IFERROR(INDEX(المرجع!$D$2:$D$19,MATCH($I366,المرجع!$E$2:$E$19,0)),"")</f>
        <v>التنظيم</v>
      </c>
      <c r="K366" s="20" t="s">
        <v>84</v>
      </c>
      <c r="L366" s="21" t="str">
        <f aca="false">IFERROR(INDEX('نقاط التحقق'!$G$2:$G$31,MATCH($K366,'نقاط التحقق'!$A$2:$A$31,0))&amp;"","")</f>
        <v>تطوير الأدوار والمسؤوليات للوحدة التنظيمية وتفصيل الهيكل التنظيمي</v>
      </c>
      <c r="M366" s="17" t="n">
        <v>80</v>
      </c>
      <c r="N366" s="17" t="n">
        <v>95</v>
      </c>
      <c r="O366" s="19" t="str">
        <f aca="false">IF($M366="","غير مقيّمة",IF($M366&gt;المرجع!$K$3,"مستوفاة بشكل متقدم",IF($M366&lt;=المرجع!$K$2,"مستوفاة بشكل أولي","مستوفاة بشكل جزئي")))</f>
        <v>مستوفاة بشكل متقدم</v>
      </c>
      <c r="P366" s="22"/>
    </row>
    <row r="367" customFormat="false" ht="15" hidden="false" customHeight="true" outlineLevel="0" collapsed="false">
      <c r="A367" s="20" t="s">
        <v>1181</v>
      </c>
      <c r="B367" s="20" t="s">
        <v>220</v>
      </c>
      <c r="C367" s="19" t="str">
        <f aca="false">IFERROR(INDEX('قائمة الوحدات'!$B$2:$B$41,MATCH($B367,'قائمة الوحدات'!$A$2:$A$41,0)),"")</f>
        <v>MIL</v>
      </c>
      <c r="D367" s="18" t="str">
        <f aca="false">IFERROR(INDEX('قائمة الوحدات'!$C$2:$C$41,MATCH($B367,'قائمة الوحدات'!$A$2:$A$41,0)),"")</f>
        <v>الجهاز العسكري</v>
      </c>
      <c r="E367" s="18" t="str">
        <f aca="false">IFERROR(INDEX('قائمة الوحدات'!$D$2:$D$41,MATCH($B367,'قائمة الوحدات'!$A$2:$A$41,0)),"")</f>
        <v>الإدارة العامة للخدمات الطبية العسكرية</v>
      </c>
      <c r="F367" s="18" t="str">
        <f aca="false">IFERROR(INDEX('قائمة الوحدات'!$F$2:$F$41,MATCH($B367,'قائمة الوحدات'!$A$2:$A$41,0)),"")</f>
        <v>الإدارة العامة للخدمات الطبية العسكرية</v>
      </c>
      <c r="G367" s="20" t="s">
        <v>44</v>
      </c>
      <c r="H367" s="18" t="str">
        <f aca="false">IFERROR(INDEX(المرجع!$A$2:$A$19,MATCH($G367,المرجع!$B$2:$B$19,0)),"")</f>
        <v>التصميم</v>
      </c>
      <c r="I367" s="20" t="s">
        <v>57</v>
      </c>
      <c r="J367" s="18" t="str">
        <f aca="false">IFERROR(INDEX(المرجع!$D$2:$D$19,MATCH($I367,المرجع!$E$2:$E$19,0)),"")</f>
        <v>الموارد</v>
      </c>
      <c r="K367" s="20" t="s">
        <v>86</v>
      </c>
      <c r="L367" s="21" t="str">
        <f aca="false">IFERROR(INDEX('نقاط التحقق'!$G$2:$G$31,MATCH($K367,'نقاط التحقق'!$A$2:$A$31,0))&amp;"","")</f>
        <v>تفصيل احتياج الموارد البشرية للوحدة التنظيمية</v>
      </c>
      <c r="M367" s="17" t="n">
        <v>95</v>
      </c>
      <c r="N367" s="17" t="n">
        <v>95</v>
      </c>
      <c r="O367" s="19" t="str">
        <f aca="false">IF($M367="","غير مقيّمة",IF($M367&gt;المرجع!$K$3,"مستوفاة بشكل متقدم",IF($M367&lt;=المرجع!$K$2,"مستوفاة بشكل أولي","مستوفاة بشكل جزئي")))</f>
        <v>مستوفاة بشكل متقدم</v>
      </c>
      <c r="P367" s="22"/>
    </row>
    <row r="368" customFormat="false" ht="15" hidden="false" customHeight="true" outlineLevel="0" collapsed="false">
      <c r="A368" s="20" t="s">
        <v>1182</v>
      </c>
      <c r="B368" s="20" t="s">
        <v>220</v>
      </c>
      <c r="C368" s="19" t="str">
        <f aca="false">IFERROR(INDEX('قائمة الوحدات'!$B$2:$B$41,MATCH($B368,'قائمة الوحدات'!$A$2:$A$41,0)),"")</f>
        <v>MIL</v>
      </c>
      <c r="D368" s="18" t="str">
        <f aca="false">IFERROR(INDEX('قائمة الوحدات'!$C$2:$C$41,MATCH($B368,'قائمة الوحدات'!$A$2:$A$41,0)),"")</f>
        <v>الجهاز العسكري</v>
      </c>
      <c r="E368" s="18" t="str">
        <f aca="false">IFERROR(INDEX('قائمة الوحدات'!$D$2:$D$41,MATCH($B368,'قائمة الوحدات'!$A$2:$A$41,0)),"")</f>
        <v>الإدارة العامة للخدمات الطبية العسكرية</v>
      </c>
      <c r="F368" s="18" t="str">
        <f aca="false">IFERROR(INDEX('قائمة الوحدات'!$F$2:$F$41,MATCH($B368,'قائمة الوحدات'!$A$2:$A$41,0)),"")</f>
        <v>الإدارة العامة للخدمات الطبية العسكرية</v>
      </c>
      <c r="G368" s="20" t="s">
        <v>44</v>
      </c>
      <c r="H368" s="18" t="str">
        <f aca="false">IFERROR(INDEX(المرجع!$A$2:$A$19,MATCH($G368,المرجع!$B$2:$B$19,0)),"")</f>
        <v>التصميم</v>
      </c>
      <c r="I368" s="20" t="s">
        <v>60</v>
      </c>
      <c r="J368" s="18" t="str">
        <f aca="false">IFERROR(INDEX(المرجع!$D$2:$D$19,MATCH($I368,المرجع!$E$2:$E$19,0)),"")</f>
        <v>الإجراءات</v>
      </c>
      <c r="K368" s="20" t="s">
        <v>88</v>
      </c>
      <c r="L368" s="21" t="str">
        <f aca="false">IFERROR(INDEX('نقاط التحقق'!$G$2:$G$31,MATCH($K368,'نقاط التحقق'!$A$2:$A$31,0))&amp;"","")</f>
        <v>تفصيل المخرجات إلى إجراءات عالية المستوى</v>
      </c>
      <c r="M368" s="17" t="n">
        <v>76</v>
      </c>
      <c r="N368" s="17" t="n">
        <v>80</v>
      </c>
      <c r="O368" s="19" t="str">
        <f aca="false">IF($M368="","غير مقيّمة",IF($M368&gt;المرجع!$K$3,"مستوفاة بشكل متقدم",IF($M368&lt;=المرجع!$K$2,"مستوفاة بشكل أولي","مستوفاة بشكل جزئي")))</f>
        <v>مستوفاة بشكل متقدم</v>
      </c>
      <c r="P368" s="22"/>
    </row>
    <row r="369" customFormat="false" ht="15" hidden="false" customHeight="true" outlineLevel="0" collapsed="false">
      <c r="A369" s="20" t="s">
        <v>1183</v>
      </c>
      <c r="B369" s="20" t="s">
        <v>220</v>
      </c>
      <c r="C369" s="19" t="str">
        <f aca="false">IFERROR(INDEX('قائمة الوحدات'!$B$2:$B$41,MATCH($B369,'قائمة الوحدات'!$A$2:$A$41,0)),"")</f>
        <v>MIL</v>
      </c>
      <c r="D369" s="18" t="str">
        <f aca="false">IFERROR(INDEX('قائمة الوحدات'!$C$2:$C$41,MATCH($B369,'قائمة الوحدات'!$A$2:$A$41,0)),"")</f>
        <v>الجهاز العسكري</v>
      </c>
      <c r="E369" s="18" t="str">
        <f aca="false">IFERROR(INDEX('قائمة الوحدات'!$D$2:$D$41,MATCH($B369,'قائمة الوحدات'!$A$2:$A$41,0)),"")</f>
        <v>الإدارة العامة للخدمات الطبية العسكرية</v>
      </c>
      <c r="F369" s="18" t="str">
        <f aca="false">IFERROR(INDEX('قائمة الوحدات'!$F$2:$F$41,MATCH($B369,'قائمة الوحدات'!$A$2:$A$41,0)),"")</f>
        <v>الإدارة العامة للخدمات الطبية العسكرية</v>
      </c>
      <c r="G369" s="20" t="s">
        <v>62</v>
      </c>
      <c r="H369" s="18" t="str">
        <f aca="false">IFERROR(INDEX(المرجع!$A$2:$A$19,MATCH($G369,المرجع!$B$2:$B$19,0)),"")</f>
        <v>البناء المؤسسي</v>
      </c>
      <c r="I369" s="20" t="s">
        <v>46</v>
      </c>
      <c r="J369" s="18" t="str">
        <f aca="false">IFERROR(INDEX(المرجع!$D$2:$D$19,MATCH($I369,المرجع!$E$2:$E$19,0)),"")</f>
        <v>الدور</v>
      </c>
      <c r="K369" s="20" t="s">
        <v>90</v>
      </c>
      <c r="L369" s="21" t="str">
        <f aca="false">IFERROR(INDEX('نقاط التحقق'!$G$2:$G$31,MATCH($K369,'نقاط التحقق'!$A$2:$A$31,0))&amp;"","")</f>
        <v>دور معتمد للوحدة التنظيمية</v>
      </c>
      <c r="M369" s="17" t="n">
        <v>65</v>
      </c>
      <c r="N369" s="17" t="n">
        <v>85</v>
      </c>
      <c r="O369" s="19" t="str">
        <f aca="false">IF($M369="","غير مقيّمة",IF($M369&gt;المرجع!$K$3,"مستوفاة بشكل متقدم",IF($M369&lt;=المرجع!$K$2,"مستوفاة بشكل أولي","مستوفاة بشكل جزئي")))</f>
        <v>مستوفاة بشكل جزئي</v>
      </c>
      <c r="P369" s="22"/>
    </row>
    <row r="370" customFormat="false" ht="15" hidden="false" customHeight="true" outlineLevel="0" collapsed="false">
      <c r="A370" s="20" t="s">
        <v>1184</v>
      </c>
      <c r="B370" s="20" t="s">
        <v>220</v>
      </c>
      <c r="C370" s="19" t="str">
        <f aca="false">IFERROR(INDEX('قائمة الوحدات'!$B$2:$B$41,MATCH($B370,'قائمة الوحدات'!$A$2:$A$41,0)),"")</f>
        <v>MIL</v>
      </c>
      <c r="D370" s="18" t="str">
        <f aca="false">IFERROR(INDEX('قائمة الوحدات'!$C$2:$C$41,MATCH($B370,'قائمة الوحدات'!$A$2:$A$41,0)),"")</f>
        <v>الجهاز العسكري</v>
      </c>
      <c r="E370" s="18" t="str">
        <f aca="false">IFERROR(INDEX('قائمة الوحدات'!$D$2:$D$41,MATCH($B370,'قائمة الوحدات'!$A$2:$A$41,0)),"")</f>
        <v>الإدارة العامة للخدمات الطبية العسكرية</v>
      </c>
      <c r="F370" s="18" t="str">
        <f aca="false">IFERROR(INDEX('قائمة الوحدات'!$F$2:$F$41,MATCH($B370,'قائمة الوحدات'!$A$2:$A$41,0)),"")</f>
        <v>الإدارة العامة للخدمات الطبية العسكرية</v>
      </c>
      <c r="G370" s="20" t="s">
        <v>62</v>
      </c>
      <c r="H370" s="18" t="str">
        <f aca="false">IFERROR(INDEX(المرجع!$A$2:$A$19,MATCH($G370,المرجع!$B$2:$B$19,0)),"")</f>
        <v>البناء المؤسسي</v>
      </c>
      <c r="I370" s="20" t="s">
        <v>49</v>
      </c>
      <c r="J370" s="18" t="str">
        <f aca="false">IFERROR(INDEX(المرجع!$D$2:$D$19,MATCH($I370,المرجع!$E$2:$E$19,0)),"")</f>
        <v>الأهداف ومؤشرات الأداء</v>
      </c>
      <c r="K370" s="20" t="s">
        <v>92</v>
      </c>
      <c r="L370" s="21" t="str">
        <f aca="false">IFERROR(INDEX('نقاط التحقق'!$G$2:$G$31,MATCH($K370,'نقاط التحقق'!$A$2:$A$31,0))&amp;"","")</f>
        <v>أهداف تشغيلية معتمدة من صاحب الصلاحية</v>
      </c>
      <c r="M370" s="17" t="n">
        <v>55</v>
      </c>
      <c r="N370" s="17" t="n">
        <v>80</v>
      </c>
      <c r="O370" s="19" t="str">
        <f aca="false">IF($M370="","غير مقيّمة",IF($M370&gt;المرجع!$K$3,"مستوفاة بشكل متقدم",IF($M370&lt;=المرجع!$K$2,"مستوفاة بشكل أولي","مستوفاة بشكل جزئي")))</f>
        <v>مستوفاة بشكل جزئي</v>
      </c>
      <c r="P370" s="22"/>
    </row>
    <row r="371" customFormat="false" ht="15" hidden="false" customHeight="true" outlineLevel="0" collapsed="false">
      <c r="A371" s="20" t="s">
        <v>1185</v>
      </c>
      <c r="B371" s="20" t="s">
        <v>220</v>
      </c>
      <c r="C371" s="19" t="str">
        <f aca="false">IFERROR(INDEX('قائمة الوحدات'!$B$2:$B$41,MATCH($B371,'قائمة الوحدات'!$A$2:$A$41,0)),"")</f>
        <v>MIL</v>
      </c>
      <c r="D371" s="18" t="str">
        <f aca="false">IFERROR(INDEX('قائمة الوحدات'!$C$2:$C$41,MATCH($B371,'قائمة الوحدات'!$A$2:$A$41,0)),"")</f>
        <v>الجهاز العسكري</v>
      </c>
      <c r="E371" s="18" t="str">
        <f aca="false">IFERROR(INDEX('قائمة الوحدات'!$D$2:$D$41,MATCH($B371,'قائمة الوحدات'!$A$2:$A$41,0)),"")</f>
        <v>الإدارة العامة للخدمات الطبية العسكرية</v>
      </c>
      <c r="F371" s="18" t="str">
        <f aca="false">IFERROR(INDEX('قائمة الوحدات'!$F$2:$F$41,MATCH($B371,'قائمة الوحدات'!$A$2:$A$41,0)),"")</f>
        <v>الإدارة العامة للخدمات الطبية العسكرية</v>
      </c>
      <c r="G371" s="20" t="s">
        <v>62</v>
      </c>
      <c r="H371" s="18" t="str">
        <f aca="false">IFERROR(INDEX(المرجع!$A$2:$A$19,MATCH($G371,المرجع!$B$2:$B$19,0)),"")</f>
        <v>البناء المؤسسي</v>
      </c>
      <c r="I371" s="20" t="s">
        <v>49</v>
      </c>
      <c r="J371" s="18" t="str">
        <f aca="false">IFERROR(INDEX(المرجع!$D$2:$D$19,MATCH($I371,المرجع!$E$2:$E$19,0)),"")</f>
        <v>الأهداف ومؤشرات الأداء</v>
      </c>
      <c r="K371" s="20" t="s">
        <v>94</v>
      </c>
      <c r="L371" s="21" t="str">
        <f aca="false">IFERROR(INDEX('نقاط التحقق'!$G$2:$G$31,MATCH($K371,'نقاط التحقق'!$A$2:$A$31,0))&amp;"","")</f>
        <v>نشر الأهداف التشغيلية على موظفي الوحدة التنظيمية</v>
      </c>
      <c r="M371" s="17" t="n">
        <v>50</v>
      </c>
      <c r="N371" s="17" t="n">
        <v>95</v>
      </c>
      <c r="O371" s="19" t="str">
        <f aca="false">IF($M371="","غير مقيّمة",IF($M371&gt;المرجع!$K$3,"مستوفاة بشكل متقدم",IF($M371&lt;=المرجع!$K$2,"مستوفاة بشكل أولي","مستوفاة بشكل جزئي")))</f>
        <v>مستوفاة بشكل جزئي</v>
      </c>
      <c r="P371" s="22"/>
    </row>
    <row r="372" customFormat="false" ht="15" hidden="false" customHeight="true" outlineLevel="0" collapsed="false">
      <c r="A372" s="20" t="s">
        <v>1186</v>
      </c>
      <c r="B372" s="20" t="s">
        <v>220</v>
      </c>
      <c r="C372" s="19" t="str">
        <f aca="false">IFERROR(INDEX('قائمة الوحدات'!$B$2:$B$41,MATCH($B372,'قائمة الوحدات'!$A$2:$A$41,0)),"")</f>
        <v>MIL</v>
      </c>
      <c r="D372" s="18" t="str">
        <f aca="false">IFERROR(INDEX('قائمة الوحدات'!$C$2:$C$41,MATCH($B372,'قائمة الوحدات'!$A$2:$A$41,0)),"")</f>
        <v>الجهاز العسكري</v>
      </c>
      <c r="E372" s="18" t="str">
        <f aca="false">IFERROR(INDEX('قائمة الوحدات'!$D$2:$D$41,MATCH($B372,'قائمة الوحدات'!$A$2:$A$41,0)),"")</f>
        <v>الإدارة العامة للخدمات الطبية العسكرية</v>
      </c>
      <c r="F372" s="18" t="str">
        <f aca="false">IFERROR(INDEX('قائمة الوحدات'!$F$2:$F$41,MATCH($B372,'قائمة الوحدات'!$A$2:$A$41,0)),"")</f>
        <v>الإدارة العامة للخدمات الطبية العسكرية</v>
      </c>
      <c r="G372" s="20" t="s">
        <v>62</v>
      </c>
      <c r="H372" s="18" t="str">
        <f aca="false">IFERROR(INDEX(المرجع!$A$2:$A$19,MATCH($G372,المرجع!$B$2:$B$19,0)),"")</f>
        <v>البناء المؤسسي</v>
      </c>
      <c r="I372" s="20" t="s">
        <v>52</v>
      </c>
      <c r="J372" s="18" t="str">
        <f aca="false">IFERROR(INDEX(المرجع!$D$2:$D$19,MATCH($I372,المرجع!$E$2:$E$19,0)),"")</f>
        <v>الحوكمة</v>
      </c>
      <c r="K372" s="20" t="s">
        <v>96</v>
      </c>
      <c r="L372" s="21" t="str">
        <f aca="false">IFERROR(INDEX('نقاط التحقق'!$G$2:$G$31,MATCH($K372,'نقاط التحقق'!$A$2:$A$31,0))&amp;"","")</f>
        <v>مصفوفة صلاحيات معتمدة ومعممة على أصحاب المصلحة</v>
      </c>
      <c r="M372" s="17" t="n">
        <v>70</v>
      </c>
      <c r="N372" s="17" t="n">
        <v>100</v>
      </c>
      <c r="O372" s="19" t="str">
        <f aca="false">IF($M372="","غير مقيّمة",IF($M372&gt;المرجع!$K$3,"مستوفاة بشكل متقدم",IF($M372&lt;=المرجع!$K$2,"مستوفاة بشكل أولي","مستوفاة بشكل جزئي")))</f>
        <v>مستوفاة بشكل جزئي</v>
      </c>
      <c r="P372" s="22"/>
    </row>
    <row r="373" customFormat="false" ht="15" hidden="false" customHeight="true" outlineLevel="0" collapsed="false">
      <c r="A373" s="20" t="s">
        <v>1187</v>
      </c>
      <c r="B373" s="20" t="s">
        <v>220</v>
      </c>
      <c r="C373" s="19" t="str">
        <f aca="false">IFERROR(INDEX('قائمة الوحدات'!$B$2:$B$41,MATCH($B373,'قائمة الوحدات'!$A$2:$A$41,0)),"")</f>
        <v>MIL</v>
      </c>
      <c r="D373" s="18" t="str">
        <f aca="false">IFERROR(INDEX('قائمة الوحدات'!$C$2:$C$41,MATCH($B373,'قائمة الوحدات'!$A$2:$A$41,0)),"")</f>
        <v>الجهاز العسكري</v>
      </c>
      <c r="E373" s="18" t="str">
        <f aca="false">IFERROR(INDEX('قائمة الوحدات'!$D$2:$D$41,MATCH($B373,'قائمة الوحدات'!$A$2:$A$41,0)),"")</f>
        <v>الإدارة العامة للخدمات الطبية العسكرية</v>
      </c>
      <c r="F373" s="18" t="str">
        <f aca="false">IFERROR(INDEX('قائمة الوحدات'!$F$2:$F$41,MATCH($B373,'قائمة الوحدات'!$A$2:$A$41,0)),"")</f>
        <v>الإدارة العامة للخدمات الطبية العسكرية</v>
      </c>
      <c r="G373" s="20" t="s">
        <v>62</v>
      </c>
      <c r="H373" s="18" t="str">
        <f aca="false">IFERROR(INDEX(المرجع!$A$2:$A$19,MATCH($G373,المرجع!$B$2:$B$19,0)),"")</f>
        <v>البناء المؤسسي</v>
      </c>
      <c r="I373" s="20" t="s">
        <v>52</v>
      </c>
      <c r="J373" s="18" t="str">
        <f aca="false">IFERROR(INDEX(المرجع!$D$2:$D$19,MATCH($I373,المرجع!$E$2:$E$19,0)),"")</f>
        <v>الحوكمة</v>
      </c>
      <c r="K373" s="20" t="s">
        <v>98</v>
      </c>
      <c r="L373" s="21" t="str">
        <f aca="false">IFERROR(INDEX('نقاط التحقق'!$G$2:$G$31,MATCH($K373,'نقاط التحقق'!$A$2:$A$31,0))&amp;"","")</f>
        <v>سياسات معتمدة للتي تملكها الوحدة التنظيمية</v>
      </c>
      <c r="M373" s="17" t="n">
        <v>60</v>
      </c>
      <c r="N373" s="17" t="n">
        <v>95</v>
      </c>
      <c r="O373" s="19" t="str">
        <f aca="false">IF($M373="","غير مقيّمة",IF($M373&gt;المرجع!$K$3,"مستوفاة بشكل متقدم",IF($M373&lt;=المرجع!$K$2,"مستوفاة بشكل أولي","مستوفاة بشكل جزئي")))</f>
        <v>مستوفاة بشكل جزئي</v>
      </c>
      <c r="P373" s="22"/>
    </row>
    <row r="374" customFormat="false" ht="15" hidden="false" customHeight="true" outlineLevel="0" collapsed="false">
      <c r="A374" s="20" t="s">
        <v>1188</v>
      </c>
      <c r="B374" s="20" t="s">
        <v>220</v>
      </c>
      <c r="C374" s="19" t="str">
        <f aca="false">IFERROR(INDEX('قائمة الوحدات'!$B$2:$B$41,MATCH($B374,'قائمة الوحدات'!$A$2:$A$41,0)),"")</f>
        <v>MIL</v>
      </c>
      <c r="D374" s="18" t="str">
        <f aca="false">IFERROR(INDEX('قائمة الوحدات'!$C$2:$C$41,MATCH($B374,'قائمة الوحدات'!$A$2:$A$41,0)),"")</f>
        <v>الجهاز العسكري</v>
      </c>
      <c r="E374" s="18" t="str">
        <f aca="false">IFERROR(INDEX('قائمة الوحدات'!$D$2:$D$41,MATCH($B374,'قائمة الوحدات'!$A$2:$A$41,0)),"")</f>
        <v>الإدارة العامة للخدمات الطبية العسكرية</v>
      </c>
      <c r="F374" s="18" t="str">
        <f aca="false">IFERROR(INDEX('قائمة الوحدات'!$F$2:$F$41,MATCH($B374,'قائمة الوحدات'!$A$2:$A$41,0)),"")</f>
        <v>الإدارة العامة للخدمات الطبية العسكرية</v>
      </c>
      <c r="G374" s="20" t="s">
        <v>62</v>
      </c>
      <c r="H374" s="18" t="str">
        <f aca="false">IFERROR(INDEX(المرجع!$A$2:$A$19,MATCH($G374,المرجع!$B$2:$B$19,0)),"")</f>
        <v>البناء المؤسسي</v>
      </c>
      <c r="I374" s="20" t="s">
        <v>52</v>
      </c>
      <c r="J374" s="18" t="str">
        <f aca="false">IFERROR(INDEX(المرجع!$D$2:$D$19,MATCH($I374,المرجع!$E$2:$E$19,0)),"")</f>
        <v>الحوكمة</v>
      </c>
      <c r="K374" s="20" t="s">
        <v>100</v>
      </c>
      <c r="L374" s="21" t="str">
        <f aca="false">IFERROR(INDEX('نقاط التحقق'!$G$2:$G$31,MATCH($K374,'نقاط التحقق'!$A$2:$A$31,0))&amp;"","")</f>
        <v>قرار تشكيل معتمد للجان ذات العلاقة</v>
      </c>
      <c r="M374" s="17" t="n">
        <v>65</v>
      </c>
      <c r="N374" s="17" t="n">
        <v>95</v>
      </c>
      <c r="O374" s="19" t="str">
        <f aca="false">IF($M374="","غير مقيّمة",IF($M374&gt;المرجع!$K$3,"مستوفاة بشكل متقدم",IF($M374&lt;=المرجع!$K$2,"مستوفاة بشكل أولي","مستوفاة بشكل جزئي")))</f>
        <v>مستوفاة بشكل جزئي</v>
      </c>
      <c r="P374" s="22"/>
    </row>
    <row r="375" customFormat="false" ht="15" hidden="false" customHeight="true" outlineLevel="0" collapsed="false">
      <c r="A375" s="20" t="s">
        <v>1189</v>
      </c>
      <c r="B375" s="20" t="s">
        <v>220</v>
      </c>
      <c r="C375" s="19" t="str">
        <f aca="false">IFERROR(INDEX('قائمة الوحدات'!$B$2:$B$41,MATCH($B375,'قائمة الوحدات'!$A$2:$A$41,0)),"")</f>
        <v>MIL</v>
      </c>
      <c r="D375" s="18" t="str">
        <f aca="false">IFERROR(INDEX('قائمة الوحدات'!$C$2:$C$41,MATCH($B375,'قائمة الوحدات'!$A$2:$A$41,0)),"")</f>
        <v>الجهاز العسكري</v>
      </c>
      <c r="E375" s="18" t="str">
        <f aca="false">IFERROR(INDEX('قائمة الوحدات'!$D$2:$D$41,MATCH($B375,'قائمة الوحدات'!$A$2:$A$41,0)),"")</f>
        <v>الإدارة العامة للخدمات الطبية العسكرية</v>
      </c>
      <c r="F375" s="18" t="str">
        <f aca="false">IFERROR(INDEX('قائمة الوحدات'!$F$2:$F$41,MATCH($B375,'قائمة الوحدات'!$A$2:$A$41,0)),"")</f>
        <v>الإدارة العامة للخدمات الطبية العسكرية</v>
      </c>
      <c r="G375" s="20" t="s">
        <v>62</v>
      </c>
      <c r="H375" s="18" t="str">
        <f aca="false">IFERROR(INDEX(المرجع!$A$2:$A$19,MATCH($G375,المرجع!$B$2:$B$19,0)),"")</f>
        <v>البناء المؤسسي</v>
      </c>
      <c r="I375" s="20" t="s">
        <v>55</v>
      </c>
      <c r="J375" s="18" t="str">
        <f aca="false">IFERROR(INDEX(المرجع!$D$2:$D$19,MATCH($I375,المرجع!$E$2:$E$19,0)),"")</f>
        <v>التنظيم</v>
      </c>
      <c r="K375" s="20" t="s">
        <v>102</v>
      </c>
      <c r="L375" s="21" t="str">
        <f aca="false">IFERROR(INDEX('نقاط التحقق'!$G$2:$G$31,MATCH($K375,'نقاط التحقق'!$A$2:$A$31,0))&amp;"","")</f>
        <v>هيكل تنظيمي معتمد من صاحب الصلاحية</v>
      </c>
      <c r="M375" s="17" t="n">
        <v>95</v>
      </c>
      <c r="N375" s="17" t="n">
        <v>95</v>
      </c>
      <c r="O375" s="19" t="str">
        <f aca="false">IF($M375="","غير مقيّمة",IF($M375&gt;المرجع!$K$3,"مستوفاة بشكل متقدم",IF($M375&lt;=المرجع!$K$2,"مستوفاة بشكل أولي","مستوفاة بشكل جزئي")))</f>
        <v>مستوفاة بشكل متقدم</v>
      </c>
      <c r="P375" s="22"/>
    </row>
    <row r="376" customFormat="false" ht="15" hidden="false" customHeight="true" outlineLevel="0" collapsed="false">
      <c r="A376" s="20" t="s">
        <v>1190</v>
      </c>
      <c r="B376" s="20" t="s">
        <v>220</v>
      </c>
      <c r="C376" s="19" t="str">
        <f aca="false">IFERROR(INDEX('قائمة الوحدات'!$B$2:$B$41,MATCH($B376,'قائمة الوحدات'!$A$2:$A$41,0)),"")</f>
        <v>MIL</v>
      </c>
      <c r="D376" s="18" t="str">
        <f aca="false">IFERROR(INDEX('قائمة الوحدات'!$C$2:$C$41,MATCH($B376,'قائمة الوحدات'!$A$2:$A$41,0)),"")</f>
        <v>الجهاز العسكري</v>
      </c>
      <c r="E376" s="18" t="str">
        <f aca="false">IFERROR(INDEX('قائمة الوحدات'!$D$2:$D$41,MATCH($B376,'قائمة الوحدات'!$A$2:$A$41,0)),"")</f>
        <v>الإدارة العامة للخدمات الطبية العسكرية</v>
      </c>
      <c r="F376" s="18" t="str">
        <f aca="false">IFERROR(INDEX('قائمة الوحدات'!$F$2:$F$41,MATCH($B376,'قائمة الوحدات'!$A$2:$A$41,0)),"")</f>
        <v>الإدارة العامة للخدمات الطبية العسكرية</v>
      </c>
      <c r="G376" s="20" t="s">
        <v>62</v>
      </c>
      <c r="H376" s="18" t="str">
        <f aca="false">IFERROR(INDEX(المرجع!$A$2:$A$19,MATCH($G376,المرجع!$B$2:$B$19,0)),"")</f>
        <v>البناء المؤسسي</v>
      </c>
      <c r="I376" s="20" t="s">
        <v>55</v>
      </c>
      <c r="J376" s="18" t="str">
        <f aca="false">IFERROR(INDEX(المرجع!$D$2:$D$19,MATCH($I376,المرجع!$E$2:$E$19,0)),"")</f>
        <v>التنظيم</v>
      </c>
      <c r="K376" s="20" t="s">
        <v>104</v>
      </c>
      <c r="L376" s="21" t="str">
        <f aca="false">IFERROR(INDEX('نقاط التحقق'!$G$2:$G$31,MATCH($K376,'نقاط التحقق'!$A$2:$A$31,0))&amp;"","")</f>
        <v>هيكل تنظيمي منشأ على نظام القوى العاملة</v>
      </c>
      <c r="M376" s="17" t="n">
        <v>95</v>
      </c>
      <c r="N376" s="17" t="n">
        <v>100</v>
      </c>
      <c r="O376" s="19" t="str">
        <f aca="false">IF($M376="","غير مقيّمة",IF($M376&gt;المرجع!$K$3,"مستوفاة بشكل متقدم",IF($M376&lt;=المرجع!$K$2,"مستوفاة بشكل أولي","مستوفاة بشكل جزئي")))</f>
        <v>مستوفاة بشكل متقدم</v>
      </c>
      <c r="P376" s="22"/>
    </row>
    <row r="377" customFormat="false" ht="15" hidden="false" customHeight="true" outlineLevel="0" collapsed="false">
      <c r="A377" s="20" t="s">
        <v>1191</v>
      </c>
      <c r="B377" s="20" t="s">
        <v>220</v>
      </c>
      <c r="C377" s="19" t="str">
        <f aca="false">IFERROR(INDEX('قائمة الوحدات'!$B$2:$B$41,MATCH($B377,'قائمة الوحدات'!$A$2:$A$41,0)),"")</f>
        <v>MIL</v>
      </c>
      <c r="D377" s="18" t="str">
        <f aca="false">IFERROR(INDEX('قائمة الوحدات'!$C$2:$C$41,MATCH($B377,'قائمة الوحدات'!$A$2:$A$41,0)),"")</f>
        <v>الجهاز العسكري</v>
      </c>
      <c r="E377" s="18" t="str">
        <f aca="false">IFERROR(INDEX('قائمة الوحدات'!$D$2:$D$41,MATCH($B377,'قائمة الوحدات'!$A$2:$A$41,0)),"")</f>
        <v>الإدارة العامة للخدمات الطبية العسكرية</v>
      </c>
      <c r="F377" s="18" t="str">
        <f aca="false">IFERROR(INDEX('قائمة الوحدات'!$F$2:$F$41,MATCH($B377,'قائمة الوحدات'!$A$2:$A$41,0)),"")</f>
        <v>الإدارة العامة للخدمات الطبية العسكرية</v>
      </c>
      <c r="G377" s="20" t="s">
        <v>62</v>
      </c>
      <c r="H377" s="18" t="str">
        <f aca="false">IFERROR(INDEX(المرجع!$A$2:$A$19,MATCH($G377,المرجع!$B$2:$B$19,0)),"")</f>
        <v>البناء المؤسسي</v>
      </c>
      <c r="I377" s="20" t="s">
        <v>55</v>
      </c>
      <c r="J377" s="18" t="str">
        <f aca="false">IFERROR(INDEX(المرجع!$D$2:$D$19,MATCH($I377,المرجع!$E$2:$E$19,0)),"")</f>
        <v>التنظيم</v>
      </c>
      <c r="K377" s="20" t="s">
        <v>106</v>
      </c>
      <c r="L377" s="21" t="str">
        <f aca="false">IFERROR(INDEX('نقاط التحقق'!$G$2:$G$31,MATCH($K377,'نقاط التحقق'!$A$2:$A$31,0))&amp;"","")</f>
        <v>الموظفون المحددون مسكّنون على الهيكل التنظيمي المستهدف</v>
      </c>
      <c r="M377" s="17" t="n">
        <v>90</v>
      </c>
      <c r="N377" s="17" t="n">
        <v>90</v>
      </c>
      <c r="O377" s="19" t="str">
        <f aca="false">IF($M377="","غير مقيّمة",IF($M377&gt;المرجع!$K$3,"مستوفاة بشكل متقدم",IF($M377&lt;=المرجع!$K$2,"مستوفاة بشكل أولي","مستوفاة بشكل جزئي")))</f>
        <v>مستوفاة بشكل متقدم</v>
      </c>
      <c r="P377" s="22"/>
    </row>
    <row r="378" customFormat="false" ht="15" hidden="false" customHeight="true" outlineLevel="0" collapsed="false">
      <c r="A378" s="20" t="s">
        <v>1192</v>
      </c>
      <c r="B378" s="20" t="s">
        <v>220</v>
      </c>
      <c r="C378" s="19" t="str">
        <f aca="false">IFERROR(INDEX('قائمة الوحدات'!$B$2:$B$41,MATCH($B378,'قائمة الوحدات'!$A$2:$A$41,0)),"")</f>
        <v>MIL</v>
      </c>
      <c r="D378" s="18" t="str">
        <f aca="false">IFERROR(INDEX('قائمة الوحدات'!$C$2:$C$41,MATCH($B378,'قائمة الوحدات'!$A$2:$A$41,0)),"")</f>
        <v>الجهاز العسكري</v>
      </c>
      <c r="E378" s="18" t="str">
        <f aca="false">IFERROR(INDEX('قائمة الوحدات'!$D$2:$D$41,MATCH($B378,'قائمة الوحدات'!$A$2:$A$41,0)),"")</f>
        <v>الإدارة العامة للخدمات الطبية العسكرية</v>
      </c>
      <c r="F378" s="18" t="str">
        <f aca="false">IFERROR(INDEX('قائمة الوحدات'!$F$2:$F$41,MATCH($B378,'قائمة الوحدات'!$A$2:$A$41,0)),"")</f>
        <v>الإدارة العامة للخدمات الطبية العسكرية</v>
      </c>
      <c r="G378" s="20" t="s">
        <v>62</v>
      </c>
      <c r="H378" s="18" t="str">
        <f aca="false">IFERROR(INDEX(المرجع!$A$2:$A$19,MATCH($G378,المرجع!$B$2:$B$19,0)),"")</f>
        <v>البناء المؤسسي</v>
      </c>
      <c r="I378" s="20" t="s">
        <v>57</v>
      </c>
      <c r="J378" s="18" t="str">
        <f aca="false">IFERROR(INDEX(المرجع!$D$2:$D$19,MATCH($I378,المرجع!$E$2:$E$19,0)),"")</f>
        <v>الموارد</v>
      </c>
      <c r="K378" s="20" t="s">
        <v>108</v>
      </c>
      <c r="L378" s="21" t="str">
        <f aca="false">IFERROR(INDEX('نقاط التحقق'!$G$2:$G$31,MATCH($K378,'نقاط التحقق'!$A$2:$A$31,0))&amp;"","")</f>
        <v>مدير الوحدة التنظيمية والموظفون الرئيسيون معينون/ملحقون</v>
      </c>
      <c r="M378" s="17" t="n">
        <v>45</v>
      </c>
      <c r="N378" s="17" t="n">
        <v>95</v>
      </c>
      <c r="O378" s="19" t="str">
        <f aca="false">IF($M378="","غير مقيّمة",IF($M378&gt;المرجع!$K$3,"مستوفاة بشكل متقدم",IF($M378&lt;=المرجع!$K$2,"مستوفاة بشكل أولي","مستوفاة بشكل جزئي")))</f>
        <v>مستوفاة بشكل جزئي</v>
      </c>
      <c r="P378" s="22"/>
    </row>
    <row r="379" customFormat="false" ht="15" hidden="false" customHeight="true" outlineLevel="0" collapsed="false">
      <c r="A379" s="20" t="s">
        <v>1193</v>
      </c>
      <c r="B379" s="20" t="s">
        <v>220</v>
      </c>
      <c r="C379" s="19" t="str">
        <f aca="false">IFERROR(INDEX('قائمة الوحدات'!$B$2:$B$41,MATCH($B379,'قائمة الوحدات'!$A$2:$A$41,0)),"")</f>
        <v>MIL</v>
      </c>
      <c r="D379" s="18" t="str">
        <f aca="false">IFERROR(INDEX('قائمة الوحدات'!$C$2:$C$41,MATCH($B379,'قائمة الوحدات'!$A$2:$A$41,0)),"")</f>
        <v>الجهاز العسكري</v>
      </c>
      <c r="E379" s="18" t="str">
        <f aca="false">IFERROR(INDEX('قائمة الوحدات'!$D$2:$D$41,MATCH($B379,'قائمة الوحدات'!$A$2:$A$41,0)),"")</f>
        <v>الإدارة العامة للخدمات الطبية العسكرية</v>
      </c>
      <c r="F379" s="18" t="str">
        <f aca="false">IFERROR(INDEX('قائمة الوحدات'!$F$2:$F$41,MATCH($B379,'قائمة الوحدات'!$A$2:$A$41,0)),"")</f>
        <v>الإدارة العامة للخدمات الطبية العسكرية</v>
      </c>
      <c r="G379" s="20" t="s">
        <v>62</v>
      </c>
      <c r="H379" s="18" t="str">
        <f aca="false">IFERROR(INDEX(المرجع!$A$2:$A$19,MATCH($G379,المرجع!$B$2:$B$19,0)),"")</f>
        <v>البناء المؤسسي</v>
      </c>
      <c r="I379" s="20" t="s">
        <v>57</v>
      </c>
      <c r="J379" s="18" t="str">
        <f aca="false">IFERROR(INDEX(المرجع!$D$2:$D$19,MATCH($I379,المرجع!$E$2:$E$19,0)),"")</f>
        <v>الموارد</v>
      </c>
      <c r="K379" s="20" t="s">
        <v>110</v>
      </c>
      <c r="L379" s="21" t="str">
        <f aca="false">IFERROR(INDEX('نقاط التحقق'!$G$2:$G$31,MATCH($K379,'نقاط التحقق'!$A$2:$A$31,0))&amp;"","")</f>
        <v>خطة توظيف وتدريب مستكملة</v>
      </c>
      <c r="M379" s="17" t="n">
        <v>65</v>
      </c>
      <c r="N379" s="17" t="n">
        <v>90</v>
      </c>
      <c r="O379" s="19" t="str">
        <f aca="false">IF($M379="","غير مقيّمة",IF($M379&gt;المرجع!$K$3,"مستوفاة بشكل متقدم",IF($M379&lt;=المرجع!$K$2,"مستوفاة بشكل أولي","مستوفاة بشكل جزئي")))</f>
        <v>مستوفاة بشكل جزئي</v>
      </c>
      <c r="P379" s="22"/>
    </row>
    <row r="380" customFormat="false" ht="15" hidden="false" customHeight="true" outlineLevel="0" collapsed="false">
      <c r="A380" s="20" t="s">
        <v>1194</v>
      </c>
      <c r="B380" s="20" t="s">
        <v>220</v>
      </c>
      <c r="C380" s="19" t="str">
        <f aca="false">IFERROR(INDEX('قائمة الوحدات'!$B$2:$B$41,MATCH($B380,'قائمة الوحدات'!$A$2:$A$41,0)),"")</f>
        <v>MIL</v>
      </c>
      <c r="D380" s="18" t="str">
        <f aca="false">IFERROR(INDEX('قائمة الوحدات'!$C$2:$C$41,MATCH($B380,'قائمة الوحدات'!$A$2:$A$41,0)),"")</f>
        <v>الجهاز العسكري</v>
      </c>
      <c r="E380" s="18" t="str">
        <f aca="false">IFERROR(INDEX('قائمة الوحدات'!$D$2:$D$41,MATCH($B380,'قائمة الوحدات'!$A$2:$A$41,0)),"")</f>
        <v>الإدارة العامة للخدمات الطبية العسكرية</v>
      </c>
      <c r="F380" s="18" t="str">
        <f aca="false">IFERROR(INDEX('قائمة الوحدات'!$F$2:$F$41,MATCH($B380,'قائمة الوحدات'!$A$2:$A$41,0)),"")</f>
        <v>الإدارة العامة للخدمات الطبية العسكرية</v>
      </c>
      <c r="G380" s="20" t="s">
        <v>62</v>
      </c>
      <c r="H380" s="18" t="str">
        <f aca="false">IFERROR(INDEX(المرجع!$A$2:$A$19,MATCH($G380,المرجع!$B$2:$B$19,0)),"")</f>
        <v>البناء المؤسسي</v>
      </c>
      <c r="I380" s="20" t="s">
        <v>57</v>
      </c>
      <c r="J380" s="18" t="str">
        <f aca="false">IFERROR(INDEX(المرجع!$D$2:$D$19,MATCH($I380,المرجع!$E$2:$E$19,0)),"")</f>
        <v>الموارد</v>
      </c>
      <c r="K380" s="20" t="s">
        <v>112</v>
      </c>
      <c r="L380" s="21" t="str">
        <f aca="false">IFERROR(INDEX('نقاط التحقق'!$G$2:$G$31,MATCH($K380,'نقاط التحقق'!$A$2:$A$31,0))&amp;"","")</f>
        <v>وجود مساحات مكتبية كافية</v>
      </c>
      <c r="M380" s="17" t="n">
        <v>65</v>
      </c>
      <c r="N380" s="17" t="n">
        <v>95</v>
      </c>
      <c r="O380" s="19" t="str">
        <f aca="false">IF($M380="","غير مقيّمة",IF($M380&gt;المرجع!$K$3,"مستوفاة بشكل متقدم",IF($M380&lt;=المرجع!$K$2,"مستوفاة بشكل أولي","مستوفاة بشكل جزئي")))</f>
        <v>مستوفاة بشكل جزئي</v>
      </c>
      <c r="P380" s="22"/>
    </row>
    <row r="381" customFormat="false" ht="15" hidden="false" customHeight="true" outlineLevel="0" collapsed="false">
      <c r="A381" s="20" t="s">
        <v>1195</v>
      </c>
      <c r="B381" s="20" t="s">
        <v>220</v>
      </c>
      <c r="C381" s="19" t="str">
        <f aca="false">IFERROR(INDEX('قائمة الوحدات'!$B$2:$B$41,MATCH($B381,'قائمة الوحدات'!$A$2:$A$41,0)),"")</f>
        <v>MIL</v>
      </c>
      <c r="D381" s="18" t="str">
        <f aca="false">IFERROR(INDEX('قائمة الوحدات'!$C$2:$C$41,MATCH($B381,'قائمة الوحدات'!$A$2:$A$41,0)),"")</f>
        <v>الجهاز العسكري</v>
      </c>
      <c r="E381" s="18" t="str">
        <f aca="false">IFERROR(INDEX('قائمة الوحدات'!$D$2:$D$41,MATCH($B381,'قائمة الوحدات'!$A$2:$A$41,0)),"")</f>
        <v>الإدارة العامة للخدمات الطبية العسكرية</v>
      </c>
      <c r="F381" s="18" t="str">
        <f aca="false">IFERROR(INDEX('قائمة الوحدات'!$F$2:$F$41,MATCH($B381,'قائمة الوحدات'!$A$2:$A$41,0)),"")</f>
        <v>الإدارة العامة للخدمات الطبية العسكرية</v>
      </c>
      <c r="G381" s="20" t="s">
        <v>62</v>
      </c>
      <c r="H381" s="18" t="str">
        <f aca="false">IFERROR(INDEX(المرجع!$A$2:$A$19,MATCH($G381,المرجع!$B$2:$B$19,0)),"")</f>
        <v>البناء المؤسسي</v>
      </c>
      <c r="I381" s="20" t="s">
        <v>57</v>
      </c>
      <c r="J381" s="18" t="str">
        <f aca="false">IFERROR(INDEX(المرجع!$D$2:$D$19,MATCH($I381,المرجع!$E$2:$E$19,0)),"")</f>
        <v>الموارد</v>
      </c>
      <c r="K381" s="20" t="s">
        <v>114</v>
      </c>
      <c r="L381" s="21" t="str">
        <f aca="false">IFERROR(INDEX('نقاط التحقق'!$G$2:$G$31,MATCH($K381,'نقاط التحقق'!$A$2:$A$31,0))&amp;"","")</f>
        <v>وجود الاحتياجات التقنية الأساسية</v>
      </c>
      <c r="M381" s="17" t="n">
        <v>35</v>
      </c>
      <c r="N381" s="17" t="n">
        <v>90</v>
      </c>
      <c r="O381" s="19" t="str">
        <f aca="false">IF($M381="","غير مقيّمة",IF($M381&gt;المرجع!$K$3,"مستوفاة بشكل متقدم",IF($M381&lt;=المرجع!$K$2,"مستوفاة بشكل أولي","مستوفاة بشكل جزئي")))</f>
        <v>مستوفاة بشكل جزئي</v>
      </c>
      <c r="P381" s="22"/>
    </row>
    <row r="382" customFormat="false" ht="15" hidden="false" customHeight="true" outlineLevel="0" collapsed="false">
      <c r="A382" s="20" t="s">
        <v>1196</v>
      </c>
      <c r="B382" s="20" t="s">
        <v>220</v>
      </c>
      <c r="C382" s="19" t="str">
        <f aca="false">IFERROR(INDEX('قائمة الوحدات'!$B$2:$B$41,MATCH($B382,'قائمة الوحدات'!$A$2:$A$41,0)),"")</f>
        <v>MIL</v>
      </c>
      <c r="D382" s="18" t="str">
        <f aca="false">IFERROR(INDEX('قائمة الوحدات'!$C$2:$C$41,MATCH($B382,'قائمة الوحدات'!$A$2:$A$41,0)),"")</f>
        <v>الجهاز العسكري</v>
      </c>
      <c r="E382" s="18" t="str">
        <f aca="false">IFERROR(INDEX('قائمة الوحدات'!$D$2:$D$41,MATCH($B382,'قائمة الوحدات'!$A$2:$A$41,0)),"")</f>
        <v>الإدارة العامة للخدمات الطبية العسكرية</v>
      </c>
      <c r="F382" s="18" t="str">
        <f aca="false">IFERROR(INDEX('قائمة الوحدات'!$F$2:$F$41,MATCH($B382,'قائمة الوحدات'!$A$2:$A$41,0)),"")</f>
        <v>الإدارة العامة للخدمات الطبية العسكرية</v>
      </c>
      <c r="G382" s="20" t="s">
        <v>62</v>
      </c>
      <c r="H382" s="18" t="str">
        <f aca="false">IFERROR(INDEX(المرجع!$A$2:$A$19,MATCH($G382,المرجع!$B$2:$B$19,0)),"")</f>
        <v>البناء المؤسسي</v>
      </c>
      <c r="I382" s="20" t="s">
        <v>60</v>
      </c>
      <c r="J382" s="18" t="str">
        <f aca="false">IFERROR(INDEX(المرجع!$D$2:$D$19,MATCH($I382,المرجع!$E$2:$E$19,0)),"")</f>
        <v>الإجراءات</v>
      </c>
      <c r="K382" s="20" t="s">
        <v>116</v>
      </c>
      <c r="L382" s="21" t="str">
        <f aca="false">IFERROR(INDEX('نقاط التحقق'!$G$2:$G$31,MATCH($K382,'نقاط التحقق'!$A$2:$A$31,0))&amp;"","")</f>
        <v>إجراءات معتمدة للوحدة التنظيمية</v>
      </c>
      <c r="M382" s="17" t="n">
        <v>77</v>
      </c>
      <c r="N382" s="17" t="n">
        <v>80</v>
      </c>
      <c r="O382" s="19" t="str">
        <f aca="false">IF($M382="","غير مقيّمة",IF($M382&gt;المرجع!$K$3,"مستوفاة بشكل متقدم",IF($M382&lt;=المرجع!$K$2,"مستوفاة بشكل أولي","مستوفاة بشكل جزئي")))</f>
        <v>مستوفاة بشكل متقدم</v>
      </c>
      <c r="P382" s="22"/>
    </row>
    <row r="383" customFormat="false" ht="15" hidden="false" customHeight="true" outlineLevel="0" collapsed="false">
      <c r="A383" s="20" t="s">
        <v>1197</v>
      </c>
      <c r="B383" s="20" t="s">
        <v>220</v>
      </c>
      <c r="C383" s="19" t="str">
        <f aca="false">IFERROR(INDEX('قائمة الوحدات'!$B$2:$B$41,MATCH($B383,'قائمة الوحدات'!$A$2:$A$41,0)),"")</f>
        <v>MIL</v>
      </c>
      <c r="D383" s="18" t="str">
        <f aca="false">IFERROR(INDEX('قائمة الوحدات'!$C$2:$C$41,MATCH($B383,'قائمة الوحدات'!$A$2:$A$41,0)),"")</f>
        <v>الجهاز العسكري</v>
      </c>
      <c r="E383" s="18" t="str">
        <f aca="false">IFERROR(INDEX('قائمة الوحدات'!$D$2:$D$41,MATCH($B383,'قائمة الوحدات'!$A$2:$A$41,0)),"")</f>
        <v>الإدارة العامة للخدمات الطبية العسكرية</v>
      </c>
      <c r="F383" s="18" t="str">
        <f aca="false">IFERROR(INDEX('قائمة الوحدات'!$F$2:$F$41,MATCH($B383,'قائمة الوحدات'!$A$2:$A$41,0)),"")</f>
        <v>الإدارة العامة للخدمات الطبية العسكرية</v>
      </c>
      <c r="G383" s="20" t="s">
        <v>62</v>
      </c>
      <c r="H383" s="18" t="str">
        <f aca="false">IFERROR(INDEX(المرجع!$A$2:$A$19,MATCH($G383,المرجع!$B$2:$B$19,0)),"")</f>
        <v>البناء المؤسسي</v>
      </c>
      <c r="I383" s="20" t="s">
        <v>69</v>
      </c>
      <c r="J383" s="18" t="str">
        <f aca="false">IFERROR(INDEX(المرجع!$D$2:$D$19,MATCH($I383,المرجع!$E$2:$E$19,0)),"")</f>
        <v>إنتاج المخرج الأول</v>
      </c>
      <c r="K383" s="20" t="s">
        <v>118</v>
      </c>
      <c r="L383" s="21" t="str">
        <f aca="false">IFERROR(INDEX('نقاط التحقق'!$G$2:$G$31,MATCH($K383,'نقاط التحقق'!$A$2:$A$31,0))&amp;"","")</f>
        <v>إنتاج المخرج الأول من قبل الوحدة التنظيمية</v>
      </c>
      <c r="M383" s="17" t="n">
        <v>64</v>
      </c>
      <c r="N383" s="17" t="n">
        <v>100</v>
      </c>
      <c r="O383" s="19" t="str">
        <f aca="false">IF($M383="","غير مقيّمة",IF($M383&gt;المرجع!$K$3,"مستوفاة بشكل متقدم",IF($M383&lt;=المرجع!$K$2,"مستوفاة بشكل أولي","مستوفاة بشكل جزئي")))</f>
        <v>مستوفاة بشكل جزئي</v>
      </c>
      <c r="P383" s="22"/>
    </row>
    <row r="384" customFormat="false" ht="15" hidden="false" customHeight="true" outlineLevel="0" collapsed="false">
      <c r="A384" s="20" t="s">
        <v>1198</v>
      </c>
      <c r="B384" s="20" t="s">
        <v>220</v>
      </c>
      <c r="C384" s="19" t="str">
        <f aca="false">IFERROR(INDEX('قائمة الوحدات'!$B$2:$B$41,MATCH($B384,'قائمة الوحدات'!$A$2:$A$41,0)),"")</f>
        <v>MIL</v>
      </c>
      <c r="D384" s="18" t="str">
        <f aca="false">IFERROR(INDEX('قائمة الوحدات'!$C$2:$C$41,MATCH($B384,'قائمة الوحدات'!$A$2:$A$41,0)),"")</f>
        <v>الجهاز العسكري</v>
      </c>
      <c r="E384" s="18" t="str">
        <f aca="false">IFERROR(INDEX('قائمة الوحدات'!$D$2:$D$41,MATCH($B384,'قائمة الوحدات'!$A$2:$A$41,0)),"")</f>
        <v>الإدارة العامة للخدمات الطبية العسكرية</v>
      </c>
      <c r="F384" s="18" t="str">
        <f aca="false">IFERROR(INDEX('قائمة الوحدات'!$F$2:$F$41,MATCH($B384,'قائمة الوحدات'!$A$2:$A$41,0)),"")</f>
        <v>الإدارة العامة للخدمات الطبية العسكرية</v>
      </c>
      <c r="G384" s="20" t="s">
        <v>66</v>
      </c>
      <c r="H384" s="18" t="str">
        <f aca="false">IFERROR(INDEX(المرجع!$A$2:$A$19,MATCH($G384,المرجع!$B$2:$B$19,0)),"")</f>
        <v>التشغيل</v>
      </c>
      <c r="I384" s="20" t="s">
        <v>49</v>
      </c>
      <c r="J384" s="18" t="str">
        <f aca="false">IFERROR(INDEX(المرجع!$D$2:$D$19,MATCH($I384,المرجع!$E$2:$E$19,0)),"")</f>
        <v>الأهداف ومؤشرات الأداء</v>
      </c>
      <c r="K384" s="20" t="s">
        <v>120</v>
      </c>
      <c r="L384" s="21" t="str">
        <f aca="false">IFERROR(INDEX('نقاط التحقق'!$G$2:$G$31,MATCH($K384,'نقاط التحقق'!$A$2:$A$31,0))&amp;"","")</f>
        <v>تحرك مؤشرات الأداء التشغيلي للوحدة التنظيمية بشكل إيجابي</v>
      </c>
      <c r="M384" s="17" t="n">
        <v>65</v>
      </c>
      <c r="N384" s="17" t="n">
        <v>90</v>
      </c>
      <c r="O384" s="19" t="str">
        <f aca="false">IF($M384="","غير مقيّمة",IF($M384&gt;المرجع!$K$3,"مستوفاة بشكل متقدم",IF($M384&lt;=المرجع!$K$2,"مستوفاة بشكل أولي","مستوفاة بشكل جزئي")))</f>
        <v>مستوفاة بشكل جزئي</v>
      </c>
      <c r="P384" s="22"/>
    </row>
    <row r="385" customFormat="false" ht="15" hidden="false" customHeight="true" outlineLevel="0" collapsed="false">
      <c r="A385" s="20" t="s">
        <v>1199</v>
      </c>
      <c r="B385" s="20" t="s">
        <v>220</v>
      </c>
      <c r="C385" s="19" t="str">
        <f aca="false">IFERROR(INDEX('قائمة الوحدات'!$B$2:$B$41,MATCH($B385,'قائمة الوحدات'!$A$2:$A$41,0)),"")</f>
        <v>MIL</v>
      </c>
      <c r="D385" s="18" t="str">
        <f aca="false">IFERROR(INDEX('قائمة الوحدات'!$C$2:$C$41,MATCH($B385,'قائمة الوحدات'!$A$2:$A$41,0)),"")</f>
        <v>الجهاز العسكري</v>
      </c>
      <c r="E385" s="18" t="str">
        <f aca="false">IFERROR(INDEX('قائمة الوحدات'!$D$2:$D$41,MATCH($B385,'قائمة الوحدات'!$A$2:$A$41,0)),"")</f>
        <v>الإدارة العامة للخدمات الطبية العسكرية</v>
      </c>
      <c r="F385" s="18" t="str">
        <f aca="false">IFERROR(INDEX('قائمة الوحدات'!$F$2:$F$41,MATCH($B385,'قائمة الوحدات'!$A$2:$A$41,0)),"")</f>
        <v>الإدارة العامة للخدمات الطبية العسكرية</v>
      </c>
      <c r="G385" s="20" t="s">
        <v>66</v>
      </c>
      <c r="H385" s="18" t="str">
        <f aca="false">IFERROR(INDEX(المرجع!$A$2:$A$19,MATCH($G385,المرجع!$B$2:$B$19,0)),"")</f>
        <v>التشغيل</v>
      </c>
      <c r="I385" s="20" t="s">
        <v>49</v>
      </c>
      <c r="J385" s="18" t="str">
        <f aca="false">IFERROR(INDEX(المرجع!$D$2:$D$19,MATCH($I385,المرجع!$E$2:$E$19,0)),"")</f>
        <v>الأهداف ومؤشرات الأداء</v>
      </c>
      <c r="K385" s="20" t="s">
        <v>122</v>
      </c>
      <c r="L385" s="21" t="str">
        <f aca="false">IFERROR(INDEX('نقاط التحقق'!$G$2:$G$31,MATCH($K385,'نقاط التحقق'!$A$2:$A$31,0))&amp;"","")</f>
        <v>خطة سنوية معتمدة للوحدة التنظيمية</v>
      </c>
      <c r="M385" s="17" t="n">
        <v>60</v>
      </c>
      <c r="N385" s="17" t="n">
        <v>80</v>
      </c>
      <c r="O385" s="19" t="str">
        <f aca="false">IF($M385="","غير مقيّمة",IF($M385&gt;المرجع!$K$3,"مستوفاة بشكل متقدم",IF($M385&lt;=المرجع!$K$2,"مستوفاة بشكل أولي","مستوفاة بشكل جزئي")))</f>
        <v>مستوفاة بشكل جزئي</v>
      </c>
      <c r="P385" s="22"/>
    </row>
    <row r="386" customFormat="false" ht="15" hidden="false" customHeight="true" outlineLevel="0" collapsed="false">
      <c r="A386" s="20" t="s">
        <v>1200</v>
      </c>
      <c r="B386" s="20" t="s">
        <v>220</v>
      </c>
      <c r="C386" s="19" t="str">
        <f aca="false">IFERROR(INDEX('قائمة الوحدات'!$B$2:$B$41,MATCH($B386,'قائمة الوحدات'!$A$2:$A$41,0)),"")</f>
        <v>MIL</v>
      </c>
      <c r="D386" s="18" t="str">
        <f aca="false">IFERROR(INDEX('قائمة الوحدات'!$C$2:$C$41,MATCH($B386,'قائمة الوحدات'!$A$2:$A$41,0)),"")</f>
        <v>الجهاز العسكري</v>
      </c>
      <c r="E386" s="18" t="str">
        <f aca="false">IFERROR(INDEX('قائمة الوحدات'!$D$2:$D$41,MATCH($B386,'قائمة الوحدات'!$A$2:$A$41,0)),"")</f>
        <v>الإدارة العامة للخدمات الطبية العسكرية</v>
      </c>
      <c r="F386" s="18" t="str">
        <f aca="false">IFERROR(INDEX('قائمة الوحدات'!$F$2:$F$41,MATCH($B386,'قائمة الوحدات'!$A$2:$A$41,0)),"")</f>
        <v>الإدارة العامة للخدمات الطبية العسكرية</v>
      </c>
      <c r="G386" s="20" t="s">
        <v>66</v>
      </c>
      <c r="H386" s="18" t="str">
        <f aca="false">IFERROR(INDEX(المرجع!$A$2:$A$19,MATCH($G386,المرجع!$B$2:$B$19,0)),"")</f>
        <v>التشغيل</v>
      </c>
      <c r="I386" s="20" t="s">
        <v>52</v>
      </c>
      <c r="J386" s="18" t="str">
        <f aca="false">IFERROR(INDEX(المرجع!$D$2:$D$19,MATCH($I386,المرجع!$E$2:$E$19,0)),"")</f>
        <v>الحوكمة</v>
      </c>
      <c r="K386" s="20" t="s">
        <v>124</v>
      </c>
      <c r="L386" s="21" t="str">
        <f aca="false">IFERROR(INDEX('نقاط التحقق'!$G$2:$G$31,MATCH($K386,'نقاط التحقق'!$A$2:$A$31,0))&amp;"","")</f>
        <v>محاضر لجان موثقة</v>
      </c>
      <c r="M386" s="17" t="n">
        <v>55</v>
      </c>
      <c r="N386" s="17" t="n">
        <v>90</v>
      </c>
      <c r="O386" s="19" t="str">
        <f aca="false">IF($M386="","غير مقيّمة",IF($M386&gt;المرجع!$K$3,"مستوفاة بشكل متقدم",IF($M386&lt;=المرجع!$K$2,"مستوفاة بشكل أولي","مستوفاة بشكل جزئي")))</f>
        <v>مستوفاة بشكل جزئي</v>
      </c>
      <c r="P386" s="22"/>
    </row>
    <row r="387" customFormat="false" ht="15" hidden="false" customHeight="true" outlineLevel="0" collapsed="false">
      <c r="A387" s="20" t="s">
        <v>1201</v>
      </c>
      <c r="B387" s="20" t="s">
        <v>220</v>
      </c>
      <c r="C387" s="19" t="str">
        <f aca="false">IFERROR(INDEX('قائمة الوحدات'!$B$2:$B$41,MATCH($B387,'قائمة الوحدات'!$A$2:$A$41,0)),"")</f>
        <v>MIL</v>
      </c>
      <c r="D387" s="18" t="str">
        <f aca="false">IFERROR(INDEX('قائمة الوحدات'!$C$2:$C$41,MATCH($B387,'قائمة الوحدات'!$A$2:$A$41,0)),"")</f>
        <v>الجهاز العسكري</v>
      </c>
      <c r="E387" s="18" t="str">
        <f aca="false">IFERROR(INDEX('قائمة الوحدات'!$D$2:$D$41,MATCH($B387,'قائمة الوحدات'!$A$2:$A$41,0)),"")</f>
        <v>الإدارة العامة للخدمات الطبية العسكرية</v>
      </c>
      <c r="F387" s="18" t="str">
        <f aca="false">IFERROR(INDEX('قائمة الوحدات'!$F$2:$F$41,MATCH($B387,'قائمة الوحدات'!$A$2:$A$41,0)),"")</f>
        <v>الإدارة العامة للخدمات الطبية العسكرية</v>
      </c>
      <c r="G387" s="20" t="s">
        <v>66</v>
      </c>
      <c r="H387" s="18" t="str">
        <f aca="false">IFERROR(INDEX(المرجع!$A$2:$A$19,MATCH($G387,المرجع!$B$2:$B$19,0)),"")</f>
        <v>التشغيل</v>
      </c>
      <c r="I387" s="20" t="s">
        <v>52</v>
      </c>
      <c r="J387" s="18" t="str">
        <f aca="false">IFERROR(INDEX(المرجع!$D$2:$D$19,MATCH($I387,المرجع!$E$2:$E$19,0)),"")</f>
        <v>الحوكمة</v>
      </c>
      <c r="K387" s="20" t="s">
        <v>126</v>
      </c>
      <c r="L387" s="21" t="str">
        <f aca="false">IFERROR(INDEX('نقاط التحقق'!$G$2:$G$31,MATCH($K387,'نقاط التحقق'!$A$2:$A$31,0))&amp;"","")</f>
        <v>نشر السياسات التي تملكها الوحدة التنظيمية</v>
      </c>
      <c r="M387" s="17" t="n">
        <v>45</v>
      </c>
      <c r="N387" s="17" t="n">
        <v>100</v>
      </c>
      <c r="O387" s="19" t="str">
        <f aca="false">IF($M387="","غير مقيّمة",IF($M387&gt;المرجع!$K$3,"مستوفاة بشكل متقدم",IF($M387&lt;=المرجع!$K$2,"مستوفاة بشكل أولي","مستوفاة بشكل جزئي")))</f>
        <v>مستوفاة بشكل جزئي</v>
      </c>
      <c r="P387" s="22"/>
    </row>
    <row r="388" customFormat="false" ht="15" hidden="false" customHeight="true" outlineLevel="0" collapsed="false">
      <c r="A388" s="20" t="s">
        <v>1202</v>
      </c>
      <c r="B388" s="20" t="s">
        <v>220</v>
      </c>
      <c r="C388" s="19" t="str">
        <f aca="false">IFERROR(INDEX('قائمة الوحدات'!$B$2:$B$41,MATCH($B388,'قائمة الوحدات'!$A$2:$A$41,0)),"")</f>
        <v>MIL</v>
      </c>
      <c r="D388" s="18" t="str">
        <f aca="false">IFERROR(INDEX('قائمة الوحدات'!$C$2:$C$41,MATCH($B388,'قائمة الوحدات'!$A$2:$A$41,0)),"")</f>
        <v>الجهاز العسكري</v>
      </c>
      <c r="E388" s="18" t="str">
        <f aca="false">IFERROR(INDEX('قائمة الوحدات'!$D$2:$D$41,MATCH($B388,'قائمة الوحدات'!$A$2:$A$41,0)),"")</f>
        <v>الإدارة العامة للخدمات الطبية العسكرية</v>
      </c>
      <c r="F388" s="18" t="str">
        <f aca="false">IFERROR(INDEX('قائمة الوحدات'!$F$2:$F$41,MATCH($B388,'قائمة الوحدات'!$A$2:$A$41,0)),"")</f>
        <v>الإدارة العامة للخدمات الطبية العسكرية</v>
      </c>
      <c r="G388" s="20" t="s">
        <v>66</v>
      </c>
      <c r="H388" s="18" t="str">
        <f aca="false">IFERROR(INDEX(المرجع!$A$2:$A$19,MATCH($G388,المرجع!$B$2:$B$19,0)),"")</f>
        <v>التشغيل</v>
      </c>
      <c r="I388" s="20" t="s">
        <v>52</v>
      </c>
      <c r="J388" s="18" t="str">
        <f aca="false">IFERROR(INDEX(المرجع!$D$2:$D$19,MATCH($I388,المرجع!$E$2:$E$19,0)),"")</f>
        <v>الحوكمة</v>
      </c>
      <c r="K388" s="20" t="s">
        <v>128</v>
      </c>
      <c r="L388" s="21" t="str">
        <f aca="false">IFERROR(INDEX('نقاط التحقق'!$G$2:$G$31,MATCH($K388,'نقاط التحقق'!$A$2:$A$31,0))&amp;"","")</f>
        <v>اتخاذ القرارات في نطاق الصلاحيات (وجود شواهد)</v>
      </c>
      <c r="M388" s="17" t="n">
        <v>45</v>
      </c>
      <c r="N388" s="17" t="n">
        <v>90</v>
      </c>
      <c r="O388" s="19" t="str">
        <f aca="false">IF($M388="","غير مقيّمة",IF($M388&gt;المرجع!$K$3,"مستوفاة بشكل متقدم",IF($M388&lt;=المرجع!$K$2,"مستوفاة بشكل أولي","مستوفاة بشكل جزئي")))</f>
        <v>مستوفاة بشكل جزئي</v>
      </c>
      <c r="P388" s="22"/>
    </row>
    <row r="389" customFormat="false" ht="15" hidden="false" customHeight="true" outlineLevel="0" collapsed="false">
      <c r="A389" s="20" t="s">
        <v>1203</v>
      </c>
      <c r="B389" s="20" t="s">
        <v>220</v>
      </c>
      <c r="C389" s="19" t="str">
        <f aca="false">IFERROR(INDEX('قائمة الوحدات'!$B$2:$B$41,MATCH($B389,'قائمة الوحدات'!$A$2:$A$41,0)),"")</f>
        <v>MIL</v>
      </c>
      <c r="D389" s="18" t="str">
        <f aca="false">IFERROR(INDEX('قائمة الوحدات'!$C$2:$C$41,MATCH($B389,'قائمة الوحدات'!$A$2:$A$41,0)),"")</f>
        <v>الجهاز العسكري</v>
      </c>
      <c r="E389" s="18" t="str">
        <f aca="false">IFERROR(INDEX('قائمة الوحدات'!$D$2:$D$41,MATCH($B389,'قائمة الوحدات'!$A$2:$A$41,0)),"")</f>
        <v>الإدارة العامة للخدمات الطبية العسكرية</v>
      </c>
      <c r="F389" s="18" t="str">
        <f aca="false">IFERROR(INDEX('قائمة الوحدات'!$F$2:$F$41,MATCH($B389,'قائمة الوحدات'!$A$2:$A$41,0)),"")</f>
        <v>الإدارة العامة للخدمات الطبية العسكرية</v>
      </c>
      <c r="G389" s="20" t="s">
        <v>66</v>
      </c>
      <c r="H389" s="18" t="str">
        <f aca="false">IFERROR(INDEX(المرجع!$A$2:$A$19,MATCH($G389,المرجع!$B$2:$B$19,0)),"")</f>
        <v>التشغيل</v>
      </c>
      <c r="I389" s="20" t="s">
        <v>57</v>
      </c>
      <c r="J389" s="18" t="str">
        <f aca="false">IFERROR(INDEX(المرجع!$D$2:$D$19,MATCH($I389,المرجع!$E$2:$E$19,0)),"")</f>
        <v>الموارد</v>
      </c>
      <c r="K389" s="20" t="s">
        <v>130</v>
      </c>
      <c r="L389" s="21" t="str">
        <f aca="false">IFERROR(INDEX('نقاط التحقق'!$G$2:$G$31,MATCH($K389,'نقاط التحقق'!$A$2:$A$31,0))&amp;"","")</f>
        <v>موارد مستكملة للحد الأدنى الذي يغطي كافة محاور سلسلة القيمة</v>
      </c>
      <c r="M389" s="17" t="n">
        <v>49</v>
      </c>
      <c r="N389" s="17" t="n">
        <v>100</v>
      </c>
      <c r="O389" s="19" t="str">
        <f aca="false">IF($M389="","غير مقيّمة",IF($M389&gt;المرجع!$K$3,"مستوفاة بشكل متقدم",IF($M389&lt;=المرجع!$K$2,"مستوفاة بشكل أولي","مستوفاة بشكل جزئي")))</f>
        <v>مستوفاة بشكل جزئي</v>
      </c>
      <c r="P389" s="22"/>
    </row>
    <row r="390" customFormat="false" ht="15" hidden="false" customHeight="true" outlineLevel="0" collapsed="false">
      <c r="A390" s="20" t="s">
        <v>1204</v>
      </c>
      <c r="B390" s="20" t="s">
        <v>220</v>
      </c>
      <c r="C390" s="19" t="str">
        <f aca="false">IFERROR(INDEX('قائمة الوحدات'!$B$2:$B$41,MATCH($B390,'قائمة الوحدات'!$A$2:$A$41,0)),"")</f>
        <v>MIL</v>
      </c>
      <c r="D390" s="18" t="str">
        <f aca="false">IFERROR(INDEX('قائمة الوحدات'!$C$2:$C$41,MATCH($B390,'قائمة الوحدات'!$A$2:$A$41,0)),"")</f>
        <v>الجهاز العسكري</v>
      </c>
      <c r="E390" s="18" t="str">
        <f aca="false">IFERROR(INDEX('قائمة الوحدات'!$D$2:$D$41,MATCH($B390,'قائمة الوحدات'!$A$2:$A$41,0)),"")</f>
        <v>الإدارة العامة للخدمات الطبية العسكرية</v>
      </c>
      <c r="F390" s="18" t="str">
        <f aca="false">IFERROR(INDEX('قائمة الوحدات'!$F$2:$F$41,MATCH($B390,'قائمة الوحدات'!$A$2:$A$41,0)),"")</f>
        <v>الإدارة العامة للخدمات الطبية العسكرية</v>
      </c>
      <c r="G390" s="20" t="s">
        <v>66</v>
      </c>
      <c r="H390" s="18" t="str">
        <f aca="false">IFERROR(INDEX(المرجع!$A$2:$A$19,MATCH($G390,المرجع!$B$2:$B$19,0)),"")</f>
        <v>التشغيل</v>
      </c>
      <c r="I390" s="20" t="s">
        <v>60</v>
      </c>
      <c r="J390" s="18" t="str">
        <f aca="false">IFERROR(INDEX(المرجع!$D$2:$D$19,MATCH($I390,المرجع!$E$2:$E$19,0)),"")</f>
        <v>الإجراءات</v>
      </c>
      <c r="K390" s="20" t="s">
        <v>132</v>
      </c>
      <c r="L390" s="21" t="str">
        <f aca="false">IFERROR(INDEX('نقاط التحقق'!$G$2:$G$31,MATCH($K390,'نقاط التحقق'!$A$2:$A$31,0))&amp;"","")</f>
        <v>تحقيق تقييم "مطبق بشكل كامل" من منهجية تقييم فعالية الإجراءات</v>
      </c>
      <c r="M390" s="17" t="n">
        <v>44</v>
      </c>
      <c r="N390" s="17" t="n">
        <v>95</v>
      </c>
      <c r="O390" s="19" t="str">
        <f aca="false">IF($M390="","غير مقيّمة",IF($M390&gt;المرجع!$K$3,"مستوفاة بشكل متقدم",IF($M390&lt;=المرجع!$K$2,"مستوفاة بشكل أولي","مستوفاة بشكل جزئي")))</f>
        <v>مستوفاة بشكل جزئي</v>
      </c>
      <c r="P390" s="22"/>
    </row>
    <row r="391" customFormat="false" ht="15" hidden="false" customHeight="true" outlineLevel="0" collapsed="false">
      <c r="A391" s="20" t="s">
        <v>1205</v>
      </c>
      <c r="B391" s="20" t="s">
        <v>220</v>
      </c>
      <c r="C391" s="19" t="str">
        <f aca="false">IFERROR(INDEX('قائمة الوحدات'!$B$2:$B$41,MATCH($B391,'قائمة الوحدات'!$A$2:$A$41,0)),"")</f>
        <v>MIL</v>
      </c>
      <c r="D391" s="18" t="str">
        <f aca="false">IFERROR(INDEX('قائمة الوحدات'!$C$2:$C$41,MATCH($B391,'قائمة الوحدات'!$A$2:$A$41,0)),"")</f>
        <v>الجهاز العسكري</v>
      </c>
      <c r="E391" s="18" t="str">
        <f aca="false">IFERROR(INDEX('قائمة الوحدات'!$D$2:$D$41,MATCH($B391,'قائمة الوحدات'!$A$2:$A$41,0)),"")</f>
        <v>الإدارة العامة للخدمات الطبية العسكرية</v>
      </c>
      <c r="F391" s="18" t="str">
        <f aca="false">IFERROR(INDEX('قائمة الوحدات'!$F$2:$F$41,MATCH($B391,'قائمة الوحدات'!$A$2:$A$41,0)),"")</f>
        <v>الإدارة العامة للخدمات الطبية العسكرية</v>
      </c>
      <c r="G391" s="20" t="s">
        <v>66</v>
      </c>
      <c r="H391" s="18" t="str">
        <f aca="false">IFERROR(INDEX(المرجع!$A$2:$A$19,MATCH($G391,المرجع!$B$2:$B$19,0)),"")</f>
        <v>التشغيل</v>
      </c>
      <c r="I391" s="20" t="s">
        <v>71</v>
      </c>
      <c r="J391" s="18" t="str">
        <f aca="false">IFERROR(INDEX(المرجع!$D$2:$D$19,MATCH($I391,المرجع!$E$2:$E$19,0)),"")</f>
        <v>اكتمال المخرجات المستهدفة</v>
      </c>
      <c r="K391" s="20" t="s">
        <v>134</v>
      </c>
      <c r="L391" s="21" t="str">
        <f aca="false">IFERROR(INDEX('نقاط التحقق'!$G$2:$G$31,MATCH($K391,'نقاط التحقق'!$A$2:$A$31,0))&amp;"","")</f>
        <v>اكتمال مخرجات النموذج التشغيلي المستهدف للوحدة التنظيمية</v>
      </c>
      <c r="M391" s="17" t="n">
        <v>48</v>
      </c>
      <c r="N391" s="17" t="n">
        <v>80</v>
      </c>
      <c r="O391" s="19" t="str">
        <f aca="false">IF($M391="","غير مقيّمة",IF($M391&gt;المرجع!$K$3,"مستوفاة بشكل متقدم",IF($M391&lt;=المرجع!$K$2,"مستوفاة بشكل أولي","مستوفاة بشكل جزئي")))</f>
        <v>مستوفاة بشكل جزئي</v>
      </c>
      <c r="P391" s="22"/>
    </row>
    <row r="392" customFormat="false" ht="15" hidden="false" customHeight="true" outlineLevel="0" collapsed="false">
      <c r="A392" s="20" t="s">
        <v>1206</v>
      </c>
      <c r="B392" s="20" t="s">
        <v>222</v>
      </c>
      <c r="C392" s="19" t="str">
        <f aca="false">IFERROR(INDEX('قائمة الوحدات'!$B$2:$B$41,MATCH($B392,'قائمة الوحدات'!$A$2:$A$41,0)),"")</f>
        <v>MIL</v>
      </c>
      <c r="D392" s="18" t="str">
        <f aca="false">IFERROR(INDEX('قائمة الوحدات'!$C$2:$C$41,MATCH($B392,'قائمة الوحدات'!$A$2:$A$41,0)),"")</f>
        <v>الجهاز العسكري</v>
      </c>
      <c r="E392" s="18" t="str">
        <f aca="false">IFERROR(INDEX('قائمة الوحدات'!$D$2:$D$41,MATCH($B392,'قائمة الوحدات'!$A$2:$A$41,0)),"")</f>
        <v>الإدارة العامة للقوى البشرية العسكرية</v>
      </c>
      <c r="F392" s="18" t="str">
        <f aca="false">IFERROR(INDEX('قائمة الوحدات'!$F$2:$F$41,MATCH($B392,'قائمة الوحدات'!$A$2:$A$41,0)),"")</f>
        <v>الإدارة العامة للقوى البشرية العسكرية</v>
      </c>
      <c r="G392" s="20" t="s">
        <v>44</v>
      </c>
      <c r="H392" s="18" t="str">
        <f aca="false">IFERROR(INDEX(المرجع!$A$2:$A$19,MATCH($G392,المرجع!$B$2:$B$19,0)),"")</f>
        <v>التصميم</v>
      </c>
      <c r="I392" s="20" t="s">
        <v>46</v>
      </c>
      <c r="J392" s="18" t="str">
        <f aca="false">IFERROR(INDEX(المرجع!$D$2:$D$19,MATCH($I392,المرجع!$E$2:$E$19,0)),"")</f>
        <v>الدور</v>
      </c>
      <c r="K392" s="20" t="s">
        <v>76</v>
      </c>
      <c r="L392" s="21" t="str">
        <f aca="false">IFERROR(INDEX('نقاط التحقق'!$G$2:$G$31,MATCH($K392,'نقاط التحقق'!$A$2:$A$31,0))&amp;"","")</f>
        <v>دور مفصل للوحدة التنظيمية</v>
      </c>
      <c r="M392" s="17" t="n">
        <v>72</v>
      </c>
      <c r="N392" s="17" t="n">
        <v>85</v>
      </c>
      <c r="O392" s="19" t="str">
        <f aca="false">IF($M392="","غير مقيّمة",IF($M392&gt;المرجع!$K$3,"مستوفاة بشكل متقدم",IF($M392&lt;=المرجع!$K$2,"مستوفاة بشكل أولي","مستوفاة بشكل جزئي")))</f>
        <v>مستوفاة بشكل متقدم</v>
      </c>
      <c r="P392" s="22"/>
    </row>
    <row r="393" customFormat="false" ht="15" hidden="false" customHeight="true" outlineLevel="0" collapsed="false">
      <c r="A393" s="20" t="s">
        <v>1207</v>
      </c>
      <c r="B393" s="20" t="s">
        <v>222</v>
      </c>
      <c r="C393" s="19" t="str">
        <f aca="false">IFERROR(INDEX('قائمة الوحدات'!$B$2:$B$41,MATCH($B393,'قائمة الوحدات'!$A$2:$A$41,0)),"")</f>
        <v>MIL</v>
      </c>
      <c r="D393" s="18" t="str">
        <f aca="false">IFERROR(INDEX('قائمة الوحدات'!$C$2:$C$41,MATCH($B393,'قائمة الوحدات'!$A$2:$A$41,0)),"")</f>
        <v>الجهاز العسكري</v>
      </c>
      <c r="E393" s="18" t="str">
        <f aca="false">IFERROR(INDEX('قائمة الوحدات'!$D$2:$D$41,MATCH($B393,'قائمة الوحدات'!$A$2:$A$41,0)),"")</f>
        <v>الإدارة العامة للقوى البشرية العسكرية</v>
      </c>
      <c r="F393" s="18" t="str">
        <f aca="false">IFERROR(INDEX('قائمة الوحدات'!$F$2:$F$41,MATCH($B393,'قائمة الوحدات'!$A$2:$A$41,0)),"")</f>
        <v>الإدارة العامة للقوى البشرية العسكرية</v>
      </c>
      <c r="G393" s="20" t="s">
        <v>44</v>
      </c>
      <c r="H393" s="18" t="str">
        <f aca="false">IFERROR(INDEX(المرجع!$A$2:$A$19,MATCH($G393,المرجع!$B$2:$B$19,0)),"")</f>
        <v>التصميم</v>
      </c>
      <c r="I393" s="20" t="s">
        <v>49</v>
      </c>
      <c r="J393" s="18" t="str">
        <f aca="false">IFERROR(INDEX(المرجع!$D$2:$D$19,MATCH($I393,المرجع!$E$2:$E$19,0)),"")</f>
        <v>الأهداف ومؤشرات الأداء</v>
      </c>
      <c r="K393" s="20" t="s">
        <v>78</v>
      </c>
      <c r="L393" s="21" t="str">
        <f aca="false">IFERROR(INDEX('نقاط التحقق'!$G$2:$G$31,MATCH($K393,'نقاط التحقق'!$A$2:$A$31,0))&amp;"","")</f>
        <v>أهداف محددة للوحدة التنظيمية وربطها بمؤشرات أداء لقياسها</v>
      </c>
      <c r="M393" s="17" t="n">
        <v>95</v>
      </c>
      <c r="N393" s="17" t="n">
        <v>100</v>
      </c>
      <c r="O393" s="19" t="str">
        <f aca="false">IF($M393="","غير مقيّمة",IF($M393&gt;المرجع!$K$3,"مستوفاة بشكل متقدم",IF($M393&lt;=المرجع!$K$2,"مستوفاة بشكل أولي","مستوفاة بشكل جزئي")))</f>
        <v>مستوفاة بشكل متقدم</v>
      </c>
      <c r="P393" s="22"/>
    </row>
    <row r="394" customFormat="false" ht="15" hidden="false" customHeight="true" outlineLevel="0" collapsed="false">
      <c r="A394" s="20" t="s">
        <v>1208</v>
      </c>
      <c r="B394" s="20" t="s">
        <v>222</v>
      </c>
      <c r="C394" s="19" t="str">
        <f aca="false">IFERROR(INDEX('قائمة الوحدات'!$B$2:$B$41,MATCH($B394,'قائمة الوحدات'!$A$2:$A$41,0)),"")</f>
        <v>MIL</v>
      </c>
      <c r="D394" s="18" t="str">
        <f aca="false">IFERROR(INDEX('قائمة الوحدات'!$C$2:$C$41,MATCH($B394,'قائمة الوحدات'!$A$2:$A$41,0)),"")</f>
        <v>الجهاز العسكري</v>
      </c>
      <c r="E394" s="18" t="str">
        <f aca="false">IFERROR(INDEX('قائمة الوحدات'!$D$2:$D$41,MATCH($B394,'قائمة الوحدات'!$A$2:$A$41,0)),"")</f>
        <v>الإدارة العامة للقوى البشرية العسكرية</v>
      </c>
      <c r="F394" s="18" t="str">
        <f aca="false">IFERROR(INDEX('قائمة الوحدات'!$F$2:$F$41,MATCH($B394,'قائمة الوحدات'!$A$2:$A$41,0)),"")</f>
        <v>الإدارة العامة للقوى البشرية العسكرية</v>
      </c>
      <c r="G394" s="20" t="s">
        <v>44</v>
      </c>
      <c r="H394" s="18" t="str">
        <f aca="false">IFERROR(INDEX(المرجع!$A$2:$A$19,MATCH($G394,المرجع!$B$2:$B$19,0)),"")</f>
        <v>التصميم</v>
      </c>
      <c r="I394" s="20" t="s">
        <v>49</v>
      </c>
      <c r="J394" s="18" t="str">
        <f aca="false">IFERROR(INDEX(المرجع!$D$2:$D$19,MATCH($I394,المرجع!$E$2:$E$19,0)),"")</f>
        <v>الأهداف ومؤشرات الأداء</v>
      </c>
      <c r="K394" s="20" t="s">
        <v>80</v>
      </c>
      <c r="L394" s="21" t="str">
        <f aca="false">IFERROR(INDEX('نقاط التحقق'!$G$2:$G$31,MATCH($K394,'نقاط التحقق'!$A$2:$A$31,0))&amp;"","")</f>
        <v>مؤشرات أداء الوحدة التنظيمية</v>
      </c>
      <c r="M394" s="17" t="n">
        <v>80</v>
      </c>
      <c r="N394" s="17" t="n">
        <v>80</v>
      </c>
      <c r="O394" s="19" t="str">
        <f aca="false">IF($M394="","غير مقيّمة",IF($M394&gt;المرجع!$K$3,"مستوفاة بشكل متقدم",IF($M394&lt;=المرجع!$K$2,"مستوفاة بشكل أولي","مستوفاة بشكل جزئي")))</f>
        <v>مستوفاة بشكل متقدم</v>
      </c>
      <c r="P394" s="22"/>
    </row>
    <row r="395" customFormat="false" ht="15" hidden="false" customHeight="true" outlineLevel="0" collapsed="false">
      <c r="A395" s="20" t="s">
        <v>1209</v>
      </c>
      <c r="B395" s="20" t="s">
        <v>222</v>
      </c>
      <c r="C395" s="19" t="str">
        <f aca="false">IFERROR(INDEX('قائمة الوحدات'!$B$2:$B$41,MATCH($B395,'قائمة الوحدات'!$A$2:$A$41,0)),"")</f>
        <v>MIL</v>
      </c>
      <c r="D395" s="18" t="str">
        <f aca="false">IFERROR(INDEX('قائمة الوحدات'!$C$2:$C$41,MATCH($B395,'قائمة الوحدات'!$A$2:$A$41,0)),"")</f>
        <v>الجهاز العسكري</v>
      </c>
      <c r="E395" s="18" t="str">
        <f aca="false">IFERROR(INDEX('قائمة الوحدات'!$D$2:$D$41,MATCH($B395,'قائمة الوحدات'!$A$2:$A$41,0)),"")</f>
        <v>الإدارة العامة للقوى البشرية العسكرية</v>
      </c>
      <c r="F395" s="18" t="str">
        <f aca="false">IFERROR(INDEX('قائمة الوحدات'!$F$2:$F$41,MATCH($B395,'قائمة الوحدات'!$A$2:$A$41,0)),"")</f>
        <v>الإدارة العامة للقوى البشرية العسكرية</v>
      </c>
      <c r="G395" s="20" t="s">
        <v>44</v>
      </c>
      <c r="H395" s="18" t="str">
        <f aca="false">IFERROR(INDEX(المرجع!$A$2:$A$19,MATCH($G395,المرجع!$B$2:$B$19,0)),"")</f>
        <v>التصميم</v>
      </c>
      <c r="I395" s="20" t="s">
        <v>52</v>
      </c>
      <c r="J395" s="18" t="str">
        <f aca="false">IFERROR(INDEX(المرجع!$D$2:$D$19,MATCH($I395,المرجع!$E$2:$E$19,0)),"")</f>
        <v>الحوكمة</v>
      </c>
      <c r="K395" s="20" t="s">
        <v>82</v>
      </c>
      <c r="L395" s="21" t="str">
        <f aca="false">IFERROR(INDEX('نقاط التحقق'!$G$2:$G$31,MATCH($K395,'نقاط التحقق'!$A$2:$A$31,0))&amp;"","")</f>
        <v>تفصيل القرارات ومصفوفة الصلاحيات واللجان ذات العلاقة لاعتماد مخرجات الوحدة التنظيمية</v>
      </c>
      <c r="M395" s="17" t="n">
        <v>82</v>
      </c>
      <c r="N395" s="17" t="n">
        <v>100</v>
      </c>
      <c r="O395" s="19" t="str">
        <f aca="false">IF($M395="","غير مقيّمة",IF($M395&gt;المرجع!$K$3,"مستوفاة بشكل متقدم",IF($M395&lt;=المرجع!$K$2,"مستوفاة بشكل أولي","مستوفاة بشكل جزئي")))</f>
        <v>مستوفاة بشكل متقدم</v>
      </c>
      <c r="P395" s="22"/>
    </row>
    <row r="396" customFormat="false" ht="15" hidden="false" customHeight="true" outlineLevel="0" collapsed="false">
      <c r="A396" s="20" t="s">
        <v>1210</v>
      </c>
      <c r="B396" s="20" t="s">
        <v>222</v>
      </c>
      <c r="C396" s="19" t="str">
        <f aca="false">IFERROR(INDEX('قائمة الوحدات'!$B$2:$B$41,MATCH($B396,'قائمة الوحدات'!$A$2:$A$41,0)),"")</f>
        <v>MIL</v>
      </c>
      <c r="D396" s="18" t="str">
        <f aca="false">IFERROR(INDEX('قائمة الوحدات'!$C$2:$C$41,MATCH($B396,'قائمة الوحدات'!$A$2:$A$41,0)),"")</f>
        <v>الجهاز العسكري</v>
      </c>
      <c r="E396" s="18" t="str">
        <f aca="false">IFERROR(INDEX('قائمة الوحدات'!$D$2:$D$41,MATCH($B396,'قائمة الوحدات'!$A$2:$A$41,0)),"")</f>
        <v>الإدارة العامة للقوى البشرية العسكرية</v>
      </c>
      <c r="F396" s="18" t="str">
        <f aca="false">IFERROR(INDEX('قائمة الوحدات'!$F$2:$F$41,MATCH($B396,'قائمة الوحدات'!$A$2:$A$41,0)),"")</f>
        <v>الإدارة العامة للقوى البشرية العسكرية</v>
      </c>
      <c r="G396" s="20" t="s">
        <v>44</v>
      </c>
      <c r="H396" s="18" t="str">
        <f aca="false">IFERROR(INDEX(المرجع!$A$2:$A$19,MATCH($G396,المرجع!$B$2:$B$19,0)),"")</f>
        <v>التصميم</v>
      </c>
      <c r="I396" s="20" t="s">
        <v>55</v>
      </c>
      <c r="J396" s="18" t="str">
        <f aca="false">IFERROR(INDEX(المرجع!$D$2:$D$19,MATCH($I396,المرجع!$E$2:$E$19,0)),"")</f>
        <v>التنظيم</v>
      </c>
      <c r="K396" s="20" t="s">
        <v>84</v>
      </c>
      <c r="L396" s="21" t="str">
        <f aca="false">IFERROR(INDEX('نقاط التحقق'!$G$2:$G$31,MATCH($K396,'نقاط التحقق'!$A$2:$A$31,0))&amp;"","")</f>
        <v>تطوير الأدوار والمسؤوليات للوحدة التنظيمية وتفصيل الهيكل التنظيمي</v>
      </c>
      <c r="M396" s="17" t="n">
        <v>90</v>
      </c>
      <c r="N396" s="17" t="n">
        <v>90</v>
      </c>
      <c r="O396" s="19" t="str">
        <f aca="false">IF($M396="","غير مقيّمة",IF($M396&gt;المرجع!$K$3,"مستوفاة بشكل متقدم",IF($M396&lt;=المرجع!$K$2,"مستوفاة بشكل أولي","مستوفاة بشكل جزئي")))</f>
        <v>مستوفاة بشكل متقدم</v>
      </c>
      <c r="P396" s="22"/>
    </row>
    <row r="397" customFormat="false" ht="15" hidden="false" customHeight="true" outlineLevel="0" collapsed="false">
      <c r="A397" s="20" t="s">
        <v>1211</v>
      </c>
      <c r="B397" s="20" t="s">
        <v>222</v>
      </c>
      <c r="C397" s="19" t="str">
        <f aca="false">IFERROR(INDEX('قائمة الوحدات'!$B$2:$B$41,MATCH($B397,'قائمة الوحدات'!$A$2:$A$41,0)),"")</f>
        <v>MIL</v>
      </c>
      <c r="D397" s="18" t="str">
        <f aca="false">IFERROR(INDEX('قائمة الوحدات'!$C$2:$C$41,MATCH($B397,'قائمة الوحدات'!$A$2:$A$41,0)),"")</f>
        <v>الجهاز العسكري</v>
      </c>
      <c r="E397" s="18" t="str">
        <f aca="false">IFERROR(INDEX('قائمة الوحدات'!$D$2:$D$41,MATCH($B397,'قائمة الوحدات'!$A$2:$A$41,0)),"")</f>
        <v>الإدارة العامة للقوى البشرية العسكرية</v>
      </c>
      <c r="F397" s="18" t="str">
        <f aca="false">IFERROR(INDEX('قائمة الوحدات'!$F$2:$F$41,MATCH($B397,'قائمة الوحدات'!$A$2:$A$41,0)),"")</f>
        <v>الإدارة العامة للقوى البشرية العسكرية</v>
      </c>
      <c r="G397" s="20" t="s">
        <v>44</v>
      </c>
      <c r="H397" s="18" t="str">
        <f aca="false">IFERROR(INDEX(المرجع!$A$2:$A$19,MATCH($G397,المرجع!$B$2:$B$19,0)),"")</f>
        <v>التصميم</v>
      </c>
      <c r="I397" s="20" t="s">
        <v>57</v>
      </c>
      <c r="J397" s="18" t="str">
        <f aca="false">IFERROR(INDEX(المرجع!$D$2:$D$19,MATCH($I397,المرجع!$E$2:$E$19,0)),"")</f>
        <v>الموارد</v>
      </c>
      <c r="K397" s="20" t="s">
        <v>86</v>
      </c>
      <c r="L397" s="21" t="str">
        <f aca="false">IFERROR(INDEX('نقاط التحقق'!$G$2:$G$31,MATCH($K397,'نقاط التحقق'!$A$2:$A$31,0))&amp;"","")</f>
        <v>تفصيل احتياج الموارد البشرية للوحدة التنظيمية</v>
      </c>
      <c r="M397" s="17" t="n">
        <v>91</v>
      </c>
      <c r="N397" s="17" t="n">
        <v>91</v>
      </c>
      <c r="O397" s="19" t="str">
        <f aca="false">IF($M397="","غير مقيّمة",IF($M397&gt;المرجع!$K$3,"مستوفاة بشكل متقدم",IF($M397&lt;=المرجع!$K$2,"مستوفاة بشكل أولي","مستوفاة بشكل جزئي")))</f>
        <v>مستوفاة بشكل متقدم</v>
      </c>
      <c r="P397" s="22"/>
    </row>
    <row r="398" customFormat="false" ht="15" hidden="false" customHeight="true" outlineLevel="0" collapsed="false">
      <c r="A398" s="20" t="s">
        <v>1212</v>
      </c>
      <c r="B398" s="20" t="s">
        <v>222</v>
      </c>
      <c r="C398" s="19" t="str">
        <f aca="false">IFERROR(INDEX('قائمة الوحدات'!$B$2:$B$41,MATCH($B398,'قائمة الوحدات'!$A$2:$A$41,0)),"")</f>
        <v>MIL</v>
      </c>
      <c r="D398" s="18" t="str">
        <f aca="false">IFERROR(INDEX('قائمة الوحدات'!$C$2:$C$41,MATCH($B398,'قائمة الوحدات'!$A$2:$A$41,0)),"")</f>
        <v>الجهاز العسكري</v>
      </c>
      <c r="E398" s="18" t="str">
        <f aca="false">IFERROR(INDEX('قائمة الوحدات'!$D$2:$D$41,MATCH($B398,'قائمة الوحدات'!$A$2:$A$41,0)),"")</f>
        <v>الإدارة العامة للقوى البشرية العسكرية</v>
      </c>
      <c r="F398" s="18" t="str">
        <f aca="false">IFERROR(INDEX('قائمة الوحدات'!$F$2:$F$41,MATCH($B398,'قائمة الوحدات'!$A$2:$A$41,0)),"")</f>
        <v>الإدارة العامة للقوى البشرية العسكرية</v>
      </c>
      <c r="G398" s="20" t="s">
        <v>44</v>
      </c>
      <c r="H398" s="18" t="str">
        <f aca="false">IFERROR(INDEX(المرجع!$A$2:$A$19,MATCH($G398,المرجع!$B$2:$B$19,0)),"")</f>
        <v>التصميم</v>
      </c>
      <c r="I398" s="20" t="s">
        <v>60</v>
      </c>
      <c r="J398" s="18" t="str">
        <f aca="false">IFERROR(INDEX(المرجع!$D$2:$D$19,MATCH($I398,المرجع!$E$2:$E$19,0)),"")</f>
        <v>الإجراءات</v>
      </c>
      <c r="K398" s="20" t="s">
        <v>88</v>
      </c>
      <c r="L398" s="21" t="str">
        <f aca="false">IFERROR(INDEX('نقاط التحقق'!$G$2:$G$31,MATCH($K398,'نقاط التحقق'!$A$2:$A$31,0))&amp;"","")</f>
        <v>تفصيل المخرجات إلى إجراءات عالية المستوى</v>
      </c>
      <c r="M398" s="17" t="n">
        <v>70</v>
      </c>
      <c r="N398" s="17" t="n">
        <v>90</v>
      </c>
      <c r="O398" s="19" t="str">
        <f aca="false">IF($M398="","غير مقيّمة",IF($M398&gt;المرجع!$K$3,"مستوفاة بشكل متقدم",IF($M398&lt;=المرجع!$K$2,"مستوفاة بشكل أولي","مستوفاة بشكل جزئي")))</f>
        <v>مستوفاة بشكل جزئي</v>
      </c>
      <c r="P398" s="22"/>
    </row>
    <row r="399" customFormat="false" ht="15" hidden="false" customHeight="true" outlineLevel="0" collapsed="false">
      <c r="A399" s="20" t="s">
        <v>1213</v>
      </c>
      <c r="B399" s="20" t="s">
        <v>222</v>
      </c>
      <c r="C399" s="19" t="str">
        <f aca="false">IFERROR(INDEX('قائمة الوحدات'!$B$2:$B$41,MATCH($B399,'قائمة الوحدات'!$A$2:$A$41,0)),"")</f>
        <v>MIL</v>
      </c>
      <c r="D399" s="18" t="str">
        <f aca="false">IFERROR(INDEX('قائمة الوحدات'!$C$2:$C$41,MATCH($B399,'قائمة الوحدات'!$A$2:$A$41,0)),"")</f>
        <v>الجهاز العسكري</v>
      </c>
      <c r="E399" s="18" t="str">
        <f aca="false">IFERROR(INDEX('قائمة الوحدات'!$D$2:$D$41,MATCH($B399,'قائمة الوحدات'!$A$2:$A$41,0)),"")</f>
        <v>الإدارة العامة للقوى البشرية العسكرية</v>
      </c>
      <c r="F399" s="18" t="str">
        <f aca="false">IFERROR(INDEX('قائمة الوحدات'!$F$2:$F$41,MATCH($B399,'قائمة الوحدات'!$A$2:$A$41,0)),"")</f>
        <v>الإدارة العامة للقوى البشرية العسكرية</v>
      </c>
      <c r="G399" s="20" t="s">
        <v>62</v>
      </c>
      <c r="H399" s="18" t="str">
        <f aca="false">IFERROR(INDEX(المرجع!$A$2:$A$19,MATCH($G399,المرجع!$B$2:$B$19,0)),"")</f>
        <v>البناء المؤسسي</v>
      </c>
      <c r="I399" s="20" t="s">
        <v>46</v>
      </c>
      <c r="J399" s="18" t="str">
        <f aca="false">IFERROR(INDEX(المرجع!$D$2:$D$19,MATCH($I399,المرجع!$E$2:$E$19,0)),"")</f>
        <v>الدور</v>
      </c>
      <c r="K399" s="20" t="s">
        <v>90</v>
      </c>
      <c r="L399" s="21" t="str">
        <f aca="false">IFERROR(INDEX('نقاط التحقق'!$G$2:$G$31,MATCH($K399,'نقاط التحقق'!$A$2:$A$31,0))&amp;"","")</f>
        <v>دور معتمد للوحدة التنظيمية</v>
      </c>
      <c r="M399" s="17" t="n">
        <v>49</v>
      </c>
      <c r="N399" s="17" t="n">
        <v>80</v>
      </c>
      <c r="O399" s="19" t="str">
        <f aca="false">IF($M399="","غير مقيّمة",IF($M399&gt;المرجع!$K$3,"مستوفاة بشكل متقدم",IF($M399&lt;=المرجع!$K$2,"مستوفاة بشكل أولي","مستوفاة بشكل جزئي")))</f>
        <v>مستوفاة بشكل جزئي</v>
      </c>
      <c r="P399" s="22"/>
    </row>
    <row r="400" customFormat="false" ht="15" hidden="false" customHeight="true" outlineLevel="0" collapsed="false">
      <c r="A400" s="20" t="s">
        <v>1214</v>
      </c>
      <c r="B400" s="20" t="s">
        <v>222</v>
      </c>
      <c r="C400" s="19" t="str">
        <f aca="false">IFERROR(INDEX('قائمة الوحدات'!$B$2:$B$41,MATCH($B400,'قائمة الوحدات'!$A$2:$A$41,0)),"")</f>
        <v>MIL</v>
      </c>
      <c r="D400" s="18" t="str">
        <f aca="false">IFERROR(INDEX('قائمة الوحدات'!$C$2:$C$41,MATCH($B400,'قائمة الوحدات'!$A$2:$A$41,0)),"")</f>
        <v>الجهاز العسكري</v>
      </c>
      <c r="E400" s="18" t="str">
        <f aca="false">IFERROR(INDEX('قائمة الوحدات'!$D$2:$D$41,MATCH($B400,'قائمة الوحدات'!$A$2:$A$41,0)),"")</f>
        <v>الإدارة العامة للقوى البشرية العسكرية</v>
      </c>
      <c r="F400" s="18" t="str">
        <f aca="false">IFERROR(INDEX('قائمة الوحدات'!$F$2:$F$41,MATCH($B400,'قائمة الوحدات'!$A$2:$A$41,0)),"")</f>
        <v>الإدارة العامة للقوى البشرية العسكرية</v>
      </c>
      <c r="G400" s="20" t="s">
        <v>62</v>
      </c>
      <c r="H400" s="18" t="str">
        <f aca="false">IFERROR(INDEX(المرجع!$A$2:$A$19,MATCH($G400,المرجع!$B$2:$B$19,0)),"")</f>
        <v>البناء المؤسسي</v>
      </c>
      <c r="I400" s="20" t="s">
        <v>49</v>
      </c>
      <c r="J400" s="18" t="str">
        <f aca="false">IFERROR(INDEX(المرجع!$D$2:$D$19,MATCH($I400,المرجع!$E$2:$E$19,0)),"")</f>
        <v>الأهداف ومؤشرات الأداء</v>
      </c>
      <c r="K400" s="20" t="s">
        <v>92</v>
      </c>
      <c r="L400" s="21" t="str">
        <f aca="false">IFERROR(INDEX('نقاط التحقق'!$G$2:$G$31,MATCH($K400,'نقاط التحقق'!$A$2:$A$31,0))&amp;"","")</f>
        <v>أهداف تشغيلية معتمدة من صاحب الصلاحية</v>
      </c>
      <c r="M400" s="17" t="n">
        <v>50</v>
      </c>
      <c r="N400" s="17" t="n">
        <v>95</v>
      </c>
      <c r="O400" s="19" t="str">
        <f aca="false">IF($M400="","غير مقيّمة",IF($M400&gt;المرجع!$K$3,"مستوفاة بشكل متقدم",IF($M400&lt;=المرجع!$K$2,"مستوفاة بشكل أولي","مستوفاة بشكل جزئي")))</f>
        <v>مستوفاة بشكل جزئي</v>
      </c>
      <c r="P400" s="22"/>
    </row>
    <row r="401" customFormat="false" ht="15" hidden="false" customHeight="true" outlineLevel="0" collapsed="false">
      <c r="A401" s="20" t="s">
        <v>1215</v>
      </c>
      <c r="B401" s="20" t="s">
        <v>222</v>
      </c>
      <c r="C401" s="19" t="str">
        <f aca="false">IFERROR(INDEX('قائمة الوحدات'!$B$2:$B$41,MATCH($B401,'قائمة الوحدات'!$A$2:$A$41,0)),"")</f>
        <v>MIL</v>
      </c>
      <c r="D401" s="18" t="str">
        <f aca="false">IFERROR(INDEX('قائمة الوحدات'!$C$2:$C$41,MATCH($B401,'قائمة الوحدات'!$A$2:$A$41,0)),"")</f>
        <v>الجهاز العسكري</v>
      </c>
      <c r="E401" s="18" t="str">
        <f aca="false">IFERROR(INDEX('قائمة الوحدات'!$D$2:$D$41,MATCH($B401,'قائمة الوحدات'!$A$2:$A$41,0)),"")</f>
        <v>الإدارة العامة للقوى البشرية العسكرية</v>
      </c>
      <c r="F401" s="18" t="str">
        <f aca="false">IFERROR(INDEX('قائمة الوحدات'!$F$2:$F$41,MATCH($B401,'قائمة الوحدات'!$A$2:$A$41,0)),"")</f>
        <v>الإدارة العامة للقوى البشرية العسكرية</v>
      </c>
      <c r="G401" s="20" t="s">
        <v>62</v>
      </c>
      <c r="H401" s="18" t="str">
        <f aca="false">IFERROR(INDEX(المرجع!$A$2:$A$19,MATCH($G401,المرجع!$B$2:$B$19,0)),"")</f>
        <v>البناء المؤسسي</v>
      </c>
      <c r="I401" s="20" t="s">
        <v>49</v>
      </c>
      <c r="J401" s="18" t="str">
        <f aca="false">IFERROR(INDEX(المرجع!$D$2:$D$19,MATCH($I401,المرجع!$E$2:$E$19,0)),"")</f>
        <v>الأهداف ومؤشرات الأداء</v>
      </c>
      <c r="K401" s="20" t="s">
        <v>94</v>
      </c>
      <c r="L401" s="21" t="str">
        <f aca="false">IFERROR(INDEX('نقاط التحقق'!$G$2:$G$31,MATCH($K401,'نقاط التحقق'!$A$2:$A$31,0))&amp;"","")</f>
        <v>نشر الأهداف التشغيلية على موظفي الوحدة التنظيمية</v>
      </c>
      <c r="M401" s="17" t="n">
        <v>60</v>
      </c>
      <c r="N401" s="17" t="n">
        <v>95</v>
      </c>
      <c r="O401" s="19" t="str">
        <f aca="false">IF($M401="","غير مقيّمة",IF($M401&gt;المرجع!$K$3,"مستوفاة بشكل متقدم",IF($M401&lt;=المرجع!$K$2,"مستوفاة بشكل أولي","مستوفاة بشكل جزئي")))</f>
        <v>مستوفاة بشكل جزئي</v>
      </c>
      <c r="P401" s="22"/>
    </row>
    <row r="402" customFormat="false" ht="15" hidden="false" customHeight="true" outlineLevel="0" collapsed="false">
      <c r="A402" s="20" t="s">
        <v>1216</v>
      </c>
      <c r="B402" s="20" t="s">
        <v>222</v>
      </c>
      <c r="C402" s="19" t="str">
        <f aca="false">IFERROR(INDEX('قائمة الوحدات'!$B$2:$B$41,MATCH($B402,'قائمة الوحدات'!$A$2:$A$41,0)),"")</f>
        <v>MIL</v>
      </c>
      <c r="D402" s="18" t="str">
        <f aca="false">IFERROR(INDEX('قائمة الوحدات'!$C$2:$C$41,MATCH($B402,'قائمة الوحدات'!$A$2:$A$41,0)),"")</f>
        <v>الجهاز العسكري</v>
      </c>
      <c r="E402" s="18" t="str">
        <f aca="false">IFERROR(INDEX('قائمة الوحدات'!$D$2:$D$41,MATCH($B402,'قائمة الوحدات'!$A$2:$A$41,0)),"")</f>
        <v>الإدارة العامة للقوى البشرية العسكرية</v>
      </c>
      <c r="F402" s="18" t="str">
        <f aca="false">IFERROR(INDEX('قائمة الوحدات'!$F$2:$F$41,MATCH($B402,'قائمة الوحدات'!$A$2:$A$41,0)),"")</f>
        <v>الإدارة العامة للقوى البشرية العسكرية</v>
      </c>
      <c r="G402" s="20" t="s">
        <v>62</v>
      </c>
      <c r="H402" s="18" t="str">
        <f aca="false">IFERROR(INDEX(المرجع!$A$2:$A$19,MATCH($G402,المرجع!$B$2:$B$19,0)),"")</f>
        <v>البناء المؤسسي</v>
      </c>
      <c r="I402" s="20" t="s">
        <v>52</v>
      </c>
      <c r="J402" s="18" t="str">
        <f aca="false">IFERROR(INDEX(المرجع!$D$2:$D$19,MATCH($I402,المرجع!$E$2:$E$19,0)),"")</f>
        <v>الحوكمة</v>
      </c>
      <c r="K402" s="20" t="s">
        <v>96</v>
      </c>
      <c r="L402" s="21" t="str">
        <f aca="false">IFERROR(INDEX('نقاط التحقق'!$G$2:$G$31,MATCH($K402,'نقاط التحقق'!$A$2:$A$31,0))&amp;"","")</f>
        <v>مصفوفة صلاحيات معتمدة ومعممة على أصحاب المصلحة</v>
      </c>
      <c r="M402" s="17" t="n">
        <v>45</v>
      </c>
      <c r="N402" s="17" t="n">
        <v>100</v>
      </c>
      <c r="O402" s="19" t="str">
        <f aca="false">IF($M402="","غير مقيّمة",IF($M402&gt;المرجع!$K$3,"مستوفاة بشكل متقدم",IF($M402&lt;=المرجع!$K$2,"مستوفاة بشكل أولي","مستوفاة بشكل جزئي")))</f>
        <v>مستوفاة بشكل جزئي</v>
      </c>
      <c r="P402" s="22"/>
    </row>
    <row r="403" customFormat="false" ht="15" hidden="false" customHeight="true" outlineLevel="0" collapsed="false">
      <c r="A403" s="20" t="s">
        <v>1217</v>
      </c>
      <c r="B403" s="20" t="s">
        <v>222</v>
      </c>
      <c r="C403" s="19" t="str">
        <f aca="false">IFERROR(INDEX('قائمة الوحدات'!$B$2:$B$41,MATCH($B403,'قائمة الوحدات'!$A$2:$A$41,0)),"")</f>
        <v>MIL</v>
      </c>
      <c r="D403" s="18" t="str">
        <f aca="false">IFERROR(INDEX('قائمة الوحدات'!$C$2:$C$41,MATCH($B403,'قائمة الوحدات'!$A$2:$A$41,0)),"")</f>
        <v>الجهاز العسكري</v>
      </c>
      <c r="E403" s="18" t="str">
        <f aca="false">IFERROR(INDEX('قائمة الوحدات'!$D$2:$D$41,MATCH($B403,'قائمة الوحدات'!$A$2:$A$41,0)),"")</f>
        <v>الإدارة العامة للقوى البشرية العسكرية</v>
      </c>
      <c r="F403" s="18" t="str">
        <f aca="false">IFERROR(INDEX('قائمة الوحدات'!$F$2:$F$41,MATCH($B403,'قائمة الوحدات'!$A$2:$A$41,0)),"")</f>
        <v>الإدارة العامة للقوى البشرية العسكرية</v>
      </c>
      <c r="G403" s="20" t="s">
        <v>62</v>
      </c>
      <c r="H403" s="18" t="str">
        <f aca="false">IFERROR(INDEX(المرجع!$A$2:$A$19,MATCH($G403,المرجع!$B$2:$B$19,0)),"")</f>
        <v>البناء المؤسسي</v>
      </c>
      <c r="I403" s="20" t="s">
        <v>52</v>
      </c>
      <c r="J403" s="18" t="str">
        <f aca="false">IFERROR(INDEX(المرجع!$D$2:$D$19,MATCH($I403,المرجع!$E$2:$E$19,0)),"")</f>
        <v>الحوكمة</v>
      </c>
      <c r="K403" s="20" t="s">
        <v>98</v>
      </c>
      <c r="L403" s="21" t="str">
        <f aca="false">IFERROR(INDEX('نقاط التحقق'!$G$2:$G$31,MATCH($K403,'نقاط التحقق'!$A$2:$A$31,0))&amp;"","")</f>
        <v>سياسات معتمدة للتي تملكها الوحدة التنظيمية</v>
      </c>
      <c r="M403" s="17" t="n">
        <v>45</v>
      </c>
      <c r="N403" s="17" t="n">
        <v>100</v>
      </c>
      <c r="O403" s="19" t="str">
        <f aca="false">IF($M403="","غير مقيّمة",IF($M403&gt;المرجع!$K$3,"مستوفاة بشكل متقدم",IF($M403&lt;=المرجع!$K$2,"مستوفاة بشكل أولي","مستوفاة بشكل جزئي")))</f>
        <v>مستوفاة بشكل جزئي</v>
      </c>
      <c r="P403" s="22"/>
    </row>
    <row r="404" customFormat="false" ht="15" hidden="false" customHeight="true" outlineLevel="0" collapsed="false">
      <c r="A404" s="20" t="s">
        <v>1218</v>
      </c>
      <c r="B404" s="20" t="s">
        <v>222</v>
      </c>
      <c r="C404" s="19" t="str">
        <f aca="false">IFERROR(INDEX('قائمة الوحدات'!$B$2:$B$41,MATCH($B404,'قائمة الوحدات'!$A$2:$A$41,0)),"")</f>
        <v>MIL</v>
      </c>
      <c r="D404" s="18" t="str">
        <f aca="false">IFERROR(INDEX('قائمة الوحدات'!$C$2:$C$41,MATCH($B404,'قائمة الوحدات'!$A$2:$A$41,0)),"")</f>
        <v>الجهاز العسكري</v>
      </c>
      <c r="E404" s="18" t="str">
        <f aca="false">IFERROR(INDEX('قائمة الوحدات'!$D$2:$D$41,MATCH($B404,'قائمة الوحدات'!$A$2:$A$41,0)),"")</f>
        <v>الإدارة العامة للقوى البشرية العسكرية</v>
      </c>
      <c r="F404" s="18" t="str">
        <f aca="false">IFERROR(INDEX('قائمة الوحدات'!$F$2:$F$41,MATCH($B404,'قائمة الوحدات'!$A$2:$A$41,0)),"")</f>
        <v>الإدارة العامة للقوى البشرية العسكرية</v>
      </c>
      <c r="G404" s="20" t="s">
        <v>62</v>
      </c>
      <c r="H404" s="18" t="str">
        <f aca="false">IFERROR(INDEX(المرجع!$A$2:$A$19,MATCH($G404,المرجع!$B$2:$B$19,0)),"")</f>
        <v>البناء المؤسسي</v>
      </c>
      <c r="I404" s="20" t="s">
        <v>52</v>
      </c>
      <c r="J404" s="18" t="str">
        <f aca="false">IFERROR(INDEX(المرجع!$D$2:$D$19,MATCH($I404,المرجع!$E$2:$E$19,0)),"")</f>
        <v>الحوكمة</v>
      </c>
      <c r="K404" s="20" t="s">
        <v>100</v>
      </c>
      <c r="L404" s="21" t="str">
        <f aca="false">IFERROR(INDEX('نقاط التحقق'!$G$2:$G$31,MATCH($K404,'نقاط التحقق'!$A$2:$A$31,0))&amp;"","")</f>
        <v>قرار تشكيل معتمد للجان ذات العلاقة</v>
      </c>
      <c r="M404" s="17" t="n">
        <v>50</v>
      </c>
      <c r="N404" s="17" t="n">
        <v>80</v>
      </c>
      <c r="O404" s="19" t="str">
        <f aca="false">IF($M404="","غير مقيّمة",IF($M404&gt;المرجع!$K$3,"مستوفاة بشكل متقدم",IF($M404&lt;=المرجع!$K$2,"مستوفاة بشكل أولي","مستوفاة بشكل جزئي")))</f>
        <v>مستوفاة بشكل جزئي</v>
      </c>
      <c r="P404" s="22"/>
    </row>
    <row r="405" customFormat="false" ht="15" hidden="false" customHeight="true" outlineLevel="0" collapsed="false">
      <c r="A405" s="20" t="s">
        <v>1219</v>
      </c>
      <c r="B405" s="20" t="s">
        <v>222</v>
      </c>
      <c r="C405" s="19" t="str">
        <f aca="false">IFERROR(INDEX('قائمة الوحدات'!$B$2:$B$41,MATCH($B405,'قائمة الوحدات'!$A$2:$A$41,0)),"")</f>
        <v>MIL</v>
      </c>
      <c r="D405" s="18" t="str">
        <f aca="false">IFERROR(INDEX('قائمة الوحدات'!$C$2:$C$41,MATCH($B405,'قائمة الوحدات'!$A$2:$A$41,0)),"")</f>
        <v>الجهاز العسكري</v>
      </c>
      <c r="E405" s="18" t="str">
        <f aca="false">IFERROR(INDEX('قائمة الوحدات'!$D$2:$D$41,MATCH($B405,'قائمة الوحدات'!$A$2:$A$41,0)),"")</f>
        <v>الإدارة العامة للقوى البشرية العسكرية</v>
      </c>
      <c r="F405" s="18" t="str">
        <f aca="false">IFERROR(INDEX('قائمة الوحدات'!$F$2:$F$41,MATCH($B405,'قائمة الوحدات'!$A$2:$A$41,0)),"")</f>
        <v>الإدارة العامة للقوى البشرية العسكرية</v>
      </c>
      <c r="G405" s="20" t="s">
        <v>62</v>
      </c>
      <c r="H405" s="18" t="str">
        <f aca="false">IFERROR(INDEX(المرجع!$A$2:$A$19,MATCH($G405,المرجع!$B$2:$B$19,0)),"")</f>
        <v>البناء المؤسسي</v>
      </c>
      <c r="I405" s="20" t="s">
        <v>55</v>
      </c>
      <c r="J405" s="18" t="str">
        <f aca="false">IFERROR(INDEX(المرجع!$D$2:$D$19,MATCH($I405,المرجع!$E$2:$E$19,0)),"")</f>
        <v>التنظيم</v>
      </c>
      <c r="K405" s="20" t="s">
        <v>102</v>
      </c>
      <c r="L405" s="21" t="str">
        <f aca="false">IFERROR(INDEX('نقاط التحقق'!$G$2:$G$31,MATCH($K405,'نقاط التحقق'!$A$2:$A$31,0))&amp;"","")</f>
        <v>هيكل تنظيمي معتمد من صاحب الصلاحية</v>
      </c>
      <c r="M405" s="17" t="n">
        <v>35</v>
      </c>
      <c r="N405" s="17" t="n">
        <v>90</v>
      </c>
      <c r="O405" s="19" t="str">
        <f aca="false">IF($M405="","غير مقيّمة",IF($M405&gt;المرجع!$K$3,"مستوفاة بشكل متقدم",IF($M405&lt;=المرجع!$K$2,"مستوفاة بشكل أولي","مستوفاة بشكل جزئي")))</f>
        <v>مستوفاة بشكل جزئي</v>
      </c>
      <c r="P405" s="22"/>
    </row>
    <row r="406" customFormat="false" ht="15" hidden="false" customHeight="true" outlineLevel="0" collapsed="false">
      <c r="A406" s="20" t="s">
        <v>1220</v>
      </c>
      <c r="B406" s="20" t="s">
        <v>222</v>
      </c>
      <c r="C406" s="19" t="str">
        <f aca="false">IFERROR(INDEX('قائمة الوحدات'!$B$2:$B$41,MATCH($B406,'قائمة الوحدات'!$A$2:$A$41,0)),"")</f>
        <v>MIL</v>
      </c>
      <c r="D406" s="18" t="str">
        <f aca="false">IFERROR(INDEX('قائمة الوحدات'!$C$2:$C$41,MATCH($B406,'قائمة الوحدات'!$A$2:$A$41,0)),"")</f>
        <v>الجهاز العسكري</v>
      </c>
      <c r="E406" s="18" t="str">
        <f aca="false">IFERROR(INDEX('قائمة الوحدات'!$D$2:$D$41,MATCH($B406,'قائمة الوحدات'!$A$2:$A$41,0)),"")</f>
        <v>الإدارة العامة للقوى البشرية العسكرية</v>
      </c>
      <c r="F406" s="18" t="str">
        <f aca="false">IFERROR(INDEX('قائمة الوحدات'!$F$2:$F$41,MATCH($B406,'قائمة الوحدات'!$A$2:$A$41,0)),"")</f>
        <v>الإدارة العامة للقوى البشرية العسكرية</v>
      </c>
      <c r="G406" s="20" t="s">
        <v>62</v>
      </c>
      <c r="H406" s="18" t="str">
        <f aca="false">IFERROR(INDEX(المرجع!$A$2:$A$19,MATCH($G406,المرجع!$B$2:$B$19,0)),"")</f>
        <v>البناء المؤسسي</v>
      </c>
      <c r="I406" s="20" t="s">
        <v>55</v>
      </c>
      <c r="J406" s="18" t="str">
        <f aca="false">IFERROR(INDEX(المرجع!$D$2:$D$19,MATCH($I406,المرجع!$E$2:$E$19,0)),"")</f>
        <v>التنظيم</v>
      </c>
      <c r="K406" s="20" t="s">
        <v>104</v>
      </c>
      <c r="L406" s="21" t="str">
        <f aca="false">IFERROR(INDEX('نقاط التحقق'!$G$2:$G$31,MATCH($K406,'نقاط التحقق'!$A$2:$A$31,0))&amp;"","")</f>
        <v>هيكل تنظيمي منشأ على نظام القوى العاملة</v>
      </c>
      <c r="M406" s="17" t="n">
        <v>30</v>
      </c>
      <c r="N406" s="17" t="n">
        <v>95</v>
      </c>
      <c r="O406" s="19" t="str">
        <f aca="false">IF($M406="","غير مقيّمة",IF($M406&gt;المرجع!$K$3,"مستوفاة بشكل متقدم",IF($M406&lt;=المرجع!$K$2,"مستوفاة بشكل أولي","مستوفاة بشكل جزئي")))</f>
        <v>مستوفاة بشكل أولي</v>
      </c>
      <c r="P406" s="22"/>
    </row>
    <row r="407" customFormat="false" ht="15" hidden="false" customHeight="true" outlineLevel="0" collapsed="false">
      <c r="A407" s="20" t="s">
        <v>1221</v>
      </c>
      <c r="B407" s="20" t="s">
        <v>222</v>
      </c>
      <c r="C407" s="19" t="str">
        <f aca="false">IFERROR(INDEX('قائمة الوحدات'!$B$2:$B$41,MATCH($B407,'قائمة الوحدات'!$A$2:$A$41,0)),"")</f>
        <v>MIL</v>
      </c>
      <c r="D407" s="18" t="str">
        <f aca="false">IFERROR(INDEX('قائمة الوحدات'!$C$2:$C$41,MATCH($B407,'قائمة الوحدات'!$A$2:$A$41,0)),"")</f>
        <v>الجهاز العسكري</v>
      </c>
      <c r="E407" s="18" t="str">
        <f aca="false">IFERROR(INDEX('قائمة الوحدات'!$D$2:$D$41,MATCH($B407,'قائمة الوحدات'!$A$2:$A$41,0)),"")</f>
        <v>الإدارة العامة للقوى البشرية العسكرية</v>
      </c>
      <c r="F407" s="18" t="str">
        <f aca="false">IFERROR(INDEX('قائمة الوحدات'!$F$2:$F$41,MATCH($B407,'قائمة الوحدات'!$A$2:$A$41,0)),"")</f>
        <v>الإدارة العامة للقوى البشرية العسكرية</v>
      </c>
      <c r="G407" s="20" t="s">
        <v>62</v>
      </c>
      <c r="H407" s="18" t="str">
        <f aca="false">IFERROR(INDEX(المرجع!$A$2:$A$19,MATCH($G407,المرجع!$B$2:$B$19,0)),"")</f>
        <v>البناء المؤسسي</v>
      </c>
      <c r="I407" s="20" t="s">
        <v>55</v>
      </c>
      <c r="J407" s="18" t="str">
        <f aca="false">IFERROR(INDEX(المرجع!$D$2:$D$19,MATCH($I407,المرجع!$E$2:$E$19,0)),"")</f>
        <v>التنظيم</v>
      </c>
      <c r="K407" s="20" t="s">
        <v>106</v>
      </c>
      <c r="L407" s="21" t="str">
        <f aca="false">IFERROR(INDEX('نقاط التحقق'!$G$2:$G$31,MATCH($K407,'نقاط التحقق'!$A$2:$A$31,0))&amp;"","")</f>
        <v>الموظفون المحددون مسكّنون على الهيكل التنظيمي المستهدف</v>
      </c>
      <c r="M407" s="17" t="n">
        <v>50</v>
      </c>
      <c r="N407" s="17" t="n">
        <v>100</v>
      </c>
      <c r="O407" s="19" t="str">
        <f aca="false">IF($M407="","غير مقيّمة",IF($M407&gt;المرجع!$K$3,"مستوفاة بشكل متقدم",IF($M407&lt;=المرجع!$K$2,"مستوفاة بشكل أولي","مستوفاة بشكل جزئي")))</f>
        <v>مستوفاة بشكل جزئي</v>
      </c>
      <c r="P407" s="22"/>
    </row>
    <row r="408" customFormat="false" ht="15" hidden="false" customHeight="true" outlineLevel="0" collapsed="false">
      <c r="A408" s="20" t="s">
        <v>1222</v>
      </c>
      <c r="B408" s="20" t="s">
        <v>222</v>
      </c>
      <c r="C408" s="19" t="str">
        <f aca="false">IFERROR(INDEX('قائمة الوحدات'!$B$2:$B$41,MATCH($B408,'قائمة الوحدات'!$A$2:$A$41,0)),"")</f>
        <v>MIL</v>
      </c>
      <c r="D408" s="18" t="str">
        <f aca="false">IFERROR(INDEX('قائمة الوحدات'!$C$2:$C$41,MATCH($B408,'قائمة الوحدات'!$A$2:$A$41,0)),"")</f>
        <v>الجهاز العسكري</v>
      </c>
      <c r="E408" s="18" t="str">
        <f aca="false">IFERROR(INDEX('قائمة الوحدات'!$D$2:$D$41,MATCH($B408,'قائمة الوحدات'!$A$2:$A$41,0)),"")</f>
        <v>الإدارة العامة للقوى البشرية العسكرية</v>
      </c>
      <c r="F408" s="18" t="str">
        <f aca="false">IFERROR(INDEX('قائمة الوحدات'!$F$2:$F$41,MATCH($B408,'قائمة الوحدات'!$A$2:$A$41,0)),"")</f>
        <v>الإدارة العامة للقوى البشرية العسكرية</v>
      </c>
      <c r="G408" s="20" t="s">
        <v>62</v>
      </c>
      <c r="H408" s="18" t="str">
        <f aca="false">IFERROR(INDEX(المرجع!$A$2:$A$19,MATCH($G408,المرجع!$B$2:$B$19,0)),"")</f>
        <v>البناء المؤسسي</v>
      </c>
      <c r="I408" s="20" t="s">
        <v>57</v>
      </c>
      <c r="J408" s="18" t="str">
        <f aca="false">IFERROR(INDEX(المرجع!$D$2:$D$19,MATCH($I408,المرجع!$E$2:$E$19,0)),"")</f>
        <v>الموارد</v>
      </c>
      <c r="K408" s="20" t="s">
        <v>108</v>
      </c>
      <c r="L408" s="21" t="str">
        <f aca="false">IFERROR(INDEX('نقاط التحقق'!$G$2:$G$31,MATCH($K408,'نقاط التحقق'!$A$2:$A$31,0))&amp;"","")</f>
        <v>مدير الوحدة التنظيمية والموظفون الرئيسيون معينون/ملحقون</v>
      </c>
      <c r="M408" s="17" t="n">
        <v>80</v>
      </c>
      <c r="N408" s="17" t="n">
        <v>90</v>
      </c>
      <c r="O408" s="19" t="str">
        <f aca="false">IF($M408="","غير مقيّمة",IF($M408&gt;المرجع!$K$3,"مستوفاة بشكل متقدم",IF($M408&lt;=المرجع!$K$2,"مستوفاة بشكل أولي","مستوفاة بشكل جزئي")))</f>
        <v>مستوفاة بشكل متقدم</v>
      </c>
      <c r="P408" s="22"/>
    </row>
    <row r="409" customFormat="false" ht="15" hidden="false" customHeight="true" outlineLevel="0" collapsed="false">
      <c r="A409" s="20" t="s">
        <v>1223</v>
      </c>
      <c r="B409" s="20" t="s">
        <v>222</v>
      </c>
      <c r="C409" s="19" t="str">
        <f aca="false">IFERROR(INDEX('قائمة الوحدات'!$B$2:$B$41,MATCH($B409,'قائمة الوحدات'!$A$2:$A$41,0)),"")</f>
        <v>MIL</v>
      </c>
      <c r="D409" s="18" t="str">
        <f aca="false">IFERROR(INDEX('قائمة الوحدات'!$C$2:$C$41,MATCH($B409,'قائمة الوحدات'!$A$2:$A$41,0)),"")</f>
        <v>الجهاز العسكري</v>
      </c>
      <c r="E409" s="18" t="str">
        <f aca="false">IFERROR(INDEX('قائمة الوحدات'!$D$2:$D$41,MATCH($B409,'قائمة الوحدات'!$A$2:$A$41,0)),"")</f>
        <v>الإدارة العامة للقوى البشرية العسكرية</v>
      </c>
      <c r="F409" s="18" t="str">
        <f aca="false">IFERROR(INDEX('قائمة الوحدات'!$F$2:$F$41,MATCH($B409,'قائمة الوحدات'!$A$2:$A$41,0)),"")</f>
        <v>الإدارة العامة للقوى البشرية العسكرية</v>
      </c>
      <c r="G409" s="20" t="s">
        <v>62</v>
      </c>
      <c r="H409" s="18" t="str">
        <f aca="false">IFERROR(INDEX(المرجع!$A$2:$A$19,MATCH($G409,المرجع!$B$2:$B$19,0)),"")</f>
        <v>البناء المؤسسي</v>
      </c>
      <c r="I409" s="20" t="s">
        <v>57</v>
      </c>
      <c r="J409" s="18" t="str">
        <f aca="false">IFERROR(INDEX(المرجع!$D$2:$D$19,MATCH($I409,المرجع!$E$2:$E$19,0)),"")</f>
        <v>الموارد</v>
      </c>
      <c r="K409" s="20" t="s">
        <v>110</v>
      </c>
      <c r="L409" s="21" t="str">
        <f aca="false">IFERROR(INDEX('نقاط التحقق'!$G$2:$G$31,MATCH($K409,'نقاط التحقق'!$A$2:$A$31,0))&amp;"","")</f>
        <v>خطة توظيف وتدريب مستكملة</v>
      </c>
      <c r="M409" s="17" t="n">
        <v>60</v>
      </c>
      <c r="N409" s="17" t="n">
        <v>100</v>
      </c>
      <c r="O409" s="19" t="str">
        <f aca="false">IF($M409="","غير مقيّمة",IF($M409&gt;المرجع!$K$3,"مستوفاة بشكل متقدم",IF($M409&lt;=المرجع!$K$2,"مستوفاة بشكل أولي","مستوفاة بشكل جزئي")))</f>
        <v>مستوفاة بشكل جزئي</v>
      </c>
      <c r="P409" s="22"/>
    </row>
    <row r="410" customFormat="false" ht="15" hidden="false" customHeight="true" outlineLevel="0" collapsed="false">
      <c r="A410" s="20" t="s">
        <v>1224</v>
      </c>
      <c r="B410" s="20" t="s">
        <v>222</v>
      </c>
      <c r="C410" s="19" t="str">
        <f aca="false">IFERROR(INDEX('قائمة الوحدات'!$B$2:$B$41,MATCH($B410,'قائمة الوحدات'!$A$2:$A$41,0)),"")</f>
        <v>MIL</v>
      </c>
      <c r="D410" s="18" t="str">
        <f aca="false">IFERROR(INDEX('قائمة الوحدات'!$C$2:$C$41,MATCH($B410,'قائمة الوحدات'!$A$2:$A$41,0)),"")</f>
        <v>الجهاز العسكري</v>
      </c>
      <c r="E410" s="18" t="str">
        <f aca="false">IFERROR(INDEX('قائمة الوحدات'!$D$2:$D$41,MATCH($B410,'قائمة الوحدات'!$A$2:$A$41,0)),"")</f>
        <v>الإدارة العامة للقوى البشرية العسكرية</v>
      </c>
      <c r="F410" s="18" t="str">
        <f aca="false">IFERROR(INDEX('قائمة الوحدات'!$F$2:$F$41,MATCH($B410,'قائمة الوحدات'!$A$2:$A$41,0)),"")</f>
        <v>الإدارة العامة للقوى البشرية العسكرية</v>
      </c>
      <c r="G410" s="20" t="s">
        <v>62</v>
      </c>
      <c r="H410" s="18" t="str">
        <f aca="false">IFERROR(INDEX(المرجع!$A$2:$A$19,MATCH($G410,المرجع!$B$2:$B$19,0)),"")</f>
        <v>البناء المؤسسي</v>
      </c>
      <c r="I410" s="20" t="s">
        <v>57</v>
      </c>
      <c r="J410" s="18" t="str">
        <f aca="false">IFERROR(INDEX(المرجع!$D$2:$D$19,MATCH($I410,المرجع!$E$2:$E$19,0)),"")</f>
        <v>الموارد</v>
      </c>
      <c r="K410" s="20" t="s">
        <v>112</v>
      </c>
      <c r="L410" s="21" t="str">
        <f aca="false">IFERROR(INDEX('نقاط التحقق'!$G$2:$G$31,MATCH($K410,'نقاط التحقق'!$A$2:$A$31,0))&amp;"","")</f>
        <v>وجود مساحات مكتبية كافية</v>
      </c>
      <c r="M410" s="17" t="n">
        <v>80</v>
      </c>
      <c r="N410" s="17" t="n">
        <v>80</v>
      </c>
      <c r="O410" s="19" t="str">
        <f aca="false">IF($M410="","غير مقيّمة",IF($M410&gt;المرجع!$K$3,"مستوفاة بشكل متقدم",IF($M410&lt;=المرجع!$K$2,"مستوفاة بشكل أولي","مستوفاة بشكل جزئي")))</f>
        <v>مستوفاة بشكل متقدم</v>
      </c>
      <c r="P410" s="22"/>
    </row>
    <row r="411" customFormat="false" ht="15" hidden="false" customHeight="true" outlineLevel="0" collapsed="false">
      <c r="A411" s="20" t="s">
        <v>1225</v>
      </c>
      <c r="B411" s="20" t="s">
        <v>222</v>
      </c>
      <c r="C411" s="19" t="str">
        <f aca="false">IFERROR(INDEX('قائمة الوحدات'!$B$2:$B$41,MATCH($B411,'قائمة الوحدات'!$A$2:$A$41,0)),"")</f>
        <v>MIL</v>
      </c>
      <c r="D411" s="18" t="str">
        <f aca="false">IFERROR(INDEX('قائمة الوحدات'!$C$2:$C$41,MATCH($B411,'قائمة الوحدات'!$A$2:$A$41,0)),"")</f>
        <v>الجهاز العسكري</v>
      </c>
      <c r="E411" s="18" t="str">
        <f aca="false">IFERROR(INDEX('قائمة الوحدات'!$D$2:$D$41,MATCH($B411,'قائمة الوحدات'!$A$2:$A$41,0)),"")</f>
        <v>الإدارة العامة للقوى البشرية العسكرية</v>
      </c>
      <c r="F411" s="18" t="str">
        <f aca="false">IFERROR(INDEX('قائمة الوحدات'!$F$2:$F$41,MATCH($B411,'قائمة الوحدات'!$A$2:$A$41,0)),"")</f>
        <v>الإدارة العامة للقوى البشرية العسكرية</v>
      </c>
      <c r="G411" s="20" t="s">
        <v>62</v>
      </c>
      <c r="H411" s="18" t="str">
        <f aca="false">IFERROR(INDEX(المرجع!$A$2:$A$19,MATCH($G411,المرجع!$B$2:$B$19,0)),"")</f>
        <v>البناء المؤسسي</v>
      </c>
      <c r="I411" s="20" t="s">
        <v>57</v>
      </c>
      <c r="J411" s="18" t="str">
        <f aca="false">IFERROR(INDEX(المرجع!$D$2:$D$19,MATCH($I411,المرجع!$E$2:$E$19,0)),"")</f>
        <v>الموارد</v>
      </c>
      <c r="K411" s="20" t="s">
        <v>114</v>
      </c>
      <c r="L411" s="21" t="str">
        <f aca="false">IFERROR(INDEX('نقاط التحقق'!$G$2:$G$31,MATCH($K411,'نقاط التحقق'!$A$2:$A$31,0))&amp;"","")</f>
        <v>وجود الاحتياجات التقنية الأساسية</v>
      </c>
      <c r="M411" s="17" t="n">
        <v>75</v>
      </c>
      <c r="N411" s="17" t="n">
        <v>90</v>
      </c>
      <c r="O411" s="19" t="str">
        <f aca="false">IF($M411="","غير مقيّمة",IF($M411&gt;المرجع!$K$3,"مستوفاة بشكل متقدم",IF($M411&lt;=المرجع!$K$2,"مستوفاة بشكل أولي","مستوفاة بشكل جزئي")))</f>
        <v>مستوفاة بشكل متقدم</v>
      </c>
      <c r="P411" s="22"/>
    </row>
    <row r="412" customFormat="false" ht="15" hidden="false" customHeight="true" outlineLevel="0" collapsed="false">
      <c r="A412" s="20" t="s">
        <v>1226</v>
      </c>
      <c r="B412" s="20" t="s">
        <v>222</v>
      </c>
      <c r="C412" s="19" t="str">
        <f aca="false">IFERROR(INDEX('قائمة الوحدات'!$B$2:$B$41,MATCH($B412,'قائمة الوحدات'!$A$2:$A$41,0)),"")</f>
        <v>MIL</v>
      </c>
      <c r="D412" s="18" t="str">
        <f aca="false">IFERROR(INDEX('قائمة الوحدات'!$C$2:$C$41,MATCH($B412,'قائمة الوحدات'!$A$2:$A$41,0)),"")</f>
        <v>الجهاز العسكري</v>
      </c>
      <c r="E412" s="18" t="str">
        <f aca="false">IFERROR(INDEX('قائمة الوحدات'!$D$2:$D$41,MATCH($B412,'قائمة الوحدات'!$A$2:$A$41,0)),"")</f>
        <v>الإدارة العامة للقوى البشرية العسكرية</v>
      </c>
      <c r="F412" s="18" t="str">
        <f aca="false">IFERROR(INDEX('قائمة الوحدات'!$F$2:$F$41,MATCH($B412,'قائمة الوحدات'!$A$2:$A$41,0)),"")</f>
        <v>الإدارة العامة للقوى البشرية العسكرية</v>
      </c>
      <c r="G412" s="20" t="s">
        <v>62</v>
      </c>
      <c r="H412" s="18" t="str">
        <f aca="false">IFERROR(INDEX(المرجع!$A$2:$A$19,MATCH($G412,المرجع!$B$2:$B$19,0)),"")</f>
        <v>البناء المؤسسي</v>
      </c>
      <c r="I412" s="20" t="s">
        <v>60</v>
      </c>
      <c r="J412" s="18" t="str">
        <f aca="false">IFERROR(INDEX(المرجع!$D$2:$D$19,MATCH($I412,المرجع!$E$2:$E$19,0)),"")</f>
        <v>الإجراءات</v>
      </c>
      <c r="K412" s="20" t="s">
        <v>116</v>
      </c>
      <c r="L412" s="21" t="str">
        <f aca="false">IFERROR(INDEX('نقاط التحقق'!$G$2:$G$31,MATCH($K412,'نقاط التحقق'!$A$2:$A$31,0))&amp;"","")</f>
        <v>إجراءات معتمدة للوحدة التنظيمية</v>
      </c>
      <c r="M412" s="17" t="n">
        <v>87</v>
      </c>
      <c r="N412" s="17" t="n">
        <v>87</v>
      </c>
      <c r="O412" s="19" t="str">
        <f aca="false">IF($M412="","غير مقيّمة",IF($M412&gt;المرجع!$K$3,"مستوفاة بشكل متقدم",IF($M412&lt;=المرجع!$K$2,"مستوفاة بشكل أولي","مستوفاة بشكل جزئي")))</f>
        <v>مستوفاة بشكل متقدم</v>
      </c>
      <c r="P412" s="22"/>
    </row>
    <row r="413" customFormat="false" ht="15" hidden="false" customHeight="true" outlineLevel="0" collapsed="false">
      <c r="A413" s="20" t="s">
        <v>1227</v>
      </c>
      <c r="B413" s="20" t="s">
        <v>222</v>
      </c>
      <c r="C413" s="19" t="str">
        <f aca="false">IFERROR(INDEX('قائمة الوحدات'!$B$2:$B$41,MATCH($B413,'قائمة الوحدات'!$A$2:$A$41,0)),"")</f>
        <v>MIL</v>
      </c>
      <c r="D413" s="18" t="str">
        <f aca="false">IFERROR(INDEX('قائمة الوحدات'!$C$2:$C$41,MATCH($B413,'قائمة الوحدات'!$A$2:$A$41,0)),"")</f>
        <v>الجهاز العسكري</v>
      </c>
      <c r="E413" s="18" t="str">
        <f aca="false">IFERROR(INDEX('قائمة الوحدات'!$D$2:$D$41,MATCH($B413,'قائمة الوحدات'!$A$2:$A$41,0)),"")</f>
        <v>الإدارة العامة للقوى البشرية العسكرية</v>
      </c>
      <c r="F413" s="18" t="str">
        <f aca="false">IFERROR(INDEX('قائمة الوحدات'!$F$2:$F$41,MATCH($B413,'قائمة الوحدات'!$A$2:$A$41,0)),"")</f>
        <v>الإدارة العامة للقوى البشرية العسكرية</v>
      </c>
      <c r="G413" s="20" t="s">
        <v>62</v>
      </c>
      <c r="H413" s="18" t="str">
        <f aca="false">IFERROR(INDEX(المرجع!$A$2:$A$19,MATCH($G413,المرجع!$B$2:$B$19,0)),"")</f>
        <v>البناء المؤسسي</v>
      </c>
      <c r="I413" s="20" t="s">
        <v>69</v>
      </c>
      <c r="J413" s="18" t="str">
        <f aca="false">IFERROR(INDEX(المرجع!$D$2:$D$19,MATCH($I413,المرجع!$E$2:$E$19,0)),"")</f>
        <v>إنتاج المخرج الأول</v>
      </c>
      <c r="K413" s="20" t="s">
        <v>118</v>
      </c>
      <c r="L413" s="21" t="str">
        <f aca="false">IFERROR(INDEX('نقاط التحقق'!$G$2:$G$31,MATCH($K413,'نقاط التحقق'!$A$2:$A$31,0))&amp;"","")</f>
        <v>إنتاج المخرج الأول من قبل الوحدة التنظيمية</v>
      </c>
      <c r="M413" s="17" t="n">
        <v>51</v>
      </c>
      <c r="N413" s="17" t="n">
        <v>80</v>
      </c>
      <c r="O413" s="19" t="str">
        <f aca="false">IF($M413="","غير مقيّمة",IF($M413&gt;المرجع!$K$3,"مستوفاة بشكل متقدم",IF($M413&lt;=المرجع!$K$2,"مستوفاة بشكل أولي","مستوفاة بشكل جزئي")))</f>
        <v>مستوفاة بشكل جزئي</v>
      </c>
      <c r="P413" s="22"/>
    </row>
    <row r="414" customFormat="false" ht="15" hidden="false" customHeight="true" outlineLevel="0" collapsed="false">
      <c r="A414" s="20" t="s">
        <v>1228</v>
      </c>
      <c r="B414" s="20" t="s">
        <v>222</v>
      </c>
      <c r="C414" s="19" t="str">
        <f aca="false">IFERROR(INDEX('قائمة الوحدات'!$B$2:$B$41,MATCH($B414,'قائمة الوحدات'!$A$2:$A$41,0)),"")</f>
        <v>MIL</v>
      </c>
      <c r="D414" s="18" t="str">
        <f aca="false">IFERROR(INDEX('قائمة الوحدات'!$C$2:$C$41,MATCH($B414,'قائمة الوحدات'!$A$2:$A$41,0)),"")</f>
        <v>الجهاز العسكري</v>
      </c>
      <c r="E414" s="18" t="str">
        <f aca="false">IFERROR(INDEX('قائمة الوحدات'!$D$2:$D$41,MATCH($B414,'قائمة الوحدات'!$A$2:$A$41,0)),"")</f>
        <v>الإدارة العامة للقوى البشرية العسكرية</v>
      </c>
      <c r="F414" s="18" t="str">
        <f aca="false">IFERROR(INDEX('قائمة الوحدات'!$F$2:$F$41,MATCH($B414,'قائمة الوحدات'!$A$2:$A$41,0)),"")</f>
        <v>الإدارة العامة للقوى البشرية العسكرية</v>
      </c>
      <c r="G414" s="20" t="s">
        <v>66</v>
      </c>
      <c r="H414" s="18" t="str">
        <f aca="false">IFERROR(INDEX(المرجع!$A$2:$A$19,MATCH($G414,المرجع!$B$2:$B$19,0)),"")</f>
        <v>التشغيل</v>
      </c>
      <c r="I414" s="20" t="s">
        <v>49</v>
      </c>
      <c r="J414" s="18" t="str">
        <f aca="false">IFERROR(INDEX(المرجع!$D$2:$D$19,MATCH($I414,المرجع!$E$2:$E$19,0)),"")</f>
        <v>الأهداف ومؤشرات الأداء</v>
      </c>
      <c r="K414" s="20" t="s">
        <v>120</v>
      </c>
      <c r="L414" s="21" t="str">
        <f aca="false">IFERROR(INDEX('نقاط التحقق'!$G$2:$G$31,MATCH($K414,'نقاط التحقق'!$A$2:$A$31,0))&amp;"","")</f>
        <v>تحرك مؤشرات الأداء التشغيلي للوحدة التنظيمية بشكل إيجابي</v>
      </c>
      <c r="M414" s="17" t="n">
        <v>70</v>
      </c>
      <c r="N414" s="17" t="n">
        <v>100</v>
      </c>
      <c r="O414" s="19" t="str">
        <f aca="false">IF($M414="","غير مقيّمة",IF($M414&gt;المرجع!$K$3,"مستوفاة بشكل متقدم",IF($M414&lt;=المرجع!$K$2,"مستوفاة بشكل أولي","مستوفاة بشكل جزئي")))</f>
        <v>مستوفاة بشكل جزئي</v>
      </c>
      <c r="P414" s="22"/>
    </row>
    <row r="415" customFormat="false" ht="15" hidden="false" customHeight="true" outlineLevel="0" collapsed="false">
      <c r="A415" s="20" t="s">
        <v>1229</v>
      </c>
      <c r="B415" s="20" t="s">
        <v>222</v>
      </c>
      <c r="C415" s="19" t="str">
        <f aca="false">IFERROR(INDEX('قائمة الوحدات'!$B$2:$B$41,MATCH($B415,'قائمة الوحدات'!$A$2:$A$41,0)),"")</f>
        <v>MIL</v>
      </c>
      <c r="D415" s="18" t="str">
        <f aca="false">IFERROR(INDEX('قائمة الوحدات'!$C$2:$C$41,MATCH($B415,'قائمة الوحدات'!$A$2:$A$41,0)),"")</f>
        <v>الجهاز العسكري</v>
      </c>
      <c r="E415" s="18" t="str">
        <f aca="false">IFERROR(INDEX('قائمة الوحدات'!$D$2:$D$41,MATCH($B415,'قائمة الوحدات'!$A$2:$A$41,0)),"")</f>
        <v>الإدارة العامة للقوى البشرية العسكرية</v>
      </c>
      <c r="F415" s="18" t="str">
        <f aca="false">IFERROR(INDEX('قائمة الوحدات'!$F$2:$F$41,MATCH($B415,'قائمة الوحدات'!$A$2:$A$41,0)),"")</f>
        <v>الإدارة العامة للقوى البشرية العسكرية</v>
      </c>
      <c r="G415" s="20" t="s">
        <v>66</v>
      </c>
      <c r="H415" s="18" t="str">
        <f aca="false">IFERROR(INDEX(المرجع!$A$2:$A$19,MATCH($G415,المرجع!$B$2:$B$19,0)),"")</f>
        <v>التشغيل</v>
      </c>
      <c r="I415" s="20" t="s">
        <v>49</v>
      </c>
      <c r="J415" s="18" t="str">
        <f aca="false">IFERROR(INDEX(المرجع!$D$2:$D$19,MATCH($I415,المرجع!$E$2:$E$19,0)),"")</f>
        <v>الأهداف ومؤشرات الأداء</v>
      </c>
      <c r="K415" s="20" t="s">
        <v>122</v>
      </c>
      <c r="L415" s="21" t="str">
        <f aca="false">IFERROR(INDEX('نقاط التحقق'!$G$2:$G$31,MATCH($K415,'نقاط التحقق'!$A$2:$A$31,0))&amp;"","")</f>
        <v>خطة سنوية معتمدة للوحدة التنظيمية</v>
      </c>
      <c r="M415" s="17" t="n">
        <v>60</v>
      </c>
      <c r="N415" s="17" t="n">
        <v>100</v>
      </c>
      <c r="O415" s="19" t="str">
        <f aca="false">IF($M415="","غير مقيّمة",IF($M415&gt;المرجع!$K$3,"مستوفاة بشكل متقدم",IF($M415&lt;=المرجع!$K$2,"مستوفاة بشكل أولي","مستوفاة بشكل جزئي")))</f>
        <v>مستوفاة بشكل جزئي</v>
      </c>
      <c r="P415" s="22"/>
    </row>
    <row r="416" customFormat="false" ht="15" hidden="false" customHeight="true" outlineLevel="0" collapsed="false">
      <c r="A416" s="20" t="s">
        <v>1230</v>
      </c>
      <c r="B416" s="20" t="s">
        <v>222</v>
      </c>
      <c r="C416" s="19" t="str">
        <f aca="false">IFERROR(INDEX('قائمة الوحدات'!$B$2:$B$41,MATCH($B416,'قائمة الوحدات'!$A$2:$A$41,0)),"")</f>
        <v>MIL</v>
      </c>
      <c r="D416" s="18" t="str">
        <f aca="false">IFERROR(INDEX('قائمة الوحدات'!$C$2:$C$41,MATCH($B416,'قائمة الوحدات'!$A$2:$A$41,0)),"")</f>
        <v>الجهاز العسكري</v>
      </c>
      <c r="E416" s="18" t="str">
        <f aca="false">IFERROR(INDEX('قائمة الوحدات'!$D$2:$D$41,MATCH($B416,'قائمة الوحدات'!$A$2:$A$41,0)),"")</f>
        <v>الإدارة العامة للقوى البشرية العسكرية</v>
      </c>
      <c r="F416" s="18" t="str">
        <f aca="false">IFERROR(INDEX('قائمة الوحدات'!$F$2:$F$41,MATCH($B416,'قائمة الوحدات'!$A$2:$A$41,0)),"")</f>
        <v>الإدارة العامة للقوى البشرية العسكرية</v>
      </c>
      <c r="G416" s="20" t="s">
        <v>66</v>
      </c>
      <c r="H416" s="18" t="str">
        <f aca="false">IFERROR(INDEX(المرجع!$A$2:$A$19,MATCH($G416,المرجع!$B$2:$B$19,0)),"")</f>
        <v>التشغيل</v>
      </c>
      <c r="I416" s="20" t="s">
        <v>52</v>
      </c>
      <c r="J416" s="18" t="str">
        <f aca="false">IFERROR(INDEX(المرجع!$D$2:$D$19,MATCH($I416,المرجع!$E$2:$E$19,0)),"")</f>
        <v>الحوكمة</v>
      </c>
      <c r="K416" s="20" t="s">
        <v>124</v>
      </c>
      <c r="L416" s="21" t="str">
        <f aca="false">IFERROR(INDEX('نقاط التحقق'!$G$2:$G$31,MATCH($K416,'نقاط التحقق'!$A$2:$A$31,0))&amp;"","")</f>
        <v>محاضر لجان موثقة</v>
      </c>
      <c r="M416" s="17" t="n">
        <v>40</v>
      </c>
      <c r="N416" s="17" t="n">
        <v>90</v>
      </c>
      <c r="O416" s="19" t="str">
        <f aca="false">IF($M416="","غير مقيّمة",IF($M416&gt;المرجع!$K$3,"مستوفاة بشكل متقدم",IF($M416&lt;=المرجع!$K$2,"مستوفاة بشكل أولي","مستوفاة بشكل جزئي")))</f>
        <v>مستوفاة بشكل جزئي</v>
      </c>
      <c r="P416" s="22"/>
    </row>
    <row r="417" customFormat="false" ht="15" hidden="false" customHeight="true" outlineLevel="0" collapsed="false">
      <c r="A417" s="20" t="s">
        <v>1231</v>
      </c>
      <c r="B417" s="20" t="s">
        <v>222</v>
      </c>
      <c r="C417" s="19" t="str">
        <f aca="false">IFERROR(INDEX('قائمة الوحدات'!$B$2:$B$41,MATCH($B417,'قائمة الوحدات'!$A$2:$A$41,0)),"")</f>
        <v>MIL</v>
      </c>
      <c r="D417" s="18" t="str">
        <f aca="false">IFERROR(INDEX('قائمة الوحدات'!$C$2:$C$41,MATCH($B417,'قائمة الوحدات'!$A$2:$A$41,0)),"")</f>
        <v>الجهاز العسكري</v>
      </c>
      <c r="E417" s="18" t="str">
        <f aca="false">IFERROR(INDEX('قائمة الوحدات'!$D$2:$D$41,MATCH($B417,'قائمة الوحدات'!$A$2:$A$41,0)),"")</f>
        <v>الإدارة العامة للقوى البشرية العسكرية</v>
      </c>
      <c r="F417" s="18" t="str">
        <f aca="false">IFERROR(INDEX('قائمة الوحدات'!$F$2:$F$41,MATCH($B417,'قائمة الوحدات'!$A$2:$A$41,0)),"")</f>
        <v>الإدارة العامة للقوى البشرية العسكرية</v>
      </c>
      <c r="G417" s="20" t="s">
        <v>66</v>
      </c>
      <c r="H417" s="18" t="str">
        <f aca="false">IFERROR(INDEX(المرجع!$A$2:$A$19,MATCH($G417,المرجع!$B$2:$B$19,0)),"")</f>
        <v>التشغيل</v>
      </c>
      <c r="I417" s="20" t="s">
        <v>52</v>
      </c>
      <c r="J417" s="18" t="str">
        <f aca="false">IFERROR(INDEX(المرجع!$D$2:$D$19,MATCH($I417,المرجع!$E$2:$E$19,0)),"")</f>
        <v>الحوكمة</v>
      </c>
      <c r="K417" s="20" t="s">
        <v>126</v>
      </c>
      <c r="L417" s="21" t="str">
        <f aca="false">IFERROR(INDEX('نقاط التحقق'!$G$2:$G$31,MATCH($K417,'نقاط التحقق'!$A$2:$A$31,0))&amp;"","")</f>
        <v>نشر السياسات التي تملكها الوحدة التنظيمية</v>
      </c>
      <c r="M417" s="17" t="n">
        <v>55</v>
      </c>
      <c r="N417" s="17" t="n">
        <v>100</v>
      </c>
      <c r="O417" s="19" t="str">
        <f aca="false">IF($M417="","غير مقيّمة",IF($M417&gt;المرجع!$K$3,"مستوفاة بشكل متقدم",IF($M417&lt;=المرجع!$K$2,"مستوفاة بشكل أولي","مستوفاة بشكل جزئي")))</f>
        <v>مستوفاة بشكل جزئي</v>
      </c>
      <c r="P417" s="22"/>
    </row>
    <row r="418" customFormat="false" ht="15" hidden="false" customHeight="true" outlineLevel="0" collapsed="false">
      <c r="A418" s="20" t="s">
        <v>1232</v>
      </c>
      <c r="B418" s="20" t="s">
        <v>222</v>
      </c>
      <c r="C418" s="19" t="str">
        <f aca="false">IFERROR(INDEX('قائمة الوحدات'!$B$2:$B$41,MATCH($B418,'قائمة الوحدات'!$A$2:$A$41,0)),"")</f>
        <v>MIL</v>
      </c>
      <c r="D418" s="18" t="str">
        <f aca="false">IFERROR(INDEX('قائمة الوحدات'!$C$2:$C$41,MATCH($B418,'قائمة الوحدات'!$A$2:$A$41,0)),"")</f>
        <v>الجهاز العسكري</v>
      </c>
      <c r="E418" s="18" t="str">
        <f aca="false">IFERROR(INDEX('قائمة الوحدات'!$D$2:$D$41,MATCH($B418,'قائمة الوحدات'!$A$2:$A$41,0)),"")</f>
        <v>الإدارة العامة للقوى البشرية العسكرية</v>
      </c>
      <c r="F418" s="18" t="str">
        <f aca="false">IFERROR(INDEX('قائمة الوحدات'!$F$2:$F$41,MATCH($B418,'قائمة الوحدات'!$A$2:$A$41,0)),"")</f>
        <v>الإدارة العامة للقوى البشرية العسكرية</v>
      </c>
      <c r="G418" s="20" t="s">
        <v>66</v>
      </c>
      <c r="H418" s="18" t="str">
        <f aca="false">IFERROR(INDEX(المرجع!$A$2:$A$19,MATCH($G418,المرجع!$B$2:$B$19,0)),"")</f>
        <v>التشغيل</v>
      </c>
      <c r="I418" s="20" t="s">
        <v>52</v>
      </c>
      <c r="J418" s="18" t="str">
        <f aca="false">IFERROR(INDEX(المرجع!$D$2:$D$19,MATCH($I418,المرجع!$E$2:$E$19,0)),"")</f>
        <v>الحوكمة</v>
      </c>
      <c r="K418" s="20" t="s">
        <v>128</v>
      </c>
      <c r="L418" s="21" t="str">
        <f aca="false">IFERROR(INDEX('نقاط التحقق'!$G$2:$G$31,MATCH($K418,'نقاط التحقق'!$A$2:$A$31,0))&amp;"","")</f>
        <v>اتخاذ القرارات في نطاق الصلاحيات (وجود شواهد)</v>
      </c>
      <c r="M418" s="17" t="n">
        <v>70</v>
      </c>
      <c r="N418" s="17" t="n">
        <v>85</v>
      </c>
      <c r="O418" s="19" t="str">
        <f aca="false">IF($M418="","غير مقيّمة",IF($M418&gt;المرجع!$K$3,"مستوفاة بشكل متقدم",IF($M418&lt;=المرجع!$K$2,"مستوفاة بشكل أولي","مستوفاة بشكل جزئي")))</f>
        <v>مستوفاة بشكل جزئي</v>
      </c>
      <c r="P418" s="22"/>
    </row>
    <row r="419" customFormat="false" ht="15" hidden="false" customHeight="true" outlineLevel="0" collapsed="false">
      <c r="A419" s="20" t="s">
        <v>1233</v>
      </c>
      <c r="B419" s="20" t="s">
        <v>222</v>
      </c>
      <c r="C419" s="19" t="str">
        <f aca="false">IFERROR(INDEX('قائمة الوحدات'!$B$2:$B$41,MATCH($B419,'قائمة الوحدات'!$A$2:$A$41,0)),"")</f>
        <v>MIL</v>
      </c>
      <c r="D419" s="18" t="str">
        <f aca="false">IFERROR(INDEX('قائمة الوحدات'!$C$2:$C$41,MATCH($B419,'قائمة الوحدات'!$A$2:$A$41,0)),"")</f>
        <v>الجهاز العسكري</v>
      </c>
      <c r="E419" s="18" t="str">
        <f aca="false">IFERROR(INDEX('قائمة الوحدات'!$D$2:$D$41,MATCH($B419,'قائمة الوحدات'!$A$2:$A$41,0)),"")</f>
        <v>الإدارة العامة للقوى البشرية العسكرية</v>
      </c>
      <c r="F419" s="18" t="str">
        <f aca="false">IFERROR(INDEX('قائمة الوحدات'!$F$2:$F$41,MATCH($B419,'قائمة الوحدات'!$A$2:$A$41,0)),"")</f>
        <v>الإدارة العامة للقوى البشرية العسكرية</v>
      </c>
      <c r="G419" s="20" t="s">
        <v>66</v>
      </c>
      <c r="H419" s="18" t="str">
        <f aca="false">IFERROR(INDEX(المرجع!$A$2:$A$19,MATCH($G419,المرجع!$B$2:$B$19,0)),"")</f>
        <v>التشغيل</v>
      </c>
      <c r="I419" s="20" t="s">
        <v>57</v>
      </c>
      <c r="J419" s="18" t="str">
        <f aca="false">IFERROR(INDEX(المرجع!$D$2:$D$19,MATCH($I419,المرجع!$E$2:$E$19,0)),"")</f>
        <v>الموارد</v>
      </c>
      <c r="K419" s="20" t="s">
        <v>130</v>
      </c>
      <c r="L419" s="21" t="str">
        <f aca="false">IFERROR(INDEX('نقاط التحقق'!$G$2:$G$31,MATCH($K419,'نقاط التحقق'!$A$2:$A$31,0))&amp;"","")</f>
        <v>موارد مستكملة للحد الأدنى الذي يغطي كافة محاور سلسلة القيمة</v>
      </c>
      <c r="M419" s="17" t="n">
        <v>27</v>
      </c>
      <c r="N419" s="17" t="n">
        <v>85</v>
      </c>
      <c r="O419" s="19" t="str">
        <f aca="false">IF($M419="","غير مقيّمة",IF($M419&gt;المرجع!$K$3,"مستوفاة بشكل متقدم",IF($M419&lt;=المرجع!$K$2,"مستوفاة بشكل أولي","مستوفاة بشكل جزئي")))</f>
        <v>مستوفاة بشكل أولي</v>
      </c>
      <c r="P419" s="22"/>
    </row>
    <row r="420" customFormat="false" ht="15" hidden="false" customHeight="true" outlineLevel="0" collapsed="false">
      <c r="A420" s="20" t="s">
        <v>1234</v>
      </c>
      <c r="B420" s="20" t="s">
        <v>222</v>
      </c>
      <c r="C420" s="19" t="str">
        <f aca="false">IFERROR(INDEX('قائمة الوحدات'!$B$2:$B$41,MATCH($B420,'قائمة الوحدات'!$A$2:$A$41,0)),"")</f>
        <v>MIL</v>
      </c>
      <c r="D420" s="18" t="str">
        <f aca="false">IFERROR(INDEX('قائمة الوحدات'!$C$2:$C$41,MATCH($B420,'قائمة الوحدات'!$A$2:$A$41,0)),"")</f>
        <v>الجهاز العسكري</v>
      </c>
      <c r="E420" s="18" t="str">
        <f aca="false">IFERROR(INDEX('قائمة الوحدات'!$D$2:$D$41,MATCH($B420,'قائمة الوحدات'!$A$2:$A$41,0)),"")</f>
        <v>الإدارة العامة للقوى البشرية العسكرية</v>
      </c>
      <c r="F420" s="18" t="str">
        <f aca="false">IFERROR(INDEX('قائمة الوحدات'!$F$2:$F$41,MATCH($B420,'قائمة الوحدات'!$A$2:$A$41,0)),"")</f>
        <v>الإدارة العامة للقوى البشرية العسكرية</v>
      </c>
      <c r="G420" s="20" t="s">
        <v>66</v>
      </c>
      <c r="H420" s="18" t="str">
        <f aca="false">IFERROR(INDEX(المرجع!$A$2:$A$19,MATCH($G420,المرجع!$B$2:$B$19,0)),"")</f>
        <v>التشغيل</v>
      </c>
      <c r="I420" s="20" t="s">
        <v>60</v>
      </c>
      <c r="J420" s="18" t="str">
        <f aca="false">IFERROR(INDEX(المرجع!$D$2:$D$19,MATCH($I420,المرجع!$E$2:$E$19,0)),"")</f>
        <v>الإجراءات</v>
      </c>
      <c r="K420" s="20" t="s">
        <v>132</v>
      </c>
      <c r="L420" s="21" t="str">
        <f aca="false">IFERROR(INDEX('نقاط التحقق'!$G$2:$G$31,MATCH($K420,'نقاط التحقق'!$A$2:$A$31,0))&amp;"","")</f>
        <v>تحقيق تقييم "مطبق بشكل كامل" من منهجية تقييم فعالية الإجراءات</v>
      </c>
      <c r="M420" s="17" t="n">
        <v>32</v>
      </c>
      <c r="N420" s="17" t="n">
        <v>90</v>
      </c>
      <c r="O420" s="19" t="str">
        <f aca="false">IF($M420="","غير مقيّمة",IF($M420&gt;المرجع!$K$3,"مستوفاة بشكل متقدم",IF($M420&lt;=المرجع!$K$2,"مستوفاة بشكل أولي","مستوفاة بشكل جزئي")))</f>
        <v>مستوفاة بشكل جزئي</v>
      </c>
      <c r="P420" s="22"/>
    </row>
    <row r="421" customFormat="false" ht="15" hidden="false" customHeight="true" outlineLevel="0" collapsed="false">
      <c r="A421" s="20" t="s">
        <v>1235</v>
      </c>
      <c r="B421" s="20" t="s">
        <v>222</v>
      </c>
      <c r="C421" s="19" t="str">
        <f aca="false">IFERROR(INDEX('قائمة الوحدات'!$B$2:$B$41,MATCH($B421,'قائمة الوحدات'!$A$2:$A$41,0)),"")</f>
        <v>MIL</v>
      </c>
      <c r="D421" s="18" t="str">
        <f aca="false">IFERROR(INDEX('قائمة الوحدات'!$C$2:$C$41,MATCH($B421,'قائمة الوحدات'!$A$2:$A$41,0)),"")</f>
        <v>الجهاز العسكري</v>
      </c>
      <c r="E421" s="18" t="str">
        <f aca="false">IFERROR(INDEX('قائمة الوحدات'!$D$2:$D$41,MATCH($B421,'قائمة الوحدات'!$A$2:$A$41,0)),"")</f>
        <v>الإدارة العامة للقوى البشرية العسكرية</v>
      </c>
      <c r="F421" s="18" t="str">
        <f aca="false">IFERROR(INDEX('قائمة الوحدات'!$F$2:$F$41,MATCH($B421,'قائمة الوحدات'!$A$2:$A$41,0)),"")</f>
        <v>الإدارة العامة للقوى البشرية العسكرية</v>
      </c>
      <c r="G421" s="20" t="s">
        <v>66</v>
      </c>
      <c r="H421" s="18" t="str">
        <f aca="false">IFERROR(INDEX(المرجع!$A$2:$A$19,MATCH($G421,المرجع!$B$2:$B$19,0)),"")</f>
        <v>التشغيل</v>
      </c>
      <c r="I421" s="20" t="s">
        <v>71</v>
      </c>
      <c r="J421" s="18" t="str">
        <f aca="false">IFERROR(INDEX(المرجع!$D$2:$D$19,MATCH($I421,المرجع!$E$2:$E$19,0)),"")</f>
        <v>اكتمال المخرجات المستهدفة</v>
      </c>
      <c r="K421" s="20" t="s">
        <v>134</v>
      </c>
      <c r="L421" s="21" t="str">
        <f aca="false">IFERROR(INDEX('نقاط التحقق'!$G$2:$G$31,MATCH($K421,'نقاط التحقق'!$A$2:$A$31,0))&amp;"","")</f>
        <v>اكتمال مخرجات النموذج التشغيلي المستهدف للوحدة التنظيمية</v>
      </c>
      <c r="M421" s="17" t="n">
        <v>53</v>
      </c>
      <c r="N421" s="17" t="n">
        <v>95</v>
      </c>
      <c r="O421" s="19" t="str">
        <f aca="false">IF($M421="","غير مقيّمة",IF($M421&gt;المرجع!$K$3,"مستوفاة بشكل متقدم",IF($M421&lt;=المرجع!$K$2,"مستوفاة بشكل أولي","مستوفاة بشكل جزئي")))</f>
        <v>مستوفاة بشكل جزئي</v>
      </c>
      <c r="P421" s="22"/>
    </row>
    <row r="422" customFormat="false" ht="15" hidden="false" customHeight="true" outlineLevel="0" collapsed="false">
      <c r="A422" s="20" t="s">
        <v>1236</v>
      </c>
      <c r="B422" s="20" t="s">
        <v>224</v>
      </c>
      <c r="C422" s="19" t="str">
        <f aca="false">IFERROR(INDEX('قائمة الوحدات'!$B$2:$B$41,MATCH($B422,'قائمة الوحدات'!$A$2:$A$41,0)),"")</f>
        <v>MIL</v>
      </c>
      <c r="D422" s="18" t="str">
        <f aca="false">IFERROR(INDEX('قائمة الوحدات'!$C$2:$C$41,MATCH($B422,'قائمة الوحدات'!$A$2:$A$41,0)),"")</f>
        <v>الجهاز العسكري</v>
      </c>
      <c r="E422" s="18" t="str">
        <f aca="false">IFERROR(INDEX('قائمة الوحدات'!$D$2:$D$41,MATCH($B422,'قائمة الوحدات'!$A$2:$A$41,0)),"")</f>
        <v>الإدارة العامة للتدريب والتأهيل العسكري</v>
      </c>
      <c r="F422" s="18" t="str">
        <f aca="false">IFERROR(INDEX('قائمة الوحدات'!$F$2:$F$41,MATCH($B422,'قائمة الوحدات'!$A$2:$A$41,0)),"")</f>
        <v>الإدارة العامة للتدريب والتأهيل العسكري</v>
      </c>
      <c r="G422" s="20" t="s">
        <v>44</v>
      </c>
      <c r="H422" s="18" t="str">
        <f aca="false">IFERROR(INDEX(المرجع!$A$2:$A$19,MATCH($G422,المرجع!$B$2:$B$19,0)),"")</f>
        <v>التصميم</v>
      </c>
      <c r="I422" s="20" t="s">
        <v>46</v>
      </c>
      <c r="J422" s="18" t="str">
        <f aca="false">IFERROR(INDEX(المرجع!$D$2:$D$19,MATCH($I422,المرجع!$E$2:$E$19,0)),"")</f>
        <v>الدور</v>
      </c>
      <c r="K422" s="20" t="s">
        <v>76</v>
      </c>
      <c r="L422" s="21" t="str">
        <f aca="false">IFERROR(INDEX('نقاط التحقق'!$G$2:$G$31,MATCH($K422,'نقاط التحقق'!$A$2:$A$31,0))&amp;"","")</f>
        <v>دور مفصل للوحدة التنظيمية</v>
      </c>
      <c r="M422" s="17" t="n">
        <v>83</v>
      </c>
      <c r="N422" s="17" t="n">
        <v>100</v>
      </c>
      <c r="O422" s="19" t="str">
        <f aca="false">IF($M422="","غير مقيّمة",IF($M422&gt;المرجع!$K$3,"مستوفاة بشكل متقدم",IF($M422&lt;=المرجع!$K$2,"مستوفاة بشكل أولي","مستوفاة بشكل جزئي")))</f>
        <v>مستوفاة بشكل متقدم</v>
      </c>
      <c r="P422" s="22"/>
    </row>
    <row r="423" customFormat="false" ht="15" hidden="false" customHeight="true" outlineLevel="0" collapsed="false">
      <c r="A423" s="20" t="s">
        <v>1237</v>
      </c>
      <c r="B423" s="20" t="s">
        <v>224</v>
      </c>
      <c r="C423" s="19" t="str">
        <f aca="false">IFERROR(INDEX('قائمة الوحدات'!$B$2:$B$41,MATCH($B423,'قائمة الوحدات'!$A$2:$A$41,0)),"")</f>
        <v>MIL</v>
      </c>
      <c r="D423" s="18" t="str">
        <f aca="false">IFERROR(INDEX('قائمة الوحدات'!$C$2:$C$41,MATCH($B423,'قائمة الوحدات'!$A$2:$A$41,0)),"")</f>
        <v>الجهاز العسكري</v>
      </c>
      <c r="E423" s="18" t="str">
        <f aca="false">IFERROR(INDEX('قائمة الوحدات'!$D$2:$D$41,MATCH($B423,'قائمة الوحدات'!$A$2:$A$41,0)),"")</f>
        <v>الإدارة العامة للتدريب والتأهيل العسكري</v>
      </c>
      <c r="F423" s="18" t="str">
        <f aca="false">IFERROR(INDEX('قائمة الوحدات'!$F$2:$F$41,MATCH($B423,'قائمة الوحدات'!$A$2:$A$41,0)),"")</f>
        <v>الإدارة العامة للتدريب والتأهيل العسكري</v>
      </c>
      <c r="G423" s="20" t="s">
        <v>44</v>
      </c>
      <c r="H423" s="18" t="str">
        <f aca="false">IFERROR(INDEX(المرجع!$A$2:$A$19,MATCH($G423,المرجع!$B$2:$B$19,0)),"")</f>
        <v>التصميم</v>
      </c>
      <c r="I423" s="20" t="s">
        <v>49</v>
      </c>
      <c r="J423" s="18" t="str">
        <f aca="false">IFERROR(INDEX(المرجع!$D$2:$D$19,MATCH($I423,المرجع!$E$2:$E$19,0)),"")</f>
        <v>الأهداف ومؤشرات الأداء</v>
      </c>
      <c r="K423" s="20" t="s">
        <v>78</v>
      </c>
      <c r="L423" s="21" t="str">
        <f aca="false">IFERROR(INDEX('نقاط التحقق'!$G$2:$G$31,MATCH($K423,'نقاط التحقق'!$A$2:$A$31,0))&amp;"","")</f>
        <v>أهداف محددة للوحدة التنظيمية وربطها بمؤشرات أداء لقياسها</v>
      </c>
      <c r="M423" s="17" t="n">
        <v>95</v>
      </c>
      <c r="N423" s="17" t="n">
        <v>95</v>
      </c>
      <c r="O423" s="19" t="str">
        <f aca="false">IF($M423="","غير مقيّمة",IF($M423&gt;المرجع!$K$3,"مستوفاة بشكل متقدم",IF($M423&lt;=المرجع!$K$2,"مستوفاة بشكل أولي","مستوفاة بشكل جزئي")))</f>
        <v>مستوفاة بشكل متقدم</v>
      </c>
      <c r="P423" s="22"/>
    </row>
    <row r="424" customFormat="false" ht="15" hidden="false" customHeight="true" outlineLevel="0" collapsed="false">
      <c r="A424" s="20" t="s">
        <v>1238</v>
      </c>
      <c r="B424" s="20" t="s">
        <v>224</v>
      </c>
      <c r="C424" s="19" t="str">
        <f aca="false">IFERROR(INDEX('قائمة الوحدات'!$B$2:$B$41,MATCH($B424,'قائمة الوحدات'!$A$2:$A$41,0)),"")</f>
        <v>MIL</v>
      </c>
      <c r="D424" s="18" t="str">
        <f aca="false">IFERROR(INDEX('قائمة الوحدات'!$C$2:$C$41,MATCH($B424,'قائمة الوحدات'!$A$2:$A$41,0)),"")</f>
        <v>الجهاز العسكري</v>
      </c>
      <c r="E424" s="18" t="str">
        <f aca="false">IFERROR(INDEX('قائمة الوحدات'!$D$2:$D$41,MATCH($B424,'قائمة الوحدات'!$A$2:$A$41,0)),"")</f>
        <v>الإدارة العامة للتدريب والتأهيل العسكري</v>
      </c>
      <c r="F424" s="18" t="str">
        <f aca="false">IFERROR(INDEX('قائمة الوحدات'!$F$2:$F$41,MATCH($B424,'قائمة الوحدات'!$A$2:$A$41,0)),"")</f>
        <v>الإدارة العامة للتدريب والتأهيل العسكري</v>
      </c>
      <c r="G424" s="20" t="s">
        <v>44</v>
      </c>
      <c r="H424" s="18" t="str">
        <f aca="false">IFERROR(INDEX(المرجع!$A$2:$A$19,MATCH($G424,المرجع!$B$2:$B$19,0)),"")</f>
        <v>التصميم</v>
      </c>
      <c r="I424" s="20" t="s">
        <v>49</v>
      </c>
      <c r="J424" s="18" t="str">
        <f aca="false">IFERROR(INDEX(المرجع!$D$2:$D$19,MATCH($I424,المرجع!$E$2:$E$19,0)),"")</f>
        <v>الأهداف ومؤشرات الأداء</v>
      </c>
      <c r="K424" s="20" t="s">
        <v>80</v>
      </c>
      <c r="L424" s="21" t="str">
        <f aca="false">IFERROR(INDEX('نقاط التحقق'!$G$2:$G$31,MATCH($K424,'نقاط التحقق'!$A$2:$A$31,0))&amp;"","")</f>
        <v>مؤشرات أداء الوحدة التنظيمية</v>
      </c>
      <c r="M424" s="17" t="n">
        <v>85</v>
      </c>
      <c r="N424" s="17" t="n">
        <v>85</v>
      </c>
      <c r="O424" s="19" t="str">
        <f aca="false">IF($M424="","غير مقيّمة",IF($M424&gt;المرجع!$K$3,"مستوفاة بشكل متقدم",IF($M424&lt;=المرجع!$K$2,"مستوفاة بشكل أولي","مستوفاة بشكل جزئي")))</f>
        <v>مستوفاة بشكل متقدم</v>
      </c>
      <c r="P424" s="22"/>
    </row>
    <row r="425" customFormat="false" ht="15" hidden="false" customHeight="true" outlineLevel="0" collapsed="false">
      <c r="A425" s="20" t="s">
        <v>1239</v>
      </c>
      <c r="B425" s="20" t="s">
        <v>224</v>
      </c>
      <c r="C425" s="19" t="str">
        <f aca="false">IFERROR(INDEX('قائمة الوحدات'!$B$2:$B$41,MATCH($B425,'قائمة الوحدات'!$A$2:$A$41,0)),"")</f>
        <v>MIL</v>
      </c>
      <c r="D425" s="18" t="str">
        <f aca="false">IFERROR(INDEX('قائمة الوحدات'!$C$2:$C$41,MATCH($B425,'قائمة الوحدات'!$A$2:$A$41,0)),"")</f>
        <v>الجهاز العسكري</v>
      </c>
      <c r="E425" s="18" t="str">
        <f aca="false">IFERROR(INDEX('قائمة الوحدات'!$D$2:$D$41,MATCH($B425,'قائمة الوحدات'!$A$2:$A$41,0)),"")</f>
        <v>الإدارة العامة للتدريب والتأهيل العسكري</v>
      </c>
      <c r="F425" s="18" t="str">
        <f aca="false">IFERROR(INDEX('قائمة الوحدات'!$F$2:$F$41,MATCH($B425,'قائمة الوحدات'!$A$2:$A$41,0)),"")</f>
        <v>الإدارة العامة للتدريب والتأهيل العسكري</v>
      </c>
      <c r="G425" s="20" t="s">
        <v>44</v>
      </c>
      <c r="H425" s="18" t="str">
        <f aca="false">IFERROR(INDEX(المرجع!$A$2:$A$19,MATCH($G425,المرجع!$B$2:$B$19,0)),"")</f>
        <v>التصميم</v>
      </c>
      <c r="I425" s="20" t="s">
        <v>52</v>
      </c>
      <c r="J425" s="18" t="str">
        <f aca="false">IFERROR(INDEX(المرجع!$D$2:$D$19,MATCH($I425,المرجع!$E$2:$E$19,0)),"")</f>
        <v>الحوكمة</v>
      </c>
      <c r="K425" s="20" t="s">
        <v>82</v>
      </c>
      <c r="L425" s="21" t="str">
        <f aca="false">IFERROR(INDEX('نقاط التحقق'!$G$2:$G$31,MATCH($K425,'نقاط التحقق'!$A$2:$A$31,0))&amp;"","")</f>
        <v>تفصيل القرارات ومصفوفة الصلاحيات واللجان ذات العلاقة لاعتماد مخرجات الوحدة التنظيمية</v>
      </c>
      <c r="M425" s="17" t="n">
        <v>91</v>
      </c>
      <c r="N425" s="17" t="n">
        <v>100</v>
      </c>
      <c r="O425" s="19" t="str">
        <f aca="false">IF($M425="","غير مقيّمة",IF($M425&gt;المرجع!$K$3,"مستوفاة بشكل متقدم",IF($M425&lt;=المرجع!$K$2,"مستوفاة بشكل أولي","مستوفاة بشكل جزئي")))</f>
        <v>مستوفاة بشكل متقدم</v>
      </c>
      <c r="P425" s="22"/>
    </row>
    <row r="426" customFormat="false" ht="15" hidden="false" customHeight="true" outlineLevel="0" collapsed="false">
      <c r="A426" s="20" t="s">
        <v>1240</v>
      </c>
      <c r="B426" s="20" t="s">
        <v>224</v>
      </c>
      <c r="C426" s="19" t="str">
        <f aca="false">IFERROR(INDEX('قائمة الوحدات'!$B$2:$B$41,MATCH($B426,'قائمة الوحدات'!$A$2:$A$41,0)),"")</f>
        <v>MIL</v>
      </c>
      <c r="D426" s="18" t="str">
        <f aca="false">IFERROR(INDEX('قائمة الوحدات'!$C$2:$C$41,MATCH($B426,'قائمة الوحدات'!$A$2:$A$41,0)),"")</f>
        <v>الجهاز العسكري</v>
      </c>
      <c r="E426" s="18" t="str">
        <f aca="false">IFERROR(INDEX('قائمة الوحدات'!$D$2:$D$41,MATCH($B426,'قائمة الوحدات'!$A$2:$A$41,0)),"")</f>
        <v>الإدارة العامة للتدريب والتأهيل العسكري</v>
      </c>
      <c r="F426" s="18" t="str">
        <f aca="false">IFERROR(INDEX('قائمة الوحدات'!$F$2:$F$41,MATCH($B426,'قائمة الوحدات'!$A$2:$A$41,0)),"")</f>
        <v>الإدارة العامة للتدريب والتأهيل العسكري</v>
      </c>
      <c r="G426" s="20" t="s">
        <v>44</v>
      </c>
      <c r="H426" s="18" t="str">
        <f aca="false">IFERROR(INDEX(المرجع!$A$2:$A$19,MATCH($G426,المرجع!$B$2:$B$19,0)),"")</f>
        <v>التصميم</v>
      </c>
      <c r="I426" s="20" t="s">
        <v>55</v>
      </c>
      <c r="J426" s="18" t="str">
        <f aca="false">IFERROR(INDEX(المرجع!$D$2:$D$19,MATCH($I426,المرجع!$E$2:$E$19,0)),"")</f>
        <v>التنظيم</v>
      </c>
      <c r="K426" s="20" t="s">
        <v>84</v>
      </c>
      <c r="L426" s="21" t="str">
        <f aca="false">IFERROR(INDEX('نقاط التحقق'!$G$2:$G$31,MATCH($K426,'نقاط التحقق'!$A$2:$A$31,0))&amp;"","")</f>
        <v>تطوير الأدوار والمسؤوليات للوحدة التنظيمية وتفصيل الهيكل التنظيمي</v>
      </c>
      <c r="M426" s="17" t="n">
        <v>94</v>
      </c>
      <c r="N426" s="17" t="n">
        <v>94</v>
      </c>
      <c r="O426" s="19" t="str">
        <f aca="false">IF($M426="","غير مقيّمة",IF($M426&gt;المرجع!$K$3,"مستوفاة بشكل متقدم",IF($M426&lt;=المرجع!$K$2,"مستوفاة بشكل أولي","مستوفاة بشكل جزئي")))</f>
        <v>مستوفاة بشكل متقدم</v>
      </c>
      <c r="P426" s="22"/>
    </row>
    <row r="427" customFormat="false" ht="15" hidden="false" customHeight="true" outlineLevel="0" collapsed="false">
      <c r="A427" s="20" t="s">
        <v>1241</v>
      </c>
      <c r="B427" s="20" t="s">
        <v>224</v>
      </c>
      <c r="C427" s="19" t="str">
        <f aca="false">IFERROR(INDEX('قائمة الوحدات'!$B$2:$B$41,MATCH($B427,'قائمة الوحدات'!$A$2:$A$41,0)),"")</f>
        <v>MIL</v>
      </c>
      <c r="D427" s="18" t="str">
        <f aca="false">IFERROR(INDEX('قائمة الوحدات'!$C$2:$C$41,MATCH($B427,'قائمة الوحدات'!$A$2:$A$41,0)),"")</f>
        <v>الجهاز العسكري</v>
      </c>
      <c r="E427" s="18" t="str">
        <f aca="false">IFERROR(INDEX('قائمة الوحدات'!$D$2:$D$41,MATCH($B427,'قائمة الوحدات'!$A$2:$A$41,0)),"")</f>
        <v>الإدارة العامة للتدريب والتأهيل العسكري</v>
      </c>
      <c r="F427" s="18" t="str">
        <f aca="false">IFERROR(INDEX('قائمة الوحدات'!$F$2:$F$41,MATCH($B427,'قائمة الوحدات'!$A$2:$A$41,0)),"")</f>
        <v>الإدارة العامة للتدريب والتأهيل العسكري</v>
      </c>
      <c r="G427" s="20" t="s">
        <v>44</v>
      </c>
      <c r="H427" s="18" t="str">
        <f aca="false">IFERROR(INDEX(المرجع!$A$2:$A$19,MATCH($G427,المرجع!$B$2:$B$19,0)),"")</f>
        <v>التصميم</v>
      </c>
      <c r="I427" s="20" t="s">
        <v>57</v>
      </c>
      <c r="J427" s="18" t="str">
        <f aca="false">IFERROR(INDEX(المرجع!$D$2:$D$19,MATCH($I427,المرجع!$E$2:$E$19,0)),"")</f>
        <v>الموارد</v>
      </c>
      <c r="K427" s="20" t="s">
        <v>86</v>
      </c>
      <c r="L427" s="21" t="str">
        <f aca="false">IFERROR(INDEX('نقاط التحقق'!$G$2:$G$31,MATCH($K427,'نقاط التحقق'!$A$2:$A$31,0))&amp;"","")</f>
        <v>تفصيل احتياج الموارد البشرية للوحدة التنظيمية</v>
      </c>
      <c r="M427" s="17" t="n">
        <v>95</v>
      </c>
      <c r="N427" s="17" t="n">
        <v>100</v>
      </c>
      <c r="O427" s="19" t="str">
        <f aca="false">IF($M427="","غير مقيّمة",IF($M427&gt;المرجع!$K$3,"مستوفاة بشكل متقدم",IF($M427&lt;=المرجع!$K$2,"مستوفاة بشكل أولي","مستوفاة بشكل جزئي")))</f>
        <v>مستوفاة بشكل متقدم</v>
      </c>
      <c r="P427" s="22"/>
    </row>
    <row r="428" customFormat="false" ht="15" hidden="false" customHeight="true" outlineLevel="0" collapsed="false">
      <c r="A428" s="20" t="s">
        <v>1242</v>
      </c>
      <c r="B428" s="20" t="s">
        <v>224</v>
      </c>
      <c r="C428" s="19" t="str">
        <f aca="false">IFERROR(INDEX('قائمة الوحدات'!$B$2:$B$41,MATCH($B428,'قائمة الوحدات'!$A$2:$A$41,0)),"")</f>
        <v>MIL</v>
      </c>
      <c r="D428" s="18" t="str">
        <f aca="false">IFERROR(INDEX('قائمة الوحدات'!$C$2:$C$41,MATCH($B428,'قائمة الوحدات'!$A$2:$A$41,0)),"")</f>
        <v>الجهاز العسكري</v>
      </c>
      <c r="E428" s="18" t="str">
        <f aca="false">IFERROR(INDEX('قائمة الوحدات'!$D$2:$D$41,MATCH($B428,'قائمة الوحدات'!$A$2:$A$41,0)),"")</f>
        <v>الإدارة العامة للتدريب والتأهيل العسكري</v>
      </c>
      <c r="F428" s="18" t="str">
        <f aca="false">IFERROR(INDEX('قائمة الوحدات'!$F$2:$F$41,MATCH($B428,'قائمة الوحدات'!$A$2:$A$41,0)),"")</f>
        <v>الإدارة العامة للتدريب والتأهيل العسكري</v>
      </c>
      <c r="G428" s="20" t="s">
        <v>44</v>
      </c>
      <c r="H428" s="18" t="str">
        <f aca="false">IFERROR(INDEX(المرجع!$A$2:$A$19,MATCH($G428,المرجع!$B$2:$B$19,0)),"")</f>
        <v>التصميم</v>
      </c>
      <c r="I428" s="20" t="s">
        <v>60</v>
      </c>
      <c r="J428" s="18" t="str">
        <f aca="false">IFERROR(INDEX(المرجع!$D$2:$D$19,MATCH($I428,المرجع!$E$2:$E$19,0)),"")</f>
        <v>الإجراءات</v>
      </c>
      <c r="K428" s="20" t="s">
        <v>88</v>
      </c>
      <c r="L428" s="21" t="str">
        <f aca="false">IFERROR(INDEX('نقاط التحقق'!$G$2:$G$31,MATCH($K428,'نقاط التحقق'!$A$2:$A$31,0))&amp;"","")</f>
        <v>تفصيل المخرجات إلى إجراءات عالية المستوى</v>
      </c>
      <c r="M428" s="17" t="n">
        <v>97</v>
      </c>
      <c r="N428" s="17" t="n">
        <v>97</v>
      </c>
      <c r="O428" s="19" t="str">
        <f aca="false">IF($M428="","غير مقيّمة",IF($M428&gt;المرجع!$K$3,"مستوفاة بشكل متقدم",IF($M428&lt;=المرجع!$K$2,"مستوفاة بشكل أولي","مستوفاة بشكل جزئي")))</f>
        <v>مستوفاة بشكل متقدم</v>
      </c>
      <c r="P428" s="22"/>
    </row>
    <row r="429" customFormat="false" ht="15" hidden="false" customHeight="true" outlineLevel="0" collapsed="false">
      <c r="A429" s="20" t="s">
        <v>1243</v>
      </c>
      <c r="B429" s="20" t="s">
        <v>224</v>
      </c>
      <c r="C429" s="19" t="str">
        <f aca="false">IFERROR(INDEX('قائمة الوحدات'!$B$2:$B$41,MATCH($B429,'قائمة الوحدات'!$A$2:$A$41,0)),"")</f>
        <v>MIL</v>
      </c>
      <c r="D429" s="18" t="str">
        <f aca="false">IFERROR(INDEX('قائمة الوحدات'!$C$2:$C$41,MATCH($B429,'قائمة الوحدات'!$A$2:$A$41,0)),"")</f>
        <v>الجهاز العسكري</v>
      </c>
      <c r="E429" s="18" t="str">
        <f aca="false">IFERROR(INDEX('قائمة الوحدات'!$D$2:$D$41,MATCH($B429,'قائمة الوحدات'!$A$2:$A$41,0)),"")</f>
        <v>الإدارة العامة للتدريب والتأهيل العسكري</v>
      </c>
      <c r="F429" s="18" t="str">
        <f aca="false">IFERROR(INDEX('قائمة الوحدات'!$F$2:$F$41,MATCH($B429,'قائمة الوحدات'!$A$2:$A$41,0)),"")</f>
        <v>الإدارة العامة للتدريب والتأهيل العسكري</v>
      </c>
      <c r="G429" s="20" t="s">
        <v>62</v>
      </c>
      <c r="H429" s="18" t="str">
        <f aca="false">IFERROR(INDEX(المرجع!$A$2:$A$19,MATCH($G429,المرجع!$B$2:$B$19,0)),"")</f>
        <v>البناء المؤسسي</v>
      </c>
      <c r="I429" s="20" t="s">
        <v>46</v>
      </c>
      <c r="J429" s="18" t="str">
        <f aca="false">IFERROR(INDEX(المرجع!$D$2:$D$19,MATCH($I429,المرجع!$E$2:$E$19,0)),"")</f>
        <v>الدور</v>
      </c>
      <c r="K429" s="20" t="s">
        <v>90</v>
      </c>
      <c r="L429" s="21" t="str">
        <f aca="false">IFERROR(INDEX('نقاط التحقق'!$G$2:$G$31,MATCH($K429,'نقاط التحقق'!$A$2:$A$31,0))&amp;"","")</f>
        <v>دور معتمد للوحدة التنظيمية</v>
      </c>
      <c r="M429" s="17" t="n">
        <v>80</v>
      </c>
      <c r="N429" s="17" t="n">
        <v>80</v>
      </c>
      <c r="O429" s="19" t="str">
        <f aca="false">IF($M429="","غير مقيّمة",IF($M429&gt;المرجع!$K$3,"مستوفاة بشكل متقدم",IF($M429&lt;=المرجع!$K$2,"مستوفاة بشكل أولي","مستوفاة بشكل جزئي")))</f>
        <v>مستوفاة بشكل متقدم</v>
      </c>
      <c r="P429" s="22"/>
    </row>
    <row r="430" customFormat="false" ht="15" hidden="false" customHeight="true" outlineLevel="0" collapsed="false">
      <c r="A430" s="20" t="s">
        <v>1244</v>
      </c>
      <c r="B430" s="20" t="s">
        <v>224</v>
      </c>
      <c r="C430" s="19" t="str">
        <f aca="false">IFERROR(INDEX('قائمة الوحدات'!$B$2:$B$41,MATCH($B430,'قائمة الوحدات'!$A$2:$A$41,0)),"")</f>
        <v>MIL</v>
      </c>
      <c r="D430" s="18" t="str">
        <f aca="false">IFERROR(INDEX('قائمة الوحدات'!$C$2:$C$41,MATCH($B430,'قائمة الوحدات'!$A$2:$A$41,0)),"")</f>
        <v>الجهاز العسكري</v>
      </c>
      <c r="E430" s="18" t="str">
        <f aca="false">IFERROR(INDEX('قائمة الوحدات'!$D$2:$D$41,MATCH($B430,'قائمة الوحدات'!$A$2:$A$41,0)),"")</f>
        <v>الإدارة العامة للتدريب والتأهيل العسكري</v>
      </c>
      <c r="F430" s="18" t="str">
        <f aca="false">IFERROR(INDEX('قائمة الوحدات'!$F$2:$F$41,MATCH($B430,'قائمة الوحدات'!$A$2:$A$41,0)),"")</f>
        <v>الإدارة العامة للتدريب والتأهيل العسكري</v>
      </c>
      <c r="G430" s="20" t="s">
        <v>62</v>
      </c>
      <c r="H430" s="18" t="str">
        <f aca="false">IFERROR(INDEX(المرجع!$A$2:$A$19,MATCH($G430,المرجع!$B$2:$B$19,0)),"")</f>
        <v>البناء المؤسسي</v>
      </c>
      <c r="I430" s="20" t="s">
        <v>49</v>
      </c>
      <c r="J430" s="18" t="str">
        <f aca="false">IFERROR(INDEX(المرجع!$D$2:$D$19,MATCH($I430,المرجع!$E$2:$E$19,0)),"")</f>
        <v>الأهداف ومؤشرات الأداء</v>
      </c>
      <c r="K430" s="20" t="s">
        <v>92</v>
      </c>
      <c r="L430" s="21" t="str">
        <f aca="false">IFERROR(INDEX('نقاط التحقق'!$G$2:$G$31,MATCH($K430,'نقاط التحقق'!$A$2:$A$31,0))&amp;"","")</f>
        <v>أهداف تشغيلية معتمدة من صاحب الصلاحية</v>
      </c>
      <c r="M430" s="17" t="n">
        <v>60</v>
      </c>
      <c r="N430" s="17" t="n">
        <v>100</v>
      </c>
      <c r="O430" s="19" t="str">
        <f aca="false">IF($M430="","غير مقيّمة",IF($M430&gt;المرجع!$K$3,"مستوفاة بشكل متقدم",IF($M430&lt;=المرجع!$K$2,"مستوفاة بشكل أولي","مستوفاة بشكل جزئي")))</f>
        <v>مستوفاة بشكل جزئي</v>
      </c>
      <c r="P430" s="22"/>
    </row>
    <row r="431" customFormat="false" ht="15" hidden="false" customHeight="true" outlineLevel="0" collapsed="false">
      <c r="A431" s="20" t="s">
        <v>1245</v>
      </c>
      <c r="B431" s="20" t="s">
        <v>224</v>
      </c>
      <c r="C431" s="19" t="str">
        <f aca="false">IFERROR(INDEX('قائمة الوحدات'!$B$2:$B$41,MATCH($B431,'قائمة الوحدات'!$A$2:$A$41,0)),"")</f>
        <v>MIL</v>
      </c>
      <c r="D431" s="18" t="str">
        <f aca="false">IFERROR(INDEX('قائمة الوحدات'!$C$2:$C$41,MATCH($B431,'قائمة الوحدات'!$A$2:$A$41,0)),"")</f>
        <v>الجهاز العسكري</v>
      </c>
      <c r="E431" s="18" t="str">
        <f aca="false">IFERROR(INDEX('قائمة الوحدات'!$D$2:$D$41,MATCH($B431,'قائمة الوحدات'!$A$2:$A$41,0)),"")</f>
        <v>الإدارة العامة للتدريب والتأهيل العسكري</v>
      </c>
      <c r="F431" s="18" t="str">
        <f aca="false">IFERROR(INDEX('قائمة الوحدات'!$F$2:$F$41,MATCH($B431,'قائمة الوحدات'!$A$2:$A$41,0)),"")</f>
        <v>الإدارة العامة للتدريب والتأهيل العسكري</v>
      </c>
      <c r="G431" s="20" t="s">
        <v>62</v>
      </c>
      <c r="H431" s="18" t="str">
        <f aca="false">IFERROR(INDEX(المرجع!$A$2:$A$19,MATCH($G431,المرجع!$B$2:$B$19,0)),"")</f>
        <v>البناء المؤسسي</v>
      </c>
      <c r="I431" s="20" t="s">
        <v>49</v>
      </c>
      <c r="J431" s="18" t="str">
        <f aca="false">IFERROR(INDEX(المرجع!$D$2:$D$19,MATCH($I431,المرجع!$E$2:$E$19,0)),"")</f>
        <v>الأهداف ومؤشرات الأداء</v>
      </c>
      <c r="K431" s="20" t="s">
        <v>94</v>
      </c>
      <c r="L431" s="21" t="str">
        <f aca="false">IFERROR(INDEX('نقاط التحقق'!$G$2:$G$31,MATCH($K431,'نقاط التحقق'!$A$2:$A$31,0))&amp;"","")</f>
        <v>نشر الأهداف التشغيلية على موظفي الوحدة التنظيمية</v>
      </c>
      <c r="M431" s="17" t="n">
        <v>65</v>
      </c>
      <c r="N431" s="17" t="n">
        <v>100</v>
      </c>
      <c r="O431" s="19" t="str">
        <f aca="false">IF($M431="","غير مقيّمة",IF($M431&gt;المرجع!$K$3,"مستوفاة بشكل متقدم",IF($M431&lt;=المرجع!$K$2,"مستوفاة بشكل أولي","مستوفاة بشكل جزئي")))</f>
        <v>مستوفاة بشكل جزئي</v>
      </c>
      <c r="P431" s="22"/>
    </row>
    <row r="432" customFormat="false" ht="15" hidden="false" customHeight="true" outlineLevel="0" collapsed="false">
      <c r="A432" s="20" t="s">
        <v>1246</v>
      </c>
      <c r="B432" s="20" t="s">
        <v>224</v>
      </c>
      <c r="C432" s="19" t="str">
        <f aca="false">IFERROR(INDEX('قائمة الوحدات'!$B$2:$B$41,MATCH($B432,'قائمة الوحدات'!$A$2:$A$41,0)),"")</f>
        <v>MIL</v>
      </c>
      <c r="D432" s="18" t="str">
        <f aca="false">IFERROR(INDEX('قائمة الوحدات'!$C$2:$C$41,MATCH($B432,'قائمة الوحدات'!$A$2:$A$41,0)),"")</f>
        <v>الجهاز العسكري</v>
      </c>
      <c r="E432" s="18" t="str">
        <f aca="false">IFERROR(INDEX('قائمة الوحدات'!$D$2:$D$41,MATCH($B432,'قائمة الوحدات'!$A$2:$A$41,0)),"")</f>
        <v>الإدارة العامة للتدريب والتأهيل العسكري</v>
      </c>
      <c r="F432" s="18" t="str">
        <f aca="false">IFERROR(INDEX('قائمة الوحدات'!$F$2:$F$41,MATCH($B432,'قائمة الوحدات'!$A$2:$A$41,0)),"")</f>
        <v>الإدارة العامة للتدريب والتأهيل العسكري</v>
      </c>
      <c r="G432" s="20" t="s">
        <v>62</v>
      </c>
      <c r="H432" s="18" t="str">
        <f aca="false">IFERROR(INDEX(المرجع!$A$2:$A$19,MATCH($G432,المرجع!$B$2:$B$19,0)),"")</f>
        <v>البناء المؤسسي</v>
      </c>
      <c r="I432" s="20" t="s">
        <v>52</v>
      </c>
      <c r="J432" s="18" t="str">
        <f aca="false">IFERROR(INDEX(المرجع!$D$2:$D$19,MATCH($I432,المرجع!$E$2:$E$19,0)),"")</f>
        <v>الحوكمة</v>
      </c>
      <c r="K432" s="20" t="s">
        <v>96</v>
      </c>
      <c r="L432" s="21" t="str">
        <f aca="false">IFERROR(INDEX('نقاط التحقق'!$G$2:$G$31,MATCH($K432,'نقاط التحقق'!$A$2:$A$31,0))&amp;"","")</f>
        <v>مصفوفة صلاحيات معتمدة ومعممة على أصحاب المصلحة</v>
      </c>
      <c r="M432" s="17" t="n">
        <v>70</v>
      </c>
      <c r="N432" s="17" t="n">
        <v>100</v>
      </c>
      <c r="O432" s="19" t="str">
        <f aca="false">IF($M432="","غير مقيّمة",IF($M432&gt;المرجع!$K$3,"مستوفاة بشكل متقدم",IF($M432&lt;=المرجع!$K$2,"مستوفاة بشكل أولي","مستوفاة بشكل جزئي")))</f>
        <v>مستوفاة بشكل جزئي</v>
      </c>
      <c r="P432" s="22"/>
    </row>
    <row r="433" customFormat="false" ht="15" hidden="false" customHeight="true" outlineLevel="0" collapsed="false">
      <c r="A433" s="20" t="s">
        <v>1247</v>
      </c>
      <c r="B433" s="20" t="s">
        <v>224</v>
      </c>
      <c r="C433" s="19" t="str">
        <f aca="false">IFERROR(INDEX('قائمة الوحدات'!$B$2:$B$41,MATCH($B433,'قائمة الوحدات'!$A$2:$A$41,0)),"")</f>
        <v>MIL</v>
      </c>
      <c r="D433" s="18" t="str">
        <f aca="false">IFERROR(INDEX('قائمة الوحدات'!$C$2:$C$41,MATCH($B433,'قائمة الوحدات'!$A$2:$A$41,0)),"")</f>
        <v>الجهاز العسكري</v>
      </c>
      <c r="E433" s="18" t="str">
        <f aca="false">IFERROR(INDEX('قائمة الوحدات'!$D$2:$D$41,MATCH($B433,'قائمة الوحدات'!$A$2:$A$41,0)),"")</f>
        <v>الإدارة العامة للتدريب والتأهيل العسكري</v>
      </c>
      <c r="F433" s="18" t="str">
        <f aca="false">IFERROR(INDEX('قائمة الوحدات'!$F$2:$F$41,MATCH($B433,'قائمة الوحدات'!$A$2:$A$41,0)),"")</f>
        <v>الإدارة العامة للتدريب والتأهيل العسكري</v>
      </c>
      <c r="G433" s="20" t="s">
        <v>62</v>
      </c>
      <c r="H433" s="18" t="str">
        <f aca="false">IFERROR(INDEX(المرجع!$A$2:$A$19,MATCH($G433,المرجع!$B$2:$B$19,0)),"")</f>
        <v>البناء المؤسسي</v>
      </c>
      <c r="I433" s="20" t="s">
        <v>52</v>
      </c>
      <c r="J433" s="18" t="str">
        <f aca="false">IFERROR(INDEX(المرجع!$D$2:$D$19,MATCH($I433,المرجع!$E$2:$E$19,0)),"")</f>
        <v>الحوكمة</v>
      </c>
      <c r="K433" s="20" t="s">
        <v>98</v>
      </c>
      <c r="L433" s="21" t="str">
        <f aca="false">IFERROR(INDEX('نقاط التحقق'!$G$2:$G$31,MATCH($K433,'نقاط التحقق'!$A$2:$A$31,0))&amp;"","")</f>
        <v>سياسات معتمدة للتي تملكها الوحدة التنظيمية</v>
      </c>
      <c r="M433" s="17" t="n">
        <v>55</v>
      </c>
      <c r="N433" s="17" t="n">
        <v>95</v>
      </c>
      <c r="O433" s="19" t="str">
        <f aca="false">IF($M433="","غير مقيّمة",IF($M433&gt;المرجع!$K$3,"مستوفاة بشكل متقدم",IF($M433&lt;=المرجع!$K$2,"مستوفاة بشكل أولي","مستوفاة بشكل جزئي")))</f>
        <v>مستوفاة بشكل جزئي</v>
      </c>
      <c r="P433" s="22"/>
    </row>
    <row r="434" customFormat="false" ht="15" hidden="false" customHeight="true" outlineLevel="0" collapsed="false">
      <c r="A434" s="20" t="s">
        <v>1248</v>
      </c>
      <c r="B434" s="20" t="s">
        <v>224</v>
      </c>
      <c r="C434" s="19" t="str">
        <f aca="false">IFERROR(INDEX('قائمة الوحدات'!$B$2:$B$41,MATCH($B434,'قائمة الوحدات'!$A$2:$A$41,0)),"")</f>
        <v>MIL</v>
      </c>
      <c r="D434" s="18" t="str">
        <f aca="false">IFERROR(INDEX('قائمة الوحدات'!$C$2:$C$41,MATCH($B434,'قائمة الوحدات'!$A$2:$A$41,0)),"")</f>
        <v>الجهاز العسكري</v>
      </c>
      <c r="E434" s="18" t="str">
        <f aca="false">IFERROR(INDEX('قائمة الوحدات'!$D$2:$D$41,MATCH($B434,'قائمة الوحدات'!$A$2:$A$41,0)),"")</f>
        <v>الإدارة العامة للتدريب والتأهيل العسكري</v>
      </c>
      <c r="F434" s="18" t="str">
        <f aca="false">IFERROR(INDEX('قائمة الوحدات'!$F$2:$F$41,MATCH($B434,'قائمة الوحدات'!$A$2:$A$41,0)),"")</f>
        <v>الإدارة العامة للتدريب والتأهيل العسكري</v>
      </c>
      <c r="G434" s="20" t="s">
        <v>62</v>
      </c>
      <c r="H434" s="18" t="str">
        <f aca="false">IFERROR(INDEX(المرجع!$A$2:$A$19,MATCH($G434,المرجع!$B$2:$B$19,0)),"")</f>
        <v>البناء المؤسسي</v>
      </c>
      <c r="I434" s="20" t="s">
        <v>52</v>
      </c>
      <c r="J434" s="18" t="str">
        <f aca="false">IFERROR(INDEX(المرجع!$D$2:$D$19,MATCH($I434,المرجع!$E$2:$E$19,0)),"")</f>
        <v>الحوكمة</v>
      </c>
      <c r="K434" s="20" t="s">
        <v>100</v>
      </c>
      <c r="L434" s="21" t="str">
        <f aca="false">IFERROR(INDEX('نقاط التحقق'!$G$2:$G$31,MATCH($K434,'نقاط التحقق'!$A$2:$A$31,0))&amp;"","")</f>
        <v>قرار تشكيل معتمد للجان ذات العلاقة</v>
      </c>
      <c r="M434" s="17" t="n">
        <v>55</v>
      </c>
      <c r="N434" s="17" t="n">
        <v>100</v>
      </c>
      <c r="O434" s="19" t="str">
        <f aca="false">IF($M434="","غير مقيّمة",IF($M434&gt;المرجع!$K$3,"مستوفاة بشكل متقدم",IF($M434&lt;=المرجع!$K$2,"مستوفاة بشكل أولي","مستوفاة بشكل جزئي")))</f>
        <v>مستوفاة بشكل جزئي</v>
      </c>
      <c r="P434" s="22"/>
    </row>
    <row r="435" customFormat="false" ht="15" hidden="false" customHeight="true" outlineLevel="0" collapsed="false">
      <c r="A435" s="20" t="s">
        <v>1249</v>
      </c>
      <c r="B435" s="20" t="s">
        <v>224</v>
      </c>
      <c r="C435" s="19" t="str">
        <f aca="false">IFERROR(INDEX('قائمة الوحدات'!$B$2:$B$41,MATCH($B435,'قائمة الوحدات'!$A$2:$A$41,0)),"")</f>
        <v>MIL</v>
      </c>
      <c r="D435" s="18" t="str">
        <f aca="false">IFERROR(INDEX('قائمة الوحدات'!$C$2:$C$41,MATCH($B435,'قائمة الوحدات'!$A$2:$A$41,0)),"")</f>
        <v>الجهاز العسكري</v>
      </c>
      <c r="E435" s="18" t="str">
        <f aca="false">IFERROR(INDEX('قائمة الوحدات'!$D$2:$D$41,MATCH($B435,'قائمة الوحدات'!$A$2:$A$41,0)),"")</f>
        <v>الإدارة العامة للتدريب والتأهيل العسكري</v>
      </c>
      <c r="F435" s="18" t="str">
        <f aca="false">IFERROR(INDEX('قائمة الوحدات'!$F$2:$F$41,MATCH($B435,'قائمة الوحدات'!$A$2:$A$41,0)),"")</f>
        <v>الإدارة العامة للتدريب والتأهيل العسكري</v>
      </c>
      <c r="G435" s="20" t="s">
        <v>62</v>
      </c>
      <c r="H435" s="18" t="str">
        <f aca="false">IFERROR(INDEX(المرجع!$A$2:$A$19,MATCH($G435,المرجع!$B$2:$B$19,0)),"")</f>
        <v>البناء المؤسسي</v>
      </c>
      <c r="I435" s="20" t="s">
        <v>55</v>
      </c>
      <c r="J435" s="18" t="str">
        <f aca="false">IFERROR(INDEX(المرجع!$D$2:$D$19,MATCH($I435,المرجع!$E$2:$E$19,0)),"")</f>
        <v>التنظيم</v>
      </c>
      <c r="K435" s="20" t="s">
        <v>102</v>
      </c>
      <c r="L435" s="21" t="str">
        <f aca="false">IFERROR(INDEX('نقاط التحقق'!$G$2:$G$31,MATCH($K435,'نقاط التحقق'!$A$2:$A$31,0))&amp;"","")</f>
        <v>هيكل تنظيمي معتمد من صاحب الصلاحية</v>
      </c>
      <c r="M435" s="17" t="n">
        <v>90</v>
      </c>
      <c r="N435" s="17" t="n">
        <v>100</v>
      </c>
      <c r="O435" s="19" t="str">
        <f aca="false">IF($M435="","غير مقيّمة",IF($M435&gt;المرجع!$K$3,"مستوفاة بشكل متقدم",IF($M435&lt;=المرجع!$K$2,"مستوفاة بشكل أولي","مستوفاة بشكل جزئي")))</f>
        <v>مستوفاة بشكل متقدم</v>
      </c>
      <c r="P435" s="22"/>
    </row>
    <row r="436" customFormat="false" ht="15" hidden="false" customHeight="true" outlineLevel="0" collapsed="false">
      <c r="A436" s="20" t="s">
        <v>1250</v>
      </c>
      <c r="B436" s="20" t="s">
        <v>224</v>
      </c>
      <c r="C436" s="19" t="str">
        <f aca="false">IFERROR(INDEX('قائمة الوحدات'!$B$2:$B$41,MATCH($B436,'قائمة الوحدات'!$A$2:$A$41,0)),"")</f>
        <v>MIL</v>
      </c>
      <c r="D436" s="18" t="str">
        <f aca="false">IFERROR(INDEX('قائمة الوحدات'!$C$2:$C$41,MATCH($B436,'قائمة الوحدات'!$A$2:$A$41,0)),"")</f>
        <v>الجهاز العسكري</v>
      </c>
      <c r="E436" s="18" t="str">
        <f aca="false">IFERROR(INDEX('قائمة الوحدات'!$D$2:$D$41,MATCH($B436,'قائمة الوحدات'!$A$2:$A$41,0)),"")</f>
        <v>الإدارة العامة للتدريب والتأهيل العسكري</v>
      </c>
      <c r="F436" s="18" t="str">
        <f aca="false">IFERROR(INDEX('قائمة الوحدات'!$F$2:$F$41,MATCH($B436,'قائمة الوحدات'!$A$2:$A$41,0)),"")</f>
        <v>الإدارة العامة للتدريب والتأهيل العسكري</v>
      </c>
      <c r="G436" s="20" t="s">
        <v>62</v>
      </c>
      <c r="H436" s="18" t="str">
        <f aca="false">IFERROR(INDEX(المرجع!$A$2:$A$19,MATCH($G436,المرجع!$B$2:$B$19,0)),"")</f>
        <v>البناء المؤسسي</v>
      </c>
      <c r="I436" s="20" t="s">
        <v>55</v>
      </c>
      <c r="J436" s="18" t="str">
        <f aca="false">IFERROR(INDEX(المرجع!$D$2:$D$19,MATCH($I436,المرجع!$E$2:$E$19,0)),"")</f>
        <v>التنظيم</v>
      </c>
      <c r="K436" s="20" t="s">
        <v>104</v>
      </c>
      <c r="L436" s="21" t="str">
        <f aca="false">IFERROR(INDEX('نقاط التحقق'!$G$2:$G$31,MATCH($K436,'نقاط التحقق'!$A$2:$A$31,0))&amp;"","")</f>
        <v>هيكل تنظيمي منشأ على نظام القوى العاملة</v>
      </c>
      <c r="M436" s="17" t="n">
        <v>65</v>
      </c>
      <c r="N436" s="17" t="n">
        <v>85</v>
      </c>
      <c r="O436" s="19" t="str">
        <f aca="false">IF($M436="","غير مقيّمة",IF($M436&gt;المرجع!$K$3,"مستوفاة بشكل متقدم",IF($M436&lt;=المرجع!$K$2,"مستوفاة بشكل أولي","مستوفاة بشكل جزئي")))</f>
        <v>مستوفاة بشكل جزئي</v>
      </c>
      <c r="P436" s="22"/>
    </row>
    <row r="437" customFormat="false" ht="15" hidden="false" customHeight="true" outlineLevel="0" collapsed="false">
      <c r="A437" s="20" t="s">
        <v>1251</v>
      </c>
      <c r="B437" s="20" t="s">
        <v>224</v>
      </c>
      <c r="C437" s="19" t="str">
        <f aca="false">IFERROR(INDEX('قائمة الوحدات'!$B$2:$B$41,MATCH($B437,'قائمة الوحدات'!$A$2:$A$41,0)),"")</f>
        <v>MIL</v>
      </c>
      <c r="D437" s="18" t="str">
        <f aca="false">IFERROR(INDEX('قائمة الوحدات'!$C$2:$C$41,MATCH($B437,'قائمة الوحدات'!$A$2:$A$41,0)),"")</f>
        <v>الجهاز العسكري</v>
      </c>
      <c r="E437" s="18" t="str">
        <f aca="false">IFERROR(INDEX('قائمة الوحدات'!$D$2:$D$41,MATCH($B437,'قائمة الوحدات'!$A$2:$A$41,0)),"")</f>
        <v>الإدارة العامة للتدريب والتأهيل العسكري</v>
      </c>
      <c r="F437" s="18" t="str">
        <f aca="false">IFERROR(INDEX('قائمة الوحدات'!$F$2:$F$41,MATCH($B437,'قائمة الوحدات'!$A$2:$A$41,0)),"")</f>
        <v>الإدارة العامة للتدريب والتأهيل العسكري</v>
      </c>
      <c r="G437" s="20" t="s">
        <v>62</v>
      </c>
      <c r="H437" s="18" t="str">
        <f aca="false">IFERROR(INDEX(المرجع!$A$2:$A$19,MATCH($G437,المرجع!$B$2:$B$19,0)),"")</f>
        <v>البناء المؤسسي</v>
      </c>
      <c r="I437" s="20" t="s">
        <v>55</v>
      </c>
      <c r="J437" s="18" t="str">
        <f aca="false">IFERROR(INDEX(المرجع!$D$2:$D$19,MATCH($I437,المرجع!$E$2:$E$19,0)),"")</f>
        <v>التنظيم</v>
      </c>
      <c r="K437" s="20" t="s">
        <v>106</v>
      </c>
      <c r="L437" s="21" t="str">
        <f aca="false">IFERROR(INDEX('نقاط التحقق'!$G$2:$G$31,MATCH($K437,'نقاط التحقق'!$A$2:$A$31,0))&amp;"","")</f>
        <v>الموظفون المحددون مسكّنون على الهيكل التنظيمي المستهدف</v>
      </c>
      <c r="M437" s="17" t="n">
        <v>85</v>
      </c>
      <c r="N437" s="17" t="n">
        <v>100</v>
      </c>
      <c r="O437" s="19" t="str">
        <f aca="false">IF($M437="","غير مقيّمة",IF($M437&gt;المرجع!$K$3,"مستوفاة بشكل متقدم",IF($M437&lt;=المرجع!$K$2,"مستوفاة بشكل أولي","مستوفاة بشكل جزئي")))</f>
        <v>مستوفاة بشكل متقدم</v>
      </c>
      <c r="P437" s="22"/>
    </row>
    <row r="438" customFormat="false" ht="15" hidden="false" customHeight="true" outlineLevel="0" collapsed="false">
      <c r="A438" s="20" t="s">
        <v>1252</v>
      </c>
      <c r="B438" s="20" t="s">
        <v>224</v>
      </c>
      <c r="C438" s="19" t="str">
        <f aca="false">IFERROR(INDEX('قائمة الوحدات'!$B$2:$B$41,MATCH($B438,'قائمة الوحدات'!$A$2:$A$41,0)),"")</f>
        <v>MIL</v>
      </c>
      <c r="D438" s="18" t="str">
        <f aca="false">IFERROR(INDEX('قائمة الوحدات'!$C$2:$C$41,MATCH($B438,'قائمة الوحدات'!$A$2:$A$41,0)),"")</f>
        <v>الجهاز العسكري</v>
      </c>
      <c r="E438" s="18" t="str">
        <f aca="false">IFERROR(INDEX('قائمة الوحدات'!$D$2:$D$41,MATCH($B438,'قائمة الوحدات'!$A$2:$A$41,0)),"")</f>
        <v>الإدارة العامة للتدريب والتأهيل العسكري</v>
      </c>
      <c r="F438" s="18" t="str">
        <f aca="false">IFERROR(INDEX('قائمة الوحدات'!$F$2:$F$41,MATCH($B438,'قائمة الوحدات'!$A$2:$A$41,0)),"")</f>
        <v>الإدارة العامة للتدريب والتأهيل العسكري</v>
      </c>
      <c r="G438" s="20" t="s">
        <v>62</v>
      </c>
      <c r="H438" s="18" t="str">
        <f aca="false">IFERROR(INDEX(المرجع!$A$2:$A$19,MATCH($G438,المرجع!$B$2:$B$19,0)),"")</f>
        <v>البناء المؤسسي</v>
      </c>
      <c r="I438" s="20" t="s">
        <v>57</v>
      </c>
      <c r="J438" s="18" t="str">
        <f aca="false">IFERROR(INDEX(المرجع!$D$2:$D$19,MATCH($I438,المرجع!$E$2:$E$19,0)),"")</f>
        <v>الموارد</v>
      </c>
      <c r="K438" s="20" t="s">
        <v>108</v>
      </c>
      <c r="L438" s="21" t="str">
        <f aca="false">IFERROR(INDEX('نقاط التحقق'!$G$2:$G$31,MATCH($K438,'نقاط التحقق'!$A$2:$A$31,0))&amp;"","")</f>
        <v>مدير الوحدة التنظيمية والموظفون الرئيسيون معينون/ملحقون</v>
      </c>
      <c r="M438" s="17" t="n">
        <v>70</v>
      </c>
      <c r="N438" s="17" t="n">
        <v>80</v>
      </c>
      <c r="O438" s="19" t="str">
        <f aca="false">IF($M438="","غير مقيّمة",IF($M438&gt;المرجع!$K$3,"مستوفاة بشكل متقدم",IF($M438&lt;=المرجع!$K$2,"مستوفاة بشكل أولي","مستوفاة بشكل جزئي")))</f>
        <v>مستوفاة بشكل جزئي</v>
      </c>
      <c r="P438" s="22"/>
    </row>
    <row r="439" customFormat="false" ht="15" hidden="false" customHeight="true" outlineLevel="0" collapsed="false">
      <c r="A439" s="20" t="s">
        <v>1253</v>
      </c>
      <c r="B439" s="20" t="s">
        <v>224</v>
      </c>
      <c r="C439" s="19" t="str">
        <f aca="false">IFERROR(INDEX('قائمة الوحدات'!$B$2:$B$41,MATCH($B439,'قائمة الوحدات'!$A$2:$A$41,0)),"")</f>
        <v>MIL</v>
      </c>
      <c r="D439" s="18" t="str">
        <f aca="false">IFERROR(INDEX('قائمة الوحدات'!$C$2:$C$41,MATCH($B439,'قائمة الوحدات'!$A$2:$A$41,0)),"")</f>
        <v>الجهاز العسكري</v>
      </c>
      <c r="E439" s="18" t="str">
        <f aca="false">IFERROR(INDEX('قائمة الوحدات'!$D$2:$D$41,MATCH($B439,'قائمة الوحدات'!$A$2:$A$41,0)),"")</f>
        <v>الإدارة العامة للتدريب والتأهيل العسكري</v>
      </c>
      <c r="F439" s="18" t="str">
        <f aca="false">IFERROR(INDEX('قائمة الوحدات'!$F$2:$F$41,MATCH($B439,'قائمة الوحدات'!$A$2:$A$41,0)),"")</f>
        <v>الإدارة العامة للتدريب والتأهيل العسكري</v>
      </c>
      <c r="G439" s="20" t="s">
        <v>62</v>
      </c>
      <c r="H439" s="18" t="str">
        <f aca="false">IFERROR(INDEX(المرجع!$A$2:$A$19,MATCH($G439,المرجع!$B$2:$B$19,0)),"")</f>
        <v>البناء المؤسسي</v>
      </c>
      <c r="I439" s="20" t="s">
        <v>57</v>
      </c>
      <c r="J439" s="18" t="str">
        <f aca="false">IFERROR(INDEX(المرجع!$D$2:$D$19,MATCH($I439,المرجع!$E$2:$E$19,0)),"")</f>
        <v>الموارد</v>
      </c>
      <c r="K439" s="20" t="s">
        <v>110</v>
      </c>
      <c r="L439" s="21" t="str">
        <f aca="false">IFERROR(INDEX('نقاط التحقق'!$G$2:$G$31,MATCH($K439,'نقاط التحقق'!$A$2:$A$31,0))&amp;"","")</f>
        <v>خطة توظيف وتدريب مستكملة</v>
      </c>
      <c r="M439" s="17" t="n">
        <v>80</v>
      </c>
      <c r="N439" s="17" t="n">
        <v>80</v>
      </c>
      <c r="O439" s="19" t="str">
        <f aca="false">IF($M439="","غير مقيّمة",IF($M439&gt;المرجع!$K$3,"مستوفاة بشكل متقدم",IF($M439&lt;=المرجع!$K$2,"مستوفاة بشكل أولي","مستوفاة بشكل جزئي")))</f>
        <v>مستوفاة بشكل متقدم</v>
      </c>
      <c r="P439" s="22"/>
    </row>
    <row r="440" customFormat="false" ht="15" hidden="false" customHeight="true" outlineLevel="0" collapsed="false">
      <c r="A440" s="20" t="s">
        <v>1254</v>
      </c>
      <c r="B440" s="20" t="s">
        <v>224</v>
      </c>
      <c r="C440" s="19" t="str">
        <f aca="false">IFERROR(INDEX('قائمة الوحدات'!$B$2:$B$41,MATCH($B440,'قائمة الوحدات'!$A$2:$A$41,0)),"")</f>
        <v>MIL</v>
      </c>
      <c r="D440" s="18" t="str">
        <f aca="false">IFERROR(INDEX('قائمة الوحدات'!$C$2:$C$41,MATCH($B440,'قائمة الوحدات'!$A$2:$A$41,0)),"")</f>
        <v>الجهاز العسكري</v>
      </c>
      <c r="E440" s="18" t="str">
        <f aca="false">IFERROR(INDEX('قائمة الوحدات'!$D$2:$D$41,MATCH($B440,'قائمة الوحدات'!$A$2:$A$41,0)),"")</f>
        <v>الإدارة العامة للتدريب والتأهيل العسكري</v>
      </c>
      <c r="F440" s="18" t="str">
        <f aca="false">IFERROR(INDEX('قائمة الوحدات'!$F$2:$F$41,MATCH($B440,'قائمة الوحدات'!$A$2:$A$41,0)),"")</f>
        <v>الإدارة العامة للتدريب والتأهيل العسكري</v>
      </c>
      <c r="G440" s="20" t="s">
        <v>62</v>
      </c>
      <c r="H440" s="18" t="str">
        <f aca="false">IFERROR(INDEX(المرجع!$A$2:$A$19,MATCH($G440,المرجع!$B$2:$B$19,0)),"")</f>
        <v>البناء المؤسسي</v>
      </c>
      <c r="I440" s="20" t="s">
        <v>57</v>
      </c>
      <c r="J440" s="18" t="str">
        <f aca="false">IFERROR(INDEX(المرجع!$D$2:$D$19,MATCH($I440,المرجع!$E$2:$E$19,0)),"")</f>
        <v>الموارد</v>
      </c>
      <c r="K440" s="20" t="s">
        <v>112</v>
      </c>
      <c r="L440" s="21" t="str">
        <f aca="false">IFERROR(INDEX('نقاط التحقق'!$G$2:$G$31,MATCH($K440,'نقاط التحقق'!$A$2:$A$31,0))&amp;"","")</f>
        <v>وجود مساحات مكتبية كافية</v>
      </c>
      <c r="M440" s="17" t="n">
        <v>60</v>
      </c>
      <c r="N440" s="17" t="n">
        <v>100</v>
      </c>
      <c r="O440" s="19" t="str">
        <f aca="false">IF($M440="","غير مقيّمة",IF($M440&gt;المرجع!$K$3,"مستوفاة بشكل متقدم",IF($M440&lt;=المرجع!$K$2,"مستوفاة بشكل أولي","مستوفاة بشكل جزئي")))</f>
        <v>مستوفاة بشكل جزئي</v>
      </c>
      <c r="P440" s="22"/>
    </row>
    <row r="441" customFormat="false" ht="15" hidden="false" customHeight="true" outlineLevel="0" collapsed="false">
      <c r="A441" s="20" t="s">
        <v>1255</v>
      </c>
      <c r="B441" s="20" t="s">
        <v>224</v>
      </c>
      <c r="C441" s="19" t="str">
        <f aca="false">IFERROR(INDEX('قائمة الوحدات'!$B$2:$B$41,MATCH($B441,'قائمة الوحدات'!$A$2:$A$41,0)),"")</f>
        <v>MIL</v>
      </c>
      <c r="D441" s="18" t="str">
        <f aca="false">IFERROR(INDEX('قائمة الوحدات'!$C$2:$C$41,MATCH($B441,'قائمة الوحدات'!$A$2:$A$41,0)),"")</f>
        <v>الجهاز العسكري</v>
      </c>
      <c r="E441" s="18" t="str">
        <f aca="false">IFERROR(INDEX('قائمة الوحدات'!$D$2:$D$41,MATCH($B441,'قائمة الوحدات'!$A$2:$A$41,0)),"")</f>
        <v>الإدارة العامة للتدريب والتأهيل العسكري</v>
      </c>
      <c r="F441" s="18" t="str">
        <f aca="false">IFERROR(INDEX('قائمة الوحدات'!$F$2:$F$41,MATCH($B441,'قائمة الوحدات'!$A$2:$A$41,0)),"")</f>
        <v>الإدارة العامة للتدريب والتأهيل العسكري</v>
      </c>
      <c r="G441" s="20" t="s">
        <v>62</v>
      </c>
      <c r="H441" s="18" t="str">
        <f aca="false">IFERROR(INDEX(المرجع!$A$2:$A$19,MATCH($G441,المرجع!$B$2:$B$19,0)),"")</f>
        <v>البناء المؤسسي</v>
      </c>
      <c r="I441" s="20" t="s">
        <v>57</v>
      </c>
      <c r="J441" s="18" t="str">
        <f aca="false">IFERROR(INDEX(المرجع!$D$2:$D$19,MATCH($I441,المرجع!$E$2:$E$19,0)),"")</f>
        <v>الموارد</v>
      </c>
      <c r="K441" s="20" t="s">
        <v>114</v>
      </c>
      <c r="L441" s="21" t="str">
        <f aca="false">IFERROR(INDEX('نقاط التحقق'!$G$2:$G$31,MATCH($K441,'نقاط التحقق'!$A$2:$A$31,0))&amp;"","")</f>
        <v>وجود الاحتياجات التقنية الأساسية</v>
      </c>
      <c r="M441" s="17" t="n">
        <v>85</v>
      </c>
      <c r="N441" s="17" t="n">
        <v>95</v>
      </c>
      <c r="O441" s="19" t="str">
        <f aca="false">IF($M441="","غير مقيّمة",IF($M441&gt;المرجع!$K$3,"مستوفاة بشكل متقدم",IF($M441&lt;=المرجع!$K$2,"مستوفاة بشكل أولي","مستوفاة بشكل جزئي")))</f>
        <v>مستوفاة بشكل متقدم</v>
      </c>
      <c r="P441" s="22"/>
    </row>
    <row r="442" customFormat="false" ht="15" hidden="false" customHeight="true" outlineLevel="0" collapsed="false">
      <c r="A442" s="20" t="s">
        <v>1256</v>
      </c>
      <c r="B442" s="20" t="s">
        <v>224</v>
      </c>
      <c r="C442" s="19" t="str">
        <f aca="false">IFERROR(INDEX('قائمة الوحدات'!$B$2:$B$41,MATCH($B442,'قائمة الوحدات'!$A$2:$A$41,0)),"")</f>
        <v>MIL</v>
      </c>
      <c r="D442" s="18" t="str">
        <f aca="false">IFERROR(INDEX('قائمة الوحدات'!$C$2:$C$41,MATCH($B442,'قائمة الوحدات'!$A$2:$A$41,0)),"")</f>
        <v>الجهاز العسكري</v>
      </c>
      <c r="E442" s="18" t="str">
        <f aca="false">IFERROR(INDEX('قائمة الوحدات'!$D$2:$D$41,MATCH($B442,'قائمة الوحدات'!$A$2:$A$41,0)),"")</f>
        <v>الإدارة العامة للتدريب والتأهيل العسكري</v>
      </c>
      <c r="F442" s="18" t="str">
        <f aca="false">IFERROR(INDEX('قائمة الوحدات'!$F$2:$F$41,MATCH($B442,'قائمة الوحدات'!$A$2:$A$41,0)),"")</f>
        <v>الإدارة العامة للتدريب والتأهيل العسكري</v>
      </c>
      <c r="G442" s="20" t="s">
        <v>62</v>
      </c>
      <c r="H442" s="18" t="str">
        <f aca="false">IFERROR(INDEX(المرجع!$A$2:$A$19,MATCH($G442,المرجع!$B$2:$B$19,0)),"")</f>
        <v>البناء المؤسسي</v>
      </c>
      <c r="I442" s="20" t="s">
        <v>60</v>
      </c>
      <c r="J442" s="18" t="str">
        <f aca="false">IFERROR(INDEX(المرجع!$D$2:$D$19,MATCH($I442,المرجع!$E$2:$E$19,0)),"")</f>
        <v>الإجراءات</v>
      </c>
      <c r="K442" s="20" t="s">
        <v>116</v>
      </c>
      <c r="L442" s="21" t="str">
        <f aca="false">IFERROR(INDEX('نقاط التحقق'!$G$2:$G$31,MATCH($K442,'نقاط التحقق'!$A$2:$A$31,0))&amp;"","")</f>
        <v>إجراءات معتمدة للوحدة التنظيمية</v>
      </c>
      <c r="M442" s="17" t="n">
        <v>53</v>
      </c>
      <c r="N442" s="17" t="n">
        <v>95</v>
      </c>
      <c r="O442" s="19" t="str">
        <f aca="false">IF($M442="","غير مقيّمة",IF($M442&gt;المرجع!$K$3,"مستوفاة بشكل متقدم",IF($M442&lt;=المرجع!$K$2,"مستوفاة بشكل أولي","مستوفاة بشكل جزئي")))</f>
        <v>مستوفاة بشكل جزئي</v>
      </c>
      <c r="P442" s="22"/>
    </row>
    <row r="443" customFormat="false" ht="15" hidden="false" customHeight="true" outlineLevel="0" collapsed="false">
      <c r="A443" s="20" t="s">
        <v>1257</v>
      </c>
      <c r="B443" s="20" t="s">
        <v>224</v>
      </c>
      <c r="C443" s="19" t="str">
        <f aca="false">IFERROR(INDEX('قائمة الوحدات'!$B$2:$B$41,MATCH($B443,'قائمة الوحدات'!$A$2:$A$41,0)),"")</f>
        <v>MIL</v>
      </c>
      <c r="D443" s="18" t="str">
        <f aca="false">IFERROR(INDEX('قائمة الوحدات'!$C$2:$C$41,MATCH($B443,'قائمة الوحدات'!$A$2:$A$41,0)),"")</f>
        <v>الجهاز العسكري</v>
      </c>
      <c r="E443" s="18" t="str">
        <f aca="false">IFERROR(INDEX('قائمة الوحدات'!$D$2:$D$41,MATCH($B443,'قائمة الوحدات'!$A$2:$A$41,0)),"")</f>
        <v>الإدارة العامة للتدريب والتأهيل العسكري</v>
      </c>
      <c r="F443" s="18" t="str">
        <f aca="false">IFERROR(INDEX('قائمة الوحدات'!$F$2:$F$41,MATCH($B443,'قائمة الوحدات'!$A$2:$A$41,0)),"")</f>
        <v>الإدارة العامة للتدريب والتأهيل العسكري</v>
      </c>
      <c r="G443" s="20" t="s">
        <v>62</v>
      </c>
      <c r="H443" s="18" t="str">
        <f aca="false">IFERROR(INDEX(المرجع!$A$2:$A$19,MATCH($G443,المرجع!$B$2:$B$19,0)),"")</f>
        <v>البناء المؤسسي</v>
      </c>
      <c r="I443" s="20" t="s">
        <v>69</v>
      </c>
      <c r="J443" s="18" t="str">
        <f aca="false">IFERROR(INDEX(المرجع!$D$2:$D$19,MATCH($I443,المرجع!$E$2:$E$19,0)),"")</f>
        <v>إنتاج المخرج الأول</v>
      </c>
      <c r="K443" s="20" t="s">
        <v>118</v>
      </c>
      <c r="L443" s="21" t="str">
        <f aca="false">IFERROR(INDEX('نقاط التحقق'!$G$2:$G$31,MATCH($K443,'نقاط التحقق'!$A$2:$A$31,0))&amp;"","")</f>
        <v>إنتاج المخرج الأول من قبل الوحدة التنظيمية</v>
      </c>
      <c r="M443" s="17" t="n">
        <v>43</v>
      </c>
      <c r="N443" s="17" t="n">
        <v>100</v>
      </c>
      <c r="O443" s="19" t="str">
        <f aca="false">IF($M443="","غير مقيّمة",IF($M443&gt;المرجع!$K$3,"مستوفاة بشكل متقدم",IF($M443&lt;=المرجع!$K$2,"مستوفاة بشكل أولي","مستوفاة بشكل جزئي")))</f>
        <v>مستوفاة بشكل جزئي</v>
      </c>
      <c r="P443" s="22"/>
    </row>
    <row r="444" customFormat="false" ht="15" hidden="false" customHeight="true" outlineLevel="0" collapsed="false">
      <c r="A444" s="20" t="s">
        <v>1258</v>
      </c>
      <c r="B444" s="20" t="s">
        <v>224</v>
      </c>
      <c r="C444" s="19" t="str">
        <f aca="false">IFERROR(INDEX('قائمة الوحدات'!$B$2:$B$41,MATCH($B444,'قائمة الوحدات'!$A$2:$A$41,0)),"")</f>
        <v>MIL</v>
      </c>
      <c r="D444" s="18" t="str">
        <f aca="false">IFERROR(INDEX('قائمة الوحدات'!$C$2:$C$41,MATCH($B444,'قائمة الوحدات'!$A$2:$A$41,0)),"")</f>
        <v>الجهاز العسكري</v>
      </c>
      <c r="E444" s="18" t="str">
        <f aca="false">IFERROR(INDEX('قائمة الوحدات'!$D$2:$D$41,MATCH($B444,'قائمة الوحدات'!$A$2:$A$41,0)),"")</f>
        <v>الإدارة العامة للتدريب والتأهيل العسكري</v>
      </c>
      <c r="F444" s="18" t="str">
        <f aca="false">IFERROR(INDEX('قائمة الوحدات'!$F$2:$F$41,MATCH($B444,'قائمة الوحدات'!$A$2:$A$41,0)),"")</f>
        <v>الإدارة العامة للتدريب والتأهيل العسكري</v>
      </c>
      <c r="G444" s="20" t="s">
        <v>66</v>
      </c>
      <c r="H444" s="18" t="str">
        <f aca="false">IFERROR(INDEX(المرجع!$A$2:$A$19,MATCH($G444,المرجع!$B$2:$B$19,0)),"")</f>
        <v>التشغيل</v>
      </c>
      <c r="I444" s="20" t="s">
        <v>49</v>
      </c>
      <c r="J444" s="18" t="str">
        <f aca="false">IFERROR(INDEX(المرجع!$D$2:$D$19,MATCH($I444,المرجع!$E$2:$E$19,0)),"")</f>
        <v>الأهداف ومؤشرات الأداء</v>
      </c>
      <c r="K444" s="20" t="s">
        <v>120</v>
      </c>
      <c r="L444" s="21" t="str">
        <f aca="false">IFERROR(INDEX('نقاط التحقق'!$G$2:$G$31,MATCH($K444,'نقاط التحقق'!$A$2:$A$31,0))&amp;"","")</f>
        <v>تحرك مؤشرات الأداء التشغيلي للوحدة التنظيمية بشكل إيجابي</v>
      </c>
      <c r="M444" s="17" t="n">
        <v>45</v>
      </c>
      <c r="N444" s="17" t="n">
        <v>100</v>
      </c>
      <c r="O444" s="19" t="str">
        <f aca="false">IF($M444="","غير مقيّمة",IF($M444&gt;المرجع!$K$3,"مستوفاة بشكل متقدم",IF($M444&lt;=المرجع!$K$2,"مستوفاة بشكل أولي","مستوفاة بشكل جزئي")))</f>
        <v>مستوفاة بشكل جزئي</v>
      </c>
      <c r="P444" s="22"/>
    </row>
    <row r="445" customFormat="false" ht="15" hidden="false" customHeight="true" outlineLevel="0" collapsed="false">
      <c r="A445" s="20" t="s">
        <v>1259</v>
      </c>
      <c r="B445" s="20" t="s">
        <v>224</v>
      </c>
      <c r="C445" s="19" t="str">
        <f aca="false">IFERROR(INDEX('قائمة الوحدات'!$B$2:$B$41,MATCH($B445,'قائمة الوحدات'!$A$2:$A$41,0)),"")</f>
        <v>MIL</v>
      </c>
      <c r="D445" s="18" t="str">
        <f aca="false">IFERROR(INDEX('قائمة الوحدات'!$C$2:$C$41,MATCH($B445,'قائمة الوحدات'!$A$2:$A$41,0)),"")</f>
        <v>الجهاز العسكري</v>
      </c>
      <c r="E445" s="18" t="str">
        <f aca="false">IFERROR(INDEX('قائمة الوحدات'!$D$2:$D$41,MATCH($B445,'قائمة الوحدات'!$A$2:$A$41,0)),"")</f>
        <v>الإدارة العامة للتدريب والتأهيل العسكري</v>
      </c>
      <c r="F445" s="18" t="str">
        <f aca="false">IFERROR(INDEX('قائمة الوحدات'!$F$2:$F$41,MATCH($B445,'قائمة الوحدات'!$A$2:$A$41,0)),"")</f>
        <v>الإدارة العامة للتدريب والتأهيل العسكري</v>
      </c>
      <c r="G445" s="20" t="s">
        <v>66</v>
      </c>
      <c r="H445" s="18" t="str">
        <f aca="false">IFERROR(INDEX(المرجع!$A$2:$A$19,MATCH($G445,المرجع!$B$2:$B$19,0)),"")</f>
        <v>التشغيل</v>
      </c>
      <c r="I445" s="20" t="s">
        <v>49</v>
      </c>
      <c r="J445" s="18" t="str">
        <f aca="false">IFERROR(INDEX(المرجع!$D$2:$D$19,MATCH($I445,المرجع!$E$2:$E$19,0)),"")</f>
        <v>الأهداف ومؤشرات الأداء</v>
      </c>
      <c r="K445" s="20" t="s">
        <v>122</v>
      </c>
      <c r="L445" s="21" t="str">
        <f aca="false">IFERROR(INDEX('نقاط التحقق'!$G$2:$G$31,MATCH($K445,'نقاط التحقق'!$A$2:$A$31,0))&amp;"","")</f>
        <v>خطة سنوية معتمدة للوحدة التنظيمية</v>
      </c>
      <c r="M445" s="17" t="n">
        <v>70</v>
      </c>
      <c r="N445" s="17" t="n">
        <v>85</v>
      </c>
      <c r="O445" s="19" t="str">
        <f aca="false">IF($M445="","غير مقيّمة",IF($M445&gt;المرجع!$K$3,"مستوفاة بشكل متقدم",IF($M445&lt;=المرجع!$K$2,"مستوفاة بشكل أولي","مستوفاة بشكل جزئي")))</f>
        <v>مستوفاة بشكل جزئي</v>
      </c>
      <c r="P445" s="22"/>
    </row>
    <row r="446" customFormat="false" ht="15" hidden="false" customHeight="true" outlineLevel="0" collapsed="false">
      <c r="A446" s="20" t="s">
        <v>1260</v>
      </c>
      <c r="B446" s="20" t="s">
        <v>224</v>
      </c>
      <c r="C446" s="19" t="str">
        <f aca="false">IFERROR(INDEX('قائمة الوحدات'!$B$2:$B$41,MATCH($B446,'قائمة الوحدات'!$A$2:$A$41,0)),"")</f>
        <v>MIL</v>
      </c>
      <c r="D446" s="18" t="str">
        <f aca="false">IFERROR(INDEX('قائمة الوحدات'!$C$2:$C$41,MATCH($B446,'قائمة الوحدات'!$A$2:$A$41,0)),"")</f>
        <v>الجهاز العسكري</v>
      </c>
      <c r="E446" s="18" t="str">
        <f aca="false">IFERROR(INDEX('قائمة الوحدات'!$D$2:$D$41,MATCH($B446,'قائمة الوحدات'!$A$2:$A$41,0)),"")</f>
        <v>الإدارة العامة للتدريب والتأهيل العسكري</v>
      </c>
      <c r="F446" s="18" t="str">
        <f aca="false">IFERROR(INDEX('قائمة الوحدات'!$F$2:$F$41,MATCH($B446,'قائمة الوحدات'!$A$2:$A$41,0)),"")</f>
        <v>الإدارة العامة للتدريب والتأهيل العسكري</v>
      </c>
      <c r="G446" s="20" t="s">
        <v>66</v>
      </c>
      <c r="H446" s="18" t="str">
        <f aca="false">IFERROR(INDEX(المرجع!$A$2:$A$19,MATCH($G446,المرجع!$B$2:$B$19,0)),"")</f>
        <v>التشغيل</v>
      </c>
      <c r="I446" s="20" t="s">
        <v>52</v>
      </c>
      <c r="J446" s="18" t="str">
        <f aca="false">IFERROR(INDEX(المرجع!$D$2:$D$19,MATCH($I446,المرجع!$E$2:$E$19,0)),"")</f>
        <v>الحوكمة</v>
      </c>
      <c r="K446" s="20" t="s">
        <v>124</v>
      </c>
      <c r="L446" s="21" t="str">
        <f aca="false">IFERROR(INDEX('نقاط التحقق'!$G$2:$G$31,MATCH($K446,'نقاط التحقق'!$A$2:$A$31,0))&amp;"","")</f>
        <v>محاضر لجان موثقة</v>
      </c>
      <c r="M446" s="17" t="n">
        <v>35</v>
      </c>
      <c r="N446" s="17" t="n">
        <v>100</v>
      </c>
      <c r="O446" s="19" t="str">
        <f aca="false">IF($M446="","غير مقيّمة",IF($M446&gt;المرجع!$K$3,"مستوفاة بشكل متقدم",IF($M446&lt;=المرجع!$K$2,"مستوفاة بشكل أولي","مستوفاة بشكل جزئي")))</f>
        <v>مستوفاة بشكل جزئي</v>
      </c>
      <c r="P446" s="22"/>
    </row>
    <row r="447" customFormat="false" ht="15" hidden="false" customHeight="true" outlineLevel="0" collapsed="false">
      <c r="A447" s="20" t="s">
        <v>1261</v>
      </c>
      <c r="B447" s="20" t="s">
        <v>224</v>
      </c>
      <c r="C447" s="19" t="str">
        <f aca="false">IFERROR(INDEX('قائمة الوحدات'!$B$2:$B$41,MATCH($B447,'قائمة الوحدات'!$A$2:$A$41,0)),"")</f>
        <v>MIL</v>
      </c>
      <c r="D447" s="18" t="str">
        <f aca="false">IFERROR(INDEX('قائمة الوحدات'!$C$2:$C$41,MATCH($B447,'قائمة الوحدات'!$A$2:$A$41,0)),"")</f>
        <v>الجهاز العسكري</v>
      </c>
      <c r="E447" s="18" t="str">
        <f aca="false">IFERROR(INDEX('قائمة الوحدات'!$D$2:$D$41,MATCH($B447,'قائمة الوحدات'!$A$2:$A$41,0)),"")</f>
        <v>الإدارة العامة للتدريب والتأهيل العسكري</v>
      </c>
      <c r="F447" s="18" t="str">
        <f aca="false">IFERROR(INDEX('قائمة الوحدات'!$F$2:$F$41,MATCH($B447,'قائمة الوحدات'!$A$2:$A$41,0)),"")</f>
        <v>الإدارة العامة للتدريب والتأهيل العسكري</v>
      </c>
      <c r="G447" s="20" t="s">
        <v>66</v>
      </c>
      <c r="H447" s="18" t="str">
        <f aca="false">IFERROR(INDEX(المرجع!$A$2:$A$19,MATCH($G447,المرجع!$B$2:$B$19,0)),"")</f>
        <v>التشغيل</v>
      </c>
      <c r="I447" s="20" t="s">
        <v>52</v>
      </c>
      <c r="J447" s="18" t="str">
        <f aca="false">IFERROR(INDEX(المرجع!$D$2:$D$19,MATCH($I447,المرجع!$E$2:$E$19,0)),"")</f>
        <v>الحوكمة</v>
      </c>
      <c r="K447" s="20" t="s">
        <v>126</v>
      </c>
      <c r="L447" s="21" t="str">
        <f aca="false">IFERROR(INDEX('نقاط التحقق'!$G$2:$G$31,MATCH($K447,'نقاط التحقق'!$A$2:$A$31,0))&amp;"","")</f>
        <v>نشر السياسات التي تملكها الوحدة التنظيمية</v>
      </c>
      <c r="M447" s="17" t="n">
        <v>10</v>
      </c>
      <c r="N447" s="17" t="n">
        <v>100</v>
      </c>
      <c r="O447" s="19" t="str">
        <f aca="false">IF($M447="","غير مقيّمة",IF($M447&gt;المرجع!$K$3,"مستوفاة بشكل متقدم",IF($M447&lt;=المرجع!$K$2,"مستوفاة بشكل أولي","مستوفاة بشكل جزئي")))</f>
        <v>مستوفاة بشكل أولي</v>
      </c>
      <c r="P447" s="22"/>
    </row>
    <row r="448" customFormat="false" ht="15" hidden="false" customHeight="true" outlineLevel="0" collapsed="false">
      <c r="A448" s="20" t="s">
        <v>1262</v>
      </c>
      <c r="B448" s="20" t="s">
        <v>224</v>
      </c>
      <c r="C448" s="19" t="str">
        <f aca="false">IFERROR(INDEX('قائمة الوحدات'!$B$2:$B$41,MATCH($B448,'قائمة الوحدات'!$A$2:$A$41,0)),"")</f>
        <v>MIL</v>
      </c>
      <c r="D448" s="18" t="str">
        <f aca="false">IFERROR(INDEX('قائمة الوحدات'!$C$2:$C$41,MATCH($B448,'قائمة الوحدات'!$A$2:$A$41,0)),"")</f>
        <v>الجهاز العسكري</v>
      </c>
      <c r="E448" s="18" t="str">
        <f aca="false">IFERROR(INDEX('قائمة الوحدات'!$D$2:$D$41,MATCH($B448,'قائمة الوحدات'!$A$2:$A$41,0)),"")</f>
        <v>الإدارة العامة للتدريب والتأهيل العسكري</v>
      </c>
      <c r="F448" s="18" t="str">
        <f aca="false">IFERROR(INDEX('قائمة الوحدات'!$F$2:$F$41,MATCH($B448,'قائمة الوحدات'!$A$2:$A$41,0)),"")</f>
        <v>الإدارة العامة للتدريب والتأهيل العسكري</v>
      </c>
      <c r="G448" s="20" t="s">
        <v>66</v>
      </c>
      <c r="H448" s="18" t="str">
        <f aca="false">IFERROR(INDEX(المرجع!$A$2:$A$19,MATCH($G448,المرجع!$B$2:$B$19,0)),"")</f>
        <v>التشغيل</v>
      </c>
      <c r="I448" s="20" t="s">
        <v>52</v>
      </c>
      <c r="J448" s="18" t="str">
        <f aca="false">IFERROR(INDEX(المرجع!$D$2:$D$19,MATCH($I448,المرجع!$E$2:$E$19,0)),"")</f>
        <v>الحوكمة</v>
      </c>
      <c r="K448" s="20" t="s">
        <v>128</v>
      </c>
      <c r="L448" s="21" t="str">
        <f aca="false">IFERROR(INDEX('نقاط التحقق'!$G$2:$G$31,MATCH($K448,'نقاط التحقق'!$A$2:$A$31,0))&amp;"","")</f>
        <v>اتخاذ القرارات في نطاق الصلاحيات (وجود شواهد)</v>
      </c>
      <c r="M448" s="17" t="n">
        <v>35</v>
      </c>
      <c r="N448" s="17" t="n">
        <v>90</v>
      </c>
      <c r="O448" s="19" t="str">
        <f aca="false">IF($M448="","غير مقيّمة",IF($M448&gt;المرجع!$K$3,"مستوفاة بشكل متقدم",IF($M448&lt;=المرجع!$K$2,"مستوفاة بشكل أولي","مستوفاة بشكل جزئي")))</f>
        <v>مستوفاة بشكل جزئي</v>
      </c>
      <c r="P448" s="22"/>
    </row>
    <row r="449" customFormat="false" ht="15" hidden="false" customHeight="true" outlineLevel="0" collapsed="false">
      <c r="A449" s="20" t="s">
        <v>1263</v>
      </c>
      <c r="B449" s="20" t="s">
        <v>224</v>
      </c>
      <c r="C449" s="19" t="str">
        <f aca="false">IFERROR(INDEX('قائمة الوحدات'!$B$2:$B$41,MATCH($B449,'قائمة الوحدات'!$A$2:$A$41,0)),"")</f>
        <v>MIL</v>
      </c>
      <c r="D449" s="18" t="str">
        <f aca="false">IFERROR(INDEX('قائمة الوحدات'!$C$2:$C$41,MATCH($B449,'قائمة الوحدات'!$A$2:$A$41,0)),"")</f>
        <v>الجهاز العسكري</v>
      </c>
      <c r="E449" s="18" t="str">
        <f aca="false">IFERROR(INDEX('قائمة الوحدات'!$D$2:$D$41,MATCH($B449,'قائمة الوحدات'!$A$2:$A$41,0)),"")</f>
        <v>الإدارة العامة للتدريب والتأهيل العسكري</v>
      </c>
      <c r="F449" s="18" t="str">
        <f aca="false">IFERROR(INDEX('قائمة الوحدات'!$F$2:$F$41,MATCH($B449,'قائمة الوحدات'!$A$2:$A$41,0)),"")</f>
        <v>الإدارة العامة للتدريب والتأهيل العسكري</v>
      </c>
      <c r="G449" s="20" t="s">
        <v>66</v>
      </c>
      <c r="H449" s="18" t="str">
        <f aca="false">IFERROR(INDEX(المرجع!$A$2:$A$19,MATCH($G449,المرجع!$B$2:$B$19,0)),"")</f>
        <v>التشغيل</v>
      </c>
      <c r="I449" s="20" t="s">
        <v>57</v>
      </c>
      <c r="J449" s="18" t="str">
        <f aca="false">IFERROR(INDEX(المرجع!$D$2:$D$19,MATCH($I449,المرجع!$E$2:$E$19,0)),"")</f>
        <v>الموارد</v>
      </c>
      <c r="K449" s="20" t="s">
        <v>130</v>
      </c>
      <c r="L449" s="21" t="str">
        <f aca="false">IFERROR(INDEX('نقاط التحقق'!$G$2:$G$31,MATCH($K449,'نقاط التحقق'!$A$2:$A$31,0))&amp;"","")</f>
        <v>موارد مستكملة للحد الأدنى الذي يغطي كافة محاور سلسلة القيمة</v>
      </c>
      <c r="M449" s="17" t="n">
        <v>44</v>
      </c>
      <c r="N449" s="17" t="n">
        <v>95</v>
      </c>
      <c r="O449" s="19" t="str">
        <f aca="false">IF($M449="","غير مقيّمة",IF($M449&gt;المرجع!$K$3,"مستوفاة بشكل متقدم",IF($M449&lt;=المرجع!$K$2,"مستوفاة بشكل أولي","مستوفاة بشكل جزئي")))</f>
        <v>مستوفاة بشكل جزئي</v>
      </c>
      <c r="P449" s="22"/>
    </row>
    <row r="450" customFormat="false" ht="15" hidden="false" customHeight="true" outlineLevel="0" collapsed="false">
      <c r="A450" s="20" t="s">
        <v>1264</v>
      </c>
      <c r="B450" s="20" t="s">
        <v>224</v>
      </c>
      <c r="C450" s="19" t="str">
        <f aca="false">IFERROR(INDEX('قائمة الوحدات'!$B$2:$B$41,MATCH($B450,'قائمة الوحدات'!$A$2:$A$41,0)),"")</f>
        <v>MIL</v>
      </c>
      <c r="D450" s="18" t="str">
        <f aca="false">IFERROR(INDEX('قائمة الوحدات'!$C$2:$C$41,MATCH($B450,'قائمة الوحدات'!$A$2:$A$41,0)),"")</f>
        <v>الجهاز العسكري</v>
      </c>
      <c r="E450" s="18" t="str">
        <f aca="false">IFERROR(INDEX('قائمة الوحدات'!$D$2:$D$41,MATCH($B450,'قائمة الوحدات'!$A$2:$A$41,0)),"")</f>
        <v>الإدارة العامة للتدريب والتأهيل العسكري</v>
      </c>
      <c r="F450" s="18" t="str">
        <f aca="false">IFERROR(INDEX('قائمة الوحدات'!$F$2:$F$41,MATCH($B450,'قائمة الوحدات'!$A$2:$A$41,0)),"")</f>
        <v>الإدارة العامة للتدريب والتأهيل العسكري</v>
      </c>
      <c r="G450" s="20" t="s">
        <v>66</v>
      </c>
      <c r="H450" s="18" t="str">
        <f aca="false">IFERROR(INDEX(المرجع!$A$2:$A$19,MATCH($G450,المرجع!$B$2:$B$19,0)),"")</f>
        <v>التشغيل</v>
      </c>
      <c r="I450" s="20" t="s">
        <v>60</v>
      </c>
      <c r="J450" s="18" t="str">
        <f aca="false">IFERROR(INDEX(المرجع!$D$2:$D$19,MATCH($I450,المرجع!$E$2:$E$19,0)),"")</f>
        <v>الإجراءات</v>
      </c>
      <c r="K450" s="20" t="s">
        <v>132</v>
      </c>
      <c r="L450" s="21" t="str">
        <f aca="false">IFERROR(INDEX('نقاط التحقق'!$G$2:$G$31,MATCH($K450,'نقاط التحقق'!$A$2:$A$31,0))&amp;"","")</f>
        <v>تحقيق تقييم "مطبق بشكل كامل" من منهجية تقييم فعالية الإجراءات</v>
      </c>
      <c r="M450" s="17" t="n">
        <v>49</v>
      </c>
      <c r="N450" s="17" t="n">
        <v>80</v>
      </c>
      <c r="O450" s="19" t="str">
        <f aca="false">IF($M450="","غير مقيّمة",IF($M450&gt;المرجع!$K$3,"مستوفاة بشكل متقدم",IF($M450&lt;=المرجع!$K$2,"مستوفاة بشكل أولي","مستوفاة بشكل جزئي")))</f>
        <v>مستوفاة بشكل جزئي</v>
      </c>
      <c r="P450" s="22"/>
    </row>
    <row r="451" customFormat="false" ht="15" hidden="false" customHeight="true" outlineLevel="0" collapsed="false">
      <c r="A451" s="20" t="s">
        <v>1265</v>
      </c>
      <c r="B451" s="20" t="s">
        <v>224</v>
      </c>
      <c r="C451" s="19" t="str">
        <f aca="false">IFERROR(INDEX('قائمة الوحدات'!$B$2:$B$41,MATCH($B451,'قائمة الوحدات'!$A$2:$A$41,0)),"")</f>
        <v>MIL</v>
      </c>
      <c r="D451" s="18" t="str">
        <f aca="false">IFERROR(INDEX('قائمة الوحدات'!$C$2:$C$41,MATCH($B451,'قائمة الوحدات'!$A$2:$A$41,0)),"")</f>
        <v>الجهاز العسكري</v>
      </c>
      <c r="E451" s="18" t="str">
        <f aca="false">IFERROR(INDEX('قائمة الوحدات'!$D$2:$D$41,MATCH($B451,'قائمة الوحدات'!$A$2:$A$41,0)),"")</f>
        <v>الإدارة العامة للتدريب والتأهيل العسكري</v>
      </c>
      <c r="F451" s="18" t="str">
        <f aca="false">IFERROR(INDEX('قائمة الوحدات'!$F$2:$F$41,MATCH($B451,'قائمة الوحدات'!$A$2:$A$41,0)),"")</f>
        <v>الإدارة العامة للتدريب والتأهيل العسكري</v>
      </c>
      <c r="G451" s="20" t="s">
        <v>66</v>
      </c>
      <c r="H451" s="18" t="str">
        <f aca="false">IFERROR(INDEX(المرجع!$A$2:$A$19,MATCH($G451,المرجع!$B$2:$B$19,0)),"")</f>
        <v>التشغيل</v>
      </c>
      <c r="I451" s="20" t="s">
        <v>71</v>
      </c>
      <c r="J451" s="18" t="str">
        <f aca="false">IFERROR(INDEX(المرجع!$D$2:$D$19,MATCH($I451,المرجع!$E$2:$E$19,0)),"")</f>
        <v>اكتمال المخرجات المستهدفة</v>
      </c>
      <c r="K451" s="20" t="s">
        <v>134</v>
      </c>
      <c r="L451" s="21" t="str">
        <f aca="false">IFERROR(INDEX('نقاط التحقق'!$G$2:$G$31,MATCH($K451,'نقاط التحقق'!$A$2:$A$31,0))&amp;"","")</f>
        <v>اكتمال مخرجات النموذج التشغيلي المستهدف للوحدة التنظيمية</v>
      </c>
      <c r="M451" s="17" t="n">
        <v>31</v>
      </c>
      <c r="N451" s="17" t="n">
        <v>100</v>
      </c>
      <c r="O451" s="19" t="str">
        <f aca="false">IF($M451="","غير مقيّمة",IF($M451&gt;المرجع!$K$3,"مستوفاة بشكل متقدم",IF($M451&lt;=المرجع!$K$2,"مستوفاة بشكل أولي","مستوفاة بشكل جزئي")))</f>
        <v>مستوفاة بشكل جزئي</v>
      </c>
      <c r="P451" s="22"/>
    </row>
    <row r="452" customFormat="false" ht="15" hidden="false" customHeight="true" outlineLevel="0" collapsed="false">
      <c r="A452" s="20" t="s">
        <v>1266</v>
      </c>
      <c r="B452" s="20" t="s">
        <v>226</v>
      </c>
      <c r="C452" s="19" t="str">
        <f aca="false">IFERROR(INDEX('قائمة الوحدات'!$B$2:$B$41,MATCH($B452,'قائمة الوحدات'!$A$2:$A$41,0)),"")</f>
        <v>MIL</v>
      </c>
      <c r="D452" s="18" t="str">
        <f aca="false">IFERROR(INDEX('قائمة الوحدات'!$C$2:$C$41,MATCH($B452,'قائمة الوحدات'!$A$2:$A$41,0)),"")</f>
        <v>الجهاز العسكري</v>
      </c>
      <c r="E452" s="18" t="str">
        <f aca="false">IFERROR(INDEX('قائمة الوحدات'!$D$2:$D$41,MATCH($B452,'قائمة الوحدات'!$A$2:$A$41,0)),"")</f>
        <v>الإدارة العامة للتسليح والعتاد</v>
      </c>
      <c r="F452" s="18" t="str">
        <f aca="false">IFERROR(INDEX('قائمة الوحدات'!$F$2:$F$41,MATCH($B452,'قائمة الوحدات'!$A$2:$A$41,0)),"")</f>
        <v>الإدارة العامة للتسليح والعتاد</v>
      </c>
      <c r="G452" s="20" t="s">
        <v>44</v>
      </c>
      <c r="H452" s="18" t="str">
        <f aca="false">IFERROR(INDEX(المرجع!$A$2:$A$19,MATCH($G452,المرجع!$B$2:$B$19,0)),"")</f>
        <v>التصميم</v>
      </c>
      <c r="I452" s="20" t="s">
        <v>46</v>
      </c>
      <c r="J452" s="18" t="str">
        <f aca="false">IFERROR(INDEX(المرجع!$D$2:$D$19,MATCH($I452,المرجع!$E$2:$E$19,0)),"")</f>
        <v>الدور</v>
      </c>
      <c r="K452" s="20" t="s">
        <v>76</v>
      </c>
      <c r="L452" s="21" t="str">
        <f aca="false">IFERROR(INDEX('نقاط التحقق'!$G$2:$G$31,MATCH($K452,'نقاط التحقق'!$A$2:$A$31,0))&amp;"","")</f>
        <v>دور مفصل للوحدة التنظيمية</v>
      </c>
      <c r="M452" s="17" t="n">
        <v>79</v>
      </c>
      <c r="N452" s="17" t="n">
        <v>85</v>
      </c>
      <c r="O452" s="19" t="str">
        <f aca="false">IF($M452="","غير مقيّمة",IF($M452&gt;المرجع!$K$3,"مستوفاة بشكل متقدم",IF($M452&lt;=المرجع!$K$2,"مستوفاة بشكل أولي","مستوفاة بشكل جزئي")))</f>
        <v>مستوفاة بشكل متقدم</v>
      </c>
      <c r="P452" s="22"/>
    </row>
    <row r="453" customFormat="false" ht="15" hidden="false" customHeight="true" outlineLevel="0" collapsed="false">
      <c r="A453" s="20" t="s">
        <v>1267</v>
      </c>
      <c r="B453" s="20" t="s">
        <v>226</v>
      </c>
      <c r="C453" s="19" t="str">
        <f aca="false">IFERROR(INDEX('قائمة الوحدات'!$B$2:$B$41,MATCH($B453,'قائمة الوحدات'!$A$2:$A$41,0)),"")</f>
        <v>MIL</v>
      </c>
      <c r="D453" s="18" t="str">
        <f aca="false">IFERROR(INDEX('قائمة الوحدات'!$C$2:$C$41,MATCH($B453,'قائمة الوحدات'!$A$2:$A$41,0)),"")</f>
        <v>الجهاز العسكري</v>
      </c>
      <c r="E453" s="18" t="str">
        <f aca="false">IFERROR(INDEX('قائمة الوحدات'!$D$2:$D$41,MATCH($B453,'قائمة الوحدات'!$A$2:$A$41,0)),"")</f>
        <v>الإدارة العامة للتسليح والعتاد</v>
      </c>
      <c r="F453" s="18" t="str">
        <f aca="false">IFERROR(INDEX('قائمة الوحدات'!$F$2:$F$41,MATCH($B453,'قائمة الوحدات'!$A$2:$A$41,0)),"")</f>
        <v>الإدارة العامة للتسليح والعتاد</v>
      </c>
      <c r="G453" s="20" t="s">
        <v>44</v>
      </c>
      <c r="H453" s="18" t="str">
        <f aca="false">IFERROR(INDEX(المرجع!$A$2:$A$19,MATCH($G453,المرجع!$B$2:$B$19,0)),"")</f>
        <v>التصميم</v>
      </c>
      <c r="I453" s="20" t="s">
        <v>49</v>
      </c>
      <c r="J453" s="18" t="str">
        <f aca="false">IFERROR(INDEX(المرجع!$D$2:$D$19,MATCH($I453,المرجع!$E$2:$E$19,0)),"")</f>
        <v>الأهداف ومؤشرات الأداء</v>
      </c>
      <c r="K453" s="20" t="s">
        <v>78</v>
      </c>
      <c r="L453" s="21" t="str">
        <f aca="false">IFERROR(INDEX('نقاط التحقق'!$G$2:$G$31,MATCH($K453,'نقاط التحقق'!$A$2:$A$31,0))&amp;"","")</f>
        <v>أهداف محددة للوحدة التنظيمية وربطها بمؤشرات أداء لقياسها</v>
      </c>
      <c r="M453" s="17" t="n">
        <v>85</v>
      </c>
      <c r="N453" s="17" t="n">
        <v>85</v>
      </c>
      <c r="O453" s="19" t="str">
        <f aca="false">IF($M453="","غير مقيّمة",IF($M453&gt;المرجع!$K$3,"مستوفاة بشكل متقدم",IF($M453&lt;=المرجع!$K$2,"مستوفاة بشكل أولي","مستوفاة بشكل جزئي")))</f>
        <v>مستوفاة بشكل متقدم</v>
      </c>
      <c r="P453" s="22"/>
    </row>
    <row r="454" customFormat="false" ht="15" hidden="false" customHeight="true" outlineLevel="0" collapsed="false">
      <c r="A454" s="20" t="s">
        <v>1268</v>
      </c>
      <c r="B454" s="20" t="s">
        <v>226</v>
      </c>
      <c r="C454" s="19" t="str">
        <f aca="false">IFERROR(INDEX('قائمة الوحدات'!$B$2:$B$41,MATCH($B454,'قائمة الوحدات'!$A$2:$A$41,0)),"")</f>
        <v>MIL</v>
      </c>
      <c r="D454" s="18" t="str">
        <f aca="false">IFERROR(INDEX('قائمة الوحدات'!$C$2:$C$41,MATCH($B454,'قائمة الوحدات'!$A$2:$A$41,0)),"")</f>
        <v>الجهاز العسكري</v>
      </c>
      <c r="E454" s="18" t="str">
        <f aca="false">IFERROR(INDEX('قائمة الوحدات'!$D$2:$D$41,MATCH($B454,'قائمة الوحدات'!$A$2:$A$41,0)),"")</f>
        <v>الإدارة العامة للتسليح والعتاد</v>
      </c>
      <c r="F454" s="18" t="str">
        <f aca="false">IFERROR(INDEX('قائمة الوحدات'!$F$2:$F$41,MATCH($B454,'قائمة الوحدات'!$A$2:$A$41,0)),"")</f>
        <v>الإدارة العامة للتسليح والعتاد</v>
      </c>
      <c r="G454" s="20" t="s">
        <v>44</v>
      </c>
      <c r="H454" s="18" t="str">
        <f aca="false">IFERROR(INDEX(المرجع!$A$2:$A$19,MATCH($G454,المرجع!$B$2:$B$19,0)),"")</f>
        <v>التصميم</v>
      </c>
      <c r="I454" s="20" t="s">
        <v>49</v>
      </c>
      <c r="J454" s="18" t="str">
        <f aca="false">IFERROR(INDEX(المرجع!$D$2:$D$19,MATCH($I454,المرجع!$E$2:$E$19,0)),"")</f>
        <v>الأهداف ومؤشرات الأداء</v>
      </c>
      <c r="K454" s="20" t="s">
        <v>80</v>
      </c>
      <c r="L454" s="21" t="str">
        <f aca="false">IFERROR(INDEX('نقاط التحقق'!$G$2:$G$31,MATCH($K454,'نقاط التحقق'!$A$2:$A$31,0))&amp;"","")</f>
        <v>مؤشرات أداء الوحدة التنظيمية</v>
      </c>
      <c r="M454" s="17" t="n">
        <v>100</v>
      </c>
      <c r="N454" s="17" t="n">
        <v>100</v>
      </c>
      <c r="O454" s="19" t="str">
        <f aca="false">IF($M454="","غير مقيّمة",IF($M454&gt;المرجع!$K$3,"مستوفاة بشكل متقدم",IF($M454&lt;=المرجع!$K$2,"مستوفاة بشكل أولي","مستوفاة بشكل جزئي")))</f>
        <v>مستوفاة بشكل متقدم</v>
      </c>
      <c r="P454" s="22"/>
    </row>
    <row r="455" customFormat="false" ht="15" hidden="false" customHeight="true" outlineLevel="0" collapsed="false">
      <c r="A455" s="20" t="s">
        <v>1269</v>
      </c>
      <c r="B455" s="20" t="s">
        <v>226</v>
      </c>
      <c r="C455" s="19" t="str">
        <f aca="false">IFERROR(INDEX('قائمة الوحدات'!$B$2:$B$41,MATCH($B455,'قائمة الوحدات'!$A$2:$A$41,0)),"")</f>
        <v>MIL</v>
      </c>
      <c r="D455" s="18" t="str">
        <f aca="false">IFERROR(INDEX('قائمة الوحدات'!$C$2:$C$41,MATCH($B455,'قائمة الوحدات'!$A$2:$A$41,0)),"")</f>
        <v>الجهاز العسكري</v>
      </c>
      <c r="E455" s="18" t="str">
        <f aca="false">IFERROR(INDEX('قائمة الوحدات'!$D$2:$D$41,MATCH($B455,'قائمة الوحدات'!$A$2:$A$41,0)),"")</f>
        <v>الإدارة العامة للتسليح والعتاد</v>
      </c>
      <c r="F455" s="18" t="str">
        <f aca="false">IFERROR(INDEX('قائمة الوحدات'!$F$2:$F$41,MATCH($B455,'قائمة الوحدات'!$A$2:$A$41,0)),"")</f>
        <v>الإدارة العامة للتسليح والعتاد</v>
      </c>
      <c r="G455" s="20" t="s">
        <v>44</v>
      </c>
      <c r="H455" s="18" t="str">
        <f aca="false">IFERROR(INDEX(المرجع!$A$2:$A$19,MATCH($G455,المرجع!$B$2:$B$19,0)),"")</f>
        <v>التصميم</v>
      </c>
      <c r="I455" s="20" t="s">
        <v>52</v>
      </c>
      <c r="J455" s="18" t="str">
        <f aca="false">IFERROR(INDEX(المرجع!$D$2:$D$19,MATCH($I455,المرجع!$E$2:$E$19,0)),"")</f>
        <v>الحوكمة</v>
      </c>
      <c r="K455" s="20" t="s">
        <v>82</v>
      </c>
      <c r="L455" s="21" t="str">
        <f aca="false">IFERROR(INDEX('نقاط التحقق'!$G$2:$G$31,MATCH($K455,'نقاط التحقق'!$A$2:$A$31,0))&amp;"","")</f>
        <v>تفصيل القرارات ومصفوفة الصلاحيات واللجان ذات العلاقة لاعتماد مخرجات الوحدة التنظيمية</v>
      </c>
      <c r="M455" s="17" t="n">
        <v>69</v>
      </c>
      <c r="N455" s="17" t="n">
        <v>95</v>
      </c>
      <c r="O455" s="19" t="str">
        <f aca="false">IF($M455="","غير مقيّمة",IF($M455&gt;المرجع!$K$3,"مستوفاة بشكل متقدم",IF($M455&lt;=المرجع!$K$2,"مستوفاة بشكل أولي","مستوفاة بشكل جزئي")))</f>
        <v>مستوفاة بشكل جزئي</v>
      </c>
      <c r="P455" s="22"/>
    </row>
    <row r="456" customFormat="false" ht="15" hidden="false" customHeight="true" outlineLevel="0" collapsed="false">
      <c r="A456" s="20" t="s">
        <v>1270</v>
      </c>
      <c r="B456" s="20" t="s">
        <v>226</v>
      </c>
      <c r="C456" s="19" t="str">
        <f aca="false">IFERROR(INDEX('قائمة الوحدات'!$B$2:$B$41,MATCH($B456,'قائمة الوحدات'!$A$2:$A$41,0)),"")</f>
        <v>MIL</v>
      </c>
      <c r="D456" s="18" t="str">
        <f aca="false">IFERROR(INDEX('قائمة الوحدات'!$C$2:$C$41,MATCH($B456,'قائمة الوحدات'!$A$2:$A$41,0)),"")</f>
        <v>الجهاز العسكري</v>
      </c>
      <c r="E456" s="18" t="str">
        <f aca="false">IFERROR(INDEX('قائمة الوحدات'!$D$2:$D$41,MATCH($B456,'قائمة الوحدات'!$A$2:$A$41,0)),"")</f>
        <v>الإدارة العامة للتسليح والعتاد</v>
      </c>
      <c r="F456" s="18" t="str">
        <f aca="false">IFERROR(INDEX('قائمة الوحدات'!$F$2:$F$41,MATCH($B456,'قائمة الوحدات'!$A$2:$A$41,0)),"")</f>
        <v>الإدارة العامة للتسليح والعتاد</v>
      </c>
      <c r="G456" s="20" t="s">
        <v>44</v>
      </c>
      <c r="H456" s="18" t="str">
        <f aca="false">IFERROR(INDEX(المرجع!$A$2:$A$19,MATCH($G456,المرجع!$B$2:$B$19,0)),"")</f>
        <v>التصميم</v>
      </c>
      <c r="I456" s="20" t="s">
        <v>55</v>
      </c>
      <c r="J456" s="18" t="str">
        <f aca="false">IFERROR(INDEX(المرجع!$D$2:$D$19,MATCH($I456,المرجع!$E$2:$E$19,0)),"")</f>
        <v>التنظيم</v>
      </c>
      <c r="K456" s="20" t="s">
        <v>84</v>
      </c>
      <c r="L456" s="21" t="str">
        <f aca="false">IFERROR(INDEX('نقاط التحقق'!$G$2:$G$31,MATCH($K456,'نقاط التحقق'!$A$2:$A$31,0))&amp;"","")</f>
        <v>تطوير الأدوار والمسؤوليات للوحدة التنظيمية وتفصيل الهيكل التنظيمي</v>
      </c>
      <c r="M456" s="17" t="n">
        <v>90</v>
      </c>
      <c r="N456" s="17" t="n">
        <v>90</v>
      </c>
      <c r="O456" s="19" t="str">
        <f aca="false">IF($M456="","غير مقيّمة",IF($M456&gt;المرجع!$K$3,"مستوفاة بشكل متقدم",IF($M456&lt;=المرجع!$K$2,"مستوفاة بشكل أولي","مستوفاة بشكل جزئي")))</f>
        <v>مستوفاة بشكل متقدم</v>
      </c>
      <c r="P456" s="22"/>
    </row>
    <row r="457" customFormat="false" ht="15" hidden="false" customHeight="true" outlineLevel="0" collapsed="false">
      <c r="A457" s="20" t="s">
        <v>1271</v>
      </c>
      <c r="B457" s="20" t="s">
        <v>226</v>
      </c>
      <c r="C457" s="19" t="str">
        <f aca="false">IFERROR(INDEX('قائمة الوحدات'!$B$2:$B$41,MATCH($B457,'قائمة الوحدات'!$A$2:$A$41,0)),"")</f>
        <v>MIL</v>
      </c>
      <c r="D457" s="18" t="str">
        <f aca="false">IFERROR(INDEX('قائمة الوحدات'!$C$2:$C$41,MATCH($B457,'قائمة الوحدات'!$A$2:$A$41,0)),"")</f>
        <v>الجهاز العسكري</v>
      </c>
      <c r="E457" s="18" t="str">
        <f aca="false">IFERROR(INDEX('قائمة الوحدات'!$D$2:$D$41,MATCH($B457,'قائمة الوحدات'!$A$2:$A$41,0)),"")</f>
        <v>الإدارة العامة للتسليح والعتاد</v>
      </c>
      <c r="F457" s="18" t="str">
        <f aca="false">IFERROR(INDEX('قائمة الوحدات'!$F$2:$F$41,MATCH($B457,'قائمة الوحدات'!$A$2:$A$41,0)),"")</f>
        <v>الإدارة العامة للتسليح والعتاد</v>
      </c>
      <c r="G457" s="20" t="s">
        <v>44</v>
      </c>
      <c r="H457" s="18" t="str">
        <f aca="false">IFERROR(INDEX(المرجع!$A$2:$A$19,MATCH($G457,المرجع!$B$2:$B$19,0)),"")</f>
        <v>التصميم</v>
      </c>
      <c r="I457" s="20" t="s">
        <v>57</v>
      </c>
      <c r="J457" s="18" t="str">
        <f aca="false">IFERROR(INDEX(المرجع!$D$2:$D$19,MATCH($I457,المرجع!$E$2:$E$19,0)),"")</f>
        <v>الموارد</v>
      </c>
      <c r="K457" s="20" t="s">
        <v>86</v>
      </c>
      <c r="L457" s="21" t="str">
        <f aca="false">IFERROR(INDEX('نقاط التحقق'!$G$2:$G$31,MATCH($K457,'نقاط التحقق'!$A$2:$A$31,0))&amp;"","")</f>
        <v>تفصيل احتياج الموارد البشرية للوحدة التنظيمية</v>
      </c>
      <c r="M457" s="17" t="n">
        <v>81</v>
      </c>
      <c r="N457" s="17" t="n">
        <v>90</v>
      </c>
      <c r="O457" s="19" t="str">
        <f aca="false">IF($M457="","غير مقيّمة",IF($M457&gt;المرجع!$K$3,"مستوفاة بشكل متقدم",IF($M457&lt;=المرجع!$K$2,"مستوفاة بشكل أولي","مستوفاة بشكل جزئي")))</f>
        <v>مستوفاة بشكل متقدم</v>
      </c>
      <c r="P457" s="22"/>
    </row>
    <row r="458" customFormat="false" ht="15" hidden="false" customHeight="true" outlineLevel="0" collapsed="false">
      <c r="A458" s="20" t="s">
        <v>1272</v>
      </c>
      <c r="B458" s="20" t="s">
        <v>226</v>
      </c>
      <c r="C458" s="19" t="str">
        <f aca="false">IFERROR(INDEX('قائمة الوحدات'!$B$2:$B$41,MATCH($B458,'قائمة الوحدات'!$A$2:$A$41,0)),"")</f>
        <v>MIL</v>
      </c>
      <c r="D458" s="18" t="str">
        <f aca="false">IFERROR(INDEX('قائمة الوحدات'!$C$2:$C$41,MATCH($B458,'قائمة الوحدات'!$A$2:$A$41,0)),"")</f>
        <v>الجهاز العسكري</v>
      </c>
      <c r="E458" s="18" t="str">
        <f aca="false">IFERROR(INDEX('قائمة الوحدات'!$D$2:$D$41,MATCH($B458,'قائمة الوحدات'!$A$2:$A$41,0)),"")</f>
        <v>الإدارة العامة للتسليح والعتاد</v>
      </c>
      <c r="F458" s="18" t="str">
        <f aca="false">IFERROR(INDEX('قائمة الوحدات'!$F$2:$F$41,MATCH($B458,'قائمة الوحدات'!$A$2:$A$41,0)),"")</f>
        <v>الإدارة العامة للتسليح والعتاد</v>
      </c>
      <c r="G458" s="20" t="s">
        <v>44</v>
      </c>
      <c r="H458" s="18" t="str">
        <f aca="false">IFERROR(INDEX(المرجع!$A$2:$A$19,MATCH($G458,المرجع!$B$2:$B$19,0)),"")</f>
        <v>التصميم</v>
      </c>
      <c r="I458" s="20" t="s">
        <v>60</v>
      </c>
      <c r="J458" s="18" t="str">
        <f aca="false">IFERROR(INDEX(المرجع!$D$2:$D$19,MATCH($I458,المرجع!$E$2:$E$19,0)),"")</f>
        <v>الإجراءات</v>
      </c>
      <c r="K458" s="20" t="s">
        <v>88</v>
      </c>
      <c r="L458" s="21" t="str">
        <f aca="false">IFERROR(INDEX('نقاط التحقق'!$G$2:$G$31,MATCH($K458,'نقاط التحقق'!$A$2:$A$31,0))&amp;"","")</f>
        <v>تفصيل المخرجات إلى إجراءات عالية المستوى</v>
      </c>
      <c r="M458" s="17" t="n">
        <v>81</v>
      </c>
      <c r="N458" s="17" t="n">
        <v>90</v>
      </c>
      <c r="O458" s="19" t="str">
        <f aca="false">IF($M458="","غير مقيّمة",IF($M458&gt;المرجع!$K$3,"مستوفاة بشكل متقدم",IF($M458&lt;=المرجع!$K$2,"مستوفاة بشكل أولي","مستوفاة بشكل جزئي")))</f>
        <v>مستوفاة بشكل متقدم</v>
      </c>
      <c r="P458" s="22"/>
    </row>
    <row r="459" customFormat="false" ht="15" hidden="false" customHeight="true" outlineLevel="0" collapsed="false">
      <c r="A459" s="20" t="s">
        <v>1273</v>
      </c>
      <c r="B459" s="20" t="s">
        <v>226</v>
      </c>
      <c r="C459" s="19" t="str">
        <f aca="false">IFERROR(INDEX('قائمة الوحدات'!$B$2:$B$41,MATCH($B459,'قائمة الوحدات'!$A$2:$A$41,0)),"")</f>
        <v>MIL</v>
      </c>
      <c r="D459" s="18" t="str">
        <f aca="false">IFERROR(INDEX('قائمة الوحدات'!$C$2:$C$41,MATCH($B459,'قائمة الوحدات'!$A$2:$A$41,0)),"")</f>
        <v>الجهاز العسكري</v>
      </c>
      <c r="E459" s="18" t="str">
        <f aca="false">IFERROR(INDEX('قائمة الوحدات'!$D$2:$D$41,MATCH($B459,'قائمة الوحدات'!$A$2:$A$41,0)),"")</f>
        <v>الإدارة العامة للتسليح والعتاد</v>
      </c>
      <c r="F459" s="18" t="str">
        <f aca="false">IFERROR(INDEX('قائمة الوحدات'!$F$2:$F$41,MATCH($B459,'قائمة الوحدات'!$A$2:$A$41,0)),"")</f>
        <v>الإدارة العامة للتسليح والعتاد</v>
      </c>
      <c r="G459" s="20" t="s">
        <v>62</v>
      </c>
      <c r="H459" s="18" t="str">
        <f aca="false">IFERROR(INDEX(المرجع!$A$2:$A$19,MATCH($G459,المرجع!$B$2:$B$19,0)),"")</f>
        <v>البناء المؤسسي</v>
      </c>
      <c r="I459" s="20" t="s">
        <v>46</v>
      </c>
      <c r="J459" s="18" t="str">
        <f aca="false">IFERROR(INDEX(المرجع!$D$2:$D$19,MATCH($I459,المرجع!$E$2:$E$19,0)),"")</f>
        <v>الدور</v>
      </c>
      <c r="K459" s="20" t="s">
        <v>90</v>
      </c>
      <c r="L459" s="21" t="str">
        <f aca="false">IFERROR(INDEX('نقاط التحقق'!$G$2:$G$31,MATCH($K459,'نقاط التحقق'!$A$2:$A$31,0))&amp;"","")</f>
        <v>دور معتمد للوحدة التنظيمية</v>
      </c>
      <c r="M459" s="17" t="n">
        <v>88</v>
      </c>
      <c r="N459" s="17" t="n">
        <v>90</v>
      </c>
      <c r="O459" s="19" t="str">
        <f aca="false">IF($M459="","غير مقيّمة",IF($M459&gt;المرجع!$K$3,"مستوفاة بشكل متقدم",IF($M459&lt;=المرجع!$K$2,"مستوفاة بشكل أولي","مستوفاة بشكل جزئي")))</f>
        <v>مستوفاة بشكل متقدم</v>
      </c>
      <c r="P459" s="22"/>
    </row>
    <row r="460" customFormat="false" ht="15" hidden="false" customHeight="true" outlineLevel="0" collapsed="false">
      <c r="A460" s="20" t="s">
        <v>1274</v>
      </c>
      <c r="B460" s="20" t="s">
        <v>226</v>
      </c>
      <c r="C460" s="19" t="str">
        <f aca="false">IFERROR(INDEX('قائمة الوحدات'!$B$2:$B$41,MATCH($B460,'قائمة الوحدات'!$A$2:$A$41,0)),"")</f>
        <v>MIL</v>
      </c>
      <c r="D460" s="18" t="str">
        <f aca="false">IFERROR(INDEX('قائمة الوحدات'!$C$2:$C$41,MATCH($B460,'قائمة الوحدات'!$A$2:$A$41,0)),"")</f>
        <v>الجهاز العسكري</v>
      </c>
      <c r="E460" s="18" t="str">
        <f aca="false">IFERROR(INDEX('قائمة الوحدات'!$D$2:$D$41,MATCH($B460,'قائمة الوحدات'!$A$2:$A$41,0)),"")</f>
        <v>الإدارة العامة للتسليح والعتاد</v>
      </c>
      <c r="F460" s="18" t="str">
        <f aca="false">IFERROR(INDEX('قائمة الوحدات'!$F$2:$F$41,MATCH($B460,'قائمة الوحدات'!$A$2:$A$41,0)),"")</f>
        <v>الإدارة العامة للتسليح والعتاد</v>
      </c>
      <c r="G460" s="20" t="s">
        <v>62</v>
      </c>
      <c r="H460" s="18" t="str">
        <f aca="false">IFERROR(INDEX(المرجع!$A$2:$A$19,MATCH($G460,المرجع!$B$2:$B$19,0)),"")</f>
        <v>البناء المؤسسي</v>
      </c>
      <c r="I460" s="20" t="s">
        <v>49</v>
      </c>
      <c r="J460" s="18" t="str">
        <f aca="false">IFERROR(INDEX(المرجع!$D$2:$D$19,MATCH($I460,المرجع!$E$2:$E$19,0)),"")</f>
        <v>الأهداف ومؤشرات الأداء</v>
      </c>
      <c r="K460" s="20" t="s">
        <v>92</v>
      </c>
      <c r="L460" s="21" t="str">
        <f aca="false">IFERROR(INDEX('نقاط التحقق'!$G$2:$G$31,MATCH($K460,'نقاط التحقق'!$A$2:$A$31,0))&amp;"","")</f>
        <v>أهداف تشغيلية معتمدة من صاحب الصلاحية</v>
      </c>
      <c r="M460" s="17" t="n">
        <v>70</v>
      </c>
      <c r="N460" s="17" t="n">
        <v>100</v>
      </c>
      <c r="O460" s="19" t="str">
        <f aca="false">IF($M460="","غير مقيّمة",IF($M460&gt;المرجع!$K$3,"مستوفاة بشكل متقدم",IF($M460&lt;=المرجع!$K$2,"مستوفاة بشكل أولي","مستوفاة بشكل جزئي")))</f>
        <v>مستوفاة بشكل جزئي</v>
      </c>
      <c r="P460" s="22"/>
    </row>
    <row r="461" customFormat="false" ht="15" hidden="false" customHeight="true" outlineLevel="0" collapsed="false">
      <c r="A461" s="20" t="s">
        <v>1275</v>
      </c>
      <c r="B461" s="20" t="s">
        <v>226</v>
      </c>
      <c r="C461" s="19" t="str">
        <f aca="false">IFERROR(INDEX('قائمة الوحدات'!$B$2:$B$41,MATCH($B461,'قائمة الوحدات'!$A$2:$A$41,0)),"")</f>
        <v>MIL</v>
      </c>
      <c r="D461" s="18" t="str">
        <f aca="false">IFERROR(INDEX('قائمة الوحدات'!$C$2:$C$41,MATCH($B461,'قائمة الوحدات'!$A$2:$A$41,0)),"")</f>
        <v>الجهاز العسكري</v>
      </c>
      <c r="E461" s="18" t="str">
        <f aca="false">IFERROR(INDEX('قائمة الوحدات'!$D$2:$D$41,MATCH($B461,'قائمة الوحدات'!$A$2:$A$41,0)),"")</f>
        <v>الإدارة العامة للتسليح والعتاد</v>
      </c>
      <c r="F461" s="18" t="str">
        <f aca="false">IFERROR(INDEX('قائمة الوحدات'!$F$2:$F$41,MATCH($B461,'قائمة الوحدات'!$A$2:$A$41,0)),"")</f>
        <v>الإدارة العامة للتسليح والعتاد</v>
      </c>
      <c r="G461" s="20" t="s">
        <v>62</v>
      </c>
      <c r="H461" s="18" t="str">
        <f aca="false">IFERROR(INDEX(المرجع!$A$2:$A$19,MATCH($G461,المرجع!$B$2:$B$19,0)),"")</f>
        <v>البناء المؤسسي</v>
      </c>
      <c r="I461" s="20" t="s">
        <v>49</v>
      </c>
      <c r="J461" s="18" t="str">
        <f aca="false">IFERROR(INDEX(المرجع!$D$2:$D$19,MATCH($I461,المرجع!$E$2:$E$19,0)),"")</f>
        <v>الأهداف ومؤشرات الأداء</v>
      </c>
      <c r="K461" s="20" t="s">
        <v>94</v>
      </c>
      <c r="L461" s="21" t="str">
        <f aca="false">IFERROR(INDEX('نقاط التحقق'!$G$2:$G$31,MATCH($K461,'نقاط التحقق'!$A$2:$A$31,0))&amp;"","")</f>
        <v>نشر الأهداف التشغيلية على موظفي الوحدة التنظيمية</v>
      </c>
      <c r="M461" s="17" t="n">
        <v>55</v>
      </c>
      <c r="N461" s="17" t="n">
        <v>100</v>
      </c>
      <c r="O461" s="19" t="str">
        <f aca="false">IF($M461="","غير مقيّمة",IF($M461&gt;المرجع!$K$3,"مستوفاة بشكل متقدم",IF($M461&lt;=المرجع!$K$2,"مستوفاة بشكل أولي","مستوفاة بشكل جزئي")))</f>
        <v>مستوفاة بشكل جزئي</v>
      </c>
      <c r="P461" s="22"/>
    </row>
    <row r="462" customFormat="false" ht="15" hidden="false" customHeight="true" outlineLevel="0" collapsed="false">
      <c r="A462" s="20" t="s">
        <v>1276</v>
      </c>
      <c r="B462" s="20" t="s">
        <v>226</v>
      </c>
      <c r="C462" s="19" t="str">
        <f aca="false">IFERROR(INDEX('قائمة الوحدات'!$B$2:$B$41,MATCH($B462,'قائمة الوحدات'!$A$2:$A$41,0)),"")</f>
        <v>MIL</v>
      </c>
      <c r="D462" s="18" t="str">
        <f aca="false">IFERROR(INDEX('قائمة الوحدات'!$C$2:$C$41,MATCH($B462,'قائمة الوحدات'!$A$2:$A$41,0)),"")</f>
        <v>الجهاز العسكري</v>
      </c>
      <c r="E462" s="18" t="str">
        <f aca="false">IFERROR(INDEX('قائمة الوحدات'!$D$2:$D$41,MATCH($B462,'قائمة الوحدات'!$A$2:$A$41,0)),"")</f>
        <v>الإدارة العامة للتسليح والعتاد</v>
      </c>
      <c r="F462" s="18" t="str">
        <f aca="false">IFERROR(INDEX('قائمة الوحدات'!$F$2:$F$41,MATCH($B462,'قائمة الوحدات'!$A$2:$A$41,0)),"")</f>
        <v>الإدارة العامة للتسليح والعتاد</v>
      </c>
      <c r="G462" s="20" t="s">
        <v>62</v>
      </c>
      <c r="H462" s="18" t="str">
        <f aca="false">IFERROR(INDEX(المرجع!$A$2:$A$19,MATCH($G462,المرجع!$B$2:$B$19,0)),"")</f>
        <v>البناء المؤسسي</v>
      </c>
      <c r="I462" s="20" t="s">
        <v>52</v>
      </c>
      <c r="J462" s="18" t="str">
        <f aca="false">IFERROR(INDEX(المرجع!$D$2:$D$19,MATCH($I462,المرجع!$E$2:$E$19,0)),"")</f>
        <v>الحوكمة</v>
      </c>
      <c r="K462" s="20" t="s">
        <v>96</v>
      </c>
      <c r="L462" s="21" t="str">
        <f aca="false">IFERROR(INDEX('نقاط التحقق'!$G$2:$G$31,MATCH($K462,'نقاط التحقق'!$A$2:$A$31,0))&amp;"","")</f>
        <v>مصفوفة صلاحيات معتمدة ومعممة على أصحاب المصلحة</v>
      </c>
      <c r="M462" s="17" t="n">
        <v>70</v>
      </c>
      <c r="N462" s="17" t="n">
        <v>100</v>
      </c>
      <c r="O462" s="19" t="str">
        <f aca="false">IF($M462="","غير مقيّمة",IF($M462&gt;المرجع!$K$3,"مستوفاة بشكل متقدم",IF($M462&lt;=المرجع!$K$2,"مستوفاة بشكل أولي","مستوفاة بشكل جزئي")))</f>
        <v>مستوفاة بشكل جزئي</v>
      </c>
      <c r="P462" s="22"/>
    </row>
    <row r="463" customFormat="false" ht="15" hidden="false" customHeight="true" outlineLevel="0" collapsed="false">
      <c r="A463" s="20" t="s">
        <v>1277</v>
      </c>
      <c r="B463" s="20" t="s">
        <v>226</v>
      </c>
      <c r="C463" s="19" t="str">
        <f aca="false">IFERROR(INDEX('قائمة الوحدات'!$B$2:$B$41,MATCH($B463,'قائمة الوحدات'!$A$2:$A$41,0)),"")</f>
        <v>MIL</v>
      </c>
      <c r="D463" s="18" t="str">
        <f aca="false">IFERROR(INDEX('قائمة الوحدات'!$C$2:$C$41,MATCH($B463,'قائمة الوحدات'!$A$2:$A$41,0)),"")</f>
        <v>الجهاز العسكري</v>
      </c>
      <c r="E463" s="18" t="str">
        <f aca="false">IFERROR(INDEX('قائمة الوحدات'!$D$2:$D$41,MATCH($B463,'قائمة الوحدات'!$A$2:$A$41,0)),"")</f>
        <v>الإدارة العامة للتسليح والعتاد</v>
      </c>
      <c r="F463" s="18" t="str">
        <f aca="false">IFERROR(INDEX('قائمة الوحدات'!$F$2:$F$41,MATCH($B463,'قائمة الوحدات'!$A$2:$A$41,0)),"")</f>
        <v>الإدارة العامة للتسليح والعتاد</v>
      </c>
      <c r="G463" s="20" t="s">
        <v>62</v>
      </c>
      <c r="H463" s="18" t="str">
        <f aca="false">IFERROR(INDEX(المرجع!$A$2:$A$19,MATCH($G463,المرجع!$B$2:$B$19,0)),"")</f>
        <v>البناء المؤسسي</v>
      </c>
      <c r="I463" s="20" t="s">
        <v>52</v>
      </c>
      <c r="J463" s="18" t="str">
        <f aca="false">IFERROR(INDEX(المرجع!$D$2:$D$19,MATCH($I463,المرجع!$E$2:$E$19,0)),"")</f>
        <v>الحوكمة</v>
      </c>
      <c r="K463" s="20" t="s">
        <v>98</v>
      </c>
      <c r="L463" s="21" t="str">
        <f aca="false">IFERROR(INDEX('نقاط التحقق'!$G$2:$G$31,MATCH($K463,'نقاط التحقق'!$A$2:$A$31,0))&amp;"","")</f>
        <v>سياسات معتمدة للتي تملكها الوحدة التنظيمية</v>
      </c>
      <c r="M463" s="17" t="n">
        <v>95</v>
      </c>
      <c r="N463" s="17" t="n">
        <v>95</v>
      </c>
      <c r="O463" s="19" t="str">
        <f aca="false">IF($M463="","غير مقيّمة",IF($M463&gt;المرجع!$K$3,"مستوفاة بشكل متقدم",IF($M463&lt;=المرجع!$K$2,"مستوفاة بشكل أولي","مستوفاة بشكل جزئي")))</f>
        <v>مستوفاة بشكل متقدم</v>
      </c>
      <c r="P463" s="22"/>
    </row>
    <row r="464" customFormat="false" ht="15" hidden="false" customHeight="true" outlineLevel="0" collapsed="false">
      <c r="A464" s="20" t="s">
        <v>1278</v>
      </c>
      <c r="B464" s="20" t="s">
        <v>226</v>
      </c>
      <c r="C464" s="19" t="str">
        <f aca="false">IFERROR(INDEX('قائمة الوحدات'!$B$2:$B$41,MATCH($B464,'قائمة الوحدات'!$A$2:$A$41,0)),"")</f>
        <v>MIL</v>
      </c>
      <c r="D464" s="18" t="str">
        <f aca="false">IFERROR(INDEX('قائمة الوحدات'!$C$2:$C$41,MATCH($B464,'قائمة الوحدات'!$A$2:$A$41,0)),"")</f>
        <v>الجهاز العسكري</v>
      </c>
      <c r="E464" s="18" t="str">
        <f aca="false">IFERROR(INDEX('قائمة الوحدات'!$D$2:$D$41,MATCH($B464,'قائمة الوحدات'!$A$2:$A$41,0)),"")</f>
        <v>الإدارة العامة للتسليح والعتاد</v>
      </c>
      <c r="F464" s="18" t="str">
        <f aca="false">IFERROR(INDEX('قائمة الوحدات'!$F$2:$F$41,MATCH($B464,'قائمة الوحدات'!$A$2:$A$41,0)),"")</f>
        <v>الإدارة العامة للتسليح والعتاد</v>
      </c>
      <c r="G464" s="20" t="s">
        <v>62</v>
      </c>
      <c r="H464" s="18" t="str">
        <f aca="false">IFERROR(INDEX(المرجع!$A$2:$A$19,MATCH($G464,المرجع!$B$2:$B$19,0)),"")</f>
        <v>البناء المؤسسي</v>
      </c>
      <c r="I464" s="20" t="s">
        <v>52</v>
      </c>
      <c r="J464" s="18" t="str">
        <f aca="false">IFERROR(INDEX(المرجع!$D$2:$D$19,MATCH($I464,المرجع!$E$2:$E$19,0)),"")</f>
        <v>الحوكمة</v>
      </c>
      <c r="K464" s="20" t="s">
        <v>100</v>
      </c>
      <c r="L464" s="21" t="str">
        <f aca="false">IFERROR(INDEX('نقاط التحقق'!$G$2:$G$31,MATCH($K464,'نقاط التحقق'!$A$2:$A$31,0))&amp;"","")</f>
        <v>قرار تشكيل معتمد للجان ذات العلاقة</v>
      </c>
      <c r="M464" s="17" t="n">
        <v>85</v>
      </c>
      <c r="N464" s="17" t="n">
        <v>95</v>
      </c>
      <c r="O464" s="19" t="str">
        <f aca="false">IF($M464="","غير مقيّمة",IF($M464&gt;المرجع!$K$3,"مستوفاة بشكل متقدم",IF($M464&lt;=المرجع!$K$2,"مستوفاة بشكل أولي","مستوفاة بشكل جزئي")))</f>
        <v>مستوفاة بشكل متقدم</v>
      </c>
      <c r="P464" s="22"/>
    </row>
    <row r="465" customFormat="false" ht="15" hidden="false" customHeight="true" outlineLevel="0" collapsed="false">
      <c r="A465" s="20" t="s">
        <v>1279</v>
      </c>
      <c r="B465" s="20" t="s">
        <v>226</v>
      </c>
      <c r="C465" s="19" t="str">
        <f aca="false">IFERROR(INDEX('قائمة الوحدات'!$B$2:$B$41,MATCH($B465,'قائمة الوحدات'!$A$2:$A$41,0)),"")</f>
        <v>MIL</v>
      </c>
      <c r="D465" s="18" t="str">
        <f aca="false">IFERROR(INDEX('قائمة الوحدات'!$C$2:$C$41,MATCH($B465,'قائمة الوحدات'!$A$2:$A$41,0)),"")</f>
        <v>الجهاز العسكري</v>
      </c>
      <c r="E465" s="18" t="str">
        <f aca="false">IFERROR(INDEX('قائمة الوحدات'!$D$2:$D$41,MATCH($B465,'قائمة الوحدات'!$A$2:$A$41,0)),"")</f>
        <v>الإدارة العامة للتسليح والعتاد</v>
      </c>
      <c r="F465" s="18" t="str">
        <f aca="false">IFERROR(INDEX('قائمة الوحدات'!$F$2:$F$41,MATCH($B465,'قائمة الوحدات'!$A$2:$A$41,0)),"")</f>
        <v>الإدارة العامة للتسليح والعتاد</v>
      </c>
      <c r="G465" s="20" t="s">
        <v>62</v>
      </c>
      <c r="H465" s="18" t="str">
        <f aca="false">IFERROR(INDEX(المرجع!$A$2:$A$19,MATCH($G465,المرجع!$B$2:$B$19,0)),"")</f>
        <v>البناء المؤسسي</v>
      </c>
      <c r="I465" s="20" t="s">
        <v>55</v>
      </c>
      <c r="J465" s="18" t="str">
        <f aca="false">IFERROR(INDEX(المرجع!$D$2:$D$19,MATCH($I465,المرجع!$E$2:$E$19,0)),"")</f>
        <v>التنظيم</v>
      </c>
      <c r="K465" s="20" t="s">
        <v>102</v>
      </c>
      <c r="L465" s="21" t="str">
        <f aca="false">IFERROR(INDEX('نقاط التحقق'!$G$2:$G$31,MATCH($K465,'نقاط التحقق'!$A$2:$A$31,0))&amp;"","")</f>
        <v>هيكل تنظيمي معتمد من صاحب الصلاحية</v>
      </c>
      <c r="M465" s="17" t="n">
        <v>90</v>
      </c>
      <c r="N465" s="17" t="n">
        <v>100</v>
      </c>
      <c r="O465" s="19" t="str">
        <f aca="false">IF($M465="","غير مقيّمة",IF($M465&gt;المرجع!$K$3,"مستوفاة بشكل متقدم",IF($M465&lt;=المرجع!$K$2,"مستوفاة بشكل أولي","مستوفاة بشكل جزئي")))</f>
        <v>مستوفاة بشكل متقدم</v>
      </c>
      <c r="P465" s="22"/>
    </row>
    <row r="466" customFormat="false" ht="15" hidden="false" customHeight="true" outlineLevel="0" collapsed="false">
      <c r="A466" s="20" t="s">
        <v>1280</v>
      </c>
      <c r="B466" s="20" t="s">
        <v>226</v>
      </c>
      <c r="C466" s="19" t="str">
        <f aca="false">IFERROR(INDEX('قائمة الوحدات'!$B$2:$B$41,MATCH($B466,'قائمة الوحدات'!$A$2:$A$41,0)),"")</f>
        <v>MIL</v>
      </c>
      <c r="D466" s="18" t="str">
        <f aca="false">IFERROR(INDEX('قائمة الوحدات'!$C$2:$C$41,MATCH($B466,'قائمة الوحدات'!$A$2:$A$41,0)),"")</f>
        <v>الجهاز العسكري</v>
      </c>
      <c r="E466" s="18" t="str">
        <f aca="false">IFERROR(INDEX('قائمة الوحدات'!$D$2:$D$41,MATCH($B466,'قائمة الوحدات'!$A$2:$A$41,0)),"")</f>
        <v>الإدارة العامة للتسليح والعتاد</v>
      </c>
      <c r="F466" s="18" t="str">
        <f aca="false">IFERROR(INDEX('قائمة الوحدات'!$F$2:$F$41,MATCH($B466,'قائمة الوحدات'!$A$2:$A$41,0)),"")</f>
        <v>الإدارة العامة للتسليح والعتاد</v>
      </c>
      <c r="G466" s="20" t="s">
        <v>62</v>
      </c>
      <c r="H466" s="18" t="str">
        <f aca="false">IFERROR(INDEX(المرجع!$A$2:$A$19,MATCH($G466,المرجع!$B$2:$B$19,0)),"")</f>
        <v>البناء المؤسسي</v>
      </c>
      <c r="I466" s="20" t="s">
        <v>55</v>
      </c>
      <c r="J466" s="18" t="str">
        <f aca="false">IFERROR(INDEX(المرجع!$D$2:$D$19,MATCH($I466,المرجع!$E$2:$E$19,0)),"")</f>
        <v>التنظيم</v>
      </c>
      <c r="K466" s="20" t="s">
        <v>104</v>
      </c>
      <c r="L466" s="21" t="str">
        <f aca="false">IFERROR(INDEX('نقاط التحقق'!$G$2:$G$31,MATCH($K466,'نقاط التحقق'!$A$2:$A$31,0))&amp;"","")</f>
        <v>هيكل تنظيمي منشأ على نظام القوى العاملة</v>
      </c>
      <c r="M466" s="17" t="n">
        <v>70</v>
      </c>
      <c r="N466" s="17" t="n">
        <v>85</v>
      </c>
      <c r="O466" s="19" t="str">
        <f aca="false">IF($M466="","غير مقيّمة",IF($M466&gt;المرجع!$K$3,"مستوفاة بشكل متقدم",IF($M466&lt;=المرجع!$K$2,"مستوفاة بشكل أولي","مستوفاة بشكل جزئي")))</f>
        <v>مستوفاة بشكل جزئي</v>
      </c>
      <c r="P466" s="22"/>
    </row>
    <row r="467" customFormat="false" ht="15" hidden="false" customHeight="true" outlineLevel="0" collapsed="false">
      <c r="A467" s="20" t="s">
        <v>1281</v>
      </c>
      <c r="B467" s="20" t="s">
        <v>226</v>
      </c>
      <c r="C467" s="19" t="str">
        <f aca="false">IFERROR(INDEX('قائمة الوحدات'!$B$2:$B$41,MATCH($B467,'قائمة الوحدات'!$A$2:$A$41,0)),"")</f>
        <v>MIL</v>
      </c>
      <c r="D467" s="18" t="str">
        <f aca="false">IFERROR(INDEX('قائمة الوحدات'!$C$2:$C$41,MATCH($B467,'قائمة الوحدات'!$A$2:$A$41,0)),"")</f>
        <v>الجهاز العسكري</v>
      </c>
      <c r="E467" s="18" t="str">
        <f aca="false">IFERROR(INDEX('قائمة الوحدات'!$D$2:$D$41,MATCH($B467,'قائمة الوحدات'!$A$2:$A$41,0)),"")</f>
        <v>الإدارة العامة للتسليح والعتاد</v>
      </c>
      <c r="F467" s="18" t="str">
        <f aca="false">IFERROR(INDEX('قائمة الوحدات'!$F$2:$F$41,MATCH($B467,'قائمة الوحدات'!$A$2:$A$41,0)),"")</f>
        <v>الإدارة العامة للتسليح والعتاد</v>
      </c>
      <c r="G467" s="20" t="s">
        <v>62</v>
      </c>
      <c r="H467" s="18" t="str">
        <f aca="false">IFERROR(INDEX(المرجع!$A$2:$A$19,MATCH($G467,المرجع!$B$2:$B$19,0)),"")</f>
        <v>البناء المؤسسي</v>
      </c>
      <c r="I467" s="20" t="s">
        <v>55</v>
      </c>
      <c r="J467" s="18" t="str">
        <f aca="false">IFERROR(INDEX(المرجع!$D$2:$D$19,MATCH($I467,المرجع!$E$2:$E$19,0)),"")</f>
        <v>التنظيم</v>
      </c>
      <c r="K467" s="20" t="s">
        <v>106</v>
      </c>
      <c r="L467" s="21" t="str">
        <f aca="false">IFERROR(INDEX('نقاط التحقق'!$G$2:$G$31,MATCH($K467,'نقاط التحقق'!$A$2:$A$31,0))&amp;"","")</f>
        <v>الموظفون المحددون مسكّنون على الهيكل التنظيمي المستهدف</v>
      </c>
      <c r="M467" s="17" t="n">
        <v>80</v>
      </c>
      <c r="N467" s="17" t="n">
        <v>90</v>
      </c>
      <c r="O467" s="19" t="str">
        <f aca="false">IF($M467="","غير مقيّمة",IF($M467&gt;المرجع!$K$3,"مستوفاة بشكل متقدم",IF($M467&lt;=المرجع!$K$2,"مستوفاة بشكل أولي","مستوفاة بشكل جزئي")))</f>
        <v>مستوفاة بشكل متقدم</v>
      </c>
      <c r="P467" s="22"/>
    </row>
    <row r="468" customFormat="false" ht="15" hidden="false" customHeight="true" outlineLevel="0" collapsed="false">
      <c r="A468" s="20" t="s">
        <v>1282</v>
      </c>
      <c r="B468" s="20" t="s">
        <v>226</v>
      </c>
      <c r="C468" s="19" t="str">
        <f aca="false">IFERROR(INDEX('قائمة الوحدات'!$B$2:$B$41,MATCH($B468,'قائمة الوحدات'!$A$2:$A$41,0)),"")</f>
        <v>MIL</v>
      </c>
      <c r="D468" s="18" t="str">
        <f aca="false">IFERROR(INDEX('قائمة الوحدات'!$C$2:$C$41,MATCH($B468,'قائمة الوحدات'!$A$2:$A$41,0)),"")</f>
        <v>الجهاز العسكري</v>
      </c>
      <c r="E468" s="18" t="str">
        <f aca="false">IFERROR(INDEX('قائمة الوحدات'!$D$2:$D$41,MATCH($B468,'قائمة الوحدات'!$A$2:$A$41,0)),"")</f>
        <v>الإدارة العامة للتسليح والعتاد</v>
      </c>
      <c r="F468" s="18" t="str">
        <f aca="false">IFERROR(INDEX('قائمة الوحدات'!$F$2:$F$41,MATCH($B468,'قائمة الوحدات'!$A$2:$A$41,0)),"")</f>
        <v>الإدارة العامة للتسليح والعتاد</v>
      </c>
      <c r="G468" s="20" t="s">
        <v>62</v>
      </c>
      <c r="H468" s="18" t="str">
        <f aca="false">IFERROR(INDEX(المرجع!$A$2:$A$19,MATCH($G468,المرجع!$B$2:$B$19,0)),"")</f>
        <v>البناء المؤسسي</v>
      </c>
      <c r="I468" s="20" t="s">
        <v>57</v>
      </c>
      <c r="J468" s="18" t="str">
        <f aca="false">IFERROR(INDEX(المرجع!$D$2:$D$19,MATCH($I468,المرجع!$E$2:$E$19,0)),"")</f>
        <v>الموارد</v>
      </c>
      <c r="K468" s="20" t="s">
        <v>108</v>
      </c>
      <c r="L468" s="21" t="str">
        <f aca="false">IFERROR(INDEX('نقاط التحقق'!$G$2:$G$31,MATCH($K468,'نقاط التحقق'!$A$2:$A$31,0))&amp;"","")</f>
        <v>مدير الوحدة التنظيمية والموظفون الرئيسيون معينون/ملحقون</v>
      </c>
      <c r="M468" s="17" t="n">
        <v>35</v>
      </c>
      <c r="N468" s="17" t="n">
        <v>95</v>
      </c>
      <c r="O468" s="19" t="str">
        <f aca="false">IF($M468="","غير مقيّمة",IF($M468&gt;المرجع!$K$3,"مستوفاة بشكل متقدم",IF($M468&lt;=المرجع!$K$2,"مستوفاة بشكل أولي","مستوفاة بشكل جزئي")))</f>
        <v>مستوفاة بشكل جزئي</v>
      </c>
      <c r="P468" s="22"/>
    </row>
    <row r="469" customFormat="false" ht="15" hidden="false" customHeight="true" outlineLevel="0" collapsed="false">
      <c r="A469" s="20" t="s">
        <v>1283</v>
      </c>
      <c r="B469" s="20" t="s">
        <v>226</v>
      </c>
      <c r="C469" s="19" t="str">
        <f aca="false">IFERROR(INDEX('قائمة الوحدات'!$B$2:$B$41,MATCH($B469,'قائمة الوحدات'!$A$2:$A$41,0)),"")</f>
        <v>MIL</v>
      </c>
      <c r="D469" s="18" t="str">
        <f aca="false">IFERROR(INDEX('قائمة الوحدات'!$C$2:$C$41,MATCH($B469,'قائمة الوحدات'!$A$2:$A$41,0)),"")</f>
        <v>الجهاز العسكري</v>
      </c>
      <c r="E469" s="18" t="str">
        <f aca="false">IFERROR(INDEX('قائمة الوحدات'!$D$2:$D$41,MATCH($B469,'قائمة الوحدات'!$A$2:$A$41,0)),"")</f>
        <v>الإدارة العامة للتسليح والعتاد</v>
      </c>
      <c r="F469" s="18" t="str">
        <f aca="false">IFERROR(INDEX('قائمة الوحدات'!$F$2:$F$41,MATCH($B469,'قائمة الوحدات'!$A$2:$A$41,0)),"")</f>
        <v>الإدارة العامة للتسليح والعتاد</v>
      </c>
      <c r="G469" s="20" t="s">
        <v>62</v>
      </c>
      <c r="H469" s="18" t="str">
        <f aca="false">IFERROR(INDEX(المرجع!$A$2:$A$19,MATCH($G469,المرجع!$B$2:$B$19,0)),"")</f>
        <v>البناء المؤسسي</v>
      </c>
      <c r="I469" s="20" t="s">
        <v>57</v>
      </c>
      <c r="J469" s="18" t="str">
        <f aca="false">IFERROR(INDEX(المرجع!$D$2:$D$19,MATCH($I469,المرجع!$E$2:$E$19,0)),"")</f>
        <v>الموارد</v>
      </c>
      <c r="K469" s="20" t="s">
        <v>110</v>
      </c>
      <c r="L469" s="21" t="str">
        <f aca="false">IFERROR(INDEX('نقاط التحقق'!$G$2:$G$31,MATCH($K469,'نقاط التحقق'!$A$2:$A$31,0))&amp;"","")</f>
        <v>خطة توظيف وتدريب مستكملة</v>
      </c>
      <c r="M469" s="17" t="n">
        <v>60</v>
      </c>
      <c r="N469" s="17" t="n">
        <v>100</v>
      </c>
      <c r="O469" s="19" t="str">
        <f aca="false">IF($M469="","غير مقيّمة",IF($M469&gt;المرجع!$K$3,"مستوفاة بشكل متقدم",IF($M469&lt;=المرجع!$K$2,"مستوفاة بشكل أولي","مستوفاة بشكل جزئي")))</f>
        <v>مستوفاة بشكل جزئي</v>
      </c>
      <c r="P469" s="22"/>
    </row>
    <row r="470" customFormat="false" ht="15" hidden="false" customHeight="true" outlineLevel="0" collapsed="false">
      <c r="A470" s="20" t="s">
        <v>1284</v>
      </c>
      <c r="B470" s="20" t="s">
        <v>226</v>
      </c>
      <c r="C470" s="19" t="str">
        <f aca="false">IFERROR(INDEX('قائمة الوحدات'!$B$2:$B$41,MATCH($B470,'قائمة الوحدات'!$A$2:$A$41,0)),"")</f>
        <v>MIL</v>
      </c>
      <c r="D470" s="18" t="str">
        <f aca="false">IFERROR(INDEX('قائمة الوحدات'!$C$2:$C$41,MATCH($B470,'قائمة الوحدات'!$A$2:$A$41,0)),"")</f>
        <v>الجهاز العسكري</v>
      </c>
      <c r="E470" s="18" t="str">
        <f aca="false">IFERROR(INDEX('قائمة الوحدات'!$D$2:$D$41,MATCH($B470,'قائمة الوحدات'!$A$2:$A$41,0)),"")</f>
        <v>الإدارة العامة للتسليح والعتاد</v>
      </c>
      <c r="F470" s="18" t="str">
        <f aca="false">IFERROR(INDEX('قائمة الوحدات'!$F$2:$F$41,MATCH($B470,'قائمة الوحدات'!$A$2:$A$41,0)),"")</f>
        <v>الإدارة العامة للتسليح والعتاد</v>
      </c>
      <c r="G470" s="20" t="s">
        <v>62</v>
      </c>
      <c r="H470" s="18" t="str">
        <f aca="false">IFERROR(INDEX(المرجع!$A$2:$A$19,MATCH($G470,المرجع!$B$2:$B$19,0)),"")</f>
        <v>البناء المؤسسي</v>
      </c>
      <c r="I470" s="20" t="s">
        <v>57</v>
      </c>
      <c r="J470" s="18" t="str">
        <f aca="false">IFERROR(INDEX(المرجع!$D$2:$D$19,MATCH($I470,المرجع!$E$2:$E$19,0)),"")</f>
        <v>الموارد</v>
      </c>
      <c r="K470" s="20" t="s">
        <v>112</v>
      </c>
      <c r="L470" s="21" t="str">
        <f aca="false">IFERROR(INDEX('نقاط التحقق'!$G$2:$G$31,MATCH($K470,'نقاط التحقق'!$A$2:$A$31,0))&amp;"","")</f>
        <v>وجود مساحات مكتبية كافية</v>
      </c>
      <c r="M470" s="17" t="n">
        <v>50</v>
      </c>
      <c r="N470" s="17" t="n">
        <v>100</v>
      </c>
      <c r="O470" s="19" t="str">
        <f aca="false">IF($M470="","غير مقيّمة",IF($M470&gt;المرجع!$K$3,"مستوفاة بشكل متقدم",IF($M470&lt;=المرجع!$K$2,"مستوفاة بشكل أولي","مستوفاة بشكل جزئي")))</f>
        <v>مستوفاة بشكل جزئي</v>
      </c>
      <c r="P470" s="22"/>
    </row>
    <row r="471" customFormat="false" ht="15" hidden="false" customHeight="true" outlineLevel="0" collapsed="false">
      <c r="A471" s="20" t="s">
        <v>1285</v>
      </c>
      <c r="B471" s="20" t="s">
        <v>226</v>
      </c>
      <c r="C471" s="19" t="str">
        <f aca="false">IFERROR(INDEX('قائمة الوحدات'!$B$2:$B$41,MATCH($B471,'قائمة الوحدات'!$A$2:$A$41,0)),"")</f>
        <v>MIL</v>
      </c>
      <c r="D471" s="18" t="str">
        <f aca="false">IFERROR(INDEX('قائمة الوحدات'!$C$2:$C$41,MATCH($B471,'قائمة الوحدات'!$A$2:$A$41,0)),"")</f>
        <v>الجهاز العسكري</v>
      </c>
      <c r="E471" s="18" t="str">
        <f aca="false">IFERROR(INDEX('قائمة الوحدات'!$D$2:$D$41,MATCH($B471,'قائمة الوحدات'!$A$2:$A$41,0)),"")</f>
        <v>الإدارة العامة للتسليح والعتاد</v>
      </c>
      <c r="F471" s="18" t="str">
        <f aca="false">IFERROR(INDEX('قائمة الوحدات'!$F$2:$F$41,MATCH($B471,'قائمة الوحدات'!$A$2:$A$41,0)),"")</f>
        <v>الإدارة العامة للتسليح والعتاد</v>
      </c>
      <c r="G471" s="20" t="s">
        <v>62</v>
      </c>
      <c r="H471" s="18" t="str">
        <f aca="false">IFERROR(INDEX(المرجع!$A$2:$A$19,MATCH($G471,المرجع!$B$2:$B$19,0)),"")</f>
        <v>البناء المؤسسي</v>
      </c>
      <c r="I471" s="20" t="s">
        <v>57</v>
      </c>
      <c r="J471" s="18" t="str">
        <f aca="false">IFERROR(INDEX(المرجع!$D$2:$D$19,MATCH($I471,المرجع!$E$2:$E$19,0)),"")</f>
        <v>الموارد</v>
      </c>
      <c r="K471" s="20" t="s">
        <v>114</v>
      </c>
      <c r="L471" s="21" t="str">
        <f aca="false">IFERROR(INDEX('نقاط التحقق'!$G$2:$G$31,MATCH($K471,'نقاط التحقق'!$A$2:$A$31,0))&amp;"","")</f>
        <v>وجود الاحتياجات التقنية الأساسية</v>
      </c>
      <c r="M471" s="17" t="n">
        <v>40</v>
      </c>
      <c r="N471" s="17" t="n">
        <v>95</v>
      </c>
      <c r="O471" s="19" t="str">
        <f aca="false">IF($M471="","غير مقيّمة",IF($M471&gt;المرجع!$K$3,"مستوفاة بشكل متقدم",IF($M471&lt;=المرجع!$K$2,"مستوفاة بشكل أولي","مستوفاة بشكل جزئي")))</f>
        <v>مستوفاة بشكل جزئي</v>
      </c>
      <c r="P471" s="22"/>
    </row>
    <row r="472" customFormat="false" ht="15" hidden="false" customHeight="true" outlineLevel="0" collapsed="false">
      <c r="A472" s="20" t="s">
        <v>1286</v>
      </c>
      <c r="B472" s="20" t="s">
        <v>226</v>
      </c>
      <c r="C472" s="19" t="str">
        <f aca="false">IFERROR(INDEX('قائمة الوحدات'!$B$2:$B$41,MATCH($B472,'قائمة الوحدات'!$A$2:$A$41,0)),"")</f>
        <v>MIL</v>
      </c>
      <c r="D472" s="18" t="str">
        <f aca="false">IFERROR(INDEX('قائمة الوحدات'!$C$2:$C$41,MATCH($B472,'قائمة الوحدات'!$A$2:$A$41,0)),"")</f>
        <v>الجهاز العسكري</v>
      </c>
      <c r="E472" s="18" t="str">
        <f aca="false">IFERROR(INDEX('قائمة الوحدات'!$D$2:$D$41,MATCH($B472,'قائمة الوحدات'!$A$2:$A$41,0)),"")</f>
        <v>الإدارة العامة للتسليح والعتاد</v>
      </c>
      <c r="F472" s="18" t="str">
        <f aca="false">IFERROR(INDEX('قائمة الوحدات'!$F$2:$F$41,MATCH($B472,'قائمة الوحدات'!$A$2:$A$41,0)),"")</f>
        <v>الإدارة العامة للتسليح والعتاد</v>
      </c>
      <c r="G472" s="20" t="s">
        <v>62</v>
      </c>
      <c r="H472" s="18" t="str">
        <f aca="false">IFERROR(INDEX(المرجع!$A$2:$A$19,MATCH($G472,المرجع!$B$2:$B$19,0)),"")</f>
        <v>البناء المؤسسي</v>
      </c>
      <c r="I472" s="20" t="s">
        <v>60</v>
      </c>
      <c r="J472" s="18" t="str">
        <f aca="false">IFERROR(INDEX(المرجع!$D$2:$D$19,MATCH($I472,المرجع!$E$2:$E$19,0)),"")</f>
        <v>الإجراءات</v>
      </c>
      <c r="K472" s="20" t="s">
        <v>116</v>
      </c>
      <c r="L472" s="21" t="str">
        <f aca="false">IFERROR(INDEX('نقاط التحقق'!$G$2:$G$31,MATCH($K472,'نقاط التحقق'!$A$2:$A$31,0))&amp;"","")</f>
        <v>إجراءات معتمدة للوحدة التنظيمية</v>
      </c>
      <c r="M472" s="17" t="n">
        <v>67</v>
      </c>
      <c r="N472" s="17" t="n">
        <v>80</v>
      </c>
      <c r="O472" s="19" t="str">
        <f aca="false">IF($M472="","غير مقيّمة",IF($M472&gt;المرجع!$K$3,"مستوفاة بشكل متقدم",IF($M472&lt;=المرجع!$K$2,"مستوفاة بشكل أولي","مستوفاة بشكل جزئي")))</f>
        <v>مستوفاة بشكل جزئي</v>
      </c>
      <c r="P472" s="22"/>
    </row>
    <row r="473" customFormat="false" ht="15" hidden="false" customHeight="true" outlineLevel="0" collapsed="false">
      <c r="A473" s="20" t="s">
        <v>1287</v>
      </c>
      <c r="B473" s="20" t="s">
        <v>226</v>
      </c>
      <c r="C473" s="19" t="str">
        <f aca="false">IFERROR(INDEX('قائمة الوحدات'!$B$2:$B$41,MATCH($B473,'قائمة الوحدات'!$A$2:$A$41,0)),"")</f>
        <v>MIL</v>
      </c>
      <c r="D473" s="18" t="str">
        <f aca="false">IFERROR(INDEX('قائمة الوحدات'!$C$2:$C$41,MATCH($B473,'قائمة الوحدات'!$A$2:$A$41,0)),"")</f>
        <v>الجهاز العسكري</v>
      </c>
      <c r="E473" s="18" t="str">
        <f aca="false">IFERROR(INDEX('قائمة الوحدات'!$D$2:$D$41,MATCH($B473,'قائمة الوحدات'!$A$2:$A$41,0)),"")</f>
        <v>الإدارة العامة للتسليح والعتاد</v>
      </c>
      <c r="F473" s="18" t="str">
        <f aca="false">IFERROR(INDEX('قائمة الوحدات'!$F$2:$F$41,MATCH($B473,'قائمة الوحدات'!$A$2:$A$41,0)),"")</f>
        <v>الإدارة العامة للتسليح والعتاد</v>
      </c>
      <c r="G473" s="20" t="s">
        <v>62</v>
      </c>
      <c r="H473" s="18" t="str">
        <f aca="false">IFERROR(INDEX(المرجع!$A$2:$A$19,MATCH($G473,المرجع!$B$2:$B$19,0)),"")</f>
        <v>البناء المؤسسي</v>
      </c>
      <c r="I473" s="20" t="s">
        <v>69</v>
      </c>
      <c r="J473" s="18" t="str">
        <f aca="false">IFERROR(INDEX(المرجع!$D$2:$D$19,MATCH($I473,المرجع!$E$2:$E$19,0)),"")</f>
        <v>إنتاج المخرج الأول</v>
      </c>
      <c r="K473" s="20" t="s">
        <v>118</v>
      </c>
      <c r="L473" s="21" t="str">
        <f aca="false">IFERROR(INDEX('نقاط التحقق'!$G$2:$G$31,MATCH($K473,'نقاط التحقق'!$A$2:$A$31,0))&amp;"","")</f>
        <v>إنتاج المخرج الأول من قبل الوحدة التنظيمية</v>
      </c>
      <c r="M473" s="17" t="n">
        <v>62</v>
      </c>
      <c r="N473" s="17" t="n">
        <v>85</v>
      </c>
      <c r="O473" s="19" t="str">
        <f aca="false">IF($M473="","غير مقيّمة",IF($M473&gt;المرجع!$K$3,"مستوفاة بشكل متقدم",IF($M473&lt;=المرجع!$K$2,"مستوفاة بشكل أولي","مستوفاة بشكل جزئي")))</f>
        <v>مستوفاة بشكل جزئي</v>
      </c>
      <c r="P473" s="22"/>
    </row>
    <row r="474" customFormat="false" ht="15" hidden="false" customHeight="true" outlineLevel="0" collapsed="false">
      <c r="A474" s="20" t="s">
        <v>1288</v>
      </c>
      <c r="B474" s="20" t="s">
        <v>226</v>
      </c>
      <c r="C474" s="19" t="str">
        <f aca="false">IFERROR(INDEX('قائمة الوحدات'!$B$2:$B$41,MATCH($B474,'قائمة الوحدات'!$A$2:$A$41,0)),"")</f>
        <v>MIL</v>
      </c>
      <c r="D474" s="18" t="str">
        <f aca="false">IFERROR(INDEX('قائمة الوحدات'!$C$2:$C$41,MATCH($B474,'قائمة الوحدات'!$A$2:$A$41,0)),"")</f>
        <v>الجهاز العسكري</v>
      </c>
      <c r="E474" s="18" t="str">
        <f aca="false">IFERROR(INDEX('قائمة الوحدات'!$D$2:$D$41,MATCH($B474,'قائمة الوحدات'!$A$2:$A$41,0)),"")</f>
        <v>الإدارة العامة للتسليح والعتاد</v>
      </c>
      <c r="F474" s="18" t="str">
        <f aca="false">IFERROR(INDEX('قائمة الوحدات'!$F$2:$F$41,MATCH($B474,'قائمة الوحدات'!$A$2:$A$41,0)),"")</f>
        <v>الإدارة العامة للتسليح والعتاد</v>
      </c>
      <c r="G474" s="20" t="s">
        <v>66</v>
      </c>
      <c r="H474" s="18" t="str">
        <f aca="false">IFERROR(INDEX(المرجع!$A$2:$A$19,MATCH($G474,المرجع!$B$2:$B$19,0)),"")</f>
        <v>التشغيل</v>
      </c>
      <c r="I474" s="20" t="s">
        <v>49</v>
      </c>
      <c r="J474" s="18" t="str">
        <f aca="false">IFERROR(INDEX(المرجع!$D$2:$D$19,MATCH($I474,المرجع!$E$2:$E$19,0)),"")</f>
        <v>الأهداف ومؤشرات الأداء</v>
      </c>
      <c r="K474" s="20" t="s">
        <v>120</v>
      </c>
      <c r="L474" s="21" t="str">
        <f aca="false">IFERROR(INDEX('نقاط التحقق'!$G$2:$G$31,MATCH($K474,'نقاط التحقق'!$A$2:$A$31,0))&amp;"","")</f>
        <v>تحرك مؤشرات الأداء التشغيلي للوحدة التنظيمية بشكل إيجابي</v>
      </c>
      <c r="M474" s="17" t="n">
        <v>50</v>
      </c>
      <c r="N474" s="17" t="n">
        <v>100</v>
      </c>
      <c r="O474" s="19" t="str">
        <f aca="false">IF($M474="","غير مقيّمة",IF($M474&gt;المرجع!$K$3,"مستوفاة بشكل متقدم",IF($M474&lt;=المرجع!$K$2,"مستوفاة بشكل أولي","مستوفاة بشكل جزئي")))</f>
        <v>مستوفاة بشكل جزئي</v>
      </c>
      <c r="P474" s="22"/>
    </row>
    <row r="475" customFormat="false" ht="15" hidden="false" customHeight="true" outlineLevel="0" collapsed="false">
      <c r="A475" s="20" t="s">
        <v>1289</v>
      </c>
      <c r="B475" s="20" t="s">
        <v>226</v>
      </c>
      <c r="C475" s="19" t="str">
        <f aca="false">IFERROR(INDEX('قائمة الوحدات'!$B$2:$B$41,MATCH($B475,'قائمة الوحدات'!$A$2:$A$41,0)),"")</f>
        <v>MIL</v>
      </c>
      <c r="D475" s="18" t="str">
        <f aca="false">IFERROR(INDEX('قائمة الوحدات'!$C$2:$C$41,MATCH($B475,'قائمة الوحدات'!$A$2:$A$41,0)),"")</f>
        <v>الجهاز العسكري</v>
      </c>
      <c r="E475" s="18" t="str">
        <f aca="false">IFERROR(INDEX('قائمة الوحدات'!$D$2:$D$41,MATCH($B475,'قائمة الوحدات'!$A$2:$A$41,0)),"")</f>
        <v>الإدارة العامة للتسليح والعتاد</v>
      </c>
      <c r="F475" s="18" t="str">
        <f aca="false">IFERROR(INDEX('قائمة الوحدات'!$F$2:$F$41,MATCH($B475,'قائمة الوحدات'!$A$2:$A$41,0)),"")</f>
        <v>الإدارة العامة للتسليح والعتاد</v>
      </c>
      <c r="G475" s="20" t="s">
        <v>66</v>
      </c>
      <c r="H475" s="18" t="str">
        <f aca="false">IFERROR(INDEX(المرجع!$A$2:$A$19,MATCH($G475,المرجع!$B$2:$B$19,0)),"")</f>
        <v>التشغيل</v>
      </c>
      <c r="I475" s="20" t="s">
        <v>49</v>
      </c>
      <c r="J475" s="18" t="str">
        <f aca="false">IFERROR(INDEX(المرجع!$D$2:$D$19,MATCH($I475,المرجع!$E$2:$E$19,0)),"")</f>
        <v>الأهداف ومؤشرات الأداء</v>
      </c>
      <c r="K475" s="20" t="s">
        <v>122</v>
      </c>
      <c r="L475" s="21" t="str">
        <f aca="false">IFERROR(INDEX('نقاط التحقق'!$G$2:$G$31,MATCH($K475,'نقاط التحقق'!$A$2:$A$31,0))&amp;"","")</f>
        <v>خطة سنوية معتمدة للوحدة التنظيمية</v>
      </c>
      <c r="M475" s="17" t="n">
        <v>40</v>
      </c>
      <c r="N475" s="17" t="n">
        <v>85</v>
      </c>
      <c r="O475" s="19" t="str">
        <f aca="false">IF($M475="","غير مقيّمة",IF($M475&gt;المرجع!$K$3,"مستوفاة بشكل متقدم",IF($M475&lt;=المرجع!$K$2,"مستوفاة بشكل أولي","مستوفاة بشكل جزئي")))</f>
        <v>مستوفاة بشكل جزئي</v>
      </c>
      <c r="P475" s="22"/>
    </row>
    <row r="476" customFormat="false" ht="15" hidden="false" customHeight="true" outlineLevel="0" collapsed="false">
      <c r="A476" s="20" t="s">
        <v>1290</v>
      </c>
      <c r="B476" s="20" t="s">
        <v>226</v>
      </c>
      <c r="C476" s="19" t="str">
        <f aca="false">IFERROR(INDEX('قائمة الوحدات'!$B$2:$B$41,MATCH($B476,'قائمة الوحدات'!$A$2:$A$41,0)),"")</f>
        <v>MIL</v>
      </c>
      <c r="D476" s="18" t="str">
        <f aca="false">IFERROR(INDEX('قائمة الوحدات'!$C$2:$C$41,MATCH($B476,'قائمة الوحدات'!$A$2:$A$41,0)),"")</f>
        <v>الجهاز العسكري</v>
      </c>
      <c r="E476" s="18" t="str">
        <f aca="false">IFERROR(INDEX('قائمة الوحدات'!$D$2:$D$41,MATCH($B476,'قائمة الوحدات'!$A$2:$A$41,0)),"")</f>
        <v>الإدارة العامة للتسليح والعتاد</v>
      </c>
      <c r="F476" s="18" t="str">
        <f aca="false">IFERROR(INDEX('قائمة الوحدات'!$F$2:$F$41,MATCH($B476,'قائمة الوحدات'!$A$2:$A$41,0)),"")</f>
        <v>الإدارة العامة للتسليح والعتاد</v>
      </c>
      <c r="G476" s="20" t="s">
        <v>66</v>
      </c>
      <c r="H476" s="18" t="str">
        <f aca="false">IFERROR(INDEX(المرجع!$A$2:$A$19,MATCH($G476,المرجع!$B$2:$B$19,0)),"")</f>
        <v>التشغيل</v>
      </c>
      <c r="I476" s="20" t="s">
        <v>52</v>
      </c>
      <c r="J476" s="18" t="str">
        <f aca="false">IFERROR(INDEX(المرجع!$D$2:$D$19,MATCH($I476,المرجع!$E$2:$E$19,0)),"")</f>
        <v>الحوكمة</v>
      </c>
      <c r="K476" s="20" t="s">
        <v>124</v>
      </c>
      <c r="L476" s="21" t="str">
        <f aca="false">IFERROR(INDEX('نقاط التحقق'!$G$2:$G$31,MATCH($K476,'نقاط التحقق'!$A$2:$A$31,0))&amp;"","")</f>
        <v>محاضر لجان موثقة</v>
      </c>
      <c r="M476" s="17" t="n">
        <v>35</v>
      </c>
      <c r="N476" s="17" t="n">
        <v>80</v>
      </c>
      <c r="O476" s="19" t="str">
        <f aca="false">IF($M476="","غير مقيّمة",IF($M476&gt;المرجع!$K$3,"مستوفاة بشكل متقدم",IF($M476&lt;=المرجع!$K$2,"مستوفاة بشكل أولي","مستوفاة بشكل جزئي")))</f>
        <v>مستوفاة بشكل جزئي</v>
      </c>
      <c r="P476" s="22"/>
    </row>
    <row r="477" customFormat="false" ht="15" hidden="false" customHeight="true" outlineLevel="0" collapsed="false">
      <c r="A477" s="20" t="s">
        <v>1291</v>
      </c>
      <c r="B477" s="20" t="s">
        <v>226</v>
      </c>
      <c r="C477" s="19" t="str">
        <f aca="false">IFERROR(INDEX('قائمة الوحدات'!$B$2:$B$41,MATCH($B477,'قائمة الوحدات'!$A$2:$A$41,0)),"")</f>
        <v>MIL</v>
      </c>
      <c r="D477" s="18" t="str">
        <f aca="false">IFERROR(INDEX('قائمة الوحدات'!$C$2:$C$41,MATCH($B477,'قائمة الوحدات'!$A$2:$A$41,0)),"")</f>
        <v>الجهاز العسكري</v>
      </c>
      <c r="E477" s="18" t="str">
        <f aca="false">IFERROR(INDEX('قائمة الوحدات'!$D$2:$D$41,MATCH($B477,'قائمة الوحدات'!$A$2:$A$41,0)),"")</f>
        <v>الإدارة العامة للتسليح والعتاد</v>
      </c>
      <c r="F477" s="18" t="str">
        <f aca="false">IFERROR(INDEX('قائمة الوحدات'!$F$2:$F$41,MATCH($B477,'قائمة الوحدات'!$A$2:$A$41,0)),"")</f>
        <v>الإدارة العامة للتسليح والعتاد</v>
      </c>
      <c r="G477" s="20" t="s">
        <v>66</v>
      </c>
      <c r="H477" s="18" t="str">
        <f aca="false">IFERROR(INDEX(المرجع!$A$2:$A$19,MATCH($G477,المرجع!$B$2:$B$19,0)),"")</f>
        <v>التشغيل</v>
      </c>
      <c r="I477" s="20" t="s">
        <v>52</v>
      </c>
      <c r="J477" s="18" t="str">
        <f aca="false">IFERROR(INDEX(المرجع!$D$2:$D$19,MATCH($I477,المرجع!$E$2:$E$19,0)),"")</f>
        <v>الحوكمة</v>
      </c>
      <c r="K477" s="20" t="s">
        <v>126</v>
      </c>
      <c r="L477" s="21" t="str">
        <f aca="false">IFERROR(INDEX('نقاط التحقق'!$G$2:$G$31,MATCH($K477,'نقاط التحقق'!$A$2:$A$31,0))&amp;"","")</f>
        <v>نشر السياسات التي تملكها الوحدة التنظيمية</v>
      </c>
      <c r="M477" s="17" t="n">
        <v>55</v>
      </c>
      <c r="N477" s="17" t="n">
        <v>85</v>
      </c>
      <c r="O477" s="19" t="str">
        <f aca="false">IF($M477="","غير مقيّمة",IF($M477&gt;المرجع!$K$3,"مستوفاة بشكل متقدم",IF($M477&lt;=المرجع!$K$2,"مستوفاة بشكل أولي","مستوفاة بشكل جزئي")))</f>
        <v>مستوفاة بشكل جزئي</v>
      </c>
      <c r="P477" s="22"/>
    </row>
    <row r="478" customFormat="false" ht="15" hidden="false" customHeight="true" outlineLevel="0" collapsed="false">
      <c r="A478" s="20" t="s">
        <v>1292</v>
      </c>
      <c r="B478" s="20" t="s">
        <v>226</v>
      </c>
      <c r="C478" s="19" t="str">
        <f aca="false">IFERROR(INDEX('قائمة الوحدات'!$B$2:$B$41,MATCH($B478,'قائمة الوحدات'!$A$2:$A$41,0)),"")</f>
        <v>MIL</v>
      </c>
      <c r="D478" s="18" t="str">
        <f aca="false">IFERROR(INDEX('قائمة الوحدات'!$C$2:$C$41,MATCH($B478,'قائمة الوحدات'!$A$2:$A$41,0)),"")</f>
        <v>الجهاز العسكري</v>
      </c>
      <c r="E478" s="18" t="str">
        <f aca="false">IFERROR(INDEX('قائمة الوحدات'!$D$2:$D$41,MATCH($B478,'قائمة الوحدات'!$A$2:$A$41,0)),"")</f>
        <v>الإدارة العامة للتسليح والعتاد</v>
      </c>
      <c r="F478" s="18" t="str">
        <f aca="false">IFERROR(INDEX('قائمة الوحدات'!$F$2:$F$41,MATCH($B478,'قائمة الوحدات'!$A$2:$A$41,0)),"")</f>
        <v>الإدارة العامة للتسليح والعتاد</v>
      </c>
      <c r="G478" s="20" t="s">
        <v>66</v>
      </c>
      <c r="H478" s="18" t="str">
        <f aca="false">IFERROR(INDEX(المرجع!$A$2:$A$19,MATCH($G478,المرجع!$B$2:$B$19,0)),"")</f>
        <v>التشغيل</v>
      </c>
      <c r="I478" s="20" t="s">
        <v>52</v>
      </c>
      <c r="J478" s="18" t="str">
        <f aca="false">IFERROR(INDEX(المرجع!$D$2:$D$19,MATCH($I478,المرجع!$E$2:$E$19,0)),"")</f>
        <v>الحوكمة</v>
      </c>
      <c r="K478" s="20" t="s">
        <v>128</v>
      </c>
      <c r="L478" s="21" t="str">
        <f aca="false">IFERROR(INDEX('نقاط التحقق'!$G$2:$G$31,MATCH($K478,'نقاط التحقق'!$A$2:$A$31,0))&amp;"","")</f>
        <v>اتخاذ القرارات في نطاق الصلاحيات (وجود شواهد)</v>
      </c>
      <c r="M478" s="17" t="n">
        <v>40</v>
      </c>
      <c r="N478" s="17" t="n">
        <v>100</v>
      </c>
      <c r="O478" s="19" t="str">
        <f aca="false">IF($M478="","غير مقيّمة",IF($M478&gt;المرجع!$K$3,"مستوفاة بشكل متقدم",IF($M478&lt;=المرجع!$K$2,"مستوفاة بشكل أولي","مستوفاة بشكل جزئي")))</f>
        <v>مستوفاة بشكل جزئي</v>
      </c>
      <c r="P478" s="22"/>
    </row>
    <row r="479" customFormat="false" ht="15" hidden="false" customHeight="true" outlineLevel="0" collapsed="false">
      <c r="A479" s="20" t="s">
        <v>1293</v>
      </c>
      <c r="B479" s="20" t="s">
        <v>226</v>
      </c>
      <c r="C479" s="19" t="str">
        <f aca="false">IFERROR(INDEX('قائمة الوحدات'!$B$2:$B$41,MATCH($B479,'قائمة الوحدات'!$A$2:$A$41,0)),"")</f>
        <v>MIL</v>
      </c>
      <c r="D479" s="18" t="str">
        <f aca="false">IFERROR(INDEX('قائمة الوحدات'!$C$2:$C$41,MATCH($B479,'قائمة الوحدات'!$A$2:$A$41,0)),"")</f>
        <v>الجهاز العسكري</v>
      </c>
      <c r="E479" s="18" t="str">
        <f aca="false">IFERROR(INDEX('قائمة الوحدات'!$D$2:$D$41,MATCH($B479,'قائمة الوحدات'!$A$2:$A$41,0)),"")</f>
        <v>الإدارة العامة للتسليح والعتاد</v>
      </c>
      <c r="F479" s="18" t="str">
        <f aca="false">IFERROR(INDEX('قائمة الوحدات'!$F$2:$F$41,MATCH($B479,'قائمة الوحدات'!$A$2:$A$41,0)),"")</f>
        <v>الإدارة العامة للتسليح والعتاد</v>
      </c>
      <c r="G479" s="20" t="s">
        <v>66</v>
      </c>
      <c r="H479" s="18" t="str">
        <f aca="false">IFERROR(INDEX(المرجع!$A$2:$A$19,MATCH($G479,المرجع!$B$2:$B$19,0)),"")</f>
        <v>التشغيل</v>
      </c>
      <c r="I479" s="20" t="s">
        <v>57</v>
      </c>
      <c r="J479" s="18" t="str">
        <f aca="false">IFERROR(INDEX(المرجع!$D$2:$D$19,MATCH($I479,المرجع!$E$2:$E$19,0)),"")</f>
        <v>الموارد</v>
      </c>
      <c r="K479" s="20" t="s">
        <v>130</v>
      </c>
      <c r="L479" s="21" t="str">
        <f aca="false">IFERROR(INDEX('نقاط التحقق'!$G$2:$G$31,MATCH($K479,'نقاط التحقق'!$A$2:$A$31,0))&amp;"","")</f>
        <v>موارد مستكملة للحد الأدنى الذي يغطي كافة محاور سلسلة القيمة</v>
      </c>
      <c r="M479" s="17" t="n">
        <v>30</v>
      </c>
      <c r="N479" s="17" t="n">
        <v>100</v>
      </c>
      <c r="O479" s="19" t="str">
        <f aca="false">IF($M479="","غير مقيّمة",IF($M479&gt;المرجع!$K$3,"مستوفاة بشكل متقدم",IF($M479&lt;=المرجع!$K$2,"مستوفاة بشكل أولي","مستوفاة بشكل جزئي")))</f>
        <v>مستوفاة بشكل أولي</v>
      </c>
      <c r="P479" s="22"/>
    </row>
    <row r="480" customFormat="false" ht="15" hidden="false" customHeight="true" outlineLevel="0" collapsed="false">
      <c r="A480" s="20" t="s">
        <v>1294</v>
      </c>
      <c r="B480" s="20" t="s">
        <v>226</v>
      </c>
      <c r="C480" s="19" t="str">
        <f aca="false">IFERROR(INDEX('قائمة الوحدات'!$B$2:$B$41,MATCH($B480,'قائمة الوحدات'!$A$2:$A$41,0)),"")</f>
        <v>MIL</v>
      </c>
      <c r="D480" s="18" t="str">
        <f aca="false">IFERROR(INDEX('قائمة الوحدات'!$C$2:$C$41,MATCH($B480,'قائمة الوحدات'!$A$2:$A$41,0)),"")</f>
        <v>الجهاز العسكري</v>
      </c>
      <c r="E480" s="18" t="str">
        <f aca="false">IFERROR(INDEX('قائمة الوحدات'!$D$2:$D$41,MATCH($B480,'قائمة الوحدات'!$A$2:$A$41,0)),"")</f>
        <v>الإدارة العامة للتسليح والعتاد</v>
      </c>
      <c r="F480" s="18" t="str">
        <f aca="false">IFERROR(INDEX('قائمة الوحدات'!$F$2:$F$41,MATCH($B480,'قائمة الوحدات'!$A$2:$A$41,0)),"")</f>
        <v>الإدارة العامة للتسليح والعتاد</v>
      </c>
      <c r="G480" s="20" t="s">
        <v>66</v>
      </c>
      <c r="H480" s="18" t="str">
        <f aca="false">IFERROR(INDEX(المرجع!$A$2:$A$19,MATCH($G480,المرجع!$B$2:$B$19,0)),"")</f>
        <v>التشغيل</v>
      </c>
      <c r="I480" s="20" t="s">
        <v>60</v>
      </c>
      <c r="J480" s="18" t="str">
        <f aca="false">IFERROR(INDEX(المرجع!$D$2:$D$19,MATCH($I480,المرجع!$E$2:$E$19,0)),"")</f>
        <v>الإجراءات</v>
      </c>
      <c r="K480" s="20" t="s">
        <v>132</v>
      </c>
      <c r="L480" s="21" t="str">
        <f aca="false">IFERROR(INDEX('نقاط التحقق'!$G$2:$G$31,MATCH($K480,'نقاط التحقق'!$A$2:$A$31,0))&amp;"","")</f>
        <v>تحقيق تقييم "مطبق بشكل كامل" من منهجية تقييم فعالية الإجراءات</v>
      </c>
      <c r="M480" s="17" t="n">
        <v>25</v>
      </c>
      <c r="N480" s="17" t="n">
        <v>95</v>
      </c>
      <c r="O480" s="19" t="str">
        <f aca="false">IF($M480="","غير مقيّمة",IF($M480&gt;المرجع!$K$3,"مستوفاة بشكل متقدم",IF($M480&lt;=المرجع!$K$2,"مستوفاة بشكل أولي","مستوفاة بشكل جزئي")))</f>
        <v>مستوفاة بشكل أولي</v>
      </c>
      <c r="P480" s="22"/>
    </row>
    <row r="481" customFormat="false" ht="15" hidden="false" customHeight="true" outlineLevel="0" collapsed="false">
      <c r="A481" s="20" t="s">
        <v>1295</v>
      </c>
      <c r="B481" s="20" t="s">
        <v>226</v>
      </c>
      <c r="C481" s="19" t="str">
        <f aca="false">IFERROR(INDEX('قائمة الوحدات'!$B$2:$B$41,MATCH($B481,'قائمة الوحدات'!$A$2:$A$41,0)),"")</f>
        <v>MIL</v>
      </c>
      <c r="D481" s="18" t="str">
        <f aca="false">IFERROR(INDEX('قائمة الوحدات'!$C$2:$C$41,MATCH($B481,'قائمة الوحدات'!$A$2:$A$41,0)),"")</f>
        <v>الجهاز العسكري</v>
      </c>
      <c r="E481" s="18" t="str">
        <f aca="false">IFERROR(INDEX('قائمة الوحدات'!$D$2:$D$41,MATCH($B481,'قائمة الوحدات'!$A$2:$A$41,0)),"")</f>
        <v>الإدارة العامة للتسليح والعتاد</v>
      </c>
      <c r="F481" s="18" t="str">
        <f aca="false">IFERROR(INDEX('قائمة الوحدات'!$F$2:$F$41,MATCH($B481,'قائمة الوحدات'!$A$2:$A$41,0)),"")</f>
        <v>الإدارة العامة للتسليح والعتاد</v>
      </c>
      <c r="G481" s="20" t="s">
        <v>66</v>
      </c>
      <c r="H481" s="18" t="str">
        <f aca="false">IFERROR(INDEX(المرجع!$A$2:$A$19,MATCH($G481,المرجع!$B$2:$B$19,0)),"")</f>
        <v>التشغيل</v>
      </c>
      <c r="I481" s="20" t="s">
        <v>71</v>
      </c>
      <c r="J481" s="18" t="str">
        <f aca="false">IFERROR(INDEX(المرجع!$D$2:$D$19,MATCH($I481,المرجع!$E$2:$E$19,0)),"")</f>
        <v>اكتمال المخرجات المستهدفة</v>
      </c>
      <c r="K481" s="20" t="s">
        <v>134</v>
      </c>
      <c r="L481" s="21" t="str">
        <f aca="false">IFERROR(INDEX('نقاط التحقق'!$G$2:$G$31,MATCH($K481,'نقاط التحقق'!$A$2:$A$31,0))&amp;"","")</f>
        <v>اكتمال مخرجات النموذج التشغيلي المستهدف للوحدة التنظيمية</v>
      </c>
      <c r="M481" s="17" t="n">
        <v>36</v>
      </c>
      <c r="N481" s="17" t="n">
        <v>100</v>
      </c>
      <c r="O481" s="19" t="str">
        <f aca="false">IF($M481="","غير مقيّمة",IF($M481&gt;المرجع!$K$3,"مستوفاة بشكل متقدم",IF($M481&lt;=المرجع!$K$2,"مستوفاة بشكل أولي","مستوفاة بشكل جزئي")))</f>
        <v>مستوفاة بشكل جزئي</v>
      </c>
      <c r="P481" s="22"/>
    </row>
    <row r="482" customFormat="false" ht="15" hidden="false" customHeight="true" outlineLevel="0" collapsed="false">
      <c r="A482" s="20" t="s">
        <v>1296</v>
      </c>
      <c r="B482" s="20" t="s">
        <v>228</v>
      </c>
      <c r="C482" s="19" t="str">
        <f aca="false">IFERROR(INDEX('قائمة الوحدات'!$B$2:$B$41,MATCH($B482,'قائمة الوحدات'!$A$2:$A$41,0)),"")</f>
        <v>MIL</v>
      </c>
      <c r="D482" s="18" t="str">
        <f aca="false">IFERROR(INDEX('قائمة الوحدات'!$C$2:$C$41,MATCH($B482,'قائمة الوحدات'!$A$2:$A$41,0)),"")</f>
        <v>الجهاز العسكري</v>
      </c>
      <c r="E482" s="18" t="str">
        <f aca="false">IFERROR(INDEX('قائمة الوحدات'!$D$2:$D$41,MATCH($B482,'قائمة الوحدات'!$A$2:$A$41,0)),"")</f>
        <v>الإدارة العامة للقضاء العسكري</v>
      </c>
      <c r="F482" s="18" t="str">
        <f aca="false">IFERROR(INDEX('قائمة الوحدات'!$F$2:$F$41,MATCH($B482,'قائمة الوحدات'!$A$2:$A$41,0)),"")</f>
        <v>الإدارة العامة للقضاء العسكري</v>
      </c>
      <c r="G482" s="20" t="s">
        <v>44</v>
      </c>
      <c r="H482" s="18" t="str">
        <f aca="false">IFERROR(INDEX(المرجع!$A$2:$A$19,MATCH($G482,المرجع!$B$2:$B$19,0)),"")</f>
        <v>التصميم</v>
      </c>
      <c r="I482" s="20" t="s">
        <v>46</v>
      </c>
      <c r="J482" s="18" t="str">
        <f aca="false">IFERROR(INDEX(المرجع!$D$2:$D$19,MATCH($I482,المرجع!$E$2:$E$19,0)),"")</f>
        <v>الدور</v>
      </c>
      <c r="K482" s="20" t="s">
        <v>76</v>
      </c>
      <c r="L482" s="21" t="str">
        <f aca="false">IFERROR(INDEX('نقاط التحقق'!$G$2:$G$31,MATCH($K482,'نقاط التحقق'!$A$2:$A$31,0))&amp;"","")</f>
        <v>دور مفصل للوحدة التنظيمية</v>
      </c>
      <c r="M482" s="17" t="n">
        <v>95</v>
      </c>
      <c r="N482" s="17" t="n">
        <v>95</v>
      </c>
      <c r="O482" s="19" t="str">
        <f aca="false">IF($M482="","غير مقيّمة",IF($M482&gt;المرجع!$K$3,"مستوفاة بشكل متقدم",IF($M482&lt;=المرجع!$K$2,"مستوفاة بشكل أولي","مستوفاة بشكل جزئي")))</f>
        <v>مستوفاة بشكل متقدم</v>
      </c>
      <c r="P482" s="22"/>
    </row>
    <row r="483" customFormat="false" ht="15" hidden="false" customHeight="true" outlineLevel="0" collapsed="false">
      <c r="A483" s="20" t="s">
        <v>1297</v>
      </c>
      <c r="B483" s="20" t="s">
        <v>228</v>
      </c>
      <c r="C483" s="19" t="str">
        <f aca="false">IFERROR(INDEX('قائمة الوحدات'!$B$2:$B$41,MATCH($B483,'قائمة الوحدات'!$A$2:$A$41,0)),"")</f>
        <v>MIL</v>
      </c>
      <c r="D483" s="18" t="str">
        <f aca="false">IFERROR(INDEX('قائمة الوحدات'!$C$2:$C$41,MATCH($B483,'قائمة الوحدات'!$A$2:$A$41,0)),"")</f>
        <v>الجهاز العسكري</v>
      </c>
      <c r="E483" s="18" t="str">
        <f aca="false">IFERROR(INDEX('قائمة الوحدات'!$D$2:$D$41,MATCH($B483,'قائمة الوحدات'!$A$2:$A$41,0)),"")</f>
        <v>الإدارة العامة للقضاء العسكري</v>
      </c>
      <c r="F483" s="18" t="str">
        <f aca="false">IFERROR(INDEX('قائمة الوحدات'!$F$2:$F$41,MATCH($B483,'قائمة الوحدات'!$A$2:$A$41,0)),"")</f>
        <v>الإدارة العامة للقضاء العسكري</v>
      </c>
      <c r="G483" s="20" t="s">
        <v>44</v>
      </c>
      <c r="H483" s="18" t="str">
        <f aca="false">IFERROR(INDEX(المرجع!$A$2:$A$19,MATCH($G483,المرجع!$B$2:$B$19,0)),"")</f>
        <v>التصميم</v>
      </c>
      <c r="I483" s="20" t="s">
        <v>49</v>
      </c>
      <c r="J483" s="18" t="str">
        <f aca="false">IFERROR(INDEX(المرجع!$D$2:$D$19,MATCH($I483,المرجع!$E$2:$E$19,0)),"")</f>
        <v>الأهداف ومؤشرات الأداء</v>
      </c>
      <c r="K483" s="20" t="s">
        <v>78</v>
      </c>
      <c r="L483" s="21" t="str">
        <f aca="false">IFERROR(INDEX('نقاط التحقق'!$G$2:$G$31,MATCH($K483,'نقاط التحقق'!$A$2:$A$31,0))&amp;"","")</f>
        <v>أهداف محددة للوحدة التنظيمية وربطها بمؤشرات أداء لقياسها</v>
      </c>
      <c r="M483" s="17" t="n">
        <v>90</v>
      </c>
      <c r="N483" s="17" t="n">
        <v>95</v>
      </c>
      <c r="O483" s="19" t="str">
        <f aca="false">IF($M483="","غير مقيّمة",IF($M483&gt;المرجع!$K$3,"مستوفاة بشكل متقدم",IF($M483&lt;=المرجع!$K$2,"مستوفاة بشكل أولي","مستوفاة بشكل جزئي")))</f>
        <v>مستوفاة بشكل متقدم</v>
      </c>
      <c r="P483" s="22"/>
    </row>
    <row r="484" customFormat="false" ht="15" hidden="false" customHeight="true" outlineLevel="0" collapsed="false">
      <c r="A484" s="20" t="s">
        <v>1298</v>
      </c>
      <c r="B484" s="20" t="s">
        <v>228</v>
      </c>
      <c r="C484" s="19" t="str">
        <f aca="false">IFERROR(INDEX('قائمة الوحدات'!$B$2:$B$41,MATCH($B484,'قائمة الوحدات'!$A$2:$A$41,0)),"")</f>
        <v>MIL</v>
      </c>
      <c r="D484" s="18" t="str">
        <f aca="false">IFERROR(INDEX('قائمة الوحدات'!$C$2:$C$41,MATCH($B484,'قائمة الوحدات'!$A$2:$A$41,0)),"")</f>
        <v>الجهاز العسكري</v>
      </c>
      <c r="E484" s="18" t="str">
        <f aca="false">IFERROR(INDEX('قائمة الوحدات'!$D$2:$D$41,MATCH($B484,'قائمة الوحدات'!$A$2:$A$41,0)),"")</f>
        <v>الإدارة العامة للقضاء العسكري</v>
      </c>
      <c r="F484" s="18" t="str">
        <f aca="false">IFERROR(INDEX('قائمة الوحدات'!$F$2:$F$41,MATCH($B484,'قائمة الوحدات'!$A$2:$A$41,0)),"")</f>
        <v>الإدارة العامة للقضاء العسكري</v>
      </c>
      <c r="G484" s="20" t="s">
        <v>44</v>
      </c>
      <c r="H484" s="18" t="str">
        <f aca="false">IFERROR(INDEX(المرجع!$A$2:$A$19,MATCH($G484,المرجع!$B$2:$B$19,0)),"")</f>
        <v>التصميم</v>
      </c>
      <c r="I484" s="20" t="s">
        <v>49</v>
      </c>
      <c r="J484" s="18" t="str">
        <f aca="false">IFERROR(INDEX(المرجع!$D$2:$D$19,MATCH($I484,المرجع!$E$2:$E$19,0)),"")</f>
        <v>الأهداف ومؤشرات الأداء</v>
      </c>
      <c r="K484" s="20" t="s">
        <v>80</v>
      </c>
      <c r="L484" s="21" t="str">
        <f aca="false">IFERROR(INDEX('نقاط التحقق'!$G$2:$G$31,MATCH($K484,'نقاط التحقق'!$A$2:$A$31,0))&amp;"","")</f>
        <v>مؤشرات أداء الوحدة التنظيمية</v>
      </c>
      <c r="M484" s="17" t="n">
        <v>75</v>
      </c>
      <c r="N484" s="17" t="n">
        <v>90</v>
      </c>
      <c r="O484" s="19" t="str">
        <f aca="false">IF($M484="","غير مقيّمة",IF($M484&gt;المرجع!$K$3,"مستوفاة بشكل متقدم",IF($M484&lt;=المرجع!$K$2,"مستوفاة بشكل أولي","مستوفاة بشكل جزئي")))</f>
        <v>مستوفاة بشكل متقدم</v>
      </c>
      <c r="P484" s="22"/>
    </row>
    <row r="485" customFormat="false" ht="15" hidden="false" customHeight="true" outlineLevel="0" collapsed="false">
      <c r="A485" s="20" t="s">
        <v>1299</v>
      </c>
      <c r="B485" s="20" t="s">
        <v>228</v>
      </c>
      <c r="C485" s="19" t="str">
        <f aca="false">IFERROR(INDEX('قائمة الوحدات'!$B$2:$B$41,MATCH($B485,'قائمة الوحدات'!$A$2:$A$41,0)),"")</f>
        <v>MIL</v>
      </c>
      <c r="D485" s="18" t="str">
        <f aca="false">IFERROR(INDEX('قائمة الوحدات'!$C$2:$C$41,MATCH($B485,'قائمة الوحدات'!$A$2:$A$41,0)),"")</f>
        <v>الجهاز العسكري</v>
      </c>
      <c r="E485" s="18" t="str">
        <f aca="false">IFERROR(INDEX('قائمة الوحدات'!$D$2:$D$41,MATCH($B485,'قائمة الوحدات'!$A$2:$A$41,0)),"")</f>
        <v>الإدارة العامة للقضاء العسكري</v>
      </c>
      <c r="F485" s="18" t="str">
        <f aca="false">IFERROR(INDEX('قائمة الوحدات'!$F$2:$F$41,MATCH($B485,'قائمة الوحدات'!$A$2:$A$41,0)),"")</f>
        <v>الإدارة العامة للقضاء العسكري</v>
      </c>
      <c r="G485" s="20" t="s">
        <v>44</v>
      </c>
      <c r="H485" s="18" t="str">
        <f aca="false">IFERROR(INDEX(المرجع!$A$2:$A$19,MATCH($G485,المرجع!$B$2:$B$19,0)),"")</f>
        <v>التصميم</v>
      </c>
      <c r="I485" s="20" t="s">
        <v>52</v>
      </c>
      <c r="J485" s="18" t="str">
        <f aca="false">IFERROR(INDEX(المرجع!$D$2:$D$19,MATCH($I485,المرجع!$E$2:$E$19,0)),"")</f>
        <v>الحوكمة</v>
      </c>
      <c r="K485" s="20" t="s">
        <v>82</v>
      </c>
      <c r="L485" s="21" t="str">
        <f aca="false">IFERROR(INDEX('نقاط التحقق'!$G$2:$G$31,MATCH($K485,'نقاط التحقق'!$A$2:$A$31,0))&amp;"","")</f>
        <v>تفصيل القرارات ومصفوفة الصلاحيات واللجان ذات العلاقة لاعتماد مخرجات الوحدة التنظيمية</v>
      </c>
      <c r="M485" s="17" t="n">
        <v>92</v>
      </c>
      <c r="N485" s="17" t="n">
        <v>100</v>
      </c>
      <c r="O485" s="19" t="str">
        <f aca="false">IF($M485="","غير مقيّمة",IF($M485&gt;المرجع!$K$3,"مستوفاة بشكل متقدم",IF($M485&lt;=المرجع!$K$2,"مستوفاة بشكل أولي","مستوفاة بشكل جزئي")))</f>
        <v>مستوفاة بشكل متقدم</v>
      </c>
      <c r="P485" s="22"/>
    </row>
    <row r="486" customFormat="false" ht="15" hidden="false" customHeight="true" outlineLevel="0" collapsed="false">
      <c r="A486" s="20" t="s">
        <v>1300</v>
      </c>
      <c r="B486" s="20" t="s">
        <v>228</v>
      </c>
      <c r="C486" s="19" t="str">
        <f aca="false">IFERROR(INDEX('قائمة الوحدات'!$B$2:$B$41,MATCH($B486,'قائمة الوحدات'!$A$2:$A$41,0)),"")</f>
        <v>MIL</v>
      </c>
      <c r="D486" s="18" t="str">
        <f aca="false">IFERROR(INDEX('قائمة الوحدات'!$C$2:$C$41,MATCH($B486,'قائمة الوحدات'!$A$2:$A$41,0)),"")</f>
        <v>الجهاز العسكري</v>
      </c>
      <c r="E486" s="18" t="str">
        <f aca="false">IFERROR(INDEX('قائمة الوحدات'!$D$2:$D$41,MATCH($B486,'قائمة الوحدات'!$A$2:$A$41,0)),"")</f>
        <v>الإدارة العامة للقضاء العسكري</v>
      </c>
      <c r="F486" s="18" t="str">
        <f aca="false">IFERROR(INDEX('قائمة الوحدات'!$F$2:$F$41,MATCH($B486,'قائمة الوحدات'!$A$2:$A$41,0)),"")</f>
        <v>الإدارة العامة للقضاء العسكري</v>
      </c>
      <c r="G486" s="20" t="s">
        <v>44</v>
      </c>
      <c r="H486" s="18" t="str">
        <f aca="false">IFERROR(INDEX(المرجع!$A$2:$A$19,MATCH($G486,المرجع!$B$2:$B$19,0)),"")</f>
        <v>التصميم</v>
      </c>
      <c r="I486" s="20" t="s">
        <v>55</v>
      </c>
      <c r="J486" s="18" t="str">
        <f aca="false">IFERROR(INDEX(المرجع!$D$2:$D$19,MATCH($I486,المرجع!$E$2:$E$19,0)),"")</f>
        <v>التنظيم</v>
      </c>
      <c r="K486" s="20" t="s">
        <v>84</v>
      </c>
      <c r="L486" s="21" t="str">
        <f aca="false">IFERROR(INDEX('نقاط التحقق'!$G$2:$G$31,MATCH($K486,'نقاط التحقق'!$A$2:$A$31,0))&amp;"","")</f>
        <v>تطوير الأدوار والمسؤوليات للوحدة التنظيمية وتفصيل الهيكل التنظيمي</v>
      </c>
      <c r="M486" s="17" t="n">
        <v>95</v>
      </c>
      <c r="N486" s="17" t="n">
        <v>95</v>
      </c>
      <c r="O486" s="19" t="str">
        <f aca="false">IF($M486="","غير مقيّمة",IF($M486&gt;المرجع!$K$3,"مستوفاة بشكل متقدم",IF($M486&lt;=المرجع!$K$2,"مستوفاة بشكل أولي","مستوفاة بشكل جزئي")))</f>
        <v>مستوفاة بشكل متقدم</v>
      </c>
      <c r="P486" s="22"/>
    </row>
    <row r="487" customFormat="false" ht="15" hidden="false" customHeight="true" outlineLevel="0" collapsed="false">
      <c r="A487" s="20" t="s">
        <v>1301</v>
      </c>
      <c r="B487" s="20" t="s">
        <v>228</v>
      </c>
      <c r="C487" s="19" t="str">
        <f aca="false">IFERROR(INDEX('قائمة الوحدات'!$B$2:$B$41,MATCH($B487,'قائمة الوحدات'!$A$2:$A$41,0)),"")</f>
        <v>MIL</v>
      </c>
      <c r="D487" s="18" t="str">
        <f aca="false">IFERROR(INDEX('قائمة الوحدات'!$C$2:$C$41,MATCH($B487,'قائمة الوحدات'!$A$2:$A$41,0)),"")</f>
        <v>الجهاز العسكري</v>
      </c>
      <c r="E487" s="18" t="str">
        <f aca="false">IFERROR(INDEX('قائمة الوحدات'!$D$2:$D$41,MATCH($B487,'قائمة الوحدات'!$A$2:$A$41,0)),"")</f>
        <v>الإدارة العامة للقضاء العسكري</v>
      </c>
      <c r="F487" s="18" t="str">
        <f aca="false">IFERROR(INDEX('قائمة الوحدات'!$F$2:$F$41,MATCH($B487,'قائمة الوحدات'!$A$2:$A$41,0)),"")</f>
        <v>الإدارة العامة للقضاء العسكري</v>
      </c>
      <c r="G487" s="20" t="s">
        <v>44</v>
      </c>
      <c r="H487" s="18" t="str">
        <f aca="false">IFERROR(INDEX(المرجع!$A$2:$A$19,MATCH($G487,المرجع!$B$2:$B$19,0)),"")</f>
        <v>التصميم</v>
      </c>
      <c r="I487" s="20" t="s">
        <v>57</v>
      </c>
      <c r="J487" s="18" t="str">
        <f aca="false">IFERROR(INDEX(المرجع!$D$2:$D$19,MATCH($I487,المرجع!$E$2:$E$19,0)),"")</f>
        <v>الموارد</v>
      </c>
      <c r="K487" s="20" t="s">
        <v>86</v>
      </c>
      <c r="L487" s="21" t="str">
        <f aca="false">IFERROR(INDEX('نقاط التحقق'!$G$2:$G$31,MATCH($K487,'نقاط التحقق'!$A$2:$A$31,0))&amp;"","")</f>
        <v>تفصيل احتياج الموارد البشرية للوحدة التنظيمية</v>
      </c>
      <c r="M487" s="17" t="n">
        <v>73</v>
      </c>
      <c r="N487" s="17" t="n">
        <v>95</v>
      </c>
      <c r="O487" s="19" t="str">
        <f aca="false">IF($M487="","غير مقيّمة",IF($M487&gt;المرجع!$K$3,"مستوفاة بشكل متقدم",IF($M487&lt;=المرجع!$K$2,"مستوفاة بشكل أولي","مستوفاة بشكل جزئي")))</f>
        <v>مستوفاة بشكل متقدم</v>
      </c>
      <c r="P487" s="22"/>
    </row>
    <row r="488" customFormat="false" ht="15" hidden="false" customHeight="true" outlineLevel="0" collapsed="false">
      <c r="A488" s="20" t="s">
        <v>1302</v>
      </c>
      <c r="B488" s="20" t="s">
        <v>228</v>
      </c>
      <c r="C488" s="19" t="str">
        <f aca="false">IFERROR(INDEX('قائمة الوحدات'!$B$2:$B$41,MATCH($B488,'قائمة الوحدات'!$A$2:$A$41,0)),"")</f>
        <v>MIL</v>
      </c>
      <c r="D488" s="18" t="str">
        <f aca="false">IFERROR(INDEX('قائمة الوحدات'!$C$2:$C$41,MATCH($B488,'قائمة الوحدات'!$A$2:$A$41,0)),"")</f>
        <v>الجهاز العسكري</v>
      </c>
      <c r="E488" s="18" t="str">
        <f aca="false">IFERROR(INDEX('قائمة الوحدات'!$D$2:$D$41,MATCH($B488,'قائمة الوحدات'!$A$2:$A$41,0)),"")</f>
        <v>الإدارة العامة للقضاء العسكري</v>
      </c>
      <c r="F488" s="18" t="str">
        <f aca="false">IFERROR(INDEX('قائمة الوحدات'!$F$2:$F$41,MATCH($B488,'قائمة الوحدات'!$A$2:$A$41,0)),"")</f>
        <v>الإدارة العامة للقضاء العسكري</v>
      </c>
      <c r="G488" s="20" t="s">
        <v>44</v>
      </c>
      <c r="H488" s="18" t="str">
        <f aca="false">IFERROR(INDEX(المرجع!$A$2:$A$19,MATCH($G488,المرجع!$B$2:$B$19,0)),"")</f>
        <v>التصميم</v>
      </c>
      <c r="I488" s="20" t="s">
        <v>60</v>
      </c>
      <c r="J488" s="18" t="str">
        <f aca="false">IFERROR(INDEX(المرجع!$D$2:$D$19,MATCH($I488,المرجع!$E$2:$E$19,0)),"")</f>
        <v>الإجراءات</v>
      </c>
      <c r="K488" s="20" t="s">
        <v>88</v>
      </c>
      <c r="L488" s="21" t="str">
        <f aca="false">IFERROR(INDEX('نقاط التحقق'!$G$2:$G$31,MATCH($K488,'نقاط التحقق'!$A$2:$A$31,0))&amp;"","")</f>
        <v>تفصيل المخرجات إلى إجراءات عالية المستوى</v>
      </c>
      <c r="M488" s="17" t="n">
        <v>74</v>
      </c>
      <c r="N488" s="17" t="n">
        <v>85</v>
      </c>
      <c r="O488" s="19" t="str">
        <f aca="false">IF($M488="","غير مقيّمة",IF($M488&gt;المرجع!$K$3,"مستوفاة بشكل متقدم",IF($M488&lt;=المرجع!$K$2,"مستوفاة بشكل أولي","مستوفاة بشكل جزئي")))</f>
        <v>مستوفاة بشكل متقدم</v>
      </c>
      <c r="P488" s="22"/>
    </row>
    <row r="489" customFormat="false" ht="15" hidden="false" customHeight="true" outlineLevel="0" collapsed="false">
      <c r="A489" s="20" t="s">
        <v>1303</v>
      </c>
      <c r="B489" s="20" t="s">
        <v>228</v>
      </c>
      <c r="C489" s="19" t="str">
        <f aca="false">IFERROR(INDEX('قائمة الوحدات'!$B$2:$B$41,MATCH($B489,'قائمة الوحدات'!$A$2:$A$41,0)),"")</f>
        <v>MIL</v>
      </c>
      <c r="D489" s="18" t="str">
        <f aca="false">IFERROR(INDEX('قائمة الوحدات'!$C$2:$C$41,MATCH($B489,'قائمة الوحدات'!$A$2:$A$41,0)),"")</f>
        <v>الجهاز العسكري</v>
      </c>
      <c r="E489" s="18" t="str">
        <f aca="false">IFERROR(INDEX('قائمة الوحدات'!$D$2:$D$41,MATCH($B489,'قائمة الوحدات'!$A$2:$A$41,0)),"")</f>
        <v>الإدارة العامة للقضاء العسكري</v>
      </c>
      <c r="F489" s="18" t="str">
        <f aca="false">IFERROR(INDEX('قائمة الوحدات'!$F$2:$F$41,MATCH($B489,'قائمة الوحدات'!$A$2:$A$41,0)),"")</f>
        <v>الإدارة العامة للقضاء العسكري</v>
      </c>
      <c r="G489" s="20" t="s">
        <v>62</v>
      </c>
      <c r="H489" s="18" t="str">
        <f aca="false">IFERROR(INDEX(المرجع!$A$2:$A$19,MATCH($G489,المرجع!$B$2:$B$19,0)),"")</f>
        <v>البناء المؤسسي</v>
      </c>
      <c r="I489" s="20" t="s">
        <v>46</v>
      </c>
      <c r="J489" s="18" t="str">
        <f aca="false">IFERROR(INDEX(المرجع!$D$2:$D$19,MATCH($I489,المرجع!$E$2:$E$19,0)),"")</f>
        <v>الدور</v>
      </c>
      <c r="K489" s="20" t="s">
        <v>90</v>
      </c>
      <c r="L489" s="21" t="str">
        <f aca="false">IFERROR(INDEX('نقاط التحقق'!$G$2:$G$31,MATCH($K489,'نقاط التحقق'!$A$2:$A$31,0))&amp;"","")</f>
        <v>دور معتمد للوحدة التنظيمية</v>
      </c>
      <c r="M489" s="17" t="n">
        <v>88</v>
      </c>
      <c r="N489" s="17" t="n">
        <v>100</v>
      </c>
      <c r="O489" s="19" t="str">
        <f aca="false">IF($M489="","غير مقيّمة",IF($M489&gt;المرجع!$K$3,"مستوفاة بشكل متقدم",IF($M489&lt;=المرجع!$K$2,"مستوفاة بشكل أولي","مستوفاة بشكل جزئي")))</f>
        <v>مستوفاة بشكل متقدم</v>
      </c>
      <c r="P489" s="22"/>
    </row>
    <row r="490" customFormat="false" ht="15" hidden="false" customHeight="true" outlineLevel="0" collapsed="false">
      <c r="A490" s="20" t="s">
        <v>1304</v>
      </c>
      <c r="B490" s="20" t="s">
        <v>228</v>
      </c>
      <c r="C490" s="19" t="str">
        <f aca="false">IFERROR(INDEX('قائمة الوحدات'!$B$2:$B$41,MATCH($B490,'قائمة الوحدات'!$A$2:$A$41,0)),"")</f>
        <v>MIL</v>
      </c>
      <c r="D490" s="18" t="str">
        <f aca="false">IFERROR(INDEX('قائمة الوحدات'!$C$2:$C$41,MATCH($B490,'قائمة الوحدات'!$A$2:$A$41,0)),"")</f>
        <v>الجهاز العسكري</v>
      </c>
      <c r="E490" s="18" t="str">
        <f aca="false">IFERROR(INDEX('قائمة الوحدات'!$D$2:$D$41,MATCH($B490,'قائمة الوحدات'!$A$2:$A$41,0)),"")</f>
        <v>الإدارة العامة للقضاء العسكري</v>
      </c>
      <c r="F490" s="18" t="str">
        <f aca="false">IFERROR(INDEX('قائمة الوحدات'!$F$2:$F$41,MATCH($B490,'قائمة الوحدات'!$A$2:$A$41,0)),"")</f>
        <v>الإدارة العامة للقضاء العسكري</v>
      </c>
      <c r="G490" s="20" t="s">
        <v>62</v>
      </c>
      <c r="H490" s="18" t="str">
        <f aca="false">IFERROR(INDEX(المرجع!$A$2:$A$19,MATCH($G490,المرجع!$B$2:$B$19,0)),"")</f>
        <v>البناء المؤسسي</v>
      </c>
      <c r="I490" s="20" t="s">
        <v>49</v>
      </c>
      <c r="J490" s="18" t="str">
        <f aca="false">IFERROR(INDEX(المرجع!$D$2:$D$19,MATCH($I490,المرجع!$E$2:$E$19,0)),"")</f>
        <v>الأهداف ومؤشرات الأداء</v>
      </c>
      <c r="K490" s="20" t="s">
        <v>92</v>
      </c>
      <c r="L490" s="21" t="str">
        <f aca="false">IFERROR(INDEX('نقاط التحقق'!$G$2:$G$31,MATCH($K490,'نقاط التحقق'!$A$2:$A$31,0))&amp;"","")</f>
        <v>أهداف تشغيلية معتمدة من صاحب الصلاحية</v>
      </c>
      <c r="M490" s="17" t="n">
        <v>60</v>
      </c>
      <c r="N490" s="17" t="n">
        <v>85</v>
      </c>
      <c r="O490" s="19" t="str">
        <f aca="false">IF($M490="","غير مقيّمة",IF($M490&gt;المرجع!$K$3,"مستوفاة بشكل متقدم",IF($M490&lt;=المرجع!$K$2,"مستوفاة بشكل أولي","مستوفاة بشكل جزئي")))</f>
        <v>مستوفاة بشكل جزئي</v>
      </c>
      <c r="P490" s="22"/>
    </row>
    <row r="491" customFormat="false" ht="15" hidden="false" customHeight="true" outlineLevel="0" collapsed="false">
      <c r="A491" s="20" t="s">
        <v>1305</v>
      </c>
      <c r="B491" s="20" t="s">
        <v>228</v>
      </c>
      <c r="C491" s="19" t="str">
        <f aca="false">IFERROR(INDEX('قائمة الوحدات'!$B$2:$B$41,MATCH($B491,'قائمة الوحدات'!$A$2:$A$41,0)),"")</f>
        <v>MIL</v>
      </c>
      <c r="D491" s="18" t="str">
        <f aca="false">IFERROR(INDEX('قائمة الوحدات'!$C$2:$C$41,MATCH($B491,'قائمة الوحدات'!$A$2:$A$41,0)),"")</f>
        <v>الجهاز العسكري</v>
      </c>
      <c r="E491" s="18" t="str">
        <f aca="false">IFERROR(INDEX('قائمة الوحدات'!$D$2:$D$41,MATCH($B491,'قائمة الوحدات'!$A$2:$A$41,0)),"")</f>
        <v>الإدارة العامة للقضاء العسكري</v>
      </c>
      <c r="F491" s="18" t="str">
        <f aca="false">IFERROR(INDEX('قائمة الوحدات'!$F$2:$F$41,MATCH($B491,'قائمة الوحدات'!$A$2:$A$41,0)),"")</f>
        <v>الإدارة العامة للقضاء العسكري</v>
      </c>
      <c r="G491" s="20" t="s">
        <v>62</v>
      </c>
      <c r="H491" s="18" t="str">
        <f aca="false">IFERROR(INDEX(المرجع!$A$2:$A$19,MATCH($G491,المرجع!$B$2:$B$19,0)),"")</f>
        <v>البناء المؤسسي</v>
      </c>
      <c r="I491" s="20" t="s">
        <v>49</v>
      </c>
      <c r="J491" s="18" t="str">
        <f aca="false">IFERROR(INDEX(المرجع!$D$2:$D$19,MATCH($I491,المرجع!$E$2:$E$19,0)),"")</f>
        <v>الأهداف ومؤشرات الأداء</v>
      </c>
      <c r="K491" s="20" t="s">
        <v>94</v>
      </c>
      <c r="L491" s="21" t="str">
        <f aca="false">IFERROR(INDEX('نقاط التحقق'!$G$2:$G$31,MATCH($K491,'نقاط التحقق'!$A$2:$A$31,0))&amp;"","")</f>
        <v>نشر الأهداف التشغيلية على موظفي الوحدة التنظيمية</v>
      </c>
      <c r="M491" s="17" t="n">
        <v>80</v>
      </c>
      <c r="N491" s="17" t="n">
        <v>85</v>
      </c>
      <c r="O491" s="19" t="str">
        <f aca="false">IF($M491="","غير مقيّمة",IF($M491&gt;المرجع!$K$3,"مستوفاة بشكل متقدم",IF($M491&lt;=المرجع!$K$2,"مستوفاة بشكل أولي","مستوفاة بشكل جزئي")))</f>
        <v>مستوفاة بشكل متقدم</v>
      </c>
      <c r="P491" s="22"/>
    </row>
    <row r="492" customFormat="false" ht="15" hidden="false" customHeight="true" outlineLevel="0" collapsed="false">
      <c r="A492" s="20" t="s">
        <v>1306</v>
      </c>
      <c r="B492" s="20" t="s">
        <v>228</v>
      </c>
      <c r="C492" s="19" t="str">
        <f aca="false">IFERROR(INDEX('قائمة الوحدات'!$B$2:$B$41,MATCH($B492,'قائمة الوحدات'!$A$2:$A$41,0)),"")</f>
        <v>MIL</v>
      </c>
      <c r="D492" s="18" t="str">
        <f aca="false">IFERROR(INDEX('قائمة الوحدات'!$C$2:$C$41,MATCH($B492,'قائمة الوحدات'!$A$2:$A$41,0)),"")</f>
        <v>الجهاز العسكري</v>
      </c>
      <c r="E492" s="18" t="str">
        <f aca="false">IFERROR(INDEX('قائمة الوحدات'!$D$2:$D$41,MATCH($B492,'قائمة الوحدات'!$A$2:$A$41,0)),"")</f>
        <v>الإدارة العامة للقضاء العسكري</v>
      </c>
      <c r="F492" s="18" t="str">
        <f aca="false">IFERROR(INDEX('قائمة الوحدات'!$F$2:$F$41,MATCH($B492,'قائمة الوحدات'!$A$2:$A$41,0)),"")</f>
        <v>الإدارة العامة للقضاء العسكري</v>
      </c>
      <c r="G492" s="20" t="s">
        <v>62</v>
      </c>
      <c r="H492" s="18" t="str">
        <f aca="false">IFERROR(INDEX(المرجع!$A$2:$A$19,MATCH($G492,المرجع!$B$2:$B$19,0)),"")</f>
        <v>البناء المؤسسي</v>
      </c>
      <c r="I492" s="20" t="s">
        <v>52</v>
      </c>
      <c r="J492" s="18" t="str">
        <f aca="false">IFERROR(INDEX(المرجع!$D$2:$D$19,MATCH($I492,المرجع!$E$2:$E$19,0)),"")</f>
        <v>الحوكمة</v>
      </c>
      <c r="K492" s="20" t="s">
        <v>96</v>
      </c>
      <c r="L492" s="21" t="str">
        <f aca="false">IFERROR(INDEX('نقاط التحقق'!$G$2:$G$31,MATCH($K492,'نقاط التحقق'!$A$2:$A$31,0))&amp;"","")</f>
        <v>مصفوفة صلاحيات معتمدة ومعممة على أصحاب المصلحة</v>
      </c>
      <c r="M492" s="17" t="n">
        <v>60</v>
      </c>
      <c r="N492" s="17" t="n">
        <v>80</v>
      </c>
      <c r="O492" s="19" t="str">
        <f aca="false">IF($M492="","غير مقيّمة",IF($M492&gt;المرجع!$K$3,"مستوفاة بشكل متقدم",IF($M492&lt;=المرجع!$K$2,"مستوفاة بشكل أولي","مستوفاة بشكل جزئي")))</f>
        <v>مستوفاة بشكل جزئي</v>
      </c>
      <c r="P492" s="22"/>
    </row>
    <row r="493" customFormat="false" ht="15" hidden="false" customHeight="true" outlineLevel="0" collapsed="false">
      <c r="A493" s="20" t="s">
        <v>1307</v>
      </c>
      <c r="B493" s="20" t="s">
        <v>228</v>
      </c>
      <c r="C493" s="19" t="str">
        <f aca="false">IFERROR(INDEX('قائمة الوحدات'!$B$2:$B$41,MATCH($B493,'قائمة الوحدات'!$A$2:$A$41,0)),"")</f>
        <v>MIL</v>
      </c>
      <c r="D493" s="18" t="str">
        <f aca="false">IFERROR(INDEX('قائمة الوحدات'!$C$2:$C$41,MATCH($B493,'قائمة الوحدات'!$A$2:$A$41,0)),"")</f>
        <v>الجهاز العسكري</v>
      </c>
      <c r="E493" s="18" t="str">
        <f aca="false">IFERROR(INDEX('قائمة الوحدات'!$D$2:$D$41,MATCH($B493,'قائمة الوحدات'!$A$2:$A$41,0)),"")</f>
        <v>الإدارة العامة للقضاء العسكري</v>
      </c>
      <c r="F493" s="18" t="str">
        <f aca="false">IFERROR(INDEX('قائمة الوحدات'!$F$2:$F$41,MATCH($B493,'قائمة الوحدات'!$A$2:$A$41,0)),"")</f>
        <v>الإدارة العامة للقضاء العسكري</v>
      </c>
      <c r="G493" s="20" t="s">
        <v>62</v>
      </c>
      <c r="H493" s="18" t="str">
        <f aca="false">IFERROR(INDEX(المرجع!$A$2:$A$19,MATCH($G493,المرجع!$B$2:$B$19,0)),"")</f>
        <v>البناء المؤسسي</v>
      </c>
      <c r="I493" s="20" t="s">
        <v>52</v>
      </c>
      <c r="J493" s="18" t="str">
        <f aca="false">IFERROR(INDEX(المرجع!$D$2:$D$19,MATCH($I493,المرجع!$E$2:$E$19,0)),"")</f>
        <v>الحوكمة</v>
      </c>
      <c r="K493" s="20" t="s">
        <v>98</v>
      </c>
      <c r="L493" s="21" t="str">
        <f aca="false">IFERROR(INDEX('نقاط التحقق'!$G$2:$G$31,MATCH($K493,'نقاط التحقق'!$A$2:$A$31,0))&amp;"","")</f>
        <v>سياسات معتمدة للتي تملكها الوحدة التنظيمية</v>
      </c>
      <c r="M493" s="17" t="n">
        <v>35</v>
      </c>
      <c r="N493" s="17" t="n">
        <v>85</v>
      </c>
      <c r="O493" s="19" t="str">
        <f aca="false">IF($M493="","غير مقيّمة",IF($M493&gt;المرجع!$K$3,"مستوفاة بشكل متقدم",IF($M493&lt;=المرجع!$K$2,"مستوفاة بشكل أولي","مستوفاة بشكل جزئي")))</f>
        <v>مستوفاة بشكل جزئي</v>
      </c>
      <c r="P493" s="22"/>
    </row>
    <row r="494" customFormat="false" ht="15" hidden="false" customHeight="true" outlineLevel="0" collapsed="false">
      <c r="A494" s="20" t="s">
        <v>1308</v>
      </c>
      <c r="B494" s="20" t="s">
        <v>228</v>
      </c>
      <c r="C494" s="19" t="str">
        <f aca="false">IFERROR(INDEX('قائمة الوحدات'!$B$2:$B$41,MATCH($B494,'قائمة الوحدات'!$A$2:$A$41,0)),"")</f>
        <v>MIL</v>
      </c>
      <c r="D494" s="18" t="str">
        <f aca="false">IFERROR(INDEX('قائمة الوحدات'!$C$2:$C$41,MATCH($B494,'قائمة الوحدات'!$A$2:$A$41,0)),"")</f>
        <v>الجهاز العسكري</v>
      </c>
      <c r="E494" s="18" t="str">
        <f aca="false">IFERROR(INDEX('قائمة الوحدات'!$D$2:$D$41,MATCH($B494,'قائمة الوحدات'!$A$2:$A$41,0)),"")</f>
        <v>الإدارة العامة للقضاء العسكري</v>
      </c>
      <c r="F494" s="18" t="str">
        <f aca="false">IFERROR(INDEX('قائمة الوحدات'!$F$2:$F$41,MATCH($B494,'قائمة الوحدات'!$A$2:$A$41,0)),"")</f>
        <v>الإدارة العامة للقضاء العسكري</v>
      </c>
      <c r="G494" s="20" t="s">
        <v>62</v>
      </c>
      <c r="H494" s="18" t="str">
        <f aca="false">IFERROR(INDEX(المرجع!$A$2:$A$19,MATCH($G494,المرجع!$B$2:$B$19,0)),"")</f>
        <v>البناء المؤسسي</v>
      </c>
      <c r="I494" s="20" t="s">
        <v>52</v>
      </c>
      <c r="J494" s="18" t="str">
        <f aca="false">IFERROR(INDEX(المرجع!$D$2:$D$19,MATCH($I494,المرجع!$E$2:$E$19,0)),"")</f>
        <v>الحوكمة</v>
      </c>
      <c r="K494" s="20" t="s">
        <v>100</v>
      </c>
      <c r="L494" s="21" t="str">
        <f aca="false">IFERROR(INDEX('نقاط التحقق'!$G$2:$G$31,MATCH($K494,'نقاط التحقق'!$A$2:$A$31,0))&amp;"","")</f>
        <v>قرار تشكيل معتمد للجان ذات العلاقة</v>
      </c>
      <c r="M494" s="17" t="n">
        <v>35</v>
      </c>
      <c r="N494" s="17" t="n">
        <v>90</v>
      </c>
      <c r="O494" s="19" t="str">
        <f aca="false">IF($M494="","غير مقيّمة",IF($M494&gt;المرجع!$K$3,"مستوفاة بشكل متقدم",IF($M494&lt;=المرجع!$K$2,"مستوفاة بشكل أولي","مستوفاة بشكل جزئي")))</f>
        <v>مستوفاة بشكل جزئي</v>
      </c>
      <c r="P494" s="22"/>
    </row>
    <row r="495" customFormat="false" ht="15" hidden="false" customHeight="true" outlineLevel="0" collapsed="false">
      <c r="A495" s="20" t="s">
        <v>1309</v>
      </c>
      <c r="B495" s="20" t="s">
        <v>228</v>
      </c>
      <c r="C495" s="19" t="str">
        <f aca="false">IFERROR(INDEX('قائمة الوحدات'!$B$2:$B$41,MATCH($B495,'قائمة الوحدات'!$A$2:$A$41,0)),"")</f>
        <v>MIL</v>
      </c>
      <c r="D495" s="18" t="str">
        <f aca="false">IFERROR(INDEX('قائمة الوحدات'!$C$2:$C$41,MATCH($B495,'قائمة الوحدات'!$A$2:$A$41,0)),"")</f>
        <v>الجهاز العسكري</v>
      </c>
      <c r="E495" s="18" t="str">
        <f aca="false">IFERROR(INDEX('قائمة الوحدات'!$D$2:$D$41,MATCH($B495,'قائمة الوحدات'!$A$2:$A$41,0)),"")</f>
        <v>الإدارة العامة للقضاء العسكري</v>
      </c>
      <c r="F495" s="18" t="str">
        <f aca="false">IFERROR(INDEX('قائمة الوحدات'!$F$2:$F$41,MATCH($B495,'قائمة الوحدات'!$A$2:$A$41,0)),"")</f>
        <v>الإدارة العامة للقضاء العسكري</v>
      </c>
      <c r="G495" s="20" t="s">
        <v>62</v>
      </c>
      <c r="H495" s="18" t="str">
        <f aca="false">IFERROR(INDEX(المرجع!$A$2:$A$19,MATCH($G495,المرجع!$B$2:$B$19,0)),"")</f>
        <v>البناء المؤسسي</v>
      </c>
      <c r="I495" s="20" t="s">
        <v>55</v>
      </c>
      <c r="J495" s="18" t="str">
        <f aca="false">IFERROR(INDEX(المرجع!$D$2:$D$19,MATCH($I495,المرجع!$E$2:$E$19,0)),"")</f>
        <v>التنظيم</v>
      </c>
      <c r="K495" s="20" t="s">
        <v>102</v>
      </c>
      <c r="L495" s="21" t="str">
        <f aca="false">IFERROR(INDEX('نقاط التحقق'!$G$2:$G$31,MATCH($K495,'نقاط التحقق'!$A$2:$A$31,0))&amp;"","")</f>
        <v>هيكل تنظيمي معتمد من صاحب الصلاحية</v>
      </c>
      <c r="M495" s="17" t="n">
        <v>65</v>
      </c>
      <c r="N495" s="17" t="n">
        <v>100</v>
      </c>
      <c r="O495" s="19" t="str">
        <f aca="false">IF($M495="","غير مقيّمة",IF($M495&gt;المرجع!$K$3,"مستوفاة بشكل متقدم",IF($M495&lt;=المرجع!$K$2,"مستوفاة بشكل أولي","مستوفاة بشكل جزئي")))</f>
        <v>مستوفاة بشكل جزئي</v>
      </c>
      <c r="P495" s="22"/>
    </row>
    <row r="496" customFormat="false" ht="15" hidden="false" customHeight="true" outlineLevel="0" collapsed="false">
      <c r="A496" s="20" t="s">
        <v>1310</v>
      </c>
      <c r="B496" s="20" t="s">
        <v>228</v>
      </c>
      <c r="C496" s="19" t="str">
        <f aca="false">IFERROR(INDEX('قائمة الوحدات'!$B$2:$B$41,MATCH($B496,'قائمة الوحدات'!$A$2:$A$41,0)),"")</f>
        <v>MIL</v>
      </c>
      <c r="D496" s="18" t="str">
        <f aca="false">IFERROR(INDEX('قائمة الوحدات'!$C$2:$C$41,MATCH($B496,'قائمة الوحدات'!$A$2:$A$41,0)),"")</f>
        <v>الجهاز العسكري</v>
      </c>
      <c r="E496" s="18" t="str">
        <f aca="false">IFERROR(INDEX('قائمة الوحدات'!$D$2:$D$41,MATCH($B496,'قائمة الوحدات'!$A$2:$A$41,0)),"")</f>
        <v>الإدارة العامة للقضاء العسكري</v>
      </c>
      <c r="F496" s="18" t="str">
        <f aca="false">IFERROR(INDEX('قائمة الوحدات'!$F$2:$F$41,MATCH($B496,'قائمة الوحدات'!$A$2:$A$41,0)),"")</f>
        <v>الإدارة العامة للقضاء العسكري</v>
      </c>
      <c r="G496" s="20" t="s">
        <v>62</v>
      </c>
      <c r="H496" s="18" t="str">
        <f aca="false">IFERROR(INDEX(المرجع!$A$2:$A$19,MATCH($G496,المرجع!$B$2:$B$19,0)),"")</f>
        <v>البناء المؤسسي</v>
      </c>
      <c r="I496" s="20" t="s">
        <v>55</v>
      </c>
      <c r="J496" s="18" t="str">
        <f aca="false">IFERROR(INDEX(المرجع!$D$2:$D$19,MATCH($I496,المرجع!$E$2:$E$19,0)),"")</f>
        <v>التنظيم</v>
      </c>
      <c r="K496" s="20" t="s">
        <v>104</v>
      </c>
      <c r="L496" s="21" t="str">
        <f aca="false">IFERROR(INDEX('نقاط التحقق'!$G$2:$G$31,MATCH($K496,'نقاط التحقق'!$A$2:$A$31,0))&amp;"","")</f>
        <v>هيكل تنظيمي منشأ على نظام القوى العاملة</v>
      </c>
      <c r="M496" s="17" t="n">
        <v>50</v>
      </c>
      <c r="N496" s="17" t="n">
        <v>80</v>
      </c>
      <c r="O496" s="19" t="str">
        <f aca="false">IF($M496="","غير مقيّمة",IF($M496&gt;المرجع!$K$3,"مستوفاة بشكل متقدم",IF($M496&lt;=المرجع!$K$2,"مستوفاة بشكل أولي","مستوفاة بشكل جزئي")))</f>
        <v>مستوفاة بشكل جزئي</v>
      </c>
      <c r="P496" s="22"/>
    </row>
    <row r="497" customFormat="false" ht="15" hidden="false" customHeight="true" outlineLevel="0" collapsed="false">
      <c r="A497" s="20" t="s">
        <v>1311</v>
      </c>
      <c r="B497" s="20" t="s">
        <v>228</v>
      </c>
      <c r="C497" s="19" t="str">
        <f aca="false">IFERROR(INDEX('قائمة الوحدات'!$B$2:$B$41,MATCH($B497,'قائمة الوحدات'!$A$2:$A$41,0)),"")</f>
        <v>MIL</v>
      </c>
      <c r="D497" s="18" t="str">
        <f aca="false">IFERROR(INDEX('قائمة الوحدات'!$C$2:$C$41,MATCH($B497,'قائمة الوحدات'!$A$2:$A$41,0)),"")</f>
        <v>الجهاز العسكري</v>
      </c>
      <c r="E497" s="18" t="str">
        <f aca="false">IFERROR(INDEX('قائمة الوحدات'!$D$2:$D$41,MATCH($B497,'قائمة الوحدات'!$A$2:$A$41,0)),"")</f>
        <v>الإدارة العامة للقضاء العسكري</v>
      </c>
      <c r="F497" s="18" t="str">
        <f aca="false">IFERROR(INDEX('قائمة الوحدات'!$F$2:$F$41,MATCH($B497,'قائمة الوحدات'!$A$2:$A$41,0)),"")</f>
        <v>الإدارة العامة للقضاء العسكري</v>
      </c>
      <c r="G497" s="20" t="s">
        <v>62</v>
      </c>
      <c r="H497" s="18" t="str">
        <f aca="false">IFERROR(INDEX(المرجع!$A$2:$A$19,MATCH($G497,المرجع!$B$2:$B$19,0)),"")</f>
        <v>البناء المؤسسي</v>
      </c>
      <c r="I497" s="20" t="s">
        <v>55</v>
      </c>
      <c r="J497" s="18" t="str">
        <f aca="false">IFERROR(INDEX(المرجع!$D$2:$D$19,MATCH($I497,المرجع!$E$2:$E$19,0)),"")</f>
        <v>التنظيم</v>
      </c>
      <c r="K497" s="20" t="s">
        <v>106</v>
      </c>
      <c r="L497" s="21" t="str">
        <f aca="false">IFERROR(INDEX('نقاط التحقق'!$G$2:$G$31,MATCH($K497,'نقاط التحقق'!$A$2:$A$31,0))&amp;"","")</f>
        <v>الموظفون المحددون مسكّنون على الهيكل التنظيمي المستهدف</v>
      </c>
      <c r="M497" s="17" t="n">
        <v>60</v>
      </c>
      <c r="N497" s="17" t="n">
        <v>90</v>
      </c>
      <c r="O497" s="19" t="str">
        <f aca="false">IF($M497="","غير مقيّمة",IF($M497&gt;المرجع!$K$3,"مستوفاة بشكل متقدم",IF($M497&lt;=المرجع!$K$2,"مستوفاة بشكل أولي","مستوفاة بشكل جزئي")))</f>
        <v>مستوفاة بشكل جزئي</v>
      </c>
      <c r="P497" s="22"/>
    </row>
    <row r="498" customFormat="false" ht="15" hidden="false" customHeight="true" outlineLevel="0" collapsed="false">
      <c r="A498" s="20" t="s">
        <v>1312</v>
      </c>
      <c r="B498" s="20" t="s">
        <v>228</v>
      </c>
      <c r="C498" s="19" t="str">
        <f aca="false">IFERROR(INDEX('قائمة الوحدات'!$B$2:$B$41,MATCH($B498,'قائمة الوحدات'!$A$2:$A$41,0)),"")</f>
        <v>MIL</v>
      </c>
      <c r="D498" s="18" t="str">
        <f aca="false">IFERROR(INDEX('قائمة الوحدات'!$C$2:$C$41,MATCH($B498,'قائمة الوحدات'!$A$2:$A$41,0)),"")</f>
        <v>الجهاز العسكري</v>
      </c>
      <c r="E498" s="18" t="str">
        <f aca="false">IFERROR(INDEX('قائمة الوحدات'!$D$2:$D$41,MATCH($B498,'قائمة الوحدات'!$A$2:$A$41,0)),"")</f>
        <v>الإدارة العامة للقضاء العسكري</v>
      </c>
      <c r="F498" s="18" t="str">
        <f aca="false">IFERROR(INDEX('قائمة الوحدات'!$F$2:$F$41,MATCH($B498,'قائمة الوحدات'!$A$2:$A$41,0)),"")</f>
        <v>الإدارة العامة للقضاء العسكري</v>
      </c>
      <c r="G498" s="20" t="s">
        <v>62</v>
      </c>
      <c r="H498" s="18" t="str">
        <f aca="false">IFERROR(INDEX(المرجع!$A$2:$A$19,MATCH($G498,المرجع!$B$2:$B$19,0)),"")</f>
        <v>البناء المؤسسي</v>
      </c>
      <c r="I498" s="20" t="s">
        <v>57</v>
      </c>
      <c r="J498" s="18" t="str">
        <f aca="false">IFERROR(INDEX(المرجع!$D$2:$D$19,MATCH($I498,المرجع!$E$2:$E$19,0)),"")</f>
        <v>الموارد</v>
      </c>
      <c r="K498" s="20" t="s">
        <v>108</v>
      </c>
      <c r="L498" s="21" t="str">
        <f aca="false">IFERROR(INDEX('نقاط التحقق'!$G$2:$G$31,MATCH($K498,'نقاط التحقق'!$A$2:$A$31,0))&amp;"","")</f>
        <v>مدير الوحدة التنظيمية والموظفون الرئيسيون معينون/ملحقون</v>
      </c>
      <c r="M498" s="17" t="n">
        <v>50</v>
      </c>
      <c r="N498" s="17" t="n">
        <v>85</v>
      </c>
      <c r="O498" s="19" t="str">
        <f aca="false">IF($M498="","غير مقيّمة",IF($M498&gt;المرجع!$K$3,"مستوفاة بشكل متقدم",IF($M498&lt;=المرجع!$K$2,"مستوفاة بشكل أولي","مستوفاة بشكل جزئي")))</f>
        <v>مستوفاة بشكل جزئي</v>
      </c>
      <c r="P498" s="22"/>
    </row>
    <row r="499" customFormat="false" ht="15" hidden="false" customHeight="true" outlineLevel="0" collapsed="false">
      <c r="A499" s="20" t="s">
        <v>1313</v>
      </c>
      <c r="B499" s="20" t="s">
        <v>228</v>
      </c>
      <c r="C499" s="19" t="str">
        <f aca="false">IFERROR(INDEX('قائمة الوحدات'!$B$2:$B$41,MATCH($B499,'قائمة الوحدات'!$A$2:$A$41,0)),"")</f>
        <v>MIL</v>
      </c>
      <c r="D499" s="18" t="str">
        <f aca="false">IFERROR(INDEX('قائمة الوحدات'!$C$2:$C$41,MATCH($B499,'قائمة الوحدات'!$A$2:$A$41,0)),"")</f>
        <v>الجهاز العسكري</v>
      </c>
      <c r="E499" s="18" t="str">
        <f aca="false">IFERROR(INDEX('قائمة الوحدات'!$D$2:$D$41,MATCH($B499,'قائمة الوحدات'!$A$2:$A$41,0)),"")</f>
        <v>الإدارة العامة للقضاء العسكري</v>
      </c>
      <c r="F499" s="18" t="str">
        <f aca="false">IFERROR(INDEX('قائمة الوحدات'!$F$2:$F$41,MATCH($B499,'قائمة الوحدات'!$A$2:$A$41,0)),"")</f>
        <v>الإدارة العامة للقضاء العسكري</v>
      </c>
      <c r="G499" s="20" t="s">
        <v>62</v>
      </c>
      <c r="H499" s="18" t="str">
        <f aca="false">IFERROR(INDEX(المرجع!$A$2:$A$19,MATCH($G499,المرجع!$B$2:$B$19,0)),"")</f>
        <v>البناء المؤسسي</v>
      </c>
      <c r="I499" s="20" t="s">
        <v>57</v>
      </c>
      <c r="J499" s="18" t="str">
        <f aca="false">IFERROR(INDEX(المرجع!$D$2:$D$19,MATCH($I499,المرجع!$E$2:$E$19,0)),"")</f>
        <v>الموارد</v>
      </c>
      <c r="K499" s="20" t="s">
        <v>110</v>
      </c>
      <c r="L499" s="21" t="str">
        <f aca="false">IFERROR(INDEX('نقاط التحقق'!$G$2:$G$31,MATCH($K499,'نقاط التحقق'!$A$2:$A$31,0))&amp;"","")</f>
        <v>خطة توظيف وتدريب مستكملة</v>
      </c>
      <c r="M499" s="17" t="n">
        <v>65</v>
      </c>
      <c r="N499" s="17" t="n">
        <v>90</v>
      </c>
      <c r="O499" s="19" t="str">
        <f aca="false">IF($M499="","غير مقيّمة",IF($M499&gt;المرجع!$K$3,"مستوفاة بشكل متقدم",IF($M499&lt;=المرجع!$K$2,"مستوفاة بشكل أولي","مستوفاة بشكل جزئي")))</f>
        <v>مستوفاة بشكل جزئي</v>
      </c>
      <c r="P499" s="22"/>
    </row>
    <row r="500" customFormat="false" ht="15" hidden="false" customHeight="true" outlineLevel="0" collapsed="false">
      <c r="A500" s="20" t="s">
        <v>1314</v>
      </c>
      <c r="B500" s="20" t="s">
        <v>228</v>
      </c>
      <c r="C500" s="19" t="str">
        <f aca="false">IFERROR(INDEX('قائمة الوحدات'!$B$2:$B$41,MATCH($B500,'قائمة الوحدات'!$A$2:$A$41,0)),"")</f>
        <v>MIL</v>
      </c>
      <c r="D500" s="18" t="str">
        <f aca="false">IFERROR(INDEX('قائمة الوحدات'!$C$2:$C$41,MATCH($B500,'قائمة الوحدات'!$A$2:$A$41,0)),"")</f>
        <v>الجهاز العسكري</v>
      </c>
      <c r="E500" s="18" t="str">
        <f aca="false">IFERROR(INDEX('قائمة الوحدات'!$D$2:$D$41,MATCH($B500,'قائمة الوحدات'!$A$2:$A$41,0)),"")</f>
        <v>الإدارة العامة للقضاء العسكري</v>
      </c>
      <c r="F500" s="18" t="str">
        <f aca="false">IFERROR(INDEX('قائمة الوحدات'!$F$2:$F$41,MATCH($B500,'قائمة الوحدات'!$A$2:$A$41,0)),"")</f>
        <v>الإدارة العامة للقضاء العسكري</v>
      </c>
      <c r="G500" s="20" t="s">
        <v>62</v>
      </c>
      <c r="H500" s="18" t="str">
        <f aca="false">IFERROR(INDEX(المرجع!$A$2:$A$19,MATCH($G500,المرجع!$B$2:$B$19,0)),"")</f>
        <v>البناء المؤسسي</v>
      </c>
      <c r="I500" s="20" t="s">
        <v>57</v>
      </c>
      <c r="J500" s="18" t="str">
        <f aca="false">IFERROR(INDEX(المرجع!$D$2:$D$19,MATCH($I500,المرجع!$E$2:$E$19,0)),"")</f>
        <v>الموارد</v>
      </c>
      <c r="K500" s="20" t="s">
        <v>112</v>
      </c>
      <c r="L500" s="21" t="str">
        <f aca="false">IFERROR(INDEX('نقاط التحقق'!$G$2:$G$31,MATCH($K500,'نقاط التحقق'!$A$2:$A$31,0))&amp;"","")</f>
        <v>وجود مساحات مكتبية كافية</v>
      </c>
      <c r="M500" s="17" t="n">
        <v>65</v>
      </c>
      <c r="N500" s="17" t="n">
        <v>90</v>
      </c>
      <c r="O500" s="19" t="str">
        <f aca="false">IF($M500="","غير مقيّمة",IF($M500&gt;المرجع!$K$3,"مستوفاة بشكل متقدم",IF($M500&lt;=المرجع!$K$2,"مستوفاة بشكل أولي","مستوفاة بشكل جزئي")))</f>
        <v>مستوفاة بشكل جزئي</v>
      </c>
      <c r="P500" s="22"/>
    </row>
    <row r="501" customFormat="false" ht="15" hidden="false" customHeight="true" outlineLevel="0" collapsed="false">
      <c r="A501" s="20" t="s">
        <v>1315</v>
      </c>
      <c r="B501" s="20" t="s">
        <v>228</v>
      </c>
      <c r="C501" s="19" t="str">
        <f aca="false">IFERROR(INDEX('قائمة الوحدات'!$B$2:$B$41,MATCH($B501,'قائمة الوحدات'!$A$2:$A$41,0)),"")</f>
        <v>MIL</v>
      </c>
      <c r="D501" s="18" t="str">
        <f aca="false">IFERROR(INDEX('قائمة الوحدات'!$C$2:$C$41,MATCH($B501,'قائمة الوحدات'!$A$2:$A$41,0)),"")</f>
        <v>الجهاز العسكري</v>
      </c>
      <c r="E501" s="18" t="str">
        <f aca="false">IFERROR(INDEX('قائمة الوحدات'!$D$2:$D$41,MATCH($B501,'قائمة الوحدات'!$A$2:$A$41,0)),"")</f>
        <v>الإدارة العامة للقضاء العسكري</v>
      </c>
      <c r="F501" s="18" t="str">
        <f aca="false">IFERROR(INDEX('قائمة الوحدات'!$F$2:$F$41,MATCH($B501,'قائمة الوحدات'!$A$2:$A$41,0)),"")</f>
        <v>الإدارة العامة للقضاء العسكري</v>
      </c>
      <c r="G501" s="20" t="s">
        <v>62</v>
      </c>
      <c r="H501" s="18" t="str">
        <f aca="false">IFERROR(INDEX(المرجع!$A$2:$A$19,MATCH($G501,المرجع!$B$2:$B$19,0)),"")</f>
        <v>البناء المؤسسي</v>
      </c>
      <c r="I501" s="20" t="s">
        <v>57</v>
      </c>
      <c r="J501" s="18" t="str">
        <f aca="false">IFERROR(INDEX(المرجع!$D$2:$D$19,MATCH($I501,المرجع!$E$2:$E$19,0)),"")</f>
        <v>الموارد</v>
      </c>
      <c r="K501" s="20" t="s">
        <v>114</v>
      </c>
      <c r="L501" s="21" t="str">
        <f aca="false">IFERROR(INDEX('نقاط التحقق'!$G$2:$G$31,MATCH($K501,'نقاط التحقق'!$A$2:$A$31,0))&amp;"","")</f>
        <v>وجود الاحتياجات التقنية الأساسية</v>
      </c>
      <c r="M501" s="17" t="n">
        <v>60</v>
      </c>
      <c r="N501" s="17" t="n">
        <v>100</v>
      </c>
      <c r="O501" s="19" t="str">
        <f aca="false">IF($M501="","غير مقيّمة",IF($M501&gt;المرجع!$K$3,"مستوفاة بشكل متقدم",IF($M501&lt;=المرجع!$K$2,"مستوفاة بشكل أولي","مستوفاة بشكل جزئي")))</f>
        <v>مستوفاة بشكل جزئي</v>
      </c>
      <c r="P501" s="22"/>
    </row>
    <row r="502" customFormat="false" ht="15" hidden="false" customHeight="true" outlineLevel="0" collapsed="false">
      <c r="A502" s="20" t="s">
        <v>1316</v>
      </c>
      <c r="B502" s="20" t="s">
        <v>228</v>
      </c>
      <c r="C502" s="19" t="str">
        <f aca="false">IFERROR(INDEX('قائمة الوحدات'!$B$2:$B$41,MATCH($B502,'قائمة الوحدات'!$A$2:$A$41,0)),"")</f>
        <v>MIL</v>
      </c>
      <c r="D502" s="18" t="str">
        <f aca="false">IFERROR(INDEX('قائمة الوحدات'!$C$2:$C$41,MATCH($B502,'قائمة الوحدات'!$A$2:$A$41,0)),"")</f>
        <v>الجهاز العسكري</v>
      </c>
      <c r="E502" s="18" t="str">
        <f aca="false">IFERROR(INDEX('قائمة الوحدات'!$D$2:$D$41,MATCH($B502,'قائمة الوحدات'!$A$2:$A$41,0)),"")</f>
        <v>الإدارة العامة للقضاء العسكري</v>
      </c>
      <c r="F502" s="18" t="str">
        <f aca="false">IFERROR(INDEX('قائمة الوحدات'!$F$2:$F$41,MATCH($B502,'قائمة الوحدات'!$A$2:$A$41,0)),"")</f>
        <v>الإدارة العامة للقضاء العسكري</v>
      </c>
      <c r="G502" s="20" t="s">
        <v>62</v>
      </c>
      <c r="H502" s="18" t="str">
        <f aca="false">IFERROR(INDEX(المرجع!$A$2:$A$19,MATCH($G502,المرجع!$B$2:$B$19,0)),"")</f>
        <v>البناء المؤسسي</v>
      </c>
      <c r="I502" s="20" t="s">
        <v>60</v>
      </c>
      <c r="J502" s="18" t="str">
        <f aca="false">IFERROR(INDEX(المرجع!$D$2:$D$19,MATCH($I502,المرجع!$E$2:$E$19,0)),"")</f>
        <v>الإجراءات</v>
      </c>
      <c r="K502" s="20" t="s">
        <v>116</v>
      </c>
      <c r="L502" s="21" t="str">
        <f aca="false">IFERROR(INDEX('نقاط التحقق'!$G$2:$G$31,MATCH($K502,'نقاط التحقق'!$A$2:$A$31,0))&amp;"","")</f>
        <v>إجراءات معتمدة للوحدة التنظيمية</v>
      </c>
      <c r="M502" s="17" t="n">
        <v>49</v>
      </c>
      <c r="N502" s="17" t="n">
        <v>100</v>
      </c>
      <c r="O502" s="19" t="str">
        <f aca="false">IF($M502="","غير مقيّمة",IF($M502&gt;المرجع!$K$3,"مستوفاة بشكل متقدم",IF($M502&lt;=المرجع!$K$2,"مستوفاة بشكل أولي","مستوفاة بشكل جزئي")))</f>
        <v>مستوفاة بشكل جزئي</v>
      </c>
      <c r="P502" s="22"/>
    </row>
    <row r="503" customFormat="false" ht="15" hidden="false" customHeight="true" outlineLevel="0" collapsed="false">
      <c r="A503" s="20" t="s">
        <v>1317</v>
      </c>
      <c r="B503" s="20" t="s">
        <v>228</v>
      </c>
      <c r="C503" s="19" t="str">
        <f aca="false">IFERROR(INDEX('قائمة الوحدات'!$B$2:$B$41,MATCH($B503,'قائمة الوحدات'!$A$2:$A$41,0)),"")</f>
        <v>MIL</v>
      </c>
      <c r="D503" s="18" t="str">
        <f aca="false">IFERROR(INDEX('قائمة الوحدات'!$C$2:$C$41,MATCH($B503,'قائمة الوحدات'!$A$2:$A$41,0)),"")</f>
        <v>الجهاز العسكري</v>
      </c>
      <c r="E503" s="18" t="str">
        <f aca="false">IFERROR(INDEX('قائمة الوحدات'!$D$2:$D$41,MATCH($B503,'قائمة الوحدات'!$A$2:$A$41,0)),"")</f>
        <v>الإدارة العامة للقضاء العسكري</v>
      </c>
      <c r="F503" s="18" t="str">
        <f aca="false">IFERROR(INDEX('قائمة الوحدات'!$F$2:$F$41,MATCH($B503,'قائمة الوحدات'!$A$2:$A$41,0)),"")</f>
        <v>الإدارة العامة للقضاء العسكري</v>
      </c>
      <c r="G503" s="20" t="s">
        <v>62</v>
      </c>
      <c r="H503" s="18" t="str">
        <f aca="false">IFERROR(INDEX(المرجع!$A$2:$A$19,MATCH($G503,المرجع!$B$2:$B$19,0)),"")</f>
        <v>البناء المؤسسي</v>
      </c>
      <c r="I503" s="20" t="s">
        <v>69</v>
      </c>
      <c r="J503" s="18" t="str">
        <f aca="false">IFERROR(INDEX(المرجع!$D$2:$D$19,MATCH($I503,المرجع!$E$2:$E$19,0)),"")</f>
        <v>إنتاج المخرج الأول</v>
      </c>
      <c r="K503" s="20" t="s">
        <v>118</v>
      </c>
      <c r="L503" s="21" t="str">
        <f aca="false">IFERROR(INDEX('نقاط التحقق'!$G$2:$G$31,MATCH($K503,'نقاط التحقق'!$A$2:$A$31,0))&amp;"","")</f>
        <v>إنتاج المخرج الأول من قبل الوحدة التنظيمية</v>
      </c>
      <c r="M503" s="17" t="n">
        <v>86</v>
      </c>
      <c r="N503" s="17" t="n">
        <v>86</v>
      </c>
      <c r="O503" s="19" t="str">
        <f aca="false">IF($M503="","غير مقيّمة",IF($M503&gt;المرجع!$K$3,"مستوفاة بشكل متقدم",IF($M503&lt;=المرجع!$K$2,"مستوفاة بشكل أولي","مستوفاة بشكل جزئي")))</f>
        <v>مستوفاة بشكل متقدم</v>
      </c>
      <c r="P503" s="22"/>
    </row>
    <row r="504" customFormat="false" ht="15" hidden="false" customHeight="true" outlineLevel="0" collapsed="false">
      <c r="A504" s="20" t="s">
        <v>1318</v>
      </c>
      <c r="B504" s="20" t="s">
        <v>228</v>
      </c>
      <c r="C504" s="19" t="str">
        <f aca="false">IFERROR(INDEX('قائمة الوحدات'!$B$2:$B$41,MATCH($B504,'قائمة الوحدات'!$A$2:$A$41,0)),"")</f>
        <v>MIL</v>
      </c>
      <c r="D504" s="18" t="str">
        <f aca="false">IFERROR(INDEX('قائمة الوحدات'!$C$2:$C$41,MATCH($B504,'قائمة الوحدات'!$A$2:$A$41,0)),"")</f>
        <v>الجهاز العسكري</v>
      </c>
      <c r="E504" s="18" t="str">
        <f aca="false">IFERROR(INDEX('قائمة الوحدات'!$D$2:$D$41,MATCH($B504,'قائمة الوحدات'!$A$2:$A$41,0)),"")</f>
        <v>الإدارة العامة للقضاء العسكري</v>
      </c>
      <c r="F504" s="18" t="str">
        <f aca="false">IFERROR(INDEX('قائمة الوحدات'!$F$2:$F$41,MATCH($B504,'قائمة الوحدات'!$A$2:$A$41,0)),"")</f>
        <v>الإدارة العامة للقضاء العسكري</v>
      </c>
      <c r="G504" s="20" t="s">
        <v>66</v>
      </c>
      <c r="H504" s="18" t="str">
        <f aca="false">IFERROR(INDEX(المرجع!$A$2:$A$19,MATCH($G504,المرجع!$B$2:$B$19,0)),"")</f>
        <v>التشغيل</v>
      </c>
      <c r="I504" s="20" t="s">
        <v>49</v>
      </c>
      <c r="J504" s="18" t="str">
        <f aca="false">IFERROR(INDEX(المرجع!$D$2:$D$19,MATCH($I504,المرجع!$E$2:$E$19,0)),"")</f>
        <v>الأهداف ومؤشرات الأداء</v>
      </c>
      <c r="K504" s="20" t="s">
        <v>120</v>
      </c>
      <c r="L504" s="21" t="str">
        <f aca="false">IFERROR(INDEX('نقاط التحقق'!$G$2:$G$31,MATCH($K504,'نقاط التحقق'!$A$2:$A$31,0))&amp;"","")</f>
        <v>تحرك مؤشرات الأداء التشغيلي للوحدة التنظيمية بشكل إيجابي</v>
      </c>
      <c r="M504" s="17" t="n">
        <v>30</v>
      </c>
      <c r="N504" s="17" t="n">
        <v>80</v>
      </c>
      <c r="O504" s="19" t="str">
        <f aca="false">IF($M504="","غير مقيّمة",IF($M504&gt;المرجع!$K$3,"مستوفاة بشكل متقدم",IF($M504&lt;=المرجع!$K$2,"مستوفاة بشكل أولي","مستوفاة بشكل جزئي")))</f>
        <v>مستوفاة بشكل أولي</v>
      </c>
      <c r="P504" s="22"/>
    </row>
    <row r="505" customFormat="false" ht="15" hidden="false" customHeight="true" outlineLevel="0" collapsed="false">
      <c r="A505" s="20" t="s">
        <v>1319</v>
      </c>
      <c r="B505" s="20" t="s">
        <v>228</v>
      </c>
      <c r="C505" s="19" t="str">
        <f aca="false">IFERROR(INDEX('قائمة الوحدات'!$B$2:$B$41,MATCH($B505,'قائمة الوحدات'!$A$2:$A$41,0)),"")</f>
        <v>MIL</v>
      </c>
      <c r="D505" s="18" t="str">
        <f aca="false">IFERROR(INDEX('قائمة الوحدات'!$C$2:$C$41,MATCH($B505,'قائمة الوحدات'!$A$2:$A$41,0)),"")</f>
        <v>الجهاز العسكري</v>
      </c>
      <c r="E505" s="18" t="str">
        <f aca="false">IFERROR(INDEX('قائمة الوحدات'!$D$2:$D$41,MATCH($B505,'قائمة الوحدات'!$A$2:$A$41,0)),"")</f>
        <v>الإدارة العامة للقضاء العسكري</v>
      </c>
      <c r="F505" s="18" t="str">
        <f aca="false">IFERROR(INDEX('قائمة الوحدات'!$F$2:$F$41,MATCH($B505,'قائمة الوحدات'!$A$2:$A$41,0)),"")</f>
        <v>الإدارة العامة للقضاء العسكري</v>
      </c>
      <c r="G505" s="20" t="s">
        <v>66</v>
      </c>
      <c r="H505" s="18" t="str">
        <f aca="false">IFERROR(INDEX(المرجع!$A$2:$A$19,MATCH($G505,المرجع!$B$2:$B$19,0)),"")</f>
        <v>التشغيل</v>
      </c>
      <c r="I505" s="20" t="s">
        <v>49</v>
      </c>
      <c r="J505" s="18" t="str">
        <f aca="false">IFERROR(INDEX(المرجع!$D$2:$D$19,MATCH($I505,المرجع!$E$2:$E$19,0)),"")</f>
        <v>الأهداف ومؤشرات الأداء</v>
      </c>
      <c r="K505" s="20" t="s">
        <v>122</v>
      </c>
      <c r="L505" s="21" t="str">
        <f aca="false">IFERROR(INDEX('نقاط التحقق'!$G$2:$G$31,MATCH($K505,'نقاط التحقق'!$A$2:$A$31,0))&amp;"","")</f>
        <v>خطة سنوية معتمدة للوحدة التنظيمية</v>
      </c>
      <c r="M505" s="17" t="n">
        <v>5</v>
      </c>
      <c r="N505" s="17" t="n">
        <v>100</v>
      </c>
      <c r="O505" s="19" t="str">
        <f aca="false">IF($M505="","غير مقيّمة",IF($M505&gt;المرجع!$K$3,"مستوفاة بشكل متقدم",IF($M505&lt;=المرجع!$K$2,"مستوفاة بشكل أولي","مستوفاة بشكل جزئي")))</f>
        <v>مستوفاة بشكل أولي</v>
      </c>
      <c r="P505" s="22"/>
    </row>
    <row r="506" customFormat="false" ht="15" hidden="false" customHeight="true" outlineLevel="0" collapsed="false">
      <c r="A506" s="20" t="s">
        <v>1320</v>
      </c>
      <c r="B506" s="20" t="s">
        <v>228</v>
      </c>
      <c r="C506" s="19" t="str">
        <f aca="false">IFERROR(INDEX('قائمة الوحدات'!$B$2:$B$41,MATCH($B506,'قائمة الوحدات'!$A$2:$A$41,0)),"")</f>
        <v>MIL</v>
      </c>
      <c r="D506" s="18" t="str">
        <f aca="false">IFERROR(INDEX('قائمة الوحدات'!$C$2:$C$41,MATCH($B506,'قائمة الوحدات'!$A$2:$A$41,0)),"")</f>
        <v>الجهاز العسكري</v>
      </c>
      <c r="E506" s="18" t="str">
        <f aca="false">IFERROR(INDEX('قائمة الوحدات'!$D$2:$D$41,MATCH($B506,'قائمة الوحدات'!$A$2:$A$41,0)),"")</f>
        <v>الإدارة العامة للقضاء العسكري</v>
      </c>
      <c r="F506" s="18" t="str">
        <f aca="false">IFERROR(INDEX('قائمة الوحدات'!$F$2:$F$41,MATCH($B506,'قائمة الوحدات'!$A$2:$A$41,0)),"")</f>
        <v>الإدارة العامة للقضاء العسكري</v>
      </c>
      <c r="G506" s="20" t="s">
        <v>66</v>
      </c>
      <c r="H506" s="18" t="str">
        <f aca="false">IFERROR(INDEX(المرجع!$A$2:$A$19,MATCH($G506,المرجع!$B$2:$B$19,0)),"")</f>
        <v>التشغيل</v>
      </c>
      <c r="I506" s="20" t="s">
        <v>52</v>
      </c>
      <c r="J506" s="18" t="str">
        <f aca="false">IFERROR(INDEX(المرجع!$D$2:$D$19,MATCH($I506,المرجع!$E$2:$E$19,0)),"")</f>
        <v>الحوكمة</v>
      </c>
      <c r="K506" s="20" t="s">
        <v>124</v>
      </c>
      <c r="L506" s="21" t="str">
        <f aca="false">IFERROR(INDEX('نقاط التحقق'!$G$2:$G$31,MATCH($K506,'نقاط التحقق'!$A$2:$A$31,0))&amp;"","")</f>
        <v>محاضر لجان موثقة</v>
      </c>
      <c r="M506" s="17" t="n">
        <v>60</v>
      </c>
      <c r="N506" s="17" t="n">
        <v>100</v>
      </c>
      <c r="O506" s="19" t="str">
        <f aca="false">IF($M506="","غير مقيّمة",IF($M506&gt;المرجع!$K$3,"مستوفاة بشكل متقدم",IF($M506&lt;=المرجع!$K$2,"مستوفاة بشكل أولي","مستوفاة بشكل جزئي")))</f>
        <v>مستوفاة بشكل جزئي</v>
      </c>
      <c r="P506" s="22"/>
    </row>
    <row r="507" customFormat="false" ht="15" hidden="false" customHeight="true" outlineLevel="0" collapsed="false">
      <c r="A507" s="20" t="s">
        <v>1321</v>
      </c>
      <c r="B507" s="20" t="s">
        <v>228</v>
      </c>
      <c r="C507" s="19" t="str">
        <f aca="false">IFERROR(INDEX('قائمة الوحدات'!$B$2:$B$41,MATCH($B507,'قائمة الوحدات'!$A$2:$A$41,0)),"")</f>
        <v>MIL</v>
      </c>
      <c r="D507" s="18" t="str">
        <f aca="false">IFERROR(INDEX('قائمة الوحدات'!$C$2:$C$41,MATCH($B507,'قائمة الوحدات'!$A$2:$A$41,0)),"")</f>
        <v>الجهاز العسكري</v>
      </c>
      <c r="E507" s="18" t="str">
        <f aca="false">IFERROR(INDEX('قائمة الوحدات'!$D$2:$D$41,MATCH($B507,'قائمة الوحدات'!$A$2:$A$41,0)),"")</f>
        <v>الإدارة العامة للقضاء العسكري</v>
      </c>
      <c r="F507" s="18" t="str">
        <f aca="false">IFERROR(INDEX('قائمة الوحدات'!$F$2:$F$41,MATCH($B507,'قائمة الوحدات'!$A$2:$A$41,0)),"")</f>
        <v>الإدارة العامة للقضاء العسكري</v>
      </c>
      <c r="G507" s="20" t="s">
        <v>66</v>
      </c>
      <c r="H507" s="18" t="str">
        <f aca="false">IFERROR(INDEX(المرجع!$A$2:$A$19,MATCH($G507,المرجع!$B$2:$B$19,0)),"")</f>
        <v>التشغيل</v>
      </c>
      <c r="I507" s="20" t="s">
        <v>52</v>
      </c>
      <c r="J507" s="18" t="str">
        <f aca="false">IFERROR(INDEX(المرجع!$D$2:$D$19,MATCH($I507,المرجع!$E$2:$E$19,0)),"")</f>
        <v>الحوكمة</v>
      </c>
      <c r="K507" s="20" t="s">
        <v>126</v>
      </c>
      <c r="L507" s="21" t="str">
        <f aca="false">IFERROR(INDEX('نقاط التحقق'!$G$2:$G$31,MATCH($K507,'نقاط التحقق'!$A$2:$A$31,0))&amp;"","")</f>
        <v>نشر السياسات التي تملكها الوحدة التنظيمية</v>
      </c>
      <c r="M507" s="17" t="n">
        <v>60</v>
      </c>
      <c r="N507" s="17" t="n">
        <v>95</v>
      </c>
      <c r="O507" s="19" t="str">
        <f aca="false">IF($M507="","غير مقيّمة",IF($M507&gt;المرجع!$K$3,"مستوفاة بشكل متقدم",IF($M507&lt;=المرجع!$K$2,"مستوفاة بشكل أولي","مستوفاة بشكل جزئي")))</f>
        <v>مستوفاة بشكل جزئي</v>
      </c>
      <c r="P507" s="22"/>
    </row>
    <row r="508" customFormat="false" ht="15" hidden="false" customHeight="true" outlineLevel="0" collapsed="false">
      <c r="A508" s="20" t="s">
        <v>1322</v>
      </c>
      <c r="B508" s="20" t="s">
        <v>228</v>
      </c>
      <c r="C508" s="19" t="str">
        <f aca="false">IFERROR(INDEX('قائمة الوحدات'!$B$2:$B$41,MATCH($B508,'قائمة الوحدات'!$A$2:$A$41,0)),"")</f>
        <v>MIL</v>
      </c>
      <c r="D508" s="18" t="str">
        <f aca="false">IFERROR(INDEX('قائمة الوحدات'!$C$2:$C$41,MATCH($B508,'قائمة الوحدات'!$A$2:$A$41,0)),"")</f>
        <v>الجهاز العسكري</v>
      </c>
      <c r="E508" s="18" t="str">
        <f aca="false">IFERROR(INDEX('قائمة الوحدات'!$D$2:$D$41,MATCH($B508,'قائمة الوحدات'!$A$2:$A$41,0)),"")</f>
        <v>الإدارة العامة للقضاء العسكري</v>
      </c>
      <c r="F508" s="18" t="str">
        <f aca="false">IFERROR(INDEX('قائمة الوحدات'!$F$2:$F$41,MATCH($B508,'قائمة الوحدات'!$A$2:$A$41,0)),"")</f>
        <v>الإدارة العامة للقضاء العسكري</v>
      </c>
      <c r="G508" s="20" t="s">
        <v>66</v>
      </c>
      <c r="H508" s="18" t="str">
        <f aca="false">IFERROR(INDEX(المرجع!$A$2:$A$19,MATCH($G508,المرجع!$B$2:$B$19,0)),"")</f>
        <v>التشغيل</v>
      </c>
      <c r="I508" s="20" t="s">
        <v>52</v>
      </c>
      <c r="J508" s="18" t="str">
        <f aca="false">IFERROR(INDEX(المرجع!$D$2:$D$19,MATCH($I508,المرجع!$E$2:$E$19,0)),"")</f>
        <v>الحوكمة</v>
      </c>
      <c r="K508" s="20" t="s">
        <v>128</v>
      </c>
      <c r="L508" s="21" t="str">
        <f aca="false">IFERROR(INDEX('نقاط التحقق'!$G$2:$G$31,MATCH($K508,'نقاط التحقق'!$A$2:$A$31,0))&amp;"","")</f>
        <v>اتخاذ القرارات في نطاق الصلاحيات (وجود شواهد)</v>
      </c>
      <c r="M508" s="17" t="n">
        <v>35</v>
      </c>
      <c r="N508" s="17" t="n">
        <v>95</v>
      </c>
      <c r="O508" s="19" t="str">
        <f aca="false">IF($M508="","غير مقيّمة",IF($M508&gt;المرجع!$K$3,"مستوفاة بشكل متقدم",IF($M508&lt;=المرجع!$K$2,"مستوفاة بشكل أولي","مستوفاة بشكل جزئي")))</f>
        <v>مستوفاة بشكل جزئي</v>
      </c>
      <c r="P508" s="22"/>
    </row>
    <row r="509" customFormat="false" ht="15" hidden="false" customHeight="true" outlineLevel="0" collapsed="false">
      <c r="A509" s="20" t="s">
        <v>1323</v>
      </c>
      <c r="B509" s="20" t="s">
        <v>228</v>
      </c>
      <c r="C509" s="19" t="str">
        <f aca="false">IFERROR(INDEX('قائمة الوحدات'!$B$2:$B$41,MATCH($B509,'قائمة الوحدات'!$A$2:$A$41,0)),"")</f>
        <v>MIL</v>
      </c>
      <c r="D509" s="18" t="str">
        <f aca="false">IFERROR(INDEX('قائمة الوحدات'!$C$2:$C$41,MATCH($B509,'قائمة الوحدات'!$A$2:$A$41,0)),"")</f>
        <v>الجهاز العسكري</v>
      </c>
      <c r="E509" s="18" t="str">
        <f aca="false">IFERROR(INDEX('قائمة الوحدات'!$D$2:$D$41,MATCH($B509,'قائمة الوحدات'!$A$2:$A$41,0)),"")</f>
        <v>الإدارة العامة للقضاء العسكري</v>
      </c>
      <c r="F509" s="18" t="str">
        <f aca="false">IFERROR(INDEX('قائمة الوحدات'!$F$2:$F$41,MATCH($B509,'قائمة الوحدات'!$A$2:$A$41,0)),"")</f>
        <v>الإدارة العامة للقضاء العسكري</v>
      </c>
      <c r="G509" s="20" t="s">
        <v>66</v>
      </c>
      <c r="H509" s="18" t="str">
        <f aca="false">IFERROR(INDEX(المرجع!$A$2:$A$19,MATCH($G509,المرجع!$B$2:$B$19,0)),"")</f>
        <v>التشغيل</v>
      </c>
      <c r="I509" s="20" t="s">
        <v>57</v>
      </c>
      <c r="J509" s="18" t="str">
        <f aca="false">IFERROR(INDEX(المرجع!$D$2:$D$19,MATCH($I509,المرجع!$E$2:$E$19,0)),"")</f>
        <v>الموارد</v>
      </c>
      <c r="K509" s="20" t="s">
        <v>130</v>
      </c>
      <c r="L509" s="21" t="str">
        <f aca="false">IFERROR(INDEX('نقاط التحقق'!$G$2:$G$31,MATCH($K509,'نقاط التحقق'!$A$2:$A$31,0))&amp;"","")</f>
        <v>موارد مستكملة للحد الأدنى الذي يغطي كافة محاور سلسلة القيمة</v>
      </c>
      <c r="M509" s="17" t="n">
        <v>19</v>
      </c>
      <c r="N509" s="17" t="n">
        <v>95</v>
      </c>
      <c r="O509" s="19" t="str">
        <f aca="false">IF($M509="","غير مقيّمة",IF($M509&gt;المرجع!$K$3,"مستوفاة بشكل متقدم",IF($M509&lt;=المرجع!$K$2,"مستوفاة بشكل أولي","مستوفاة بشكل جزئي")))</f>
        <v>مستوفاة بشكل أولي</v>
      </c>
      <c r="P509" s="22"/>
    </row>
    <row r="510" customFormat="false" ht="15" hidden="false" customHeight="true" outlineLevel="0" collapsed="false">
      <c r="A510" s="20" t="s">
        <v>1324</v>
      </c>
      <c r="B510" s="20" t="s">
        <v>228</v>
      </c>
      <c r="C510" s="19" t="str">
        <f aca="false">IFERROR(INDEX('قائمة الوحدات'!$B$2:$B$41,MATCH($B510,'قائمة الوحدات'!$A$2:$A$41,0)),"")</f>
        <v>MIL</v>
      </c>
      <c r="D510" s="18" t="str">
        <f aca="false">IFERROR(INDEX('قائمة الوحدات'!$C$2:$C$41,MATCH($B510,'قائمة الوحدات'!$A$2:$A$41,0)),"")</f>
        <v>الجهاز العسكري</v>
      </c>
      <c r="E510" s="18" t="str">
        <f aca="false">IFERROR(INDEX('قائمة الوحدات'!$D$2:$D$41,MATCH($B510,'قائمة الوحدات'!$A$2:$A$41,0)),"")</f>
        <v>الإدارة العامة للقضاء العسكري</v>
      </c>
      <c r="F510" s="18" t="str">
        <f aca="false">IFERROR(INDEX('قائمة الوحدات'!$F$2:$F$41,MATCH($B510,'قائمة الوحدات'!$A$2:$A$41,0)),"")</f>
        <v>الإدارة العامة للقضاء العسكري</v>
      </c>
      <c r="G510" s="20" t="s">
        <v>66</v>
      </c>
      <c r="H510" s="18" t="str">
        <f aca="false">IFERROR(INDEX(المرجع!$A$2:$A$19,MATCH($G510,المرجع!$B$2:$B$19,0)),"")</f>
        <v>التشغيل</v>
      </c>
      <c r="I510" s="20" t="s">
        <v>60</v>
      </c>
      <c r="J510" s="18" t="str">
        <f aca="false">IFERROR(INDEX(المرجع!$D$2:$D$19,MATCH($I510,المرجع!$E$2:$E$19,0)),"")</f>
        <v>الإجراءات</v>
      </c>
      <c r="K510" s="20" t="s">
        <v>132</v>
      </c>
      <c r="L510" s="21" t="str">
        <f aca="false">IFERROR(INDEX('نقاط التحقق'!$G$2:$G$31,MATCH($K510,'نقاط التحقق'!$A$2:$A$31,0))&amp;"","")</f>
        <v>تحقيق تقييم "مطبق بشكل كامل" من منهجية تقييم فعالية الإجراءات</v>
      </c>
      <c r="M510" s="17" t="n">
        <v>41</v>
      </c>
      <c r="N510" s="17" t="n">
        <v>100</v>
      </c>
      <c r="O510" s="19" t="str">
        <f aca="false">IF($M510="","غير مقيّمة",IF($M510&gt;المرجع!$K$3,"مستوفاة بشكل متقدم",IF($M510&lt;=المرجع!$K$2,"مستوفاة بشكل أولي","مستوفاة بشكل جزئي")))</f>
        <v>مستوفاة بشكل جزئي</v>
      </c>
      <c r="P510" s="22"/>
    </row>
    <row r="511" customFormat="false" ht="15" hidden="false" customHeight="true" outlineLevel="0" collapsed="false">
      <c r="A511" s="20" t="s">
        <v>1325</v>
      </c>
      <c r="B511" s="20" t="s">
        <v>228</v>
      </c>
      <c r="C511" s="19" t="str">
        <f aca="false">IFERROR(INDEX('قائمة الوحدات'!$B$2:$B$41,MATCH($B511,'قائمة الوحدات'!$A$2:$A$41,0)),"")</f>
        <v>MIL</v>
      </c>
      <c r="D511" s="18" t="str">
        <f aca="false">IFERROR(INDEX('قائمة الوحدات'!$C$2:$C$41,MATCH($B511,'قائمة الوحدات'!$A$2:$A$41,0)),"")</f>
        <v>الجهاز العسكري</v>
      </c>
      <c r="E511" s="18" t="str">
        <f aca="false">IFERROR(INDEX('قائمة الوحدات'!$D$2:$D$41,MATCH($B511,'قائمة الوحدات'!$A$2:$A$41,0)),"")</f>
        <v>الإدارة العامة للقضاء العسكري</v>
      </c>
      <c r="F511" s="18" t="str">
        <f aca="false">IFERROR(INDEX('قائمة الوحدات'!$F$2:$F$41,MATCH($B511,'قائمة الوحدات'!$A$2:$A$41,0)),"")</f>
        <v>الإدارة العامة للقضاء العسكري</v>
      </c>
      <c r="G511" s="20" t="s">
        <v>66</v>
      </c>
      <c r="H511" s="18" t="str">
        <f aca="false">IFERROR(INDEX(المرجع!$A$2:$A$19,MATCH($G511,المرجع!$B$2:$B$19,0)),"")</f>
        <v>التشغيل</v>
      </c>
      <c r="I511" s="20" t="s">
        <v>71</v>
      </c>
      <c r="J511" s="18" t="str">
        <f aca="false">IFERROR(INDEX(المرجع!$D$2:$D$19,MATCH($I511,المرجع!$E$2:$E$19,0)),"")</f>
        <v>اكتمال المخرجات المستهدفة</v>
      </c>
      <c r="K511" s="20" t="s">
        <v>134</v>
      </c>
      <c r="L511" s="21" t="str">
        <f aca="false">IFERROR(INDEX('نقاط التحقق'!$G$2:$G$31,MATCH($K511,'نقاط التحقق'!$A$2:$A$31,0))&amp;"","")</f>
        <v>اكتمال مخرجات النموذج التشغيلي المستهدف للوحدة التنظيمية</v>
      </c>
      <c r="M511" s="17" t="n">
        <v>36</v>
      </c>
      <c r="N511" s="17" t="n">
        <v>100</v>
      </c>
      <c r="O511" s="19" t="str">
        <f aca="false">IF($M511="","غير مقيّمة",IF($M511&gt;المرجع!$K$3,"مستوفاة بشكل متقدم",IF($M511&lt;=المرجع!$K$2,"مستوفاة بشكل أولي","مستوفاة بشكل جزئي")))</f>
        <v>مستوفاة بشكل جزئي</v>
      </c>
      <c r="P511" s="22"/>
    </row>
    <row r="512" customFormat="false" ht="15" hidden="false" customHeight="true" outlineLevel="0" collapsed="false">
      <c r="A512" s="20" t="s">
        <v>1326</v>
      </c>
      <c r="B512" s="20" t="s">
        <v>230</v>
      </c>
      <c r="C512" s="19" t="str">
        <f aca="false">IFERROR(INDEX('قائمة الوحدات'!$B$2:$B$41,MATCH($B512,'قائمة الوحدات'!$A$2:$A$41,0)),"")</f>
        <v>MIL</v>
      </c>
      <c r="D512" s="18" t="str">
        <f aca="false">IFERROR(INDEX('قائمة الوحدات'!$C$2:$C$41,MATCH($B512,'قائمة الوحدات'!$A$2:$A$41,0)),"")</f>
        <v>الجهاز العسكري</v>
      </c>
      <c r="E512" s="18" t="str">
        <f aca="false">IFERROR(INDEX('قائمة الوحدات'!$D$2:$D$41,MATCH($B512,'قائمة الوحدات'!$A$2:$A$41,0)),"")</f>
        <v>الإدارة العامة للأمن العسكري</v>
      </c>
      <c r="F512" s="18" t="str">
        <f aca="false">IFERROR(INDEX('قائمة الوحدات'!$F$2:$F$41,MATCH($B512,'قائمة الوحدات'!$A$2:$A$41,0)),"")</f>
        <v>الإدارة العامة للأمن العسكري</v>
      </c>
      <c r="G512" s="20" t="s">
        <v>44</v>
      </c>
      <c r="H512" s="18" t="str">
        <f aca="false">IFERROR(INDEX(المرجع!$A$2:$A$19,MATCH($G512,المرجع!$B$2:$B$19,0)),"")</f>
        <v>التصميم</v>
      </c>
      <c r="I512" s="20" t="s">
        <v>46</v>
      </c>
      <c r="J512" s="18" t="str">
        <f aca="false">IFERROR(INDEX(المرجع!$D$2:$D$19,MATCH($I512,المرجع!$E$2:$E$19,0)),"")</f>
        <v>الدور</v>
      </c>
      <c r="K512" s="20" t="s">
        <v>76</v>
      </c>
      <c r="L512" s="21" t="str">
        <f aca="false">IFERROR(INDEX('نقاط التحقق'!$G$2:$G$31,MATCH($K512,'نقاط التحقق'!$A$2:$A$31,0))&amp;"","")</f>
        <v>دور مفصل للوحدة التنظيمية</v>
      </c>
      <c r="M512" s="17" t="n">
        <v>82</v>
      </c>
      <c r="N512" s="17" t="n">
        <v>85</v>
      </c>
      <c r="O512" s="19" t="str">
        <f aca="false">IF($M512="","غير مقيّمة",IF($M512&gt;المرجع!$K$3,"مستوفاة بشكل متقدم",IF($M512&lt;=المرجع!$K$2,"مستوفاة بشكل أولي","مستوفاة بشكل جزئي")))</f>
        <v>مستوفاة بشكل متقدم</v>
      </c>
      <c r="P512" s="22"/>
    </row>
    <row r="513" customFormat="false" ht="15" hidden="false" customHeight="true" outlineLevel="0" collapsed="false">
      <c r="A513" s="20" t="s">
        <v>1327</v>
      </c>
      <c r="B513" s="20" t="s">
        <v>230</v>
      </c>
      <c r="C513" s="19" t="str">
        <f aca="false">IFERROR(INDEX('قائمة الوحدات'!$B$2:$B$41,MATCH($B513,'قائمة الوحدات'!$A$2:$A$41,0)),"")</f>
        <v>MIL</v>
      </c>
      <c r="D513" s="18" t="str">
        <f aca="false">IFERROR(INDEX('قائمة الوحدات'!$C$2:$C$41,MATCH($B513,'قائمة الوحدات'!$A$2:$A$41,0)),"")</f>
        <v>الجهاز العسكري</v>
      </c>
      <c r="E513" s="18" t="str">
        <f aca="false">IFERROR(INDEX('قائمة الوحدات'!$D$2:$D$41,MATCH($B513,'قائمة الوحدات'!$A$2:$A$41,0)),"")</f>
        <v>الإدارة العامة للأمن العسكري</v>
      </c>
      <c r="F513" s="18" t="str">
        <f aca="false">IFERROR(INDEX('قائمة الوحدات'!$F$2:$F$41,MATCH($B513,'قائمة الوحدات'!$A$2:$A$41,0)),"")</f>
        <v>الإدارة العامة للأمن العسكري</v>
      </c>
      <c r="G513" s="20" t="s">
        <v>44</v>
      </c>
      <c r="H513" s="18" t="str">
        <f aca="false">IFERROR(INDEX(المرجع!$A$2:$A$19,MATCH($G513,المرجع!$B$2:$B$19,0)),"")</f>
        <v>التصميم</v>
      </c>
      <c r="I513" s="20" t="s">
        <v>49</v>
      </c>
      <c r="J513" s="18" t="str">
        <f aca="false">IFERROR(INDEX(المرجع!$D$2:$D$19,MATCH($I513,المرجع!$E$2:$E$19,0)),"")</f>
        <v>الأهداف ومؤشرات الأداء</v>
      </c>
      <c r="K513" s="20" t="s">
        <v>78</v>
      </c>
      <c r="L513" s="21" t="str">
        <f aca="false">IFERROR(INDEX('نقاط التحقق'!$G$2:$G$31,MATCH($K513,'نقاط التحقق'!$A$2:$A$31,0))&amp;"","")</f>
        <v>أهداف محددة للوحدة التنظيمية وربطها بمؤشرات أداء لقياسها</v>
      </c>
      <c r="M513" s="17" t="n">
        <v>75</v>
      </c>
      <c r="N513" s="17" t="n">
        <v>95</v>
      </c>
      <c r="O513" s="19" t="str">
        <f aca="false">IF($M513="","غير مقيّمة",IF($M513&gt;المرجع!$K$3,"مستوفاة بشكل متقدم",IF($M513&lt;=المرجع!$K$2,"مستوفاة بشكل أولي","مستوفاة بشكل جزئي")))</f>
        <v>مستوفاة بشكل متقدم</v>
      </c>
      <c r="P513" s="22"/>
    </row>
    <row r="514" customFormat="false" ht="15" hidden="false" customHeight="true" outlineLevel="0" collapsed="false">
      <c r="A514" s="20" t="s">
        <v>1328</v>
      </c>
      <c r="B514" s="20" t="s">
        <v>230</v>
      </c>
      <c r="C514" s="19" t="str">
        <f aca="false">IFERROR(INDEX('قائمة الوحدات'!$B$2:$B$41,MATCH($B514,'قائمة الوحدات'!$A$2:$A$41,0)),"")</f>
        <v>MIL</v>
      </c>
      <c r="D514" s="18" t="str">
        <f aca="false">IFERROR(INDEX('قائمة الوحدات'!$C$2:$C$41,MATCH($B514,'قائمة الوحدات'!$A$2:$A$41,0)),"")</f>
        <v>الجهاز العسكري</v>
      </c>
      <c r="E514" s="18" t="str">
        <f aca="false">IFERROR(INDEX('قائمة الوحدات'!$D$2:$D$41,MATCH($B514,'قائمة الوحدات'!$A$2:$A$41,0)),"")</f>
        <v>الإدارة العامة للأمن العسكري</v>
      </c>
      <c r="F514" s="18" t="str">
        <f aca="false">IFERROR(INDEX('قائمة الوحدات'!$F$2:$F$41,MATCH($B514,'قائمة الوحدات'!$A$2:$A$41,0)),"")</f>
        <v>الإدارة العامة للأمن العسكري</v>
      </c>
      <c r="G514" s="20" t="s">
        <v>44</v>
      </c>
      <c r="H514" s="18" t="str">
        <f aca="false">IFERROR(INDEX(المرجع!$A$2:$A$19,MATCH($G514,المرجع!$B$2:$B$19,0)),"")</f>
        <v>التصميم</v>
      </c>
      <c r="I514" s="20" t="s">
        <v>49</v>
      </c>
      <c r="J514" s="18" t="str">
        <f aca="false">IFERROR(INDEX(المرجع!$D$2:$D$19,MATCH($I514,المرجع!$E$2:$E$19,0)),"")</f>
        <v>الأهداف ومؤشرات الأداء</v>
      </c>
      <c r="K514" s="20" t="s">
        <v>80</v>
      </c>
      <c r="L514" s="21" t="str">
        <f aca="false">IFERROR(INDEX('نقاط التحقق'!$G$2:$G$31,MATCH($K514,'نقاط التحقق'!$A$2:$A$31,0))&amp;"","")</f>
        <v>مؤشرات أداء الوحدة التنظيمية</v>
      </c>
      <c r="M514" s="17" t="n">
        <v>85</v>
      </c>
      <c r="N514" s="17" t="n">
        <v>90</v>
      </c>
      <c r="O514" s="19" t="str">
        <f aca="false">IF($M514="","غير مقيّمة",IF($M514&gt;المرجع!$K$3,"مستوفاة بشكل متقدم",IF($M514&lt;=المرجع!$K$2,"مستوفاة بشكل أولي","مستوفاة بشكل جزئي")))</f>
        <v>مستوفاة بشكل متقدم</v>
      </c>
      <c r="P514" s="22"/>
    </row>
    <row r="515" customFormat="false" ht="15" hidden="false" customHeight="true" outlineLevel="0" collapsed="false">
      <c r="A515" s="20" t="s">
        <v>1329</v>
      </c>
      <c r="B515" s="20" t="s">
        <v>230</v>
      </c>
      <c r="C515" s="19" t="str">
        <f aca="false">IFERROR(INDEX('قائمة الوحدات'!$B$2:$B$41,MATCH($B515,'قائمة الوحدات'!$A$2:$A$41,0)),"")</f>
        <v>MIL</v>
      </c>
      <c r="D515" s="18" t="str">
        <f aca="false">IFERROR(INDEX('قائمة الوحدات'!$C$2:$C$41,MATCH($B515,'قائمة الوحدات'!$A$2:$A$41,0)),"")</f>
        <v>الجهاز العسكري</v>
      </c>
      <c r="E515" s="18" t="str">
        <f aca="false">IFERROR(INDEX('قائمة الوحدات'!$D$2:$D$41,MATCH($B515,'قائمة الوحدات'!$A$2:$A$41,0)),"")</f>
        <v>الإدارة العامة للأمن العسكري</v>
      </c>
      <c r="F515" s="18" t="str">
        <f aca="false">IFERROR(INDEX('قائمة الوحدات'!$F$2:$F$41,MATCH($B515,'قائمة الوحدات'!$A$2:$A$41,0)),"")</f>
        <v>الإدارة العامة للأمن العسكري</v>
      </c>
      <c r="G515" s="20" t="s">
        <v>44</v>
      </c>
      <c r="H515" s="18" t="str">
        <f aca="false">IFERROR(INDEX(المرجع!$A$2:$A$19,MATCH($G515,المرجع!$B$2:$B$19,0)),"")</f>
        <v>التصميم</v>
      </c>
      <c r="I515" s="20" t="s">
        <v>52</v>
      </c>
      <c r="J515" s="18" t="str">
        <f aca="false">IFERROR(INDEX(المرجع!$D$2:$D$19,MATCH($I515,المرجع!$E$2:$E$19,0)),"")</f>
        <v>الحوكمة</v>
      </c>
      <c r="K515" s="20" t="s">
        <v>82</v>
      </c>
      <c r="L515" s="21" t="str">
        <f aca="false">IFERROR(INDEX('نقاط التحقق'!$G$2:$G$31,MATCH($K515,'نقاط التحقق'!$A$2:$A$31,0))&amp;"","")</f>
        <v>تفصيل القرارات ومصفوفة الصلاحيات واللجان ذات العلاقة لاعتماد مخرجات الوحدة التنظيمية</v>
      </c>
      <c r="M515" s="17" t="n">
        <v>90</v>
      </c>
      <c r="N515" s="17" t="n">
        <v>90</v>
      </c>
      <c r="O515" s="19" t="str">
        <f aca="false">IF($M515="","غير مقيّمة",IF($M515&gt;المرجع!$K$3,"مستوفاة بشكل متقدم",IF($M515&lt;=المرجع!$K$2,"مستوفاة بشكل أولي","مستوفاة بشكل جزئي")))</f>
        <v>مستوفاة بشكل متقدم</v>
      </c>
      <c r="P515" s="22"/>
    </row>
    <row r="516" customFormat="false" ht="15" hidden="false" customHeight="true" outlineLevel="0" collapsed="false">
      <c r="A516" s="20" t="s">
        <v>1330</v>
      </c>
      <c r="B516" s="20" t="s">
        <v>230</v>
      </c>
      <c r="C516" s="19" t="str">
        <f aca="false">IFERROR(INDEX('قائمة الوحدات'!$B$2:$B$41,MATCH($B516,'قائمة الوحدات'!$A$2:$A$41,0)),"")</f>
        <v>MIL</v>
      </c>
      <c r="D516" s="18" t="str">
        <f aca="false">IFERROR(INDEX('قائمة الوحدات'!$C$2:$C$41,MATCH($B516,'قائمة الوحدات'!$A$2:$A$41,0)),"")</f>
        <v>الجهاز العسكري</v>
      </c>
      <c r="E516" s="18" t="str">
        <f aca="false">IFERROR(INDEX('قائمة الوحدات'!$D$2:$D$41,MATCH($B516,'قائمة الوحدات'!$A$2:$A$41,0)),"")</f>
        <v>الإدارة العامة للأمن العسكري</v>
      </c>
      <c r="F516" s="18" t="str">
        <f aca="false">IFERROR(INDEX('قائمة الوحدات'!$F$2:$F$41,MATCH($B516,'قائمة الوحدات'!$A$2:$A$41,0)),"")</f>
        <v>الإدارة العامة للأمن العسكري</v>
      </c>
      <c r="G516" s="20" t="s">
        <v>44</v>
      </c>
      <c r="H516" s="18" t="str">
        <f aca="false">IFERROR(INDEX(المرجع!$A$2:$A$19,MATCH($G516,المرجع!$B$2:$B$19,0)),"")</f>
        <v>التصميم</v>
      </c>
      <c r="I516" s="20" t="s">
        <v>55</v>
      </c>
      <c r="J516" s="18" t="str">
        <f aca="false">IFERROR(INDEX(المرجع!$D$2:$D$19,MATCH($I516,المرجع!$E$2:$E$19,0)),"")</f>
        <v>التنظيم</v>
      </c>
      <c r="K516" s="20" t="s">
        <v>84</v>
      </c>
      <c r="L516" s="21" t="str">
        <f aca="false">IFERROR(INDEX('نقاط التحقق'!$G$2:$G$31,MATCH($K516,'نقاط التحقق'!$A$2:$A$31,0))&amp;"","")</f>
        <v>تطوير الأدوار والمسؤوليات للوحدة التنظيمية وتفصيل الهيكل التنظيمي</v>
      </c>
      <c r="M516" s="17" t="n">
        <v>97</v>
      </c>
      <c r="N516" s="17" t="n">
        <v>100</v>
      </c>
      <c r="O516" s="19" t="str">
        <f aca="false">IF($M516="","غير مقيّمة",IF($M516&gt;المرجع!$K$3,"مستوفاة بشكل متقدم",IF($M516&lt;=المرجع!$K$2,"مستوفاة بشكل أولي","مستوفاة بشكل جزئي")))</f>
        <v>مستوفاة بشكل متقدم</v>
      </c>
      <c r="P516" s="22"/>
    </row>
    <row r="517" customFormat="false" ht="15" hidden="false" customHeight="true" outlineLevel="0" collapsed="false">
      <c r="A517" s="20" t="s">
        <v>1331</v>
      </c>
      <c r="B517" s="20" t="s">
        <v>230</v>
      </c>
      <c r="C517" s="19" t="str">
        <f aca="false">IFERROR(INDEX('قائمة الوحدات'!$B$2:$B$41,MATCH($B517,'قائمة الوحدات'!$A$2:$A$41,0)),"")</f>
        <v>MIL</v>
      </c>
      <c r="D517" s="18" t="str">
        <f aca="false">IFERROR(INDEX('قائمة الوحدات'!$C$2:$C$41,MATCH($B517,'قائمة الوحدات'!$A$2:$A$41,0)),"")</f>
        <v>الجهاز العسكري</v>
      </c>
      <c r="E517" s="18" t="str">
        <f aca="false">IFERROR(INDEX('قائمة الوحدات'!$D$2:$D$41,MATCH($B517,'قائمة الوحدات'!$A$2:$A$41,0)),"")</f>
        <v>الإدارة العامة للأمن العسكري</v>
      </c>
      <c r="F517" s="18" t="str">
        <f aca="false">IFERROR(INDEX('قائمة الوحدات'!$F$2:$F$41,MATCH($B517,'قائمة الوحدات'!$A$2:$A$41,0)),"")</f>
        <v>الإدارة العامة للأمن العسكري</v>
      </c>
      <c r="G517" s="20" t="s">
        <v>44</v>
      </c>
      <c r="H517" s="18" t="str">
        <f aca="false">IFERROR(INDEX(المرجع!$A$2:$A$19,MATCH($G517,المرجع!$B$2:$B$19,0)),"")</f>
        <v>التصميم</v>
      </c>
      <c r="I517" s="20" t="s">
        <v>57</v>
      </c>
      <c r="J517" s="18" t="str">
        <f aca="false">IFERROR(INDEX(المرجع!$D$2:$D$19,MATCH($I517,المرجع!$E$2:$E$19,0)),"")</f>
        <v>الموارد</v>
      </c>
      <c r="K517" s="20" t="s">
        <v>86</v>
      </c>
      <c r="L517" s="21" t="str">
        <f aca="false">IFERROR(INDEX('نقاط التحقق'!$G$2:$G$31,MATCH($K517,'نقاط التحقق'!$A$2:$A$31,0))&amp;"","")</f>
        <v>تفصيل احتياج الموارد البشرية للوحدة التنظيمية</v>
      </c>
      <c r="M517" s="17" t="n">
        <v>79</v>
      </c>
      <c r="N517" s="17" t="n">
        <v>80</v>
      </c>
      <c r="O517" s="19" t="str">
        <f aca="false">IF($M517="","غير مقيّمة",IF($M517&gt;المرجع!$K$3,"مستوفاة بشكل متقدم",IF($M517&lt;=المرجع!$K$2,"مستوفاة بشكل أولي","مستوفاة بشكل جزئي")))</f>
        <v>مستوفاة بشكل متقدم</v>
      </c>
      <c r="P517" s="22"/>
    </row>
    <row r="518" customFormat="false" ht="15" hidden="false" customHeight="true" outlineLevel="0" collapsed="false">
      <c r="A518" s="20" t="s">
        <v>1332</v>
      </c>
      <c r="B518" s="20" t="s">
        <v>230</v>
      </c>
      <c r="C518" s="19" t="str">
        <f aca="false">IFERROR(INDEX('قائمة الوحدات'!$B$2:$B$41,MATCH($B518,'قائمة الوحدات'!$A$2:$A$41,0)),"")</f>
        <v>MIL</v>
      </c>
      <c r="D518" s="18" t="str">
        <f aca="false">IFERROR(INDEX('قائمة الوحدات'!$C$2:$C$41,MATCH($B518,'قائمة الوحدات'!$A$2:$A$41,0)),"")</f>
        <v>الجهاز العسكري</v>
      </c>
      <c r="E518" s="18" t="str">
        <f aca="false">IFERROR(INDEX('قائمة الوحدات'!$D$2:$D$41,MATCH($B518,'قائمة الوحدات'!$A$2:$A$41,0)),"")</f>
        <v>الإدارة العامة للأمن العسكري</v>
      </c>
      <c r="F518" s="18" t="str">
        <f aca="false">IFERROR(INDEX('قائمة الوحدات'!$F$2:$F$41,MATCH($B518,'قائمة الوحدات'!$A$2:$A$41,0)),"")</f>
        <v>الإدارة العامة للأمن العسكري</v>
      </c>
      <c r="G518" s="20" t="s">
        <v>44</v>
      </c>
      <c r="H518" s="18" t="str">
        <f aca="false">IFERROR(INDEX(المرجع!$A$2:$A$19,MATCH($G518,المرجع!$B$2:$B$19,0)),"")</f>
        <v>التصميم</v>
      </c>
      <c r="I518" s="20" t="s">
        <v>60</v>
      </c>
      <c r="J518" s="18" t="str">
        <f aca="false">IFERROR(INDEX(المرجع!$D$2:$D$19,MATCH($I518,المرجع!$E$2:$E$19,0)),"")</f>
        <v>الإجراءات</v>
      </c>
      <c r="K518" s="20" t="s">
        <v>88</v>
      </c>
      <c r="L518" s="21" t="str">
        <f aca="false">IFERROR(INDEX('نقاط التحقق'!$G$2:$G$31,MATCH($K518,'نقاط التحقق'!$A$2:$A$31,0))&amp;"","")</f>
        <v>تفصيل المخرجات إلى إجراءات عالية المستوى</v>
      </c>
      <c r="M518" s="17" t="n">
        <v>70</v>
      </c>
      <c r="N518" s="17" t="n">
        <v>95</v>
      </c>
      <c r="O518" s="19" t="str">
        <f aca="false">IF($M518="","غير مقيّمة",IF($M518&gt;المرجع!$K$3,"مستوفاة بشكل متقدم",IF($M518&lt;=المرجع!$K$2,"مستوفاة بشكل أولي","مستوفاة بشكل جزئي")))</f>
        <v>مستوفاة بشكل جزئي</v>
      </c>
      <c r="P518" s="22"/>
    </row>
    <row r="519" customFormat="false" ht="15" hidden="false" customHeight="true" outlineLevel="0" collapsed="false">
      <c r="A519" s="20" t="s">
        <v>1333</v>
      </c>
      <c r="B519" s="20" t="s">
        <v>230</v>
      </c>
      <c r="C519" s="19" t="str">
        <f aca="false">IFERROR(INDEX('قائمة الوحدات'!$B$2:$B$41,MATCH($B519,'قائمة الوحدات'!$A$2:$A$41,0)),"")</f>
        <v>MIL</v>
      </c>
      <c r="D519" s="18" t="str">
        <f aca="false">IFERROR(INDEX('قائمة الوحدات'!$C$2:$C$41,MATCH($B519,'قائمة الوحدات'!$A$2:$A$41,0)),"")</f>
        <v>الجهاز العسكري</v>
      </c>
      <c r="E519" s="18" t="str">
        <f aca="false">IFERROR(INDEX('قائمة الوحدات'!$D$2:$D$41,MATCH($B519,'قائمة الوحدات'!$A$2:$A$41,0)),"")</f>
        <v>الإدارة العامة للأمن العسكري</v>
      </c>
      <c r="F519" s="18" t="str">
        <f aca="false">IFERROR(INDEX('قائمة الوحدات'!$F$2:$F$41,MATCH($B519,'قائمة الوحدات'!$A$2:$A$41,0)),"")</f>
        <v>الإدارة العامة للأمن العسكري</v>
      </c>
      <c r="G519" s="20" t="s">
        <v>62</v>
      </c>
      <c r="H519" s="18" t="str">
        <f aca="false">IFERROR(INDEX(المرجع!$A$2:$A$19,MATCH($G519,المرجع!$B$2:$B$19,0)),"")</f>
        <v>البناء المؤسسي</v>
      </c>
      <c r="I519" s="20" t="s">
        <v>46</v>
      </c>
      <c r="J519" s="18" t="str">
        <f aca="false">IFERROR(INDEX(المرجع!$D$2:$D$19,MATCH($I519,المرجع!$E$2:$E$19,0)),"")</f>
        <v>الدور</v>
      </c>
      <c r="K519" s="20" t="s">
        <v>90</v>
      </c>
      <c r="L519" s="21" t="str">
        <f aca="false">IFERROR(INDEX('نقاط التحقق'!$G$2:$G$31,MATCH($K519,'نقاط التحقق'!$A$2:$A$31,0))&amp;"","")</f>
        <v>دور معتمد للوحدة التنظيمية</v>
      </c>
      <c r="M519" s="17" t="n">
        <v>64</v>
      </c>
      <c r="N519" s="17" t="n">
        <v>90</v>
      </c>
      <c r="O519" s="19" t="str">
        <f aca="false">IF($M519="","غير مقيّمة",IF($M519&gt;المرجع!$K$3,"مستوفاة بشكل متقدم",IF($M519&lt;=المرجع!$K$2,"مستوفاة بشكل أولي","مستوفاة بشكل جزئي")))</f>
        <v>مستوفاة بشكل جزئي</v>
      </c>
      <c r="P519" s="22"/>
    </row>
    <row r="520" customFormat="false" ht="15" hidden="false" customHeight="true" outlineLevel="0" collapsed="false">
      <c r="A520" s="20" t="s">
        <v>1334</v>
      </c>
      <c r="B520" s="20" t="s">
        <v>230</v>
      </c>
      <c r="C520" s="19" t="str">
        <f aca="false">IFERROR(INDEX('قائمة الوحدات'!$B$2:$B$41,MATCH($B520,'قائمة الوحدات'!$A$2:$A$41,0)),"")</f>
        <v>MIL</v>
      </c>
      <c r="D520" s="18" t="str">
        <f aca="false">IFERROR(INDEX('قائمة الوحدات'!$C$2:$C$41,MATCH($B520,'قائمة الوحدات'!$A$2:$A$41,0)),"")</f>
        <v>الجهاز العسكري</v>
      </c>
      <c r="E520" s="18" t="str">
        <f aca="false">IFERROR(INDEX('قائمة الوحدات'!$D$2:$D$41,MATCH($B520,'قائمة الوحدات'!$A$2:$A$41,0)),"")</f>
        <v>الإدارة العامة للأمن العسكري</v>
      </c>
      <c r="F520" s="18" t="str">
        <f aca="false">IFERROR(INDEX('قائمة الوحدات'!$F$2:$F$41,MATCH($B520,'قائمة الوحدات'!$A$2:$A$41,0)),"")</f>
        <v>الإدارة العامة للأمن العسكري</v>
      </c>
      <c r="G520" s="20" t="s">
        <v>62</v>
      </c>
      <c r="H520" s="18" t="str">
        <f aca="false">IFERROR(INDEX(المرجع!$A$2:$A$19,MATCH($G520,المرجع!$B$2:$B$19,0)),"")</f>
        <v>البناء المؤسسي</v>
      </c>
      <c r="I520" s="20" t="s">
        <v>49</v>
      </c>
      <c r="J520" s="18" t="str">
        <f aca="false">IFERROR(INDEX(المرجع!$D$2:$D$19,MATCH($I520,المرجع!$E$2:$E$19,0)),"")</f>
        <v>الأهداف ومؤشرات الأداء</v>
      </c>
      <c r="K520" s="20" t="s">
        <v>92</v>
      </c>
      <c r="L520" s="21" t="str">
        <f aca="false">IFERROR(INDEX('نقاط التحقق'!$G$2:$G$31,MATCH($K520,'نقاط التحقق'!$A$2:$A$31,0))&amp;"","")</f>
        <v>أهداف تشغيلية معتمدة من صاحب الصلاحية</v>
      </c>
      <c r="M520" s="17" t="n">
        <v>45</v>
      </c>
      <c r="N520" s="17" t="n">
        <v>100</v>
      </c>
      <c r="O520" s="19" t="str">
        <f aca="false">IF($M520="","غير مقيّمة",IF($M520&gt;المرجع!$K$3,"مستوفاة بشكل متقدم",IF($M520&lt;=المرجع!$K$2,"مستوفاة بشكل أولي","مستوفاة بشكل جزئي")))</f>
        <v>مستوفاة بشكل جزئي</v>
      </c>
      <c r="P520" s="22"/>
    </row>
    <row r="521" customFormat="false" ht="15" hidden="false" customHeight="true" outlineLevel="0" collapsed="false">
      <c r="A521" s="20" t="s">
        <v>1335</v>
      </c>
      <c r="B521" s="20" t="s">
        <v>230</v>
      </c>
      <c r="C521" s="19" t="str">
        <f aca="false">IFERROR(INDEX('قائمة الوحدات'!$B$2:$B$41,MATCH($B521,'قائمة الوحدات'!$A$2:$A$41,0)),"")</f>
        <v>MIL</v>
      </c>
      <c r="D521" s="18" t="str">
        <f aca="false">IFERROR(INDEX('قائمة الوحدات'!$C$2:$C$41,MATCH($B521,'قائمة الوحدات'!$A$2:$A$41,0)),"")</f>
        <v>الجهاز العسكري</v>
      </c>
      <c r="E521" s="18" t="str">
        <f aca="false">IFERROR(INDEX('قائمة الوحدات'!$D$2:$D$41,MATCH($B521,'قائمة الوحدات'!$A$2:$A$41,0)),"")</f>
        <v>الإدارة العامة للأمن العسكري</v>
      </c>
      <c r="F521" s="18" t="str">
        <f aca="false">IFERROR(INDEX('قائمة الوحدات'!$F$2:$F$41,MATCH($B521,'قائمة الوحدات'!$A$2:$A$41,0)),"")</f>
        <v>الإدارة العامة للأمن العسكري</v>
      </c>
      <c r="G521" s="20" t="s">
        <v>62</v>
      </c>
      <c r="H521" s="18" t="str">
        <f aca="false">IFERROR(INDEX(المرجع!$A$2:$A$19,MATCH($G521,المرجع!$B$2:$B$19,0)),"")</f>
        <v>البناء المؤسسي</v>
      </c>
      <c r="I521" s="20" t="s">
        <v>49</v>
      </c>
      <c r="J521" s="18" t="str">
        <f aca="false">IFERROR(INDEX(المرجع!$D$2:$D$19,MATCH($I521,المرجع!$E$2:$E$19,0)),"")</f>
        <v>الأهداف ومؤشرات الأداء</v>
      </c>
      <c r="K521" s="20" t="s">
        <v>94</v>
      </c>
      <c r="L521" s="21" t="str">
        <f aca="false">IFERROR(INDEX('نقاط التحقق'!$G$2:$G$31,MATCH($K521,'نقاط التحقق'!$A$2:$A$31,0))&amp;"","")</f>
        <v>نشر الأهداف التشغيلية على موظفي الوحدة التنظيمية</v>
      </c>
      <c r="M521" s="17" t="n">
        <v>35</v>
      </c>
      <c r="N521" s="17" t="n">
        <v>90</v>
      </c>
      <c r="O521" s="19" t="str">
        <f aca="false">IF($M521="","غير مقيّمة",IF($M521&gt;المرجع!$K$3,"مستوفاة بشكل متقدم",IF($M521&lt;=المرجع!$K$2,"مستوفاة بشكل أولي","مستوفاة بشكل جزئي")))</f>
        <v>مستوفاة بشكل جزئي</v>
      </c>
      <c r="P521" s="22"/>
    </row>
    <row r="522" customFormat="false" ht="15" hidden="false" customHeight="true" outlineLevel="0" collapsed="false">
      <c r="A522" s="20" t="s">
        <v>1336</v>
      </c>
      <c r="B522" s="20" t="s">
        <v>230</v>
      </c>
      <c r="C522" s="19" t="str">
        <f aca="false">IFERROR(INDEX('قائمة الوحدات'!$B$2:$B$41,MATCH($B522,'قائمة الوحدات'!$A$2:$A$41,0)),"")</f>
        <v>MIL</v>
      </c>
      <c r="D522" s="18" t="str">
        <f aca="false">IFERROR(INDEX('قائمة الوحدات'!$C$2:$C$41,MATCH($B522,'قائمة الوحدات'!$A$2:$A$41,0)),"")</f>
        <v>الجهاز العسكري</v>
      </c>
      <c r="E522" s="18" t="str">
        <f aca="false">IFERROR(INDEX('قائمة الوحدات'!$D$2:$D$41,MATCH($B522,'قائمة الوحدات'!$A$2:$A$41,0)),"")</f>
        <v>الإدارة العامة للأمن العسكري</v>
      </c>
      <c r="F522" s="18" t="str">
        <f aca="false">IFERROR(INDEX('قائمة الوحدات'!$F$2:$F$41,MATCH($B522,'قائمة الوحدات'!$A$2:$A$41,0)),"")</f>
        <v>الإدارة العامة للأمن العسكري</v>
      </c>
      <c r="G522" s="20" t="s">
        <v>62</v>
      </c>
      <c r="H522" s="18" t="str">
        <f aca="false">IFERROR(INDEX(المرجع!$A$2:$A$19,MATCH($G522,المرجع!$B$2:$B$19,0)),"")</f>
        <v>البناء المؤسسي</v>
      </c>
      <c r="I522" s="20" t="s">
        <v>52</v>
      </c>
      <c r="J522" s="18" t="str">
        <f aca="false">IFERROR(INDEX(المرجع!$D$2:$D$19,MATCH($I522,المرجع!$E$2:$E$19,0)),"")</f>
        <v>الحوكمة</v>
      </c>
      <c r="K522" s="20" t="s">
        <v>96</v>
      </c>
      <c r="L522" s="21" t="str">
        <f aca="false">IFERROR(INDEX('نقاط التحقق'!$G$2:$G$31,MATCH($K522,'نقاط التحقق'!$A$2:$A$31,0))&amp;"","")</f>
        <v>مصفوفة صلاحيات معتمدة ومعممة على أصحاب المصلحة</v>
      </c>
      <c r="M522" s="17" t="n">
        <v>75</v>
      </c>
      <c r="N522" s="17" t="n">
        <v>85</v>
      </c>
      <c r="O522" s="19" t="str">
        <f aca="false">IF($M522="","غير مقيّمة",IF($M522&gt;المرجع!$K$3,"مستوفاة بشكل متقدم",IF($M522&lt;=المرجع!$K$2,"مستوفاة بشكل أولي","مستوفاة بشكل جزئي")))</f>
        <v>مستوفاة بشكل متقدم</v>
      </c>
      <c r="P522" s="22"/>
    </row>
    <row r="523" customFormat="false" ht="15" hidden="false" customHeight="true" outlineLevel="0" collapsed="false">
      <c r="A523" s="20" t="s">
        <v>1337</v>
      </c>
      <c r="B523" s="20" t="s">
        <v>230</v>
      </c>
      <c r="C523" s="19" t="str">
        <f aca="false">IFERROR(INDEX('قائمة الوحدات'!$B$2:$B$41,MATCH($B523,'قائمة الوحدات'!$A$2:$A$41,0)),"")</f>
        <v>MIL</v>
      </c>
      <c r="D523" s="18" t="str">
        <f aca="false">IFERROR(INDEX('قائمة الوحدات'!$C$2:$C$41,MATCH($B523,'قائمة الوحدات'!$A$2:$A$41,0)),"")</f>
        <v>الجهاز العسكري</v>
      </c>
      <c r="E523" s="18" t="str">
        <f aca="false">IFERROR(INDEX('قائمة الوحدات'!$D$2:$D$41,MATCH($B523,'قائمة الوحدات'!$A$2:$A$41,0)),"")</f>
        <v>الإدارة العامة للأمن العسكري</v>
      </c>
      <c r="F523" s="18" t="str">
        <f aca="false">IFERROR(INDEX('قائمة الوحدات'!$F$2:$F$41,MATCH($B523,'قائمة الوحدات'!$A$2:$A$41,0)),"")</f>
        <v>الإدارة العامة للأمن العسكري</v>
      </c>
      <c r="G523" s="20" t="s">
        <v>62</v>
      </c>
      <c r="H523" s="18" t="str">
        <f aca="false">IFERROR(INDEX(المرجع!$A$2:$A$19,MATCH($G523,المرجع!$B$2:$B$19,0)),"")</f>
        <v>البناء المؤسسي</v>
      </c>
      <c r="I523" s="20" t="s">
        <v>52</v>
      </c>
      <c r="J523" s="18" t="str">
        <f aca="false">IFERROR(INDEX(المرجع!$D$2:$D$19,MATCH($I523,المرجع!$E$2:$E$19,0)),"")</f>
        <v>الحوكمة</v>
      </c>
      <c r="K523" s="20" t="s">
        <v>98</v>
      </c>
      <c r="L523" s="21" t="str">
        <f aca="false">IFERROR(INDEX('نقاط التحقق'!$G$2:$G$31,MATCH($K523,'نقاط التحقق'!$A$2:$A$31,0))&amp;"","")</f>
        <v>سياسات معتمدة للتي تملكها الوحدة التنظيمية</v>
      </c>
      <c r="M523" s="17" t="n">
        <v>70</v>
      </c>
      <c r="N523" s="17" t="n">
        <v>100</v>
      </c>
      <c r="O523" s="19" t="str">
        <f aca="false">IF($M523="","غير مقيّمة",IF($M523&gt;المرجع!$K$3,"مستوفاة بشكل متقدم",IF($M523&lt;=المرجع!$K$2,"مستوفاة بشكل أولي","مستوفاة بشكل جزئي")))</f>
        <v>مستوفاة بشكل جزئي</v>
      </c>
      <c r="P523" s="22"/>
    </row>
    <row r="524" customFormat="false" ht="15" hidden="false" customHeight="true" outlineLevel="0" collapsed="false">
      <c r="A524" s="20" t="s">
        <v>1338</v>
      </c>
      <c r="B524" s="20" t="s">
        <v>230</v>
      </c>
      <c r="C524" s="19" t="str">
        <f aca="false">IFERROR(INDEX('قائمة الوحدات'!$B$2:$B$41,MATCH($B524,'قائمة الوحدات'!$A$2:$A$41,0)),"")</f>
        <v>MIL</v>
      </c>
      <c r="D524" s="18" t="str">
        <f aca="false">IFERROR(INDEX('قائمة الوحدات'!$C$2:$C$41,MATCH($B524,'قائمة الوحدات'!$A$2:$A$41,0)),"")</f>
        <v>الجهاز العسكري</v>
      </c>
      <c r="E524" s="18" t="str">
        <f aca="false">IFERROR(INDEX('قائمة الوحدات'!$D$2:$D$41,MATCH($B524,'قائمة الوحدات'!$A$2:$A$41,0)),"")</f>
        <v>الإدارة العامة للأمن العسكري</v>
      </c>
      <c r="F524" s="18" t="str">
        <f aca="false">IFERROR(INDEX('قائمة الوحدات'!$F$2:$F$41,MATCH($B524,'قائمة الوحدات'!$A$2:$A$41,0)),"")</f>
        <v>الإدارة العامة للأمن العسكري</v>
      </c>
      <c r="G524" s="20" t="s">
        <v>62</v>
      </c>
      <c r="H524" s="18" t="str">
        <f aca="false">IFERROR(INDEX(المرجع!$A$2:$A$19,MATCH($G524,المرجع!$B$2:$B$19,0)),"")</f>
        <v>البناء المؤسسي</v>
      </c>
      <c r="I524" s="20" t="s">
        <v>52</v>
      </c>
      <c r="J524" s="18" t="str">
        <f aca="false">IFERROR(INDEX(المرجع!$D$2:$D$19,MATCH($I524,المرجع!$E$2:$E$19,0)),"")</f>
        <v>الحوكمة</v>
      </c>
      <c r="K524" s="20" t="s">
        <v>100</v>
      </c>
      <c r="L524" s="21" t="str">
        <f aca="false">IFERROR(INDEX('نقاط التحقق'!$G$2:$G$31,MATCH($K524,'نقاط التحقق'!$A$2:$A$31,0))&amp;"","")</f>
        <v>قرار تشكيل معتمد للجان ذات العلاقة</v>
      </c>
      <c r="M524" s="17" t="n">
        <v>80</v>
      </c>
      <c r="N524" s="17" t="n">
        <v>100</v>
      </c>
      <c r="O524" s="19" t="str">
        <f aca="false">IF($M524="","غير مقيّمة",IF($M524&gt;المرجع!$K$3,"مستوفاة بشكل متقدم",IF($M524&lt;=المرجع!$K$2,"مستوفاة بشكل أولي","مستوفاة بشكل جزئي")))</f>
        <v>مستوفاة بشكل متقدم</v>
      </c>
      <c r="P524" s="22"/>
    </row>
    <row r="525" customFormat="false" ht="15" hidden="false" customHeight="true" outlineLevel="0" collapsed="false">
      <c r="A525" s="20" t="s">
        <v>1339</v>
      </c>
      <c r="B525" s="20" t="s">
        <v>230</v>
      </c>
      <c r="C525" s="19" t="str">
        <f aca="false">IFERROR(INDEX('قائمة الوحدات'!$B$2:$B$41,MATCH($B525,'قائمة الوحدات'!$A$2:$A$41,0)),"")</f>
        <v>MIL</v>
      </c>
      <c r="D525" s="18" t="str">
        <f aca="false">IFERROR(INDEX('قائمة الوحدات'!$C$2:$C$41,MATCH($B525,'قائمة الوحدات'!$A$2:$A$41,0)),"")</f>
        <v>الجهاز العسكري</v>
      </c>
      <c r="E525" s="18" t="str">
        <f aca="false">IFERROR(INDEX('قائمة الوحدات'!$D$2:$D$41,MATCH($B525,'قائمة الوحدات'!$A$2:$A$41,0)),"")</f>
        <v>الإدارة العامة للأمن العسكري</v>
      </c>
      <c r="F525" s="18" t="str">
        <f aca="false">IFERROR(INDEX('قائمة الوحدات'!$F$2:$F$41,MATCH($B525,'قائمة الوحدات'!$A$2:$A$41,0)),"")</f>
        <v>الإدارة العامة للأمن العسكري</v>
      </c>
      <c r="G525" s="20" t="s">
        <v>62</v>
      </c>
      <c r="H525" s="18" t="str">
        <f aca="false">IFERROR(INDEX(المرجع!$A$2:$A$19,MATCH($G525,المرجع!$B$2:$B$19,0)),"")</f>
        <v>البناء المؤسسي</v>
      </c>
      <c r="I525" s="20" t="s">
        <v>55</v>
      </c>
      <c r="J525" s="18" t="str">
        <f aca="false">IFERROR(INDEX(المرجع!$D$2:$D$19,MATCH($I525,المرجع!$E$2:$E$19,0)),"")</f>
        <v>التنظيم</v>
      </c>
      <c r="K525" s="20" t="s">
        <v>102</v>
      </c>
      <c r="L525" s="21" t="str">
        <f aca="false">IFERROR(INDEX('نقاط التحقق'!$G$2:$G$31,MATCH($K525,'نقاط التحقق'!$A$2:$A$31,0))&amp;"","")</f>
        <v>هيكل تنظيمي معتمد من صاحب الصلاحية</v>
      </c>
      <c r="M525" s="17" t="n">
        <v>80</v>
      </c>
      <c r="N525" s="17" t="n">
        <v>100</v>
      </c>
      <c r="O525" s="19" t="str">
        <f aca="false">IF($M525="","غير مقيّمة",IF($M525&gt;المرجع!$K$3,"مستوفاة بشكل متقدم",IF($M525&lt;=المرجع!$K$2,"مستوفاة بشكل أولي","مستوفاة بشكل جزئي")))</f>
        <v>مستوفاة بشكل متقدم</v>
      </c>
      <c r="P525" s="22"/>
    </row>
    <row r="526" customFormat="false" ht="15" hidden="false" customHeight="true" outlineLevel="0" collapsed="false">
      <c r="A526" s="20" t="s">
        <v>1340</v>
      </c>
      <c r="B526" s="20" t="s">
        <v>230</v>
      </c>
      <c r="C526" s="19" t="str">
        <f aca="false">IFERROR(INDEX('قائمة الوحدات'!$B$2:$B$41,MATCH($B526,'قائمة الوحدات'!$A$2:$A$41,0)),"")</f>
        <v>MIL</v>
      </c>
      <c r="D526" s="18" t="str">
        <f aca="false">IFERROR(INDEX('قائمة الوحدات'!$C$2:$C$41,MATCH($B526,'قائمة الوحدات'!$A$2:$A$41,0)),"")</f>
        <v>الجهاز العسكري</v>
      </c>
      <c r="E526" s="18" t="str">
        <f aca="false">IFERROR(INDEX('قائمة الوحدات'!$D$2:$D$41,MATCH($B526,'قائمة الوحدات'!$A$2:$A$41,0)),"")</f>
        <v>الإدارة العامة للأمن العسكري</v>
      </c>
      <c r="F526" s="18" t="str">
        <f aca="false">IFERROR(INDEX('قائمة الوحدات'!$F$2:$F$41,MATCH($B526,'قائمة الوحدات'!$A$2:$A$41,0)),"")</f>
        <v>الإدارة العامة للأمن العسكري</v>
      </c>
      <c r="G526" s="20" t="s">
        <v>62</v>
      </c>
      <c r="H526" s="18" t="str">
        <f aca="false">IFERROR(INDEX(المرجع!$A$2:$A$19,MATCH($G526,المرجع!$B$2:$B$19,0)),"")</f>
        <v>البناء المؤسسي</v>
      </c>
      <c r="I526" s="20" t="s">
        <v>55</v>
      </c>
      <c r="J526" s="18" t="str">
        <f aca="false">IFERROR(INDEX(المرجع!$D$2:$D$19,MATCH($I526,المرجع!$E$2:$E$19,0)),"")</f>
        <v>التنظيم</v>
      </c>
      <c r="K526" s="20" t="s">
        <v>104</v>
      </c>
      <c r="L526" s="21" t="str">
        <f aca="false">IFERROR(INDEX('نقاط التحقق'!$G$2:$G$31,MATCH($K526,'نقاط التحقق'!$A$2:$A$31,0))&amp;"","")</f>
        <v>هيكل تنظيمي منشأ على نظام القوى العاملة</v>
      </c>
      <c r="M526" s="17" t="n">
        <v>80</v>
      </c>
      <c r="N526" s="17" t="n">
        <v>100</v>
      </c>
      <c r="O526" s="19" t="str">
        <f aca="false">IF($M526="","غير مقيّمة",IF($M526&gt;المرجع!$K$3,"مستوفاة بشكل متقدم",IF($M526&lt;=المرجع!$K$2,"مستوفاة بشكل أولي","مستوفاة بشكل جزئي")))</f>
        <v>مستوفاة بشكل متقدم</v>
      </c>
      <c r="P526" s="22"/>
    </row>
    <row r="527" customFormat="false" ht="15" hidden="false" customHeight="true" outlineLevel="0" collapsed="false">
      <c r="A527" s="20" t="s">
        <v>1341</v>
      </c>
      <c r="B527" s="20" t="s">
        <v>230</v>
      </c>
      <c r="C527" s="19" t="str">
        <f aca="false">IFERROR(INDEX('قائمة الوحدات'!$B$2:$B$41,MATCH($B527,'قائمة الوحدات'!$A$2:$A$41,0)),"")</f>
        <v>MIL</v>
      </c>
      <c r="D527" s="18" t="str">
        <f aca="false">IFERROR(INDEX('قائمة الوحدات'!$C$2:$C$41,MATCH($B527,'قائمة الوحدات'!$A$2:$A$41,0)),"")</f>
        <v>الجهاز العسكري</v>
      </c>
      <c r="E527" s="18" t="str">
        <f aca="false">IFERROR(INDEX('قائمة الوحدات'!$D$2:$D$41,MATCH($B527,'قائمة الوحدات'!$A$2:$A$41,0)),"")</f>
        <v>الإدارة العامة للأمن العسكري</v>
      </c>
      <c r="F527" s="18" t="str">
        <f aca="false">IFERROR(INDEX('قائمة الوحدات'!$F$2:$F$41,MATCH($B527,'قائمة الوحدات'!$A$2:$A$41,0)),"")</f>
        <v>الإدارة العامة للأمن العسكري</v>
      </c>
      <c r="G527" s="20" t="s">
        <v>62</v>
      </c>
      <c r="H527" s="18" t="str">
        <f aca="false">IFERROR(INDEX(المرجع!$A$2:$A$19,MATCH($G527,المرجع!$B$2:$B$19,0)),"")</f>
        <v>البناء المؤسسي</v>
      </c>
      <c r="I527" s="20" t="s">
        <v>55</v>
      </c>
      <c r="J527" s="18" t="str">
        <f aca="false">IFERROR(INDEX(المرجع!$D$2:$D$19,MATCH($I527,المرجع!$E$2:$E$19,0)),"")</f>
        <v>التنظيم</v>
      </c>
      <c r="K527" s="20" t="s">
        <v>106</v>
      </c>
      <c r="L527" s="21" t="str">
        <f aca="false">IFERROR(INDEX('نقاط التحقق'!$G$2:$G$31,MATCH($K527,'نقاط التحقق'!$A$2:$A$31,0))&amp;"","")</f>
        <v>الموظفون المحددون مسكّنون على الهيكل التنظيمي المستهدف</v>
      </c>
      <c r="M527" s="17" t="n">
        <v>70</v>
      </c>
      <c r="N527" s="17" t="n">
        <v>100</v>
      </c>
      <c r="O527" s="19" t="str">
        <f aca="false">IF($M527="","غير مقيّمة",IF($M527&gt;المرجع!$K$3,"مستوفاة بشكل متقدم",IF($M527&lt;=المرجع!$K$2,"مستوفاة بشكل أولي","مستوفاة بشكل جزئي")))</f>
        <v>مستوفاة بشكل جزئي</v>
      </c>
      <c r="P527" s="22"/>
    </row>
    <row r="528" customFormat="false" ht="15" hidden="false" customHeight="true" outlineLevel="0" collapsed="false">
      <c r="A528" s="20" t="s">
        <v>1342</v>
      </c>
      <c r="B528" s="20" t="s">
        <v>230</v>
      </c>
      <c r="C528" s="19" t="str">
        <f aca="false">IFERROR(INDEX('قائمة الوحدات'!$B$2:$B$41,MATCH($B528,'قائمة الوحدات'!$A$2:$A$41,0)),"")</f>
        <v>MIL</v>
      </c>
      <c r="D528" s="18" t="str">
        <f aca="false">IFERROR(INDEX('قائمة الوحدات'!$C$2:$C$41,MATCH($B528,'قائمة الوحدات'!$A$2:$A$41,0)),"")</f>
        <v>الجهاز العسكري</v>
      </c>
      <c r="E528" s="18" t="str">
        <f aca="false">IFERROR(INDEX('قائمة الوحدات'!$D$2:$D$41,MATCH($B528,'قائمة الوحدات'!$A$2:$A$41,0)),"")</f>
        <v>الإدارة العامة للأمن العسكري</v>
      </c>
      <c r="F528" s="18" t="str">
        <f aca="false">IFERROR(INDEX('قائمة الوحدات'!$F$2:$F$41,MATCH($B528,'قائمة الوحدات'!$A$2:$A$41,0)),"")</f>
        <v>الإدارة العامة للأمن العسكري</v>
      </c>
      <c r="G528" s="20" t="s">
        <v>62</v>
      </c>
      <c r="H528" s="18" t="str">
        <f aca="false">IFERROR(INDEX(المرجع!$A$2:$A$19,MATCH($G528,المرجع!$B$2:$B$19,0)),"")</f>
        <v>البناء المؤسسي</v>
      </c>
      <c r="I528" s="20" t="s">
        <v>57</v>
      </c>
      <c r="J528" s="18" t="str">
        <f aca="false">IFERROR(INDEX(المرجع!$D$2:$D$19,MATCH($I528,المرجع!$E$2:$E$19,0)),"")</f>
        <v>الموارد</v>
      </c>
      <c r="K528" s="20" t="s">
        <v>108</v>
      </c>
      <c r="L528" s="21" t="str">
        <f aca="false">IFERROR(INDEX('نقاط التحقق'!$G$2:$G$31,MATCH($K528,'نقاط التحقق'!$A$2:$A$31,0))&amp;"","")</f>
        <v>مدير الوحدة التنظيمية والموظفون الرئيسيون معينون/ملحقون</v>
      </c>
      <c r="M528" s="17" t="n">
        <v>55</v>
      </c>
      <c r="N528" s="17" t="n">
        <v>100</v>
      </c>
      <c r="O528" s="19" t="str">
        <f aca="false">IF($M528="","غير مقيّمة",IF($M528&gt;المرجع!$K$3,"مستوفاة بشكل متقدم",IF($M528&lt;=المرجع!$K$2,"مستوفاة بشكل أولي","مستوفاة بشكل جزئي")))</f>
        <v>مستوفاة بشكل جزئي</v>
      </c>
      <c r="P528" s="22"/>
    </row>
    <row r="529" customFormat="false" ht="15" hidden="false" customHeight="true" outlineLevel="0" collapsed="false">
      <c r="A529" s="20" t="s">
        <v>1343</v>
      </c>
      <c r="B529" s="20" t="s">
        <v>230</v>
      </c>
      <c r="C529" s="19" t="str">
        <f aca="false">IFERROR(INDEX('قائمة الوحدات'!$B$2:$B$41,MATCH($B529,'قائمة الوحدات'!$A$2:$A$41,0)),"")</f>
        <v>MIL</v>
      </c>
      <c r="D529" s="18" t="str">
        <f aca="false">IFERROR(INDEX('قائمة الوحدات'!$C$2:$C$41,MATCH($B529,'قائمة الوحدات'!$A$2:$A$41,0)),"")</f>
        <v>الجهاز العسكري</v>
      </c>
      <c r="E529" s="18" t="str">
        <f aca="false">IFERROR(INDEX('قائمة الوحدات'!$D$2:$D$41,MATCH($B529,'قائمة الوحدات'!$A$2:$A$41,0)),"")</f>
        <v>الإدارة العامة للأمن العسكري</v>
      </c>
      <c r="F529" s="18" t="str">
        <f aca="false">IFERROR(INDEX('قائمة الوحدات'!$F$2:$F$41,MATCH($B529,'قائمة الوحدات'!$A$2:$A$41,0)),"")</f>
        <v>الإدارة العامة للأمن العسكري</v>
      </c>
      <c r="G529" s="20" t="s">
        <v>62</v>
      </c>
      <c r="H529" s="18" t="str">
        <f aca="false">IFERROR(INDEX(المرجع!$A$2:$A$19,MATCH($G529,المرجع!$B$2:$B$19,0)),"")</f>
        <v>البناء المؤسسي</v>
      </c>
      <c r="I529" s="20" t="s">
        <v>57</v>
      </c>
      <c r="J529" s="18" t="str">
        <f aca="false">IFERROR(INDEX(المرجع!$D$2:$D$19,MATCH($I529,المرجع!$E$2:$E$19,0)),"")</f>
        <v>الموارد</v>
      </c>
      <c r="K529" s="20" t="s">
        <v>110</v>
      </c>
      <c r="L529" s="21" t="str">
        <f aca="false">IFERROR(INDEX('نقاط التحقق'!$G$2:$G$31,MATCH($K529,'نقاط التحقق'!$A$2:$A$31,0))&amp;"","")</f>
        <v>خطة توظيف وتدريب مستكملة</v>
      </c>
      <c r="M529" s="17" t="n">
        <v>65</v>
      </c>
      <c r="N529" s="17" t="n">
        <v>100</v>
      </c>
      <c r="O529" s="19" t="str">
        <f aca="false">IF($M529="","غير مقيّمة",IF($M529&gt;المرجع!$K$3,"مستوفاة بشكل متقدم",IF($M529&lt;=المرجع!$K$2,"مستوفاة بشكل أولي","مستوفاة بشكل جزئي")))</f>
        <v>مستوفاة بشكل جزئي</v>
      </c>
      <c r="P529" s="22"/>
    </row>
    <row r="530" customFormat="false" ht="15" hidden="false" customHeight="true" outlineLevel="0" collapsed="false">
      <c r="A530" s="20" t="s">
        <v>1344</v>
      </c>
      <c r="B530" s="20" t="s">
        <v>230</v>
      </c>
      <c r="C530" s="19" t="str">
        <f aca="false">IFERROR(INDEX('قائمة الوحدات'!$B$2:$B$41,MATCH($B530,'قائمة الوحدات'!$A$2:$A$41,0)),"")</f>
        <v>MIL</v>
      </c>
      <c r="D530" s="18" t="str">
        <f aca="false">IFERROR(INDEX('قائمة الوحدات'!$C$2:$C$41,MATCH($B530,'قائمة الوحدات'!$A$2:$A$41,0)),"")</f>
        <v>الجهاز العسكري</v>
      </c>
      <c r="E530" s="18" t="str">
        <f aca="false">IFERROR(INDEX('قائمة الوحدات'!$D$2:$D$41,MATCH($B530,'قائمة الوحدات'!$A$2:$A$41,0)),"")</f>
        <v>الإدارة العامة للأمن العسكري</v>
      </c>
      <c r="F530" s="18" t="str">
        <f aca="false">IFERROR(INDEX('قائمة الوحدات'!$F$2:$F$41,MATCH($B530,'قائمة الوحدات'!$A$2:$A$41,0)),"")</f>
        <v>الإدارة العامة للأمن العسكري</v>
      </c>
      <c r="G530" s="20" t="s">
        <v>62</v>
      </c>
      <c r="H530" s="18" t="str">
        <f aca="false">IFERROR(INDEX(المرجع!$A$2:$A$19,MATCH($G530,المرجع!$B$2:$B$19,0)),"")</f>
        <v>البناء المؤسسي</v>
      </c>
      <c r="I530" s="20" t="s">
        <v>57</v>
      </c>
      <c r="J530" s="18" t="str">
        <f aca="false">IFERROR(INDEX(المرجع!$D$2:$D$19,MATCH($I530,المرجع!$E$2:$E$19,0)),"")</f>
        <v>الموارد</v>
      </c>
      <c r="K530" s="20" t="s">
        <v>112</v>
      </c>
      <c r="L530" s="21" t="str">
        <f aca="false">IFERROR(INDEX('نقاط التحقق'!$G$2:$G$31,MATCH($K530,'نقاط التحقق'!$A$2:$A$31,0))&amp;"","")</f>
        <v>وجود مساحات مكتبية كافية</v>
      </c>
      <c r="M530" s="17" t="n">
        <v>60</v>
      </c>
      <c r="N530" s="17" t="n">
        <v>85</v>
      </c>
      <c r="O530" s="19" t="str">
        <f aca="false">IF($M530="","غير مقيّمة",IF($M530&gt;المرجع!$K$3,"مستوفاة بشكل متقدم",IF($M530&lt;=المرجع!$K$2,"مستوفاة بشكل أولي","مستوفاة بشكل جزئي")))</f>
        <v>مستوفاة بشكل جزئي</v>
      </c>
      <c r="P530" s="22"/>
    </row>
    <row r="531" customFormat="false" ht="15" hidden="false" customHeight="true" outlineLevel="0" collapsed="false">
      <c r="A531" s="20" t="s">
        <v>1345</v>
      </c>
      <c r="B531" s="20" t="s">
        <v>230</v>
      </c>
      <c r="C531" s="19" t="str">
        <f aca="false">IFERROR(INDEX('قائمة الوحدات'!$B$2:$B$41,MATCH($B531,'قائمة الوحدات'!$A$2:$A$41,0)),"")</f>
        <v>MIL</v>
      </c>
      <c r="D531" s="18" t="str">
        <f aca="false">IFERROR(INDEX('قائمة الوحدات'!$C$2:$C$41,MATCH($B531,'قائمة الوحدات'!$A$2:$A$41,0)),"")</f>
        <v>الجهاز العسكري</v>
      </c>
      <c r="E531" s="18" t="str">
        <f aca="false">IFERROR(INDEX('قائمة الوحدات'!$D$2:$D$41,MATCH($B531,'قائمة الوحدات'!$A$2:$A$41,0)),"")</f>
        <v>الإدارة العامة للأمن العسكري</v>
      </c>
      <c r="F531" s="18" t="str">
        <f aca="false">IFERROR(INDEX('قائمة الوحدات'!$F$2:$F$41,MATCH($B531,'قائمة الوحدات'!$A$2:$A$41,0)),"")</f>
        <v>الإدارة العامة للأمن العسكري</v>
      </c>
      <c r="G531" s="20" t="s">
        <v>62</v>
      </c>
      <c r="H531" s="18" t="str">
        <f aca="false">IFERROR(INDEX(المرجع!$A$2:$A$19,MATCH($G531,المرجع!$B$2:$B$19,0)),"")</f>
        <v>البناء المؤسسي</v>
      </c>
      <c r="I531" s="20" t="s">
        <v>57</v>
      </c>
      <c r="J531" s="18" t="str">
        <f aca="false">IFERROR(INDEX(المرجع!$D$2:$D$19,MATCH($I531,المرجع!$E$2:$E$19,0)),"")</f>
        <v>الموارد</v>
      </c>
      <c r="K531" s="20" t="s">
        <v>114</v>
      </c>
      <c r="L531" s="21" t="str">
        <f aca="false">IFERROR(INDEX('نقاط التحقق'!$G$2:$G$31,MATCH($K531,'نقاط التحقق'!$A$2:$A$31,0))&amp;"","")</f>
        <v>وجود الاحتياجات التقنية الأساسية</v>
      </c>
      <c r="M531" s="17" t="n">
        <v>70</v>
      </c>
      <c r="N531" s="17" t="n">
        <v>80</v>
      </c>
      <c r="O531" s="19" t="str">
        <f aca="false">IF($M531="","غير مقيّمة",IF($M531&gt;المرجع!$K$3,"مستوفاة بشكل متقدم",IF($M531&lt;=المرجع!$K$2,"مستوفاة بشكل أولي","مستوفاة بشكل جزئي")))</f>
        <v>مستوفاة بشكل جزئي</v>
      </c>
      <c r="P531" s="22"/>
    </row>
    <row r="532" customFormat="false" ht="15" hidden="false" customHeight="true" outlineLevel="0" collapsed="false">
      <c r="A532" s="20" t="s">
        <v>1346</v>
      </c>
      <c r="B532" s="20" t="s">
        <v>230</v>
      </c>
      <c r="C532" s="19" t="str">
        <f aca="false">IFERROR(INDEX('قائمة الوحدات'!$B$2:$B$41,MATCH($B532,'قائمة الوحدات'!$A$2:$A$41,0)),"")</f>
        <v>MIL</v>
      </c>
      <c r="D532" s="18" t="str">
        <f aca="false">IFERROR(INDEX('قائمة الوحدات'!$C$2:$C$41,MATCH($B532,'قائمة الوحدات'!$A$2:$A$41,0)),"")</f>
        <v>الجهاز العسكري</v>
      </c>
      <c r="E532" s="18" t="str">
        <f aca="false">IFERROR(INDEX('قائمة الوحدات'!$D$2:$D$41,MATCH($B532,'قائمة الوحدات'!$A$2:$A$41,0)),"")</f>
        <v>الإدارة العامة للأمن العسكري</v>
      </c>
      <c r="F532" s="18" t="str">
        <f aca="false">IFERROR(INDEX('قائمة الوحدات'!$F$2:$F$41,MATCH($B532,'قائمة الوحدات'!$A$2:$A$41,0)),"")</f>
        <v>الإدارة العامة للأمن العسكري</v>
      </c>
      <c r="G532" s="20" t="s">
        <v>62</v>
      </c>
      <c r="H532" s="18" t="str">
        <f aca="false">IFERROR(INDEX(المرجع!$A$2:$A$19,MATCH($G532,المرجع!$B$2:$B$19,0)),"")</f>
        <v>البناء المؤسسي</v>
      </c>
      <c r="I532" s="20" t="s">
        <v>60</v>
      </c>
      <c r="J532" s="18" t="str">
        <f aca="false">IFERROR(INDEX(المرجع!$D$2:$D$19,MATCH($I532,المرجع!$E$2:$E$19,0)),"")</f>
        <v>الإجراءات</v>
      </c>
      <c r="K532" s="20" t="s">
        <v>116</v>
      </c>
      <c r="L532" s="21" t="str">
        <f aca="false">IFERROR(INDEX('نقاط التحقق'!$G$2:$G$31,MATCH($K532,'نقاط التحقق'!$A$2:$A$31,0))&amp;"","")</f>
        <v>إجراءات معتمدة للوحدة التنظيمية</v>
      </c>
      <c r="M532" s="17" t="n">
        <v>81</v>
      </c>
      <c r="N532" s="17" t="n">
        <v>90</v>
      </c>
      <c r="O532" s="19" t="str">
        <f aca="false">IF($M532="","غير مقيّمة",IF($M532&gt;المرجع!$K$3,"مستوفاة بشكل متقدم",IF($M532&lt;=المرجع!$K$2,"مستوفاة بشكل أولي","مستوفاة بشكل جزئي")))</f>
        <v>مستوفاة بشكل متقدم</v>
      </c>
      <c r="P532" s="22"/>
    </row>
    <row r="533" customFormat="false" ht="15" hidden="false" customHeight="true" outlineLevel="0" collapsed="false">
      <c r="A533" s="20" t="s">
        <v>1347</v>
      </c>
      <c r="B533" s="20" t="s">
        <v>230</v>
      </c>
      <c r="C533" s="19" t="str">
        <f aca="false">IFERROR(INDEX('قائمة الوحدات'!$B$2:$B$41,MATCH($B533,'قائمة الوحدات'!$A$2:$A$41,0)),"")</f>
        <v>MIL</v>
      </c>
      <c r="D533" s="18" t="str">
        <f aca="false">IFERROR(INDEX('قائمة الوحدات'!$C$2:$C$41,MATCH($B533,'قائمة الوحدات'!$A$2:$A$41,0)),"")</f>
        <v>الجهاز العسكري</v>
      </c>
      <c r="E533" s="18" t="str">
        <f aca="false">IFERROR(INDEX('قائمة الوحدات'!$D$2:$D$41,MATCH($B533,'قائمة الوحدات'!$A$2:$A$41,0)),"")</f>
        <v>الإدارة العامة للأمن العسكري</v>
      </c>
      <c r="F533" s="18" t="str">
        <f aca="false">IFERROR(INDEX('قائمة الوحدات'!$F$2:$F$41,MATCH($B533,'قائمة الوحدات'!$A$2:$A$41,0)),"")</f>
        <v>الإدارة العامة للأمن العسكري</v>
      </c>
      <c r="G533" s="20" t="s">
        <v>62</v>
      </c>
      <c r="H533" s="18" t="str">
        <f aca="false">IFERROR(INDEX(المرجع!$A$2:$A$19,MATCH($G533,المرجع!$B$2:$B$19,0)),"")</f>
        <v>البناء المؤسسي</v>
      </c>
      <c r="I533" s="20" t="s">
        <v>69</v>
      </c>
      <c r="J533" s="18" t="str">
        <f aca="false">IFERROR(INDEX(المرجع!$D$2:$D$19,MATCH($I533,المرجع!$E$2:$E$19,0)),"")</f>
        <v>إنتاج المخرج الأول</v>
      </c>
      <c r="K533" s="20" t="s">
        <v>118</v>
      </c>
      <c r="L533" s="21" t="str">
        <f aca="false">IFERROR(INDEX('نقاط التحقق'!$G$2:$G$31,MATCH($K533,'نقاط التحقق'!$A$2:$A$31,0))&amp;"","")</f>
        <v>إنتاج المخرج الأول من قبل الوحدة التنظيمية</v>
      </c>
      <c r="M533" s="17" t="n">
        <v>61</v>
      </c>
      <c r="N533" s="17" t="n">
        <v>85</v>
      </c>
      <c r="O533" s="19" t="str">
        <f aca="false">IF($M533="","غير مقيّمة",IF($M533&gt;المرجع!$K$3,"مستوفاة بشكل متقدم",IF($M533&lt;=المرجع!$K$2,"مستوفاة بشكل أولي","مستوفاة بشكل جزئي")))</f>
        <v>مستوفاة بشكل جزئي</v>
      </c>
      <c r="P533" s="22"/>
    </row>
    <row r="534" customFormat="false" ht="15" hidden="false" customHeight="true" outlineLevel="0" collapsed="false">
      <c r="A534" s="20" t="s">
        <v>1348</v>
      </c>
      <c r="B534" s="20" t="s">
        <v>230</v>
      </c>
      <c r="C534" s="19" t="str">
        <f aca="false">IFERROR(INDEX('قائمة الوحدات'!$B$2:$B$41,MATCH($B534,'قائمة الوحدات'!$A$2:$A$41,0)),"")</f>
        <v>MIL</v>
      </c>
      <c r="D534" s="18" t="str">
        <f aca="false">IFERROR(INDEX('قائمة الوحدات'!$C$2:$C$41,MATCH($B534,'قائمة الوحدات'!$A$2:$A$41,0)),"")</f>
        <v>الجهاز العسكري</v>
      </c>
      <c r="E534" s="18" t="str">
        <f aca="false">IFERROR(INDEX('قائمة الوحدات'!$D$2:$D$41,MATCH($B534,'قائمة الوحدات'!$A$2:$A$41,0)),"")</f>
        <v>الإدارة العامة للأمن العسكري</v>
      </c>
      <c r="F534" s="18" t="str">
        <f aca="false">IFERROR(INDEX('قائمة الوحدات'!$F$2:$F$41,MATCH($B534,'قائمة الوحدات'!$A$2:$A$41,0)),"")</f>
        <v>الإدارة العامة للأمن العسكري</v>
      </c>
      <c r="G534" s="20" t="s">
        <v>66</v>
      </c>
      <c r="H534" s="18" t="str">
        <f aca="false">IFERROR(INDEX(المرجع!$A$2:$A$19,MATCH($G534,المرجع!$B$2:$B$19,0)),"")</f>
        <v>التشغيل</v>
      </c>
      <c r="I534" s="20" t="s">
        <v>49</v>
      </c>
      <c r="J534" s="18" t="str">
        <f aca="false">IFERROR(INDEX(المرجع!$D$2:$D$19,MATCH($I534,المرجع!$E$2:$E$19,0)),"")</f>
        <v>الأهداف ومؤشرات الأداء</v>
      </c>
      <c r="K534" s="20" t="s">
        <v>120</v>
      </c>
      <c r="L534" s="21" t="str">
        <f aca="false">IFERROR(INDEX('نقاط التحقق'!$G$2:$G$31,MATCH($K534,'نقاط التحقق'!$A$2:$A$31,0))&amp;"","")</f>
        <v>تحرك مؤشرات الأداء التشغيلي للوحدة التنظيمية بشكل إيجابي</v>
      </c>
      <c r="M534" s="17" t="n">
        <v>60</v>
      </c>
      <c r="N534" s="17" t="n">
        <v>95</v>
      </c>
      <c r="O534" s="19" t="str">
        <f aca="false">IF($M534="","غير مقيّمة",IF($M534&gt;المرجع!$K$3,"مستوفاة بشكل متقدم",IF($M534&lt;=المرجع!$K$2,"مستوفاة بشكل أولي","مستوفاة بشكل جزئي")))</f>
        <v>مستوفاة بشكل جزئي</v>
      </c>
      <c r="P534" s="22"/>
    </row>
    <row r="535" customFormat="false" ht="15" hidden="false" customHeight="true" outlineLevel="0" collapsed="false">
      <c r="A535" s="20" t="s">
        <v>1349</v>
      </c>
      <c r="B535" s="20" t="s">
        <v>230</v>
      </c>
      <c r="C535" s="19" t="str">
        <f aca="false">IFERROR(INDEX('قائمة الوحدات'!$B$2:$B$41,MATCH($B535,'قائمة الوحدات'!$A$2:$A$41,0)),"")</f>
        <v>MIL</v>
      </c>
      <c r="D535" s="18" t="str">
        <f aca="false">IFERROR(INDEX('قائمة الوحدات'!$C$2:$C$41,MATCH($B535,'قائمة الوحدات'!$A$2:$A$41,0)),"")</f>
        <v>الجهاز العسكري</v>
      </c>
      <c r="E535" s="18" t="str">
        <f aca="false">IFERROR(INDEX('قائمة الوحدات'!$D$2:$D$41,MATCH($B535,'قائمة الوحدات'!$A$2:$A$41,0)),"")</f>
        <v>الإدارة العامة للأمن العسكري</v>
      </c>
      <c r="F535" s="18" t="str">
        <f aca="false">IFERROR(INDEX('قائمة الوحدات'!$F$2:$F$41,MATCH($B535,'قائمة الوحدات'!$A$2:$A$41,0)),"")</f>
        <v>الإدارة العامة للأمن العسكري</v>
      </c>
      <c r="G535" s="20" t="s">
        <v>66</v>
      </c>
      <c r="H535" s="18" t="str">
        <f aca="false">IFERROR(INDEX(المرجع!$A$2:$A$19,MATCH($G535,المرجع!$B$2:$B$19,0)),"")</f>
        <v>التشغيل</v>
      </c>
      <c r="I535" s="20" t="s">
        <v>49</v>
      </c>
      <c r="J535" s="18" t="str">
        <f aca="false">IFERROR(INDEX(المرجع!$D$2:$D$19,MATCH($I535,المرجع!$E$2:$E$19,0)),"")</f>
        <v>الأهداف ومؤشرات الأداء</v>
      </c>
      <c r="K535" s="20" t="s">
        <v>122</v>
      </c>
      <c r="L535" s="21" t="str">
        <f aca="false">IFERROR(INDEX('نقاط التحقق'!$G$2:$G$31,MATCH($K535,'نقاط التحقق'!$A$2:$A$31,0))&amp;"","")</f>
        <v>خطة سنوية معتمدة للوحدة التنظيمية</v>
      </c>
      <c r="M535" s="17" t="n">
        <v>50</v>
      </c>
      <c r="N535" s="17" t="n">
        <v>95</v>
      </c>
      <c r="O535" s="19" t="str">
        <f aca="false">IF($M535="","غير مقيّمة",IF($M535&gt;المرجع!$K$3,"مستوفاة بشكل متقدم",IF($M535&lt;=المرجع!$K$2,"مستوفاة بشكل أولي","مستوفاة بشكل جزئي")))</f>
        <v>مستوفاة بشكل جزئي</v>
      </c>
      <c r="P535" s="22"/>
    </row>
    <row r="536" customFormat="false" ht="15" hidden="false" customHeight="true" outlineLevel="0" collapsed="false">
      <c r="A536" s="20" t="s">
        <v>1350</v>
      </c>
      <c r="B536" s="20" t="s">
        <v>230</v>
      </c>
      <c r="C536" s="19" t="str">
        <f aca="false">IFERROR(INDEX('قائمة الوحدات'!$B$2:$B$41,MATCH($B536,'قائمة الوحدات'!$A$2:$A$41,0)),"")</f>
        <v>MIL</v>
      </c>
      <c r="D536" s="18" t="str">
        <f aca="false">IFERROR(INDEX('قائمة الوحدات'!$C$2:$C$41,MATCH($B536,'قائمة الوحدات'!$A$2:$A$41,0)),"")</f>
        <v>الجهاز العسكري</v>
      </c>
      <c r="E536" s="18" t="str">
        <f aca="false">IFERROR(INDEX('قائمة الوحدات'!$D$2:$D$41,MATCH($B536,'قائمة الوحدات'!$A$2:$A$41,0)),"")</f>
        <v>الإدارة العامة للأمن العسكري</v>
      </c>
      <c r="F536" s="18" t="str">
        <f aca="false">IFERROR(INDEX('قائمة الوحدات'!$F$2:$F$41,MATCH($B536,'قائمة الوحدات'!$A$2:$A$41,0)),"")</f>
        <v>الإدارة العامة للأمن العسكري</v>
      </c>
      <c r="G536" s="20" t="s">
        <v>66</v>
      </c>
      <c r="H536" s="18" t="str">
        <f aca="false">IFERROR(INDEX(المرجع!$A$2:$A$19,MATCH($G536,المرجع!$B$2:$B$19,0)),"")</f>
        <v>التشغيل</v>
      </c>
      <c r="I536" s="20" t="s">
        <v>52</v>
      </c>
      <c r="J536" s="18" t="str">
        <f aca="false">IFERROR(INDEX(المرجع!$D$2:$D$19,MATCH($I536,المرجع!$E$2:$E$19,0)),"")</f>
        <v>الحوكمة</v>
      </c>
      <c r="K536" s="20" t="s">
        <v>124</v>
      </c>
      <c r="L536" s="21" t="str">
        <f aca="false">IFERROR(INDEX('نقاط التحقق'!$G$2:$G$31,MATCH($K536,'نقاط التحقق'!$A$2:$A$31,0))&amp;"","")</f>
        <v>محاضر لجان موثقة</v>
      </c>
      <c r="M536" s="17" t="n">
        <v>20</v>
      </c>
      <c r="N536" s="17" t="n">
        <v>100</v>
      </c>
      <c r="O536" s="19" t="str">
        <f aca="false">IF($M536="","غير مقيّمة",IF($M536&gt;المرجع!$K$3,"مستوفاة بشكل متقدم",IF($M536&lt;=المرجع!$K$2,"مستوفاة بشكل أولي","مستوفاة بشكل جزئي")))</f>
        <v>مستوفاة بشكل أولي</v>
      </c>
      <c r="P536" s="22"/>
    </row>
    <row r="537" customFormat="false" ht="15" hidden="false" customHeight="true" outlineLevel="0" collapsed="false">
      <c r="A537" s="20" t="s">
        <v>1351</v>
      </c>
      <c r="B537" s="20" t="s">
        <v>230</v>
      </c>
      <c r="C537" s="19" t="str">
        <f aca="false">IFERROR(INDEX('قائمة الوحدات'!$B$2:$B$41,MATCH($B537,'قائمة الوحدات'!$A$2:$A$41,0)),"")</f>
        <v>MIL</v>
      </c>
      <c r="D537" s="18" t="str">
        <f aca="false">IFERROR(INDEX('قائمة الوحدات'!$C$2:$C$41,MATCH($B537,'قائمة الوحدات'!$A$2:$A$41,0)),"")</f>
        <v>الجهاز العسكري</v>
      </c>
      <c r="E537" s="18" t="str">
        <f aca="false">IFERROR(INDEX('قائمة الوحدات'!$D$2:$D$41,MATCH($B537,'قائمة الوحدات'!$A$2:$A$41,0)),"")</f>
        <v>الإدارة العامة للأمن العسكري</v>
      </c>
      <c r="F537" s="18" t="str">
        <f aca="false">IFERROR(INDEX('قائمة الوحدات'!$F$2:$F$41,MATCH($B537,'قائمة الوحدات'!$A$2:$A$41,0)),"")</f>
        <v>الإدارة العامة للأمن العسكري</v>
      </c>
      <c r="G537" s="20" t="s">
        <v>66</v>
      </c>
      <c r="H537" s="18" t="str">
        <f aca="false">IFERROR(INDEX(المرجع!$A$2:$A$19,MATCH($G537,المرجع!$B$2:$B$19,0)),"")</f>
        <v>التشغيل</v>
      </c>
      <c r="I537" s="20" t="s">
        <v>52</v>
      </c>
      <c r="J537" s="18" t="str">
        <f aca="false">IFERROR(INDEX(المرجع!$D$2:$D$19,MATCH($I537,المرجع!$E$2:$E$19,0)),"")</f>
        <v>الحوكمة</v>
      </c>
      <c r="K537" s="20" t="s">
        <v>126</v>
      </c>
      <c r="L537" s="21" t="str">
        <f aca="false">IFERROR(INDEX('نقاط التحقق'!$G$2:$G$31,MATCH($K537,'نقاط التحقق'!$A$2:$A$31,0))&amp;"","")</f>
        <v>نشر السياسات التي تملكها الوحدة التنظيمية</v>
      </c>
      <c r="M537" s="17" t="n">
        <v>35</v>
      </c>
      <c r="N537" s="17" t="n">
        <v>95</v>
      </c>
      <c r="O537" s="19" t="str">
        <f aca="false">IF($M537="","غير مقيّمة",IF($M537&gt;المرجع!$K$3,"مستوفاة بشكل متقدم",IF($M537&lt;=المرجع!$K$2,"مستوفاة بشكل أولي","مستوفاة بشكل جزئي")))</f>
        <v>مستوفاة بشكل جزئي</v>
      </c>
      <c r="P537" s="22"/>
    </row>
    <row r="538" customFormat="false" ht="15" hidden="false" customHeight="true" outlineLevel="0" collapsed="false">
      <c r="A538" s="20" t="s">
        <v>1352</v>
      </c>
      <c r="B538" s="20" t="s">
        <v>230</v>
      </c>
      <c r="C538" s="19" t="str">
        <f aca="false">IFERROR(INDEX('قائمة الوحدات'!$B$2:$B$41,MATCH($B538,'قائمة الوحدات'!$A$2:$A$41,0)),"")</f>
        <v>MIL</v>
      </c>
      <c r="D538" s="18" t="str">
        <f aca="false">IFERROR(INDEX('قائمة الوحدات'!$C$2:$C$41,MATCH($B538,'قائمة الوحدات'!$A$2:$A$41,0)),"")</f>
        <v>الجهاز العسكري</v>
      </c>
      <c r="E538" s="18" t="str">
        <f aca="false">IFERROR(INDEX('قائمة الوحدات'!$D$2:$D$41,MATCH($B538,'قائمة الوحدات'!$A$2:$A$41,0)),"")</f>
        <v>الإدارة العامة للأمن العسكري</v>
      </c>
      <c r="F538" s="18" t="str">
        <f aca="false">IFERROR(INDEX('قائمة الوحدات'!$F$2:$F$41,MATCH($B538,'قائمة الوحدات'!$A$2:$A$41,0)),"")</f>
        <v>الإدارة العامة للأمن العسكري</v>
      </c>
      <c r="G538" s="20" t="s">
        <v>66</v>
      </c>
      <c r="H538" s="18" t="str">
        <f aca="false">IFERROR(INDEX(المرجع!$A$2:$A$19,MATCH($G538,المرجع!$B$2:$B$19,0)),"")</f>
        <v>التشغيل</v>
      </c>
      <c r="I538" s="20" t="s">
        <v>52</v>
      </c>
      <c r="J538" s="18" t="str">
        <f aca="false">IFERROR(INDEX(المرجع!$D$2:$D$19,MATCH($I538,المرجع!$E$2:$E$19,0)),"")</f>
        <v>الحوكمة</v>
      </c>
      <c r="K538" s="20" t="s">
        <v>128</v>
      </c>
      <c r="L538" s="21" t="str">
        <f aca="false">IFERROR(INDEX('نقاط التحقق'!$G$2:$G$31,MATCH($K538,'نقاط التحقق'!$A$2:$A$31,0))&amp;"","")</f>
        <v>اتخاذ القرارات في نطاق الصلاحيات (وجود شواهد)</v>
      </c>
      <c r="M538" s="17" t="n">
        <v>35</v>
      </c>
      <c r="N538" s="17" t="n">
        <v>95</v>
      </c>
      <c r="O538" s="19" t="str">
        <f aca="false">IF($M538="","غير مقيّمة",IF($M538&gt;المرجع!$K$3,"مستوفاة بشكل متقدم",IF($M538&lt;=المرجع!$K$2,"مستوفاة بشكل أولي","مستوفاة بشكل جزئي")))</f>
        <v>مستوفاة بشكل جزئي</v>
      </c>
      <c r="P538" s="22"/>
    </row>
    <row r="539" customFormat="false" ht="15" hidden="false" customHeight="true" outlineLevel="0" collapsed="false">
      <c r="A539" s="20" t="s">
        <v>1353</v>
      </c>
      <c r="B539" s="20" t="s">
        <v>230</v>
      </c>
      <c r="C539" s="19" t="str">
        <f aca="false">IFERROR(INDEX('قائمة الوحدات'!$B$2:$B$41,MATCH($B539,'قائمة الوحدات'!$A$2:$A$41,0)),"")</f>
        <v>MIL</v>
      </c>
      <c r="D539" s="18" t="str">
        <f aca="false">IFERROR(INDEX('قائمة الوحدات'!$C$2:$C$41,MATCH($B539,'قائمة الوحدات'!$A$2:$A$41,0)),"")</f>
        <v>الجهاز العسكري</v>
      </c>
      <c r="E539" s="18" t="str">
        <f aca="false">IFERROR(INDEX('قائمة الوحدات'!$D$2:$D$41,MATCH($B539,'قائمة الوحدات'!$A$2:$A$41,0)),"")</f>
        <v>الإدارة العامة للأمن العسكري</v>
      </c>
      <c r="F539" s="18" t="str">
        <f aca="false">IFERROR(INDEX('قائمة الوحدات'!$F$2:$F$41,MATCH($B539,'قائمة الوحدات'!$A$2:$A$41,0)),"")</f>
        <v>الإدارة العامة للأمن العسكري</v>
      </c>
      <c r="G539" s="20" t="s">
        <v>66</v>
      </c>
      <c r="H539" s="18" t="str">
        <f aca="false">IFERROR(INDEX(المرجع!$A$2:$A$19,MATCH($G539,المرجع!$B$2:$B$19,0)),"")</f>
        <v>التشغيل</v>
      </c>
      <c r="I539" s="20" t="s">
        <v>57</v>
      </c>
      <c r="J539" s="18" t="str">
        <f aca="false">IFERROR(INDEX(المرجع!$D$2:$D$19,MATCH($I539,المرجع!$E$2:$E$19,0)),"")</f>
        <v>الموارد</v>
      </c>
      <c r="K539" s="20" t="s">
        <v>130</v>
      </c>
      <c r="L539" s="21" t="str">
        <f aca="false">IFERROR(INDEX('نقاط التحقق'!$G$2:$G$31,MATCH($K539,'نقاط التحقق'!$A$2:$A$31,0))&amp;"","")</f>
        <v>موارد مستكملة للحد الأدنى الذي يغطي كافة محاور سلسلة القيمة</v>
      </c>
      <c r="M539" s="17" t="n">
        <v>34</v>
      </c>
      <c r="N539" s="17" t="n">
        <v>90</v>
      </c>
      <c r="O539" s="19" t="str">
        <f aca="false">IF($M539="","غير مقيّمة",IF($M539&gt;المرجع!$K$3,"مستوفاة بشكل متقدم",IF($M539&lt;=المرجع!$K$2,"مستوفاة بشكل أولي","مستوفاة بشكل جزئي")))</f>
        <v>مستوفاة بشكل جزئي</v>
      </c>
      <c r="P539" s="22"/>
    </row>
    <row r="540" customFormat="false" ht="15" hidden="false" customHeight="true" outlineLevel="0" collapsed="false">
      <c r="A540" s="20" t="s">
        <v>1354</v>
      </c>
      <c r="B540" s="20" t="s">
        <v>230</v>
      </c>
      <c r="C540" s="19" t="str">
        <f aca="false">IFERROR(INDEX('قائمة الوحدات'!$B$2:$B$41,MATCH($B540,'قائمة الوحدات'!$A$2:$A$41,0)),"")</f>
        <v>MIL</v>
      </c>
      <c r="D540" s="18" t="str">
        <f aca="false">IFERROR(INDEX('قائمة الوحدات'!$C$2:$C$41,MATCH($B540,'قائمة الوحدات'!$A$2:$A$41,0)),"")</f>
        <v>الجهاز العسكري</v>
      </c>
      <c r="E540" s="18" t="str">
        <f aca="false">IFERROR(INDEX('قائمة الوحدات'!$D$2:$D$41,MATCH($B540,'قائمة الوحدات'!$A$2:$A$41,0)),"")</f>
        <v>الإدارة العامة للأمن العسكري</v>
      </c>
      <c r="F540" s="18" t="str">
        <f aca="false">IFERROR(INDEX('قائمة الوحدات'!$F$2:$F$41,MATCH($B540,'قائمة الوحدات'!$A$2:$A$41,0)),"")</f>
        <v>الإدارة العامة للأمن العسكري</v>
      </c>
      <c r="G540" s="20" t="s">
        <v>66</v>
      </c>
      <c r="H540" s="18" t="str">
        <f aca="false">IFERROR(INDEX(المرجع!$A$2:$A$19,MATCH($G540,المرجع!$B$2:$B$19,0)),"")</f>
        <v>التشغيل</v>
      </c>
      <c r="I540" s="20" t="s">
        <v>60</v>
      </c>
      <c r="J540" s="18" t="str">
        <f aca="false">IFERROR(INDEX(المرجع!$D$2:$D$19,MATCH($I540,المرجع!$E$2:$E$19,0)),"")</f>
        <v>الإجراءات</v>
      </c>
      <c r="K540" s="20" t="s">
        <v>132</v>
      </c>
      <c r="L540" s="21" t="str">
        <f aca="false">IFERROR(INDEX('نقاط التحقق'!$G$2:$G$31,MATCH($K540,'نقاط التحقق'!$A$2:$A$31,0))&amp;"","")</f>
        <v>تحقيق تقييم "مطبق بشكل كامل" من منهجية تقييم فعالية الإجراءات</v>
      </c>
      <c r="M540" s="17" t="n">
        <v>36</v>
      </c>
      <c r="N540" s="17" t="n">
        <v>100</v>
      </c>
      <c r="O540" s="19" t="str">
        <f aca="false">IF($M540="","غير مقيّمة",IF($M540&gt;المرجع!$K$3,"مستوفاة بشكل متقدم",IF($M540&lt;=المرجع!$K$2,"مستوفاة بشكل أولي","مستوفاة بشكل جزئي")))</f>
        <v>مستوفاة بشكل جزئي</v>
      </c>
      <c r="P540" s="22"/>
    </row>
    <row r="541" customFormat="false" ht="15" hidden="false" customHeight="true" outlineLevel="0" collapsed="false">
      <c r="A541" s="20" t="s">
        <v>1355</v>
      </c>
      <c r="B541" s="20" t="s">
        <v>230</v>
      </c>
      <c r="C541" s="19" t="str">
        <f aca="false">IFERROR(INDEX('قائمة الوحدات'!$B$2:$B$41,MATCH($B541,'قائمة الوحدات'!$A$2:$A$41,0)),"")</f>
        <v>MIL</v>
      </c>
      <c r="D541" s="18" t="str">
        <f aca="false">IFERROR(INDEX('قائمة الوحدات'!$C$2:$C$41,MATCH($B541,'قائمة الوحدات'!$A$2:$A$41,0)),"")</f>
        <v>الجهاز العسكري</v>
      </c>
      <c r="E541" s="18" t="str">
        <f aca="false">IFERROR(INDEX('قائمة الوحدات'!$D$2:$D$41,MATCH($B541,'قائمة الوحدات'!$A$2:$A$41,0)),"")</f>
        <v>الإدارة العامة للأمن العسكري</v>
      </c>
      <c r="F541" s="18" t="str">
        <f aca="false">IFERROR(INDEX('قائمة الوحدات'!$F$2:$F$41,MATCH($B541,'قائمة الوحدات'!$A$2:$A$41,0)),"")</f>
        <v>الإدارة العامة للأمن العسكري</v>
      </c>
      <c r="G541" s="20" t="s">
        <v>66</v>
      </c>
      <c r="H541" s="18" t="str">
        <f aca="false">IFERROR(INDEX(المرجع!$A$2:$A$19,MATCH($G541,المرجع!$B$2:$B$19,0)),"")</f>
        <v>التشغيل</v>
      </c>
      <c r="I541" s="20" t="s">
        <v>71</v>
      </c>
      <c r="J541" s="18" t="str">
        <f aca="false">IFERROR(INDEX(المرجع!$D$2:$D$19,MATCH($I541,المرجع!$E$2:$E$19,0)),"")</f>
        <v>اكتمال المخرجات المستهدفة</v>
      </c>
      <c r="K541" s="20" t="s">
        <v>134</v>
      </c>
      <c r="L541" s="21" t="str">
        <f aca="false">IFERROR(INDEX('نقاط التحقق'!$G$2:$G$31,MATCH($K541,'نقاط التحقق'!$A$2:$A$31,0))&amp;"","")</f>
        <v>اكتمال مخرجات النموذج التشغيلي المستهدف للوحدة التنظيمية</v>
      </c>
      <c r="M541" s="17" t="n">
        <v>23</v>
      </c>
      <c r="N541" s="17" t="n">
        <v>100</v>
      </c>
      <c r="O541" s="19" t="str">
        <f aca="false">IF($M541="","غير مقيّمة",IF($M541&gt;المرجع!$K$3,"مستوفاة بشكل متقدم",IF($M541&lt;=المرجع!$K$2,"مستوفاة بشكل أولي","مستوفاة بشكل جزئي")))</f>
        <v>مستوفاة بشكل أولي</v>
      </c>
      <c r="P541" s="22"/>
    </row>
    <row r="542" customFormat="false" ht="15" hidden="false" customHeight="true" outlineLevel="0" collapsed="false">
      <c r="A542" s="20" t="s">
        <v>1356</v>
      </c>
      <c r="B542" s="20" t="s">
        <v>232</v>
      </c>
      <c r="C542" s="19" t="str">
        <f aca="false">IFERROR(INDEX('قائمة الوحدات'!$B$2:$B$41,MATCH($B542,'قائمة الوحدات'!$A$2:$A$41,0)),"")</f>
        <v>MIL</v>
      </c>
      <c r="D542" s="18" t="str">
        <f aca="false">IFERROR(INDEX('قائمة الوحدات'!$C$2:$C$41,MATCH($B542,'قائمة الوحدات'!$A$2:$A$41,0)),"")</f>
        <v>الجهاز العسكري</v>
      </c>
      <c r="E542" s="18" t="str">
        <f aca="false">IFERROR(INDEX('قائمة الوحدات'!$D$2:$D$41,MATCH($B542,'قائمة الوحدات'!$A$2:$A$41,0)),"")</f>
        <v>الإدارة العامة للمالية والميزانية العسكرية</v>
      </c>
      <c r="F542" s="18" t="str">
        <f aca="false">IFERROR(INDEX('قائمة الوحدات'!$F$2:$F$41,MATCH($B542,'قائمة الوحدات'!$A$2:$A$41,0)),"")</f>
        <v>الإدارة العامة للمالية والميزانية العسكرية</v>
      </c>
      <c r="G542" s="20" t="s">
        <v>44</v>
      </c>
      <c r="H542" s="18" t="str">
        <f aca="false">IFERROR(INDEX(المرجع!$A$2:$A$19,MATCH($G542,المرجع!$B$2:$B$19,0)),"")</f>
        <v>التصميم</v>
      </c>
      <c r="I542" s="20" t="s">
        <v>46</v>
      </c>
      <c r="J542" s="18" t="str">
        <f aca="false">IFERROR(INDEX(المرجع!$D$2:$D$19,MATCH($I542,المرجع!$E$2:$E$19,0)),"")</f>
        <v>الدور</v>
      </c>
      <c r="K542" s="20" t="s">
        <v>76</v>
      </c>
      <c r="L542" s="21" t="str">
        <f aca="false">IFERROR(INDEX('نقاط التحقق'!$G$2:$G$31,MATCH($K542,'نقاط التحقق'!$A$2:$A$31,0))&amp;"","")</f>
        <v>دور مفصل للوحدة التنظيمية</v>
      </c>
      <c r="M542" s="17" t="n">
        <v>78</v>
      </c>
      <c r="N542" s="17" t="n">
        <v>100</v>
      </c>
      <c r="O542" s="19" t="str">
        <f aca="false">IF($M542="","غير مقيّمة",IF($M542&gt;المرجع!$K$3,"مستوفاة بشكل متقدم",IF($M542&lt;=المرجع!$K$2,"مستوفاة بشكل أولي","مستوفاة بشكل جزئي")))</f>
        <v>مستوفاة بشكل متقدم</v>
      </c>
      <c r="P542" s="22"/>
    </row>
    <row r="543" customFormat="false" ht="15" hidden="false" customHeight="true" outlineLevel="0" collapsed="false">
      <c r="A543" s="20" t="s">
        <v>1357</v>
      </c>
      <c r="B543" s="20" t="s">
        <v>232</v>
      </c>
      <c r="C543" s="19" t="str">
        <f aca="false">IFERROR(INDEX('قائمة الوحدات'!$B$2:$B$41,MATCH($B543,'قائمة الوحدات'!$A$2:$A$41,0)),"")</f>
        <v>MIL</v>
      </c>
      <c r="D543" s="18" t="str">
        <f aca="false">IFERROR(INDEX('قائمة الوحدات'!$C$2:$C$41,MATCH($B543,'قائمة الوحدات'!$A$2:$A$41,0)),"")</f>
        <v>الجهاز العسكري</v>
      </c>
      <c r="E543" s="18" t="str">
        <f aca="false">IFERROR(INDEX('قائمة الوحدات'!$D$2:$D$41,MATCH($B543,'قائمة الوحدات'!$A$2:$A$41,0)),"")</f>
        <v>الإدارة العامة للمالية والميزانية العسكرية</v>
      </c>
      <c r="F543" s="18" t="str">
        <f aca="false">IFERROR(INDEX('قائمة الوحدات'!$F$2:$F$41,MATCH($B543,'قائمة الوحدات'!$A$2:$A$41,0)),"")</f>
        <v>الإدارة العامة للمالية والميزانية العسكرية</v>
      </c>
      <c r="G543" s="20" t="s">
        <v>44</v>
      </c>
      <c r="H543" s="18" t="str">
        <f aca="false">IFERROR(INDEX(المرجع!$A$2:$A$19,MATCH($G543,المرجع!$B$2:$B$19,0)),"")</f>
        <v>التصميم</v>
      </c>
      <c r="I543" s="20" t="s">
        <v>49</v>
      </c>
      <c r="J543" s="18" t="str">
        <f aca="false">IFERROR(INDEX(المرجع!$D$2:$D$19,MATCH($I543,المرجع!$E$2:$E$19,0)),"")</f>
        <v>الأهداف ومؤشرات الأداء</v>
      </c>
      <c r="K543" s="20" t="s">
        <v>78</v>
      </c>
      <c r="L543" s="21" t="str">
        <f aca="false">IFERROR(INDEX('نقاط التحقق'!$G$2:$G$31,MATCH($K543,'نقاط التحقق'!$A$2:$A$31,0))&amp;"","")</f>
        <v>أهداف محددة للوحدة التنظيمية وربطها بمؤشرات أداء لقياسها</v>
      </c>
      <c r="M543" s="17" t="n">
        <v>75</v>
      </c>
      <c r="N543" s="17" t="n">
        <v>80</v>
      </c>
      <c r="O543" s="19" t="str">
        <f aca="false">IF($M543="","غير مقيّمة",IF($M543&gt;المرجع!$K$3,"مستوفاة بشكل متقدم",IF($M543&lt;=المرجع!$K$2,"مستوفاة بشكل أولي","مستوفاة بشكل جزئي")))</f>
        <v>مستوفاة بشكل متقدم</v>
      </c>
      <c r="P543" s="22"/>
    </row>
    <row r="544" customFormat="false" ht="15" hidden="false" customHeight="true" outlineLevel="0" collapsed="false">
      <c r="A544" s="20" t="s">
        <v>1358</v>
      </c>
      <c r="B544" s="20" t="s">
        <v>232</v>
      </c>
      <c r="C544" s="19" t="str">
        <f aca="false">IFERROR(INDEX('قائمة الوحدات'!$B$2:$B$41,MATCH($B544,'قائمة الوحدات'!$A$2:$A$41,0)),"")</f>
        <v>MIL</v>
      </c>
      <c r="D544" s="18" t="str">
        <f aca="false">IFERROR(INDEX('قائمة الوحدات'!$C$2:$C$41,MATCH($B544,'قائمة الوحدات'!$A$2:$A$41,0)),"")</f>
        <v>الجهاز العسكري</v>
      </c>
      <c r="E544" s="18" t="str">
        <f aca="false">IFERROR(INDEX('قائمة الوحدات'!$D$2:$D$41,MATCH($B544,'قائمة الوحدات'!$A$2:$A$41,0)),"")</f>
        <v>الإدارة العامة للمالية والميزانية العسكرية</v>
      </c>
      <c r="F544" s="18" t="str">
        <f aca="false">IFERROR(INDEX('قائمة الوحدات'!$F$2:$F$41,MATCH($B544,'قائمة الوحدات'!$A$2:$A$41,0)),"")</f>
        <v>الإدارة العامة للمالية والميزانية العسكرية</v>
      </c>
      <c r="G544" s="20" t="s">
        <v>44</v>
      </c>
      <c r="H544" s="18" t="str">
        <f aca="false">IFERROR(INDEX(المرجع!$A$2:$A$19,MATCH($G544,المرجع!$B$2:$B$19,0)),"")</f>
        <v>التصميم</v>
      </c>
      <c r="I544" s="20" t="s">
        <v>49</v>
      </c>
      <c r="J544" s="18" t="str">
        <f aca="false">IFERROR(INDEX(المرجع!$D$2:$D$19,MATCH($I544,المرجع!$E$2:$E$19,0)),"")</f>
        <v>الأهداف ومؤشرات الأداء</v>
      </c>
      <c r="K544" s="20" t="s">
        <v>80</v>
      </c>
      <c r="L544" s="21" t="str">
        <f aca="false">IFERROR(INDEX('نقاط التحقق'!$G$2:$G$31,MATCH($K544,'نقاط التحقق'!$A$2:$A$31,0))&amp;"","")</f>
        <v>مؤشرات أداء الوحدة التنظيمية</v>
      </c>
      <c r="M544" s="17" t="n">
        <v>85</v>
      </c>
      <c r="N544" s="17" t="n">
        <v>85</v>
      </c>
      <c r="O544" s="19" t="str">
        <f aca="false">IF($M544="","غير مقيّمة",IF($M544&gt;المرجع!$K$3,"مستوفاة بشكل متقدم",IF($M544&lt;=المرجع!$K$2,"مستوفاة بشكل أولي","مستوفاة بشكل جزئي")))</f>
        <v>مستوفاة بشكل متقدم</v>
      </c>
      <c r="P544" s="22"/>
    </row>
    <row r="545" customFormat="false" ht="15" hidden="false" customHeight="true" outlineLevel="0" collapsed="false">
      <c r="A545" s="20" t="s">
        <v>1359</v>
      </c>
      <c r="B545" s="20" t="s">
        <v>232</v>
      </c>
      <c r="C545" s="19" t="str">
        <f aca="false">IFERROR(INDEX('قائمة الوحدات'!$B$2:$B$41,MATCH($B545,'قائمة الوحدات'!$A$2:$A$41,0)),"")</f>
        <v>MIL</v>
      </c>
      <c r="D545" s="18" t="str">
        <f aca="false">IFERROR(INDEX('قائمة الوحدات'!$C$2:$C$41,MATCH($B545,'قائمة الوحدات'!$A$2:$A$41,0)),"")</f>
        <v>الجهاز العسكري</v>
      </c>
      <c r="E545" s="18" t="str">
        <f aca="false">IFERROR(INDEX('قائمة الوحدات'!$D$2:$D$41,MATCH($B545,'قائمة الوحدات'!$A$2:$A$41,0)),"")</f>
        <v>الإدارة العامة للمالية والميزانية العسكرية</v>
      </c>
      <c r="F545" s="18" t="str">
        <f aca="false">IFERROR(INDEX('قائمة الوحدات'!$F$2:$F$41,MATCH($B545,'قائمة الوحدات'!$A$2:$A$41,0)),"")</f>
        <v>الإدارة العامة للمالية والميزانية العسكرية</v>
      </c>
      <c r="G545" s="20" t="s">
        <v>44</v>
      </c>
      <c r="H545" s="18" t="str">
        <f aca="false">IFERROR(INDEX(المرجع!$A$2:$A$19,MATCH($G545,المرجع!$B$2:$B$19,0)),"")</f>
        <v>التصميم</v>
      </c>
      <c r="I545" s="20" t="s">
        <v>52</v>
      </c>
      <c r="J545" s="18" t="str">
        <f aca="false">IFERROR(INDEX(المرجع!$D$2:$D$19,MATCH($I545,المرجع!$E$2:$E$19,0)),"")</f>
        <v>الحوكمة</v>
      </c>
      <c r="K545" s="20" t="s">
        <v>82</v>
      </c>
      <c r="L545" s="21" t="str">
        <f aca="false">IFERROR(INDEX('نقاط التحقق'!$G$2:$G$31,MATCH($K545,'نقاط التحقق'!$A$2:$A$31,0))&amp;"","")</f>
        <v>تفصيل القرارات ومصفوفة الصلاحيات واللجان ذات العلاقة لاعتماد مخرجات الوحدة التنظيمية</v>
      </c>
      <c r="M545" s="17" t="n">
        <v>72</v>
      </c>
      <c r="N545" s="17" t="n">
        <v>80</v>
      </c>
      <c r="O545" s="19" t="str">
        <f aca="false">IF($M545="","غير مقيّمة",IF($M545&gt;المرجع!$K$3,"مستوفاة بشكل متقدم",IF($M545&lt;=المرجع!$K$2,"مستوفاة بشكل أولي","مستوفاة بشكل جزئي")))</f>
        <v>مستوفاة بشكل متقدم</v>
      </c>
      <c r="P545" s="22"/>
    </row>
    <row r="546" customFormat="false" ht="15" hidden="false" customHeight="true" outlineLevel="0" collapsed="false">
      <c r="A546" s="20" t="s">
        <v>1360</v>
      </c>
      <c r="B546" s="20" t="s">
        <v>232</v>
      </c>
      <c r="C546" s="19" t="str">
        <f aca="false">IFERROR(INDEX('قائمة الوحدات'!$B$2:$B$41,MATCH($B546,'قائمة الوحدات'!$A$2:$A$41,0)),"")</f>
        <v>MIL</v>
      </c>
      <c r="D546" s="18" t="str">
        <f aca="false">IFERROR(INDEX('قائمة الوحدات'!$C$2:$C$41,MATCH($B546,'قائمة الوحدات'!$A$2:$A$41,0)),"")</f>
        <v>الجهاز العسكري</v>
      </c>
      <c r="E546" s="18" t="str">
        <f aca="false">IFERROR(INDEX('قائمة الوحدات'!$D$2:$D$41,MATCH($B546,'قائمة الوحدات'!$A$2:$A$41,0)),"")</f>
        <v>الإدارة العامة للمالية والميزانية العسكرية</v>
      </c>
      <c r="F546" s="18" t="str">
        <f aca="false">IFERROR(INDEX('قائمة الوحدات'!$F$2:$F$41,MATCH($B546,'قائمة الوحدات'!$A$2:$A$41,0)),"")</f>
        <v>الإدارة العامة للمالية والميزانية العسكرية</v>
      </c>
      <c r="G546" s="20" t="s">
        <v>44</v>
      </c>
      <c r="H546" s="18" t="str">
        <f aca="false">IFERROR(INDEX(المرجع!$A$2:$A$19,MATCH($G546,المرجع!$B$2:$B$19,0)),"")</f>
        <v>التصميم</v>
      </c>
      <c r="I546" s="20" t="s">
        <v>55</v>
      </c>
      <c r="J546" s="18" t="str">
        <f aca="false">IFERROR(INDEX(المرجع!$D$2:$D$19,MATCH($I546,المرجع!$E$2:$E$19,0)),"")</f>
        <v>التنظيم</v>
      </c>
      <c r="K546" s="20" t="s">
        <v>84</v>
      </c>
      <c r="L546" s="21" t="str">
        <f aca="false">IFERROR(INDEX('نقاط التحقق'!$G$2:$G$31,MATCH($K546,'نقاط التحقق'!$A$2:$A$31,0))&amp;"","")</f>
        <v>تطوير الأدوار والمسؤوليات للوحدة التنظيمية وتفصيل الهيكل التنظيمي</v>
      </c>
      <c r="M546" s="17" t="n">
        <v>89</v>
      </c>
      <c r="N546" s="17" t="n">
        <v>95</v>
      </c>
      <c r="O546" s="19" t="str">
        <f aca="false">IF($M546="","غير مقيّمة",IF($M546&gt;المرجع!$K$3,"مستوفاة بشكل متقدم",IF($M546&lt;=المرجع!$K$2,"مستوفاة بشكل أولي","مستوفاة بشكل جزئي")))</f>
        <v>مستوفاة بشكل متقدم</v>
      </c>
      <c r="P546" s="22"/>
    </row>
    <row r="547" customFormat="false" ht="15" hidden="false" customHeight="true" outlineLevel="0" collapsed="false">
      <c r="A547" s="20" t="s">
        <v>1361</v>
      </c>
      <c r="B547" s="20" t="s">
        <v>232</v>
      </c>
      <c r="C547" s="19" t="str">
        <f aca="false">IFERROR(INDEX('قائمة الوحدات'!$B$2:$B$41,MATCH($B547,'قائمة الوحدات'!$A$2:$A$41,0)),"")</f>
        <v>MIL</v>
      </c>
      <c r="D547" s="18" t="str">
        <f aca="false">IFERROR(INDEX('قائمة الوحدات'!$C$2:$C$41,MATCH($B547,'قائمة الوحدات'!$A$2:$A$41,0)),"")</f>
        <v>الجهاز العسكري</v>
      </c>
      <c r="E547" s="18" t="str">
        <f aca="false">IFERROR(INDEX('قائمة الوحدات'!$D$2:$D$41,MATCH($B547,'قائمة الوحدات'!$A$2:$A$41,0)),"")</f>
        <v>الإدارة العامة للمالية والميزانية العسكرية</v>
      </c>
      <c r="F547" s="18" t="str">
        <f aca="false">IFERROR(INDEX('قائمة الوحدات'!$F$2:$F$41,MATCH($B547,'قائمة الوحدات'!$A$2:$A$41,0)),"")</f>
        <v>الإدارة العامة للمالية والميزانية العسكرية</v>
      </c>
      <c r="G547" s="20" t="s">
        <v>44</v>
      </c>
      <c r="H547" s="18" t="str">
        <f aca="false">IFERROR(INDEX(المرجع!$A$2:$A$19,MATCH($G547,المرجع!$B$2:$B$19,0)),"")</f>
        <v>التصميم</v>
      </c>
      <c r="I547" s="20" t="s">
        <v>57</v>
      </c>
      <c r="J547" s="18" t="str">
        <f aca="false">IFERROR(INDEX(المرجع!$D$2:$D$19,MATCH($I547,المرجع!$E$2:$E$19,0)),"")</f>
        <v>الموارد</v>
      </c>
      <c r="K547" s="20" t="s">
        <v>86</v>
      </c>
      <c r="L547" s="21" t="str">
        <f aca="false">IFERROR(INDEX('نقاط التحقق'!$G$2:$G$31,MATCH($K547,'نقاط التحقق'!$A$2:$A$31,0))&amp;"","")</f>
        <v>تفصيل احتياج الموارد البشرية للوحدة التنظيمية</v>
      </c>
      <c r="M547" s="17" t="n">
        <v>89</v>
      </c>
      <c r="N547" s="17" t="n">
        <v>100</v>
      </c>
      <c r="O547" s="19" t="str">
        <f aca="false">IF($M547="","غير مقيّمة",IF($M547&gt;المرجع!$K$3,"مستوفاة بشكل متقدم",IF($M547&lt;=المرجع!$K$2,"مستوفاة بشكل أولي","مستوفاة بشكل جزئي")))</f>
        <v>مستوفاة بشكل متقدم</v>
      </c>
      <c r="P547" s="22"/>
    </row>
    <row r="548" customFormat="false" ht="15" hidden="false" customHeight="true" outlineLevel="0" collapsed="false">
      <c r="A548" s="20" t="s">
        <v>1362</v>
      </c>
      <c r="B548" s="20" t="s">
        <v>232</v>
      </c>
      <c r="C548" s="19" t="str">
        <f aca="false">IFERROR(INDEX('قائمة الوحدات'!$B$2:$B$41,MATCH($B548,'قائمة الوحدات'!$A$2:$A$41,0)),"")</f>
        <v>MIL</v>
      </c>
      <c r="D548" s="18" t="str">
        <f aca="false">IFERROR(INDEX('قائمة الوحدات'!$C$2:$C$41,MATCH($B548,'قائمة الوحدات'!$A$2:$A$41,0)),"")</f>
        <v>الجهاز العسكري</v>
      </c>
      <c r="E548" s="18" t="str">
        <f aca="false">IFERROR(INDEX('قائمة الوحدات'!$D$2:$D$41,MATCH($B548,'قائمة الوحدات'!$A$2:$A$41,0)),"")</f>
        <v>الإدارة العامة للمالية والميزانية العسكرية</v>
      </c>
      <c r="F548" s="18" t="str">
        <f aca="false">IFERROR(INDEX('قائمة الوحدات'!$F$2:$F$41,MATCH($B548,'قائمة الوحدات'!$A$2:$A$41,0)),"")</f>
        <v>الإدارة العامة للمالية والميزانية العسكرية</v>
      </c>
      <c r="G548" s="20" t="s">
        <v>44</v>
      </c>
      <c r="H548" s="18" t="str">
        <f aca="false">IFERROR(INDEX(المرجع!$A$2:$A$19,MATCH($G548,المرجع!$B$2:$B$19,0)),"")</f>
        <v>التصميم</v>
      </c>
      <c r="I548" s="20" t="s">
        <v>60</v>
      </c>
      <c r="J548" s="18" t="str">
        <f aca="false">IFERROR(INDEX(المرجع!$D$2:$D$19,MATCH($I548,المرجع!$E$2:$E$19,0)),"")</f>
        <v>الإجراءات</v>
      </c>
      <c r="K548" s="20" t="s">
        <v>88</v>
      </c>
      <c r="L548" s="21" t="str">
        <f aca="false">IFERROR(INDEX('نقاط التحقق'!$G$2:$G$31,MATCH($K548,'نقاط التحقق'!$A$2:$A$31,0))&amp;"","")</f>
        <v>تفصيل المخرجات إلى إجراءات عالية المستوى</v>
      </c>
      <c r="M548" s="17" t="n">
        <v>68</v>
      </c>
      <c r="N548" s="17" t="n">
        <v>100</v>
      </c>
      <c r="O548" s="19" t="str">
        <f aca="false">IF($M548="","غير مقيّمة",IF($M548&gt;المرجع!$K$3,"مستوفاة بشكل متقدم",IF($M548&lt;=المرجع!$K$2,"مستوفاة بشكل أولي","مستوفاة بشكل جزئي")))</f>
        <v>مستوفاة بشكل جزئي</v>
      </c>
      <c r="P548" s="22"/>
    </row>
    <row r="549" customFormat="false" ht="15" hidden="false" customHeight="true" outlineLevel="0" collapsed="false">
      <c r="A549" s="20" t="s">
        <v>1363</v>
      </c>
      <c r="B549" s="20" t="s">
        <v>232</v>
      </c>
      <c r="C549" s="19" t="str">
        <f aca="false">IFERROR(INDEX('قائمة الوحدات'!$B$2:$B$41,MATCH($B549,'قائمة الوحدات'!$A$2:$A$41,0)),"")</f>
        <v>MIL</v>
      </c>
      <c r="D549" s="18" t="str">
        <f aca="false">IFERROR(INDEX('قائمة الوحدات'!$C$2:$C$41,MATCH($B549,'قائمة الوحدات'!$A$2:$A$41,0)),"")</f>
        <v>الجهاز العسكري</v>
      </c>
      <c r="E549" s="18" t="str">
        <f aca="false">IFERROR(INDEX('قائمة الوحدات'!$D$2:$D$41,MATCH($B549,'قائمة الوحدات'!$A$2:$A$41,0)),"")</f>
        <v>الإدارة العامة للمالية والميزانية العسكرية</v>
      </c>
      <c r="F549" s="18" t="str">
        <f aca="false">IFERROR(INDEX('قائمة الوحدات'!$F$2:$F$41,MATCH($B549,'قائمة الوحدات'!$A$2:$A$41,0)),"")</f>
        <v>الإدارة العامة للمالية والميزانية العسكرية</v>
      </c>
      <c r="G549" s="20" t="s">
        <v>62</v>
      </c>
      <c r="H549" s="18" t="str">
        <f aca="false">IFERROR(INDEX(المرجع!$A$2:$A$19,MATCH($G549,المرجع!$B$2:$B$19,0)),"")</f>
        <v>البناء المؤسسي</v>
      </c>
      <c r="I549" s="20" t="s">
        <v>46</v>
      </c>
      <c r="J549" s="18" t="str">
        <f aca="false">IFERROR(INDEX(المرجع!$D$2:$D$19,MATCH($I549,المرجع!$E$2:$E$19,0)),"")</f>
        <v>الدور</v>
      </c>
      <c r="K549" s="20" t="s">
        <v>90</v>
      </c>
      <c r="L549" s="21" t="str">
        <f aca="false">IFERROR(INDEX('نقاط التحقق'!$G$2:$G$31,MATCH($K549,'نقاط التحقق'!$A$2:$A$31,0))&amp;"","")</f>
        <v>دور معتمد للوحدة التنظيمية</v>
      </c>
      <c r="M549" s="17" t="n">
        <v>87</v>
      </c>
      <c r="N549" s="17" t="n">
        <v>100</v>
      </c>
      <c r="O549" s="19" t="str">
        <f aca="false">IF($M549="","غير مقيّمة",IF($M549&gt;المرجع!$K$3,"مستوفاة بشكل متقدم",IF($M549&lt;=المرجع!$K$2,"مستوفاة بشكل أولي","مستوفاة بشكل جزئي")))</f>
        <v>مستوفاة بشكل متقدم</v>
      </c>
      <c r="P549" s="22"/>
    </row>
    <row r="550" customFormat="false" ht="15" hidden="false" customHeight="true" outlineLevel="0" collapsed="false">
      <c r="A550" s="20" t="s">
        <v>1364</v>
      </c>
      <c r="B550" s="20" t="s">
        <v>232</v>
      </c>
      <c r="C550" s="19" t="str">
        <f aca="false">IFERROR(INDEX('قائمة الوحدات'!$B$2:$B$41,MATCH($B550,'قائمة الوحدات'!$A$2:$A$41,0)),"")</f>
        <v>MIL</v>
      </c>
      <c r="D550" s="18" t="str">
        <f aca="false">IFERROR(INDEX('قائمة الوحدات'!$C$2:$C$41,MATCH($B550,'قائمة الوحدات'!$A$2:$A$41,0)),"")</f>
        <v>الجهاز العسكري</v>
      </c>
      <c r="E550" s="18" t="str">
        <f aca="false">IFERROR(INDEX('قائمة الوحدات'!$D$2:$D$41,MATCH($B550,'قائمة الوحدات'!$A$2:$A$41,0)),"")</f>
        <v>الإدارة العامة للمالية والميزانية العسكرية</v>
      </c>
      <c r="F550" s="18" t="str">
        <f aca="false">IFERROR(INDEX('قائمة الوحدات'!$F$2:$F$41,MATCH($B550,'قائمة الوحدات'!$A$2:$A$41,0)),"")</f>
        <v>الإدارة العامة للمالية والميزانية العسكرية</v>
      </c>
      <c r="G550" s="20" t="s">
        <v>62</v>
      </c>
      <c r="H550" s="18" t="str">
        <f aca="false">IFERROR(INDEX(المرجع!$A$2:$A$19,MATCH($G550,المرجع!$B$2:$B$19,0)),"")</f>
        <v>البناء المؤسسي</v>
      </c>
      <c r="I550" s="20" t="s">
        <v>49</v>
      </c>
      <c r="J550" s="18" t="str">
        <f aca="false">IFERROR(INDEX(المرجع!$D$2:$D$19,MATCH($I550,المرجع!$E$2:$E$19,0)),"")</f>
        <v>الأهداف ومؤشرات الأداء</v>
      </c>
      <c r="K550" s="20" t="s">
        <v>92</v>
      </c>
      <c r="L550" s="21" t="str">
        <f aca="false">IFERROR(INDEX('نقاط التحقق'!$G$2:$G$31,MATCH($K550,'نقاط التحقق'!$A$2:$A$31,0))&amp;"","")</f>
        <v>أهداف تشغيلية معتمدة من صاحب الصلاحية</v>
      </c>
      <c r="M550" s="17" t="n">
        <v>50</v>
      </c>
      <c r="N550" s="17" t="n">
        <v>95</v>
      </c>
      <c r="O550" s="19" t="str">
        <f aca="false">IF($M550="","غير مقيّمة",IF($M550&gt;المرجع!$K$3,"مستوفاة بشكل متقدم",IF($M550&lt;=المرجع!$K$2,"مستوفاة بشكل أولي","مستوفاة بشكل جزئي")))</f>
        <v>مستوفاة بشكل جزئي</v>
      </c>
      <c r="P550" s="22"/>
    </row>
    <row r="551" customFormat="false" ht="15" hidden="false" customHeight="true" outlineLevel="0" collapsed="false">
      <c r="A551" s="20" t="s">
        <v>1365</v>
      </c>
      <c r="B551" s="20" t="s">
        <v>232</v>
      </c>
      <c r="C551" s="19" t="str">
        <f aca="false">IFERROR(INDEX('قائمة الوحدات'!$B$2:$B$41,MATCH($B551,'قائمة الوحدات'!$A$2:$A$41,0)),"")</f>
        <v>MIL</v>
      </c>
      <c r="D551" s="18" t="str">
        <f aca="false">IFERROR(INDEX('قائمة الوحدات'!$C$2:$C$41,MATCH($B551,'قائمة الوحدات'!$A$2:$A$41,0)),"")</f>
        <v>الجهاز العسكري</v>
      </c>
      <c r="E551" s="18" t="str">
        <f aca="false">IFERROR(INDEX('قائمة الوحدات'!$D$2:$D$41,MATCH($B551,'قائمة الوحدات'!$A$2:$A$41,0)),"")</f>
        <v>الإدارة العامة للمالية والميزانية العسكرية</v>
      </c>
      <c r="F551" s="18" t="str">
        <f aca="false">IFERROR(INDEX('قائمة الوحدات'!$F$2:$F$41,MATCH($B551,'قائمة الوحدات'!$A$2:$A$41,0)),"")</f>
        <v>الإدارة العامة للمالية والميزانية العسكرية</v>
      </c>
      <c r="G551" s="20" t="s">
        <v>62</v>
      </c>
      <c r="H551" s="18" t="str">
        <f aca="false">IFERROR(INDEX(المرجع!$A$2:$A$19,MATCH($G551,المرجع!$B$2:$B$19,0)),"")</f>
        <v>البناء المؤسسي</v>
      </c>
      <c r="I551" s="20" t="s">
        <v>49</v>
      </c>
      <c r="J551" s="18" t="str">
        <f aca="false">IFERROR(INDEX(المرجع!$D$2:$D$19,MATCH($I551,المرجع!$E$2:$E$19,0)),"")</f>
        <v>الأهداف ومؤشرات الأداء</v>
      </c>
      <c r="K551" s="20" t="s">
        <v>94</v>
      </c>
      <c r="L551" s="21" t="str">
        <f aca="false">IFERROR(INDEX('نقاط التحقق'!$G$2:$G$31,MATCH($K551,'نقاط التحقق'!$A$2:$A$31,0))&amp;"","")</f>
        <v>نشر الأهداف التشغيلية على موظفي الوحدة التنظيمية</v>
      </c>
      <c r="M551" s="17" t="n">
        <v>70</v>
      </c>
      <c r="N551" s="17" t="n">
        <v>100</v>
      </c>
      <c r="O551" s="19" t="str">
        <f aca="false">IF($M551="","غير مقيّمة",IF($M551&gt;المرجع!$K$3,"مستوفاة بشكل متقدم",IF($M551&lt;=المرجع!$K$2,"مستوفاة بشكل أولي","مستوفاة بشكل جزئي")))</f>
        <v>مستوفاة بشكل جزئي</v>
      </c>
      <c r="P551" s="22"/>
    </row>
    <row r="552" customFormat="false" ht="15" hidden="false" customHeight="true" outlineLevel="0" collapsed="false">
      <c r="A552" s="20" t="s">
        <v>1366</v>
      </c>
      <c r="B552" s="20" t="s">
        <v>232</v>
      </c>
      <c r="C552" s="19" t="str">
        <f aca="false">IFERROR(INDEX('قائمة الوحدات'!$B$2:$B$41,MATCH($B552,'قائمة الوحدات'!$A$2:$A$41,0)),"")</f>
        <v>MIL</v>
      </c>
      <c r="D552" s="18" t="str">
        <f aca="false">IFERROR(INDEX('قائمة الوحدات'!$C$2:$C$41,MATCH($B552,'قائمة الوحدات'!$A$2:$A$41,0)),"")</f>
        <v>الجهاز العسكري</v>
      </c>
      <c r="E552" s="18" t="str">
        <f aca="false">IFERROR(INDEX('قائمة الوحدات'!$D$2:$D$41,MATCH($B552,'قائمة الوحدات'!$A$2:$A$41,0)),"")</f>
        <v>الإدارة العامة للمالية والميزانية العسكرية</v>
      </c>
      <c r="F552" s="18" t="str">
        <f aca="false">IFERROR(INDEX('قائمة الوحدات'!$F$2:$F$41,MATCH($B552,'قائمة الوحدات'!$A$2:$A$41,0)),"")</f>
        <v>الإدارة العامة للمالية والميزانية العسكرية</v>
      </c>
      <c r="G552" s="20" t="s">
        <v>62</v>
      </c>
      <c r="H552" s="18" t="str">
        <f aca="false">IFERROR(INDEX(المرجع!$A$2:$A$19,MATCH($G552,المرجع!$B$2:$B$19,0)),"")</f>
        <v>البناء المؤسسي</v>
      </c>
      <c r="I552" s="20" t="s">
        <v>52</v>
      </c>
      <c r="J552" s="18" t="str">
        <f aca="false">IFERROR(INDEX(المرجع!$D$2:$D$19,MATCH($I552,المرجع!$E$2:$E$19,0)),"")</f>
        <v>الحوكمة</v>
      </c>
      <c r="K552" s="20" t="s">
        <v>96</v>
      </c>
      <c r="L552" s="21" t="str">
        <f aca="false">IFERROR(INDEX('نقاط التحقق'!$G$2:$G$31,MATCH($K552,'نقاط التحقق'!$A$2:$A$31,0))&amp;"","")</f>
        <v>مصفوفة صلاحيات معتمدة ومعممة على أصحاب المصلحة</v>
      </c>
      <c r="M552" s="17" t="n">
        <v>65</v>
      </c>
      <c r="N552" s="17" t="n">
        <v>95</v>
      </c>
      <c r="O552" s="19" t="str">
        <f aca="false">IF($M552="","غير مقيّمة",IF($M552&gt;المرجع!$K$3,"مستوفاة بشكل متقدم",IF($M552&lt;=المرجع!$K$2,"مستوفاة بشكل أولي","مستوفاة بشكل جزئي")))</f>
        <v>مستوفاة بشكل جزئي</v>
      </c>
      <c r="P552" s="22"/>
    </row>
    <row r="553" customFormat="false" ht="15" hidden="false" customHeight="true" outlineLevel="0" collapsed="false">
      <c r="A553" s="20" t="s">
        <v>1367</v>
      </c>
      <c r="B553" s="20" t="s">
        <v>232</v>
      </c>
      <c r="C553" s="19" t="str">
        <f aca="false">IFERROR(INDEX('قائمة الوحدات'!$B$2:$B$41,MATCH($B553,'قائمة الوحدات'!$A$2:$A$41,0)),"")</f>
        <v>MIL</v>
      </c>
      <c r="D553" s="18" t="str">
        <f aca="false">IFERROR(INDEX('قائمة الوحدات'!$C$2:$C$41,MATCH($B553,'قائمة الوحدات'!$A$2:$A$41,0)),"")</f>
        <v>الجهاز العسكري</v>
      </c>
      <c r="E553" s="18" t="str">
        <f aca="false">IFERROR(INDEX('قائمة الوحدات'!$D$2:$D$41,MATCH($B553,'قائمة الوحدات'!$A$2:$A$41,0)),"")</f>
        <v>الإدارة العامة للمالية والميزانية العسكرية</v>
      </c>
      <c r="F553" s="18" t="str">
        <f aca="false">IFERROR(INDEX('قائمة الوحدات'!$F$2:$F$41,MATCH($B553,'قائمة الوحدات'!$A$2:$A$41,0)),"")</f>
        <v>الإدارة العامة للمالية والميزانية العسكرية</v>
      </c>
      <c r="G553" s="20" t="s">
        <v>62</v>
      </c>
      <c r="H553" s="18" t="str">
        <f aca="false">IFERROR(INDEX(المرجع!$A$2:$A$19,MATCH($G553,المرجع!$B$2:$B$19,0)),"")</f>
        <v>البناء المؤسسي</v>
      </c>
      <c r="I553" s="20" t="s">
        <v>52</v>
      </c>
      <c r="J553" s="18" t="str">
        <f aca="false">IFERROR(INDEX(المرجع!$D$2:$D$19,MATCH($I553,المرجع!$E$2:$E$19,0)),"")</f>
        <v>الحوكمة</v>
      </c>
      <c r="K553" s="20" t="s">
        <v>98</v>
      </c>
      <c r="L553" s="21" t="str">
        <f aca="false">IFERROR(INDEX('نقاط التحقق'!$G$2:$G$31,MATCH($K553,'نقاط التحقق'!$A$2:$A$31,0))&amp;"","")</f>
        <v>سياسات معتمدة للتي تملكها الوحدة التنظيمية</v>
      </c>
      <c r="M553" s="17" t="n">
        <v>75</v>
      </c>
      <c r="N553" s="17" t="n">
        <v>80</v>
      </c>
      <c r="O553" s="19" t="str">
        <f aca="false">IF($M553="","غير مقيّمة",IF($M553&gt;المرجع!$K$3,"مستوفاة بشكل متقدم",IF($M553&lt;=المرجع!$K$2,"مستوفاة بشكل أولي","مستوفاة بشكل جزئي")))</f>
        <v>مستوفاة بشكل متقدم</v>
      </c>
      <c r="P553" s="22"/>
    </row>
    <row r="554" customFormat="false" ht="15" hidden="false" customHeight="true" outlineLevel="0" collapsed="false">
      <c r="A554" s="20" t="s">
        <v>1368</v>
      </c>
      <c r="B554" s="20" t="s">
        <v>232</v>
      </c>
      <c r="C554" s="19" t="str">
        <f aca="false">IFERROR(INDEX('قائمة الوحدات'!$B$2:$B$41,MATCH($B554,'قائمة الوحدات'!$A$2:$A$41,0)),"")</f>
        <v>MIL</v>
      </c>
      <c r="D554" s="18" t="str">
        <f aca="false">IFERROR(INDEX('قائمة الوحدات'!$C$2:$C$41,MATCH($B554,'قائمة الوحدات'!$A$2:$A$41,0)),"")</f>
        <v>الجهاز العسكري</v>
      </c>
      <c r="E554" s="18" t="str">
        <f aca="false">IFERROR(INDEX('قائمة الوحدات'!$D$2:$D$41,MATCH($B554,'قائمة الوحدات'!$A$2:$A$41,0)),"")</f>
        <v>الإدارة العامة للمالية والميزانية العسكرية</v>
      </c>
      <c r="F554" s="18" t="str">
        <f aca="false">IFERROR(INDEX('قائمة الوحدات'!$F$2:$F$41,MATCH($B554,'قائمة الوحدات'!$A$2:$A$41,0)),"")</f>
        <v>الإدارة العامة للمالية والميزانية العسكرية</v>
      </c>
      <c r="G554" s="20" t="s">
        <v>62</v>
      </c>
      <c r="H554" s="18" t="str">
        <f aca="false">IFERROR(INDEX(المرجع!$A$2:$A$19,MATCH($G554,المرجع!$B$2:$B$19,0)),"")</f>
        <v>البناء المؤسسي</v>
      </c>
      <c r="I554" s="20" t="s">
        <v>52</v>
      </c>
      <c r="J554" s="18" t="str">
        <f aca="false">IFERROR(INDEX(المرجع!$D$2:$D$19,MATCH($I554,المرجع!$E$2:$E$19,0)),"")</f>
        <v>الحوكمة</v>
      </c>
      <c r="K554" s="20" t="s">
        <v>100</v>
      </c>
      <c r="L554" s="21" t="str">
        <f aca="false">IFERROR(INDEX('نقاط التحقق'!$G$2:$G$31,MATCH($K554,'نقاط التحقق'!$A$2:$A$31,0))&amp;"","")</f>
        <v>قرار تشكيل معتمد للجان ذات العلاقة</v>
      </c>
      <c r="M554" s="17" t="n">
        <v>45</v>
      </c>
      <c r="N554" s="17" t="n">
        <v>80</v>
      </c>
      <c r="O554" s="19" t="str">
        <f aca="false">IF($M554="","غير مقيّمة",IF($M554&gt;المرجع!$K$3,"مستوفاة بشكل متقدم",IF($M554&lt;=المرجع!$K$2,"مستوفاة بشكل أولي","مستوفاة بشكل جزئي")))</f>
        <v>مستوفاة بشكل جزئي</v>
      </c>
      <c r="P554" s="22"/>
    </row>
    <row r="555" customFormat="false" ht="15" hidden="false" customHeight="true" outlineLevel="0" collapsed="false">
      <c r="A555" s="20" t="s">
        <v>1369</v>
      </c>
      <c r="B555" s="20" t="s">
        <v>232</v>
      </c>
      <c r="C555" s="19" t="str">
        <f aca="false">IFERROR(INDEX('قائمة الوحدات'!$B$2:$B$41,MATCH($B555,'قائمة الوحدات'!$A$2:$A$41,0)),"")</f>
        <v>MIL</v>
      </c>
      <c r="D555" s="18" t="str">
        <f aca="false">IFERROR(INDEX('قائمة الوحدات'!$C$2:$C$41,MATCH($B555,'قائمة الوحدات'!$A$2:$A$41,0)),"")</f>
        <v>الجهاز العسكري</v>
      </c>
      <c r="E555" s="18" t="str">
        <f aca="false">IFERROR(INDEX('قائمة الوحدات'!$D$2:$D$41,MATCH($B555,'قائمة الوحدات'!$A$2:$A$41,0)),"")</f>
        <v>الإدارة العامة للمالية والميزانية العسكرية</v>
      </c>
      <c r="F555" s="18" t="str">
        <f aca="false">IFERROR(INDEX('قائمة الوحدات'!$F$2:$F$41,MATCH($B555,'قائمة الوحدات'!$A$2:$A$41,0)),"")</f>
        <v>الإدارة العامة للمالية والميزانية العسكرية</v>
      </c>
      <c r="G555" s="20" t="s">
        <v>62</v>
      </c>
      <c r="H555" s="18" t="str">
        <f aca="false">IFERROR(INDEX(المرجع!$A$2:$A$19,MATCH($G555,المرجع!$B$2:$B$19,0)),"")</f>
        <v>البناء المؤسسي</v>
      </c>
      <c r="I555" s="20" t="s">
        <v>55</v>
      </c>
      <c r="J555" s="18" t="str">
        <f aca="false">IFERROR(INDEX(المرجع!$D$2:$D$19,MATCH($I555,المرجع!$E$2:$E$19,0)),"")</f>
        <v>التنظيم</v>
      </c>
      <c r="K555" s="20" t="s">
        <v>102</v>
      </c>
      <c r="L555" s="21" t="str">
        <f aca="false">IFERROR(INDEX('نقاط التحقق'!$G$2:$G$31,MATCH($K555,'نقاط التحقق'!$A$2:$A$31,0))&amp;"","")</f>
        <v>هيكل تنظيمي معتمد من صاحب الصلاحية</v>
      </c>
      <c r="M555" s="17" t="n">
        <v>90</v>
      </c>
      <c r="N555" s="17" t="n">
        <v>95</v>
      </c>
      <c r="O555" s="19" t="str">
        <f aca="false">IF($M555="","غير مقيّمة",IF($M555&gt;المرجع!$K$3,"مستوفاة بشكل متقدم",IF($M555&lt;=المرجع!$K$2,"مستوفاة بشكل أولي","مستوفاة بشكل جزئي")))</f>
        <v>مستوفاة بشكل متقدم</v>
      </c>
      <c r="P555" s="22"/>
    </row>
    <row r="556" customFormat="false" ht="15" hidden="false" customHeight="true" outlineLevel="0" collapsed="false">
      <c r="A556" s="20" t="s">
        <v>1370</v>
      </c>
      <c r="B556" s="20" t="s">
        <v>232</v>
      </c>
      <c r="C556" s="19" t="str">
        <f aca="false">IFERROR(INDEX('قائمة الوحدات'!$B$2:$B$41,MATCH($B556,'قائمة الوحدات'!$A$2:$A$41,0)),"")</f>
        <v>MIL</v>
      </c>
      <c r="D556" s="18" t="str">
        <f aca="false">IFERROR(INDEX('قائمة الوحدات'!$C$2:$C$41,MATCH($B556,'قائمة الوحدات'!$A$2:$A$41,0)),"")</f>
        <v>الجهاز العسكري</v>
      </c>
      <c r="E556" s="18" t="str">
        <f aca="false">IFERROR(INDEX('قائمة الوحدات'!$D$2:$D$41,MATCH($B556,'قائمة الوحدات'!$A$2:$A$41,0)),"")</f>
        <v>الإدارة العامة للمالية والميزانية العسكرية</v>
      </c>
      <c r="F556" s="18" t="str">
        <f aca="false">IFERROR(INDEX('قائمة الوحدات'!$F$2:$F$41,MATCH($B556,'قائمة الوحدات'!$A$2:$A$41,0)),"")</f>
        <v>الإدارة العامة للمالية والميزانية العسكرية</v>
      </c>
      <c r="G556" s="20" t="s">
        <v>62</v>
      </c>
      <c r="H556" s="18" t="str">
        <f aca="false">IFERROR(INDEX(المرجع!$A$2:$A$19,MATCH($G556,المرجع!$B$2:$B$19,0)),"")</f>
        <v>البناء المؤسسي</v>
      </c>
      <c r="I556" s="20" t="s">
        <v>55</v>
      </c>
      <c r="J556" s="18" t="str">
        <f aca="false">IFERROR(INDEX(المرجع!$D$2:$D$19,MATCH($I556,المرجع!$E$2:$E$19,0)),"")</f>
        <v>التنظيم</v>
      </c>
      <c r="K556" s="20" t="s">
        <v>104</v>
      </c>
      <c r="L556" s="21" t="str">
        <f aca="false">IFERROR(INDEX('نقاط التحقق'!$G$2:$G$31,MATCH($K556,'نقاط التحقق'!$A$2:$A$31,0))&amp;"","")</f>
        <v>هيكل تنظيمي منشأ على نظام القوى العاملة</v>
      </c>
      <c r="M556" s="17" t="n">
        <v>95</v>
      </c>
      <c r="N556" s="17" t="n">
        <v>100</v>
      </c>
      <c r="O556" s="19" t="str">
        <f aca="false">IF($M556="","غير مقيّمة",IF($M556&gt;المرجع!$K$3,"مستوفاة بشكل متقدم",IF($M556&lt;=المرجع!$K$2,"مستوفاة بشكل أولي","مستوفاة بشكل جزئي")))</f>
        <v>مستوفاة بشكل متقدم</v>
      </c>
      <c r="P556" s="22"/>
    </row>
    <row r="557" customFormat="false" ht="15" hidden="false" customHeight="true" outlineLevel="0" collapsed="false">
      <c r="A557" s="20" t="s">
        <v>1371</v>
      </c>
      <c r="B557" s="20" t="s">
        <v>232</v>
      </c>
      <c r="C557" s="19" t="str">
        <f aca="false">IFERROR(INDEX('قائمة الوحدات'!$B$2:$B$41,MATCH($B557,'قائمة الوحدات'!$A$2:$A$41,0)),"")</f>
        <v>MIL</v>
      </c>
      <c r="D557" s="18" t="str">
        <f aca="false">IFERROR(INDEX('قائمة الوحدات'!$C$2:$C$41,MATCH($B557,'قائمة الوحدات'!$A$2:$A$41,0)),"")</f>
        <v>الجهاز العسكري</v>
      </c>
      <c r="E557" s="18" t="str">
        <f aca="false">IFERROR(INDEX('قائمة الوحدات'!$D$2:$D$41,MATCH($B557,'قائمة الوحدات'!$A$2:$A$41,0)),"")</f>
        <v>الإدارة العامة للمالية والميزانية العسكرية</v>
      </c>
      <c r="F557" s="18" t="str">
        <f aca="false">IFERROR(INDEX('قائمة الوحدات'!$F$2:$F$41,MATCH($B557,'قائمة الوحدات'!$A$2:$A$41,0)),"")</f>
        <v>الإدارة العامة للمالية والميزانية العسكرية</v>
      </c>
      <c r="G557" s="20" t="s">
        <v>62</v>
      </c>
      <c r="H557" s="18" t="str">
        <f aca="false">IFERROR(INDEX(المرجع!$A$2:$A$19,MATCH($G557,المرجع!$B$2:$B$19,0)),"")</f>
        <v>البناء المؤسسي</v>
      </c>
      <c r="I557" s="20" t="s">
        <v>55</v>
      </c>
      <c r="J557" s="18" t="str">
        <f aca="false">IFERROR(INDEX(المرجع!$D$2:$D$19,MATCH($I557,المرجع!$E$2:$E$19,0)),"")</f>
        <v>التنظيم</v>
      </c>
      <c r="K557" s="20" t="s">
        <v>106</v>
      </c>
      <c r="L557" s="21" t="str">
        <f aca="false">IFERROR(INDEX('نقاط التحقق'!$G$2:$G$31,MATCH($K557,'نقاط التحقق'!$A$2:$A$31,0))&amp;"","")</f>
        <v>الموظفون المحددون مسكّنون على الهيكل التنظيمي المستهدف</v>
      </c>
      <c r="M557" s="17" t="n">
        <v>100</v>
      </c>
      <c r="N557" s="17" t="n">
        <v>100</v>
      </c>
      <c r="O557" s="19" t="str">
        <f aca="false">IF($M557="","غير مقيّمة",IF($M557&gt;المرجع!$K$3,"مستوفاة بشكل متقدم",IF($M557&lt;=المرجع!$K$2,"مستوفاة بشكل أولي","مستوفاة بشكل جزئي")))</f>
        <v>مستوفاة بشكل متقدم</v>
      </c>
      <c r="P557" s="22"/>
    </row>
    <row r="558" customFormat="false" ht="15" hidden="false" customHeight="true" outlineLevel="0" collapsed="false">
      <c r="A558" s="20" t="s">
        <v>1372</v>
      </c>
      <c r="B558" s="20" t="s">
        <v>232</v>
      </c>
      <c r="C558" s="19" t="str">
        <f aca="false">IFERROR(INDEX('قائمة الوحدات'!$B$2:$B$41,MATCH($B558,'قائمة الوحدات'!$A$2:$A$41,0)),"")</f>
        <v>MIL</v>
      </c>
      <c r="D558" s="18" t="str">
        <f aca="false">IFERROR(INDEX('قائمة الوحدات'!$C$2:$C$41,MATCH($B558,'قائمة الوحدات'!$A$2:$A$41,0)),"")</f>
        <v>الجهاز العسكري</v>
      </c>
      <c r="E558" s="18" t="str">
        <f aca="false">IFERROR(INDEX('قائمة الوحدات'!$D$2:$D$41,MATCH($B558,'قائمة الوحدات'!$A$2:$A$41,0)),"")</f>
        <v>الإدارة العامة للمالية والميزانية العسكرية</v>
      </c>
      <c r="F558" s="18" t="str">
        <f aca="false">IFERROR(INDEX('قائمة الوحدات'!$F$2:$F$41,MATCH($B558,'قائمة الوحدات'!$A$2:$A$41,0)),"")</f>
        <v>الإدارة العامة للمالية والميزانية العسكرية</v>
      </c>
      <c r="G558" s="20" t="s">
        <v>62</v>
      </c>
      <c r="H558" s="18" t="str">
        <f aca="false">IFERROR(INDEX(المرجع!$A$2:$A$19,MATCH($G558,المرجع!$B$2:$B$19,0)),"")</f>
        <v>البناء المؤسسي</v>
      </c>
      <c r="I558" s="20" t="s">
        <v>57</v>
      </c>
      <c r="J558" s="18" t="str">
        <f aca="false">IFERROR(INDEX(المرجع!$D$2:$D$19,MATCH($I558,المرجع!$E$2:$E$19,0)),"")</f>
        <v>الموارد</v>
      </c>
      <c r="K558" s="20" t="s">
        <v>108</v>
      </c>
      <c r="L558" s="21" t="str">
        <f aca="false">IFERROR(INDEX('نقاط التحقق'!$G$2:$G$31,MATCH($K558,'نقاط التحقق'!$A$2:$A$31,0))&amp;"","")</f>
        <v>مدير الوحدة التنظيمية والموظفون الرئيسيون معينون/ملحقون</v>
      </c>
      <c r="M558" s="17" t="n">
        <v>40</v>
      </c>
      <c r="N558" s="17" t="n">
        <v>100</v>
      </c>
      <c r="O558" s="19" t="str">
        <f aca="false">IF($M558="","غير مقيّمة",IF($M558&gt;المرجع!$K$3,"مستوفاة بشكل متقدم",IF($M558&lt;=المرجع!$K$2,"مستوفاة بشكل أولي","مستوفاة بشكل جزئي")))</f>
        <v>مستوفاة بشكل جزئي</v>
      </c>
      <c r="P558" s="22"/>
    </row>
    <row r="559" customFormat="false" ht="15" hidden="false" customHeight="true" outlineLevel="0" collapsed="false">
      <c r="A559" s="20" t="s">
        <v>1373</v>
      </c>
      <c r="B559" s="20" t="s">
        <v>232</v>
      </c>
      <c r="C559" s="19" t="str">
        <f aca="false">IFERROR(INDEX('قائمة الوحدات'!$B$2:$B$41,MATCH($B559,'قائمة الوحدات'!$A$2:$A$41,0)),"")</f>
        <v>MIL</v>
      </c>
      <c r="D559" s="18" t="str">
        <f aca="false">IFERROR(INDEX('قائمة الوحدات'!$C$2:$C$41,MATCH($B559,'قائمة الوحدات'!$A$2:$A$41,0)),"")</f>
        <v>الجهاز العسكري</v>
      </c>
      <c r="E559" s="18" t="str">
        <f aca="false">IFERROR(INDEX('قائمة الوحدات'!$D$2:$D$41,MATCH($B559,'قائمة الوحدات'!$A$2:$A$41,0)),"")</f>
        <v>الإدارة العامة للمالية والميزانية العسكرية</v>
      </c>
      <c r="F559" s="18" t="str">
        <f aca="false">IFERROR(INDEX('قائمة الوحدات'!$F$2:$F$41,MATCH($B559,'قائمة الوحدات'!$A$2:$A$41,0)),"")</f>
        <v>الإدارة العامة للمالية والميزانية العسكرية</v>
      </c>
      <c r="G559" s="20" t="s">
        <v>62</v>
      </c>
      <c r="H559" s="18" t="str">
        <f aca="false">IFERROR(INDEX(المرجع!$A$2:$A$19,MATCH($G559,المرجع!$B$2:$B$19,0)),"")</f>
        <v>البناء المؤسسي</v>
      </c>
      <c r="I559" s="20" t="s">
        <v>57</v>
      </c>
      <c r="J559" s="18" t="str">
        <f aca="false">IFERROR(INDEX(المرجع!$D$2:$D$19,MATCH($I559,المرجع!$E$2:$E$19,0)),"")</f>
        <v>الموارد</v>
      </c>
      <c r="K559" s="20" t="s">
        <v>110</v>
      </c>
      <c r="L559" s="21" t="str">
        <f aca="false">IFERROR(INDEX('نقاط التحقق'!$G$2:$G$31,MATCH($K559,'نقاط التحقق'!$A$2:$A$31,0))&amp;"","")</f>
        <v>خطة توظيف وتدريب مستكملة</v>
      </c>
      <c r="M559" s="17" t="n">
        <v>40</v>
      </c>
      <c r="N559" s="17" t="n">
        <v>95</v>
      </c>
      <c r="O559" s="19" t="str">
        <f aca="false">IF($M559="","غير مقيّمة",IF($M559&gt;المرجع!$K$3,"مستوفاة بشكل متقدم",IF($M559&lt;=المرجع!$K$2,"مستوفاة بشكل أولي","مستوفاة بشكل جزئي")))</f>
        <v>مستوفاة بشكل جزئي</v>
      </c>
      <c r="P559" s="22"/>
    </row>
    <row r="560" customFormat="false" ht="15" hidden="false" customHeight="true" outlineLevel="0" collapsed="false">
      <c r="A560" s="20" t="s">
        <v>1374</v>
      </c>
      <c r="B560" s="20" t="s">
        <v>232</v>
      </c>
      <c r="C560" s="19" t="str">
        <f aca="false">IFERROR(INDEX('قائمة الوحدات'!$B$2:$B$41,MATCH($B560,'قائمة الوحدات'!$A$2:$A$41,0)),"")</f>
        <v>MIL</v>
      </c>
      <c r="D560" s="18" t="str">
        <f aca="false">IFERROR(INDEX('قائمة الوحدات'!$C$2:$C$41,MATCH($B560,'قائمة الوحدات'!$A$2:$A$41,0)),"")</f>
        <v>الجهاز العسكري</v>
      </c>
      <c r="E560" s="18" t="str">
        <f aca="false">IFERROR(INDEX('قائمة الوحدات'!$D$2:$D$41,MATCH($B560,'قائمة الوحدات'!$A$2:$A$41,0)),"")</f>
        <v>الإدارة العامة للمالية والميزانية العسكرية</v>
      </c>
      <c r="F560" s="18" t="str">
        <f aca="false">IFERROR(INDEX('قائمة الوحدات'!$F$2:$F$41,MATCH($B560,'قائمة الوحدات'!$A$2:$A$41,0)),"")</f>
        <v>الإدارة العامة للمالية والميزانية العسكرية</v>
      </c>
      <c r="G560" s="20" t="s">
        <v>62</v>
      </c>
      <c r="H560" s="18" t="str">
        <f aca="false">IFERROR(INDEX(المرجع!$A$2:$A$19,MATCH($G560,المرجع!$B$2:$B$19,0)),"")</f>
        <v>البناء المؤسسي</v>
      </c>
      <c r="I560" s="20" t="s">
        <v>57</v>
      </c>
      <c r="J560" s="18" t="str">
        <f aca="false">IFERROR(INDEX(المرجع!$D$2:$D$19,MATCH($I560,المرجع!$E$2:$E$19,0)),"")</f>
        <v>الموارد</v>
      </c>
      <c r="K560" s="20" t="s">
        <v>112</v>
      </c>
      <c r="L560" s="21" t="str">
        <f aca="false">IFERROR(INDEX('نقاط التحقق'!$G$2:$G$31,MATCH($K560,'نقاط التحقق'!$A$2:$A$31,0))&amp;"","")</f>
        <v>وجود مساحات مكتبية كافية</v>
      </c>
      <c r="M560" s="17" t="n">
        <v>60</v>
      </c>
      <c r="N560" s="17" t="n">
        <v>95</v>
      </c>
      <c r="O560" s="19" t="str">
        <f aca="false">IF($M560="","غير مقيّمة",IF($M560&gt;المرجع!$K$3,"مستوفاة بشكل متقدم",IF($M560&lt;=المرجع!$K$2,"مستوفاة بشكل أولي","مستوفاة بشكل جزئي")))</f>
        <v>مستوفاة بشكل جزئي</v>
      </c>
      <c r="P560" s="22"/>
    </row>
    <row r="561" customFormat="false" ht="15" hidden="false" customHeight="true" outlineLevel="0" collapsed="false">
      <c r="A561" s="20" t="s">
        <v>1375</v>
      </c>
      <c r="B561" s="20" t="s">
        <v>232</v>
      </c>
      <c r="C561" s="19" t="str">
        <f aca="false">IFERROR(INDEX('قائمة الوحدات'!$B$2:$B$41,MATCH($B561,'قائمة الوحدات'!$A$2:$A$41,0)),"")</f>
        <v>MIL</v>
      </c>
      <c r="D561" s="18" t="str">
        <f aca="false">IFERROR(INDEX('قائمة الوحدات'!$C$2:$C$41,MATCH($B561,'قائمة الوحدات'!$A$2:$A$41,0)),"")</f>
        <v>الجهاز العسكري</v>
      </c>
      <c r="E561" s="18" t="str">
        <f aca="false">IFERROR(INDEX('قائمة الوحدات'!$D$2:$D$41,MATCH($B561,'قائمة الوحدات'!$A$2:$A$41,0)),"")</f>
        <v>الإدارة العامة للمالية والميزانية العسكرية</v>
      </c>
      <c r="F561" s="18" t="str">
        <f aca="false">IFERROR(INDEX('قائمة الوحدات'!$F$2:$F$41,MATCH($B561,'قائمة الوحدات'!$A$2:$A$41,0)),"")</f>
        <v>الإدارة العامة للمالية والميزانية العسكرية</v>
      </c>
      <c r="G561" s="20" t="s">
        <v>62</v>
      </c>
      <c r="H561" s="18" t="str">
        <f aca="false">IFERROR(INDEX(المرجع!$A$2:$A$19,MATCH($G561,المرجع!$B$2:$B$19,0)),"")</f>
        <v>البناء المؤسسي</v>
      </c>
      <c r="I561" s="20" t="s">
        <v>57</v>
      </c>
      <c r="J561" s="18" t="str">
        <f aca="false">IFERROR(INDEX(المرجع!$D$2:$D$19,MATCH($I561,المرجع!$E$2:$E$19,0)),"")</f>
        <v>الموارد</v>
      </c>
      <c r="K561" s="20" t="s">
        <v>114</v>
      </c>
      <c r="L561" s="21" t="str">
        <f aca="false">IFERROR(INDEX('نقاط التحقق'!$G$2:$G$31,MATCH($K561,'نقاط التحقق'!$A$2:$A$31,0))&amp;"","")</f>
        <v>وجود الاحتياجات التقنية الأساسية</v>
      </c>
      <c r="M561" s="17" t="n">
        <v>70</v>
      </c>
      <c r="N561" s="17" t="n">
        <v>85</v>
      </c>
      <c r="O561" s="19" t="str">
        <f aca="false">IF($M561="","غير مقيّمة",IF($M561&gt;المرجع!$K$3,"مستوفاة بشكل متقدم",IF($M561&lt;=المرجع!$K$2,"مستوفاة بشكل أولي","مستوفاة بشكل جزئي")))</f>
        <v>مستوفاة بشكل جزئي</v>
      </c>
      <c r="P561" s="22"/>
    </row>
    <row r="562" customFormat="false" ht="15" hidden="false" customHeight="true" outlineLevel="0" collapsed="false">
      <c r="A562" s="20" t="s">
        <v>1376</v>
      </c>
      <c r="B562" s="20" t="s">
        <v>232</v>
      </c>
      <c r="C562" s="19" t="str">
        <f aca="false">IFERROR(INDEX('قائمة الوحدات'!$B$2:$B$41,MATCH($B562,'قائمة الوحدات'!$A$2:$A$41,0)),"")</f>
        <v>MIL</v>
      </c>
      <c r="D562" s="18" t="str">
        <f aca="false">IFERROR(INDEX('قائمة الوحدات'!$C$2:$C$41,MATCH($B562,'قائمة الوحدات'!$A$2:$A$41,0)),"")</f>
        <v>الجهاز العسكري</v>
      </c>
      <c r="E562" s="18" t="str">
        <f aca="false">IFERROR(INDEX('قائمة الوحدات'!$D$2:$D$41,MATCH($B562,'قائمة الوحدات'!$A$2:$A$41,0)),"")</f>
        <v>الإدارة العامة للمالية والميزانية العسكرية</v>
      </c>
      <c r="F562" s="18" t="str">
        <f aca="false">IFERROR(INDEX('قائمة الوحدات'!$F$2:$F$41,MATCH($B562,'قائمة الوحدات'!$A$2:$A$41,0)),"")</f>
        <v>الإدارة العامة للمالية والميزانية العسكرية</v>
      </c>
      <c r="G562" s="20" t="s">
        <v>62</v>
      </c>
      <c r="H562" s="18" t="str">
        <f aca="false">IFERROR(INDEX(المرجع!$A$2:$A$19,MATCH($G562,المرجع!$B$2:$B$19,0)),"")</f>
        <v>البناء المؤسسي</v>
      </c>
      <c r="I562" s="20" t="s">
        <v>60</v>
      </c>
      <c r="J562" s="18" t="str">
        <f aca="false">IFERROR(INDEX(المرجع!$D$2:$D$19,MATCH($I562,المرجع!$E$2:$E$19,0)),"")</f>
        <v>الإجراءات</v>
      </c>
      <c r="K562" s="20" t="s">
        <v>116</v>
      </c>
      <c r="L562" s="21" t="str">
        <f aca="false">IFERROR(INDEX('نقاط التحقق'!$G$2:$G$31,MATCH($K562,'نقاط التحقق'!$A$2:$A$31,0))&amp;"","")</f>
        <v>إجراءات معتمدة للوحدة التنظيمية</v>
      </c>
      <c r="M562" s="17" t="n">
        <v>56</v>
      </c>
      <c r="N562" s="17" t="n">
        <v>100</v>
      </c>
      <c r="O562" s="19" t="str">
        <f aca="false">IF($M562="","غير مقيّمة",IF($M562&gt;المرجع!$K$3,"مستوفاة بشكل متقدم",IF($M562&lt;=المرجع!$K$2,"مستوفاة بشكل أولي","مستوفاة بشكل جزئي")))</f>
        <v>مستوفاة بشكل جزئي</v>
      </c>
      <c r="P562" s="22"/>
    </row>
    <row r="563" customFormat="false" ht="15" hidden="false" customHeight="true" outlineLevel="0" collapsed="false">
      <c r="A563" s="20" t="s">
        <v>1377</v>
      </c>
      <c r="B563" s="20" t="s">
        <v>232</v>
      </c>
      <c r="C563" s="19" t="str">
        <f aca="false">IFERROR(INDEX('قائمة الوحدات'!$B$2:$B$41,MATCH($B563,'قائمة الوحدات'!$A$2:$A$41,0)),"")</f>
        <v>MIL</v>
      </c>
      <c r="D563" s="18" t="str">
        <f aca="false">IFERROR(INDEX('قائمة الوحدات'!$C$2:$C$41,MATCH($B563,'قائمة الوحدات'!$A$2:$A$41,0)),"")</f>
        <v>الجهاز العسكري</v>
      </c>
      <c r="E563" s="18" t="str">
        <f aca="false">IFERROR(INDEX('قائمة الوحدات'!$D$2:$D$41,MATCH($B563,'قائمة الوحدات'!$A$2:$A$41,0)),"")</f>
        <v>الإدارة العامة للمالية والميزانية العسكرية</v>
      </c>
      <c r="F563" s="18" t="str">
        <f aca="false">IFERROR(INDEX('قائمة الوحدات'!$F$2:$F$41,MATCH($B563,'قائمة الوحدات'!$A$2:$A$41,0)),"")</f>
        <v>الإدارة العامة للمالية والميزانية العسكرية</v>
      </c>
      <c r="G563" s="20" t="s">
        <v>62</v>
      </c>
      <c r="H563" s="18" t="str">
        <f aca="false">IFERROR(INDEX(المرجع!$A$2:$A$19,MATCH($G563,المرجع!$B$2:$B$19,0)),"")</f>
        <v>البناء المؤسسي</v>
      </c>
      <c r="I563" s="20" t="s">
        <v>69</v>
      </c>
      <c r="J563" s="18" t="str">
        <f aca="false">IFERROR(INDEX(المرجع!$D$2:$D$19,MATCH($I563,المرجع!$E$2:$E$19,0)),"")</f>
        <v>إنتاج المخرج الأول</v>
      </c>
      <c r="K563" s="20" t="s">
        <v>118</v>
      </c>
      <c r="L563" s="21" t="str">
        <f aca="false">IFERROR(INDEX('نقاط التحقق'!$G$2:$G$31,MATCH($K563,'نقاط التحقق'!$A$2:$A$31,0))&amp;"","")</f>
        <v>إنتاج المخرج الأول من قبل الوحدة التنظيمية</v>
      </c>
      <c r="M563" s="17" t="n">
        <v>51</v>
      </c>
      <c r="N563" s="17" t="n">
        <v>80</v>
      </c>
      <c r="O563" s="19" t="str">
        <f aca="false">IF($M563="","غير مقيّمة",IF($M563&gt;المرجع!$K$3,"مستوفاة بشكل متقدم",IF($M563&lt;=المرجع!$K$2,"مستوفاة بشكل أولي","مستوفاة بشكل جزئي")))</f>
        <v>مستوفاة بشكل جزئي</v>
      </c>
      <c r="P563" s="22"/>
    </row>
    <row r="564" customFormat="false" ht="15" hidden="false" customHeight="true" outlineLevel="0" collapsed="false">
      <c r="A564" s="20" t="s">
        <v>1378</v>
      </c>
      <c r="B564" s="20" t="s">
        <v>232</v>
      </c>
      <c r="C564" s="19" t="str">
        <f aca="false">IFERROR(INDEX('قائمة الوحدات'!$B$2:$B$41,MATCH($B564,'قائمة الوحدات'!$A$2:$A$41,0)),"")</f>
        <v>MIL</v>
      </c>
      <c r="D564" s="18" t="str">
        <f aca="false">IFERROR(INDEX('قائمة الوحدات'!$C$2:$C$41,MATCH($B564,'قائمة الوحدات'!$A$2:$A$41,0)),"")</f>
        <v>الجهاز العسكري</v>
      </c>
      <c r="E564" s="18" t="str">
        <f aca="false">IFERROR(INDEX('قائمة الوحدات'!$D$2:$D$41,MATCH($B564,'قائمة الوحدات'!$A$2:$A$41,0)),"")</f>
        <v>الإدارة العامة للمالية والميزانية العسكرية</v>
      </c>
      <c r="F564" s="18" t="str">
        <f aca="false">IFERROR(INDEX('قائمة الوحدات'!$F$2:$F$41,MATCH($B564,'قائمة الوحدات'!$A$2:$A$41,0)),"")</f>
        <v>الإدارة العامة للمالية والميزانية العسكرية</v>
      </c>
      <c r="G564" s="20" t="s">
        <v>66</v>
      </c>
      <c r="H564" s="18" t="str">
        <f aca="false">IFERROR(INDEX(المرجع!$A$2:$A$19,MATCH($G564,المرجع!$B$2:$B$19,0)),"")</f>
        <v>التشغيل</v>
      </c>
      <c r="I564" s="20" t="s">
        <v>49</v>
      </c>
      <c r="J564" s="18" t="str">
        <f aca="false">IFERROR(INDEX(المرجع!$D$2:$D$19,MATCH($I564,المرجع!$E$2:$E$19,0)),"")</f>
        <v>الأهداف ومؤشرات الأداء</v>
      </c>
      <c r="K564" s="20" t="s">
        <v>120</v>
      </c>
      <c r="L564" s="21" t="str">
        <f aca="false">IFERROR(INDEX('نقاط التحقق'!$G$2:$G$31,MATCH($K564,'نقاط التحقق'!$A$2:$A$31,0))&amp;"","")</f>
        <v>تحرك مؤشرات الأداء التشغيلي للوحدة التنظيمية بشكل إيجابي</v>
      </c>
      <c r="M564" s="17" t="n">
        <v>25</v>
      </c>
      <c r="N564" s="17" t="n">
        <v>85</v>
      </c>
      <c r="O564" s="19" t="str">
        <f aca="false">IF($M564="","غير مقيّمة",IF($M564&gt;المرجع!$K$3,"مستوفاة بشكل متقدم",IF($M564&lt;=المرجع!$K$2,"مستوفاة بشكل أولي","مستوفاة بشكل جزئي")))</f>
        <v>مستوفاة بشكل أولي</v>
      </c>
      <c r="P564" s="22"/>
    </row>
    <row r="565" customFormat="false" ht="15" hidden="false" customHeight="true" outlineLevel="0" collapsed="false">
      <c r="A565" s="20" t="s">
        <v>1379</v>
      </c>
      <c r="B565" s="20" t="s">
        <v>232</v>
      </c>
      <c r="C565" s="19" t="str">
        <f aca="false">IFERROR(INDEX('قائمة الوحدات'!$B$2:$B$41,MATCH($B565,'قائمة الوحدات'!$A$2:$A$41,0)),"")</f>
        <v>MIL</v>
      </c>
      <c r="D565" s="18" t="str">
        <f aca="false">IFERROR(INDEX('قائمة الوحدات'!$C$2:$C$41,MATCH($B565,'قائمة الوحدات'!$A$2:$A$41,0)),"")</f>
        <v>الجهاز العسكري</v>
      </c>
      <c r="E565" s="18" t="str">
        <f aca="false">IFERROR(INDEX('قائمة الوحدات'!$D$2:$D$41,MATCH($B565,'قائمة الوحدات'!$A$2:$A$41,0)),"")</f>
        <v>الإدارة العامة للمالية والميزانية العسكرية</v>
      </c>
      <c r="F565" s="18" t="str">
        <f aca="false">IFERROR(INDEX('قائمة الوحدات'!$F$2:$F$41,MATCH($B565,'قائمة الوحدات'!$A$2:$A$41,0)),"")</f>
        <v>الإدارة العامة للمالية والميزانية العسكرية</v>
      </c>
      <c r="G565" s="20" t="s">
        <v>66</v>
      </c>
      <c r="H565" s="18" t="str">
        <f aca="false">IFERROR(INDEX(المرجع!$A$2:$A$19,MATCH($G565,المرجع!$B$2:$B$19,0)),"")</f>
        <v>التشغيل</v>
      </c>
      <c r="I565" s="20" t="s">
        <v>49</v>
      </c>
      <c r="J565" s="18" t="str">
        <f aca="false">IFERROR(INDEX(المرجع!$D$2:$D$19,MATCH($I565,المرجع!$E$2:$E$19,0)),"")</f>
        <v>الأهداف ومؤشرات الأداء</v>
      </c>
      <c r="K565" s="20" t="s">
        <v>122</v>
      </c>
      <c r="L565" s="21" t="str">
        <f aca="false">IFERROR(INDEX('نقاط التحقق'!$G$2:$G$31,MATCH($K565,'نقاط التحقق'!$A$2:$A$31,0))&amp;"","")</f>
        <v>خطة سنوية معتمدة للوحدة التنظيمية</v>
      </c>
      <c r="M565" s="17" t="n">
        <v>5</v>
      </c>
      <c r="N565" s="17" t="n">
        <v>85</v>
      </c>
      <c r="O565" s="19" t="str">
        <f aca="false">IF($M565="","غير مقيّمة",IF($M565&gt;المرجع!$K$3,"مستوفاة بشكل متقدم",IF($M565&lt;=المرجع!$K$2,"مستوفاة بشكل أولي","مستوفاة بشكل جزئي")))</f>
        <v>مستوفاة بشكل أولي</v>
      </c>
      <c r="P565" s="22"/>
    </row>
    <row r="566" customFormat="false" ht="15" hidden="false" customHeight="true" outlineLevel="0" collapsed="false">
      <c r="A566" s="20" t="s">
        <v>1380</v>
      </c>
      <c r="B566" s="20" t="s">
        <v>232</v>
      </c>
      <c r="C566" s="19" t="str">
        <f aca="false">IFERROR(INDEX('قائمة الوحدات'!$B$2:$B$41,MATCH($B566,'قائمة الوحدات'!$A$2:$A$41,0)),"")</f>
        <v>MIL</v>
      </c>
      <c r="D566" s="18" t="str">
        <f aca="false">IFERROR(INDEX('قائمة الوحدات'!$C$2:$C$41,MATCH($B566,'قائمة الوحدات'!$A$2:$A$41,0)),"")</f>
        <v>الجهاز العسكري</v>
      </c>
      <c r="E566" s="18" t="str">
        <f aca="false">IFERROR(INDEX('قائمة الوحدات'!$D$2:$D$41,MATCH($B566,'قائمة الوحدات'!$A$2:$A$41,0)),"")</f>
        <v>الإدارة العامة للمالية والميزانية العسكرية</v>
      </c>
      <c r="F566" s="18" t="str">
        <f aca="false">IFERROR(INDEX('قائمة الوحدات'!$F$2:$F$41,MATCH($B566,'قائمة الوحدات'!$A$2:$A$41,0)),"")</f>
        <v>الإدارة العامة للمالية والميزانية العسكرية</v>
      </c>
      <c r="G566" s="20" t="s">
        <v>66</v>
      </c>
      <c r="H566" s="18" t="str">
        <f aca="false">IFERROR(INDEX(المرجع!$A$2:$A$19,MATCH($G566,المرجع!$B$2:$B$19,0)),"")</f>
        <v>التشغيل</v>
      </c>
      <c r="I566" s="20" t="s">
        <v>52</v>
      </c>
      <c r="J566" s="18" t="str">
        <f aca="false">IFERROR(INDEX(المرجع!$D$2:$D$19,MATCH($I566,المرجع!$E$2:$E$19,0)),"")</f>
        <v>الحوكمة</v>
      </c>
      <c r="K566" s="20" t="s">
        <v>124</v>
      </c>
      <c r="L566" s="21" t="str">
        <f aca="false">IFERROR(INDEX('نقاط التحقق'!$G$2:$G$31,MATCH($K566,'نقاط التحقق'!$A$2:$A$31,0))&amp;"","")</f>
        <v>محاضر لجان موثقة</v>
      </c>
      <c r="M566" s="17" t="n">
        <v>70</v>
      </c>
      <c r="N566" s="17" t="n">
        <v>85</v>
      </c>
      <c r="O566" s="19" t="str">
        <f aca="false">IF($M566="","غير مقيّمة",IF($M566&gt;المرجع!$K$3,"مستوفاة بشكل متقدم",IF($M566&lt;=المرجع!$K$2,"مستوفاة بشكل أولي","مستوفاة بشكل جزئي")))</f>
        <v>مستوفاة بشكل جزئي</v>
      </c>
      <c r="P566" s="22"/>
    </row>
    <row r="567" customFormat="false" ht="15" hidden="false" customHeight="true" outlineLevel="0" collapsed="false">
      <c r="A567" s="20" t="s">
        <v>1381</v>
      </c>
      <c r="B567" s="20" t="s">
        <v>232</v>
      </c>
      <c r="C567" s="19" t="str">
        <f aca="false">IFERROR(INDEX('قائمة الوحدات'!$B$2:$B$41,MATCH($B567,'قائمة الوحدات'!$A$2:$A$41,0)),"")</f>
        <v>MIL</v>
      </c>
      <c r="D567" s="18" t="str">
        <f aca="false">IFERROR(INDEX('قائمة الوحدات'!$C$2:$C$41,MATCH($B567,'قائمة الوحدات'!$A$2:$A$41,0)),"")</f>
        <v>الجهاز العسكري</v>
      </c>
      <c r="E567" s="18" t="str">
        <f aca="false">IFERROR(INDEX('قائمة الوحدات'!$D$2:$D$41,MATCH($B567,'قائمة الوحدات'!$A$2:$A$41,0)),"")</f>
        <v>الإدارة العامة للمالية والميزانية العسكرية</v>
      </c>
      <c r="F567" s="18" t="str">
        <f aca="false">IFERROR(INDEX('قائمة الوحدات'!$F$2:$F$41,MATCH($B567,'قائمة الوحدات'!$A$2:$A$41,0)),"")</f>
        <v>الإدارة العامة للمالية والميزانية العسكرية</v>
      </c>
      <c r="G567" s="20" t="s">
        <v>66</v>
      </c>
      <c r="H567" s="18" t="str">
        <f aca="false">IFERROR(INDEX(المرجع!$A$2:$A$19,MATCH($G567,المرجع!$B$2:$B$19,0)),"")</f>
        <v>التشغيل</v>
      </c>
      <c r="I567" s="20" t="s">
        <v>52</v>
      </c>
      <c r="J567" s="18" t="str">
        <f aca="false">IFERROR(INDEX(المرجع!$D$2:$D$19,MATCH($I567,المرجع!$E$2:$E$19,0)),"")</f>
        <v>الحوكمة</v>
      </c>
      <c r="K567" s="20" t="s">
        <v>126</v>
      </c>
      <c r="L567" s="21" t="str">
        <f aca="false">IFERROR(INDEX('نقاط التحقق'!$G$2:$G$31,MATCH($K567,'نقاط التحقق'!$A$2:$A$31,0))&amp;"","")</f>
        <v>نشر السياسات التي تملكها الوحدة التنظيمية</v>
      </c>
      <c r="M567" s="17" t="n">
        <v>50</v>
      </c>
      <c r="N567" s="17" t="n">
        <v>100</v>
      </c>
      <c r="O567" s="19" t="str">
        <f aca="false">IF($M567="","غير مقيّمة",IF($M567&gt;المرجع!$K$3,"مستوفاة بشكل متقدم",IF($M567&lt;=المرجع!$K$2,"مستوفاة بشكل أولي","مستوفاة بشكل جزئي")))</f>
        <v>مستوفاة بشكل جزئي</v>
      </c>
      <c r="P567" s="22"/>
    </row>
    <row r="568" customFormat="false" ht="15" hidden="false" customHeight="true" outlineLevel="0" collapsed="false">
      <c r="A568" s="20" t="s">
        <v>1382</v>
      </c>
      <c r="B568" s="20" t="s">
        <v>232</v>
      </c>
      <c r="C568" s="19" t="str">
        <f aca="false">IFERROR(INDEX('قائمة الوحدات'!$B$2:$B$41,MATCH($B568,'قائمة الوحدات'!$A$2:$A$41,0)),"")</f>
        <v>MIL</v>
      </c>
      <c r="D568" s="18" t="str">
        <f aca="false">IFERROR(INDEX('قائمة الوحدات'!$C$2:$C$41,MATCH($B568,'قائمة الوحدات'!$A$2:$A$41,0)),"")</f>
        <v>الجهاز العسكري</v>
      </c>
      <c r="E568" s="18" t="str">
        <f aca="false">IFERROR(INDEX('قائمة الوحدات'!$D$2:$D$41,MATCH($B568,'قائمة الوحدات'!$A$2:$A$41,0)),"")</f>
        <v>الإدارة العامة للمالية والميزانية العسكرية</v>
      </c>
      <c r="F568" s="18" t="str">
        <f aca="false">IFERROR(INDEX('قائمة الوحدات'!$F$2:$F$41,MATCH($B568,'قائمة الوحدات'!$A$2:$A$41,0)),"")</f>
        <v>الإدارة العامة للمالية والميزانية العسكرية</v>
      </c>
      <c r="G568" s="20" t="s">
        <v>66</v>
      </c>
      <c r="H568" s="18" t="str">
        <f aca="false">IFERROR(INDEX(المرجع!$A$2:$A$19,MATCH($G568,المرجع!$B$2:$B$19,0)),"")</f>
        <v>التشغيل</v>
      </c>
      <c r="I568" s="20" t="s">
        <v>52</v>
      </c>
      <c r="J568" s="18" t="str">
        <f aca="false">IFERROR(INDEX(المرجع!$D$2:$D$19,MATCH($I568,المرجع!$E$2:$E$19,0)),"")</f>
        <v>الحوكمة</v>
      </c>
      <c r="K568" s="20" t="s">
        <v>128</v>
      </c>
      <c r="L568" s="21" t="str">
        <f aca="false">IFERROR(INDEX('نقاط التحقق'!$G$2:$G$31,MATCH($K568,'نقاط التحقق'!$A$2:$A$31,0))&amp;"","")</f>
        <v>اتخاذ القرارات في نطاق الصلاحيات (وجود شواهد)</v>
      </c>
      <c r="M568" s="17" t="n">
        <v>60</v>
      </c>
      <c r="N568" s="17" t="n">
        <v>100</v>
      </c>
      <c r="O568" s="19" t="str">
        <f aca="false">IF($M568="","غير مقيّمة",IF($M568&gt;المرجع!$K$3,"مستوفاة بشكل متقدم",IF($M568&lt;=المرجع!$K$2,"مستوفاة بشكل أولي","مستوفاة بشكل جزئي")))</f>
        <v>مستوفاة بشكل جزئي</v>
      </c>
      <c r="P568" s="22"/>
    </row>
    <row r="569" customFormat="false" ht="15" hidden="false" customHeight="true" outlineLevel="0" collapsed="false">
      <c r="A569" s="20" t="s">
        <v>1383</v>
      </c>
      <c r="B569" s="20" t="s">
        <v>232</v>
      </c>
      <c r="C569" s="19" t="str">
        <f aca="false">IFERROR(INDEX('قائمة الوحدات'!$B$2:$B$41,MATCH($B569,'قائمة الوحدات'!$A$2:$A$41,0)),"")</f>
        <v>MIL</v>
      </c>
      <c r="D569" s="18" t="str">
        <f aca="false">IFERROR(INDEX('قائمة الوحدات'!$C$2:$C$41,MATCH($B569,'قائمة الوحدات'!$A$2:$A$41,0)),"")</f>
        <v>الجهاز العسكري</v>
      </c>
      <c r="E569" s="18" t="str">
        <f aca="false">IFERROR(INDEX('قائمة الوحدات'!$D$2:$D$41,MATCH($B569,'قائمة الوحدات'!$A$2:$A$41,0)),"")</f>
        <v>الإدارة العامة للمالية والميزانية العسكرية</v>
      </c>
      <c r="F569" s="18" t="str">
        <f aca="false">IFERROR(INDEX('قائمة الوحدات'!$F$2:$F$41,MATCH($B569,'قائمة الوحدات'!$A$2:$A$41,0)),"")</f>
        <v>الإدارة العامة للمالية والميزانية العسكرية</v>
      </c>
      <c r="G569" s="20" t="s">
        <v>66</v>
      </c>
      <c r="H569" s="18" t="str">
        <f aca="false">IFERROR(INDEX(المرجع!$A$2:$A$19,MATCH($G569,المرجع!$B$2:$B$19,0)),"")</f>
        <v>التشغيل</v>
      </c>
      <c r="I569" s="20" t="s">
        <v>57</v>
      </c>
      <c r="J569" s="18" t="str">
        <f aca="false">IFERROR(INDEX(المرجع!$D$2:$D$19,MATCH($I569,المرجع!$E$2:$E$19,0)),"")</f>
        <v>الموارد</v>
      </c>
      <c r="K569" s="20" t="s">
        <v>130</v>
      </c>
      <c r="L569" s="21" t="str">
        <f aca="false">IFERROR(INDEX('نقاط التحقق'!$G$2:$G$31,MATCH($K569,'نقاط التحقق'!$A$2:$A$31,0))&amp;"","")</f>
        <v>موارد مستكملة للحد الأدنى الذي يغطي كافة محاور سلسلة القيمة</v>
      </c>
      <c r="M569" s="17" t="n">
        <v>37</v>
      </c>
      <c r="N569" s="17" t="n">
        <v>80</v>
      </c>
      <c r="O569" s="19" t="str">
        <f aca="false">IF($M569="","غير مقيّمة",IF($M569&gt;المرجع!$K$3,"مستوفاة بشكل متقدم",IF($M569&lt;=المرجع!$K$2,"مستوفاة بشكل أولي","مستوفاة بشكل جزئي")))</f>
        <v>مستوفاة بشكل جزئي</v>
      </c>
      <c r="P569" s="22"/>
    </row>
    <row r="570" customFormat="false" ht="15" hidden="false" customHeight="true" outlineLevel="0" collapsed="false">
      <c r="A570" s="20" t="s">
        <v>1384</v>
      </c>
      <c r="B570" s="20" t="s">
        <v>232</v>
      </c>
      <c r="C570" s="19" t="str">
        <f aca="false">IFERROR(INDEX('قائمة الوحدات'!$B$2:$B$41,MATCH($B570,'قائمة الوحدات'!$A$2:$A$41,0)),"")</f>
        <v>MIL</v>
      </c>
      <c r="D570" s="18" t="str">
        <f aca="false">IFERROR(INDEX('قائمة الوحدات'!$C$2:$C$41,MATCH($B570,'قائمة الوحدات'!$A$2:$A$41,0)),"")</f>
        <v>الجهاز العسكري</v>
      </c>
      <c r="E570" s="18" t="str">
        <f aca="false">IFERROR(INDEX('قائمة الوحدات'!$D$2:$D$41,MATCH($B570,'قائمة الوحدات'!$A$2:$A$41,0)),"")</f>
        <v>الإدارة العامة للمالية والميزانية العسكرية</v>
      </c>
      <c r="F570" s="18" t="str">
        <f aca="false">IFERROR(INDEX('قائمة الوحدات'!$F$2:$F$41,MATCH($B570,'قائمة الوحدات'!$A$2:$A$41,0)),"")</f>
        <v>الإدارة العامة للمالية والميزانية العسكرية</v>
      </c>
      <c r="G570" s="20" t="s">
        <v>66</v>
      </c>
      <c r="H570" s="18" t="str">
        <f aca="false">IFERROR(INDEX(المرجع!$A$2:$A$19,MATCH($G570,المرجع!$B$2:$B$19,0)),"")</f>
        <v>التشغيل</v>
      </c>
      <c r="I570" s="20" t="s">
        <v>60</v>
      </c>
      <c r="J570" s="18" t="str">
        <f aca="false">IFERROR(INDEX(المرجع!$D$2:$D$19,MATCH($I570,المرجع!$E$2:$E$19,0)),"")</f>
        <v>الإجراءات</v>
      </c>
      <c r="K570" s="20" t="s">
        <v>132</v>
      </c>
      <c r="L570" s="21" t="str">
        <f aca="false">IFERROR(INDEX('نقاط التحقق'!$G$2:$G$31,MATCH($K570,'نقاط التحقق'!$A$2:$A$31,0))&amp;"","")</f>
        <v>تحقيق تقييم "مطبق بشكل كامل" من منهجية تقييم فعالية الإجراءات</v>
      </c>
      <c r="M570" s="17" t="n">
        <v>34</v>
      </c>
      <c r="N570" s="17" t="n">
        <v>100</v>
      </c>
      <c r="O570" s="19" t="str">
        <f aca="false">IF($M570="","غير مقيّمة",IF($M570&gt;المرجع!$K$3,"مستوفاة بشكل متقدم",IF($M570&lt;=المرجع!$K$2,"مستوفاة بشكل أولي","مستوفاة بشكل جزئي")))</f>
        <v>مستوفاة بشكل جزئي</v>
      </c>
      <c r="P570" s="22"/>
    </row>
    <row r="571" customFormat="false" ht="15" hidden="false" customHeight="true" outlineLevel="0" collapsed="false">
      <c r="A571" s="20" t="s">
        <v>1385</v>
      </c>
      <c r="B571" s="20" t="s">
        <v>232</v>
      </c>
      <c r="C571" s="19" t="str">
        <f aca="false">IFERROR(INDEX('قائمة الوحدات'!$B$2:$B$41,MATCH($B571,'قائمة الوحدات'!$A$2:$A$41,0)),"")</f>
        <v>MIL</v>
      </c>
      <c r="D571" s="18" t="str">
        <f aca="false">IFERROR(INDEX('قائمة الوحدات'!$C$2:$C$41,MATCH($B571,'قائمة الوحدات'!$A$2:$A$41,0)),"")</f>
        <v>الجهاز العسكري</v>
      </c>
      <c r="E571" s="18" t="str">
        <f aca="false">IFERROR(INDEX('قائمة الوحدات'!$D$2:$D$41,MATCH($B571,'قائمة الوحدات'!$A$2:$A$41,0)),"")</f>
        <v>الإدارة العامة للمالية والميزانية العسكرية</v>
      </c>
      <c r="F571" s="18" t="str">
        <f aca="false">IFERROR(INDEX('قائمة الوحدات'!$F$2:$F$41,MATCH($B571,'قائمة الوحدات'!$A$2:$A$41,0)),"")</f>
        <v>الإدارة العامة للمالية والميزانية العسكرية</v>
      </c>
      <c r="G571" s="20" t="s">
        <v>66</v>
      </c>
      <c r="H571" s="18" t="str">
        <f aca="false">IFERROR(INDEX(المرجع!$A$2:$A$19,MATCH($G571,المرجع!$B$2:$B$19,0)),"")</f>
        <v>التشغيل</v>
      </c>
      <c r="I571" s="20" t="s">
        <v>71</v>
      </c>
      <c r="J571" s="18" t="str">
        <f aca="false">IFERROR(INDEX(المرجع!$D$2:$D$19,MATCH($I571,المرجع!$E$2:$E$19,0)),"")</f>
        <v>اكتمال المخرجات المستهدفة</v>
      </c>
      <c r="K571" s="20" t="s">
        <v>134</v>
      </c>
      <c r="L571" s="21" t="str">
        <f aca="false">IFERROR(INDEX('نقاط التحقق'!$G$2:$G$31,MATCH($K571,'نقاط التحقق'!$A$2:$A$31,0))&amp;"","")</f>
        <v>اكتمال مخرجات النموذج التشغيلي المستهدف للوحدة التنظيمية</v>
      </c>
      <c r="M571" s="17" t="n">
        <v>32</v>
      </c>
      <c r="N571" s="17" t="n">
        <v>100</v>
      </c>
      <c r="O571" s="19" t="str">
        <f aca="false">IF($M571="","غير مقيّمة",IF($M571&gt;المرجع!$K$3,"مستوفاة بشكل متقدم",IF($M571&lt;=المرجع!$K$2,"مستوفاة بشكل أولي","مستوفاة بشكل جزئي")))</f>
        <v>مستوفاة بشكل جزئي</v>
      </c>
      <c r="P571" s="22"/>
    </row>
    <row r="572" customFormat="false" ht="15" hidden="false" customHeight="true" outlineLevel="0" collapsed="false">
      <c r="A572" s="20" t="s">
        <v>1386</v>
      </c>
      <c r="B572" s="20" t="s">
        <v>234</v>
      </c>
      <c r="C572" s="19" t="str">
        <f aca="false">IFERROR(INDEX('قائمة الوحدات'!$B$2:$B$41,MATCH($B572,'قائمة الوحدات'!$A$2:$A$41,0)),"")</f>
        <v>MIL</v>
      </c>
      <c r="D572" s="18" t="str">
        <f aca="false">IFERROR(INDEX('قائمة الوحدات'!$C$2:$C$41,MATCH($B572,'قائمة الوحدات'!$A$2:$A$41,0)),"")</f>
        <v>الجهاز العسكري</v>
      </c>
      <c r="E572" s="18" t="str">
        <f aca="false">IFERROR(INDEX('قائمة الوحدات'!$D$2:$D$41,MATCH($B572,'قائمة الوحدات'!$A$2:$A$41,0)),"")</f>
        <v>الإدارة العامة للعلاقات العامة والإعلام العسكري</v>
      </c>
      <c r="F572" s="18" t="str">
        <f aca="false">IFERROR(INDEX('قائمة الوحدات'!$F$2:$F$41,MATCH($B572,'قائمة الوحدات'!$A$2:$A$41,0)),"")</f>
        <v>الإدارة العامة للعلاقات العامة والإعلام العسكري</v>
      </c>
      <c r="G572" s="20" t="s">
        <v>44</v>
      </c>
      <c r="H572" s="18" t="str">
        <f aca="false">IFERROR(INDEX(المرجع!$A$2:$A$19,MATCH($G572,المرجع!$B$2:$B$19,0)),"")</f>
        <v>التصميم</v>
      </c>
      <c r="I572" s="20" t="s">
        <v>46</v>
      </c>
      <c r="J572" s="18" t="str">
        <f aca="false">IFERROR(INDEX(المرجع!$D$2:$D$19,MATCH($I572,المرجع!$E$2:$E$19,0)),"")</f>
        <v>الدور</v>
      </c>
      <c r="K572" s="20" t="s">
        <v>76</v>
      </c>
      <c r="L572" s="21" t="str">
        <f aca="false">IFERROR(INDEX('نقاط التحقق'!$G$2:$G$31,MATCH($K572,'نقاط التحقق'!$A$2:$A$31,0))&amp;"","")</f>
        <v>دور مفصل للوحدة التنظيمية</v>
      </c>
      <c r="M572" s="17" t="n">
        <v>71</v>
      </c>
      <c r="N572" s="17" t="n">
        <v>100</v>
      </c>
      <c r="O572" s="19" t="str">
        <f aca="false">IF($M572="","غير مقيّمة",IF($M572&gt;المرجع!$K$3,"مستوفاة بشكل متقدم",IF($M572&lt;=المرجع!$K$2,"مستوفاة بشكل أولي","مستوفاة بشكل جزئي")))</f>
        <v>مستوفاة بشكل متقدم</v>
      </c>
      <c r="P572" s="22"/>
    </row>
    <row r="573" customFormat="false" ht="15" hidden="false" customHeight="true" outlineLevel="0" collapsed="false">
      <c r="A573" s="20" t="s">
        <v>1387</v>
      </c>
      <c r="B573" s="20" t="s">
        <v>234</v>
      </c>
      <c r="C573" s="19" t="str">
        <f aca="false">IFERROR(INDEX('قائمة الوحدات'!$B$2:$B$41,MATCH($B573,'قائمة الوحدات'!$A$2:$A$41,0)),"")</f>
        <v>MIL</v>
      </c>
      <c r="D573" s="18" t="str">
        <f aca="false">IFERROR(INDEX('قائمة الوحدات'!$C$2:$C$41,MATCH($B573,'قائمة الوحدات'!$A$2:$A$41,0)),"")</f>
        <v>الجهاز العسكري</v>
      </c>
      <c r="E573" s="18" t="str">
        <f aca="false">IFERROR(INDEX('قائمة الوحدات'!$D$2:$D$41,MATCH($B573,'قائمة الوحدات'!$A$2:$A$41,0)),"")</f>
        <v>الإدارة العامة للعلاقات العامة والإعلام العسكري</v>
      </c>
      <c r="F573" s="18" t="str">
        <f aca="false">IFERROR(INDEX('قائمة الوحدات'!$F$2:$F$41,MATCH($B573,'قائمة الوحدات'!$A$2:$A$41,0)),"")</f>
        <v>الإدارة العامة للعلاقات العامة والإعلام العسكري</v>
      </c>
      <c r="G573" s="20" t="s">
        <v>44</v>
      </c>
      <c r="H573" s="18" t="str">
        <f aca="false">IFERROR(INDEX(المرجع!$A$2:$A$19,MATCH($G573,المرجع!$B$2:$B$19,0)),"")</f>
        <v>التصميم</v>
      </c>
      <c r="I573" s="20" t="s">
        <v>49</v>
      </c>
      <c r="J573" s="18" t="str">
        <f aca="false">IFERROR(INDEX(المرجع!$D$2:$D$19,MATCH($I573,المرجع!$E$2:$E$19,0)),"")</f>
        <v>الأهداف ومؤشرات الأداء</v>
      </c>
      <c r="K573" s="20" t="s">
        <v>78</v>
      </c>
      <c r="L573" s="21" t="str">
        <f aca="false">IFERROR(INDEX('نقاط التحقق'!$G$2:$G$31,MATCH($K573,'نقاط التحقق'!$A$2:$A$31,0))&amp;"","")</f>
        <v>أهداف محددة للوحدة التنظيمية وربطها بمؤشرات أداء لقياسها</v>
      </c>
      <c r="M573" s="17" t="n">
        <v>70</v>
      </c>
      <c r="N573" s="17" t="n">
        <v>100</v>
      </c>
      <c r="O573" s="19" t="str">
        <f aca="false">IF($M573="","غير مقيّمة",IF($M573&gt;المرجع!$K$3,"مستوفاة بشكل متقدم",IF($M573&lt;=المرجع!$K$2,"مستوفاة بشكل أولي","مستوفاة بشكل جزئي")))</f>
        <v>مستوفاة بشكل جزئي</v>
      </c>
      <c r="P573" s="22"/>
    </row>
    <row r="574" customFormat="false" ht="15" hidden="false" customHeight="true" outlineLevel="0" collapsed="false">
      <c r="A574" s="20" t="s">
        <v>1388</v>
      </c>
      <c r="B574" s="20" t="s">
        <v>234</v>
      </c>
      <c r="C574" s="19" t="str">
        <f aca="false">IFERROR(INDEX('قائمة الوحدات'!$B$2:$B$41,MATCH($B574,'قائمة الوحدات'!$A$2:$A$41,0)),"")</f>
        <v>MIL</v>
      </c>
      <c r="D574" s="18" t="str">
        <f aca="false">IFERROR(INDEX('قائمة الوحدات'!$C$2:$C$41,MATCH($B574,'قائمة الوحدات'!$A$2:$A$41,0)),"")</f>
        <v>الجهاز العسكري</v>
      </c>
      <c r="E574" s="18" t="str">
        <f aca="false">IFERROR(INDEX('قائمة الوحدات'!$D$2:$D$41,MATCH($B574,'قائمة الوحدات'!$A$2:$A$41,0)),"")</f>
        <v>الإدارة العامة للعلاقات العامة والإعلام العسكري</v>
      </c>
      <c r="F574" s="18" t="str">
        <f aca="false">IFERROR(INDEX('قائمة الوحدات'!$F$2:$F$41,MATCH($B574,'قائمة الوحدات'!$A$2:$A$41,0)),"")</f>
        <v>الإدارة العامة للعلاقات العامة والإعلام العسكري</v>
      </c>
      <c r="G574" s="20" t="s">
        <v>44</v>
      </c>
      <c r="H574" s="18" t="str">
        <f aca="false">IFERROR(INDEX(المرجع!$A$2:$A$19,MATCH($G574,المرجع!$B$2:$B$19,0)),"")</f>
        <v>التصميم</v>
      </c>
      <c r="I574" s="20" t="s">
        <v>49</v>
      </c>
      <c r="J574" s="18" t="str">
        <f aca="false">IFERROR(INDEX(المرجع!$D$2:$D$19,MATCH($I574,المرجع!$E$2:$E$19,0)),"")</f>
        <v>الأهداف ومؤشرات الأداء</v>
      </c>
      <c r="K574" s="20" t="s">
        <v>80</v>
      </c>
      <c r="L574" s="21" t="str">
        <f aca="false">IFERROR(INDEX('نقاط التحقق'!$G$2:$G$31,MATCH($K574,'نقاط التحقق'!$A$2:$A$31,0))&amp;"","")</f>
        <v>مؤشرات أداء الوحدة التنظيمية</v>
      </c>
      <c r="M574" s="17" t="n">
        <v>70</v>
      </c>
      <c r="N574" s="17" t="n">
        <v>100</v>
      </c>
      <c r="O574" s="19" t="str">
        <f aca="false">IF($M574="","غير مقيّمة",IF($M574&gt;المرجع!$K$3,"مستوفاة بشكل متقدم",IF($M574&lt;=المرجع!$K$2,"مستوفاة بشكل أولي","مستوفاة بشكل جزئي")))</f>
        <v>مستوفاة بشكل جزئي</v>
      </c>
      <c r="P574" s="22"/>
    </row>
    <row r="575" customFormat="false" ht="15" hidden="false" customHeight="true" outlineLevel="0" collapsed="false">
      <c r="A575" s="20" t="s">
        <v>1389</v>
      </c>
      <c r="B575" s="20" t="s">
        <v>234</v>
      </c>
      <c r="C575" s="19" t="str">
        <f aca="false">IFERROR(INDEX('قائمة الوحدات'!$B$2:$B$41,MATCH($B575,'قائمة الوحدات'!$A$2:$A$41,0)),"")</f>
        <v>MIL</v>
      </c>
      <c r="D575" s="18" t="str">
        <f aca="false">IFERROR(INDEX('قائمة الوحدات'!$C$2:$C$41,MATCH($B575,'قائمة الوحدات'!$A$2:$A$41,0)),"")</f>
        <v>الجهاز العسكري</v>
      </c>
      <c r="E575" s="18" t="str">
        <f aca="false">IFERROR(INDEX('قائمة الوحدات'!$D$2:$D$41,MATCH($B575,'قائمة الوحدات'!$A$2:$A$41,0)),"")</f>
        <v>الإدارة العامة للعلاقات العامة والإعلام العسكري</v>
      </c>
      <c r="F575" s="18" t="str">
        <f aca="false">IFERROR(INDEX('قائمة الوحدات'!$F$2:$F$41,MATCH($B575,'قائمة الوحدات'!$A$2:$A$41,0)),"")</f>
        <v>الإدارة العامة للعلاقات العامة والإعلام العسكري</v>
      </c>
      <c r="G575" s="20" t="s">
        <v>44</v>
      </c>
      <c r="H575" s="18" t="str">
        <f aca="false">IFERROR(INDEX(المرجع!$A$2:$A$19,MATCH($G575,المرجع!$B$2:$B$19,0)),"")</f>
        <v>التصميم</v>
      </c>
      <c r="I575" s="20" t="s">
        <v>52</v>
      </c>
      <c r="J575" s="18" t="str">
        <f aca="false">IFERROR(INDEX(المرجع!$D$2:$D$19,MATCH($I575,المرجع!$E$2:$E$19,0)),"")</f>
        <v>الحوكمة</v>
      </c>
      <c r="K575" s="20" t="s">
        <v>82</v>
      </c>
      <c r="L575" s="21" t="str">
        <f aca="false">IFERROR(INDEX('نقاط التحقق'!$G$2:$G$31,MATCH($K575,'نقاط التحقق'!$A$2:$A$31,0))&amp;"","")</f>
        <v>تفصيل القرارات ومصفوفة الصلاحيات واللجان ذات العلاقة لاعتماد مخرجات الوحدة التنظيمية</v>
      </c>
      <c r="M575" s="17" t="n">
        <v>81</v>
      </c>
      <c r="N575" s="17" t="n">
        <v>100</v>
      </c>
      <c r="O575" s="19" t="str">
        <f aca="false">IF($M575="","غير مقيّمة",IF($M575&gt;المرجع!$K$3,"مستوفاة بشكل متقدم",IF($M575&lt;=المرجع!$K$2,"مستوفاة بشكل أولي","مستوفاة بشكل جزئي")))</f>
        <v>مستوفاة بشكل متقدم</v>
      </c>
      <c r="P575" s="22"/>
    </row>
    <row r="576" customFormat="false" ht="15" hidden="false" customHeight="true" outlineLevel="0" collapsed="false">
      <c r="A576" s="20" t="s">
        <v>1390</v>
      </c>
      <c r="B576" s="20" t="s">
        <v>234</v>
      </c>
      <c r="C576" s="19" t="str">
        <f aca="false">IFERROR(INDEX('قائمة الوحدات'!$B$2:$B$41,MATCH($B576,'قائمة الوحدات'!$A$2:$A$41,0)),"")</f>
        <v>MIL</v>
      </c>
      <c r="D576" s="18" t="str">
        <f aca="false">IFERROR(INDEX('قائمة الوحدات'!$C$2:$C$41,MATCH($B576,'قائمة الوحدات'!$A$2:$A$41,0)),"")</f>
        <v>الجهاز العسكري</v>
      </c>
      <c r="E576" s="18" t="str">
        <f aca="false">IFERROR(INDEX('قائمة الوحدات'!$D$2:$D$41,MATCH($B576,'قائمة الوحدات'!$A$2:$A$41,0)),"")</f>
        <v>الإدارة العامة للعلاقات العامة والإعلام العسكري</v>
      </c>
      <c r="F576" s="18" t="str">
        <f aca="false">IFERROR(INDEX('قائمة الوحدات'!$F$2:$F$41,MATCH($B576,'قائمة الوحدات'!$A$2:$A$41,0)),"")</f>
        <v>الإدارة العامة للعلاقات العامة والإعلام العسكري</v>
      </c>
      <c r="G576" s="20" t="s">
        <v>44</v>
      </c>
      <c r="H576" s="18" t="str">
        <f aca="false">IFERROR(INDEX(المرجع!$A$2:$A$19,MATCH($G576,المرجع!$B$2:$B$19,0)),"")</f>
        <v>التصميم</v>
      </c>
      <c r="I576" s="20" t="s">
        <v>55</v>
      </c>
      <c r="J576" s="18" t="str">
        <f aca="false">IFERROR(INDEX(المرجع!$D$2:$D$19,MATCH($I576,المرجع!$E$2:$E$19,0)),"")</f>
        <v>التنظيم</v>
      </c>
      <c r="K576" s="20" t="s">
        <v>84</v>
      </c>
      <c r="L576" s="21" t="str">
        <f aca="false">IFERROR(INDEX('نقاط التحقق'!$G$2:$G$31,MATCH($K576,'نقاط التحقق'!$A$2:$A$31,0))&amp;"","")</f>
        <v>تطوير الأدوار والمسؤوليات للوحدة التنظيمية وتفصيل الهيكل التنظيمي</v>
      </c>
      <c r="M576" s="17" t="n">
        <v>77</v>
      </c>
      <c r="N576" s="17" t="n">
        <v>95</v>
      </c>
      <c r="O576" s="19" t="str">
        <f aca="false">IF($M576="","غير مقيّمة",IF($M576&gt;المرجع!$K$3,"مستوفاة بشكل متقدم",IF($M576&lt;=المرجع!$K$2,"مستوفاة بشكل أولي","مستوفاة بشكل جزئي")))</f>
        <v>مستوفاة بشكل متقدم</v>
      </c>
      <c r="P576" s="22"/>
    </row>
    <row r="577" customFormat="false" ht="15" hidden="false" customHeight="true" outlineLevel="0" collapsed="false">
      <c r="A577" s="20" t="s">
        <v>1391</v>
      </c>
      <c r="B577" s="20" t="s">
        <v>234</v>
      </c>
      <c r="C577" s="19" t="str">
        <f aca="false">IFERROR(INDEX('قائمة الوحدات'!$B$2:$B$41,MATCH($B577,'قائمة الوحدات'!$A$2:$A$41,0)),"")</f>
        <v>MIL</v>
      </c>
      <c r="D577" s="18" t="str">
        <f aca="false">IFERROR(INDEX('قائمة الوحدات'!$C$2:$C$41,MATCH($B577,'قائمة الوحدات'!$A$2:$A$41,0)),"")</f>
        <v>الجهاز العسكري</v>
      </c>
      <c r="E577" s="18" t="str">
        <f aca="false">IFERROR(INDEX('قائمة الوحدات'!$D$2:$D$41,MATCH($B577,'قائمة الوحدات'!$A$2:$A$41,0)),"")</f>
        <v>الإدارة العامة للعلاقات العامة والإعلام العسكري</v>
      </c>
      <c r="F577" s="18" t="str">
        <f aca="false">IFERROR(INDEX('قائمة الوحدات'!$F$2:$F$41,MATCH($B577,'قائمة الوحدات'!$A$2:$A$41,0)),"")</f>
        <v>الإدارة العامة للعلاقات العامة والإعلام العسكري</v>
      </c>
      <c r="G577" s="20" t="s">
        <v>44</v>
      </c>
      <c r="H577" s="18" t="str">
        <f aca="false">IFERROR(INDEX(المرجع!$A$2:$A$19,MATCH($G577,المرجع!$B$2:$B$19,0)),"")</f>
        <v>التصميم</v>
      </c>
      <c r="I577" s="20" t="s">
        <v>57</v>
      </c>
      <c r="J577" s="18" t="str">
        <f aca="false">IFERROR(INDEX(المرجع!$D$2:$D$19,MATCH($I577,المرجع!$E$2:$E$19,0)),"")</f>
        <v>الموارد</v>
      </c>
      <c r="K577" s="20" t="s">
        <v>86</v>
      </c>
      <c r="L577" s="21" t="str">
        <f aca="false">IFERROR(INDEX('نقاط التحقق'!$G$2:$G$31,MATCH($K577,'نقاط التحقق'!$A$2:$A$31,0))&amp;"","")</f>
        <v>تفصيل احتياج الموارد البشرية للوحدة التنظيمية</v>
      </c>
      <c r="M577" s="17" t="n">
        <v>97</v>
      </c>
      <c r="N577" s="17" t="n">
        <v>97</v>
      </c>
      <c r="O577" s="19" t="str">
        <f aca="false">IF($M577="","غير مقيّمة",IF($M577&gt;المرجع!$K$3,"مستوفاة بشكل متقدم",IF($M577&lt;=المرجع!$K$2,"مستوفاة بشكل أولي","مستوفاة بشكل جزئي")))</f>
        <v>مستوفاة بشكل متقدم</v>
      </c>
      <c r="P577" s="22"/>
    </row>
    <row r="578" customFormat="false" ht="15" hidden="false" customHeight="true" outlineLevel="0" collapsed="false">
      <c r="A578" s="20" t="s">
        <v>1392</v>
      </c>
      <c r="B578" s="20" t="s">
        <v>234</v>
      </c>
      <c r="C578" s="19" t="str">
        <f aca="false">IFERROR(INDEX('قائمة الوحدات'!$B$2:$B$41,MATCH($B578,'قائمة الوحدات'!$A$2:$A$41,0)),"")</f>
        <v>MIL</v>
      </c>
      <c r="D578" s="18" t="str">
        <f aca="false">IFERROR(INDEX('قائمة الوحدات'!$C$2:$C$41,MATCH($B578,'قائمة الوحدات'!$A$2:$A$41,0)),"")</f>
        <v>الجهاز العسكري</v>
      </c>
      <c r="E578" s="18" t="str">
        <f aca="false">IFERROR(INDEX('قائمة الوحدات'!$D$2:$D$41,MATCH($B578,'قائمة الوحدات'!$A$2:$A$41,0)),"")</f>
        <v>الإدارة العامة للعلاقات العامة والإعلام العسكري</v>
      </c>
      <c r="F578" s="18" t="str">
        <f aca="false">IFERROR(INDEX('قائمة الوحدات'!$F$2:$F$41,MATCH($B578,'قائمة الوحدات'!$A$2:$A$41,0)),"")</f>
        <v>الإدارة العامة للعلاقات العامة والإعلام العسكري</v>
      </c>
      <c r="G578" s="20" t="s">
        <v>44</v>
      </c>
      <c r="H578" s="18" t="str">
        <f aca="false">IFERROR(INDEX(المرجع!$A$2:$A$19,MATCH($G578,المرجع!$B$2:$B$19,0)),"")</f>
        <v>التصميم</v>
      </c>
      <c r="I578" s="20" t="s">
        <v>60</v>
      </c>
      <c r="J578" s="18" t="str">
        <f aca="false">IFERROR(INDEX(المرجع!$D$2:$D$19,MATCH($I578,المرجع!$E$2:$E$19,0)),"")</f>
        <v>الإجراءات</v>
      </c>
      <c r="K578" s="20" t="s">
        <v>88</v>
      </c>
      <c r="L578" s="21" t="str">
        <f aca="false">IFERROR(INDEX('نقاط التحقق'!$G$2:$G$31,MATCH($K578,'نقاط التحقق'!$A$2:$A$31,0))&amp;"","")</f>
        <v>تفصيل المخرجات إلى إجراءات عالية المستوى</v>
      </c>
      <c r="M578" s="17" t="n">
        <v>83</v>
      </c>
      <c r="N578" s="17" t="n">
        <v>100</v>
      </c>
      <c r="O578" s="19" t="str">
        <f aca="false">IF($M578="","غير مقيّمة",IF($M578&gt;المرجع!$K$3,"مستوفاة بشكل متقدم",IF($M578&lt;=المرجع!$K$2,"مستوفاة بشكل أولي","مستوفاة بشكل جزئي")))</f>
        <v>مستوفاة بشكل متقدم</v>
      </c>
      <c r="P578" s="22"/>
    </row>
    <row r="579" customFormat="false" ht="15" hidden="false" customHeight="true" outlineLevel="0" collapsed="false">
      <c r="A579" s="20" t="s">
        <v>1393</v>
      </c>
      <c r="B579" s="20" t="s">
        <v>234</v>
      </c>
      <c r="C579" s="19" t="str">
        <f aca="false">IFERROR(INDEX('قائمة الوحدات'!$B$2:$B$41,MATCH($B579,'قائمة الوحدات'!$A$2:$A$41,0)),"")</f>
        <v>MIL</v>
      </c>
      <c r="D579" s="18" t="str">
        <f aca="false">IFERROR(INDEX('قائمة الوحدات'!$C$2:$C$41,MATCH($B579,'قائمة الوحدات'!$A$2:$A$41,0)),"")</f>
        <v>الجهاز العسكري</v>
      </c>
      <c r="E579" s="18" t="str">
        <f aca="false">IFERROR(INDEX('قائمة الوحدات'!$D$2:$D$41,MATCH($B579,'قائمة الوحدات'!$A$2:$A$41,0)),"")</f>
        <v>الإدارة العامة للعلاقات العامة والإعلام العسكري</v>
      </c>
      <c r="F579" s="18" t="str">
        <f aca="false">IFERROR(INDEX('قائمة الوحدات'!$F$2:$F$41,MATCH($B579,'قائمة الوحدات'!$A$2:$A$41,0)),"")</f>
        <v>الإدارة العامة للعلاقات العامة والإعلام العسكري</v>
      </c>
      <c r="G579" s="20" t="s">
        <v>62</v>
      </c>
      <c r="H579" s="18" t="str">
        <f aca="false">IFERROR(INDEX(المرجع!$A$2:$A$19,MATCH($G579,المرجع!$B$2:$B$19,0)),"")</f>
        <v>البناء المؤسسي</v>
      </c>
      <c r="I579" s="20" t="s">
        <v>46</v>
      </c>
      <c r="J579" s="18" t="str">
        <f aca="false">IFERROR(INDEX(المرجع!$D$2:$D$19,MATCH($I579,المرجع!$E$2:$E$19,0)),"")</f>
        <v>الدور</v>
      </c>
      <c r="K579" s="20" t="s">
        <v>90</v>
      </c>
      <c r="L579" s="21" t="str">
        <f aca="false">IFERROR(INDEX('نقاط التحقق'!$G$2:$G$31,MATCH($K579,'نقاط التحقق'!$A$2:$A$31,0))&amp;"","")</f>
        <v>دور معتمد للوحدة التنظيمية</v>
      </c>
      <c r="M579" s="17" t="n">
        <v>79</v>
      </c>
      <c r="N579" s="17" t="n">
        <v>100</v>
      </c>
      <c r="O579" s="19" t="str">
        <f aca="false">IF($M579="","غير مقيّمة",IF($M579&gt;المرجع!$K$3,"مستوفاة بشكل متقدم",IF($M579&lt;=المرجع!$K$2,"مستوفاة بشكل أولي","مستوفاة بشكل جزئي")))</f>
        <v>مستوفاة بشكل متقدم</v>
      </c>
      <c r="P579" s="22"/>
    </row>
    <row r="580" customFormat="false" ht="15" hidden="false" customHeight="true" outlineLevel="0" collapsed="false">
      <c r="A580" s="20" t="s">
        <v>1394</v>
      </c>
      <c r="B580" s="20" t="s">
        <v>234</v>
      </c>
      <c r="C580" s="19" t="str">
        <f aca="false">IFERROR(INDEX('قائمة الوحدات'!$B$2:$B$41,MATCH($B580,'قائمة الوحدات'!$A$2:$A$41,0)),"")</f>
        <v>MIL</v>
      </c>
      <c r="D580" s="18" t="str">
        <f aca="false">IFERROR(INDEX('قائمة الوحدات'!$C$2:$C$41,MATCH($B580,'قائمة الوحدات'!$A$2:$A$41,0)),"")</f>
        <v>الجهاز العسكري</v>
      </c>
      <c r="E580" s="18" t="str">
        <f aca="false">IFERROR(INDEX('قائمة الوحدات'!$D$2:$D$41,MATCH($B580,'قائمة الوحدات'!$A$2:$A$41,0)),"")</f>
        <v>الإدارة العامة للعلاقات العامة والإعلام العسكري</v>
      </c>
      <c r="F580" s="18" t="str">
        <f aca="false">IFERROR(INDEX('قائمة الوحدات'!$F$2:$F$41,MATCH($B580,'قائمة الوحدات'!$A$2:$A$41,0)),"")</f>
        <v>الإدارة العامة للعلاقات العامة والإعلام العسكري</v>
      </c>
      <c r="G580" s="20" t="s">
        <v>62</v>
      </c>
      <c r="H580" s="18" t="str">
        <f aca="false">IFERROR(INDEX(المرجع!$A$2:$A$19,MATCH($G580,المرجع!$B$2:$B$19,0)),"")</f>
        <v>البناء المؤسسي</v>
      </c>
      <c r="I580" s="20" t="s">
        <v>49</v>
      </c>
      <c r="J580" s="18" t="str">
        <f aca="false">IFERROR(INDEX(المرجع!$D$2:$D$19,MATCH($I580,المرجع!$E$2:$E$19,0)),"")</f>
        <v>الأهداف ومؤشرات الأداء</v>
      </c>
      <c r="K580" s="20" t="s">
        <v>92</v>
      </c>
      <c r="L580" s="21" t="str">
        <f aca="false">IFERROR(INDEX('نقاط التحقق'!$G$2:$G$31,MATCH($K580,'نقاط التحقق'!$A$2:$A$31,0))&amp;"","")</f>
        <v>أهداف تشغيلية معتمدة من صاحب الصلاحية</v>
      </c>
      <c r="M580" s="17" t="n">
        <v>70</v>
      </c>
      <c r="N580" s="17" t="n">
        <v>80</v>
      </c>
      <c r="O580" s="19" t="str">
        <f aca="false">IF($M580="","غير مقيّمة",IF($M580&gt;المرجع!$K$3,"مستوفاة بشكل متقدم",IF($M580&lt;=المرجع!$K$2,"مستوفاة بشكل أولي","مستوفاة بشكل جزئي")))</f>
        <v>مستوفاة بشكل جزئي</v>
      </c>
      <c r="P580" s="22"/>
    </row>
    <row r="581" customFormat="false" ht="15" hidden="false" customHeight="true" outlineLevel="0" collapsed="false">
      <c r="A581" s="20" t="s">
        <v>1395</v>
      </c>
      <c r="B581" s="20" t="s">
        <v>234</v>
      </c>
      <c r="C581" s="19" t="str">
        <f aca="false">IFERROR(INDEX('قائمة الوحدات'!$B$2:$B$41,MATCH($B581,'قائمة الوحدات'!$A$2:$A$41,0)),"")</f>
        <v>MIL</v>
      </c>
      <c r="D581" s="18" t="str">
        <f aca="false">IFERROR(INDEX('قائمة الوحدات'!$C$2:$C$41,MATCH($B581,'قائمة الوحدات'!$A$2:$A$41,0)),"")</f>
        <v>الجهاز العسكري</v>
      </c>
      <c r="E581" s="18" t="str">
        <f aca="false">IFERROR(INDEX('قائمة الوحدات'!$D$2:$D$41,MATCH($B581,'قائمة الوحدات'!$A$2:$A$41,0)),"")</f>
        <v>الإدارة العامة للعلاقات العامة والإعلام العسكري</v>
      </c>
      <c r="F581" s="18" t="str">
        <f aca="false">IFERROR(INDEX('قائمة الوحدات'!$F$2:$F$41,MATCH($B581,'قائمة الوحدات'!$A$2:$A$41,0)),"")</f>
        <v>الإدارة العامة للعلاقات العامة والإعلام العسكري</v>
      </c>
      <c r="G581" s="20" t="s">
        <v>62</v>
      </c>
      <c r="H581" s="18" t="str">
        <f aca="false">IFERROR(INDEX(المرجع!$A$2:$A$19,MATCH($G581,المرجع!$B$2:$B$19,0)),"")</f>
        <v>البناء المؤسسي</v>
      </c>
      <c r="I581" s="20" t="s">
        <v>49</v>
      </c>
      <c r="J581" s="18" t="str">
        <f aca="false">IFERROR(INDEX(المرجع!$D$2:$D$19,MATCH($I581,المرجع!$E$2:$E$19,0)),"")</f>
        <v>الأهداف ومؤشرات الأداء</v>
      </c>
      <c r="K581" s="20" t="s">
        <v>94</v>
      </c>
      <c r="L581" s="21" t="str">
        <f aca="false">IFERROR(INDEX('نقاط التحقق'!$G$2:$G$31,MATCH($K581,'نقاط التحقق'!$A$2:$A$31,0))&amp;"","")</f>
        <v>نشر الأهداف التشغيلية على موظفي الوحدة التنظيمية</v>
      </c>
      <c r="M581" s="17" t="n">
        <v>70</v>
      </c>
      <c r="N581" s="17" t="n">
        <v>80</v>
      </c>
      <c r="O581" s="19" t="str">
        <f aca="false">IF($M581="","غير مقيّمة",IF($M581&gt;المرجع!$K$3,"مستوفاة بشكل متقدم",IF($M581&lt;=المرجع!$K$2,"مستوفاة بشكل أولي","مستوفاة بشكل جزئي")))</f>
        <v>مستوفاة بشكل جزئي</v>
      </c>
      <c r="P581" s="22"/>
    </row>
    <row r="582" customFormat="false" ht="15" hidden="false" customHeight="true" outlineLevel="0" collapsed="false">
      <c r="A582" s="20" t="s">
        <v>1396</v>
      </c>
      <c r="B582" s="20" t="s">
        <v>234</v>
      </c>
      <c r="C582" s="19" t="str">
        <f aca="false">IFERROR(INDEX('قائمة الوحدات'!$B$2:$B$41,MATCH($B582,'قائمة الوحدات'!$A$2:$A$41,0)),"")</f>
        <v>MIL</v>
      </c>
      <c r="D582" s="18" t="str">
        <f aca="false">IFERROR(INDEX('قائمة الوحدات'!$C$2:$C$41,MATCH($B582,'قائمة الوحدات'!$A$2:$A$41,0)),"")</f>
        <v>الجهاز العسكري</v>
      </c>
      <c r="E582" s="18" t="str">
        <f aca="false">IFERROR(INDEX('قائمة الوحدات'!$D$2:$D$41,MATCH($B582,'قائمة الوحدات'!$A$2:$A$41,0)),"")</f>
        <v>الإدارة العامة للعلاقات العامة والإعلام العسكري</v>
      </c>
      <c r="F582" s="18" t="str">
        <f aca="false">IFERROR(INDEX('قائمة الوحدات'!$F$2:$F$41,MATCH($B582,'قائمة الوحدات'!$A$2:$A$41,0)),"")</f>
        <v>الإدارة العامة للعلاقات العامة والإعلام العسكري</v>
      </c>
      <c r="G582" s="20" t="s">
        <v>62</v>
      </c>
      <c r="H582" s="18" t="str">
        <f aca="false">IFERROR(INDEX(المرجع!$A$2:$A$19,MATCH($G582,المرجع!$B$2:$B$19,0)),"")</f>
        <v>البناء المؤسسي</v>
      </c>
      <c r="I582" s="20" t="s">
        <v>52</v>
      </c>
      <c r="J582" s="18" t="str">
        <f aca="false">IFERROR(INDEX(المرجع!$D$2:$D$19,MATCH($I582,المرجع!$E$2:$E$19,0)),"")</f>
        <v>الحوكمة</v>
      </c>
      <c r="K582" s="20" t="s">
        <v>96</v>
      </c>
      <c r="L582" s="21" t="str">
        <f aca="false">IFERROR(INDEX('نقاط التحقق'!$G$2:$G$31,MATCH($K582,'نقاط التحقق'!$A$2:$A$31,0))&amp;"","")</f>
        <v>مصفوفة صلاحيات معتمدة ومعممة على أصحاب المصلحة</v>
      </c>
      <c r="M582" s="17" t="n">
        <v>75</v>
      </c>
      <c r="N582" s="17" t="n">
        <v>100</v>
      </c>
      <c r="O582" s="19" t="str">
        <f aca="false">IF($M582="","غير مقيّمة",IF($M582&gt;المرجع!$K$3,"مستوفاة بشكل متقدم",IF($M582&lt;=المرجع!$K$2,"مستوفاة بشكل أولي","مستوفاة بشكل جزئي")))</f>
        <v>مستوفاة بشكل متقدم</v>
      </c>
      <c r="P582" s="22"/>
    </row>
    <row r="583" customFormat="false" ht="15" hidden="false" customHeight="true" outlineLevel="0" collapsed="false">
      <c r="A583" s="20" t="s">
        <v>1397</v>
      </c>
      <c r="B583" s="20" t="s">
        <v>234</v>
      </c>
      <c r="C583" s="19" t="str">
        <f aca="false">IFERROR(INDEX('قائمة الوحدات'!$B$2:$B$41,MATCH($B583,'قائمة الوحدات'!$A$2:$A$41,0)),"")</f>
        <v>MIL</v>
      </c>
      <c r="D583" s="18" t="str">
        <f aca="false">IFERROR(INDEX('قائمة الوحدات'!$C$2:$C$41,MATCH($B583,'قائمة الوحدات'!$A$2:$A$41,0)),"")</f>
        <v>الجهاز العسكري</v>
      </c>
      <c r="E583" s="18" t="str">
        <f aca="false">IFERROR(INDEX('قائمة الوحدات'!$D$2:$D$41,MATCH($B583,'قائمة الوحدات'!$A$2:$A$41,0)),"")</f>
        <v>الإدارة العامة للعلاقات العامة والإعلام العسكري</v>
      </c>
      <c r="F583" s="18" t="str">
        <f aca="false">IFERROR(INDEX('قائمة الوحدات'!$F$2:$F$41,MATCH($B583,'قائمة الوحدات'!$A$2:$A$41,0)),"")</f>
        <v>الإدارة العامة للعلاقات العامة والإعلام العسكري</v>
      </c>
      <c r="G583" s="20" t="s">
        <v>62</v>
      </c>
      <c r="H583" s="18" t="str">
        <f aca="false">IFERROR(INDEX(المرجع!$A$2:$A$19,MATCH($G583,المرجع!$B$2:$B$19,0)),"")</f>
        <v>البناء المؤسسي</v>
      </c>
      <c r="I583" s="20" t="s">
        <v>52</v>
      </c>
      <c r="J583" s="18" t="str">
        <f aca="false">IFERROR(INDEX(المرجع!$D$2:$D$19,MATCH($I583,المرجع!$E$2:$E$19,0)),"")</f>
        <v>الحوكمة</v>
      </c>
      <c r="K583" s="20" t="s">
        <v>98</v>
      </c>
      <c r="L583" s="21" t="str">
        <f aca="false">IFERROR(INDEX('نقاط التحقق'!$G$2:$G$31,MATCH($K583,'نقاط التحقق'!$A$2:$A$31,0))&amp;"","")</f>
        <v>سياسات معتمدة للتي تملكها الوحدة التنظيمية</v>
      </c>
      <c r="M583" s="17" t="n">
        <v>95</v>
      </c>
      <c r="N583" s="17" t="n">
        <v>95</v>
      </c>
      <c r="O583" s="19" t="str">
        <f aca="false">IF($M583="","غير مقيّمة",IF($M583&gt;المرجع!$K$3,"مستوفاة بشكل متقدم",IF($M583&lt;=المرجع!$K$2,"مستوفاة بشكل أولي","مستوفاة بشكل جزئي")))</f>
        <v>مستوفاة بشكل متقدم</v>
      </c>
      <c r="P583" s="22"/>
    </row>
    <row r="584" customFormat="false" ht="15" hidden="false" customHeight="true" outlineLevel="0" collapsed="false">
      <c r="A584" s="20" t="s">
        <v>1398</v>
      </c>
      <c r="B584" s="20" t="s">
        <v>234</v>
      </c>
      <c r="C584" s="19" t="str">
        <f aca="false">IFERROR(INDEX('قائمة الوحدات'!$B$2:$B$41,MATCH($B584,'قائمة الوحدات'!$A$2:$A$41,0)),"")</f>
        <v>MIL</v>
      </c>
      <c r="D584" s="18" t="str">
        <f aca="false">IFERROR(INDEX('قائمة الوحدات'!$C$2:$C$41,MATCH($B584,'قائمة الوحدات'!$A$2:$A$41,0)),"")</f>
        <v>الجهاز العسكري</v>
      </c>
      <c r="E584" s="18" t="str">
        <f aca="false">IFERROR(INDEX('قائمة الوحدات'!$D$2:$D$41,MATCH($B584,'قائمة الوحدات'!$A$2:$A$41,0)),"")</f>
        <v>الإدارة العامة للعلاقات العامة والإعلام العسكري</v>
      </c>
      <c r="F584" s="18" t="str">
        <f aca="false">IFERROR(INDEX('قائمة الوحدات'!$F$2:$F$41,MATCH($B584,'قائمة الوحدات'!$A$2:$A$41,0)),"")</f>
        <v>الإدارة العامة للعلاقات العامة والإعلام العسكري</v>
      </c>
      <c r="G584" s="20" t="s">
        <v>62</v>
      </c>
      <c r="H584" s="18" t="str">
        <f aca="false">IFERROR(INDEX(المرجع!$A$2:$A$19,MATCH($G584,المرجع!$B$2:$B$19,0)),"")</f>
        <v>البناء المؤسسي</v>
      </c>
      <c r="I584" s="20" t="s">
        <v>52</v>
      </c>
      <c r="J584" s="18" t="str">
        <f aca="false">IFERROR(INDEX(المرجع!$D$2:$D$19,MATCH($I584,المرجع!$E$2:$E$19,0)),"")</f>
        <v>الحوكمة</v>
      </c>
      <c r="K584" s="20" t="s">
        <v>100</v>
      </c>
      <c r="L584" s="21" t="str">
        <f aca="false">IFERROR(INDEX('نقاط التحقق'!$G$2:$G$31,MATCH($K584,'نقاط التحقق'!$A$2:$A$31,0))&amp;"","")</f>
        <v>قرار تشكيل معتمد للجان ذات العلاقة</v>
      </c>
      <c r="M584" s="17" t="n">
        <v>85</v>
      </c>
      <c r="N584" s="17" t="n">
        <v>85</v>
      </c>
      <c r="O584" s="19" t="str">
        <f aca="false">IF($M584="","غير مقيّمة",IF($M584&gt;المرجع!$K$3,"مستوفاة بشكل متقدم",IF($M584&lt;=المرجع!$K$2,"مستوفاة بشكل أولي","مستوفاة بشكل جزئي")))</f>
        <v>مستوفاة بشكل متقدم</v>
      </c>
      <c r="P584" s="22"/>
    </row>
    <row r="585" customFormat="false" ht="15" hidden="false" customHeight="true" outlineLevel="0" collapsed="false">
      <c r="A585" s="20" t="s">
        <v>1399</v>
      </c>
      <c r="B585" s="20" t="s">
        <v>234</v>
      </c>
      <c r="C585" s="19" t="str">
        <f aca="false">IFERROR(INDEX('قائمة الوحدات'!$B$2:$B$41,MATCH($B585,'قائمة الوحدات'!$A$2:$A$41,0)),"")</f>
        <v>MIL</v>
      </c>
      <c r="D585" s="18" t="str">
        <f aca="false">IFERROR(INDEX('قائمة الوحدات'!$C$2:$C$41,MATCH($B585,'قائمة الوحدات'!$A$2:$A$41,0)),"")</f>
        <v>الجهاز العسكري</v>
      </c>
      <c r="E585" s="18" t="str">
        <f aca="false">IFERROR(INDEX('قائمة الوحدات'!$D$2:$D$41,MATCH($B585,'قائمة الوحدات'!$A$2:$A$41,0)),"")</f>
        <v>الإدارة العامة للعلاقات العامة والإعلام العسكري</v>
      </c>
      <c r="F585" s="18" t="str">
        <f aca="false">IFERROR(INDEX('قائمة الوحدات'!$F$2:$F$41,MATCH($B585,'قائمة الوحدات'!$A$2:$A$41,0)),"")</f>
        <v>الإدارة العامة للعلاقات العامة والإعلام العسكري</v>
      </c>
      <c r="G585" s="20" t="s">
        <v>62</v>
      </c>
      <c r="H585" s="18" t="str">
        <f aca="false">IFERROR(INDEX(المرجع!$A$2:$A$19,MATCH($G585,المرجع!$B$2:$B$19,0)),"")</f>
        <v>البناء المؤسسي</v>
      </c>
      <c r="I585" s="20" t="s">
        <v>55</v>
      </c>
      <c r="J585" s="18" t="str">
        <f aca="false">IFERROR(INDEX(المرجع!$D$2:$D$19,MATCH($I585,المرجع!$E$2:$E$19,0)),"")</f>
        <v>التنظيم</v>
      </c>
      <c r="K585" s="20" t="s">
        <v>102</v>
      </c>
      <c r="L585" s="21" t="str">
        <f aca="false">IFERROR(INDEX('نقاط التحقق'!$G$2:$G$31,MATCH($K585,'نقاط التحقق'!$A$2:$A$31,0))&amp;"","")</f>
        <v>هيكل تنظيمي معتمد من صاحب الصلاحية</v>
      </c>
      <c r="M585" s="17" t="n">
        <v>55</v>
      </c>
      <c r="N585" s="17" t="n">
        <v>100</v>
      </c>
      <c r="O585" s="19" t="str">
        <f aca="false">IF($M585="","غير مقيّمة",IF($M585&gt;المرجع!$K$3,"مستوفاة بشكل متقدم",IF($M585&lt;=المرجع!$K$2,"مستوفاة بشكل أولي","مستوفاة بشكل جزئي")))</f>
        <v>مستوفاة بشكل جزئي</v>
      </c>
      <c r="P585" s="22"/>
    </row>
    <row r="586" customFormat="false" ht="15" hidden="false" customHeight="true" outlineLevel="0" collapsed="false">
      <c r="A586" s="20" t="s">
        <v>1400</v>
      </c>
      <c r="B586" s="20" t="s">
        <v>234</v>
      </c>
      <c r="C586" s="19" t="str">
        <f aca="false">IFERROR(INDEX('قائمة الوحدات'!$B$2:$B$41,MATCH($B586,'قائمة الوحدات'!$A$2:$A$41,0)),"")</f>
        <v>MIL</v>
      </c>
      <c r="D586" s="18" t="str">
        <f aca="false">IFERROR(INDEX('قائمة الوحدات'!$C$2:$C$41,MATCH($B586,'قائمة الوحدات'!$A$2:$A$41,0)),"")</f>
        <v>الجهاز العسكري</v>
      </c>
      <c r="E586" s="18" t="str">
        <f aca="false">IFERROR(INDEX('قائمة الوحدات'!$D$2:$D$41,MATCH($B586,'قائمة الوحدات'!$A$2:$A$41,0)),"")</f>
        <v>الإدارة العامة للعلاقات العامة والإعلام العسكري</v>
      </c>
      <c r="F586" s="18" t="str">
        <f aca="false">IFERROR(INDEX('قائمة الوحدات'!$F$2:$F$41,MATCH($B586,'قائمة الوحدات'!$A$2:$A$41,0)),"")</f>
        <v>الإدارة العامة للعلاقات العامة والإعلام العسكري</v>
      </c>
      <c r="G586" s="20" t="s">
        <v>62</v>
      </c>
      <c r="H586" s="18" t="str">
        <f aca="false">IFERROR(INDEX(المرجع!$A$2:$A$19,MATCH($G586,المرجع!$B$2:$B$19,0)),"")</f>
        <v>البناء المؤسسي</v>
      </c>
      <c r="I586" s="20" t="s">
        <v>55</v>
      </c>
      <c r="J586" s="18" t="str">
        <f aca="false">IFERROR(INDEX(المرجع!$D$2:$D$19,MATCH($I586,المرجع!$E$2:$E$19,0)),"")</f>
        <v>التنظيم</v>
      </c>
      <c r="K586" s="20" t="s">
        <v>104</v>
      </c>
      <c r="L586" s="21" t="str">
        <f aca="false">IFERROR(INDEX('نقاط التحقق'!$G$2:$G$31,MATCH($K586,'نقاط التحقق'!$A$2:$A$31,0))&amp;"","")</f>
        <v>هيكل تنظيمي منشأ على نظام القوى العاملة</v>
      </c>
      <c r="M586" s="17" t="n">
        <v>45</v>
      </c>
      <c r="N586" s="17" t="n">
        <v>80</v>
      </c>
      <c r="O586" s="19" t="str">
        <f aca="false">IF($M586="","غير مقيّمة",IF($M586&gt;المرجع!$K$3,"مستوفاة بشكل متقدم",IF($M586&lt;=المرجع!$K$2,"مستوفاة بشكل أولي","مستوفاة بشكل جزئي")))</f>
        <v>مستوفاة بشكل جزئي</v>
      </c>
      <c r="P586" s="22"/>
    </row>
    <row r="587" customFormat="false" ht="15" hidden="false" customHeight="true" outlineLevel="0" collapsed="false">
      <c r="A587" s="20" t="s">
        <v>1401</v>
      </c>
      <c r="B587" s="20" t="s">
        <v>234</v>
      </c>
      <c r="C587" s="19" t="str">
        <f aca="false">IFERROR(INDEX('قائمة الوحدات'!$B$2:$B$41,MATCH($B587,'قائمة الوحدات'!$A$2:$A$41,0)),"")</f>
        <v>MIL</v>
      </c>
      <c r="D587" s="18" t="str">
        <f aca="false">IFERROR(INDEX('قائمة الوحدات'!$C$2:$C$41,MATCH($B587,'قائمة الوحدات'!$A$2:$A$41,0)),"")</f>
        <v>الجهاز العسكري</v>
      </c>
      <c r="E587" s="18" t="str">
        <f aca="false">IFERROR(INDEX('قائمة الوحدات'!$D$2:$D$41,MATCH($B587,'قائمة الوحدات'!$A$2:$A$41,0)),"")</f>
        <v>الإدارة العامة للعلاقات العامة والإعلام العسكري</v>
      </c>
      <c r="F587" s="18" t="str">
        <f aca="false">IFERROR(INDEX('قائمة الوحدات'!$F$2:$F$41,MATCH($B587,'قائمة الوحدات'!$A$2:$A$41,0)),"")</f>
        <v>الإدارة العامة للعلاقات العامة والإعلام العسكري</v>
      </c>
      <c r="G587" s="20" t="s">
        <v>62</v>
      </c>
      <c r="H587" s="18" t="str">
        <f aca="false">IFERROR(INDEX(المرجع!$A$2:$A$19,MATCH($G587,المرجع!$B$2:$B$19,0)),"")</f>
        <v>البناء المؤسسي</v>
      </c>
      <c r="I587" s="20" t="s">
        <v>55</v>
      </c>
      <c r="J587" s="18" t="str">
        <f aca="false">IFERROR(INDEX(المرجع!$D$2:$D$19,MATCH($I587,المرجع!$E$2:$E$19,0)),"")</f>
        <v>التنظيم</v>
      </c>
      <c r="K587" s="20" t="s">
        <v>106</v>
      </c>
      <c r="L587" s="21" t="str">
        <f aca="false">IFERROR(INDEX('نقاط التحقق'!$G$2:$G$31,MATCH($K587,'نقاط التحقق'!$A$2:$A$31,0))&amp;"","")</f>
        <v>الموظفون المحددون مسكّنون على الهيكل التنظيمي المستهدف</v>
      </c>
      <c r="M587" s="17" t="n">
        <v>50</v>
      </c>
      <c r="N587" s="17" t="n">
        <v>100</v>
      </c>
      <c r="O587" s="19" t="str">
        <f aca="false">IF($M587="","غير مقيّمة",IF($M587&gt;المرجع!$K$3,"مستوفاة بشكل متقدم",IF($M587&lt;=المرجع!$K$2,"مستوفاة بشكل أولي","مستوفاة بشكل جزئي")))</f>
        <v>مستوفاة بشكل جزئي</v>
      </c>
      <c r="P587" s="22"/>
    </row>
    <row r="588" customFormat="false" ht="15" hidden="false" customHeight="true" outlineLevel="0" collapsed="false">
      <c r="A588" s="20" t="s">
        <v>1402</v>
      </c>
      <c r="B588" s="20" t="s">
        <v>234</v>
      </c>
      <c r="C588" s="19" t="str">
        <f aca="false">IFERROR(INDEX('قائمة الوحدات'!$B$2:$B$41,MATCH($B588,'قائمة الوحدات'!$A$2:$A$41,0)),"")</f>
        <v>MIL</v>
      </c>
      <c r="D588" s="18" t="str">
        <f aca="false">IFERROR(INDEX('قائمة الوحدات'!$C$2:$C$41,MATCH($B588,'قائمة الوحدات'!$A$2:$A$41,0)),"")</f>
        <v>الجهاز العسكري</v>
      </c>
      <c r="E588" s="18" t="str">
        <f aca="false">IFERROR(INDEX('قائمة الوحدات'!$D$2:$D$41,MATCH($B588,'قائمة الوحدات'!$A$2:$A$41,0)),"")</f>
        <v>الإدارة العامة للعلاقات العامة والإعلام العسكري</v>
      </c>
      <c r="F588" s="18" t="str">
        <f aca="false">IFERROR(INDEX('قائمة الوحدات'!$F$2:$F$41,MATCH($B588,'قائمة الوحدات'!$A$2:$A$41,0)),"")</f>
        <v>الإدارة العامة للعلاقات العامة والإعلام العسكري</v>
      </c>
      <c r="G588" s="20" t="s">
        <v>62</v>
      </c>
      <c r="H588" s="18" t="str">
        <f aca="false">IFERROR(INDEX(المرجع!$A$2:$A$19,MATCH($G588,المرجع!$B$2:$B$19,0)),"")</f>
        <v>البناء المؤسسي</v>
      </c>
      <c r="I588" s="20" t="s">
        <v>57</v>
      </c>
      <c r="J588" s="18" t="str">
        <f aca="false">IFERROR(INDEX(المرجع!$D$2:$D$19,MATCH($I588,المرجع!$E$2:$E$19,0)),"")</f>
        <v>الموارد</v>
      </c>
      <c r="K588" s="20" t="s">
        <v>108</v>
      </c>
      <c r="L588" s="21" t="str">
        <f aca="false">IFERROR(INDEX('نقاط التحقق'!$G$2:$G$31,MATCH($K588,'نقاط التحقق'!$A$2:$A$31,0))&amp;"","")</f>
        <v>مدير الوحدة التنظيمية والموظفون الرئيسيون معينون/ملحقون</v>
      </c>
      <c r="M588" s="17" t="n">
        <v>70</v>
      </c>
      <c r="N588" s="17" t="n">
        <v>100</v>
      </c>
      <c r="O588" s="19" t="str">
        <f aca="false">IF($M588="","غير مقيّمة",IF($M588&gt;المرجع!$K$3,"مستوفاة بشكل متقدم",IF($M588&lt;=المرجع!$K$2,"مستوفاة بشكل أولي","مستوفاة بشكل جزئي")))</f>
        <v>مستوفاة بشكل جزئي</v>
      </c>
      <c r="P588" s="22"/>
    </row>
    <row r="589" customFormat="false" ht="15" hidden="false" customHeight="true" outlineLevel="0" collapsed="false">
      <c r="A589" s="20" t="s">
        <v>1403</v>
      </c>
      <c r="B589" s="20" t="s">
        <v>234</v>
      </c>
      <c r="C589" s="19" t="str">
        <f aca="false">IFERROR(INDEX('قائمة الوحدات'!$B$2:$B$41,MATCH($B589,'قائمة الوحدات'!$A$2:$A$41,0)),"")</f>
        <v>MIL</v>
      </c>
      <c r="D589" s="18" t="str">
        <f aca="false">IFERROR(INDEX('قائمة الوحدات'!$C$2:$C$41,MATCH($B589,'قائمة الوحدات'!$A$2:$A$41,0)),"")</f>
        <v>الجهاز العسكري</v>
      </c>
      <c r="E589" s="18" t="str">
        <f aca="false">IFERROR(INDEX('قائمة الوحدات'!$D$2:$D$41,MATCH($B589,'قائمة الوحدات'!$A$2:$A$41,0)),"")</f>
        <v>الإدارة العامة للعلاقات العامة والإعلام العسكري</v>
      </c>
      <c r="F589" s="18" t="str">
        <f aca="false">IFERROR(INDEX('قائمة الوحدات'!$F$2:$F$41,MATCH($B589,'قائمة الوحدات'!$A$2:$A$41,0)),"")</f>
        <v>الإدارة العامة للعلاقات العامة والإعلام العسكري</v>
      </c>
      <c r="G589" s="20" t="s">
        <v>62</v>
      </c>
      <c r="H589" s="18" t="str">
        <f aca="false">IFERROR(INDEX(المرجع!$A$2:$A$19,MATCH($G589,المرجع!$B$2:$B$19,0)),"")</f>
        <v>البناء المؤسسي</v>
      </c>
      <c r="I589" s="20" t="s">
        <v>57</v>
      </c>
      <c r="J589" s="18" t="str">
        <f aca="false">IFERROR(INDEX(المرجع!$D$2:$D$19,MATCH($I589,المرجع!$E$2:$E$19,0)),"")</f>
        <v>الموارد</v>
      </c>
      <c r="K589" s="20" t="s">
        <v>110</v>
      </c>
      <c r="L589" s="21" t="str">
        <f aca="false">IFERROR(INDEX('نقاط التحقق'!$G$2:$G$31,MATCH($K589,'نقاط التحقق'!$A$2:$A$31,0))&amp;"","")</f>
        <v>خطة توظيف وتدريب مستكملة</v>
      </c>
      <c r="M589" s="17" t="n">
        <v>65</v>
      </c>
      <c r="N589" s="17" t="n">
        <v>90</v>
      </c>
      <c r="O589" s="19" t="str">
        <f aca="false">IF($M589="","غير مقيّمة",IF($M589&gt;المرجع!$K$3,"مستوفاة بشكل متقدم",IF($M589&lt;=المرجع!$K$2,"مستوفاة بشكل أولي","مستوفاة بشكل جزئي")))</f>
        <v>مستوفاة بشكل جزئي</v>
      </c>
      <c r="P589" s="22"/>
    </row>
    <row r="590" customFormat="false" ht="15" hidden="false" customHeight="true" outlineLevel="0" collapsed="false">
      <c r="A590" s="20" t="s">
        <v>1404</v>
      </c>
      <c r="B590" s="20" t="s">
        <v>234</v>
      </c>
      <c r="C590" s="19" t="str">
        <f aca="false">IFERROR(INDEX('قائمة الوحدات'!$B$2:$B$41,MATCH($B590,'قائمة الوحدات'!$A$2:$A$41,0)),"")</f>
        <v>MIL</v>
      </c>
      <c r="D590" s="18" t="str">
        <f aca="false">IFERROR(INDEX('قائمة الوحدات'!$C$2:$C$41,MATCH($B590,'قائمة الوحدات'!$A$2:$A$41,0)),"")</f>
        <v>الجهاز العسكري</v>
      </c>
      <c r="E590" s="18" t="str">
        <f aca="false">IFERROR(INDEX('قائمة الوحدات'!$D$2:$D$41,MATCH($B590,'قائمة الوحدات'!$A$2:$A$41,0)),"")</f>
        <v>الإدارة العامة للعلاقات العامة والإعلام العسكري</v>
      </c>
      <c r="F590" s="18" t="str">
        <f aca="false">IFERROR(INDEX('قائمة الوحدات'!$F$2:$F$41,MATCH($B590,'قائمة الوحدات'!$A$2:$A$41,0)),"")</f>
        <v>الإدارة العامة للعلاقات العامة والإعلام العسكري</v>
      </c>
      <c r="G590" s="20" t="s">
        <v>62</v>
      </c>
      <c r="H590" s="18" t="str">
        <f aca="false">IFERROR(INDEX(المرجع!$A$2:$A$19,MATCH($G590,المرجع!$B$2:$B$19,0)),"")</f>
        <v>البناء المؤسسي</v>
      </c>
      <c r="I590" s="20" t="s">
        <v>57</v>
      </c>
      <c r="J590" s="18" t="str">
        <f aca="false">IFERROR(INDEX(المرجع!$D$2:$D$19,MATCH($I590,المرجع!$E$2:$E$19,0)),"")</f>
        <v>الموارد</v>
      </c>
      <c r="K590" s="20" t="s">
        <v>112</v>
      </c>
      <c r="L590" s="21" t="str">
        <f aca="false">IFERROR(INDEX('نقاط التحقق'!$G$2:$G$31,MATCH($K590,'نقاط التحقق'!$A$2:$A$31,0))&amp;"","")</f>
        <v>وجود مساحات مكتبية كافية</v>
      </c>
      <c r="M590" s="17" t="n">
        <v>75</v>
      </c>
      <c r="N590" s="17" t="n">
        <v>85</v>
      </c>
      <c r="O590" s="19" t="str">
        <f aca="false">IF($M590="","غير مقيّمة",IF($M590&gt;المرجع!$K$3,"مستوفاة بشكل متقدم",IF($M590&lt;=المرجع!$K$2,"مستوفاة بشكل أولي","مستوفاة بشكل جزئي")))</f>
        <v>مستوفاة بشكل متقدم</v>
      </c>
      <c r="P590" s="22"/>
    </row>
    <row r="591" customFormat="false" ht="15" hidden="false" customHeight="true" outlineLevel="0" collapsed="false">
      <c r="A591" s="20" t="s">
        <v>1405</v>
      </c>
      <c r="B591" s="20" t="s">
        <v>234</v>
      </c>
      <c r="C591" s="19" t="str">
        <f aca="false">IFERROR(INDEX('قائمة الوحدات'!$B$2:$B$41,MATCH($B591,'قائمة الوحدات'!$A$2:$A$41,0)),"")</f>
        <v>MIL</v>
      </c>
      <c r="D591" s="18" t="str">
        <f aca="false">IFERROR(INDEX('قائمة الوحدات'!$C$2:$C$41,MATCH($B591,'قائمة الوحدات'!$A$2:$A$41,0)),"")</f>
        <v>الجهاز العسكري</v>
      </c>
      <c r="E591" s="18" t="str">
        <f aca="false">IFERROR(INDEX('قائمة الوحدات'!$D$2:$D$41,MATCH($B591,'قائمة الوحدات'!$A$2:$A$41,0)),"")</f>
        <v>الإدارة العامة للعلاقات العامة والإعلام العسكري</v>
      </c>
      <c r="F591" s="18" t="str">
        <f aca="false">IFERROR(INDEX('قائمة الوحدات'!$F$2:$F$41,MATCH($B591,'قائمة الوحدات'!$A$2:$A$41,0)),"")</f>
        <v>الإدارة العامة للعلاقات العامة والإعلام العسكري</v>
      </c>
      <c r="G591" s="20" t="s">
        <v>62</v>
      </c>
      <c r="H591" s="18" t="str">
        <f aca="false">IFERROR(INDEX(المرجع!$A$2:$A$19,MATCH($G591,المرجع!$B$2:$B$19,0)),"")</f>
        <v>البناء المؤسسي</v>
      </c>
      <c r="I591" s="20" t="s">
        <v>57</v>
      </c>
      <c r="J591" s="18" t="str">
        <f aca="false">IFERROR(INDEX(المرجع!$D$2:$D$19,MATCH($I591,المرجع!$E$2:$E$19,0)),"")</f>
        <v>الموارد</v>
      </c>
      <c r="K591" s="20" t="s">
        <v>114</v>
      </c>
      <c r="L591" s="21" t="str">
        <f aca="false">IFERROR(INDEX('نقاط التحقق'!$G$2:$G$31,MATCH($K591,'نقاط التحقق'!$A$2:$A$31,0))&amp;"","")</f>
        <v>وجود الاحتياجات التقنية الأساسية</v>
      </c>
      <c r="M591" s="17" t="n">
        <v>75</v>
      </c>
      <c r="N591" s="17" t="n">
        <v>100</v>
      </c>
      <c r="O591" s="19" t="str">
        <f aca="false">IF($M591="","غير مقيّمة",IF($M591&gt;المرجع!$K$3,"مستوفاة بشكل متقدم",IF($M591&lt;=المرجع!$K$2,"مستوفاة بشكل أولي","مستوفاة بشكل جزئي")))</f>
        <v>مستوفاة بشكل متقدم</v>
      </c>
      <c r="P591" s="22"/>
    </row>
    <row r="592" customFormat="false" ht="15" hidden="false" customHeight="true" outlineLevel="0" collapsed="false">
      <c r="A592" s="20" t="s">
        <v>1406</v>
      </c>
      <c r="B592" s="20" t="s">
        <v>234</v>
      </c>
      <c r="C592" s="19" t="str">
        <f aca="false">IFERROR(INDEX('قائمة الوحدات'!$B$2:$B$41,MATCH($B592,'قائمة الوحدات'!$A$2:$A$41,0)),"")</f>
        <v>MIL</v>
      </c>
      <c r="D592" s="18" t="str">
        <f aca="false">IFERROR(INDEX('قائمة الوحدات'!$C$2:$C$41,MATCH($B592,'قائمة الوحدات'!$A$2:$A$41,0)),"")</f>
        <v>الجهاز العسكري</v>
      </c>
      <c r="E592" s="18" t="str">
        <f aca="false">IFERROR(INDEX('قائمة الوحدات'!$D$2:$D$41,MATCH($B592,'قائمة الوحدات'!$A$2:$A$41,0)),"")</f>
        <v>الإدارة العامة للعلاقات العامة والإعلام العسكري</v>
      </c>
      <c r="F592" s="18" t="str">
        <f aca="false">IFERROR(INDEX('قائمة الوحدات'!$F$2:$F$41,MATCH($B592,'قائمة الوحدات'!$A$2:$A$41,0)),"")</f>
        <v>الإدارة العامة للعلاقات العامة والإعلام العسكري</v>
      </c>
      <c r="G592" s="20" t="s">
        <v>62</v>
      </c>
      <c r="H592" s="18" t="str">
        <f aca="false">IFERROR(INDEX(المرجع!$A$2:$A$19,MATCH($G592,المرجع!$B$2:$B$19,0)),"")</f>
        <v>البناء المؤسسي</v>
      </c>
      <c r="I592" s="20" t="s">
        <v>60</v>
      </c>
      <c r="J592" s="18" t="str">
        <f aca="false">IFERROR(INDEX(المرجع!$D$2:$D$19,MATCH($I592,المرجع!$E$2:$E$19,0)),"")</f>
        <v>الإجراءات</v>
      </c>
      <c r="K592" s="20" t="s">
        <v>116</v>
      </c>
      <c r="L592" s="21" t="str">
        <f aca="false">IFERROR(INDEX('نقاط التحقق'!$G$2:$G$31,MATCH($K592,'نقاط التحقق'!$A$2:$A$31,0))&amp;"","")</f>
        <v>إجراءات معتمدة للوحدة التنظيمية</v>
      </c>
      <c r="M592" s="17" t="n">
        <v>55</v>
      </c>
      <c r="N592" s="17" t="n">
        <v>90</v>
      </c>
      <c r="O592" s="19" t="str">
        <f aca="false">IF($M592="","غير مقيّمة",IF($M592&gt;المرجع!$K$3,"مستوفاة بشكل متقدم",IF($M592&lt;=المرجع!$K$2,"مستوفاة بشكل أولي","مستوفاة بشكل جزئي")))</f>
        <v>مستوفاة بشكل جزئي</v>
      </c>
      <c r="P592" s="22"/>
    </row>
    <row r="593" customFormat="false" ht="15" hidden="false" customHeight="true" outlineLevel="0" collapsed="false">
      <c r="A593" s="20" t="s">
        <v>1407</v>
      </c>
      <c r="B593" s="20" t="s">
        <v>234</v>
      </c>
      <c r="C593" s="19" t="str">
        <f aca="false">IFERROR(INDEX('قائمة الوحدات'!$B$2:$B$41,MATCH($B593,'قائمة الوحدات'!$A$2:$A$41,0)),"")</f>
        <v>MIL</v>
      </c>
      <c r="D593" s="18" t="str">
        <f aca="false">IFERROR(INDEX('قائمة الوحدات'!$C$2:$C$41,MATCH($B593,'قائمة الوحدات'!$A$2:$A$41,0)),"")</f>
        <v>الجهاز العسكري</v>
      </c>
      <c r="E593" s="18" t="str">
        <f aca="false">IFERROR(INDEX('قائمة الوحدات'!$D$2:$D$41,MATCH($B593,'قائمة الوحدات'!$A$2:$A$41,0)),"")</f>
        <v>الإدارة العامة للعلاقات العامة والإعلام العسكري</v>
      </c>
      <c r="F593" s="18" t="str">
        <f aca="false">IFERROR(INDEX('قائمة الوحدات'!$F$2:$F$41,MATCH($B593,'قائمة الوحدات'!$A$2:$A$41,0)),"")</f>
        <v>الإدارة العامة للعلاقات العامة والإعلام العسكري</v>
      </c>
      <c r="G593" s="20" t="s">
        <v>62</v>
      </c>
      <c r="H593" s="18" t="str">
        <f aca="false">IFERROR(INDEX(المرجع!$A$2:$A$19,MATCH($G593,المرجع!$B$2:$B$19,0)),"")</f>
        <v>البناء المؤسسي</v>
      </c>
      <c r="I593" s="20" t="s">
        <v>69</v>
      </c>
      <c r="J593" s="18" t="str">
        <f aca="false">IFERROR(INDEX(المرجع!$D$2:$D$19,MATCH($I593,المرجع!$E$2:$E$19,0)),"")</f>
        <v>إنتاج المخرج الأول</v>
      </c>
      <c r="K593" s="20" t="s">
        <v>118</v>
      </c>
      <c r="L593" s="21" t="str">
        <f aca="false">IFERROR(INDEX('نقاط التحقق'!$G$2:$G$31,MATCH($K593,'نقاط التحقق'!$A$2:$A$31,0))&amp;"","")</f>
        <v>إنتاج المخرج الأول من قبل الوحدة التنظيمية</v>
      </c>
      <c r="M593" s="17" t="n">
        <v>71</v>
      </c>
      <c r="N593" s="17" t="n">
        <v>100</v>
      </c>
      <c r="O593" s="19" t="str">
        <f aca="false">IF($M593="","غير مقيّمة",IF($M593&gt;المرجع!$K$3,"مستوفاة بشكل متقدم",IF($M593&lt;=المرجع!$K$2,"مستوفاة بشكل أولي","مستوفاة بشكل جزئي")))</f>
        <v>مستوفاة بشكل متقدم</v>
      </c>
      <c r="P593" s="22"/>
    </row>
    <row r="594" customFormat="false" ht="15" hidden="false" customHeight="true" outlineLevel="0" collapsed="false">
      <c r="A594" s="20" t="s">
        <v>1408</v>
      </c>
      <c r="B594" s="20" t="s">
        <v>234</v>
      </c>
      <c r="C594" s="19" t="str">
        <f aca="false">IFERROR(INDEX('قائمة الوحدات'!$B$2:$B$41,MATCH($B594,'قائمة الوحدات'!$A$2:$A$41,0)),"")</f>
        <v>MIL</v>
      </c>
      <c r="D594" s="18" t="str">
        <f aca="false">IFERROR(INDEX('قائمة الوحدات'!$C$2:$C$41,MATCH($B594,'قائمة الوحدات'!$A$2:$A$41,0)),"")</f>
        <v>الجهاز العسكري</v>
      </c>
      <c r="E594" s="18" t="str">
        <f aca="false">IFERROR(INDEX('قائمة الوحدات'!$D$2:$D$41,MATCH($B594,'قائمة الوحدات'!$A$2:$A$41,0)),"")</f>
        <v>الإدارة العامة للعلاقات العامة والإعلام العسكري</v>
      </c>
      <c r="F594" s="18" t="str">
        <f aca="false">IFERROR(INDEX('قائمة الوحدات'!$F$2:$F$41,MATCH($B594,'قائمة الوحدات'!$A$2:$A$41,0)),"")</f>
        <v>الإدارة العامة للعلاقات العامة والإعلام العسكري</v>
      </c>
      <c r="G594" s="20" t="s">
        <v>66</v>
      </c>
      <c r="H594" s="18" t="str">
        <f aca="false">IFERROR(INDEX(المرجع!$A$2:$A$19,MATCH($G594,المرجع!$B$2:$B$19,0)),"")</f>
        <v>التشغيل</v>
      </c>
      <c r="I594" s="20" t="s">
        <v>49</v>
      </c>
      <c r="J594" s="18" t="str">
        <f aca="false">IFERROR(INDEX(المرجع!$D$2:$D$19,MATCH($I594,المرجع!$E$2:$E$19,0)),"")</f>
        <v>الأهداف ومؤشرات الأداء</v>
      </c>
      <c r="K594" s="20" t="s">
        <v>120</v>
      </c>
      <c r="L594" s="21" t="str">
        <f aca="false">IFERROR(INDEX('نقاط التحقق'!$G$2:$G$31,MATCH($K594,'نقاط التحقق'!$A$2:$A$31,0))&amp;"","")</f>
        <v>تحرك مؤشرات الأداء التشغيلي للوحدة التنظيمية بشكل إيجابي</v>
      </c>
      <c r="M594" s="17" t="n">
        <v>40</v>
      </c>
      <c r="N594" s="17" t="n">
        <v>100</v>
      </c>
      <c r="O594" s="19" t="str">
        <f aca="false">IF($M594="","غير مقيّمة",IF($M594&gt;المرجع!$K$3,"مستوفاة بشكل متقدم",IF($M594&lt;=المرجع!$K$2,"مستوفاة بشكل أولي","مستوفاة بشكل جزئي")))</f>
        <v>مستوفاة بشكل جزئي</v>
      </c>
      <c r="P594" s="22"/>
    </row>
    <row r="595" customFormat="false" ht="15" hidden="false" customHeight="true" outlineLevel="0" collapsed="false">
      <c r="A595" s="20" t="s">
        <v>1409</v>
      </c>
      <c r="B595" s="20" t="s">
        <v>234</v>
      </c>
      <c r="C595" s="19" t="str">
        <f aca="false">IFERROR(INDEX('قائمة الوحدات'!$B$2:$B$41,MATCH($B595,'قائمة الوحدات'!$A$2:$A$41,0)),"")</f>
        <v>MIL</v>
      </c>
      <c r="D595" s="18" t="str">
        <f aca="false">IFERROR(INDEX('قائمة الوحدات'!$C$2:$C$41,MATCH($B595,'قائمة الوحدات'!$A$2:$A$41,0)),"")</f>
        <v>الجهاز العسكري</v>
      </c>
      <c r="E595" s="18" t="str">
        <f aca="false">IFERROR(INDEX('قائمة الوحدات'!$D$2:$D$41,MATCH($B595,'قائمة الوحدات'!$A$2:$A$41,0)),"")</f>
        <v>الإدارة العامة للعلاقات العامة والإعلام العسكري</v>
      </c>
      <c r="F595" s="18" t="str">
        <f aca="false">IFERROR(INDEX('قائمة الوحدات'!$F$2:$F$41,MATCH($B595,'قائمة الوحدات'!$A$2:$A$41,0)),"")</f>
        <v>الإدارة العامة للعلاقات العامة والإعلام العسكري</v>
      </c>
      <c r="G595" s="20" t="s">
        <v>66</v>
      </c>
      <c r="H595" s="18" t="str">
        <f aca="false">IFERROR(INDEX(المرجع!$A$2:$A$19,MATCH($G595,المرجع!$B$2:$B$19,0)),"")</f>
        <v>التشغيل</v>
      </c>
      <c r="I595" s="20" t="s">
        <v>49</v>
      </c>
      <c r="J595" s="18" t="str">
        <f aca="false">IFERROR(INDEX(المرجع!$D$2:$D$19,MATCH($I595,المرجع!$E$2:$E$19,0)),"")</f>
        <v>الأهداف ومؤشرات الأداء</v>
      </c>
      <c r="K595" s="20" t="s">
        <v>122</v>
      </c>
      <c r="L595" s="21" t="str">
        <f aca="false">IFERROR(INDEX('نقاط التحقق'!$G$2:$G$31,MATCH($K595,'نقاط التحقق'!$A$2:$A$31,0))&amp;"","")</f>
        <v>خطة سنوية معتمدة للوحدة التنظيمية</v>
      </c>
      <c r="M595" s="17" t="n">
        <v>30</v>
      </c>
      <c r="N595" s="17" t="n">
        <v>95</v>
      </c>
      <c r="O595" s="19" t="str">
        <f aca="false">IF($M595="","غير مقيّمة",IF($M595&gt;المرجع!$K$3,"مستوفاة بشكل متقدم",IF($M595&lt;=المرجع!$K$2,"مستوفاة بشكل أولي","مستوفاة بشكل جزئي")))</f>
        <v>مستوفاة بشكل أولي</v>
      </c>
      <c r="P595" s="22"/>
    </row>
    <row r="596" customFormat="false" ht="15" hidden="false" customHeight="true" outlineLevel="0" collapsed="false">
      <c r="A596" s="20" t="s">
        <v>1410</v>
      </c>
      <c r="B596" s="20" t="s">
        <v>234</v>
      </c>
      <c r="C596" s="19" t="str">
        <f aca="false">IFERROR(INDEX('قائمة الوحدات'!$B$2:$B$41,MATCH($B596,'قائمة الوحدات'!$A$2:$A$41,0)),"")</f>
        <v>MIL</v>
      </c>
      <c r="D596" s="18" t="str">
        <f aca="false">IFERROR(INDEX('قائمة الوحدات'!$C$2:$C$41,MATCH($B596,'قائمة الوحدات'!$A$2:$A$41,0)),"")</f>
        <v>الجهاز العسكري</v>
      </c>
      <c r="E596" s="18" t="str">
        <f aca="false">IFERROR(INDEX('قائمة الوحدات'!$D$2:$D$41,MATCH($B596,'قائمة الوحدات'!$A$2:$A$41,0)),"")</f>
        <v>الإدارة العامة للعلاقات العامة والإعلام العسكري</v>
      </c>
      <c r="F596" s="18" t="str">
        <f aca="false">IFERROR(INDEX('قائمة الوحدات'!$F$2:$F$41,MATCH($B596,'قائمة الوحدات'!$A$2:$A$41,0)),"")</f>
        <v>الإدارة العامة للعلاقات العامة والإعلام العسكري</v>
      </c>
      <c r="G596" s="20" t="s">
        <v>66</v>
      </c>
      <c r="H596" s="18" t="str">
        <f aca="false">IFERROR(INDEX(المرجع!$A$2:$A$19,MATCH($G596,المرجع!$B$2:$B$19,0)),"")</f>
        <v>التشغيل</v>
      </c>
      <c r="I596" s="20" t="s">
        <v>52</v>
      </c>
      <c r="J596" s="18" t="str">
        <f aca="false">IFERROR(INDEX(المرجع!$D$2:$D$19,MATCH($I596,المرجع!$E$2:$E$19,0)),"")</f>
        <v>الحوكمة</v>
      </c>
      <c r="K596" s="20" t="s">
        <v>124</v>
      </c>
      <c r="L596" s="21" t="str">
        <f aca="false">IFERROR(INDEX('نقاط التحقق'!$G$2:$G$31,MATCH($K596,'نقاط التحقق'!$A$2:$A$31,0))&amp;"","")</f>
        <v>محاضر لجان موثقة</v>
      </c>
      <c r="M596" s="17" t="n">
        <v>25</v>
      </c>
      <c r="N596" s="17" t="n">
        <v>100</v>
      </c>
      <c r="O596" s="19" t="str">
        <f aca="false">IF($M596="","غير مقيّمة",IF($M596&gt;المرجع!$K$3,"مستوفاة بشكل متقدم",IF($M596&lt;=المرجع!$K$2,"مستوفاة بشكل أولي","مستوفاة بشكل جزئي")))</f>
        <v>مستوفاة بشكل أولي</v>
      </c>
      <c r="P596" s="22"/>
    </row>
    <row r="597" customFormat="false" ht="15" hidden="false" customHeight="true" outlineLevel="0" collapsed="false">
      <c r="A597" s="20" t="s">
        <v>1411</v>
      </c>
      <c r="B597" s="20" t="s">
        <v>234</v>
      </c>
      <c r="C597" s="19" t="str">
        <f aca="false">IFERROR(INDEX('قائمة الوحدات'!$B$2:$B$41,MATCH($B597,'قائمة الوحدات'!$A$2:$A$41,0)),"")</f>
        <v>MIL</v>
      </c>
      <c r="D597" s="18" t="str">
        <f aca="false">IFERROR(INDEX('قائمة الوحدات'!$C$2:$C$41,MATCH($B597,'قائمة الوحدات'!$A$2:$A$41,0)),"")</f>
        <v>الجهاز العسكري</v>
      </c>
      <c r="E597" s="18" t="str">
        <f aca="false">IFERROR(INDEX('قائمة الوحدات'!$D$2:$D$41,MATCH($B597,'قائمة الوحدات'!$A$2:$A$41,0)),"")</f>
        <v>الإدارة العامة للعلاقات العامة والإعلام العسكري</v>
      </c>
      <c r="F597" s="18" t="str">
        <f aca="false">IFERROR(INDEX('قائمة الوحدات'!$F$2:$F$41,MATCH($B597,'قائمة الوحدات'!$A$2:$A$41,0)),"")</f>
        <v>الإدارة العامة للعلاقات العامة والإعلام العسكري</v>
      </c>
      <c r="G597" s="20" t="s">
        <v>66</v>
      </c>
      <c r="H597" s="18" t="str">
        <f aca="false">IFERROR(INDEX(المرجع!$A$2:$A$19,MATCH($G597,المرجع!$B$2:$B$19,0)),"")</f>
        <v>التشغيل</v>
      </c>
      <c r="I597" s="20" t="s">
        <v>52</v>
      </c>
      <c r="J597" s="18" t="str">
        <f aca="false">IFERROR(INDEX(المرجع!$D$2:$D$19,MATCH($I597,المرجع!$E$2:$E$19,0)),"")</f>
        <v>الحوكمة</v>
      </c>
      <c r="K597" s="20" t="s">
        <v>126</v>
      </c>
      <c r="L597" s="21" t="str">
        <f aca="false">IFERROR(INDEX('نقاط التحقق'!$G$2:$G$31,MATCH($K597,'نقاط التحقق'!$A$2:$A$31,0))&amp;"","")</f>
        <v>نشر السياسات التي تملكها الوحدة التنظيمية</v>
      </c>
      <c r="M597" s="17" t="n">
        <v>45</v>
      </c>
      <c r="N597" s="17" t="n">
        <v>100</v>
      </c>
      <c r="O597" s="19" t="str">
        <f aca="false">IF($M597="","غير مقيّمة",IF($M597&gt;المرجع!$K$3,"مستوفاة بشكل متقدم",IF($M597&lt;=المرجع!$K$2,"مستوفاة بشكل أولي","مستوفاة بشكل جزئي")))</f>
        <v>مستوفاة بشكل جزئي</v>
      </c>
      <c r="P597" s="22"/>
    </row>
    <row r="598" customFormat="false" ht="15" hidden="false" customHeight="true" outlineLevel="0" collapsed="false">
      <c r="A598" s="20" t="s">
        <v>1412</v>
      </c>
      <c r="B598" s="20" t="s">
        <v>234</v>
      </c>
      <c r="C598" s="19" t="str">
        <f aca="false">IFERROR(INDEX('قائمة الوحدات'!$B$2:$B$41,MATCH($B598,'قائمة الوحدات'!$A$2:$A$41,0)),"")</f>
        <v>MIL</v>
      </c>
      <c r="D598" s="18" t="str">
        <f aca="false">IFERROR(INDEX('قائمة الوحدات'!$C$2:$C$41,MATCH($B598,'قائمة الوحدات'!$A$2:$A$41,0)),"")</f>
        <v>الجهاز العسكري</v>
      </c>
      <c r="E598" s="18" t="str">
        <f aca="false">IFERROR(INDEX('قائمة الوحدات'!$D$2:$D$41,MATCH($B598,'قائمة الوحدات'!$A$2:$A$41,0)),"")</f>
        <v>الإدارة العامة للعلاقات العامة والإعلام العسكري</v>
      </c>
      <c r="F598" s="18" t="str">
        <f aca="false">IFERROR(INDEX('قائمة الوحدات'!$F$2:$F$41,MATCH($B598,'قائمة الوحدات'!$A$2:$A$41,0)),"")</f>
        <v>الإدارة العامة للعلاقات العامة والإعلام العسكري</v>
      </c>
      <c r="G598" s="20" t="s">
        <v>66</v>
      </c>
      <c r="H598" s="18" t="str">
        <f aca="false">IFERROR(INDEX(المرجع!$A$2:$A$19,MATCH($G598,المرجع!$B$2:$B$19,0)),"")</f>
        <v>التشغيل</v>
      </c>
      <c r="I598" s="20" t="s">
        <v>52</v>
      </c>
      <c r="J598" s="18" t="str">
        <f aca="false">IFERROR(INDEX(المرجع!$D$2:$D$19,MATCH($I598,المرجع!$E$2:$E$19,0)),"")</f>
        <v>الحوكمة</v>
      </c>
      <c r="K598" s="20" t="s">
        <v>128</v>
      </c>
      <c r="L598" s="21" t="str">
        <f aca="false">IFERROR(INDEX('نقاط التحقق'!$G$2:$G$31,MATCH($K598,'نقاط التحقق'!$A$2:$A$31,0))&amp;"","")</f>
        <v>اتخاذ القرارات في نطاق الصلاحيات (وجود شواهد)</v>
      </c>
      <c r="M598" s="17" t="n">
        <v>35</v>
      </c>
      <c r="N598" s="17" t="n">
        <v>80</v>
      </c>
      <c r="O598" s="19" t="str">
        <f aca="false">IF($M598="","غير مقيّمة",IF($M598&gt;المرجع!$K$3,"مستوفاة بشكل متقدم",IF($M598&lt;=المرجع!$K$2,"مستوفاة بشكل أولي","مستوفاة بشكل جزئي")))</f>
        <v>مستوفاة بشكل جزئي</v>
      </c>
      <c r="P598" s="22"/>
    </row>
    <row r="599" customFormat="false" ht="15" hidden="false" customHeight="true" outlineLevel="0" collapsed="false">
      <c r="A599" s="20" t="s">
        <v>1413</v>
      </c>
      <c r="B599" s="20" t="s">
        <v>234</v>
      </c>
      <c r="C599" s="19" t="str">
        <f aca="false">IFERROR(INDEX('قائمة الوحدات'!$B$2:$B$41,MATCH($B599,'قائمة الوحدات'!$A$2:$A$41,0)),"")</f>
        <v>MIL</v>
      </c>
      <c r="D599" s="18" t="str">
        <f aca="false">IFERROR(INDEX('قائمة الوحدات'!$C$2:$C$41,MATCH($B599,'قائمة الوحدات'!$A$2:$A$41,0)),"")</f>
        <v>الجهاز العسكري</v>
      </c>
      <c r="E599" s="18" t="str">
        <f aca="false">IFERROR(INDEX('قائمة الوحدات'!$D$2:$D$41,MATCH($B599,'قائمة الوحدات'!$A$2:$A$41,0)),"")</f>
        <v>الإدارة العامة للعلاقات العامة والإعلام العسكري</v>
      </c>
      <c r="F599" s="18" t="str">
        <f aca="false">IFERROR(INDEX('قائمة الوحدات'!$F$2:$F$41,MATCH($B599,'قائمة الوحدات'!$A$2:$A$41,0)),"")</f>
        <v>الإدارة العامة للعلاقات العامة والإعلام العسكري</v>
      </c>
      <c r="G599" s="20" t="s">
        <v>66</v>
      </c>
      <c r="H599" s="18" t="str">
        <f aca="false">IFERROR(INDEX(المرجع!$A$2:$A$19,MATCH($G599,المرجع!$B$2:$B$19,0)),"")</f>
        <v>التشغيل</v>
      </c>
      <c r="I599" s="20" t="s">
        <v>57</v>
      </c>
      <c r="J599" s="18" t="str">
        <f aca="false">IFERROR(INDEX(المرجع!$D$2:$D$19,MATCH($I599,المرجع!$E$2:$E$19,0)),"")</f>
        <v>الموارد</v>
      </c>
      <c r="K599" s="20" t="s">
        <v>130</v>
      </c>
      <c r="L599" s="21" t="str">
        <f aca="false">IFERROR(INDEX('نقاط التحقق'!$G$2:$G$31,MATCH($K599,'نقاط التحقق'!$A$2:$A$31,0))&amp;"","")</f>
        <v>موارد مستكملة للحد الأدنى الذي يغطي كافة محاور سلسلة القيمة</v>
      </c>
      <c r="M599" s="17" t="n">
        <v>47</v>
      </c>
      <c r="N599" s="17" t="n">
        <v>80</v>
      </c>
      <c r="O599" s="19" t="str">
        <f aca="false">IF($M599="","غير مقيّمة",IF($M599&gt;المرجع!$K$3,"مستوفاة بشكل متقدم",IF($M599&lt;=المرجع!$K$2,"مستوفاة بشكل أولي","مستوفاة بشكل جزئي")))</f>
        <v>مستوفاة بشكل جزئي</v>
      </c>
      <c r="P599" s="22"/>
    </row>
    <row r="600" customFormat="false" ht="15" hidden="false" customHeight="true" outlineLevel="0" collapsed="false">
      <c r="A600" s="20" t="s">
        <v>1414</v>
      </c>
      <c r="B600" s="20" t="s">
        <v>234</v>
      </c>
      <c r="C600" s="19" t="str">
        <f aca="false">IFERROR(INDEX('قائمة الوحدات'!$B$2:$B$41,MATCH($B600,'قائمة الوحدات'!$A$2:$A$41,0)),"")</f>
        <v>MIL</v>
      </c>
      <c r="D600" s="18" t="str">
        <f aca="false">IFERROR(INDEX('قائمة الوحدات'!$C$2:$C$41,MATCH($B600,'قائمة الوحدات'!$A$2:$A$41,0)),"")</f>
        <v>الجهاز العسكري</v>
      </c>
      <c r="E600" s="18" t="str">
        <f aca="false">IFERROR(INDEX('قائمة الوحدات'!$D$2:$D$41,MATCH($B600,'قائمة الوحدات'!$A$2:$A$41,0)),"")</f>
        <v>الإدارة العامة للعلاقات العامة والإعلام العسكري</v>
      </c>
      <c r="F600" s="18" t="str">
        <f aca="false">IFERROR(INDEX('قائمة الوحدات'!$F$2:$F$41,MATCH($B600,'قائمة الوحدات'!$A$2:$A$41,0)),"")</f>
        <v>الإدارة العامة للعلاقات العامة والإعلام العسكري</v>
      </c>
      <c r="G600" s="20" t="s">
        <v>66</v>
      </c>
      <c r="H600" s="18" t="str">
        <f aca="false">IFERROR(INDEX(المرجع!$A$2:$A$19,MATCH($G600,المرجع!$B$2:$B$19,0)),"")</f>
        <v>التشغيل</v>
      </c>
      <c r="I600" s="20" t="s">
        <v>60</v>
      </c>
      <c r="J600" s="18" t="str">
        <f aca="false">IFERROR(INDEX(المرجع!$D$2:$D$19,MATCH($I600,المرجع!$E$2:$E$19,0)),"")</f>
        <v>الإجراءات</v>
      </c>
      <c r="K600" s="20" t="s">
        <v>132</v>
      </c>
      <c r="L600" s="21" t="str">
        <f aca="false">IFERROR(INDEX('نقاط التحقق'!$G$2:$G$31,MATCH($K600,'نقاط التحقق'!$A$2:$A$31,0))&amp;"","")</f>
        <v>تحقيق تقييم "مطبق بشكل كامل" من منهجية تقييم فعالية الإجراءات</v>
      </c>
      <c r="M600" s="17" t="n">
        <v>20</v>
      </c>
      <c r="N600" s="17" t="n">
        <v>80</v>
      </c>
      <c r="O600" s="19" t="str">
        <f aca="false">IF($M600="","غير مقيّمة",IF($M600&gt;المرجع!$K$3,"مستوفاة بشكل متقدم",IF($M600&lt;=المرجع!$K$2,"مستوفاة بشكل أولي","مستوفاة بشكل جزئي")))</f>
        <v>مستوفاة بشكل أولي</v>
      </c>
      <c r="P600" s="22"/>
    </row>
    <row r="601" customFormat="false" ht="15" hidden="false" customHeight="true" outlineLevel="0" collapsed="false">
      <c r="A601" s="20" t="s">
        <v>1415</v>
      </c>
      <c r="B601" s="20" t="s">
        <v>234</v>
      </c>
      <c r="C601" s="19" t="str">
        <f aca="false">IFERROR(INDEX('قائمة الوحدات'!$B$2:$B$41,MATCH($B601,'قائمة الوحدات'!$A$2:$A$41,0)),"")</f>
        <v>MIL</v>
      </c>
      <c r="D601" s="18" t="str">
        <f aca="false">IFERROR(INDEX('قائمة الوحدات'!$C$2:$C$41,MATCH($B601,'قائمة الوحدات'!$A$2:$A$41,0)),"")</f>
        <v>الجهاز العسكري</v>
      </c>
      <c r="E601" s="18" t="str">
        <f aca="false">IFERROR(INDEX('قائمة الوحدات'!$D$2:$D$41,MATCH($B601,'قائمة الوحدات'!$A$2:$A$41,0)),"")</f>
        <v>الإدارة العامة للعلاقات العامة والإعلام العسكري</v>
      </c>
      <c r="F601" s="18" t="str">
        <f aca="false">IFERROR(INDEX('قائمة الوحدات'!$F$2:$F$41,MATCH($B601,'قائمة الوحدات'!$A$2:$A$41,0)),"")</f>
        <v>الإدارة العامة للعلاقات العامة والإعلام العسكري</v>
      </c>
      <c r="G601" s="20" t="s">
        <v>66</v>
      </c>
      <c r="H601" s="18" t="str">
        <f aca="false">IFERROR(INDEX(المرجع!$A$2:$A$19,MATCH($G601,المرجع!$B$2:$B$19,0)),"")</f>
        <v>التشغيل</v>
      </c>
      <c r="I601" s="20" t="s">
        <v>71</v>
      </c>
      <c r="J601" s="18" t="str">
        <f aca="false">IFERROR(INDEX(المرجع!$D$2:$D$19,MATCH($I601,المرجع!$E$2:$E$19,0)),"")</f>
        <v>اكتمال المخرجات المستهدفة</v>
      </c>
      <c r="K601" s="20" t="s">
        <v>134</v>
      </c>
      <c r="L601" s="21" t="str">
        <f aca="false">IFERROR(INDEX('نقاط التحقق'!$G$2:$G$31,MATCH($K601,'نقاط التحقق'!$A$2:$A$31,0))&amp;"","")</f>
        <v>اكتمال مخرجات النموذج التشغيلي المستهدف للوحدة التنظيمية</v>
      </c>
      <c r="M601" s="17" t="n">
        <v>40</v>
      </c>
      <c r="N601" s="17" t="n">
        <v>90</v>
      </c>
      <c r="O601" s="19" t="str">
        <f aca="false">IF($M601="","غير مقيّمة",IF($M601&gt;المرجع!$K$3,"مستوفاة بشكل متقدم",IF($M601&lt;=المرجع!$K$2,"مستوفاة بشكل أولي","مستوفاة بشكل جزئي")))</f>
        <v>مستوفاة بشكل جزئي</v>
      </c>
      <c r="P601" s="22"/>
    </row>
    <row r="602" customFormat="false" ht="15" hidden="false" customHeight="true" outlineLevel="0" collapsed="false">
      <c r="A602" s="20" t="s">
        <v>1416</v>
      </c>
      <c r="B602" s="20" t="s">
        <v>236</v>
      </c>
      <c r="C602" s="19" t="str">
        <f aca="false">IFERROR(INDEX('قائمة الوحدات'!$B$2:$B$41,MATCH($B602,'قائمة الوحدات'!$A$2:$A$41,0)),"")</f>
        <v>MIL</v>
      </c>
      <c r="D602" s="18" t="str">
        <f aca="false">IFERROR(INDEX('قائمة الوحدات'!$C$2:$C$41,MATCH($B602,'قائمة الوحدات'!$A$2:$A$41,0)),"")</f>
        <v>الجهاز العسكري</v>
      </c>
      <c r="E602" s="18" t="str">
        <f aca="false">IFERROR(INDEX('قائمة الوحدات'!$D$2:$D$41,MATCH($B602,'قائمة الوحدات'!$A$2:$A$41,0)),"")</f>
        <v>الإدارة العامة للمراسم والتشريفات العسكرية</v>
      </c>
      <c r="F602" s="18" t="str">
        <f aca="false">IFERROR(INDEX('قائمة الوحدات'!$F$2:$F$41,MATCH($B602,'قائمة الوحدات'!$A$2:$A$41,0)),"")</f>
        <v>الإدارة العامة للمراسم والتشريفات العسكرية</v>
      </c>
      <c r="G602" s="20" t="s">
        <v>44</v>
      </c>
      <c r="H602" s="18" t="str">
        <f aca="false">IFERROR(INDEX(المرجع!$A$2:$A$19,MATCH($G602,المرجع!$B$2:$B$19,0)),"")</f>
        <v>التصميم</v>
      </c>
      <c r="I602" s="20" t="s">
        <v>46</v>
      </c>
      <c r="J602" s="18" t="str">
        <f aca="false">IFERROR(INDEX(المرجع!$D$2:$D$19,MATCH($I602,المرجع!$E$2:$E$19,0)),"")</f>
        <v>الدور</v>
      </c>
      <c r="K602" s="20" t="s">
        <v>76</v>
      </c>
      <c r="L602" s="21" t="str">
        <f aca="false">IFERROR(INDEX('نقاط التحقق'!$G$2:$G$31,MATCH($K602,'نقاط التحقق'!$A$2:$A$31,0))&amp;"","")</f>
        <v>دور مفصل للوحدة التنظيمية</v>
      </c>
      <c r="M602" s="17" t="n">
        <v>88</v>
      </c>
      <c r="N602" s="17" t="n">
        <v>100</v>
      </c>
      <c r="O602" s="19" t="str">
        <f aca="false">IF($M602="","غير مقيّمة",IF($M602&gt;المرجع!$K$3,"مستوفاة بشكل متقدم",IF($M602&lt;=المرجع!$K$2,"مستوفاة بشكل أولي","مستوفاة بشكل جزئي")))</f>
        <v>مستوفاة بشكل متقدم</v>
      </c>
      <c r="P602" s="22"/>
    </row>
    <row r="603" customFormat="false" ht="15" hidden="false" customHeight="true" outlineLevel="0" collapsed="false">
      <c r="A603" s="20" t="s">
        <v>1417</v>
      </c>
      <c r="B603" s="20" t="s">
        <v>236</v>
      </c>
      <c r="C603" s="19" t="str">
        <f aca="false">IFERROR(INDEX('قائمة الوحدات'!$B$2:$B$41,MATCH($B603,'قائمة الوحدات'!$A$2:$A$41,0)),"")</f>
        <v>MIL</v>
      </c>
      <c r="D603" s="18" t="str">
        <f aca="false">IFERROR(INDEX('قائمة الوحدات'!$C$2:$C$41,MATCH($B603,'قائمة الوحدات'!$A$2:$A$41,0)),"")</f>
        <v>الجهاز العسكري</v>
      </c>
      <c r="E603" s="18" t="str">
        <f aca="false">IFERROR(INDEX('قائمة الوحدات'!$D$2:$D$41,MATCH($B603,'قائمة الوحدات'!$A$2:$A$41,0)),"")</f>
        <v>الإدارة العامة للمراسم والتشريفات العسكرية</v>
      </c>
      <c r="F603" s="18" t="str">
        <f aca="false">IFERROR(INDEX('قائمة الوحدات'!$F$2:$F$41,MATCH($B603,'قائمة الوحدات'!$A$2:$A$41,0)),"")</f>
        <v>الإدارة العامة للمراسم والتشريفات العسكرية</v>
      </c>
      <c r="G603" s="20" t="s">
        <v>44</v>
      </c>
      <c r="H603" s="18" t="str">
        <f aca="false">IFERROR(INDEX(المرجع!$A$2:$A$19,MATCH($G603,المرجع!$B$2:$B$19,0)),"")</f>
        <v>التصميم</v>
      </c>
      <c r="I603" s="20" t="s">
        <v>49</v>
      </c>
      <c r="J603" s="18" t="str">
        <f aca="false">IFERROR(INDEX(المرجع!$D$2:$D$19,MATCH($I603,المرجع!$E$2:$E$19,0)),"")</f>
        <v>الأهداف ومؤشرات الأداء</v>
      </c>
      <c r="K603" s="20" t="s">
        <v>78</v>
      </c>
      <c r="L603" s="21" t="str">
        <f aca="false">IFERROR(INDEX('نقاط التحقق'!$G$2:$G$31,MATCH($K603,'نقاط التحقق'!$A$2:$A$31,0))&amp;"","")</f>
        <v>أهداف محددة للوحدة التنظيمية وربطها بمؤشرات أداء لقياسها</v>
      </c>
      <c r="M603" s="17" t="n">
        <v>95</v>
      </c>
      <c r="N603" s="17" t="n">
        <v>100</v>
      </c>
      <c r="O603" s="19" t="str">
        <f aca="false">IF($M603="","غير مقيّمة",IF($M603&gt;المرجع!$K$3,"مستوفاة بشكل متقدم",IF($M603&lt;=المرجع!$K$2,"مستوفاة بشكل أولي","مستوفاة بشكل جزئي")))</f>
        <v>مستوفاة بشكل متقدم</v>
      </c>
      <c r="P603" s="22"/>
    </row>
    <row r="604" customFormat="false" ht="15" hidden="false" customHeight="true" outlineLevel="0" collapsed="false">
      <c r="A604" s="20" t="s">
        <v>1418</v>
      </c>
      <c r="B604" s="20" t="s">
        <v>236</v>
      </c>
      <c r="C604" s="19" t="str">
        <f aca="false">IFERROR(INDEX('قائمة الوحدات'!$B$2:$B$41,MATCH($B604,'قائمة الوحدات'!$A$2:$A$41,0)),"")</f>
        <v>MIL</v>
      </c>
      <c r="D604" s="18" t="str">
        <f aca="false">IFERROR(INDEX('قائمة الوحدات'!$C$2:$C$41,MATCH($B604,'قائمة الوحدات'!$A$2:$A$41,0)),"")</f>
        <v>الجهاز العسكري</v>
      </c>
      <c r="E604" s="18" t="str">
        <f aca="false">IFERROR(INDEX('قائمة الوحدات'!$D$2:$D$41,MATCH($B604,'قائمة الوحدات'!$A$2:$A$41,0)),"")</f>
        <v>الإدارة العامة للمراسم والتشريفات العسكرية</v>
      </c>
      <c r="F604" s="18" t="str">
        <f aca="false">IFERROR(INDEX('قائمة الوحدات'!$F$2:$F$41,MATCH($B604,'قائمة الوحدات'!$A$2:$A$41,0)),"")</f>
        <v>الإدارة العامة للمراسم والتشريفات العسكرية</v>
      </c>
      <c r="G604" s="20" t="s">
        <v>44</v>
      </c>
      <c r="H604" s="18" t="str">
        <f aca="false">IFERROR(INDEX(المرجع!$A$2:$A$19,MATCH($G604,المرجع!$B$2:$B$19,0)),"")</f>
        <v>التصميم</v>
      </c>
      <c r="I604" s="20" t="s">
        <v>49</v>
      </c>
      <c r="J604" s="18" t="str">
        <f aca="false">IFERROR(INDEX(المرجع!$D$2:$D$19,MATCH($I604,المرجع!$E$2:$E$19,0)),"")</f>
        <v>الأهداف ومؤشرات الأداء</v>
      </c>
      <c r="K604" s="20" t="s">
        <v>80</v>
      </c>
      <c r="L604" s="21" t="str">
        <f aca="false">IFERROR(INDEX('نقاط التحقق'!$G$2:$G$31,MATCH($K604,'نقاط التحقق'!$A$2:$A$31,0))&amp;"","")</f>
        <v>مؤشرات أداء الوحدة التنظيمية</v>
      </c>
      <c r="M604" s="17" t="n">
        <v>80</v>
      </c>
      <c r="N604" s="17" t="n">
        <v>85</v>
      </c>
      <c r="O604" s="19" t="str">
        <f aca="false">IF($M604="","غير مقيّمة",IF($M604&gt;المرجع!$K$3,"مستوفاة بشكل متقدم",IF($M604&lt;=المرجع!$K$2,"مستوفاة بشكل أولي","مستوفاة بشكل جزئي")))</f>
        <v>مستوفاة بشكل متقدم</v>
      </c>
      <c r="P604" s="22"/>
    </row>
    <row r="605" customFormat="false" ht="15" hidden="false" customHeight="true" outlineLevel="0" collapsed="false">
      <c r="A605" s="20" t="s">
        <v>1419</v>
      </c>
      <c r="B605" s="20" t="s">
        <v>236</v>
      </c>
      <c r="C605" s="19" t="str">
        <f aca="false">IFERROR(INDEX('قائمة الوحدات'!$B$2:$B$41,MATCH($B605,'قائمة الوحدات'!$A$2:$A$41,0)),"")</f>
        <v>MIL</v>
      </c>
      <c r="D605" s="18" t="str">
        <f aca="false">IFERROR(INDEX('قائمة الوحدات'!$C$2:$C$41,MATCH($B605,'قائمة الوحدات'!$A$2:$A$41,0)),"")</f>
        <v>الجهاز العسكري</v>
      </c>
      <c r="E605" s="18" t="str">
        <f aca="false">IFERROR(INDEX('قائمة الوحدات'!$D$2:$D$41,MATCH($B605,'قائمة الوحدات'!$A$2:$A$41,0)),"")</f>
        <v>الإدارة العامة للمراسم والتشريفات العسكرية</v>
      </c>
      <c r="F605" s="18" t="str">
        <f aca="false">IFERROR(INDEX('قائمة الوحدات'!$F$2:$F$41,MATCH($B605,'قائمة الوحدات'!$A$2:$A$41,0)),"")</f>
        <v>الإدارة العامة للمراسم والتشريفات العسكرية</v>
      </c>
      <c r="G605" s="20" t="s">
        <v>44</v>
      </c>
      <c r="H605" s="18" t="str">
        <f aca="false">IFERROR(INDEX(المرجع!$A$2:$A$19,MATCH($G605,المرجع!$B$2:$B$19,0)),"")</f>
        <v>التصميم</v>
      </c>
      <c r="I605" s="20" t="s">
        <v>52</v>
      </c>
      <c r="J605" s="18" t="str">
        <f aca="false">IFERROR(INDEX(المرجع!$D$2:$D$19,MATCH($I605,المرجع!$E$2:$E$19,0)),"")</f>
        <v>الحوكمة</v>
      </c>
      <c r="K605" s="20" t="s">
        <v>82</v>
      </c>
      <c r="L605" s="21" t="str">
        <f aca="false">IFERROR(INDEX('نقاط التحقق'!$G$2:$G$31,MATCH($K605,'نقاط التحقق'!$A$2:$A$31,0))&amp;"","")</f>
        <v>تفصيل القرارات ومصفوفة الصلاحيات واللجان ذات العلاقة لاعتماد مخرجات الوحدة التنظيمية</v>
      </c>
      <c r="M605" s="17" t="n">
        <v>78</v>
      </c>
      <c r="N605" s="17" t="n">
        <v>95</v>
      </c>
      <c r="O605" s="19" t="str">
        <f aca="false">IF($M605="","غير مقيّمة",IF($M605&gt;المرجع!$K$3,"مستوفاة بشكل متقدم",IF($M605&lt;=المرجع!$K$2,"مستوفاة بشكل أولي","مستوفاة بشكل جزئي")))</f>
        <v>مستوفاة بشكل متقدم</v>
      </c>
      <c r="P605" s="22"/>
    </row>
    <row r="606" customFormat="false" ht="15" hidden="false" customHeight="true" outlineLevel="0" collapsed="false">
      <c r="A606" s="20" t="s">
        <v>1420</v>
      </c>
      <c r="B606" s="20" t="s">
        <v>236</v>
      </c>
      <c r="C606" s="19" t="str">
        <f aca="false">IFERROR(INDEX('قائمة الوحدات'!$B$2:$B$41,MATCH($B606,'قائمة الوحدات'!$A$2:$A$41,0)),"")</f>
        <v>MIL</v>
      </c>
      <c r="D606" s="18" t="str">
        <f aca="false">IFERROR(INDEX('قائمة الوحدات'!$C$2:$C$41,MATCH($B606,'قائمة الوحدات'!$A$2:$A$41,0)),"")</f>
        <v>الجهاز العسكري</v>
      </c>
      <c r="E606" s="18" t="str">
        <f aca="false">IFERROR(INDEX('قائمة الوحدات'!$D$2:$D$41,MATCH($B606,'قائمة الوحدات'!$A$2:$A$41,0)),"")</f>
        <v>الإدارة العامة للمراسم والتشريفات العسكرية</v>
      </c>
      <c r="F606" s="18" t="str">
        <f aca="false">IFERROR(INDEX('قائمة الوحدات'!$F$2:$F$41,MATCH($B606,'قائمة الوحدات'!$A$2:$A$41,0)),"")</f>
        <v>الإدارة العامة للمراسم والتشريفات العسكرية</v>
      </c>
      <c r="G606" s="20" t="s">
        <v>44</v>
      </c>
      <c r="H606" s="18" t="str">
        <f aca="false">IFERROR(INDEX(المرجع!$A$2:$A$19,MATCH($G606,المرجع!$B$2:$B$19,0)),"")</f>
        <v>التصميم</v>
      </c>
      <c r="I606" s="20" t="s">
        <v>55</v>
      </c>
      <c r="J606" s="18" t="str">
        <f aca="false">IFERROR(INDEX(المرجع!$D$2:$D$19,MATCH($I606,المرجع!$E$2:$E$19,0)),"")</f>
        <v>التنظيم</v>
      </c>
      <c r="K606" s="20" t="s">
        <v>84</v>
      </c>
      <c r="L606" s="21" t="str">
        <f aca="false">IFERROR(INDEX('نقاط التحقق'!$G$2:$G$31,MATCH($K606,'نقاط التحقق'!$A$2:$A$31,0))&amp;"","")</f>
        <v>تطوير الأدوار والمسؤوليات للوحدة التنظيمية وتفصيل الهيكل التنظيمي</v>
      </c>
      <c r="M606" s="17" t="n">
        <v>95</v>
      </c>
      <c r="N606" s="17" t="n">
        <v>95</v>
      </c>
      <c r="O606" s="19" t="str">
        <f aca="false">IF($M606="","غير مقيّمة",IF($M606&gt;المرجع!$K$3,"مستوفاة بشكل متقدم",IF($M606&lt;=المرجع!$K$2,"مستوفاة بشكل أولي","مستوفاة بشكل جزئي")))</f>
        <v>مستوفاة بشكل متقدم</v>
      </c>
      <c r="P606" s="22"/>
    </row>
    <row r="607" customFormat="false" ht="15" hidden="false" customHeight="true" outlineLevel="0" collapsed="false">
      <c r="A607" s="20" t="s">
        <v>1421</v>
      </c>
      <c r="B607" s="20" t="s">
        <v>236</v>
      </c>
      <c r="C607" s="19" t="str">
        <f aca="false">IFERROR(INDEX('قائمة الوحدات'!$B$2:$B$41,MATCH($B607,'قائمة الوحدات'!$A$2:$A$41,0)),"")</f>
        <v>MIL</v>
      </c>
      <c r="D607" s="18" t="str">
        <f aca="false">IFERROR(INDEX('قائمة الوحدات'!$C$2:$C$41,MATCH($B607,'قائمة الوحدات'!$A$2:$A$41,0)),"")</f>
        <v>الجهاز العسكري</v>
      </c>
      <c r="E607" s="18" t="str">
        <f aca="false">IFERROR(INDEX('قائمة الوحدات'!$D$2:$D$41,MATCH($B607,'قائمة الوحدات'!$A$2:$A$41,0)),"")</f>
        <v>الإدارة العامة للمراسم والتشريفات العسكرية</v>
      </c>
      <c r="F607" s="18" t="str">
        <f aca="false">IFERROR(INDEX('قائمة الوحدات'!$F$2:$F$41,MATCH($B607,'قائمة الوحدات'!$A$2:$A$41,0)),"")</f>
        <v>الإدارة العامة للمراسم والتشريفات العسكرية</v>
      </c>
      <c r="G607" s="20" t="s">
        <v>44</v>
      </c>
      <c r="H607" s="18" t="str">
        <f aca="false">IFERROR(INDEX(المرجع!$A$2:$A$19,MATCH($G607,المرجع!$B$2:$B$19,0)),"")</f>
        <v>التصميم</v>
      </c>
      <c r="I607" s="20" t="s">
        <v>57</v>
      </c>
      <c r="J607" s="18" t="str">
        <f aca="false">IFERROR(INDEX(المرجع!$D$2:$D$19,MATCH($I607,المرجع!$E$2:$E$19,0)),"")</f>
        <v>الموارد</v>
      </c>
      <c r="K607" s="20" t="s">
        <v>86</v>
      </c>
      <c r="L607" s="21" t="str">
        <f aca="false">IFERROR(INDEX('نقاط التحقق'!$G$2:$G$31,MATCH($K607,'نقاط التحقق'!$A$2:$A$31,0))&amp;"","")</f>
        <v>تفصيل احتياج الموارد البشرية للوحدة التنظيمية</v>
      </c>
      <c r="M607" s="17" t="n">
        <v>89</v>
      </c>
      <c r="N607" s="17" t="n">
        <v>89</v>
      </c>
      <c r="O607" s="19" t="str">
        <f aca="false">IF($M607="","غير مقيّمة",IF($M607&gt;المرجع!$K$3,"مستوفاة بشكل متقدم",IF($M607&lt;=المرجع!$K$2,"مستوفاة بشكل أولي","مستوفاة بشكل جزئي")))</f>
        <v>مستوفاة بشكل متقدم</v>
      </c>
      <c r="P607" s="22"/>
    </row>
    <row r="608" customFormat="false" ht="15" hidden="false" customHeight="true" outlineLevel="0" collapsed="false">
      <c r="A608" s="20" t="s">
        <v>1422</v>
      </c>
      <c r="B608" s="20" t="s">
        <v>236</v>
      </c>
      <c r="C608" s="19" t="str">
        <f aca="false">IFERROR(INDEX('قائمة الوحدات'!$B$2:$B$41,MATCH($B608,'قائمة الوحدات'!$A$2:$A$41,0)),"")</f>
        <v>MIL</v>
      </c>
      <c r="D608" s="18" t="str">
        <f aca="false">IFERROR(INDEX('قائمة الوحدات'!$C$2:$C$41,MATCH($B608,'قائمة الوحدات'!$A$2:$A$41,0)),"")</f>
        <v>الجهاز العسكري</v>
      </c>
      <c r="E608" s="18" t="str">
        <f aca="false">IFERROR(INDEX('قائمة الوحدات'!$D$2:$D$41,MATCH($B608,'قائمة الوحدات'!$A$2:$A$41,0)),"")</f>
        <v>الإدارة العامة للمراسم والتشريفات العسكرية</v>
      </c>
      <c r="F608" s="18" t="str">
        <f aca="false">IFERROR(INDEX('قائمة الوحدات'!$F$2:$F$41,MATCH($B608,'قائمة الوحدات'!$A$2:$A$41,0)),"")</f>
        <v>الإدارة العامة للمراسم والتشريفات العسكرية</v>
      </c>
      <c r="G608" s="20" t="s">
        <v>44</v>
      </c>
      <c r="H608" s="18" t="str">
        <f aca="false">IFERROR(INDEX(المرجع!$A$2:$A$19,MATCH($G608,المرجع!$B$2:$B$19,0)),"")</f>
        <v>التصميم</v>
      </c>
      <c r="I608" s="20" t="s">
        <v>60</v>
      </c>
      <c r="J608" s="18" t="str">
        <f aca="false">IFERROR(INDEX(المرجع!$D$2:$D$19,MATCH($I608,المرجع!$E$2:$E$19,0)),"")</f>
        <v>الإجراءات</v>
      </c>
      <c r="K608" s="20" t="s">
        <v>88</v>
      </c>
      <c r="L608" s="21" t="str">
        <f aca="false">IFERROR(INDEX('نقاط التحقق'!$G$2:$G$31,MATCH($K608,'نقاط التحقق'!$A$2:$A$31,0))&amp;"","")</f>
        <v>تفصيل المخرجات إلى إجراءات عالية المستوى</v>
      </c>
      <c r="M608" s="17" t="n">
        <v>88</v>
      </c>
      <c r="N608" s="17" t="n">
        <v>100</v>
      </c>
      <c r="O608" s="19" t="str">
        <f aca="false">IF($M608="","غير مقيّمة",IF($M608&gt;المرجع!$K$3,"مستوفاة بشكل متقدم",IF($M608&lt;=المرجع!$K$2,"مستوفاة بشكل أولي","مستوفاة بشكل جزئي")))</f>
        <v>مستوفاة بشكل متقدم</v>
      </c>
      <c r="P608" s="22"/>
    </row>
    <row r="609" customFormat="false" ht="15" hidden="false" customHeight="true" outlineLevel="0" collapsed="false">
      <c r="A609" s="20" t="s">
        <v>1423</v>
      </c>
      <c r="B609" s="20" t="s">
        <v>236</v>
      </c>
      <c r="C609" s="19" t="str">
        <f aca="false">IFERROR(INDEX('قائمة الوحدات'!$B$2:$B$41,MATCH($B609,'قائمة الوحدات'!$A$2:$A$41,0)),"")</f>
        <v>MIL</v>
      </c>
      <c r="D609" s="18" t="str">
        <f aca="false">IFERROR(INDEX('قائمة الوحدات'!$C$2:$C$41,MATCH($B609,'قائمة الوحدات'!$A$2:$A$41,0)),"")</f>
        <v>الجهاز العسكري</v>
      </c>
      <c r="E609" s="18" t="str">
        <f aca="false">IFERROR(INDEX('قائمة الوحدات'!$D$2:$D$41,MATCH($B609,'قائمة الوحدات'!$A$2:$A$41,0)),"")</f>
        <v>الإدارة العامة للمراسم والتشريفات العسكرية</v>
      </c>
      <c r="F609" s="18" t="str">
        <f aca="false">IFERROR(INDEX('قائمة الوحدات'!$F$2:$F$41,MATCH($B609,'قائمة الوحدات'!$A$2:$A$41,0)),"")</f>
        <v>الإدارة العامة للمراسم والتشريفات العسكرية</v>
      </c>
      <c r="G609" s="20" t="s">
        <v>62</v>
      </c>
      <c r="H609" s="18" t="str">
        <f aca="false">IFERROR(INDEX(المرجع!$A$2:$A$19,MATCH($G609,المرجع!$B$2:$B$19,0)),"")</f>
        <v>البناء المؤسسي</v>
      </c>
      <c r="I609" s="20" t="s">
        <v>46</v>
      </c>
      <c r="J609" s="18" t="str">
        <f aca="false">IFERROR(INDEX(المرجع!$D$2:$D$19,MATCH($I609,المرجع!$E$2:$E$19,0)),"")</f>
        <v>الدور</v>
      </c>
      <c r="K609" s="20" t="s">
        <v>90</v>
      </c>
      <c r="L609" s="21" t="str">
        <f aca="false">IFERROR(INDEX('نقاط التحقق'!$G$2:$G$31,MATCH($K609,'نقاط التحقق'!$A$2:$A$31,0))&amp;"","")</f>
        <v>دور معتمد للوحدة التنظيمية</v>
      </c>
      <c r="M609" s="17" t="n">
        <v>81</v>
      </c>
      <c r="N609" s="17" t="n">
        <v>100</v>
      </c>
      <c r="O609" s="19" t="str">
        <f aca="false">IF($M609="","غير مقيّمة",IF($M609&gt;المرجع!$K$3,"مستوفاة بشكل متقدم",IF($M609&lt;=المرجع!$K$2,"مستوفاة بشكل أولي","مستوفاة بشكل جزئي")))</f>
        <v>مستوفاة بشكل متقدم</v>
      </c>
      <c r="P609" s="22"/>
    </row>
    <row r="610" customFormat="false" ht="15" hidden="false" customHeight="true" outlineLevel="0" collapsed="false">
      <c r="A610" s="20" t="s">
        <v>1424</v>
      </c>
      <c r="B610" s="20" t="s">
        <v>236</v>
      </c>
      <c r="C610" s="19" t="str">
        <f aca="false">IFERROR(INDEX('قائمة الوحدات'!$B$2:$B$41,MATCH($B610,'قائمة الوحدات'!$A$2:$A$41,0)),"")</f>
        <v>MIL</v>
      </c>
      <c r="D610" s="18" t="str">
        <f aca="false">IFERROR(INDEX('قائمة الوحدات'!$C$2:$C$41,MATCH($B610,'قائمة الوحدات'!$A$2:$A$41,0)),"")</f>
        <v>الجهاز العسكري</v>
      </c>
      <c r="E610" s="18" t="str">
        <f aca="false">IFERROR(INDEX('قائمة الوحدات'!$D$2:$D$41,MATCH($B610,'قائمة الوحدات'!$A$2:$A$41,0)),"")</f>
        <v>الإدارة العامة للمراسم والتشريفات العسكرية</v>
      </c>
      <c r="F610" s="18" t="str">
        <f aca="false">IFERROR(INDEX('قائمة الوحدات'!$F$2:$F$41,MATCH($B610,'قائمة الوحدات'!$A$2:$A$41,0)),"")</f>
        <v>الإدارة العامة للمراسم والتشريفات العسكرية</v>
      </c>
      <c r="G610" s="20" t="s">
        <v>62</v>
      </c>
      <c r="H610" s="18" t="str">
        <f aca="false">IFERROR(INDEX(المرجع!$A$2:$A$19,MATCH($G610,المرجع!$B$2:$B$19,0)),"")</f>
        <v>البناء المؤسسي</v>
      </c>
      <c r="I610" s="20" t="s">
        <v>49</v>
      </c>
      <c r="J610" s="18" t="str">
        <f aca="false">IFERROR(INDEX(المرجع!$D$2:$D$19,MATCH($I610,المرجع!$E$2:$E$19,0)),"")</f>
        <v>الأهداف ومؤشرات الأداء</v>
      </c>
      <c r="K610" s="20" t="s">
        <v>92</v>
      </c>
      <c r="L610" s="21" t="str">
        <f aca="false">IFERROR(INDEX('نقاط التحقق'!$G$2:$G$31,MATCH($K610,'نقاط التحقق'!$A$2:$A$31,0))&amp;"","")</f>
        <v>أهداف تشغيلية معتمدة من صاحب الصلاحية</v>
      </c>
      <c r="M610" s="17" t="n">
        <v>45</v>
      </c>
      <c r="N610" s="17" t="n">
        <v>80</v>
      </c>
      <c r="O610" s="19" t="str">
        <f aca="false">IF($M610="","غير مقيّمة",IF($M610&gt;المرجع!$K$3,"مستوفاة بشكل متقدم",IF($M610&lt;=المرجع!$K$2,"مستوفاة بشكل أولي","مستوفاة بشكل جزئي")))</f>
        <v>مستوفاة بشكل جزئي</v>
      </c>
      <c r="P610" s="22"/>
    </row>
    <row r="611" customFormat="false" ht="15" hidden="false" customHeight="true" outlineLevel="0" collapsed="false">
      <c r="A611" s="20" t="s">
        <v>1425</v>
      </c>
      <c r="B611" s="20" t="s">
        <v>236</v>
      </c>
      <c r="C611" s="19" t="str">
        <f aca="false">IFERROR(INDEX('قائمة الوحدات'!$B$2:$B$41,MATCH($B611,'قائمة الوحدات'!$A$2:$A$41,0)),"")</f>
        <v>MIL</v>
      </c>
      <c r="D611" s="18" t="str">
        <f aca="false">IFERROR(INDEX('قائمة الوحدات'!$C$2:$C$41,MATCH($B611,'قائمة الوحدات'!$A$2:$A$41,0)),"")</f>
        <v>الجهاز العسكري</v>
      </c>
      <c r="E611" s="18" t="str">
        <f aca="false">IFERROR(INDEX('قائمة الوحدات'!$D$2:$D$41,MATCH($B611,'قائمة الوحدات'!$A$2:$A$41,0)),"")</f>
        <v>الإدارة العامة للمراسم والتشريفات العسكرية</v>
      </c>
      <c r="F611" s="18" t="str">
        <f aca="false">IFERROR(INDEX('قائمة الوحدات'!$F$2:$F$41,MATCH($B611,'قائمة الوحدات'!$A$2:$A$41,0)),"")</f>
        <v>الإدارة العامة للمراسم والتشريفات العسكرية</v>
      </c>
      <c r="G611" s="20" t="s">
        <v>62</v>
      </c>
      <c r="H611" s="18" t="str">
        <f aca="false">IFERROR(INDEX(المرجع!$A$2:$A$19,MATCH($G611,المرجع!$B$2:$B$19,0)),"")</f>
        <v>البناء المؤسسي</v>
      </c>
      <c r="I611" s="20" t="s">
        <v>49</v>
      </c>
      <c r="J611" s="18" t="str">
        <f aca="false">IFERROR(INDEX(المرجع!$D$2:$D$19,MATCH($I611,المرجع!$E$2:$E$19,0)),"")</f>
        <v>الأهداف ومؤشرات الأداء</v>
      </c>
      <c r="K611" s="20" t="s">
        <v>94</v>
      </c>
      <c r="L611" s="21" t="str">
        <f aca="false">IFERROR(INDEX('نقاط التحقق'!$G$2:$G$31,MATCH($K611,'نقاط التحقق'!$A$2:$A$31,0))&amp;"","")</f>
        <v>نشر الأهداف التشغيلية على موظفي الوحدة التنظيمية</v>
      </c>
      <c r="M611" s="17" t="n">
        <v>55</v>
      </c>
      <c r="N611" s="17" t="n">
        <v>80</v>
      </c>
      <c r="O611" s="19" t="str">
        <f aca="false">IF($M611="","غير مقيّمة",IF($M611&gt;المرجع!$K$3,"مستوفاة بشكل متقدم",IF($M611&lt;=المرجع!$K$2,"مستوفاة بشكل أولي","مستوفاة بشكل جزئي")))</f>
        <v>مستوفاة بشكل جزئي</v>
      </c>
      <c r="P611" s="22"/>
    </row>
    <row r="612" customFormat="false" ht="15" hidden="false" customHeight="true" outlineLevel="0" collapsed="false">
      <c r="A612" s="20" t="s">
        <v>1426</v>
      </c>
      <c r="B612" s="20" t="s">
        <v>236</v>
      </c>
      <c r="C612" s="19" t="str">
        <f aca="false">IFERROR(INDEX('قائمة الوحدات'!$B$2:$B$41,MATCH($B612,'قائمة الوحدات'!$A$2:$A$41,0)),"")</f>
        <v>MIL</v>
      </c>
      <c r="D612" s="18" t="str">
        <f aca="false">IFERROR(INDEX('قائمة الوحدات'!$C$2:$C$41,MATCH($B612,'قائمة الوحدات'!$A$2:$A$41,0)),"")</f>
        <v>الجهاز العسكري</v>
      </c>
      <c r="E612" s="18" t="str">
        <f aca="false">IFERROR(INDEX('قائمة الوحدات'!$D$2:$D$41,MATCH($B612,'قائمة الوحدات'!$A$2:$A$41,0)),"")</f>
        <v>الإدارة العامة للمراسم والتشريفات العسكرية</v>
      </c>
      <c r="F612" s="18" t="str">
        <f aca="false">IFERROR(INDEX('قائمة الوحدات'!$F$2:$F$41,MATCH($B612,'قائمة الوحدات'!$A$2:$A$41,0)),"")</f>
        <v>الإدارة العامة للمراسم والتشريفات العسكرية</v>
      </c>
      <c r="G612" s="20" t="s">
        <v>62</v>
      </c>
      <c r="H612" s="18" t="str">
        <f aca="false">IFERROR(INDEX(المرجع!$A$2:$A$19,MATCH($G612,المرجع!$B$2:$B$19,0)),"")</f>
        <v>البناء المؤسسي</v>
      </c>
      <c r="I612" s="20" t="s">
        <v>52</v>
      </c>
      <c r="J612" s="18" t="str">
        <f aca="false">IFERROR(INDEX(المرجع!$D$2:$D$19,MATCH($I612,المرجع!$E$2:$E$19,0)),"")</f>
        <v>الحوكمة</v>
      </c>
      <c r="K612" s="20" t="s">
        <v>96</v>
      </c>
      <c r="L612" s="21" t="str">
        <f aca="false">IFERROR(INDEX('نقاط التحقق'!$G$2:$G$31,MATCH($K612,'نقاط التحقق'!$A$2:$A$31,0))&amp;"","")</f>
        <v>مصفوفة صلاحيات معتمدة ومعممة على أصحاب المصلحة</v>
      </c>
      <c r="M612" s="17" t="n">
        <v>65</v>
      </c>
      <c r="N612" s="17" t="n">
        <v>100</v>
      </c>
      <c r="O612" s="19" t="str">
        <f aca="false">IF($M612="","غير مقيّمة",IF($M612&gt;المرجع!$K$3,"مستوفاة بشكل متقدم",IF($M612&lt;=المرجع!$K$2,"مستوفاة بشكل أولي","مستوفاة بشكل جزئي")))</f>
        <v>مستوفاة بشكل جزئي</v>
      </c>
      <c r="P612" s="22"/>
    </row>
    <row r="613" customFormat="false" ht="15" hidden="false" customHeight="true" outlineLevel="0" collapsed="false">
      <c r="A613" s="20" t="s">
        <v>1427</v>
      </c>
      <c r="B613" s="20" t="s">
        <v>236</v>
      </c>
      <c r="C613" s="19" t="str">
        <f aca="false">IFERROR(INDEX('قائمة الوحدات'!$B$2:$B$41,MATCH($B613,'قائمة الوحدات'!$A$2:$A$41,0)),"")</f>
        <v>MIL</v>
      </c>
      <c r="D613" s="18" t="str">
        <f aca="false">IFERROR(INDEX('قائمة الوحدات'!$C$2:$C$41,MATCH($B613,'قائمة الوحدات'!$A$2:$A$41,0)),"")</f>
        <v>الجهاز العسكري</v>
      </c>
      <c r="E613" s="18" t="str">
        <f aca="false">IFERROR(INDEX('قائمة الوحدات'!$D$2:$D$41,MATCH($B613,'قائمة الوحدات'!$A$2:$A$41,0)),"")</f>
        <v>الإدارة العامة للمراسم والتشريفات العسكرية</v>
      </c>
      <c r="F613" s="18" t="str">
        <f aca="false">IFERROR(INDEX('قائمة الوحدات'!$F$2:$F$41,MATCH($B613,'قائمة الوحدات'!$A$2:$A$41,0)),"")</f>
        <v>الإدارة العامة للمراسم والتشريفات العسكرية</v>
      </c>
      <c r="G613" s="20" t="s">
        <v>62</v>
      </c>
      <c r="H613" s="18" t="str">
        <f aca="false">IFERROR(INDEX(المرجع!$A$2:$A$19,MATCH($G613,المرجع!$B$2:$B$19,0)),"")</f>
        <v>البناء المؤسسي</v>
      </c>
      <c r="I613" s="20" t="s">
        <v>52</v>
      </c>
      <c r="J613" s="18" t="str">
        <f aca="false">IFERROR(INDEX(المرجع!$D$2:$D$19,MATCH($I613,المرجع!$E$2:$E$19,0)),"")</f>
        <v>الحوكمة</v>
      </c>
      <c r="K613" s="20" t="s">
        <v>98</v>
      </c>
      <c r="L613" s="21" t="str">
        <f aca="false">IFERROR(INDEX('نقاط التحقق'!$G$2:$G$31,MATCH($K613,'نقاط التحقق'!$A$2:$A$31,0))&amp;"","")</f>
        <v>سياسات معتمدة للتي تملكها الوحدة التنظيمية</v>
      </c>
      <c r="M613" s="17" t="n">
        <v>35</v>
      </c>
      <c r="N613" s="17" t="n">
        <v>90</v>
      </c>
      <c r="O613" s="19" t="str">
        <f aca="false">IF($M613="","غير مقيّمة",IF($M613&gt;المرجع!$K$3,"مستوفاة بشكل متقدم",IF($M613&lt;=المرجع!$K$2,"مستوفاة بشكل أولي","مستوفاة بشكل جزئي")))</f>
        <v>مستوفاة بشكل جزئي</v>
      </c>
      <c r="P613" s="22"/>
    </row>
    <row r="614" customFormat="false" ht="15" hidden="false" customHeight="true" outlineLevel="0" collapsed="false">
      <c r="A614" s="20" t="s">
        <v>1428</v>
      </c>
      <c r="B614" s="20" t="s">
        <v>236</v>
      </c>
      <c r="C614" s="19" t="str">
        <f aca="false">IFERROR(INDEX('قائمة الوحدات'!$B$2:$B$41,MATCH($B614,'قائمة الوحدات'!$A$2:$A$41,0)),"")</f>
        <v>MIL</v>
      </c>
      <c r="D614" s="18" t="str">
        <f aca="false">IFERROR(INDEX('قائمة الوحدات'!$C$2:$C$41,MATCH($B614,'قائمة الوحدات'!$A$2:$A$41,0)),"")</f>
        <v>الجهاز العسكري</v>
      </c>
      <c r="E614" s="18" t="str">
        <f aca="false">IFERROR(INDEX('قائمة الوحدات'!$D$2:$D$41,MATCH($B614,'قائمة الوحدات'!$A$2:$A$41,0)),"")</f>
        <v>الإدارة العامة للمراسم والتشريفات العسكرية</v>
      </c>
      <c r="F614" s="18" t="str">
        <f aca="false">IFERROR(INDEX('قائمة الوحدات'!$F$2:$F$41,MATCH($B614,'قائمة الوحدات'!$A$2:$A$41,0)),"")</f>
        <v>الإدارة العامة للمراسم والتشريفات العسكرية</v>
      </c>
      <c r="G614" s="20" t="s">
        <v>62</v>
      </c>
      <c r="H614" s="18" t="str">
        <f aca="false">IFERROR(INDEX(المرجع!$A$2:$A$19,MATCH($G614,المرجع!$B$2:$B$19,0)),"")</f>
        <v>البناء المؤسسي</v>
      </c>
      <c r="I614" s="20" t="s">
        <v>52</v>
      </c>
      <c r="J614" s="18" t="str">
        <f aca="false">IFERROR(INDEX(المرجع!$D$2:$D$19,MATCH($I614,المرجع!$E$2:$E$19,0)),"")</f>
        <v>الحوكمة</v>
      </c>
      <c r="K614" s="20" t="s">
        <v>100</v>
      </c>
      <c r="L614" s="21" t="str">
        <f aca="false">IFERROR(INDEX('نقاط التحقق'!$G$2:$G$31,MATCH($K614,'نقاط التحقق'!$A$2:$A$31,0))&amp;"","")</f>
        <v>قرار تشكيل معتمد للجان ذات العلاقة</v>
      </c>
      <c r="M614" s="17" t="n">
        <v>45</v>
      </c>
      <c r="N614" s="17" t="n">
        <v>95</v>
      </c>
      <c r="O614" s="19" t="str">
        <f aca="false">IF($M614="","غير مقيّمة",IF($M614&gt;المرجع!$K$3,"مستوفاة بشكل متقدم",IF($M614&lt;=المرجع!$K$2,"مستوفاة بشكل أولي","مستوفاة بشكل جزئي")))</f>
        <v>مستوفاة بشكل جزئي</v>
      </c>
      <c r="P614" s="22"/>
    </row>
    <row r="615" customFormat="false" ht="15" hidden="false" customHeight="true" outlineLevel="0" collapsed="false">
      <c r="A615" s="20" t="s">
        <v>1429</v>
      </c>
      <c r="B615" s="20" t="s">
        <v>236</v>
      </c>
      <c r="C615" s="19" t="str">
        <f aca="false">IFERROR(INDEX('قائمة الوحدات'!$B$2:$B$41,MATCH($B615,'قائمة الوحدات'!$A$2:$A$41,0)),"")</f>
        <v>MIL</v>
      </c>
      <c r="D615" s="18" t="str">
        <f aca="false">IFERROR(INDEX('قائمة الوحدات'!$C$2:$C$41,MATCH($B615,'قائمة الوحدات'!$A$2:$A$41,0)),"")</f>
        <v>الجهاز العسكري</v>
      </c>
      <c r="E615" s="18" t="str">
        <f aca="false">IFERROR(INDEX('قائمة الوحدات'!$D$2:$D$41,MATCH($B615,'قائمة الوحدات'!$A$2:$A$41,0)),"")</f>
        <v>الإدارة العامة للمراسم والتشريفات العسكرية</v>
      </c>
      <c r="F615" s="18" t="str">
        <f aca="false">IFERROR(INDEX('قائمة الوحدات'!$F$2:$F$41,MATCH($B615,'قائمة الوحدات'!$A$2:$A$41,0)),"")</f>
        <v>الإدارة العامة للمراسم والتشريفات العسكرية</v>
      </c>
      <c r="G615" s="20" t="s">
        <v>62</v>
      </c>
      <c r="H615" s="18" t="str">
        <f aca="false">IFERROR(INDEX(المرجع!$A$2:$A$19,MATCH($G615,المرجع!$B$2:$B$19,0)),"")</f>
        <v>البناء المؤسسي</v>
      </c>
      <c r="I615" s="20" t="s">
        <v>55</v>
      </c>
      <c r="J615" s="18" t="str">
        <f aca="false">IFERROR(INDEX(المرجع!$D$2:$D$19,MATCH($I615,المرجع!$E$2:$E$19,0)),"")</f>
        <v>التنظيم</v>
      </c>
      <c r="K615" s="20" t="s">
        <v>102</v>
      </c>
      <c r="L615" s="21" t="str">
        <f aca="false">IFERROR(INDEX('نقاط التحقق'!$G$2:$G$31,MATCH($K615,'نقاط التحقق'!$A$2:$A$31,0))&amp;"","")</f>
        <v>هيكل تنظيمي معتمد من صاحب الصلاحية</v>
      </c>
      <c r="M615" s="17" t="n">
        <v>35</v>
      </c>
      <c r="N615" s="17" t="n">
        <v>90</v>
      </c>
      <c r="O615" s="19" t="str">
        <f aca="false">IF($M615="","غير مقيّمة",IF($M615&gt;المرجع!$K$3,"مستوفاة بشكل متقدم",IF($M615&lt;=المرجع!$K$2,"مستوفاة بشكل أولي","مستوفاة بشكل جزئي")))</f>
        <v>مستوفاة بشكل جزئي</v>
      </c>
      <c r="P615" s="22"/>
    </row>
    <row r="616" customFormat="false" ht="15" hidden="false" customHeight="true" outlineLevel="0" collapsed="false">
      <c r="A616" s="20" t="s">
        <v>1430</v>
      </c>
      <c r="B616" s="20" t="s">
        <v>236</v>
      </c>
      <c r="C616" s="19" t="str">
        <f aca="false">IFERROR(INDEX('قائمة الوحدات'!$B$2:$B$41,MATCH($B616,'قائمة الوحدات'!$A$2:$A$41,0)),"")</f>
        <v>MIL</v>
      </c>
      <c r="D616" s="18" t="str">
        <f aca="false">IFERROR(INDEX('قائمة الوحدات'!$C$2:$C$41,MATCH($B616,'قائمة الوحدات'!$A$2:$A$41,0)),"")</f>
        <v>الجهاز العسكري</v>
      </c>
      <c r="E616" s="18" t="str">
        <f aca="false">IFERROR(INDEX('قائمة الوحدات'!$D$2:$D$41,MATCH($B616,'قائمة الوحدات'!$A$2:$A$41,0)),"")</f>
        <v>الإدارة العامة للمراسم والتشريفات العسكرية</v>
      </c>
      <c r="F616" s="18" t="str">
        <f aca="false">IFERROR(INDEX('قائمة الوحدات'!$F$2:$F$41,MATCH($B616,'قائمة الوحدات'!$A$2:$A$41,0)),"")</f>
        <v>الإدارة العامة للمراسم والتشريفات العسكرية</v>
      </c>
      <c r="G616" s="20" t="s">
        <v>62</v>
      </c>
      <c r="H616" s="18" t="str">
        <f aca="false">IFERROR(INDEX(المرجع!$A$2:$A$19,MATCH($G616,المرجع!$B$2:$B$19,0)),"")</f>
        <v>البناء المؤسسي</v>
      </c>
      <c r="I616" s="20" t="s">
        <v>55</v>
      </c>
      <c r="J616" s="18" t="str">
        <f aca="false">IFERROR(INDEX(المرجع!$D$2:$D$19,MATCH($I616,المرجع!$E$2:$E$19,0)),"")</f>
        <v>التنظيم</v>
      </c>
      <c r="K616" s="20" t="s">
        <v>104</v>
      </c>
      <c r="L616" s="21" t="str">
        <f aca="false">IFERROR(INDEX('نقاط التحقق'!$G$2:$G$31,MATCH($K616,'نقاط التحقق'!$A$2:$A$31,0))&amp;"","")</f>
        <v>هيكل تنظيمي منشأ على نظام القوى العاملة</v>
      </c>
      <c r="M616" s="17" t="n">
        <v>55</v>
      </c>
      <c r="N616" s="17" t="n">
        <v>90</v>
      </c>
      <c r="O616" s="19" t="str">
        <f aca="false">IF($M616="","غير مقيّمة",IF($M616&gt;المرجع!$K$3,"مستوفاة بشكل متقدم",IF($M616&lt;=المرجع!$K$2,"مستوفاة بشكل أولي","مستوفاة بشكل جزئي")))</f>
        <v>مستوفاة بشكل جزئي</v>
      </c>
      <c r="P616" s="22"/>
    </row>
    <row r="617" customFormat="false" ht="15" hidden="false" customHeight="true" outlineLevel="0" collapsed="false">
      <c r="A617" s="20" t="s">
        <v>1431</v>
      </c>
      <c r="B617" s="20" t="s">
        <v>236</v>
      </c>
      <c r="C617" s="19" t="str">
        <f aca="false">IFERROR(INDEX('قائمة الوحدات'!$B$2:$B$41,MATCH($B617,'قائمة الوحدات'!$A$2:$A$41,0)),"")</f>
        <v>MIL</v>
      </c>
      <c r="D617" s="18" t="str">
        <f aca="false">IFERROR(INDEX('قائمة الوحدات'!$C$2:$C$41,MATCH($B617,'قائمة الوحدات'!$A$2:$A$41,0)),"")</f>
        <v>الجهاز العسكري</v>
      </c>
      <c r="E617" s="18" t="str">
        <f aca="false">IFERROR(INDEX('قائمة الوحدات'!$D$2:$D$41,MATCH($B617,'قائمة الوحدات'!$A$2:$A$41,0)),"")</f>
        <v>الإدارة العامة للمراسم والتشريفات العسكرية</v>
      </c>
      <c r="F617" s="18" t="str">
        <f aca="false">IFERROR(INDEX('قائمة الوحدات'!$F$2:$F$41,MATCH($B617,'قائمة الوحدات'!$A$2:$A$41,0)),"")</f>
        <v>الإدارة العامة للمراسم والتشريفات العسكرية</v>
      </c>
      <c r="G617" s="20" t="s">
        <v>62</v>
      </c>
      <c r="H617" s="18" t="str">
        <f aca="false">IFERROR(INDEX(المرجع!$A$2:$A$19,MATCH($G617,المرجع!$B$2:$B$19,0)),"")</f>
        <v>البناء المؤسسي</v>
      </c>
      <c r="I617" s="20" t="s">
        <v>55</v>
      </c>
      <c r="J617" s="18" t="str">
        <f aca="false">IFERROR(INDEX(المرجع!$D$2:$D$19,MATCH($I617,المرجع!$E$2:$E$19,0)),"")</f>
        <v>التنظيم</v>
      </c>
      <c r="K617" s="20" t="s">
        <v>106</v>
      </c>
      <c r="L617" s="21" t="str">
        <f aca="false">IFERROR(INDEX('نقاط التحقق'!$G$2:$G$31,MATCH($K617,'نقاط التحقق'!$A$2:$A$31,0))&amp;"","")</f>
        <v>الموظفون المحددون مسكّنون على الهيكل التنظيمي المستهدف</v>
      </c>
      <c r="M617" s="17" t="n">
        <v>30</v>
      </c>
      <c r="N617" s="17" t="n">
        <v>100</v>
      </c>
      <c r="O617" s="19" t="str">
        <f aca="false">IF($M617="","غير مقيّمة",IF($M617&gt;المرجع!$K$3,"مستوفاة بشكل متقدم",IF($M617&lt;=المرجع!$K$2,"مستوفاة بشكل أولي","مستوفاة بشكل جزئي")))</f>
        <v>مستوفاة بشكل أولي</v>
      </c>
      <c r="P617" s="22"/>
    </row>
    <row r="618" customFormat="false" ht="15" hidden="false" customHeight="true" outlineLevel="0" collapsed="false">
      <c r="A618" s="20" t="s">
        <v>1432</v>
      </c>
      <c r="B618" s="20" t="s">
        <v>236</v>
      </c>
      <c r="C618" s="19" t="str">
        <f aca="false">IFERROR(INDEX('قائمة الوحدات'!$B$2:$B$41,MATCH($B618,'قائمة الوحدات'!$A$2:$A$41,0)),"")</f>
        <v>MIL</v>
      </c>
      <c r="D618" s="18" t="str">
        <f aca="false">IFERROR(INDEX('قائمة الوحدات'!$C$2:$C$41,MATCH($B618,'قائمة الوحدات'!$A$2:$A$41,0)),"")</f>
        <v>الجهاز العسكري</v>
      </c>
      <c r="E618" s="18" t="str">
        <f aca="false">IFERROR(INDEX('قائمة الوحدات'!$D$2:$D$41,MATCH($B618,'قائمة الوحدات'!$A$2:$A$41,0)),"")</f>
        <v>الإدارة العامة للمراسم والتشريفات العسكرية</v>
      </c>
      <c r="F618" s="18" t="str">
        <f aca="false">IFERROR(INDEX('قائمة الوحدات'!$F$2:$F$41,MATCH($B618,'قائمة الوحدات'!$A$2:$A$41,0)),"")</f>
        <v>الإدارة العامة للمراسم والتشريفات العسكرية</v>
      </c>
      <c r="G618" s="20" t="s">
        <v>62</v>
      </c>
      <c r="H618" s="18" t="str">
        <f aca="false">IFERROR(INDEX(المرجع!$A$2:$A$19,MATCH($G618,المرجع!$B$2:$B$19,0)),"")</f>
        <v>البناء المؤسسي</v>
      </c>
      <c r="I618" s="20" t="s">
        <v>57</v>
      </c>
      <c r="J618" s="18" t="str">
        <f aca="false">IFERROR(INDEX(المرجع!$D$2:$D$19,MATCH($I618,المرجع!$E$2:$E$19,0)),"")</f>
        <v>الموارد</v>
      </c>
      <c r="K618" s="20" t="s">
        <v>108</v>
      </c>
      <c r="L618" s="21" t="str">
        <f aca="false">IFERROR(INDEX('نقاط التحقق'!$G$2:$G$31,MATCH($K618,'نقاط التحقق'!$A$2:$A$31,0))&amp;"","")</f>
        <v>مدير الوحدة التنظيمية والموظفون الرئيسيون معينون/ملحقون</v>
      </c>
      <c r="M618" s="17" t="n">
        <v>85</v>
      </c>
      <c r="N618" s="17" t="n">
        <v>100</v>
      </c>
      <c r="O618" s="19" t="str">
        <f aca="false">IF($M618="","غير مقيّمة",IF($M618&gt;المرجع!$K$3,"مستوفاة بشكل متقدم",IF($M618&lt;=المرجع!$K$2,"مستوفاة بشكل أولي","مستوفاة بشكل جزئي")))</f>
        <v>مستوفاة بشكل متقدم</v>
      </c>
      <c r="P618" s="22"/>
    </row>
    <row r="619" customFormat="false" ht="15" hidden="false" customHeight="true" outlineLevel="0" collapsed="false">
      <c r="A619" s="20" t="s">
        <v>1433</v>
      </c>
      <c r="B619" s="20" t="s">
        <v>236</v>
      </c>
      <c r="C619" s="19" t="str">
        <f aca="false">IFERROR(INDEX('قائمة الوحدات'!$B$2:$B$41,MATCH($B619,'قائمة الوحدات'!$A$2:$A$41,0)),"")</f>
        <v>MIL</v>
      </c>
      <c r="D619" s="18" t="str">
        <f aca="false">IFERROR(INDEX('قائمة الوحدات'!$C$2:$C$41,MATCH($B619,'قائمة الوحدات'!$A$2:$A$41,0)),"")</f>
        <v>الجهاز العسكري</v>
      </c>
      <c r="E619" s="18" t="str">
        <f aca="false">IFERROR(INDEX('قائمة الوحدات'!$D$2:$D$41,MATCH($B619,'قائمة الوحدات'!$A$2:$A$41,0)),"")</f>
        <v>الإدارة العامة للمراسم والتشريفات العسكرية</v>
      </c>
      <c r="F619" s="18" t="str">
        <f aca="false">IFERROR(INDEX('قائمة الوحدات'!$F$2:$F$41,MATCH($B619,'قائمة الوحدات'!$A$2:$A$41,0)),"")</f>
        <v>الإدارة العامة للمراسم والتشريفات العسكرية</v>
      </c>
      <c r="G619" s="20" t="s">
        <v>62</v>
      </c>
      <c r="H619" s="18" t="str">
        <f aca="false">IFERROR(INDEX(المرجع!$A$2:$A$19,MATCH($G619,المرجع!$B$2:$B$19,0)),"")</f>
        <v>البناء المؤسسي</v>
      </c>
      <c r="I619" s="20" t="s">
        <v>57</v>
      </c>
      <c r="J619" s="18" t="str">
        <f aca="false">IFERROR(INDEX(المرجع!$D$2:$D$19,MATCH($I619,المرجع!$E$2:$E$19,0)),"")</f>
        <v>الموارد</v>
      </c>
      <c r="K619" s="20" t="s">
        <v>110</v>
      </c>
      <c r="L619" s="21" t="str">
        <f aca="false">IFERROR(INDEX('نقاط التحقق'!$G$2:$G$31,MATCH($K619,'نقاط التحقق'!$A$2:$A$31,0))&amp;"","")</f>
        <v>خطة توظيف وتدريب مستكملة</v>
      </c>
      <c r="M619" s="17" t="n">
        <v>75</v>
      </c>
      <c r="N619" s="17" t="n">
        <v>85</v>
      </c>
      <c r="O619" s="19" t="str">
        <f aca="false">IF($M619="","غير مقيّمة",IF($M619&gt;المرجع!$K$3,"مستوفاة بشكل متقدم",IF($M619&lt;=المرجع!$K$2,"مستوفاة بشكل أولي","مستوفاة بشكل جزئي")))</f>
        <v>مستوفاة بشكل متقدم</v>
      </c>
      <c r="P619" s="22"/>
    </row>
    <row r="620" customFormat="false" ht="15" hidden="false" customHeight="true" outlineLevel="0" collapsed="false">
      <c r="A620" s="20" t="s">
        <v>1434</v>
      </c>
      <c r="B620" s="20" t="s">
        <v>236</v>
      </c>
      <c r="C620" s="19" t="str">
        <f aca="false">IFERROR(INDEX('قائمة الوحدات'!$B$2:$B$41,MATCH($B620,'قائمة الوحدات'!$A$2:$A$41,0)),"")</f>
        <v>MIL</v>
      </c>
      <c r="D620" s="18" t="str">
        <f aca="false">IFERROR(INDEX('قائمة الوحدات'!$C$2:$C$41,MATCH($B620,'قائمة الوحدات'!$A$2:$A$41,0)),"")</f>
        <v>الجهاز العسكري</v>
      </c>
      <c r="E620" s="18" t="str">
        <f aca="false">IFERROR(INDEX('قائمة الوحدات'!$D$2:$D$41,MATCH($B620,'قائمة الوحدات'!$A$2:$A$41,0)),"")</f>
        <v>الإدارة العامة للمراسم والتشريفات العسكرية</v>
      </c>
      <c r="F620" s="18" t="str">
        <f aca="false">IFERROR(INDEX('قائمة الوحدات'!$F$2:$F$41,MATCH($B620,'قائمة الوحدات'!$A$2:$A$41,0)),"")</f>
        <v>الإدارة العامة للمراسم والتشريفات العسكرية</v>
      </c>
      <c r="G620" s="20" t="s">
        <v>62</v>
      </c>
      <c r="H620" s="18" t="str">
        <f aca="false">IFERROR(INDEX(المرجع!$A$2:$A$19,MATCH($G620,المرجع!$B$2:$B$19,0)),"")</f>
        <v>البناء المؤسسي</v>
      </c>
      <c r="I620" s="20" t="s">
        <v>57</v>
      </c>
      <c r="J620" s="18" t="str">
        <f aca="false">IFERROR(INDEX(المرجع!$D$2:$D$19,MATCH($I620,المرجع!$E$2:$E$19,0)),"")</f>
        <v>الموارد</v>
      </c>
      <c r="K620" s="20" t="s">
        <v>112</v>
      </c>
      <c r="L620" s="21" t="str">
        <f aca="false">IFERROR(INDEX('نقاط التحقق'!$G$2:$G$31,MATCH($K620,'نقاط التحقق'!$A$2:$A$31,0))&amp;"","")</f>
        <v>وجود مساحات مكتبية كافية</v>
      </c>
      <c r="M620" s="17" t="n">
        <v>70</v>
      </c>
      <c r="N620" s="17" t="n">
        <v>95</v>
      </c>
      <c r="O620" s="19" t="str">
        <f aca="false">IF($M620="","غير مقيّمة",IF($M620&gt;المرجع!$K$3,"مستوفاة بشكل متقدم",IF($M620&lt;=المرجع!$K$2,"مستوفاة بشكل أولي","مستوفاة بشكل جزئي")))</f>
        <v>مستوفاة بشكل جزئي</v>
      </c>
      <c r="P620" s="22"/>
    </row>
    <row r="621" customFormat="false" ht="15" hidden="false" customHeight="true" outlineLevel="0" collapsed="false">
      <c r="A621" s="20" t="s">
        <v>1435</v>
      </c>
      <c r="B621" s="20" t="s">
        <v>236</v>
      </c>
      <c r="C621" s="19" t="str">
        <f aca="false">IFERROR(INDEX('قائمة الوحدات'!$B$2:$B$41,MATCH($B621,'قائمة الوحدات'!$A$2:$A$41,0)),"")</f>
        <v>MIL</v>
      </c>
      <c r="D621" s="18" t="str">
        <f aca="false">IFERROR(INDEX('قائمة الوحدات'!$C$2:$C$41,MATCH($B621,'قائمة الوحدات'!$A$2:$A$41,0)),"")</f>
        <v>الجهاز العسكري</v>
      </c>
      <c r="E621" s="18" t="str">
        <f aca="false">IFERROR(INDEX('قائمة الوحدات'!$D$2:$D$41,MATCH($B621,'قائمة الوحدات'!$A$2:$A$41,0)),"")</f>
        <v>الإدارة العامة للمراسم والتشريفات العسكرية</v>
      </c>
      <c r="F621" s="18" t="str">
        <f aca="false">IFERROR(INDEX('قائمة الوحدات'!$F$2:$F$41,MATCH($B621,'قائمة الوحدات'!$A$2:$A$41,0)),"")</f>
        <v>الإدارة العامة للمراسم والتشريفات العسكرية</v>
      </c>
      <c r="G621" s="20" t="s">
        <v>62</v>
      </c>
      <c r="H621" s="18" t="str">
        <f aca="false">IFERROR(INDEX(المرجع!$A$2:$A$19,MATCH($G621,المرجع!$B$2:$B$19,0)),"")</f>
        <v>البناء المؤسسي</v>
      </c>
      <c r="I621" s="20" t="s">
        <v>57</v>
      </c>
      <c r="J621" s="18" t="str">
        <f aca="false">IFERROR(INDEX(المرجع!$D$2:$D$19,MATCH($I621,المرجع!$E$2:$E$19,0)),"")</f>
        <v>الموارد</v>
      </c>
      <c r="K621" s="20" t="s">
        <v>114</v>
      </c>
      <c r="L621" s="21" t="str">
        <f aca="false">IFERROR(INDEX('نقاط التحقق'!$G$2:$G$31,MATCH($K621,'نقاط التحقق'!$A$2:$A$31,0))&amp;"","")</f>
        <v>وجود الاحتياجات التقنية الأساسية</v>
      </c>
      <c r="M621" s="17" t="n">
        <v>80</v>
      </c>
      <c r="N621" s="17" t="n">
        <v>100</v>
      </c>
      <c r="O621" s="19" t="str">
        <f aca="false">IF($M621="","غير مقيّمة",IF($M621&gt;المرجع!$K$3,"مستوفاة بشكل متقدم",IF($M621&lt;=المرجع!$K$2,"مستوفاة بشكل أولي","مستوفاة بشكل جزئي")))</f>
        <v>مستوفاة بشكل متقدم</v>
      </c>
      <c r="P621" s="22"/>
    </row>
    <row r="622" customFormat="false" ht="15" hidden="false" customHeight="true" outlineLevel="0" collapsed="false">
      <c r="A622" s="20" t="s">
        <v>1436</v>
      </c>
      <c r="B622" s="20" t="s">
        <v>236</v>
      </c>
      <c r="C622" s="19" t="str">
        <f aca="false">IFERROR(INDEX('قائمة الوحدات'!$B$2:$B$41,MATCH($B622,'قائمة الوحدات'!$A$2:$A$41,0)),"")</f>
        <v>MIL</v>
      </c>
      <c r="D622" s="18" t="str">
        <f aca="false">IFERROR(INDEX('قائمة الوحدات'!$C$2:$C$41,MATCH($B622,'قائمة الوحدات'!$A$2:$A$41,0)),"")</f>
        <v>الجهاز العسكري</v>
      </c>
      <c r="E622" s="18" t="str">
        <f aca="false">IFERROR(INDEX('قائمة الوحدات'!$D$2:$D$41,MATCH($B622,'قائمة الوحدات'!$A$2:$A$41,0)),"")</f>
        <v>الإدارة العامة للمراسم والتشريفات العسكرية</v>
      </c>
      <c r="F622" s="18" t="str">
        <f aca="false">IFERROR(INDEX('قائمة الوحدات'!$F$2:$F$41,MATCH($B622,'قائمة الوحدات'!$A$2:$A$41,0)),"")</f>
        <v>الإدارة العامة للمراسم والتشريفات العسكرية</v>
      </c>
      <c r="G622" s="20" t="s">
        <v>62</v>
      </c>
      <c r="H622" s="18" t="str">
        <f aca="false">IFERROR(INDEX(المرجع!$A$2:$A$19,MATCH($G622,المرجع!$B$2:$B$19,0)),"")</f>
        <v>البناء المؤسسي</v>
      </c>
      <c r="I622" s="20" t="s">
        <v>60</v>
      </c>
      <c r="J622" s="18" t="str">
        <f aca="false">IFERROR(INDEX(المرجع!$D$2:$D$19,MATCH($I622,المرجع!$E$2:$E$19,0)),"")</f>
        <v>الإجراءات</v>
      </c>
      <c r="K622" s="20" t="s">
        <v>116</v>
      </c>
      <c r="L622" s="21" t="str">
        <f aca="false">IFERROR(INDEX('نقاط التحقق'!$G$2:$G$31,MATCH($K622,'نقاط التحقق'!$A$2:$A$31,0))&amp;"","")</f>
        <v>إجراءات معتمدة للوحدة التنظيمية</v>
      </c>
      <c r="M622" s="17" t="n">
        <v>66</v>
      </c>
      <c r="N622" s="17" t="n">
        <v>85</v>
      </c>
      <c r="O622" s="19" t="str">
        <f aca="false">IF($M622="","غير مقيّمة",IF($M622&gt;المرجع!$K$3,"مستوفاة بشكل متقدم",IF($M622&lt;=المرجع!$K$2,"مستوفاة بشكل أولي","مستوفاة بشكل جزئي")))</f>
        <v>مستوفاة بشكل جزئي</v>
      </c>
      <c r="P622" s="22"/>
    </row>
    <row r="623" customFormat="false" ht="15" hidden="false" customHeight="true" outlineLevel="0" collapsed="false">
      <c r="A623" s="20" t="s">
        <v>1437</v>
      </c>
      <c r="B623" s="20" t="s">
        <v>236</v>
      </c>
      <c r="C623" s="19" t="str">
        <f aca="false">IFERROR(INDEX('قائمة الوحدات'!$B$2:$B$41,MATCH($B623,'قائمة الوحدات'!$A$2:$A$41,0)),"")</f>
        <v>MIL</v>
      </c>
      <c r="D623" s="18" t="str">
        <f aca="false">IFERROR(INDEX('قائمة الوحدات'!$C$2:$C$41,MATCH($B623,'قائمة الوحدات'!$A$2:$A$41,0)),"")</f>
        <v>الجهاز العسكري</v>
      </c>
      <c r="E623" s="18" t="str">
        <f aca="false">IFERROR(INDEX('قائمة الوحدات'!$D$2:$D$41,MATCH($B623,'قائمة الوحدات'!$A$2:$A$41,0)),"")</f>
        <v>الإدارة العامة للمراسم والتشريفات العسكرية</v>
      </c>
      <c r="F623" s="18" t="str">
        <f aca="false">IFERROR(INDEX('قائمة الوحدات'!$F$2:$F$41,MATCH($B623,'قائمة الوحدات'!$A$2:$A$41,0)),"")</f>
        <v>الإدارة العامة للمراسم والتشريفات العسكرية</v>
      </c>
      <c r="G623" s="20" t="s">
        <v>62</v>
      </c>
      <c r="H623" s="18" t="str">
        <f aca="false">IFERROR(INDEX(المرجع!$A$2:$A$19,MATCH($G623,المرجع!$B$2:$B$19,0)),"")</f>
        <v>البناء المؤسسي</v>
      </c>
      <c r="I623" s="20" t="s">
        <v>69</v>
      </c>
      <c r="J623" s="18" t="str">
        <f aca="false">IFERROR(INDEX(المرجع!$D$2:$D$19,MATCH($I623,المرجع!$E$2:$E$19,0)),"")</f>
        <v>إنتاج المخرج الأول</v>
      </c>
      <c r="K623" s="20" t="s">
        <v>118</v>
      </c>
      <c r="L623" s="21" t="str">
        <f aca="false">IFERROR(INDEX('نقاط التحقق'!$G$2:$G$31,MATCH($K623,'نقاط التحقق'!$A$2:$A$31,0))&amp;"","")</f>
        <v>إنتاج المخرج الأول من قبل الوحدة التنظيمية</v>
      </c>
      <c r="M623" s="17" t="n">
        <v>42</v>
      </c>
      <c r="N623" s="17" t="n">
        <v>100</v>
      </c>
      <c r="O623" s="19" t="str">
        <f aca="false">IF($M623="","غير مقيّمة",IF($M623&gt;المرجع!$K$3,"مستوفاة بشكل متقدم",IF($M623&lt;=المرجع!$K$2,"مستوفاة بشكل أولي","مستوفاة بشكل جزئي")))</f>
        <v>مستوفاة بشكل جزئي</v>
      </c>
      <c r="P623" s="22"/>
    </row>
    <row r="624" customFormat="false" ht="15" hidden="false" customHeight="true" outlineLevel="0" collapsed="false">
      <c r="A624" s="20" t="s">
        <v>1438</v>
      </c>
      <c r="B624" s="20" t="s">
        <v>236</v>
      </c>
      <c r="C624" s="19" t="str">
        <f aca="false">IFERROR(INDEX('قائمة الوحدات'!$B$2:$B$41,MATCH($B624,'قائمة الوحدات'!$A$2:$A$41,0)),"")</f>
        <v>MIL</v>
      </c>
      <c r="D624" s="18" t="str">
        <f aca="false">IFERROR(INDEX('قائمة الوحدات'!$C$2:$C$41,MATCH($B624,'قائمة الوحدات'!$A$2:$A$41,0)),"")</f>
        <v>الجهاز العسكري</v>
      </c>
      <c r="E624" s="18" t="str">
        <f aca="false">IFERROR(INDEX('قائمة الوحدات'!$D$2:$D$41,MATCH($B624,'قائمة الوحدات'!$A$2:$A$41,0)),"")</f>
        <v>الإدارة العامة للمراسم والتشريفات العسكرية</v>
      </c>
      <c r="F624" s="18" t="str">
        <f aca="false">IFERROR(INDEX('قائمة الوحدات'!$F$2:$F$41,MATCH($B624,'قائمة الوحدات'!$A$2:$A$41,0)),"")</f>
        <v>الإدارة العامة للمراسم والتشريفات العسكرية</v>
      </c>
      <c r="G624" s="20" t="s">
        <v>66</v>
      </c>
      <c r="H624" s="18" t="str">
        <f aca="false">IFERROR(INDEX(المرجع!$A$2:$A$19,MATCH($G624,المرجع!$B$2:$B$19,0)),"")</f>
        <v>التشغيل</v>
      </c>
      <c r="I624" s="20" t="s">
        <v>49</v>
      </c>
      <c r="J624" s="18" t="str">
        <f aca="false">IFERROR(INDEX(المرجع!$D$2:$D$19,MATCH($I624,المرجع!$E$2:$E$19,0)),"")</f>
        <v>الأهداف ومؤشرات الأداء</v>
      </c>
      <c r="K624" s="20" t="s">
        <v>120</v>
      </c>
      <c r="L624" s="21" t="str">
        <f aca="false">IFERROR(INDEX('نقاط التحقق'!$G$2:$G$31,MATCH($K624,'نقاط التحقق'!$A$2:$A$31,0))&amp;"","")</f>
        <v>تحرك مؤشرات الأداء التشغيلي للوحدة التنظيمية بشكل إيجابي</v>
      </c>
      <c r="M624" s="17" t="n">
        <v>45</v>
      </c>
      <c r="N624" s="17" t="n">
        <v>85</v>
      </c>
      <c r="O624" s="19" t="str">
        <f aca="false">IF($M624="","غير مقيّمة",IF($M624&gt;المرجع!$K$3,"مستوفاة بشكل متقدم",IF($M624&lt;=المرجع!$K$2,"مستوفاة بشكل أولي","مستوفاة بشكل جزئي")))</f>
        <v>مستوفاة بشكل جزئي</v>
      </c>
      <c r="P624" s="22"/>
    </row>
    <row r="625" customFormat="false" ht="15" hidden="false" customHeight="true" outlineLevel="0" collapsed="false">
      <c r="A625" s="20" t="s">
        <v>1439</v>
      </c>
      <c r="B625" s="20" t="s">
        <v>236</v>
      </c>
      <c r="C625" s="19" t="str">
        <f aca="false">IFERROR(INDEX('قائمة الوحدات'!$B$2:$B$41,MATCH($B625,'قائمة الوحدات'!$A$2:$A$41,0)),"")</f>
        <v>MIL</v>
      </c>
      <c r="D625" s="18" t="str">
        <f aca="false">IFERROR(INDEX('قائمة الوحدات'!$C$2:$C$41,MATCH($B625,'قائمة الوحدات'!$A$2:$A$41,0)),"")</f>
        <v>الجهاز العسكري</v>
      </c>
      <c r="E625" s="18" t="str">
        <f aca="false">IFERROR(INDEX('قائمة الوحدات'!$D$2:$D$41,MATCH($B625,'قائمة الوحدات'!$A$2:$A$41,0)),"")</f>
        <v>الإدارة العامة للمراسم والتشريفات العسكرية</v>
      </c>
      <c r="F625" s="18" t="str">
        <f aca="false">IFERROR(INDEX('قائمة الوحدات'!$F$2:$F$41,MATCH($B625,'قائمة الوحدات'!$A$2:$A$41,0)),"")</f>
        <v>الإدارة العامة للمراسم والتشريفات العسكرية</v>
      </c>
      <c r="G625" s="20" t="s">
        <v>66</v>
      </c>
      <c r="H625" s="18" t="str">
        <f aca="false">IFERROR(INDEX(المرجع!$A$2:$A$19,MATCH($G625,المرجع!$B$2:$B$19,0)),"")</f>
        <v>التشغيل</v>
      </c>
      <c r="I625" s="20" t="s">
        <v>49</v>
      </c>
      <c r="J625" s="18" t="str">
        <f aca="false">IFERROR(INDEX(المرجع!$D$2:$D$19,MATCH($I625,المرجع!$E$2:$E$19,0)),"")</f>
        <v>الأهداف ومؤشرات الأداء</v>
      </c>
      <c r="K625" s="20" t="s">
        <v>122</v>
      </c>
      <c r="L625" s="21" t="str">
        <f aca="false">IFERROR(INDEX('نقاط التحقق'!$G$2:$G$31,MATCH($K625,'نقاط التحقق'!$A$2:$A$31,0))&amp;"","")</f>
        <v>خطة سنوية معتمدة للوحدة التنظيمية</v>
      </c>
      <c r="M625" s="17" t="n">
        <v>55</v>
      </c>
      <c r="N625" s="17" t="n">
        <v>80</v>
      </c>
      <c r="O625" s="19" t="str">
        <f aca="false">IF($M625="","غير مقيّمة",IF($M625&gt;المرجع!$K$3,"مستوفاة بشكل متقدم",IF($M625&lt;=المرجع!$K$2,"مستوفاة بشكل أولي","مستوفاة بشكل جزئي")))</f>
        <v>مستوفاة بشكل جزئي</v>
      </c>
      <c r="P625" s="22"/>
    </row>
    <row r="626" customFormat="false" ht="15" hidden="false" customHeight="true" outlineLevel="0" collapsed="false">
      <c r="A626" s="20" t="s">
        <v>1440</v>
      </c>
      <c r="B626" s="20" t="s">
        <v>236</v>
      </c>
      <c r="C626" s="19" t="str">
        <f aca="false">IFERROR(INDEX('قائمة الوحدات'!$B$2:$B$41,MATCH($B626,'قائمة الوحدات'!$A$2:$A$41,0)),"")</f>
        <v>MIL</v>
      </c>
      <c r="D626" s="18" t="str">
        <f aca="false">IFERROR(INDEX('قائمة الوحدات'!$C$2:$C$41,MATCH($B626,'قائمة الوحدات'!$A$2:$A$41,0)),"")</f>
        <v>الجهاز العسكري</v>
      </c>
      <c r="E626" s="18" t="str">
        <f aca="false">IFERROR(INDEX('قائمة الوحدات'!$D$2:$D$41,MATCH($B626,'قائمة الوحدات'!$A$2:$A$41,0)),"")</f>
        <v>الإدارة العامة للمراسم والتشريفات العسكرية</v>
      </c>
      <c r="F626" s="18" t="str">
        <f aca="false">IFERROR(INDEX('قائمة الوحدات'!$F$2:$F$41,MATCH($B626,'قائمة الوحدات'!$A$2:$A$41,0)),"")</f>
        <v>الإدارة العامة للمراسم والتشريفات العسكرية</v>
      </c>
      <c r="G626" s="20" t="s">
        <v>66</v>
      </c>
      <c r="H626" s="18" t="str">
        <f aca="false">IFERROR(INDEX(المرجع!$A$2:$A$19,MATCH($G626,المرجع!$B$2:$B$19,0)),"")</f>
        <v>التشغيل</v>
      </c>
      <c r="I626" s="20" t="s">
        <v>52</v>
      </c>
      <c r="J626" s="18" t="str">
        <f aca="false">IFERROR(INDEX(المرجع!$D$2:$D$19,MATCH($I626,المرجع!$E$2:$E$19,0)),"")</f>
        <v>الحوكمة</v>
      </c>
      <c r="K626" s="20" t="s">
        <v>124</v>
      </c>
      <c r="L626" s="21" t="str">
        <f aca="false">IFERROR(INDEX('نقاط التحقق'!$G$2:$G$31,MATCH($K626,'نقاط التحقق'!$A$2:$A$31,0))&amp;"","")</f>
        <v>محاضر لجان موثقة</v>
      </c>
      <c r="M626" s="17" t="n">
        <v>55</v>
      </c>
      <c r="N626" s="17" t="n">
        <v>95</v>
      </c>
      <c r="O626" s="19" t="str">
        <f aca="false">IF($M626="","غير مقيّمة",IF($M626&gt;المرجع!$K$3,"مستوفاة بشكل متقدم",IF($M626&lt;=المرجع!$K$2,"مستوفاة بشكل أولي","مستوفاة بشكل جزئي")))</f>
        <v>مستوفاة بشكل جزئي</v>
      </c>
      <c r="P626" s="22"/>
    </row>
    <row r="627" customFormat="false" ht="15" hidden="false" customHeight="true" outlineLevel="0" collapsed="false">
      <c r="A627" s="20" t="s">
        <v>1441</v>
      </c>
      <c r="B627" s="20" t="s">
        <v>236</v>
      </c>
      <c r="C627" s="19" t="str">
        <f aca="false">IFERROR(INDEX('قائمة الوحدات'!$B$2:$B$41,MATCH($B627,'قائمة الوحدات'!$A$2:$A$41,0)),"")</f>
        <v>MIL</v>
      </c>
      <c r="D627" s="18" t="str">
        <f aca="false">IFERROR(INDEX('قائمة الوحدات'!$C$2:$C$41,MATCH($B627,'قائمة الوحدات'!$A$2:$A$41,0)),"")</f>
        <v>الجهاز العسكري</v>
      </c>
      <c r="E627" s="18" t="str">
        <f aca="false">IFERROR(INDEX('قائمة الوحدات'!$D$2:$D$41,MATCH($B627,'قائمة الوحدات'!$A$2:$A$41,0)),"")</f>
        <v>الإدارة العامة للمراسم والتشريفات العسكرية</v>
      </c>
      <c r="F627" s="18" t="str">
        <f aca="false">IFERROR(INDEX('قائمة الوحدات'!$F$2:$F$41,MATCH($B627,'قائمة الوحدات'!$A$2:$A$41,0)),"")</f>
        <v>الإدارة العامة للمراسم والتشريفات العسكرية</v>
      </c>
      <c r="G627" s="20" t="s">
        <v>66</v>
      </c>
      <c r="H627" s="18" t="str">
        <f aca="false">IFERROR(INDEX(المرجع!$A$2:$A$19,MATCH($G627,المرجع!$B$2:$B$19,0)),"")</f>
        <v>التشغيل</v>
      </c>
      <c r="I627" s="20" t="s">
        <v>52</v>
      </c>
      <c r="J627" s="18" t="str">
        <f aca="false">IFERROR(INDEX(المرجع!$D$2:$D$19,MATCH($I627,المرجع!$E$2:$E$19,0)),"")</f>
        <v>الحوكمة</v>
      </c>
      <c r="K627" s="20" t="s">
        <v>126</v>
      </c>
      <c r="L627" s="21" t="str">
        <f aca="false">IFERROR(INDEX('نقاط التحقق'!$G$2:$G$31,MATCH($K627,'نقاط التحقق'!$A$2:$A$31,0))&amp;"","")</f>
        <v>نشر السياسات التي تملكها الوحدة التنظيمية</v>
      </c>
      <c r="M627" s="17" t="n">
        <v>70</v>
      </c>
      <c r="N627" s="17" t="n">
        <v>100</v>
      </c>
      <c r="O627" s="19" t="str">
        <f aca="false">IF($M627="","غير مقيّمة",IF($M627&gt;المرجع!$K$3,"مستوفاة بشكل متقدم",IF($M627&lt;=المرجع!$K$2,"مستوفاة بشكل أولي","مستوفاة بشكل جزئي")))</f>
        <v>مستوفاة بشكل جزئي</v>
      </c>
      <c r="P627" s="22"/>
    </row>
    <row r="628" customFormat="false" ht="15" hidden="false" customHeight="true" outlineLevel="0" collapsed="false">
      <c r="A628" s="20" t="s">
        <v>1442</v>
      </c>
      <c r="B628" s="20" t="s">
        <v>236</v>
      </c>
      <c r="C628" s="19" t="str">
        <f aca="false">IFERROR(INDEX('قائمة الوحدات'!$B$2:$B$41,MATCH($B628,'قائمة الوحدات'!$A$2:$A$41,0)),"")</f>
        <v>MIL</v>
      </c>
      <c r="D628" s="18" t="str">
        <f aca="false">IFERROR(INDEX('قائمة الوحدات'!$C$2:$C$41,MATCH($B628,'قائمة الوحدات'!$A$2:$A$41,0)),"")</f>
        <v>الجهاز العسكري</v>
      </c>
      <c r="E628" s="18" t="str">
        <f aca="false">IFERROR(INDEX('قائمة الوحدات'!$D$2:$D$41,MATCH($B628,'قائمة الوحدات'!$A$2:$A$41,0)),"")</f>
        <v>الإدارة العامة للمراسم والتشريفات العسكرية</v>
      </c>
      <c r="F628" s="18" t="str">
        <f aca="false">IFERROR(INDEX('قائمة الوحدات'!$F$2:$F$41,MATCH($B628,'قائمة الوحدات'!$A$2:$A$41,0)),"")</f>
        <v>الإدارة العامة للمراسم والتشريفات العسكرية</v>
      </c>
      <c r="G628" s="20" t="s">
        <v>66</v>
      </c>
      <c r="H628" s="18" t="str">
        <f aca="false">IFERROR(INDEX(المرجع!$A$2:$A$19,MATCH($G628,المرجع!$B$2:$B$19,0)),"")</f>
        <v>التشغيل</v>
      </c>
      <c r="I628" s="20" t="s">
        <v>52</v>
      </c>
      <c r="J628" s="18" t="str">
        <f aca="false">IFERROR(INDEX(المرجع!$D$2:$D$19,MATCH($I628,المرجع!$E$2:$E$19,0)),"")</f>
        <v>الحوكمة</v>
      </c>
      <c r="K628" s="20" t="s">
        <v>128</v>
      </c>
      <c r="L628" s="21" t="str">
        <f aca="false">IFERROR(INDEX('نقاط التحقق'!$G$2:$G$31,MATCH($K628,'نقاط التحقق'!$A$2:$A$31,0))&amp;"","")</f>
        <v>اتخاذ القرارات في نطاق الصلاحيات (وجود شواهد)</v>
      </c>
      <c r="M628" s="17" t="n">
        <v>70</v>
      </c>
      <c r="N628" s="17" t="n">
        <v>100</v>
      </c>
      <c r="O628" s="19" t="str">
        <f aca="false">IF($M628="","غير مقيّمة",IF($M628&gt;المرجع!$K$3,"مستوفاة بشكل متقدم",IF($M628&lt;=المرجع!$K$2,"مستوفاة بشكل أولي","مستوفاة بشكل جزئي")))</f>
        <v>مستوفاة بشكل جزئي</v>
      </c>
      <c r="P628" s="22"/>
    </row>
    <row r="629" customFormat="false" ht="15" hidden="false" customHeight="true" outlineLevel="0" collapsed="false">
      <c r="A629" s="20" t="s">
        <v>1443</v>
      </c>
      <c r="B629" s="20" t="s">
        <v>236</v>
      </c>
      <c r="C629" s="19" t="str">
        <f aca="false">IFERROR(INDEX('قائمة الوحدات'!$B$2:$B$41,MATCH($B629,'قائمة الوحدات'!$A$2:$A$41,0)),"")</f>
        <v>MIL</v>
      </c>
      <c r="D629" s="18" t="str">
        <f aca="false">IFERROR(INDEX('قائمة الوحدات'!$C$2:$C$41,MATCH($B629,'قائمة الوحدات'!$A$2:$A$41,0)),"")</f>
        <v>الجهاز العسكري</v>
      </c>
      <c r="E629" s="18" t="str">
        <f aca="false">IFERROR(INDEX('قائمة الوحدات'!$D$2:$D$41,MATCH($B629,'قائمة الوحدات'!$A$2:$A$41,0)),"")</f>
        <v>الإدارة العامة للمراسم والتشريفات العسكرية</v>
      </c>
      <c r="F629" s="18" t="str">
        <f aca="false">IFERROR(INDEX('قائمة الوحدات'!$F$2:$F$41,MATCH($B629,'قائمة الوحدات'!$A$2:$A$41,0)),"")</f>
        <v>الإدارة العامة للمراسم والتشريفات العسكرية</v>
      </c>
      <c r="G629" s="20" t="s">
        <v>66</v>
      </c>
      <c r="H629" s="18" t="str">
        <f aca="false">IFERROR(INDEX(المرجع!$A$2:$A$19,MATCH($G629,المرجع!$B$2:$B$19,0)),"")</f>
        <v>التشغيل</v>
      </c>
      <c r="I629" s="20" t="s">
        <v>57</v>
      </c>
      <c r="J629" s="18" t="str">
        <f aca="false">IFERROR(INDEX(المرجع!$D$2:$D$19,MATCH($I629,المرجع!$E$2:$E$19,0)),"")</f>
        <v>الموارد</v>
      </c>
      <c r="K629" s="20" t="s">
        <v>130</v>
      </c>
      <c r="L629" s="21" t="str">
        <f aca="false">IFERROR(INDEX('نقاط التحقق'!$G$2:$G$31,MATCH($K629,'نقاط التحقق'!$A$2:$A$31,0))&amp;"","")</f>
        <v>موارد مستكملة للحد الأدنى الذي يغطي كافة محاور سلسلة القيمة</v>
      </c>
      <c r="M629" s="17" t="n">
        <v>54</v>
      </c>
      <c r="N629" s="17" t="n">
        <v>90</v>
      </c>
      <c r="O629" s="19" t="str">
        <f aca="false">IF($M629="","غير مقيّمة",IF($M629&gt;المرجع!$K$3,"مستوفاة بشكل متقدم",IF($M629&lt;=المرجع!$K$2,"مستوفاة بشكل أولي","مستوفاة بشكل جزئي")))</f>
        <v>مستوفاة بشكل جزئي</v>
      </c>
      <c r="P629" s="22"/>
    </row>
    <row r="630" customFormat="false" ht="15" hidden="false" customHeight="true" outlineLevel="0" collapsed="false">
      <c r="A630" s="20" t="s">
        <v>1444</v>
      </c>
      <c r="B630" s="20" t="s">
        <v>236</v>
      </c>
      <c r="C630" s="19" t="str">
        <f aca="false">IFERROR(INDEX('قائمة الوحدات'!$B$2:$B$41,MATCH($B630,'قائمة الوحدات'!$A$2:$A$41,0)),"")</f>
        <v>MIL</v>
      </c>
      <c r="D630" s="18" t="str">
        <f aca="false">IFERROR(INDEX('قائمة الوحدات'!$C$2:$C$41,MATCH($B630,'قائمة الوحدات'!$A$2:$A$41,0)),"")</f>
        <v>الجهاز العسكري</v>
      </c>
      <c r="E630" s="18" t="str">
        <f aca="false">IFERROR(INDEX('قائمة الوحدات'!$D$2:$D$41,MATCH($B630,'قائمة الوحدات'!$A$2:$A$41,0)),"")</f>
        <v>الإدارة العامة للمراسم والتشريفات العسكرية</v>
      </c>
      <c r="F630" s="18" t="str">
        <f aca="false">IFERROR(INDEX('قائمة الوحدات'!$F$2:$F$41,MATCH($B630,'قائمة الوحدات'!$A$2:$A$41,0)),"")</f>
        <v>الإدارة العامة للمراسم والتشريفات العسكرية</v>
      </c>
      <c r="G630" s="20" t="s">
        <v>66</v>
      </c>
      <c r="H630" s="18" t="str">
        <f aca="false">IFERROR(INDEX(المرجع!$A$2:$A$19,MATCH($G630,المرجع!$B$2:$B$19,0)),"")</f>
        <v>التشغيل</v>
      </c>
      <c r="I630" s="20" t="s">
        <v>60</v>
      </c>
      <c r="J630" s="18" t="str">
        <f aca="false">IFERROR(INDEX(المرجع!$D$2:$D$19,MATCH($I630,المرجع!$E$2:$E$19,0)),"")</f>
        <v>الإجراءات</v>
      </c>
      <c r="K630" s="20" t="s">
        <v>132</v>
      </c>
      <c r="L630" s="21" t="str">
        <f aca="false">IFERROR(INDEX('نقاط التحقق'!$G$2:$G$31,MATCH($K630,'نقاط التحقق'!$A$2:$A$31,0))&amp;"","")</f>
        <v>تحقيق تقييم "مطبق بشكل كامل" من منهجية تقييم فعالية الإجراءات</v>
      </c>
      <c r="M630" s="17" t="n">
        <v>35</v>
      </c>
      <c r="N630" s="17" t="n">
        <v>80</v>
      </c>
      <c r="O630" s="19" t="str">
        <f aca="false">IF($M630="","غير مقيّمة",IF($M630&gt;المرجع!$K$3,"مستوفاة بشكل متقدم",IF($M630&lt;=المرجع!$K$2,"مستوفاة بشكل أولي","مستوفاة بشكل جزئي")))</f>
        <v>مستوفاة بشكل جزئي</v>
      </c>
      <c r="P630" s="22"/>
    </row>
    <row r="631" customFormat="false" ht="15" hidden="false" customHeight="true" outlineLevel="0" collapsed="false">
      <c r="A631" s="20" t="s">
        <v>1445</v>
      </c>
      <c r="B631" s="20" t="s">
        <v>236</v>
      </c>
      <c r="C631" s="19" t="str">
        <f aca="false">IFERROR(INDEX('قائمة الوحدات'!$B$2:$B$41,MATCH($B631,'قائمة الوحدات'!$A$2:$A$41,0)),"")</f>
        <v>MIL</v>
      </c>
      <c r="D631" s="18" t="str">
        <f aca="false">IFERROR(INDEX('قائمة الوحدات'!$C$2:$C$41,MATCH($B631,'قائمة الوحدات'!$A$2:$A$41,0)),"")</f>
        <v>الجهاز العسكري</v>
      </c>
      <c r="E631" s="18" t="str">
        <f aca="false">IFERROR(INDEX('قائمة الوحدات'!$D$2:$D$41,MATCH($B631,'قائمة الوحدات'!$A$2:$A$41,0)),"")</f>
        <v>الإدارة العامة للمراسم والتشريفات العسكرية</v>
      </c>
      <c r="F631" s="18" t="str">
        <f aca="false">IFERROR(INDEX('قائمة الوحدات'!$F$2:$F$41,MATCH($B631,'قائمة الوحدات'!$A$2:$A$41,0)),"")</f>
        <v>الإدارة العامة للمراسم والتشريفات العسكرية</v>
      </c>
      <c r="G631" s="20" t="s">
        <v>66</v>
      </c>
      <c r="H631" s="18" t="str">
        <f aca="false">IFERROR(INDEX(المرجع!$A$2:$A$19,MATCH($G631,المرجع!$B$2:$B$19,0)),"")</f>
        <v>التشغيل</v>
      </c>
      <c r="I631" s="20" t="s">
        <v>71</v>
      </c>
      <c r="J631" s="18" t="str">
        <f aca="false">IFERROR(INDEX(المرجع!$D$2:$D$19,MATCH($I631,المرجع!$E$2:$E$19,0)),"")</f>
        <v>اكتمال المخرجات المستهدفة</v>
      </c>
      <c r="K631" s="20" t="s">
        <v>134</v>
      </c>
      <c r="L631" s="21" t="str">
        <f aca="false">IFERROR(INDEX('نقاط التحقق'!$G$2:$G$31,MATCH($K631,'نقاط التحقق'!$A$2:$A$31,0))&amp;"","")</f>
        <v>اكتمال مخرجات النموذج التشغيلي المستهدف للوحدة التنظيمية</v>
      </c>
      <c r="M631" s="17" t="n">
        <v>36</v>
      </c>
      <c r="N631" s="17" t="n">
        <v>80</v>
      </c>
      <c r="O631" s="19" t="str">
        <f aca="false">IF($M631="","غير مقيّمة",IF($M631&gt;المرجع!$K$3,"مستوفاة بشكل متقدم",IF($M631&lt;=المرجع!$K$2,"مستوفاة بشكل أولي","مستوفاة بشكل جزئي")))</f>
        <v>مستوفاة بشكل جزئي</v>
      </c>
      <c r="P631" s="22"/>
    </row>
  </sheetData>
  <autoFilter ref="A1:P631"/>
  <conditionalFormatting sqref="M2:M631">
    <cfRule type="cellIs" priority="2" operator="greaterThan" aboveAverage="0" equalAverage="0" bottom="0" percent="0" rank="0" text="" dxfId="10">
      <formula>70</formula>
    </cfRule>
    <cfRule type="cellIs" priority="3" operator="lessThanOrEqual" aboveAverage="0" equalAverage="0" bottom="0" percent="0" rank="0" text="" dxfId="11">
      <formula>30</formula>
    </cfRule>
  </conditionalFormatting>
  <conditionalFormatting sqref="N2:N631">
    <cfRule type="cellIs" priority="4" operator="equal" aboveAverage="0" equalAverage="0" bottom="0" percent="0" rank="0" text="" dxfId="10">
      <formula>"مستوفاة بشكل متقدم"</formula>
    </cfRule>
    <cfRule type="cellIs" priority="5" operator="equal" aboveAverage="0" equalAverage="0" bottom="0" percent="0" rank="0" text="" dxfId="12">
      <formula>"مستوفاة بشكل جزئي"</formula>
    </cfRule>
    <cfRule type="cellIs" priority="6" operator="equal" aboveAverage="0" equalAverage="0" bottom="0" percent="0" rank="0" text="" dxfId="11">
      <formula>"مستوفاة بشكل أولي"</formula>
    </cfRule>
  </conditionalFormatting>
  <dataValidations count="1">
    <dataValidation allowBlank="true" error="أدخل نسبة صحيحة بين ٠ و ١٠٠" errorStyle="stop" errorTitle="قيمة غير صحيحة" operator="between" showDropDown="false" showErrorMessage="false" showInputMessage="false" sqref="M2:N631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S1" activeCellId="0" sqref="S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3"/>
    <col collapsed="false" customWidth="true" hidden="false" outlineLevel="0" max="5" min="4" style="1" width="24"/>
    <col collapsed="false" customWidth="true" hidden="false" outlineLevel="0" max="6" min="6" style="1" width="22"/>
    <col collapsed="false" customWidth="true" hidden="false" outlineLevel="0" max="7" min="7" style="1" width="13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26"/>
    <col collapsed="false" customWidth="true" hidden="false" outlineLevel="0" max="11" min="11" style="1" width="12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20"/>
    <col collapsed="false" customWidth="true" hidden="false" outlineLevel="0" max="16" min="16" style="1" width="16"/>
    <col collapsed="false" customWidth="true" hidden="false" outlineLevel="0" max="18" min="17" style="1" width="14"/>
    <col collapsed="false" customWidth="true" hidden="false" outlineLevel="0" max="20" min="20" style="1" width="18"/>
  </cols>
  <sheetData>
    <row r="1" customFormat="false" ht="36" hidden="false" customHeight="true" outlineLevel="0" collapsed="false">
      <c r="A1" s="5" t="s">
        <v>238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34</v>
      </c>
      <c r="H1" s="5" t="s">
        <v>33</v>
      </c>
      <c r="I1" s="5" t="s">
        <v>37</v>
      </c>
      <c r="J1" s="5" t="s">
        <v>36</v>
      </c>
      <c r="K1" s="5" t="s">
        <v>38</v>
      </c>
      <c r="L1" s="5" t="s">
        <v>1446</v>
      </c>
      <c r="M1" s="5" t="s">
        <v>1447</v>
      </c>
      <c r="N1" s="5" t="s">
        <v>1448</v>
      </c>
      <c r="O1" s="23" t="s">
        <v>1449</v>
      </c>
      <c r="P1" s="15" t="s">
        <v>1450</v>
      </c>
      <c r="Q1" s="5" t="s">
        <v>39</v>
      </c>
      <c r="R1" s="5" t="s">
        <v>1451</v>
      </c>
      <c r="S1" s="5" t="s">
        <v>1452</v>
      </c>
      <c r="T1" s="23" t="s">
        <v>1453</v>
      </c>
    </row>
    <row r="2" customFormat="false" ht="15" hidden="false" customHeight="true" outlineLevel="0" collapsed="false">
      <c r="A2" s="20" t="s">
        <v>1454</v>
      </c>
      <c r="B2" s="20" t="s">
        <v>145</v>
      </c>
      <c r="C2" s="19" t="str">
        <f aca="false">IFERROR(INDEX('قائمة الوحدات'!$B$2:$B$41,MATCH($B2,'قائمة الوحدات'!$A$2:$A$41,0)),"")</f>
        <v>TOP</v>
      </c>
      <c r="D2" s="18" t="str">
        <f aca="false">IFERROR(INDEX('قائمة الوحدات'!$C$2:$C$41,MATCH($B2,'قائمة الوحدات'!$A$2:$A$41,0)),"")</f>
        <v>المرتبطة بسمو الوزير</v>
      </c>
      <c r="E2" s="18" t="str">
        <f aca="false">IFERROR(INDEX('قائمة الوحدات'!$D$2:$D$41,MATCH($B2,'قائمة الوحدات'!$A$2:$A$41,0)),"")</f>
        <v>المكتب التنفيذي</v>
      </c>
      <c r="F2" s="18" t="str">
        <f aca="false">IFERROR(INDEX('قائمة الوحدات'!$F$2:$F$41,MATCH($B2,'قائمة الوحدات'!$A$2:$A$41,0)),"")</f>
        <v>المكتب التنفيذي</v>
      </c>
      <c r="G2" s="20" t="s">
        <v>44</v>
      </c>
      <c r="H2" s="18" t="str">
        <f aca="false">IFERROR(INDEX(المرجع!$A$2:$A$19,MATCH($G2,المرجع!$B$2:$B$19,0)),"")</f>
        <v>التصميم</v>
      </c>
      <c r="I2" s="20" t="s">
        <v>46</v>
      </c>
      <c r="J2" s="18" t="str">
        <f aca="false">IFERROR(INDEX(المرجع!$D$2:$D$19,MATCH($I2,المرجع!$E$2:$E$19,0)),"")</f>
        <v>الدور</v>
      </c>
      <c r="K2" s="19" t="n">
        <f aca="false">IFERROR(INDEX(المرجع!$F$2:$F$19,MATCH($I2,المرجع!$E$2:$E$19,0)),"")</f>
        <v>1</v>
      </c>
      <c r="L2" s="19" t="n">
        <f aca="false">SUMIFS(المرجع!$H$2:$H$19,المرجع!$B$2:$B$19,$G2,المرجع!$E$2:$E$19,$I2)</f>
        <v>1</v>
      </c>
      <c r="M2" s="19" t="n">
        <f aca="false">COUNTIFS('المرتبطة بسمو الوزير'!$B$2:$B$151,$B2,'المرتبطة بسمو الوزير'!$G$2:$G$151,$G2,'المرتبطة بسمو الوزير'!$I$2:$I$151,$I2,'المرتبطة بسمو الوزير'!$M$2:$M$151,"&lt;&gt;")+COUNTIFS('الشؤون التنفيذية'!$B$2:$B$421,$B2,'الشؤون التنفيذية'!$G$2:$G$421,$G2,'الشؤون التنفيذية'!$I$2:$I$421,$I2,'الشؤون التنفيذية'!$N$2:$N$421,"&lt;&gt;")+COUNTIFS('الجهاز العسكري'!$B$2:$B$631,$B2,'الجهاز العسكري'!$G$2:$G$631,$G2,'الجهاز العسكري'!$I$2:$I$631,$I2,'الجهاز العسكري'!$M$2:$M$631,"&lt;&gt;")</f>
        <v>1</v>
      </c>
      <c r="N2" s="24" t="n">
        <f aca="false">IF($L2=0,0,ROUND((SUMIFS('المرتبطة بسمو الوزير'!$M$2:$M$151,'المرتبطة بسمو الوزير'!$B$2:$B$151,$B2,'المرتبطة بسمو الوزير'!$G$2:$G$151,$G2,'المرتبطة بسمو الوزير'!$I$2:$I$151,$I2)+SUMIFS('الشؤون التنفيذية'!$N$2:$N$421,'الشؤون التنفيذية'!$B$2:$B$421,$B2,'الشؤون التنفيذية'!$G$2:$G$421,$G2,'الشؤون التنفيذية'!$I$2:$I$421,$I2)+SUMIFS('الجهاز العسكري'!$M$2:$M$631,'الجهاز العسكري'!$B$2:$B$631,$B2,'الجهاز العسكري'!$G$2:$G$631,$G2,'الجهاز العسكري'!$I$2:$I$631,$I2))/$L2,0))</f>
        <v>50</v>
      </c>
      <c r="O2" s="25" t="n">
        <f aca="false">IF($L2=0,0,ROUND((SUMIFS('المرتبطة بسمو الوزير'!$N$2:$N$151,'المرتبطة بسمو الوزير'!$B$2:$B$151,$B2,'المرتبطة بسمو الوزير'!$G$2:$G$151,$G2,'المرتبطة بسمو الوزير'!$I$2:$I$151,$I2)+SUMIFS('الشؤون التنفيذية'!$O$2:$O$421,'الشؤون التنفيذية'!$B$2:$B$421,$B2,'الشؤون التنفيذية'!$G$2:$G$421,$G2,'الشؤون التنفيذية'!$I$2:$I$421,$I2)+SUMIFS('الجهاز العسكري'!$N$2:$N$631,'الجهاز العسكري'!$B$2:$B$631,$B2,'الجهاز العسكري'!$G$2:$G$631,$G2,'الجهاز العسكري'!$I$2:$I$631,$I2))/$L2,0))</f>
        <v>90</v>
      </c>
      <c r="P2" s="22"/>
      <c r="Q2" s="19" t="n">
        <f aca="false">SUMIFS(المرجع!$G$2:$G$19,المرجع!$B$2:$B$19,$G2,المرجع!$E$2:$E$19,$I2)</f>
        <v>25</v>
      </c>
      <c r="R2" s="26" t="n">
        <f aca="false">ROUND($Q2*$N2/100,2)</f>
        <v>12.5</v>
      </c>
      <c r="S2" s="27" t="str">
        <f aca="false">IF($N2&gt;المرجع!$K$3,"متقدم",IF($N2&lt;=المرجع!$K$2,"أولي","جزئي"))</f>
        <v>جزئي</v>
      </c>
      <c r="T2" s="28" t="n">
        <f aca="false">ROUND($Q2*$O2/100,2)</f>
        <v>22.5</v>
      </c>
    </row>
    <row r="3" customFormat="false" ht="15" hidden="false" customHeight="true" outlineLevel="0" collapsed="false">
      <c r="A3" s="20" t="s">
        <v>1455</v>
      </c>
      <c r="B3" s="20" t="s">
        <v>145</v>
      </c>
      <c r="C3" s="19" t="str">
        <f aca="false">IFERROR(INDEX('قائمة الوحدات'!$B$2:$B$41,MATCH($B3,'قائمة الوحدات'!$A$2:$A$41,0)),"")</f>
        <v>TOP</v>
      </c>
      <c r="D3" s="18" t="str">
        <f aca="false">IFERROR(INDEX('قائمة الوحدات'!$C$2:$C$41,MATCH($B3,'قائمة الوحدات'!$A$2:$A$41,0)),"")</f>
        <v>المرتبطة بسمو الوزير</v>
      </c>
      <c r="E3" s="18" t="str">
        <f aca="false">IFERROR(INDEX('قائمة الوحدات'!$D$2:$D$41,MATCH($B3,'قائمة الوحدات'!$A$2:$A$41,0)),"")</f>
        <v>المكتب التنفيذي</v>
      </c>
      <c r="F3" s="18" t="str">
        <f aca="false">IFERROR(INDEX('قائمة الوحدات'!$F$2:$F$41,MATCH($B3,'قائمة الوحدات'!$A$2:$A$41,0)),"")</f>
        <v>المكتب التنفيذي</v>
      </c>
      <c r="G3" s="20" t="s">
        <v>44</v>
      </c>
      <c r="H3" s="18" t="str">
        <f aca="false">IFERROR(INDEX(المرجع!$A$2:$A$19,MATCH($G3,المرجع!$B$2:$B$19,0)),"")</f>
        <v>التصميم</v>
      </c>
      <c r="I3" s="20" t="s">
        <v>49</v>
      </c>
      <c r="J3" s="18" t="str">
        <f aca="false">IFERROR(INDEX(المرجع!$D$2:$D$19,MATCH($I3,المرجع!$E$2:$E$19,0)),"")</f>
        <v>الأهداف ومؤشرات الأداء</v>
      </c>
      <c r="K3" s="19" t="n">
        <f aca="false">IFERROR(INDEX(المرجع!$F$2:$F$19,MATCH($I3,المرجع!$E$2:$E$19,0)),"")</f>
        <v>2</v>
      </c>
      <c r="L3" s="19" t="n">
        <f aca="false">SUMIFS(المرجع!$H$2:$H$19,المرجع!$B$2:$B$19,$G3,المرجع!$E$2:$E$19,$I3)</f>
        <v>2</v>
      </c>
      <c r="M3" s="19" t="n">
        <f aca="false">COUNTIFS('المرتبطة بسمو الوزير'!$B$2:$B$151,$B3,'المرتبطة بسمو الوزير'!$G$2:$G$151,$G3,'المرتبطة بسمو الوزير'!$I$2:$I$151,$I3,'المرتبطة بسمو الوزير'!$M$2:$M$151,"&lt;&gt;")+COUNTIFS('الشؤون التنفيذية'!$B$2:$B$421,$B3,'الشؤون التنفيذية'!$G$2:$G$421,$G3,'الشؤون التنفيذية'!$I$2:$I$421,$I3,'الشؤون التنفيذية'!$N$2:$N$421,"&lt;&gt;")+COUNTIFS('الجهاز العسكري'!$B$2:$B$631,$B3,'الجهاز العسكري'!$G$2:$G$631,$G3,'الجهاز العسكري'!$I$2:$I$631,$I3,'الجهاز العسكري'!$M$2:$M$631,"&lt;&gt;")</f>
        <v>2</v>
      </c>
      <c r="N3" s="24" t="n">
        <f aca="false">IF($L3=0,0,ROUND((SUMIFS('المرتبطة بسمو الوزير'!$M$2:$M$151,'المرتبطة بسمو الوزير'!$B$2:$B$151,$B3,'المرتبطة بسمو الوزير'!$G$2:$G$151,$G3,'المرتبطة بسمو الوزير'!$I$2:$I$151,$I3)+SUMIFS('الشؤون التنفيذية'!$N$2:$N$421,'الشؤون التنفيذية'!$B$2:$B$421,$B3,'الشؤون التنفيذية'!$G$2:$G$421,$G3,'الشؤون التنفيذية'!$I$2:$I$421,$I3)+SUMIFS('الجهاز العسكري'!$M$2:$M$631,'الجهاز العسكري'!$B$2:$B$631,$B3,'الجهاز العسكري'!$G$2:$G$631,$G3,'الجهاز العسكري'!$I$2:$I$631,$I3))/$L3,0))</f>
        <v>73</v>
      </c>
      <c r="O3" s="25" t="n">
        <f aca="false">IF($L3=0,0,ROUND((SUMIFS('المرتبطة بسمو الوزير'!$N$2:$N$151,'المرتبطة بسمو الوزير'!$B$2:$B$151,$B3,'المرتبطة بسمو الوزير'!$G$2:$G$151,$G3,'المرتبطة بسمو الوزير'!$I$2:$I$151,$I3)+SUMIFS('الشؤون التنفيذية'!$O$2:$O$421,'الشؤون التنفيذية'!$B$2:$B$421,$B3,'الشؤون التنفيذية'!$G$2:$G$421,$G3,'الشؤون التنفيذية'!$I$2:$I$421,$I3)+SUMIFS('الجهاز العسكري'!$N$2:$N$631,'الجهاز العسكري'!$B$2:$B$631,$B3,'الجهاز العسكري'!$G$2:$G$631,$G3,'الجهاز العسكري'!$I$2:$I$631,$I3))/$L3,0))</f>
        <v>90</v>
      </c>
      <c r="P3" s="22"/>
      <c r="Q3" s="19" t="n">
        <f aca="false">SUMIFS(المرجع!$G$2:$G$19,المرجع!$B$2:$B$19,$G3,المرجع!$E$2:$E$19,$I3)</f>
        <v>15</v>
      </c>
      <c r="R3" s="26" t="n">
        <f aca="false">ROUND($Q3*$N3/100,2)</f>
        <v>10.95</v>
      </c>
      <c r="S3" s="27" t="str">
        <f aca="false">IF($N3&gt;المرجع!$K$3,"متقدم",IF($N3&lt;=المرجع!$K$2,"أولي","جزئي"))</f>
        <v>متقدم</v>
      </c>
      <c r="T3" s="28" t="n">
        <f aca="false">ROUND($Q3*$O3/100,2)</f>
        <v>13.5</v>
      </c>
    </row>
    <row r="4" customFormat="false" ht="15" hidden="false" customHeight="true" outlineLevel="0" collapsed="false">
      <c r="A4" s="20" t="s">
        <v>1456</v>
      </c>
      <c r="B4" s="20" t="s">
        <v>145</v>
      </c>
      <c r="C4" s="19" t="str">
        <f aca="false">IFERROR(INDEX('قائمة الوحدات'!$B$2:$B$41,MATCH($B4,'قائمة الوحدات'!$A$2:$A$41,0)),"")</f>
        <v>TOP</v>
      </c>
      <c r="D4" s="18" t="str">
        <f aca="false">IFERROR(INDEX('قائمة الوحدات'!$C$2:$C$41,MATCH($B4,'قائمة الوحدات'!$A$2:$A$41,0)),"")</f>
        <v>المرتبطة بسمو الوزير</v>
      </c>
      <c r="E4" s="18" t="str">
        <f aca="false">IFERROR(INDEX('قائمة الوحدات'!$D$2:$D$41,MATCH($B4,'قائمة الوحدات'!$A$2:$A$41,0)),"")</f>
        <v>المكتب التنفيذي</v>
      </c>
      <c r="F4" s="18" t="str">
        <f aca="false">IFERROR(INDEX('قائمة الوحدات'!$F$2:$F$41,MATCH($B4,'قائمة الوحدات'!$A$2:$A$41,0)),"")</f>
        <v>المكتب التنفيذي</v>
      </c>
      <c r="G4" s="20" t="s">
        <v>44</v>
      </c>
      <c r="H4" s="18" t="str">
        <f aca="false">IFERROR(INDEX(المرجع!$A$2:$A$19,MATCH($G4,المرجع!$B$2:$B$19,0)),"")</f>
        <v>التصميم</v>
      </c>
      <c r="I4" s="20" t="s">
        <v>52</v>
      </c>
      <c r="J4" s="18" t="str">
        <f aca="false">IFERROR(INDEX(المرجع!$D$2:$D$19,MATCH($I4,المرجع!$E$2:$E$19,0)),"")</f>
        <v>الحوكمة</v>
      </c>
      <c r="K4" s="19" t="n">
        <f aca="false">IFERROR(INDEX(المرجع!$F$2:$F$19,MATCH($I4,المرجع!$E$2:$E$19,0)),"")</f>
        <v>3</v>
      </c>
      <c r="L4" s="19" t="n">
        <f aca="false">SUMIFS(المرجع!$H$2:$H$19,المرجع!$B$2:$B$19,$G4,المرجع!$E$2:$E$19,$I4)</f>
        <v>1</v>
      </c>
      <c r="M4" s="19" t="n">
        <f aca="false">COUNTIFS('المرتبطة بسمو الوزير'!$B$2:$B$151,$B4,'المرتبطة بسمو الوزير'!$G$2:$G$151,$G4,'المرتبطة بسمو الوزير'!$I$2:$I$151,$I4,'المرتبطة بسمو الوزير'!$M$2:$M$151,"&lt;&gt;")+COUNTIFS('الشؤون التنفيذية'!$B$2:$B$421,$B4,'الشؤون التنفيذية'!$G$2:$G$421,$G4,'الشؤون التنفيذية'!$I$2:$I$421,$I4,'الشؤون التنفيذية'!$N$2:$N$421,"&lt;&gt;")+COUNTIFS('الجهاز العسكري'!$B$2:$B$631,$B4,'الجهاز العسكري'!$G$2:$G$631,$G4,'الجهاز العسكري'!$I$2:$I$631,$I4,'الجهاز العسكري'!$M$2:$M$631,"&lt;&gt;")</f>
        <v>1</v>
      </c>
      <c r="N4" s="24" t="n">
        <f aca="false">IF($L4=0,0,ROUND((SUMIFS('المرتبطة بسمو الوزير'!$M$2:$M$151,'المرتبطة بسمو الوزير'!$B$2:$B$151,$B4,'المرتبطة بسمو الوزير'!$G$2:$G$151,$G4,'المرتبطة بسمو الوزير'!$I$2:$I$151,$I4)+SUMIFS('الشؤون التنفيذية'!$N$2:$N$421,'الشؤون التنفيذية'!$B$2:$B$421,$B4,'الشؤون التنفيذية'!$G$2:$G$421,$G4,'الشؤون التنفيذية'!$I$2:$I$421,$I4)+SUMIFS('الجهاز العسكري'!$M$2:$M$631,'الجهاز العسكري'!$B$2:$B$631,$B4,'الجهاز العسكري'!$G$2:$G$631,$G4,'الجهاز العسكري'!$I$2:$I$631,$I4))/$L4,0))</f>
        <v>87</v>
      </c>
      <c r="O4" s="25" t="n">
        <f aca="false">IF($L4=0,0,ROUND((SUMIFS('المرتبطة بسمو الوزير'!$N$2:$N$151,'المرتبطة بسمو الوزير'!$B$2:$B$151,$B4,'المرتبطة بسمو الوزير'!$G$2:$G$151,$G4,'المرتبطة بسمو الوزير'!$I$2:$I$151,$I4)+SUMIFS('الشؤون التنفيذية'!$O$2:$O$421,'الشؤون التنفيذية'!$B$2:$B$421,$B4,'الشؤون التنفيذية'!$G$2:$G$421,$G4,'الشؤون التنفيذية'!$I$2:$I$421,$I4)+SUMIFS('الجهاز العسكري'!$N$2:$N$631,'الجهاز العسكري'!$B$2:$B$631,$B4,'الجهاز العسكري'!$G$2:$G$631,$G4,'الجهاز العسكري'!$I$2:$I$631,$I4))/$L4,0))</f>
        <v>100</v>
      </c>
      <c r="P4" s="22"/>
      <c r="Q4" s="19" t="n">
        <f aca="false">SUMIFS(المرجع!$G$2:$G$19,المرجع!$B$2:$B$19,$G4,المرجع!$E$2:$E$19,$I4)</f>
        <v>15</v>
      </c>
      <c r="R4" s="26" t="n">
        <f aca="false">ROUND($Q4*$N4/100,2)</f>
        <v>13.05</v>
      </c>
      <c r="S4" s="27" t="str">
        <f aca="false">IF($N4&gt;المرجع!$K$3,"متقدم",IF($N4&lt;=المرجع!$K$2,"أولي","جزئي"))</f>
        <v>متقدم</v>
      </c>
      <c r="T4" s="28" t="n">
        <f aca="false">ROUND($Q4*$O4/100,2)</f>
        <v>15</v>
      </c>
    </row>
    <row r="5" customFormat="false" ht="15" hidden="false" customHeight="true" outlineLevel="0" collapsed="false">
      <c r="A5" s="20" t="s">
        <v>1457</v>
      </c>
      <c r="B5" s="20" t="s">
        <v>145</v>
      </c>
      <c r="C5" s="19" t="str">
        <f aca="false">IFERROR(INDEX('قائمة الوحدات'!$B$2:$B$41,MATCH($B5,'قائمة الوحدات'!$A$2:$A$41,0)),"")</f>
        <v>TOP</v>
      </c>
      <c r="D5" s="18" t="str">
        <f aca="false">IFERROR(INDEX('قائمة الوحدات'!$C$2:$C$41,MATCH($B5,'قائمة الوحدات'!$A$2:$A$41,0)),"")</f>
        <v>المرتبطة بسمو الوزير</v>
      </c>
      <c r="E5" s="18" t="str">
        <f aca="false">IFERROR(INDEX('قائمة الوحدات'!$D$2:$D$41,MATCH($B5,'قائمة الوحدات'!$A$2:$A$41,0)),"")</f>
        <v>المكتب التنفيذي</v>
      </c>
      <c r="F5" s="18" t="str">
        <f aca="false">IFERROR(INDEX('قائمة الوحدات'!$F$2:$F$41,MATCH($B5,'قائمة الوحدات'!$A$2:$A$41,0)),"")</f>
        <v>المكتب التنفيذي</v>
      </c>
      <c r="G5" s="20" t="s">
        <v>44</v>
      </c>
      <c r="H5" s="18" t="str">
        <f aca="false">IFERROR(INDEX(المرجع!$A$2:$A$19,MATCH($G5,المرجع!$B$2:$B$19,0)),"")</f>
        <v>التصميم</v>
      </c>
      <c r="I5" s="20" t="s">
        <v>55</v>
      </c>
      <c r="J5" s="18" t="str">
        <f aca="false">IFERROR(INDEX(المرجع!$D$2:$D$19,MATCH($I5,المرجع!$E$2:$E$19,0)),"")</f>
        <v>التنظيم</v>
      </c>
      <c r="K5" s="19" t="n">
        <f aca="false">IFERROR(INDEX(المرجع!$F$2:$F$19,MATCH($I5,المرجع!$E$2:$E$19,0)),"")</f>
        <v>4</v>
      </c>
      <c r="L5" s="19" t="n">
        <f aca="false">SUMIFS(المرجع!$H$2:$H$19,المرجع!$B$2:$B$19,$G5,المرجع!$E$2:$E$19,$I5)</f>
        <v>1</v>
      </c>
      <c r="M5" s="19" t="n">
        <f aca="false">COUNTIFS('المرتبطة بسمو الوزير'!$B$2:$B$151,$B5,'المرتبطة بسمو الوزير'!$G$2:$G$151,$G5,'المرتبطة بسمو الوزير'!$I$2:$I$151,$I5,'المرتبطة بسمو الوزير'!$M$2:$M$151,"&lt;&gt;")+COUNTIFS('الشؤون التنفيذية'!$B$2:$B$421,$B5,'الشؤون التنفيذية'!$G$2:$G$421,$G5,'الشؤون التنفيذية'!$I$2:$I$421,$I5,'الشؤون التنفيذية'!$N$2:$N$421,"&lt;&gt;")+COUNTIFS('الجهاز العسكري'!$B$2:$B$631,$B5,'الجهاز العسكري'!$G$2:$G$631,$G5,'الجهاز العسكري'!$I$2:$I$631,$I5,'الجهاز العسكري'!$M$2:$M$631,"&lt;&gt;")</f>
        <v>1</v>
      </c>
      <c r="N5" s="24" t="n">
        <f aca="false">IF($L5=0,0,ROUND((SUMIFS('المرتبطة بسمو الوزير'!$M$2:$M$151,'المرتبطة بسمو الوزير'!$B$2:$B$151,$B5,'المرتبطة بسمو الوزير'!$G$2:$G$151,$G5,'المرتبطة بسمو الوزير'!$I$2:$I$151,$I5)+SUMIFS('الشؤون التنفيذية'!$N$2:$N$421,'الشؤون التنفيذية'!$B$2:$B$421,$B5,'الشؤون التنفيذية'!$G$2:$G$421,$G5,'الشؤون التنفيذية'!$I$2:$I$421,$I5)+SUMIFS('الجهاز العسكري'!$M$2:$M$631,'الجهاز العسكري'!$B$2:$B$631,$B5,'الجهاز العسكري'!$G$2:$G$631,$G5,'الجهاز العسكري'!$I$2:$I$631,$I5))/$L5,0))</f>
        <v>82</v>
      </c>
      <c r="O5" s="25" t="n">
        <f aca="false">IF($L5=0,0,ROUND((SUMIFS('المرتبطة بسمو الوزير'!$N$2:$N$151,'المرتبطة بسمو الوزير'!$B$2:$B$151,$B5,'المرتبطة بسمو الوزير'!$G$2:$G$151,$G5,'المرتبطة بسمو الوزير'!$I$2:$I$151,$I5)+SUMIFS('الشؤون التنفيذية'!$O$2:$O$421,'الشؤون التنفيذية'!$B$2:$B$421,$B5,'الشؤون التنفيذية'!$G$2:$G$421,$G5,'الشؤون التنفيذية'!$I$2:$I$421,$I5)+SUMIFS('الجهاز العسكري'!$N$2:$N$631,'الجهاز العسكري'!$B$2:$B$631,$B5,'الجهاز العسكري'!$G$2:$G$631,$G5,'الجهاز العسكري'!$I$2:$I$631,$I5))/$L5,0))</f>
        <v>82</v>
      </c>
      <c r="P5" s="22"/>
      <c r="Q5" s="19" t="n">
        <f aca="false">SUMIFS(المرجع!$G$2:$G$19,المرجع!$B$2:$B$19,$G5,المرجع!$E$2:$E$19,$I5)</f>
        <v>20</v>
      </c>
      <c r="R5" s="26" t="n">
        <f aca="false">ROUND($Q5*$N5/100,2)</f>
        <v>16.4</v>
      </c>
      <c r="S5" s="27" t="str">
        <f aca="false">IF($N5&gt;المرجع!$K$3,"متقدم",IF($N5&lt;=المرجع!$K$2,"أولي","جزئي"))</f>
        <v>متقدم</v>
      </c>
      <c r="T5" s="28" t="n">
        <f aca="false">ROUND($Q5*$O5/100,2)</f>
        <v>16.4</v>
      </c>
    </row>
    <row r="6" customFormat="false" ht="15" hidden="false" customHeight="true" outlineLevel="0" collapsed="false">
      <c r="A6" s="20" t="s">
        <v>1458</v>
      </c>
      <c r="B6" s="20" t="s">
        <v>145</v>
      </c>
      <c r="C6" s="19" t="str">
        <f aca="false">IFERROR(INDEX('قائمة الوحدات'!$B$2:$B$41,MATCH($B6,'قائمة الوحدات'!$A$2:$A$41,0)),"")</f>
        <v>TOP</v>
      </c>
      <c r="D6" s="18" t="str">
        <f aca="false">IFERROR(INDEX('قائمة الوحدات'!$C$2:$C$41,MATCH($B6,'قائمة الوحدات'!$A$2:$A$41,0)),"")</f>
        <v>المرتبطة بسمو الوزير</v>
      </c>
      <c r="E6" s="18" t="str">
        <f aca="false">IFERROR(INDEX('قائمة الوحدات'!$D$2:$D$41,MATCH($B6,'قائمة الوحدات'!$A$2:$A$41,0)),"")</f>
        <v>المكتب التنفيذي</v>
      </c>
      <c r="F6" s="18" t="str">
        <f aca="false">IFERROR(INDEX('قائمة الوحدات'!$F$2:$F$41,MATCH($B6,'قائمة الوحدات'!$A$2:$A$41,0)),"")</f>
        <v>المكتب التنفيذي</v>
      </c>
      <c r="G6" s="20" t="s">
        <v>44</v>
      </c>
      <c r="H6" s="18" t="str">
        <f aca="false">IFERROR(INDEX(المرجع!$A$2:$A$19,MATCH($G6,المرجع!$B$2:$B$19,0)),"")</f>
        <v>التصميم</v>
      </c>
      <c r="I6" s="20" t="s">
        <v>57</v>
      </c>
      <c r="J6" s="18" t="str">
        <f aca="false">IFERROR(INDEX(المرجع!$D$2:$D$19,MATCH($I6,المرجع!$E$2:$E$19,0)),"")</f>
        <v>الموارد</v>
      </c>
      <c r="K6" s="19" t="n">
        <f aca="false">IFERROR(INDEX(المرجع!$F$2:$F$19,MATCH($I6,المرجع!$E$2:$E$19,0)),"")</f>
        <v>5</v>
      </c>
      <c r="L6" s="19" t="n">
        <f aca="false">SUMIFS(المرجع!$H$2:$H$19,المرجع!$B$2:$B$19,$G6,المرجع!$E$2:$E$19,$I6)</f>
        <v>1</v>
      </c>
      <c r="M6" s="19" t="n">
        <f aca="false">COUNTIFS('المرتبطة بسمو الوزير'!$B$2:$B$151,$B6,'المرتبطة بسمو الوزير'!$G$2:$G$151,$G6,'المرتبطة بسمو الوزير'!$I$2:$I$151,$I6,'المرتبطة بسمو الوزير'!$M$2:$M$151,"&lt;&gt;")+COUNTIFS('الشؤون التنفيذية'!$B$2:$B$421,$B6,'الشؤون التنفيذية'!$G$2:$G$421,$G6,'الشؤون التنفيذية'!$I$2:$I$421,$I6,'الشؤون التنفيذية'!$N$2:$N$421,"&lt;&gt;")+COUNTIFS('الجهاز العسكري'!$B$2:$B$631,$B6,'الجهاز العسكري'!$G$2:$G$631,$G6,'الجهاز العسكري'!$I$2:$I$631,$I6,'الجهاز العسكري'!$M$2:$M$631,"&lt;&gt;")</f>
        <v>1</v>
      </c>
      <c r="N6" s="24" t="n">
        <f aca="false">IF($L6=0,0,ROUND((SUMIFS('المرتبطة بسمو الوزير'!$M$2:$M$151,'المرتبطة بسمو الوزير'!$B$2:$B$151,$B6,'المرتبطة بسمو الوزير'!$G$2:$G$151,$G6,'المرتبطة بسمو الوزير'!$I$2:$I$151,$I6)+SUMIFS('الشؤون التنفيذية'!$N$2:$N$421,'الشؤون التنفيذية'!$B$2:$B$421,$B6,'الشؤون التنفيذية'!$G$2:$G$421,$G6,'الشؤون التنفيذية'!$I$2:$I$421,$I6)+SUMIFS('الجهاز العسكري'!$M$2:$M$631,'الجهاز العسكري'!$B$2:$B$631,$B6,'الجهاز العسكري'!$G$2:$G$631,$G6,'الجهاز العسكري'!$I$2:$I$631,$I6))/$L6,0))</f>
        <v>96</v>
      </c>
      <c r="O6" s="25" t="n">
        <f aca="false">IF($L6=0,0,ROUND((SUMIFS('المرتبطة بسمو الوزير'!$N$2:$N$151,'المرتبطة بسمو الوزير'!$B$2:$B$151,$B6,'المرتبطة بسمو الوزير'!$G$2:$G$151,$G6,'المرتبطة بسمو الوزير'!$I$2:$I$151,$I6)+SUMIFS('الشؤون التنفيذية'!$O$2:$O$421,'الشؤون التنفيذية'!$B$2:$B$421,$B6,'الشؤون التنفيذية'!$G$2:$G$421,$G6,'الشؤون التنفيذية'!$I$2:$I$421,$I6)+SUMIFS('الجهاز العسكري'!$N$2:$N$631,'الجهاز العسكري'!$B$2:$B$631,$B6,'الجهاز العسكري'!$G$2:$G$631,$G6,'الجهاز العسكري'!$I$2:$I$631,$I6))/$L6,0))</f>
        <v>96</v>
      </c>
      <c r="P6" s="22"/>
      <c r="Q6" s="19" t="n">
        <f aca="false">SUMIFS(المرجع!$G$2:$G$19,المرجع!$B$2:$B$19,$G6,المرجع!$E$2:$E$19,$I6)</f>
        <v>20</v>
      </c>
      <c r="R6" s="26" t="n">
        <f aca="false">ROUND($Q6*$N6/100,2)</f>
        <v>19.2</v>
      </c>
      <c r="S6" s="27" t="str">
        <f aca="false">IF($N6&gt;المرجع!$K$3,"متقدم",IF($N6&lt;=المرجع!$K$2,"أولي","جزئي"))</f>
        <v>متقدم</v>
      </c>
      <c r="T6" s="28" t="n">
        <f aca="false">ROUND($Q6*$O6/100,2)</f>
        <v>19.2</v>
      </c>
    </row>
    <row r="7" customFormat="false" ht="15" hidden="false" customHeight="true" outlineLevel="0" collapsed="false">
      <c r="A7" s="20" t="s">
        <v>1459</v>
      </c>
      <c r="B7" s="20" t="s">
        <v>145</v>
      </c>
      <c r="C7" s="19" t="str">
        <f aca="false">IFERROR(INDEX('قائمة الوحدات'!$B$2:$B$41,MATCH($B7,'قائمة الوحدات'!$A$2:$A$41,0)),"")</f>
        <v>TOP</v>
      </c>
      <c r="D7" s="18" t="str">
        <f aca="false">IFERROR(INDEX('قائمة الوحدات'!$C$2:$C$41,MATCH($B7,'قائمة الوحدات'!$A$2:$A$41,0)),"")</f>
        <v>المرتبطة بسمو الوزير</v>
      </c>
      <c r="E7" s="18" t="str">
        <f aca="false">IFERROR(INDEX('قائمة الوحدات'!$D$2:$D$41,MATCH($B7,'قائمة الوحدات'!$A$2:$A$41,0)),"")</f>
        <v>المكتب التنفيذي</v>
      </c>
      <c r="F7" s="18" t="str">
        <f aca="false">IFERROR(INDEX('قائمة الوحدات'!$F$2:$F$41,MATCH($B7,'قائمة الوحدات'!$A$2:$A$41,0)),"")</f>
        <v>المكتب التنفيذي</v>
      </c>
      <c r="G7" s="20" t="s">
        <v>44</v>
      </c>
      <c r="H7" s="18" t="str">
        <f aca="false">IFERROR(INDEX(المرجع!$A$2:$A$19,MATCH($G7,المرجع!$B$2:$B$19,0)),"")</f>
        <v>التصميم</v>
      </c>
      <c r="I7" s="20" t="s">
        <v>60</v>
      </c>
      <c r="J7" s="18" t="str">
        <f aca="false">IFERROR(INDEX(المرجع!$D$2:$D$19,MATCH($I7,المرجع!$E$2:$E$19,0)),"")</f>
        <v>الإجراءات</v>
      </c>
      <c r="K7" s="19" t="n">
        <f aca="false">IFERROR(INDEX(المرجع!$F$2:$F$19,MATCH($I7,المرجع!$E$2:$E$19,0)),"")</f>
        <v>6</v>
      </c>
      <c r="L7" s="19" t="n">
        <f aca="false">SUMIFS(المرجع!$H$2:$H$19,المرجع!$B$2:$B$19,$G7,المرجع!$E$2:$E$19,$I7)</f>
        <v>1</v>
      </c>
      <c r="M7" s="19" t="n">
        <f aca="false">COUNTIFS('المرتبطة بسمو الوزير'!$B$2:$B$151,$B7,'المرتبطة بسمو الوزير'!$G$2:$G$151,$G7,'المرتبطة بسمو الوزير'!$I$2:$I$151,$I7,'المرتبطة بسمو الوزير'!$M$2:$M$151,"&lt;&gt;")+COUNTIFS('الشؤون التنفيذية'!$B$2:$B$421,$B7,'الشؤون التنفيذية'!$G$2:$G$421,$G7,'الشؤون التنفيذية'!$I$2:$I$421,$I7,'الشؤون التنفيذية'!$N$2:$N$421,"&lt;&gt;")+COUNTIFS('الجهاز العسكري'!$B$2:$B$631,$B7,'الجهاز العسكري'!$G$2:$G$631,$G7,'الجهاز العسكري'!$I$2:$I$631,$I7,'الجهاز العسكري'!$M$2:$M$631,"&lt;&gt;")</f>
        <v>1</v>
      </c>
      <c r="N7" s="24" t="n">
        <f aca="false">IF($L7=0,0,ROUND((SUMIFS('المرتبطة بسمو الوزير'!$M$2:$M$151,'المرتبطة بسمو الوزير'!$B$2:$B$151,$B7,'المرتبطة بسمو الوزير'!$G$2:$G$151,$G7,'المرتبطة بسمو الوزير'!$I$2:$I$151,$I7)+SUMIFS('الشؤون التنفيذية'!$N$2:$N$421,'الشؤون التنفيذية'!$B$2:$B$421,$B7,'الشؤون التنفيذية'!$G$2:$G$421,$G7,'الشؤون التنفيذية'!$I$2:$I$421,$I7)+SUMIFS('الجهاز العسكري'!$M$2:$M$631,'الجهاز العسكري'!$B$2:$B$631,$B7,'الجهاز العسكري'!$G$2:$G$631,$G7,'الجهاز العسكري'!$I$2:$I$631,$I7))/$L7,0))</f>
        <v>75</v>
      </c>
      <c r="O7" s="25" t="n">
        <f aca="false">IF($L7=0,0,ROUND((SUMIFS('المرتبطة بسمو الوزير'!$N$2:$N$151,'المرتبطة بسمو الوزير'!$B$2:$B$151,$B7,'المرتبطة بسمو الوزير'!$G$2:$G$151,$G7,'المرتبطة بسمو الوزير'!$I$2:$I$151,$I7)+SUMIFS('الشؤون التنفيذية'!$O$2:$O$421,'الشؤون التنفيذية'!$B$2:$B$421,$B7,'الشؤون التنفيذية'!$G$2:$G$421,$G7,'الشؤون التنفيذية'!$I$2:$I$421,$I7)+SUMIFS('الجهاز العسكري'!$N$2:$N$631,'الجهاز العسكري'!$B$2:$B$631,$B7,'الجهاز العسكري'!$G$2:$G$631,$G7,'الجهاز العسكري'!$I$2:$I$631,$I7))/$L7,0))</f>
        <v>100</v>
      </c>
      <c r="P7" s="22"/>
      <c r="Q7" s="19" t="n">
        <f aca="false">SUMIFS(المرجع!$G$2:$G$19,المرجع!$B$2:$B$19,$G7,المرجع!$E$2:$E$19,$I7)</f>
        <v>5</v>
      </c>
      <c r="R7" s="26" t="n">
        <f aca="false">ROUND($Q7*$N7/100,2)</f>
        <v>3.75</v>
      </c>
      <c r="S7" s="27" t="str">
        <f aca="false">IF($N7&gt;المرجع!$K$3,"متقدم",IF($N7&lt;=المرجع!$K$2,"أولي","جزئي"))</f>
        <v>متقدم</v>
      </c>
      <c r="T7" s="28" t="n">
        <f aca="false">ROUND($Q7*$O7/100,2)</f>
        <v>5</v>
      </c>
    </row>
    <row r="8" customFormat="false" ht="15" hidden="false" customHeight="true" outlineLevel="0" collapsed="false">
      <c r="A8" s="20" t="s">
        <v>1460</v>
      </c>
      <c r="B8" s="20" t="s">
        <v>145</v>
      </c>
      <c r="C8" s="19" t="str">
        <f aca="false">IFERROR(INDEX('قائمة الوحدات'!$B$2:$B$41,MATCH($B8,'قائمة الوحدات'!$A$2:$A$41,0)),"")</f>
        <v>TOP</v>
      </c>
      <c r="D8" s="18" t="str">
        <f aca="false">IFERROR(INDEX('قائمة الوحدات'!$C$2:$C$41,MATCH($B8,'قائمة الوحدات'!$A$2:$A$41,0)),"")</f>
        <v>المرتبطة بسمو الوزير</v>
      </c>
      <c r="E8" s="18" t="str">
        <f aca="false">IFERROR(INDEX('قائمة الوحدات'!$D$2:$D$41,MATCH($B8,'قائمة الوحدات'!$A$2:$A$41,0)),"")</f>
        <v>المكتب التنفيذي</v>
      </c>
      <c r="F8" s="18" t="str">
        <f aca="false">IFERROR(INDEX('قائمة الوحدات'!$F$2:$F$41,MATCH($B8,'قائمة الوحدات'!$A$2:$A$41,0)),"")</f>
        <v>المكتب التنفيذي</v>
      </c>
      <c r="G8" s="20" t="s">
        <v>62</v>
      </c>
      <c r="H8" s="18" t="str">
        <f aca="false">IFERROR(INDEX(المرجع!$A$2:$A$19,MATCH($G8,المرجع!$B$2:$B$19,0)),"")</f>
        <v>البناء المؤسسي</v>
      </c>
      <c r="I8" s="20" t="s">
        <v>46</v>
      </c>
      <c r="J8" s="18" t="str">
        <f aca="false">IFERROR(INDEX(المرجع!$D$2:$D$19,MATCH($I8,المرجع!$E$2:$E$19,0)),"")</f>
        <v>الدور</v>
      </c>
      <c r="K8" s="19" t="n">
        <f aca="false">IFERROR(INDEX(المرجع!$F$2:$F$19,MATCH($I8,المرجع!$E$2:$E$19,0)),"")</f>
        <v>1</v>
      </c>
      <c r="L8" s="19" t="n">
        <f aca="false">SUMIFS(المرجع!$H$2:$H$19,المرجع!$B$2:$B$19,$G8,المرجع!$E$2:$E$19,$I8)</f>
        <v>1</v>
      </c>
      <c r="M8" s="19" t="n">
        <f aca="false">COUNTIFS('المرتبطة بسمو الوزير'!$B$2:$B$151,$B8,'المرتبطة بسمو الوزير'!$G$2:$G$151,$G8,'المرتبطة بسمو الوزير'!$I$2:$I$151,$I8,'المرتبطة بسمو الوزير'!$M$2:$M$151,"&lt;&gt;")+COUNTIFS('الشؤون التنفيذية'!$B$2:$B$421,$B8,'الشؤون التنفيذية'!$G$2:$G$421,$G8,'الشؤون التنفيذية'!$I$2:$I$421,$I8,'الشؤون التنفيذية'!$N$2:$N$421,"&lt;&gt;")+COUNTIFS('الجهاز العسكري'!$B$2:$B$631,$B8,'الجهاز العسكري'!$G$2:$G$631,$G8,'الجهاز العسكري'!$I$2:$I$631,$I8,'الجهاز العسكري'!$M$2:$M$631,"&lt;&gt;")</f>
        <v>1</v>
      </c>
      <c r="N8" s="24" t="n">
        <f aca="false">IF($L8=0,0,ROUND((SUMIFS('المرتبطة بسمو الوزير'!$M$2:$M$151,'المرتبطة بسمو الوزير'!$B$2:$B$151,$B8,'المرتبطة بسمو الوزير'!$G$2:$G$151,$G8,'المرتبطة بسمو الوزير'!$I$2:$I$151,$I8)+SUMIFS('الشؤون التنفيذية'!$N$2:$N$421,'الشؤون التنفيذية'!$B$2:$B$421,$B8,'الشؤون التنفيذية'!$G$2:$G$421,$G8,'الشؤون التنفيذية'!$I$2:$I$421,$I8)+SUMIFS('الجهاز العسكري'!$M$2:$M$631,'الجهاز العسكري'!$B$2:$B$631,$B8,'الجهاز العسكري'!$G$2:$G$631,$G8,'الجهاز العسكري'!$I$2:$I$631,$I8))/$L8,0))</f>
        <v>55</v>
      </c>
      <c r="O8" s="25" t="n">
        <f aca="false">IF($L8=0,0,ROUND((SUMIFS('المرتبطة بسمو الوزير'!$N$2:$N$151,'المرتبطة بسمو الوزير'!$B$2:$B$151,$B8,'المرتبطة بسمو الوزير'!$G$2:$G$151,$G8,'المرتبطة بسمو الوزير'!$I$2:$I$151,$I8)+SUMIFS('الشؤون التنفيذية'!$O$2:$O$421,'الشؤون التنفيذية'!$B$2:$B$421,$B8,'الشؤون التنفيذية'!$G$2:$G$421,$G8,'الشؤون التنفيذية'!$I$2:$I$421,$I8)+SUMIFS('الجهاز العسكري'!$N$2:$N$631,'الجهاز العسكري'!$B$2:$B$631,$B8,'الجهاز العسكري'!$G$2:$G$631,$G8,'الجهاز العسكري'!$I$2:$I$631,$I8))/$L8,0))</f>
        <v>100</v>
      </c>
      <c r="P8" s="22"/>
      <c r="Q8" s="19" t="n">
        <f aca="false">SUMIFS(المرجع!$G$2:$G$19,المرجع!$B$2:$B$19,$G8,المرجع!$E$2:$E$19,$I8)</f>
        <v>15</v>
      </c>
      <c r="R8" s="26" t="n">
        <f aca="false">ROUND($Q8*$N8/100,2)</f>
        <v>8.25</v>
      </c>
      <c r="S8" s="27" t="str">
        <f aca="false">IF($N8&gt;المرجع!$K$3,"متقدم",IF($N8&lt;=المرجع!$K$2,"أولي","جزئي"))</f>
        <v>جزئي</v>
      </c>
      <c r="T8" s="28" t="n">
        <f aca="false">ROUND($Q8*$O8/100,2)</f>
        <v>15</v>
      </c>
    </row>
    <row r="9" customFormat="false" ht="15" hidden="false" customHeight="true" outlineLevel="0" collapsed="false">
      <c r="A9" s="20" t="s">
        <v>1461</v>
      </c>
      <c r="B9" s="20" t="s">
        <v>145</v>
      </c>
      <c r="C9" s="19" t="str">
        <f aca="false">IFERROR(INDEX('قائمة الوحدات'!$B$2:$B$41,MATCH($B9,'قائمة الوحدات'!$A$2:$A$41,0)),"")</f>
        <v>TOP</v>
      </c>
      <c r="D9" s="18" t="str">
        <f aca="false">IFERROR(INDEX('قائمة الوحدات'!$C$2:$C$41,MATCH($B9,'قائمة الوحدات'!$A$2:$A$41,0)),"")</f>
        <v>المرتبطة بسمو الوزير</v>
      </c>
      <c r="E9" s="18" t="str">
        <f aca="false">IFERROR(INDEX('قائمة الوحدات'!$D$2:$D$41,MATCH($B9,'قائمة الوحدات'!$A$2:$A$41,0)),"")</f>
        <v>المكتب التنفيذي</v>
      </c>
      <c r="F9" s="18" t="str">
        <f aca="false">IFERROR(INDEX('قائمة الوحدات'!$F$2:$F$41,MATCH($B9,'قائمة الوحدات'!$A$2:$A$41,0)),"")</f>
        <v>المكتب التنفيذي</v>
      </c>
      <c r="G9" s="20" t="s">
        <v>62</v>
      </c>
      <c r="H9" s="18" t="str">
        <f aca="false">IFERROR(INDEX(المرجع!$A$2:$A$19,MATCH($G9,المرجع!$B$2:$B$19,0)),"")</f>
        <v>البناء المؤسسي</v>
      </c>
      <c r="I9" s="20" t="s">
        <v>49</v>
      </c>
      <c r="J9" s="18" t="str">
        <f aca="false">IFERROR(INDEX(المرجع!$D$2:$D$19,MATCH($I9,المرجع!$E$2:$E$19,0)),"")</f>
        <v>الأهداف ومؤشرات الأداء</v>
      </c>
      <c r="K9" s="19" t="n">
        <f aca="false">IFERROR(INDEX(المرجع!$F$2:$F$19,MATCH($I9,المرجع!$E$2:$E$19,0)),"")</f>
        <v>2</v>
      </c>
      <c r="L9" s="19" t="n">
        <f aca="false">SUMIFS(المرجع!$H$2:$H$19,المرجع!$B$2:$B$19,$G9,المرجع!$E$2:$E$19,$I9)</f>
        <v>2</v>
      </c>
      <c r="M9" s="19" t="n">
        <f aca="false">COUNTIFS('المرتبطة بسمو الوزير'!$B$2:$B$151,$B9,'المرتبطة بسمو الوزير'!$G$2:$G$151,$G9,'المرتبطة بسمو الوزير'!$I$2:$I$151,$I9,'المرتبطة بسمو الوزير'!$M$2:$M$151,"&lt;&gt;")+COUNTIFS('الشؤون التنفيذية'!$B$2:$B$421,$B9,'الشؤون التنفيذية'!$G$2:$G$421,$G9,'الشؤون التنفيذية'!$I$2:$I$421,$I9,'الشؤون التنفيذية'!$N$2:$N$421,"&lt;&gt;")+COUNTIFS('الجهاز العسكري'!$B$2:$B$631,$B9,'الجهاز العسكري'!$G$2:$G$631,$G9,'الجهاز العسكري'!$I$2:$I$631,$I9,'الجهاز العسكري'!$M$2:$M$631,"&lt;&gt;")</f>
        <v>2</v>
      </c>
      <c r="N9" s="24" t="n">
        <f aca="false">IF($L9=0,0,ROUND((SUMIFS('المرتبطة بسمو الوزير'!$M$2:$M$151,'المرتبطة بسمو الوزير'!$B$2:$B$151,$B9,'المرتبطة بسمو الوزير'!$G$2:$G$151,$G9,'المرتبطة بسمو الوزير'!$I$2:$I$151,$I9)+SUMIFS('الشؤون التنفيذية'!$N$2:$N$421,'الشؤون التنفيذية'!$B$2:$B$421,$B9,'الشؤون التنفيذية'!$G$2:$G$421,$G9,'الشؤون التنفيذية'!$I$2:$I$421,$I9)+SUMIFS('الجهاز العسكري'!$M$2:$M$631,'الجهاز العسكري'!$B$2:$B$631,$B9,'الجهاز العسكري'!$G$2:$G$631,$G9,'الجهاز العسكري'!$I$2:$I$631,$I9))/$L9,0))</f>
        <v>75</v>
      </c>
      <c r="O9" s="25" t="n">
        <f aca="false">IF($L9=0,0,ROUND((SUMIFS('المرتبطة بسمو الوزير'!$N$2:$N$151,'المرتبطة بسمو الوزير'!$B$2:$B$151,$B9,'المرتبطة بسمو الوزير'!$G$2:$G$151,$G9,'المرتبطة بسمو الوزير'!$I$2:$I$151,$I9)+SUMIFS('الشؤون التنفيذية'!$O$2:$O$421,'الشؤون التنفيذية'!$B$2:$B$421,$B9,'الشؤون التنفيذية'!$G$2:$G$421,$G9,'الشؤون التنفيذية'!$I$2:$I$421,$I9)+SUMIFS('الجهاز العسكري'!$N$2:$N$631,'الجهاز العسكري'!$B$2:$B$631,$B9,'الجهاز العسكري'!$G$2:$G$631,$G9,'الجهاز العسكري'!$I$2:$I$631,$I9))/$L9,0))</f>
        <v>85</v>
      </c>
      <c r="P9" s="22"/>
      <c r="Q9" s="19" t="n">
        <f aca="false">SUMIFS(المرجع!$G$2:$G$19,المرجع!$B$2:$B$19,$G9,المرجع!$E$2:$E$19,$I9)</f>
        <v>15</v>
      </c>
      <c r="R9" s="26" t="n">
        <f aca="false">ROUND($Q9*$N9/100,2)</f>
        <v>11.25</v>
      </c>
      <c r="S9" s="27" t="str">
        <f aca="false">IF($N9&gt;المرجع!$K$3,"متقدم",IF($N9&lt;=المرجع!$K$2,"أولي","جزئي"))</f>
        <v>متقدم</v>
      </c>
      <c r="T9" s="28" t="n">
        <f aca="false">ROUND($Q9*$O9/100,2)</f>
        <v>12.75</v>
      </c>
    </row>
    <row r="10" customFormat="false" ht="15" hidden="false" customHeight="true" outlineLevel="0" collapsed="false">
      <c r="A10" s="20" t="s">
        <v>1462</v>
      </c>
      <c r="B10" s="20" t="s">
        <v>145</v>
      </c>
      <c r="C10" s="19" t="str">
        <f aca="false">IFERROR(INDEX('قائمة الوحدات'!$B$2:$B$41,MATCH($B10,'قائمة الوحدات'!$A$2:$A$41,0)),"")</f>
        <v>TOP</v>
      </c>
      <c r="D10" s="18" t="str">
        <f aca="false">IFERROR(INDEX('قائمة الوحدات'!$C$2:$C$41,MATCH($B10,'قائمة الوحدات'!$A$2:$A$41,0)),"")</f>
        <v>المرتبطة بسمو الوزير</v>
      </c>
      <c r="E10" s="18" t="str">
        <f aca="false">IFERROR(INDEX('قائمة الوحدات'!$D$2:$D$41,MATCH($B10,'قائمة الوحدات'!$A$2:$A$41,0)),"")</f>
        <v>المكتب التنفيذي</v>
      </c>
      <c r="F10" s="18" t="str">
        <f aca="false">IFERROR(INDEX('قائمة الوحدات'!$F$2:$F$41,MATCH($B10,'قائمة الوحدات'!$A$2:$A$41,0)),"")</f>
        <v>المكتب التنفيذي</v>
      </c>
      <c r="G10" s="20" t="s">
        <v>62</v>
      </c>
      <c r="H10" s="18" t="str">
        <f aca="false">IFERROR(INDEX(المرجع!$A$2:$A$19,MATCH($G10,المرجع!$B$2:$B$19,0)),"")</f>
        <v>البناء المؤسسي</v>
      </c>
      <c r="I10" s="20" t="s">
        <v>52</v>
      </c>
      <c r="J10" s="18" t="str">
        <f aca="false">IFERROR(INDEX(المرجع!$D$2:$D$19,MATCH($I10,المرجع!$E$2:$E$19,0)),"")</f>
        <v>الحوكمة</v>
      </c>
      <c r="K10" s="19" t="n">
        <f aca="false">IFERROR(INDEX(المرجع!$F$2:$F$19,MATCH($I10,المرجع!$E$2:$E$19,0)),"")</f>
        <v>3</v>
      </c>
      <c r="L10" s="19" t="n">
        <f aca="false">SUMIFS(المرجع!$H$2:$H$19,المرجع!$B$2:$B$19,$G10,المرجع!$E$2:$E$19,$I10)</f>
        <v>3</v>
      </c>
      <c r="M10" s="19" t="n">
        <f aca="false">COUNTIFS('المرتبطة بسمو الوزير'!$B$2:$B$151,$B10,'المرتبطة بسمو الوزير'!$G$2:$G$151,$G10,'المرتبطة بسمو الوزير'!$I$2:$I$151,$I10,'المرتبطة بسمو الوزير'!$M$2:$M$151,"&lt;&gt;")+COUNTIFS('الشؤون التنفيذية'!$B$2:$B$421,$B10,'الشؤون التنفيذية'!$G$2:$G$421,$G10,'الشؤون التنفيذية'!$I$2:$I$421,$I10,'الشؤون التنفيذية'!$N$2:$N$421,"&lt;&gt;")+COUNTIFS('الجهاز العسكري'!$B$2:$B$631,$B10,'الجهاز العسكري'!$G$2:$G$631,$G10,'الجهاز العسكري'!$I$2:$I$631,$I10,'الجهاز العسكري'!$M$2:$M$631,"&lt;&gt;")</f>
        <v>3</v>
      </c>
      <c r="N10" s="24" t="n">
        <f aca="false">IF($L10=0,0,ROUND((SUMIFS('المرتبطة بسمو الوزير'!$M$2:$M$151,'المرتبطة بسمو الوزير'!$B$2:$B$151,$B10,'المرتبطة بسمو الوزير'!$G$2:$G$151,$G10,'المرتبطة بسمو الوزير'!$I$2:$I$151,$I10)+SUMIFS('الشؤون التنفيذية'!$N$2:$N$421,'الشؤون التنفيذية'!$B$2:$B$421,$B10,'الشؤون التنفيذية'!$G$2:$G$421,$G10,'الشؤون التنفيذية'!$I$2:$I$421,$I10)+SUMIFS('الجهاز العسكري'!$M$2:$M$631,'الجهاز العسكري'!$B$2:$B$631,$B10,'الجهاز العسكري'!$G$2:$G$631,$G10,'الجهاز العسكري'!$I$2:$I$631,$I10))/$L10,0))</f>
        <v>78</v>
      </c>
      <c r="O10" s="25" t="n">
        <f aca="false">IF($L10=0,0,ROUND((SUMIFS('المرتبطة بسمو الوزير'!$N$2:$N$151,'المرتبطة بسمو الوزير'!$B$2:$B$151,$B10,'المرتبطة بسمو الوزير'!$G$2:$G$151,$G10,'المرتبطة بسمو الوزير'!$I$2:$I$151,$I10)+SUMIFS('الشؤون التنفيذية'!$O$2:$O$421,'الشؤون التنفيذية'!$B$2:$B$421,$B10,'الشؤون التنفيذية'!$G$2:$G$421,$G10,'الشؤون التنفيذية'!$I$2:$I$421,$I10)+SUMIFS('الجهاز العسكري'!$N$2:$N$631,'الجهاز العسكري'!$B$2:$B$631,$B10,'الجهاز العسكري'!$G$2:$G$631,$G10,'الجهاز العسكري'!$I$2:$I$631,$I10))/$L10,0))</f>
        <v>93</v>
      </c>
      <c r="P10" s="22"/>
      <c r="Q10" s="19" t="n">
        <f aca="false">SUMIFS(المرجع!$G$2:$G$19,المرجع!$B$2:$B$19,$G10,المرجع!$E$2:$E$19,$I10)</f>
        <v>15</v>
      </c>
      <c r="R10" s="26" t="n">
        <f aca="false">ROUND($Q10*$N10/100,2)</f>
        <v>11.7</v>
      </c>
      <c r="S10" s="27" t="str">
        <f aca="false">IF($N10&gt;المرجع!$K$3,"متقدم",IF($N10&lt;=المرجع!$K$2,"أولي","جزئي"))</f>
        <v>متقدم</v>
      </c>
      <c r="T10" s="28" t="n">
        <f aca="false">ROUND($Q10*$O10/100,2)</f>
        <v>13.95</v>
      </c>
    </row>
    <row r="11" customFormat="false" ht="15" hidden="false" customHeight="true" outlineLevel="0" collapsed="false">
      <c r="A11" s="20" t="s">
        <v>1463</v>
      </c>
      <c r="B11" s="20" t="s">
        <v>145</v>
      </c>
      <c r="C11" s="19" t="str">
        <f aca="false">IFERROR(INDEX('قائمة الوحدات'!$B$2:$B$41,MATCH($B11,'قائمة الوحدات'!$A$2:$A$41,0)),"")</f>
        <v>TOP</v>
      </c>
      <c r="D11" s="18" t="str">
        <f aca="false">IFERROR(INDEX('قائمة الوحدات'!$C$2:$C$41,MATCH($B11,'قائمة الوحدات'!$A$2:$A$41,0)),"")</f>
        <v>المرتبطة بسمو الوزير</v>
      </c>
      <c r="E11" s="18" t="str">
        <f aca="false">IFERROR(INDEX('قائمة الوحدات'!$D$2:$D$41,MATCH($B11,'قائمة الوحدات'!$A$2:$A$41,0)),"")</f>
        <v>المكتب التنفيذي</v>
      </c>
      <c r="F11" s="18" t="str">
        <f aca="false">IFERROR(INDEX('قائمة الوحدات'!$F$2:$F$41,MATCH($B11,'قائمة الوحدات'!$A$2:$A$41,0)),"")</f>
        <v>المكتب التنفيذي</v>
      </c>
      <c r="G11" s="20" t="s">
        <v>62</v>
      </c>
      <c r="H11" s="18" t="str">
        <f aca="false">IFERROR(INDEX(المرجع!$A$2:$A$19,MATCH($G11,المرجع!$B$2:$B$19,0)),"")</f>
        <v>البناء المؤسسي</v>
      </c>
      <c r="I11" s="20" t="s">
        <v>55</v>
      </c>
      <c r="J11" s="18" t="str">
        <f aca="false">IFERROR(INDEX(المرجع!$D$2:$D$19,MATCH($I11,المرجع!$E$2:$E$19,0)),"")</f>
        <v>التنظيم</v>
      </c>
      <c r="K11" s="19" t="n">
        <f aca="false">IFERROR(INDEX(المرجع!$F$2:$F$19,MATCH($I11,المرجع!$E$2:$E$19,0)),"")</f>
        <v>4</v>
      </c>
      <c r="L11" s="19" t="n">
        <f aca="false">SUMIFS(المرجع!$H$2:$H$19,المرجع!$B$2:$B$19,$G11,المرجع!$E$2:$E$19,$I11)</f>
        <v>3</v>
      </c>
      <c r="M11" s="19" t="n">
        <f aca="false">COUNTIFS('المرتبطة بسمو الوزير'!$B$2:$B$151,$B11,'المرتبطة بسمو الوزير'!$G$2:$G$151,$G11,'المرتبطة بسمو الوزير'!$I$2:$I$151,$I11,'المرتبطة بسمو الوزير'!$M$2:$M$151,"&lt;&gt;")+COUNTIFS('الشؤون التنفيذية'!$B$2:$B$421,$B11,'الشؤون التنفيذية'!$G$2:$G$421,$G11,'الشؤون التنفيذية'!$I$2:$I$421,$I11,'الشؤون التنفيذية'!$N$2:$N$421,"&lt;&gt;")+COUNTIFS('الجهاز العسكري'!$B$2:$B$631,$B11,'الجهاز العسكري'!$G$2:$G$631,$G11,'الجهاز العسكري'!$I$2:$I$631,$I11,'الجهاز العسكري'!$M$2:$M$631,"&lt;&gt;")</f>
        <v>3</v>
      </c>
      <c r="N11" s="24" t="n">
        <f aca="false">IF($L11=0,0,ROUND((SUMIFS('المرتبطة بسمو الوزير'!$M$2:$M$151,'المرتبطة بسمو الوزير'!$B$2:$B$151,$B11,'المرتبطة بسمو الوزير'!$G$2:$G$151,$G11,'المرتبطة بسمو الوزير'!$I$2:$I$151,$I11)+SUMIFS('الشؤون التنفيذية'!$N$2:$N$421,'الشؤون التنفيذية'!$B$2:$B$421,$B11,'الشؤون التنفيذية'!$G$2:$G$421,$G11,'الشؤون التنفيذية'!$I$2:$I$421,$I11)+SUMIFS('الجهاز العسكري'!$M$2:$M$631,'الجهاز العسكري'!$B$2:$B$631,$B11,'الجهاز العسكري'!$G$2:$G$631,$G11,'الجهاز العسكري'!$I$2:$I$631,$I11))/$L11,0))</f>
        <v>77</v>
      </c>
      <c r="O11" s="25" t="n">
        <f aca="false">IF($L11=0,0,ROUND((SUMIFS('المرتبطة بسمو الوزير'!$N$2:$N$151,'المرتبطة بسمو الوزير'!$B$2:$B$151,$B11,'المرتبطة بسمو الوزير'!$G$2:$G$151,$G11,'المرتبطة بسمو الوزير'!$I$2:$I$151,$I11)+SUMIFS('الشؤون التنفيذية'!$O$2:$O$421,'الشؤون التنفيذية'!$B$2:$B$421,$B11,'الشؤون التنفيذية'!$G$2:$G$421,$G11,'الشؤون التنفيذية'!$I$2:$I$421,$I11)+SUMIFS('الجهاز العسكري'!$N$2:$N$631,'الجهاز العسكري'!$B$2:$B$631,$B11,'الجهاز العسكري'!$G$2:$G$631,$G11,'الجهاز العسكري'!$I$2:$I$631,$I11))/$L11,0))</f>
        <v>82</v>
      </c>
      <c r="P11" s="22"/>
      <c r="Q11" s="19" t="n">
        <f aca="false">SUMIFS(المرجع!$G$2:$G$19,المرجع!$B$2:$B$19,$G11,المرجع!$E$2:$E$19,$I11)</f>
        <v>20</v>
      </c>
      <c r="R11" s="26" t="n">
        <f aca="false">ROUND($Q11*$N11/100,2)</f>
        <v>15.4</v>
      </c>
      <c r="S11" s="27" t="str">
        <f aca="false">IF($N11&gt;المرجع!$K$3,"متقدم",IF($N11&lt;=المرجع!$K$2,"أولي","جزئي"))</f>
        <v>متقدم</v>
      </c>
      <c r="T11" s="28" t="n">
        <f aca="false">ROUND($Q11*$O11/100,2)</f>
        <v>16.4</v>
      </c>
    </row>
    <row r="12" customFormat="false" ht="15" hidden="false" customHeight="true" outlineLevel="0" collapsed="false">
      <c r="A12" s="20" t="s">
        <v>1464</v>
      </c>
      <c r="B12" s="20" t="s">
        <v>145</v>
      </c>
      <c r="C12" s="19" t="str">
        <f aca="false">IFERROR(INDEX('قائمة الوحدات'!$B$2:$B$41,MATCH($B12,'قائمة الوحدات'!$A$2:$A$41,0)),"")</f>
        <v>TOP</v>
      </c>
      <c r="D12" s="18" t="str">
        <f aca="false">IFERROR(INDEX('قائمة الوحدات'!$C$2:$C$41,MATCH($B12,'قائمة الوحدات'!$A$2:$A$41,0)),"")</f>
        <v>المرتبطة بسمو الوزير</v>
      </c>
      <c r="E12" s="18" t="str">
        <f aca="false">IFERROR(INDEX('قائمة الوحدات'!$D$2:$D$41,MATCH($B12,'قائمة الوحدات'!$A$2:$A$41,0)),"")</f>
        <v>المكتب التنفيذي</v>
      </c>
      <c r="F12" s="18" t="str">
        <f aca="false">IFERROR(INDEX('قائمة الوحدات'!$F$2:$F$41,MATCH($B12,'قائمة الوحدات'!$A$2:$A$41,0)),"")</f>
        <v>المكتب التنفيذي</v>
      </c>
      <c r="G12" s="20" t="s">
        <v>62</v>
      </c>
      <c r="H12" s="18" t="str">
        <f aca="false">IFERROR(INDEX(المرجع!$A$2:$A$19,MATCH($G12,المرجع!$B$2:$B$19,0)),"")</f>
        <v>البناء المؤسسي</v>
      </c>
      <c r="I12" s="20" t="s">
        <v>57</v>
      </c>
      <c r="J12" s="18" t="str">
        <f aca="false">IFERROR(INDEX(المرجع!$D$2:$D$19,MATCH($I12,المرجع!$E$2:$E$19,0)),"")</f>
        <v>الموارد</v>
      </c>
      <c r="K12" s="19" t="n">
        <f aca="false">IFERROR(INDEX(المرجع!$F$2:$F$19,MATCH($I12,المرجع!$E$2:$E$19,0)),"")</f>
        <v>5</v>
      </c>
      <c r="L12" s="19" t="n">
        <f aca="false">SUMIFS(المرجع!$H$2:$H$19,المرجع!$B$2:$B$19,$G12,المرجع!$E$2:$E$19,$I12)</f>
        <v>4</v>
      </c>
      <c r="M12" s="19" t="n">
        <f aca="false">COUNTIFS('المرتبطة بسمو الوزير'!$B$2:$B$151,$B12,'المرتبطة بسمو الوزير'!$G$2:$G$151,$G12,'المرتبطة بسمو الوزير'!$I$2:$I$151,$I12,'المرتبطة بسمو الوزير'!$M$2:$M$151,"&lt;&gt;")+COUNTIFS('الشؤون التنفيذية'!$B$2:$B$421,$B12,'الشؤون التنفيذية'!$G$2:$G$421,$G12,'الشؤون التنفيذية'!$I$2:$I$421,$I12,'الشؤون التنفيذية'!$N$2:$N$421,"&lt;&gt;")+COUNTIFS('الجهاز العسكري'!$B$2:$B$631,$B12,'الجهاز العسكري'!$G$2:$G$631,$G12,'الجهاز العسكري'!$I$2:$I$631,$I12,'الجهاز العسكري'!$M$2:$M$631,"&lt;&gt;")</f>
        <v>4</v>
      </c>
      <c r="N12" s="24" t="n">
        <f aca="false">IF($L12=0,0,ROUND((SUMIFS('المرتبطة بسمو الوزير'!$M$2:$M$151,'المرتبطة بسمو الوزير'!$B$2:$B$151,$B12,'المرتبطة بسمو الوزير'!$G$2:$G$151,$G12,'المرتبطة بسمو الوزير'!$I$2:$I$151,$I12)+SUMIFS('الشؤون التنفيذية'!$N$2:$N$421,'الشؤون التنفيذية'!$B$2:$B$421,$B12,'الشؤون التنفيذية'!$G$2:$G$421,$G12,'الشؤون التنفيذية'!$I$2:$I$421,$I12)+SUMIFS('الجهاز العسكري'!$M$2:$M$631,'الجهاز العسكري'!$B$2:$B$631,$B12,'الجهاز العسكري'!$G$2:$G$631,$G12,'الجهاز العسكري'!$I$2:$I$631,$I12))/$L12,0))</f>
        <v>56</v>
      </c>
      <c r="O12" s="25" t="n">
        <f aca="false">IF($L12=0,0,ROUND((SUMIFS('المرتبطة بسمو الوزير'!$N$2:$N$151,'المرتبطة بسمو الوزير'!$B$2:$B$151,$B12,'المرتبطة بسمو الوزير'!$G$2:$G$151,$G12,'المرتبطة بسمو الوزير'!$I$2:$I$151,$I12)+SUMIFS('الشؤون التنفيذية'!$O$2:$O$421,'الشؤون التنفيذية'!$B$2:$B$421,$B12,'الشؤون التنفيذية'!$G$2:$G$421,$G12,'الشؤون التنفيذية'!$I$2:$I$421,$I12)+SUMIFS('الجهاز العسكري'!$N$2:$N$631,'الجهاز العسكري'!$B$2:$B$631,$B12,'الجهاز العسكري'!$G$2:$G$631,$G12,'الجهاز العسكري'!$I$2:$I$631,$I12))/$L12,0))</f>
        <v>89</v>
      </c>
      <c r="P12" s="22"/>
      <c r="Q12" s="19" t="n">
        <f aca="false">SUMIFS(المرجع!$G$2:$G$19,المرجع!$B$2:$B$19,$G12,المرجع!$E$2:$E$19,$I12)</f>
        <v>25</v>
      </c>
      <c r="R12" s="26" t="n">
        <f aca="false">ROUND($Q12*$N12/100,2)</f>
        <v>14</v>
      </c>
      <c r="S12" s="27" t="str">
        <f aca="false">IF($N12&gt;المرجع!$K$3,"متقدم",IF($N12&lt;=المرجع!$K$2,"أولي","جزئي"))</f>
        <v>جزئي</v>
      </c>
      <c r="T12" s="28" t="n">
        <f aca="false">ROUND($Q12*$O12/100,2)</f>
        <v>22.25</v>
      </c>
    </row>
    <row r="13" customFormat="false" ht="15" hidden="false" customHeight="true" outlineLevel="0" collapsed="false">
      <c r="A13" s="20" t="s">
        <v>1465</v>
      </c>
      <c r="B13" s="20" t="s">
        <v>145</v>
      </c>
      <c r="C13" s="19" t="str">
        <f aca="false">IFERROR(INDEX('قائمة الوحدات'!$B$2:$B$41,MATCH($B13,'قائمة الوحدات'!$A$2:$A$41,0)),"")</f>
        <v>TOP</v>
      </c>
      <c r="D13" s="18" t="str">
        <f aca="false">IFERROR(INDEX('قائمة الوحدات'!$C$2:$C$41,MATCH($B13,'قائمة الوحدات'!$A$2:$A$41,0)),"")</f>
        <v>المرتبطة بسمو الوزير</v>
      </c>
      <c r="E13" s="18" t="str">
        <f aca="false">IFERROR(INDEX('قائمة الوحدات'!$D$2:$D$41,MATCH($B13,'قائمة الوحدات'!$A$2:$A$41,0)),"")</f>
        <v>المكتب التنفيذي</v>
      </c>
      <c r="F13" s="18" t="str">
        <f aca="false">IFERROR(INDEX('قائمة الوحدات'!$F$2:$F$41,MATCH($B13,'قائمة الوحدات'!$A$2:$A$41,0)),"")</f>
        <v>المكتب التنفيذي</v>
      </c>
      <c r="G13" s="20" t="s">
        <v>62</v>
      </c>
      <c r="H13" s="18" t="str">
        <f aca="false">IFERROR(INDEX(المرجع!$A$2:$A$19,MATCH($G13,المرجع!$B$2:$B$19,0)),"")</f>
        <v>البناء المؤسسي</v>
      </c>
      <c r="I13" s="20" t="s">
        <v>60</v>
      </c>
      <c r="J13" s="18" t="str">
        <f aca="false">IFERROR(INDEX(المرجع!$D$2:$D$19,MATCH($I13,المرجع!$E$2:$E$19,0)),"")</f>
        <v>الإجراءات</v>
      </c>
      <c r="K13" s="19" t="n">
        <f aca="false">IFERROR(INDEX(المرجع!$F$2:$F$19,MATCH($I13,المرجع!$E$2:$E$19,0)),"")</f>
        <v>6</v>
      </c>
      <c r="L13" s="19" t="n">
        <f aca="false">SUMIFS(المرجع!$H$2:$H$19,المرجع!$B$2:$B$19,$G13,المرجع!$E$2:$E$19,$I13)</f>
        <v>1</v>
      </c>
      <c r="M13" s="19" t="n">
        <f aca="false">COUNTIFS('المرتبطة بسمو الوزير'!$B$2:$B$151,$B13,'المرتبطة بسمو الوزير'!$G$2:$G$151,$G13,'المرتبطة بسمو الوزير'!$I$2:$I$151,$I13,'المرتبطة بسمو الوزير'!$M$2:$M$151,"&lt;&gt;")+COUNTIFS('الشؤون التنفيذية'!$B$2:$B$421,$B13,'الشؤون التنفيذية'!$G$2:$G$421,$G13,'الشؤون التنفيذية'!$I$2:$I$421,$I13,'الشؤون التنفيذية'!$N$2:$N$421,"&lt;&gt;")+COUNTIFS('الجهاز العسكري'!$B$2:$B$631,$B13,'الجهاز العسكري'!$G$2:$G$631,$G13,'الجهاز العسكري'!$I$2:$I$631,$I13,'الجهاز العسكري'!$M$2:$M$631,"&lt;&gt;")</f>
        <v>1</v>
      </c>
      <c r="N13" s="24" t="n">
        <f aca="false">IF($L13=0,0,ROUND((SUMIFS('المرتبطة بسمو الوزير'!$M$2:$M$151,'المرتبطة بسمو الوزير'!$B$2:$B$151,$B13,'المرتبطة بسمو الوزير'!$G$2:$G$151,$G13,'المرتبطة بسمو الوزير'!$I$2:$I$151,$I13)+SUMIFS('الشؤون التنفيذية'!$N$2:$N$421,'الشؤون التنفيذية'!$B$2:$B$421,$B13,'الشؤون التنفيذية'!$G$2:$G$421,$G13,'الشؤون التنفيذية'!$I$2:$I$421,$I13)+SUMIFS('الجهاز العسكري'!$M$2:$M$631,'الجهاز العسكري'!$B$2:$B$631,$B13,'الجهاز العسكري'!$G$2:$G$631,$G13,'الجهاز العسكري'!$I$2:$I$631,$I13))/$L13,0))</f>
        <v>84</v>
      </c>
      <c r="O13" s="25" t="n">
        <f aca="false">IF($L13=0,0,ROUND((SUMIFS('المرتبطة بسمو الوزير'!$N$2:$N$151,'المرتبطة بسمو الوزير'!$B$2:$B$151,$B13,'المرتبطة بسمو الوزير'!$G$2:$G$151,$G13,'المرتبطة بسمو الوزير'!$I$2:$I$151,$I13)+SUMIFS('الشؤون التنفيذية'!$O$2:$O$421,'الشؤون التنفيذية'!$B$2:$B$421,$B13,'الشؤون التنفيذية'!$G$2:$G$421,$G13,'الشؤون التنفيذية'!$I$2:$I$421,$I13)+SUMIFS('الجهاز العسكري'!$N$2:$N$631,'الجهاز العسكري'!$B$2:$B$631,$B13,'الجهاز العسكري'!$G$2:$G$631,$G13,'الجهاز العسكري'!$I$2:$I$631,$I13))/$L13,0))</f>
        <v>84</v>
      </c>
      <c r="P13" s="22"/>
      <c r="Q13" s="19" t="n">
        <f aca="false">SUMIFS(المرجع!$G$2:$G$19,المرجع!$B$2:$B$19,$G13,المرجع!$E$2:$E$19,$I13)</f>
        <v>5</v>
      </c>
      <c r="R13" s="26" t="n">
        <f aca="false">ROUND($Q13*$N13/100,2)</f>
        <v>4.2</v>
      </c>
      <c r="S13" s="27" t="str">
        <f aca="false">IF($N13&gt;المرجع!$K$3,"متقدم",IF($N13&lt;=المرجع!$K$2,"أولي","جزئي"))</f>
        <v>متقدم</v>
      </c>
      <c r="T13" s="28" t="n">
        <f aca="false">ROUND($Q13*$O13/100,2)</f>
        <v>4.2</v>
      </c>
    </row>
    <row r="14" customFormat="false" ht="15" hidden="false" customHeight="true" outlineLevel="0" collapsed="false">
      <c r="A14" s="20" t="s">
        <v>1466</v>
      </c>
      <c r="B14" s="20" t="s">
        <v>145</v>
      </c>
      <c r="C14" s="19" t="str">
        <f aca="false">IFERROR(INDEX('قائمة الوحدات'!$B$2:$B$41,MATCH($B14,'قائمة الوحدات'!$A$2:$A$41,0)),"")</f>
        <v>TOP</v>
      </c>
      <c r="D14" s="18" t="str">
        <f aca="false">IFERROR(INDEX('قائمة الوحدات'!$C$2:$C$41,MATCH($B14,'قائمة الوحدات'!$A$2:$A$41,0)),"")</f>
        <v>المرتبطة بسمو الوزير</v>
      </c>
      <c r="E14" s="18" t="str">
        <f aca="false">IFERROR(INDEX('قائمة الوحدات'!$D$2:$D$41,MATCH($B14,'قائمة الوحدات'!$A$2:$A$41,0)),"")</f>
        <v>المكتب التنفيذي</v>
      </c>
      <c r="F14" s="18" t="str">
        <f aca="false">IFERROR(INDEX('قائمة الوحدات'!$F$2:$F$41,MATCH($B14,'قائمة الوحدات'!$A$2:$A$41,0)),"")</f>
        <v>المكتب التنفيذي</v>
      </c>
      <c r="G14" s="20" t="s">
        <v>62</v>
      </c>
      <c r="H14" s="18" t="str">
        <f aca="false">IFERROR(INDEX(المرجع!$A$2:$A$19,MATCH($G14,المرجع!$B$2:$B$19,0)),"")</f>
        <v>البناء المؤسسي</v>
      </c>
      <c r="I14" s="20" t="s">
        <v>69</v>
      </c>
      <c r="J14" s="18" t="str">
        <f aca="false">IFERROR(INDEX(المرجع!$D$2:$D$19,MATCH($I14,المرجع!$E$2:$E$19,0)),"")</f>
        <v>إنتاج المخرج الأول</v>
      </c>
      <c r="K14" s="19" t="n">
        <f aca="false">IFERROR(INDEX(المرجع!$F$2:$F$19,MATCH($I14,المرجع!$E$2:$E$19,0)),"")</f>
        <v>7</v>
      </c>
      <c r="L14" s="19" t="n">
        <f aca="false">SUMIFS(المرجع!$H$2:$H$19,المرجع!$B$2:$B$19,$G14,المرجع!$E$2:$E$19,$I14)</f>
        <v>1</v>
      </c>
      <c r="M14" s="19" t="n">
        <f aca="false">COUNTIFS('المرتبطة بسمو الوزير'!$B$2:$B$151,$B14,'المرتبطة بسمو الوزير'!$G$2:$G$151,$G14,'المرتبطة بسمو الوزير'!$I$2:$I$151,$I14,'المرتبطة بسمو الوزير'!$M$2:$M$151,"&lt;&gt;")+COUNTIFS('الشؤون التنفيذية'!$B$2:$B$421,$B14,'الشؤون التنفيذية'!$G$2:$G$421,$G14,'الشؤون التنفيذية'!$I$2:$I$421,$I14,'الشؤون التنفيذية'!$N$2:$N$421,"&lt;&gt;")+COUNTIFS('الجهاز العسكري'!$B$2:$B$631,$B14,'الجهاز العسكري'!$G$2:$G$631,$G14,'الجهاز العسكري'!$I$2:$I$631,$I14,'الجهاز العسكري'!$M$2:$M$631,"&lt;&gt;")</f>
        <v>1</v>
      </c>
      <c r="N14" s="24" t="n">
        <f aca="false">IF($L14=0,0,ROUND((SUMIFS('المرتبطة بسمو الوزير'!$M$2:$M$151,'المرتبطة بسمو الوزير'!$B$2:$B$151,$B14,'المرتبطة بسمو الوزير'!$G$2:$G$151,$G14,'المرتبطة بسمو الوزير'!$I$2:$I$151,$I14)+SUMIFS('الشؤون التنفيذية'!$N$2:$N$421,'الشؤون التنفيذية'!$B$2:$B$421,$B14,'الشؤون التنفيذية'!$G$2:$G$421,$G14,'الشؤون التنفيذية'!$I$2:$I$421,$I14)+SUMIFS('الجهاز العسكري'!$M$2:$M$631,'الجهاز العسكري'!$B$2:$B$631,$B14,'الجهاز العسكري'!$G$2:$G$631,$G14,'الجهاز العسكري'!$I$2:$I$631,$I14))/$L14,0))</f>
        <v>81</v>
      </c>
      <c r="O14" s="25" t="n">
        <f aca="false">IF($L14=0,0,ROUND((SUMIFS('المرتبطة بسمو الوزير'!$N$2:$N$151,'المرتبطة بسمو الوزير'!$B$2:$B$151,$B14,'المرتبطة بسمو الوزير'!$G$2:$G$151,$G14,'المرتبطة بسمو الوزير'!$I$2:$I$151,$I14)+SUMIFS('الشؤون التنفيذية'!$O$2:$O$421,'الشؤون التنفيذية'!$B$2:$B$421,$B14,'الشؤون التنفيذية'!$G$2:$G$421,$G14,'الشؤون التنفيذية'!$I$2:$I$421,$I14)+SUMIFS('الجهاز العسكري'!$N$2:$N$631,'الجهاز العسكري'!$B$2:$B$631,$B14,'الجهاز العسكري'!$G$2:$G$631,$G14,'الجهاز العسكري'!$I$2:$I$631,$I14))/$L14,0))</f>
        <v>100</v>
      </c>
      <c r="P14" s="22"/>
      <c r="Q14" s="19" t="n">
        <f aca="false">SUMIFS(المرجع!$G$2:$G$19,المرجع!$B$2:$B$19,$G14,المرجع!$E$2:$E$19,$I14)</f>
        <v>5</v>
      </c>
      <c r="R14" s="26" t="n">
        <f aca="false">ROUND($Q14*$N14/100,2)</f>
        <v>4.05</v>
      </c>
      <c r="S14" s="27" t="str">
        <f aca="false">IF($N14&gt;المرجع!$K$3,"متقدم",IF($N14&lt;=المرجع!$K$2,"أولي","جزئي"))</f>
        <v>متقدم</v>
      </c>
      <c r="T14" s="28" t="n">
        <f aca="false">ROUND($Q14*$O14/100,2)</f>
        <v>5</v>
      </c>
    </row>
    <row r="15" customFormat="false" ht="15" hidden="false" customHeight="true" outlineLevel="0" collapsed="false">
      <c r="A15" s="20" t="s">
        <v>1467</v>
      </c>
      <c r="B15" s="20" t="s">
        <v>145</v>
      </c>
      <c r="C15" s="19" t="str">
        <f aca="false">IFERROR(INDEX('قائمة الوحدات'!$B$2:$B$41,MATCH($B15,'قائمة الوحدات'!$A$2:$A$41,0)),"")</f>
        <v>TOP</v>
      </c>
      <c r="D15" s="18" t="str">
        <f aca="false">IFERROR(INDEX('قائمة الوحدات'!$C$2:$C$41,MATCH($B15,'قائمة الوحدات'!$A$2:$A$41,0)),"")</f>
        <v>المرتبطة بسمو الوزير</v>
      </c>
      <c r="E15" s="18" t="str">
        <f aca="false">IFERROR(INDEX('قائمة الوحدات'!$D$2:$D$41,MATCH($B15,'قائمة الوحدات'!$A$2:$A$41,0)),"")</f>
        <v>المكتب التنفيذي</v>
      </c>
      <c r="F15" s="18" t="str">
        <f aca="false">IFERROR(INDEX('قائمة الوحدات'!$F$2:$F$41,MATCH($B15,'قائمة الوحدات'!$A$2:$A$41,0)),"")</f>
        <v>المكتب التنفيذي</v>
      </c>
      <c r="G15" s="20" t="s">
        <v>66</v>
      </c>
      <c r="H15" s="18" t="str">
        <f aca="false">IFERROR(INDEX(المرجع!$A$2:$A$19,MATCH($G15,المرجع!$B$2:$B$19,0)),"")</f>
        <v>التشغيل</v>
      </c>
      <c r="I15" s="20" t="s">
        <v>49</v>
      </c>
      <c r="J15" s="18" t="str">
        <f aca="false">IFERROR(INDEX(المرجع!$D$2:$D$19,MATCH($I15,المرجع!$E$2:$E$19,0)),"")</f>
        <v>الأهداف ومؤشرات الأداء</v>
      </c>
      <c r="K15" s="19" t="n">
        <f aca="false">IFERROR(INDEX(المرجع!$F$2:$F$19,MATCH($I15,المرجع!$E$2:$E$19,0)),"")</f>
        <v>2</v>
      </c>
      <c r="L15" s="19" t="n">
        <f aca="false">SUMIFS(المرجع!$H$2:$H$19,المرجع!$B$2:$B$19,$G15,المرجع!$E$2:$E$19,$I15)</f>
        <v>2</v>
      </c>
      <c r="M15" s="19" t="n">
        <f aca="false">COUNTIFS('المرتبطة بسمو الوزير'!$B$2:$B$151,$B15,'المرتبطة بسمو الوزير'!$G$2:$G$151,$G15,'المرتبطة بسمو الوزير'!$I$2:$I$151,$I15,'المرتبطة بسمو الوزير'!$M$2:$M$151,"&lt;&gt;")+COUNTIFS('الشؤون التنفيذية'!$B$2:$B$421,$B15,'الشؤون التنفيذية'!$G$2:$G$421,$G15,'الشؤون التنفيذية'!$I$2:$I$421,$I15,'الشؤون التنفيذية'!$N$2:$N$421,"&lt;&gt;")+COUNTIFS('الجهاز العسكري'!$B$2:$B$631,$B15,'الجهاز العسكري'!$G$2:$G$631,$G15,'الجهاز العسكري'!$I$2:$I$631,$I15,'الجهاز العسكري'!$M$2:$M$631,"&lt;&gt;")</f>
        <v>2</v>
      </c>
      <c r="N15" s="24" t="n">
        <f aca="false">IF($L15=0,0,ROUND((SUMIFS('المرتبطة بسمو الوزير'!$M$2:$M$151,'المرتبطة بسمو الوزير'!$B$2:$B$151,$B15,'المرتبطة بسمو الوزير'!$G$2:$G$151,$G15,'المرتبطة بسمو الوزير'!$I$2:$I$151,$I15)+SUMIFS('الشؤون التنفيذية'!$N$2:$N$421,'الشؤون التنفيذية'!$B$2:$B$421,$B15,'الشؤون التنفيذية'!$G$2:$G$421,$G15,'الشؤون التنفيذية'!$I$2:$I$421,$I15)+SUMIFS('الجهاز العسكري'!$M$2:$M$631,'الجهاز العسكري'!$B$2:$B$631,$B15,'الجهاز العسكري'!$G$2:$G$631,$G15,'الجهاز العسكري'!$I$2:$I$631,$I15))/$L15,0))</f>
        <v>43</v>
      </c>
      <c r="O15" s="25" t="n">
        <f aca="false">IF($L15=0,0,ROUND((SUMIFS('المرتبطة بسمو الوزير'!$N$2:$N$151,'المرتبطة بسمو الوزير'!$B$2:$B$151,$B15,'المرتبطة بسمو الوزير'!$G$2:$G$151,$G15,'المرتبطة بسمو الوزير'!$I$2:$I$151,$I15)+SUMIFS('الشؤون التنفيذية'!$O$2:$O$421,'الشؤون التنفيذية'!$B$2:$B$421,$B15,'الشؤون التنفيذية'!$G$2:$G$421,$G15,'الشؤون التنفيذية'!$I$2:$I$421,$I15)+SUMIFS('الجهاز العسكري'!$N$2:$N$631,'الجهاز العسكري'!$B$2:$B$631,$B15,'الجهاز العسكري'!$G$2:$G$631,$G15,'الجهاز العسكري'!$I$2:$I$631,$I15))/$L15,0))</f>
        <v>88</v>
      </c>
      <c r="P15" s="22"/>
      <c r="Q15" s="19" t="n">
        <f aca="false">SUMIFS(المرجع!$G$2:$G$19,المرجع!$B$2:$B$19,$G15,المرجع!$E$2:$E$19,$I15)</f>
        <v>25</v>
      </c>
      <c r="R15" s="26" t="n">
        <f aca="false">ROUND($Q15*$N15/100,2)</f>
        <v>10.75</v>
      </c>
      <c r="S15" s="27" t="str">
        <f aca="false">IF($N15&gt;المرجع!$K$3,"متقدم",IF($N15&lt;=المرجع!$K$2,"أولي","جزئي"))</f>
        <v>جزئي</v>
      </c>
      <c r="T15" s="28" t="n">
        <f aca="false">ROUND($Q15*$O15/100,2)</f>
        <v>22</v>
      </c>
    </row>
    <row r="16" customFormat="false" ht="15" hidden="false" customHeight="true" outlineLevel="0" collapsed="false">
      <c r="A16" s="20" t="s">
        <v>1468</v>
      </c>
      <c r="B16" s="20" t="s">
        <v>145</v>
      </c>
      <c r="C16" s="19" t="str">
        <f aca="false">IFERROR(INDEX('قائمة الوحدات'!$B$2:$B$41,MATCH($B16,'قائمة الوحدات'!$A$2:$A$41,0)),"")</f>
        <v>TOP</v>
      </c>
      <c r="D16" s="18" t="str">
        <f aca="false">IFERROR(INDEX('قائمة الوحدات'!$C$2:$C$41,MATCH($B16,'قائمة الوحدات'!$A$2:$A$41,0)),"")</f>
        <v>المرتبطة بسمو الوزير</v>
      </c>
      <c r="E16" s="18" t="str">
        <f aca="false">IFERROR(INDEX('قائمة الوحدات'!$D$2:$D$41,MATCH($B16,'قائمة الوحدات'!$A$2:$A$41,0)),"")</f>
        <v>المكتب التنفيذي</v>
      </c>
      <c r="F16" s="18" t="str">
        <f aca="false">IFERROR(INDEX('قائمة الوحدات'!$F$2:$F$41,MATCH($B16,'قائمة الوحدات'!$A$2:$A$41,0)),"")</f>
        <v>المكتب التنفيذي</v>
      </c>
      <c r="G16" s="20" t="s">
        <v>66</v>
      </c>
      <c r="H16" s="18" t="str">
        <f aca="false">IFERROR(INDEX(المرجع!$A$2:$A$19,MATCH($G16,المرجع!$B$2:$B$19,0)),"")</f>
        <v>التشغيل</v>
      </c>
      <c r="I16" s="20" t="s">
        <v>52</v>
      </c>
      <c r="J16" s="18" t="str">
        <f aca="false">IFERROR(INDEX(المرجع!$D$2:$D$19,MATCH($I16,المرجع!$E$2:$E$19,0)),"")</f>
        <v>الحوكمة</v>
      </c>
      <c r="K16" s="19" t="n">
        <f aca="false">IFERROR(INDEX(المرجع!$F$2:$F$19,MATCH($I16,المرجع!$E$2:$E$19,0)),"")</f>
        <v>3</v>
      </c>
      <c r="L16" s="19" t="n">
        <f aca="false">SUMIFS(المرجع!$H$2:$H$19,المرجع!$B$2:$B$19,$G16,المرجع!$E$2:$E$19,$I16)</f>
        <v>3</v>
      </c>
      <c r="M16" s="19" t="n">
        <f aca="false">COUNTIFS('المرتبطة بسمو الوزير'!$B$2:$B$151,$B16,'المرتبطة بسمو الوزير'!$G$2:$G$151,$G16,'المرتبطة بسمو الوزير'!$I$2:$I$151,$I16,'المرتبطة بسمو الوزير'!$M$2:$M$151,"&lt;&gt;")+COUNTIFS('الشؤون التنفيذية'!$B$2:$B$421,$B16,'الشؤون التنفيذية'!$G$2:$G$421,$G16,'الشؤون التنفيذية'!$I$2:$I$421,$I16,'الشؤون التنفيذية'!$N$2:$N$421,"&lt;&gt;")+COUNTIFS('الجهاز العسكري'!$B$2:$B$631,$B16,'الجهاز العسكري'!$G$2:$G$631,$G16,'الجهاز العسكري'!$I$2:$I$631,$I16,'الجهاز العسكري'!$M$2:$M$631,"&lt;&gt;")</f>
        <v>3</v>
      </c>
      <c r="N16" s="24" t="n">
        <f aca="false">IF($L16=0,0,ROUND((SUMIFS('المرتبطة بسمو الوزير'!$M$2:$M$151,'المرتبطة بسمو الوزير'!$B$2:$B$151,$B16,'المرتبطة بسمو الوزير'!$G$2:$G$151,$G16,'المرتبطة بسمو الوزير'!$I$2:$I$151,$I16)+SUMIFS('الشؤون التنفيذية'!$N$2:$N$421,'الشؤون التنفيذية'!$B$2:$B$421,$B16,'الشؤون التنفيذية'!$G$2:$G$421,$G16,'الشؤون التنفيذية'!$I$2:$I$421,$I16)+SUMIFS('الجهاز العسكري'!$M$2:$M$631,'الجهاز العسكري'!$B$2:$B$631,$B16,'الجهاز العسكري'!$G$2:$G$631,$G16,'الجهاز العسكري'!$I$2:$I$631,$I16))/$L16,0))</f>
        <v>37</v>
      </c>
      <c r="O16" s="25" t="n">
        <f aca="false">IF($L16=0,0,ROUND((SUMIFS('المرتبطة بسمو الوزير'!$N$2:$N$151,'المرتبطة بسمو الوزير'!$B$2:$B$151,$B16,'المرتبطة بسمو الوزير'!$G$2:$G$151,$G16,'المرتبطة بسمو الوزير'!$I$2:$I$151,$I16)+SUMIFS('الشؤون التنفيذية'!$O$2:$O$421,'الشؤون التنفيذية'!$B$2:$B$421,$B16,'الشؤون التنفيذية'!$G$2:$G$421,$G16,'الشؤون التنفيذية'!$I$2:$I$421,$I16)+SUMIFS('الجهاز العسكري'!$N$2:$N$631,'الجهاز العسكري'!$B$2:$B$631,$B16,'الجهاز العسكري'!$G$2:$G$631,$G16,'الجهاز العسكري'!$I$2:$I$631,$I16))/$L16,0))</f>
        <v>93</v>
      </c>
      <c r="P16" s="22"/>
      <c r="Q16" s="19" t="n">
        <f aca="false">SUMIFS(المرجع!$G$2:$G$19,المرجع!$B$2:$B$19,$G16,المرجع!$E$2:$E$19,$I16)</f>
        <v>15</v>
      </c>
      <c r="R16" s="26" t="n">
        <f aca="false">ROUND($Q16*$N16/100,2)</f>
        <v>5.55</v>
      </c>
      <c r="S16" s="27" t="str">
        <f aca="false">IF($N16&gt;المرجع!$K$3,"متقدم",IF($N16&lt;=المرجع!$K$2,"أولي","جزئي"))</f>
        <v>جزئي</v>
      </c>
      <c r="T16" s="28" t="n">
        <f aca="false">ROUND($Q16*$O16/100,2)</f>
        <v>13.95</v>
      </c>
    </row>
    <row r="17" customFormat="false" ht="15" hidden="false" customHeight="true" outlineLevel="0" collapsed="false">
      <c r="A17" s="20" t="s">
        <v>1469</v>
      </c>
      <c r="B17" s="20" t="s">
        <v>145</v>
      </c>
      <c r="C17" s="19" t="str">
        <f aca="false">IFERROR(INDEX('قائمة الوحدات'!$B$2:$B$41,MATCH($B17,'قائمة الوحدات'!$A$2:$A$41,0)),"")</f>
        <v>TOP</v>
      </c>
      <c r="D17" s="18" t="str">
        <f aca="false">IFERROR(INDEX('قائمة الوحدات'!$C$2:$C$41,MATCH($B17,'قائمة الوحدات'!$A$2:$A$41,0)),"")</f>
        <v>المرتبطة بسمو الوزير</v>
      </c>
      <c r="E17" s="18" t="str">
        <f aca="false">IFERROR(INDEX('قائمة الوحدات'!$D$2:$D$41,MATCH($B17,'قائمة الوحدات'!$A$2:$A$41,0)),"")</f>
        <v>المكتب التنفيذي</v>
      </c>
      <c r="F17" s="18" t="str">
        <f aca="false">IFERROR(INDEX('قائمة الوحدات'!$F$2:$F$41,MATCH($B17,'قائمة الوحدات'!$A$2:$A$41,0)),"")</f>
        <v>المكتب التنفيذي</v>
      </c>
      <c r="G17" s="20" t="s">
        <v>66</v>
      </c>
      <c r="H17" s="18" t="str">
        <f aca="false">IFERROR(INDEX(المرجع!$A$2:$A$19,MATCH($G17,المرجع!$B$2:$B$19,0)),"")</f>
        <v>التشغيل</v>
      </c>
      <c r="I17" s="20" t="s">
        <v>57</v>
      </c>
      <c r="J17" s="18" t="str">
        <f aca="false">IFERROR(INDEX(المرجع!$D$2:$D$19,MATCH($I17,المرجع!$E$2:$E$19,0)),"")</f>
        <v>الموارد</v>
      </c>
      <c r="K17" s="19" t="n">
        <f aca="false">IFERROR(INDEX(المرجع!$F$2:$F$19,MATCH($I17,المرجع!$E$2:$E$19,0)),"")</f>
        <v>5</v>
      </c>
      <c r="L17" s="19" t="n">
        <f aca="false">SUMIFS(المرجع!$H$2:$H$19,المرجع!$B$2:$B$19,$G17,المرجع!$E$2:$E$19,$I17)</f>
        <v>1</v>
      </c>
      <c r="M17" s="19" t="n">
        <f aca="false">COUNTIFS('المرتبطة بسمو الوزير'!$B$2:$B$151,$B17,'المرتبطة بسمو الوزير'!$G$2:$G$151,$G17,'المرتبطة بسمو الوزير'!$I$2:$I$151,$I17,'المرتبطة بسمو الوزير'!$M$2:$M$151,"&lt;&gt;")+COUNTIFS('الشؤون التنفيذية'!$B$2:$B$421,$B17,'الشؤون التنفيذية'!$G$2:$G$421,$G17,'الشؤون التنفيذية'!$I$2:$I$421,$I17,'الشؤون التنفيذية'!$N$2:$N$421,"&lt;&gt;")+COUNTIFS('الجهاز العسكري'!$B$2:$B$631,$B17,'الجهاز العسكري'!$G$2:$G$631,$G17,'الجهاز العسكري'!$I$2:$I$631,$I17,'الجهاز العسكري'!$M$2:$M$631,"&lt;&gt;")</f>
        <v>1</v>
      </c>
      <c r="N17" s="24" t="n">
        <f aca="false">IF($L17=0,0,ROUND((SUMIFS('المرتبطة بسمو الوزير'!$M$2:$M$151,'المرتبطة بسمو الوزير'!$B$2:$B$151,$B17,'المرتبطة بسمو الوزير'!$G$2:$G$151,$G17,'المرتبطة بسمو الوزير'!$I$2:$I$151,$I17)+SUMIFS('الشؤون التنفيذية'!$N$2:$N$421,'الشؤون التنفيذية'!$B$2:$B$421,$B17,'الشؤون التنفيذية'!$G$2:$G$421,$G17,'الشؤون التنفيذية'!$I$2:$I$421,$I17)+SUMIFS('الجهاز العسكري'!$M$2:$M$631,'الجهاز العسكري'!$B$2:$B$631,$B17,'الجهاز العسكري'!$G$2:$G$631,$G17,'الجهاز العسكري'!$I$2:$I$631,$I17))/$L17,0))</f>
        <v>57</v>
      </c>
      <c r="O17" s="25" t="n">
        <f aca="false">IF($L17=0,0,ROUND((SUMIFS('المرتبطة بسمو الوزير'!$N$2:$N$151,'المرتبطة بسمو الوزير'!$B$2:$B$151,$B17,'المرتبطة بسمو الوزير'!$G$2:$G$151,$G17,'المرتبطة بسمو الوزير'!$I$2:$I$151,$I17)+SUMIFS('الشؤون التنفيذية'!$O$2:$O$421,'الشؤون التنفيذية'!$B$2:$B$421,$B17,'الشؤون التنفيذية'!$G$2:$G$421,$G17,'الشؤون التنفيذية'!$I$2:$I$421,$I17)+SUMIFS('الجهاز العسكري'!$N$2:$N$631,'الجهاز العسكري'!$B$2:$B$631,$B17,'الجهاز العسكري'!$G$2:$G$631,$G17,'الجهاز العسكري'!$I$2:$I$631,$I17))/$L17,0))</f>
        <v>85</v>
      </c>
      <c r="P17" s="22"/>
      <c r="Q17" s="19" t="n">
        <f aca="false">SUMIFS(المرجع!$G$2:$G$19,المرجع!$B$2:$B$19,$G17,المرجع!$E$2:$E$19,$I17)</f>
        <v>15</v>
      </c>
      <c r="R17" s="26" t="n">
        <f aca="false">ROUND($Q17*$N17/100,2)</f>
        <v>8.55</v>
      </c>
      <c r="S17" s="27" t="str">
        <f aca="false">IF($N17&gt;المرجع!$K$3,"متقدم",IF($N17&lt;=المرجع!$K$2,"أولي","جزئي"))</f>
        <v>جزئي</v>
      </c>
      <c r="T17" s="28" t="n">
        <f aca="false">ROUND($Q17*$O17/100,2)</f>
        <v>12.75</v>
      </c>
    </row>
    <row r="18" customFormat="false" ht="15" hidden="false" customHeight="true" outlineLevel="0" collapsed="false">
      <c r="A18" s="20" t="s">
        <v>1470</v>
      </c>
      <c r="B18" s="20" t="s">
        <v>145</v>
      </c>
      <c r="C18" s="19" t="str">
        <f aca="false">IFERROR(INDEX('قائمة الوحدات'!$B$2:$B$41,MATCH($B18,'قائمة الوحدات'!$A$2:$A$41,0)),"")</f>
        <v>TOP</v>
      </c>
      <c r="D18" s="18" t="str">
        <f aca="false">IFERROR(INDEX('قائمة الوحدات'!$C$2:$C$41,MATCH($B18,'قائمة الوحدات'!$A$2:$A$41,0)),"")</f>
        <v>المرتبطة بسمو الوزير</v>
      </c>
      <c r="E18" s="18" t="str">
        <f aca="false">IFERROR(INDEX('قائمة الوحدات'!$D$2:$D$41,MATCH($B18,'قائمة الوحدات'!$A$2:$A$41,0)),"")</f>
        <v>المكتب التنفيذي</v>
      </c>
      <c r="F18" s="18" t="str">
        <f aca="false">IFERROR(INDEX('قائمة الوحدات'!$F$2:$F$41,MATCH($B18,'قائمة الوحدات'!$A$2:$A$41,0)),"")</f>
        <v>المكتب التنفيذي</v>
      </c>
      <c r="G18" s="20" t="s">
        <v>66</v>
      </c>
      <c r="H18" s="18" t="str">
        <f aca="false">IFERROR(INDEX(المرجع!$A$2:$A$19,MATCH($G18,المرجع!$B$2:$B$19,0)),"")</f>
        <v>التشغيل</v>
      </c>
      <c r="I18" s="20" t="s">
        <v>60</v>
      </c>
      <c r="J18" s="18" t="str">
        <f aca="false">IFERROR(INDEX(المرجع!$D$2:$D$19,MATCH($I18,المرجع!$E$2:$E$19,0)),"")</f>
        <v>الإجراءات</v>
      </c>
      <c r="K18" s="19" t="n">
        <f aca="false">IFERROR(INDEX(المرجع!$F$2:$F$19,MATCH($I18,المرجع!$E$2:$E$19,0)),"")</f>
        <v>6</v>
      </c>
      <c r="L18" s="19" t="n">
        <f aca="false">SUMIFS(المرجع!$H$2:$H$19,المرجع!$B$2:$B$19,$G18,المرجع!$E$2:$E$19,$I18)</f>
        <v>1</v>
      </c>
      <c r="M18" s="19" t="n">
        <f aca="false">COUNTIFS('المرتبطة بسمو الوزير'!$B$2:$B$151,$B18,'المرتبطة بسمو الوزير'!$G$2:$G$151,$G18,'المرتبطة بسمو الوزير'!$I$2:$I$151,$I18,'المرتبطة بسمو الوزير'!$M$2:$M$151,"&lt;&gt;")+COUNTIFS('الشؤون التنفيذية'!$B$2:$B$421,$B18,'الشؤون التنفيذية'!$G$2:$G$421,$G18,'الشؤون التنفيذية'!$I$2:$I$421,$I18,'الشؤون التنفيذية'!$N$2:$N$421,"&lt;&gt;")+COUNTIFS('الجهاز العسكري'!$B$2:$B$631,$B18,'الجهاز العسكري'!$G$2:$G$631,$G18,'الجهاز العسكري'!$I$2:$I$631,$I18,'الجهاز العسكري'!$M$2:$M$631,"&lt;&gt;")</f>
        <v>1</v>
      </c>
      <c r="N18" s="24" t="n">
        <f aca="false">IF($L18=0,0,ROUND((SUMIFS('المرتبطة بسمو الوزير'!$M$2:$M$151,'المرتبطة بسمو الوزير'!$B$2:$B$151,$B18,'المرتبطة بسمو الوزير'!$G$2:$G$151,$G18,'المرتبطة بسمو الوزير'!$I$2:$I$151,$I18)+SUMIFS('الشؤون التنفيذية'!$N$2:$N$421,'الشؤون التنفيذية'!$B$2:$B$421,$B18,'الشؤون التنفيذية'!$G$2:$G$421,$G18,'الشؤون التنفيذية'!$I$2:$I$421,$I18)+SUMIFS('الجهاز العسكري'!$M$2:$M$631,'الجهاز العسكري'!$B$2:$B$631,$B18,'الجهاز العسكري'!$G$2:$G$631,$G18,'الجهاز العسكري'!$I$2:$I$631,$I18))/$L18,0))</f>
        <v>32</v>
      </c>
      <c r="O18" s="25" t="n">
        <f aca="false">IF($L18=0,0,ROUND((SUMIFS('المرتبطة بسمو الوزير'!$N$2:$N$151,'المرتبطة بسمو الوزير'!$B$2:$B$151,$B18,'المرتبطة بسمو الوزير'!$G$2:$G$151,$G18,'المرتبطة بسمو الوزير'!$I$2:$I$151,$I18)+SUMIFS('الشؤون التنفيذية'!$O$2:$O$421,'الشؤون التنفيذية'!$B$2:$B$421,$B18,'الشؤون التنفيذية'!$G$2:$G$421,$G18,'الشؤون التنفيذية'!$I$2:$I$421,$I18)+SUMIFS('الجهاز العسكري'!$N$2:$N$631,'الجهاز العسكري'!$B$2:$B$631,$B18,'الجهاز العسكري'!$G$2:$G$631,$G18,'الجهاز العسكري'!$I$2:$I$631,$I18))/$L18,0))</f>
        <v>100</v>
      </c>
      <c r="P18" s="22"/>
      <c r="Q18" s="19" t="n">
        <f aca="false">SUMIFS(المرجع!$G$2:$G$19,المرجع!$B$2:$B$19,$G18,المرجع!$E$2:$E$19,$I18)</f>
        <v>15</v>
      </c>
      <c r="R18" s="26" t="n">
        <f aca="false">ROUND($Q18*$N18/100,2)</f>
        <v>4.8</v>
      </c>
      <c r="S18" s="27" t="str">
        <f aca="false">IF($N18&gt;المرجع!$K$3,"متقدم",IF($N18&lt;=المرجع!$K$2,"أولي","جزئي"))</f>
        <v>جزئي</v>
      </c>
      <c r="T18" s="28" t="n">
        <f aca="false">ROUND($Q18*$O18/100,2)</f>
        <v>15</v>
      </c>
    </row>
    <row r="19" customFormat="false" ht="15" hidden="false" customHeight="true" outlineLevel="0" collapsed="false">
      <c r="A19" s="20" t="s">
        <v>1471</v>
      </c>
      <c r="B19" s="20" t="s">
        <v>145</v>
      </c>
      <c r="C19" s="19" t="str">
        <f aca="false">IFERROR(INDEX('قائمة الوحدات'!$B$2:$B$41,MATCH($B19,'قائمة الوحدات'!$A$2:$A$41,0)),"")</f>
        <v>TOP</v>
      </c>
      <c r="D19" s="18" t="str">
        <f aca="false">IFERROR(INDEX('قائمة الوحدات'!$C$2:$C$41,MATCH($B19,'قائمة الوحدات'!$A$2:$A$41,0)),"")</f>
        <v>المرتبطة بسمو الوزير</v>
      </c>
      <c r="E19" s="18" t="str">
        <f aca="false">IFERROR(INDEX('قائمة الوحدات'!$D$2:$D$41,MATCH($B19,'قائمة الوحدات'!$A$2:$A$41,0)),"")</f>
        <v>المكتب التنفيذي</v>
      </c>
      <c r="F19" s="18" t="str">
        <f aca="false">IFERROR(INDEX('قائمة الوحدات'!$F$2:$F$41,MATCH($B19,'قائمة الوحدات'!$A$2:$A$41,0)),"")</f>
        <v>المكتب التنفيذي</v>
      </c>
      <c r="G19" s="20" t="s">
        <v>66</v>
      </c>
      <c r="H19" s="18" t="str">
        <f aca="false">IFERROR(INDEX(المرجع!$A$2:$A$19,MATCH($G19,المرجع!$B$2:$B$19,0)),"")</f>
        <v>التشغيل</v>
      </c>
      <c r="I19" s="20" t="s">
        <v>71</v>
      </c>
      <c r="J19" s="18" t="str">
        <f aca="false">IFERROR(INDEX(المرجع!$D$2:$D$19,MATCH($I19,المرجع!$E$2:$E$19,0)),"")</f>
        <v>اكتمال المخرجات المستهدفة</v>
      </c>
      <c r="K19" s="19" t="n">
        <f aca="false">IFERROR(INDEX(المرجع!$F$2:$F$19,MATCH($I19,المرجع!$E$2:$E$19,0)),"")</f>
        <v>8</v>
      </c>
      <c r="L19" s="19" t="n">
        <f aca="false">SUMIFS(المرجع!$H$2:$H$19,المرجع!$B$2:$B$19,$G19,المرجع!$E$2:$E$19,$I19)</f>
        <v>1</v>
      </c>
      <c r="M19" s="19" t="n">
        <f aca="false">COUNTIFS('المرتبطة بسمو الوزير'!$B$2:$B$151,$B19,'المرتبطة بسمو الوزير'!$G$2:$G$151,$G19,'المرتبطة بسمو الوزير'!$I$2:$I$151,$I19,'المرتبطة بسمو الوزير'!$M$2:$M$151,"&lt;&gt;")+COUNTIFS('الشؤون التنفيذية'!$B$2:$B$421,$B19,'الشؤون التنفيذية'!$G$2:$G$421,$G19,'الشؤون التنفيذية'!$I$2:$I$421,$I19,'الشؤون التنفيذية'!$N$2:$N$421,"&lt;&gt;")+COUNTIFS('الجهاز العسكري'!$B$2:$B$631,$B19,'الجهاز العسكري'!$G$2:$G$631,$G19,'الجهاز العسكري'!$I$2:$I$631,$I19,'الجهاز العسكري'!$M$2:$M$631,"&lt;&gt;")</f>
        <v>1</v>
      </c>
      <c r="N19" s="24" t="n">
        <f aca="false">IF($L19=0,0,ROUND((SUMIFS('المرتبطة بسمو الوزير'!$M$2:$M$151,'المرتبطة بسمو الوزير'!$B$2:$B$151,$B19,'المرتبطة بسمو الوزير'!$G$2:$G$151,$G19,'المرتبطة بسمو الوزير'!$I$2:$I$151,$I19)+SUMIFS('الشؤون التنفيذية'!$N$2:$N$421,'الشؤون التنفيذية'!$B$2:$B$421,$B19,'الشؤون التنفيذية'!$G$2:$G$421,$G19,'الشؤون التنفيذية'!$I$2:$I$421,$I19)+SUMIFS('الجهاز العسكري'!$M$2:$M$631,'الجهاز العسكري'!$B$2:$B$631,$B19,'الجهاز العسكري'!$G$2:$G$631,$G19,'الجهاز العسكري'!$I$2:$I$631,$I19))/$L19,0))</f>
        <v>53</v>
      </c>
      <c r="O19" s="25" t="n">
        <f aca="false">IF($L19=0,0,ROUND((SUMIFS('المرتبطة بسمو الوزير'!$N$2:$N$151,'المرتبطة بسمو الوزير'!$B$2:$B$151,$B19,'المرتبطة بسمو الوزير'!$G$2:$G$151,$G19,'المرتبطة بسمو الوزير'!$I$2:$I$151,$I19)+SUMIFS('الشؤون التنفيذية'!$O$2:$O$421,'الشؤون التنفيذية'!$B$2:$B$421,$B19,'الشؤون التنفيذية'!$G$2:$G$421,$G19,'الشؤون التنفيذية'!$I$2:$I$421,$I19)+SUMIFS('الجهاز العسكري'!$N$2:$N$631,'الجهاز العسكري'!$B$2:$B$631,$B19,'الجهاز العسكري'!$G$2:$G$631,$G19,'الجهاز العسكري'!$I$2:$I$631,$I19))/$L19,0))</f>
        <v>100</v>
      </c>
      <c r="P19" s="22"/>
      <c r="Q19" s="19" t="n">
        <f aca="false">SUMIFS(المرجع!$G$2:$G$19,المرجع!$B$2:$B$19,$G19,المرجع!$E$2:$E$19,$I19)</f>
        <v>30</v>
      </c>
      <c r="R19" s="26" t="n">
        <f aca="false">ROUND($Q19*$N19/100,2)</f>
        <v>15.9</v>
      </c>
      <c r="S19" s="27" t="str">
        <f aca="false">IF($N19&gt;المرجع!$K$3,"متقدم",IF($N19&lt;=المرجع!$K$2,"أولي","جزئي"))</f>
        <v>جزئي</v>
      </c>
      <c r="T19" s="28" t="n">
        <f aca="false">ROUND($Q19*$O19/100,2)</f>
        <v>30</v>
      </c>
    </row>
    <row r="20" customFormat="false" ht="15" hidden="false" customHeight="true" outlineLevel="0" collapsed="false">
      <c r="A20" s="20" t="s">
        <v>1472</v>
      </c>
      <c r="B20" s="20" t="s">
        <v>152</v>
      </c>
      <c r="C20" s="19" t="str">
        <f aca="false">IFERROR(INDEX('قائمة الوحدات'!$B$2:$B$41,MATCH($B20,'قائمة الوحدات'!$A$2:$A$41,0)),"")</f>
        <v>TOP</v>
      </c>
      <c r="D20" s="18" t="str">
        <f aca="false">IFERROR(INDEX('قائمة الوحدات'!$C$2:$C$41,MATCH($B20,'قائمة الوحدات'!$A$2:$A$41,0)),"")</f>
        <v>المرتبطة بسمو الوزير</v>
      </c>
      <c r="E20" s="18" t="str">
        <f aca="false">IFERROR(INDEX('قائمة الوحدات'!$D$2:$D$41,MATCH($B20,'قائمة الوحدات'!$A$2:$A$41,0)),"")</f>
        <v>إدارة المتابعة والتقارير</v>
      </c>
      <c r="F20" s="18" t="str">
        <f aca="false">IFERROR(INDEX('قائمة الوحدات'!$F$2:$F$41,MATCH($B20,'قائمة الوحدات'!$A$2:$A$41,0)),"")</f>
        <v>إدارة المتابعة والتقارير</v>
      </c>
      <c r="G20" s="20" t="s">
        <v>44</v>
      </c>
      <c r="H20" s="18" t="str">
        <f aca="false">IFERROR(INDEX(المرجع!$A$2:$A$19,MATCH($G20,المرجع!$B$2:$B$19,0)),"")</f>
        <v>التصميم</v>
      </c>
      <c r="I20" s="20" t="s">
        <v>46</v>
      </c>
      <c r="J20" s="18" t="str">
        <f aca="false">IFERROR(INDEX(المرجع!$D$2:$D$19,MATCH($I20,المرجع!$E$2:$E$19,0)),"")</f>
        <v>الدور</v>
      </c>
      <c r="K20" s="19" t="n">
        <f aca="false">IFERROR(INDEX(المرجع!$F$2:$F$19,MATCH($I20,المرجع!$E$2:$E$19,0)),"")</f>
        <v>1</v>
      </c>
      <c r="L20" s="19" t="n">
        <f aca="false">SUMIFS(المرجع!$H$2:$H$19,المرجع!$B$2:$B$19,$G20,المرجع!$E$2:$E$19,$I20)</f>
        <v>1</v>
      </c>
      <c r="M20" s="19" t="n">
        <f aca="false">COUNTIFS('المرتبطة بسمو الوزير'!$B$2:$B$151,$B20,'المرتبطة بسمو الوزير'!$G$2:$G$151,$G20,'المرتبطة بسمو الوزير'!$I$2:$I$151,$I20,'المرتبطة بسمو الوزير'!$M$2:$M$151,"&lt;&gt;")+COUNTIFS('الشؤون التنفيذية'!$B$2:$B$421,$B20,'الشؤون التنفيذية'!$G$2:$G$421,$G20,'الشؤون التنفيذية'!$I$2:$I$421,$I20,'الشؤون التنفيذية'!$N$2:$N$421,"&lt;&gt;")+COUNTIFS('الجهاز العسكري'!$B$2:$B$631,$B20,'الجهاز العسكري'!$G$2:$G$631,$G20,'الجهاز العسكري'!$I$2:$I$631,$I20,'الجهاز العسكري'!$M$2:$M$631,"&lt;&gt;")</f>
        <v>1</v>
      </c>
      <c r="N20" s="24" t="n">
        <f aca="false">IF($L20=0,0,ROUND((SUMIFS('المرتبطة بسمو الوزير'!$M$2:$M$151,'المرتبطة بسمو الوزير'!$B$2:$B$151,$B20,'المرتبطة بسمو الوزير'!$G$2:$G$151,$G20,'المرتبطة بسمو الوزير'!$I$2:$I$151,$I20)+SUMIFS('الشؤون التنفيذية'!$N$2:$N$421,'الشؤون التنفيذية'!$B$2:$B$421,$B20,'الشؤون التنفيذية'!$G$2:$G$421,$G20,'الشؤون التنفيذية'!$I$2:$I$421,$I20)+SUMIFS('الجهاز العسكري'!$M$2:$M$631,'الجهاز العسكري'!$B$2:$B$631,$B20,'الجهاز العسكري'!$G$2:$G$631,$G20,'الجهاز العسكري'!$I$2:$I$631,$I20))/$L20,0))</f>
        <v>76</v>
      </c>
      <c r="O20" s="25" t="n">
        <f aca="false">IF($L20=0,0,ROUND((SUMIFS('المرتبطة بسمو الوزير'!$N$2:$N$151,'المرتبطة بسمو الوزير'!$B$2:$B$151,$B20,'المرتبطة بسمو الوزير'!$G$2:$G$151,$G20,'المرتبطة بسمو الوزير'!$I$2:$I$151,$I20)+SUMIFS('الشؤون التنفيذية'!$O$2:$O$421,'الشؤون التنفيذية'!$B$2:$B$421,$B20,'الشؤون التنفيذية'!$G$2:$G$421,$G20,'الشؤون التنفيذية'!$I$2:$I$421,$I20)+SUMIFS('الجهاز العسكري'!$N$2:$N$631,'الجهاز العسكري'!$B$2:$B$631,$B20,'الجهاز العسكري'!$G$2:$G$631,$G20,'الجهاز العسكري'!$I$2:$I$631,$I20))/$L20,0))</f>
        <v>100</v>
      </c>
      <c r="P20" s="22"/>
      <c r="Q20" s="19" t="n">
        <f aca="false">SUMIFS(المرجع!$G$2:$G$19,المرجع!$B$2:$B$19,$G20,المرجع!$E$2:$E$19,$I20)</f>
        <v>25</v>
      </c>
      <c r="R20" s="26" t="n">
        <f aca="false">ROUND($Q20*$N20/100,2)</f>
        <v>19</v>
      </c>
      <c r="S20" s="27" t="str">
        <f aca="false">IF($N20&gt;المرجع!$K$3,"متقدم",IF($N20&lt;=المرجع!$K$2,"أولي","جزئي"))</f>
        <v>متقدم</v>
      </c>
      <c r="T20" s="28" t="n">
        <f aca="false">ROUND($Q20*$O20/100,2)</f>
        <v>25</v>
      </c>
    </row>
    <row r="21" customFormat="false" ht="15" hidden="false" customHeight="true" outlineLevel="0" collapsed="false">
      <c r="A21" s="20" t="s">
        <v>1473</v>
      </c>
      <c r="B21" s="20" t="s">
        <v>152</v>
      </c>
      <c r="C21" s="19" t="str">
        <f aca="false">IFERROR(INDEX('قائمة الوحدات'!$B$2:$B$41,MATCH($B21,'قائمة الوحدات'!$A$2:$A$41,0)),"")</f>
        <v>TOP</v>
      </c>
      <c r="D21" s="18" t="str">
        <f aca="false">IFERROR(INDEX('قائمة الوحدات'!$C$2:$C$41,MATCH($B21,'قائمة الوحدات'!$A$2:$A$41,0)),"")</f>
        <v>المرتبطة بسمو الوزير</v>
      </c>
      <c r="E21" s="18" t="str">
        <f aca="false">IFERROR(INDEX('قائمة الوحدات'!$D$2:$D$41,MATCH($B21,'قائمة الوحدات'!$A$2:$A$41,0)),"")</f>
        <v>إدارة المتابعة والتقارير</v>
      </c>
      <c r="F21" s="18" t="str">
        <f aca="false">IFERROR(INDEX('قائمة الوحدات'!$F$2:$F$41,MATCH($B21,'قائمة الوحدات'!$A$2:$A$41,0)),"")</f>
        <v>إدارة المتابعة والتقارير</v>
      </c>
      <c r="G21" s="20" t="s">
        <v>44</v>
      </c>
      <c r="H21" s="18" t="str">
        <f aca="false">IFERROR(INDEX(المرجع!$A$2:$A$19,MATCH($G21,المرجع!$B$2:$B$19,0)),"")</f>
        <v>التصميم</v>
      </c>
      <c r="I21" s="20" t="s">
        <v>49</v>
      </c>
      <c r="J21" s="18" t="str">
        <f aca="false">IFERROR(INDEX(المرجع!$D$2:$D$19,MATCH($I21,المرجع!$E$2:$E$19,0)),"")</f>
        <v>الأهداف ومؤشرات الأداء</v>
      </c>
      <c r="K21" s="19" t="n">
        <f aca="false">IFERROR(INDEX(المرجع!$F$2:$F$19,MATCH($I21,المرجع!$E$2:$E$19,0)),"")</f>
        <v>2</v>
      </c>
      <c r="L21" s="19" t="n">
        <f aca="false">SUMIFS(المرجع!$H$2:$H$19,المرجع!$B$2:$B$19,$G21,المرجع!$E$2:$E$19,$I21)</f>
        <v>2</v>
      </c>
      <c r="M21" s="19" t="n">
        <f aca="false">COUNTIFS('المرتبطة بسمو الوزير'!$B$2:$B$151,$B21,'المرتبطة بسمو الوزير'!$G$2:$G$151,$G21,'المرتبطة بسمو الوزير'!$I$2:$I$151,$I21,'المرتبطة بسمو الوزير'!$M$2:$M$151,"&lt;&gt;")+COUNTIFS('الشؤون التنفيذية'!$B$2:$B$421,$B21,'الشؤون التنفيذية'!$G$2:$G$421,$G21,'الشؤون التنفيذية'!$I$2:$I$421,$I21,'الشؤون التنفيذية'!$N$2:$N$421,"&lt;&gt;")+COUNTIFS('الجهاز العسكري'!$B$2:$B$631,$B21,'الجهاز العسكري'!$G$2:$G$631,$G21,'الجهاز العسكري'!$I$2:$I$631,$I21,'الجهاز العسكري'!$M$2:$M$631,"&lt;&gt;")</f>
        <v>2</v>
      </c>
      <c r="N21" s="24" t="n">
        <f aca="false">IF($L21=0,0,ROUND((SUMIFS('المرتبطة بسمو الوزير'!$M$2:$M$151,'المرتبطة بسمو الوزير'!$B$2:$B$151,$B21,'المرتبطة بسمو الوزير'!$G$2:$G$151,$G21,'المرتبطة بسمو الوزير'!$I$2:$I$151,$I21)+SUMIFS('الشؤون التنفيذية'!$N$2:$N$421,'الشؤون التنفيذية'!$B$2:$B$421,$B21,'الشؤون التنفيذية'!$G$2:$G$421,$G21,'الشؤون التنفيذية'!$I$2:$I$421,$I21)+SUMIFS('الجهاز العسكري'!$M$2:$M$631,'الجهاز العسكري'!$B$2:$B$631,$B21,'الجهاز العسكري'!$G$2:$G$631,$G21,'الجهاز العسكري'!$I$2:$I$631,$I21))/$L21,0))</f>
        <v>73</v>
      </c>
      <c r="O21" s="25" t="n">
        <f aca="false">IF($L21=0,0,ROUND((SUMIFS('المرتبطة بسمو الوزير'!$N$2:$N$151,'المرتبطة بسمو الوزير'!$B$2:$B$151,$B21,'المرتبطة بسمو الوزير'!$G$2:$G$151,$G21,'المرتبطة بسمو الوزير'!$I$2:$I$151,$I21)+SUMIFS('الشؤون التنفيذية'!$O$2:$O$421,'الشؤون التنفيذية'!$B$2:$B$421,$B21,'الشؤون التنفيذية'!$G$2:$G$421,$G21,'الشؤون التنفيذية'!$I$2:$I$421,$I21)+SUMIFS('الجهاز العسكري'!$N$2:$N$631,'الجهاز العسكري'!$B$2:$B$631,$B21,'الجهاز العسكري'!$G$2:$G$631,$G21,'الجهاز العسكري'!$I$2:$I$631,$I21))/$L21,0))</f>
        <v>90</v>
      </c>
      <c r="P21" s="22"/>
      <c r="Q21" s="19" t="n">
        <f aca="false">SUMIFS(المرجع!$G$2:$G$19,المرجع!$B$2:$B$19,$G21,المرجع!$E$2:$E$19,$I21)</f>
        <v>15</v>
      </c>
      <c r="R21" s="26" t="n">
        <f aca="false">ROUND($Q21*$N21/100,2)</f>
        <v>10.95</v>
      </c>
      <c r="S21" s="27" t="str">
        <f aca="false">IF($N21&gt;المرجع!$K$3,"متقدم",IF($N21&lt;=المرجع!$K$2,"أولي","جزئي"))</f>
        <v>متقدم</v>
      </c>
      <c r="T21" s="28" t="n">
        <f aca="false">ROUND($Q21*$O21/100,2)</f>
        <v>13.5</v>
      </c>
    </row>
    <row r="22" customFormat="false" ht="15" hidden="false" customHeight="true" outlineLevel="0" collapsed="false">
      <c r="A22" s="20" t="s">
        <v>1474</v>
      </c>
      <c r="B22" s="20" t="s">
        <v>152</v>
      </c>
      <c r="C22" s="19" t="str">
        <f aca="false">IFERROR(INDEX('قائمة الوحدات'!$B$2:$B$41,MATCH($B22,'قائمة الوحدات'!$A$2:$A$41,0)),"")</f>
        <v>TOP</v>
      </c>
      <c r="D22" s="18" t="str">
        <f aca="false">IFERROR(INDEX('قائمة الوحدات'!$C$2:$C$41,MATCH($B22,'قائمة الوحدات'!$A$2:$A$41,0)),"")</f>
        <v>المرتبطة بسمو الوزير</v>
      </c>
      <c r="E22" s="18" t="str">
        <f aca="false">IFERROR(INDEX('قائمة الوحدات'!$D$2:$D$41,MATCH($B22,'قائمة الوحدات'!$A$2:$A$41,0)),"")</f>
        <v>إدارة المتابعة والتقارير</v>
      </c>
      <c r="F22" s="18" t="str">
        <f aca="false">IFERROR(INDEX('قائمة الوحدات'!$F$2:$F$41,MATCH($B22,'قائمة الوحدات'!$A$2:$A$41,0)),"")</f>
        <v>إدارة المتابعة والتقارير</v>
      </c>
      <c r="G22" s="20" t="s">
        <v>44</v>
      </c>
      <c r="H22" s="18" t="str">
        <f aca="false">IFERROR(INDEX(المرجع!$A$2:$A$19,MATCH($G22,المرجع!$B$2:$B$19,0)),"")</f>
        <v>التصميم</v>
      </c>
      <c r="I22" s="20" t="s">
        <v>52</v>
      </c>
      <c r="J22" s="18" t="str">
        <f aca="false">IFERROR(INDEX(المرجع!$D$2:$D$19,MATCH($I22,المرجع!$E$2:$E$19,0)),"")</f>
        <v>الحوكمة</v>
      </c>
      <c r="K22" s="19" t="n">
        <f aca="false">IFERROR(INDEX(المرجع!$F$2:$F$19,MATCH($I22,المرجع!$E$2:$E$19,0)),"")</f>
        <v>3</v>
      </c>
      <c r="L22" s="19" t="n">
        <f aca="false">SUMIFS(المرجع!$H$2:$H$19,المرجع!$B$2:$B$19,$G22,المرجع!$E$2:$E$19,$I22)</f>
        <v>1</v>
      </c>
      <c r="M22" s="19" t="n">
        <f aca="false">COUNTIFS('المرتبطة بسمو الوزير'!$B$2:$B$151,$B22,'المرتبطة بسمو الوزير'!$G$2:$G$151,$G22,'المرتبطة بسمو الوزير'!$I$2:$I$151,$I22,'المرتبطة بسمو الوزير'!$M$2:$M$151,"&lt;&gt;")+COUNTIFS('الشؤون التنفيذية'!$B$2:$B$421,$B22,'الشؤون التنفيذية'!$G$2:$G$421,$G22,'الشؤون التنفيذية'!$I$2:$I$421,$I22,'الشؤون التنفيذية'!$N$2:$N$421,"&lt;&gt;")+COUNTIFS('الجهاز العسكري'!$B$2:$B$631,$B22,'الجهاز العسكري'!$G$2:$G$631,$G22,'الجهاز العسكري'!$I$2:$I$631,$I22,'الجهاز العسكري'!$M$2:$M$631,"&lt;&gt;")</f>
        <v>1</v>
      </c>
      <c r="N22" s="24" t="n">
        <f aca="false">IF($L22=0,0,ROUND((SUMIFS('المرتبطة بسمو الوزير'!$M$2:$M$151,'المرتبطة بسمو الوزير'!$B$2:$B$151,$B22,'المرتبطة بسمو الوزير'!$G$2:$G$151,$G22,'المرتبطة بسمو الوزير'!$I$2:$I$151,$I22)+SUMIFS('الشؤون التنفيذية'!$N$2:$N$421,'الشؤون التنفيذية'!$B$2:$B$421,$B22,'الشؤون التنفيذية'!$G$2:$G$421,$G22,'الشؤون التنفيذية'!$I$2:$I$421,$I22)+SUMIFS('الجهاز العسكري'!$M$2:$M$631,'الجهاز العسكري'!$B$2:$B$631,$B22,'الجهاز العسكري'!$G$2:$G$631,$G22,'الجهاز العسكري'!$I$2:$I$631,$I22))/$L22,0))</f>
        <v>87</v>
      </c>
      <c r="O22" s="25" t="n">
        <f aca="false">IF($L22=0,0,ROUND((SUMIFS('المرتبطة بسمو الوزير'!$N$2:$N$151,'المرتبطة بسمو الوزير'!$B$2:$B$151,$B22,'المرتبطة بسمو الوزير'!$G$2:$G$151,$G22,'المرتبطة بسمو الوزير'!$I$2:$I$151,$I22)+SUMIFS('الشؤون التنفيذية'!$O$2:$O$421,'الشؤون التنفيذية'!$B$2:$B$421,$B22,'الشؤون التنفيذية'!$G$2:$G$421,$G22,'الشؤون التنفيذية'!$I$2:$I$421,$I22)+SUMIFS('الجهاز العسكري'!$N$2:$N$631,'الجهاز العسكري'!$B$2:$B$631,$B22,'الجهاز العسكري'!$G$2:$G$631,$G22,'الجهاز العسكري'!$I$2:$I$631,$I22))/$L22,0))</f>
        <v>100</v>
      </c>
      <c r="P22" s="22"/>
      <c r="Q22" s="19" t="n">
        <f aca="false">SUMIFS(المرجع!$G$2:$G$19,المرجع!$B$2:$B$19,$G22,المرجع!$E$2:$E$19,$I22)</f>
        <v>15</v>
      </c>
      <c r="R22" s="26" t="n">
        <f aca="false">ROUND($Q22*$N22/100,2)</f>
        <v>13.05</v>
      </c>
      <c r="S22" s="27" t="str">
        <f aca="false">IF($N22&gt;المرجع!$K$3,"متقدم",IF($N22&lt;=المرجع!$K$2,"أولي","جزئي"))</f>
        <v>متقدم</v>
      </c>
      <c r="T22" s="28" t="n">
        <f aca="false">ROUND($Q22*$O22/100,2)</f>
        <v>15</v>
      </c>
    </row>
    <row r="23" customFormat="false" ht="15" hidden="false" customHeight="true" outlineLevel="0" collapsed="false">
      <c r="A23" s="20" t="s">
        <v>1475</v>
      </c>
      <c r="B23" s="20" t="s">
        <v>152</v>
      </c>
      <c r="C23" s="19" t="str">
        <f aca="false">IFERROR(INDEX('قائمة الوحدات'!$B$2:$B$41,MATCH($B23,'قائمة الوحدات'!$A$2:$A$41,0)),"")</f>
        <v>TOP</v>
      </c>
      <c r="D23" s="18" t="str">
        <f aca="false">IFERROR(INDEX('قائمة الوحدات'!$C$2:$C$41,MATCH($B23,'قائمة الوحدات'!$A$2:$A$41,0)),"")</f>
        <v>المرتبطة بسمو الوزير</v>
      </c>
      <c r="E23" s="18" t="str">
        <f aca="false">IFERROR(INDEX('قائمة الوحدات'!$D$2:$D$41,MATCH($B23,'قائمة الوحدات'!$A$2:$A$41,0)),"")</f>
        <v>إدارة المتابعة والتقارير</v>
      </c>
      <c r="F23" s="18" t="str">
        <f aca="false">IFERROR(INDEX('قائمة الوحدات'!$F$2:$F$41,MATCH($B23,'قائمة الوحدات'!$A$2:$A$41,0)),"")</f>
        <v>إدارة المتابعة والتقارير</v>
      </c>
      <c r="G23" s="20" t="s">
        <v>44</v>
      </c>
      <c r="H23" s="18" t="str">
        <f aca="false">IFERROR(INDEX(المرجع!$A$2:$A$19,MATCH($G23,المرجع!$B$2:$B$19,0)),"")</f>
        <v>التصميم</v>
      </c>
      <c r="I23" s="20" t="s">
        <v>55</v>
      </c>
      <c r="J23" s="18" t="str">
        <f aca="false">IFERROR(INDEX(المرجع!$D$2:$D$19,MATCH($I23,المرجع!$E$2:$E$19,0)),"")</f>
        <v>التنظيم</v>
      </c>
      <c r="K23" s="19" t="n">
        <f aca="false">IFERROR(INDEX(المرجع!$F$2:$F$19,MATCH($I23,المرجع!$E$2:$E$19,0)),"")</f>
        <v>4</v>
      </c>
      <c r="L23" s="19" t="n">
        <f aca="false">SUMIFS(المرجع!$H$2:$H$19,المرجع!$B$2:$B$19,$G23,المرجع!$E$2:$E$19,$I23)</f>
        <v>1</v>
      </c>
      <c r="M23" s="19" t="n">
        <f aca="false">COUNTIFS('المرتبطة بسمو الوزير'!$B$2:$B$151,$B23,'المرتبطة بسمو الوزير'!$G$2:$G$151,$G23,'المرتبطة بسمو الوزير'!$I$2:$I$151,$I23,'المرتبطة بسمو الوزير'!$M$2:$M$151,"&lt;&gt;")+COUNTIFS('الشؤون التنفيذية'!$B$2:$B$421,$B23,'الشؤون التنفيذية'!$G$2:$G$421,$G23,'الشؤون التنفيذية'!$I$2:$I$421,$I23,'الشؤون التنفيذية'!$N$2:$N$421,"&lt;&gt;")+COUNTIFS('الجهاز العسكري'!$B$2:$B$631,$B23,'الجهاز العسكري'!$G$2:$G$631,$G23,'الجهاز العسكري'!$I$2:$I$631,$I23,'الجهاز العسكري'!$M$2:$M$631,"&lt;&gt;")</f>
        <v>1</v>
      </c>
      <c r="N23" s="24" t="n">
        <f aca="false">IF($L23=0,0,ROUND((SUMIFS('المرتبطة بسمو الوزير'!$M$2:$M$151,'المرتبطة بسمو الوزير'!$B$2:$B$151,$B23,'المرتبطة بسمو الوزير'!$G$2:$G$151,$G23,'المرتبطة بسمو الوزير'!$I$2:$I$151,$I23)+SUMIFS('الشؤون التنفيذية'!$N$2:$N$421,'الشؤون التنفيذية'!$B$2:$B$421,$B23,'الشؤون التنفيذية'!$G$2:$G$421,$G23,'الشؤون التنفيذية'!$I$2:$I$421,$I23)+SUMIFS('الجهاز العسكري'!$M$2:$M$631,'الجهاز العسكري'!$B$2:$B$631,$B23,'الجهاز العسكري'!$G$2:$G$631,$G23,'الجهاز العسكري'!$I$2:$I$631,$I23))/$L23,0))</f>
        <v>71</v>
      </c>
      <c r="O23" s="25" t="n">
        <f aca="false">IF($L23=0,0,ROUND((SUMIFS('المرتبطة بسمو الوزير'!$N$2:$N$151,'المرتبطة بسمو الوزير'!$B$2:$B$151,$B23,'المرتبطة بسمو الوزير'!$G$2:$G$151,$G23,'المرتبطة بسمو الوزير'!$I$2:$I$151,$I23)+SUMIFS('الشؤون التنفيذية'!$O$2:$O$421,'الشؤون التنفيذية'!$B$2:$B$421,$B23,'الشؤون التنفيذية'!$G$2:$G$421,$G23,'الشؤون التنفيذية'!$I$2:$I$421,$I23)+SUMIFS('الجهاز العسكري'!$N$2:$N$631,'الجهاز العسكري'!$B$2:$B$631,$B23,'الجهاز العسكري'!$G$2:$G$631,$G23,'الجهاز العسكري'!$I$2:$I$631,$I23))/$L23,0))</f>
        <v>95</v>
      </c>
      <c r="P23" s="22"/>
      <c r="Q23" s="19" t="n">
        <f aca="false">SUMIFS(المرجع!$G$2:$G$19,المرجع!$B$2:$B$19,$G23,المرجع!$E$2:$E$19,$I23)</f>
        <v>20</v>
      </c>
      <c r="R23" s="26" t="n">
        <f aca="false">ROUND($Q23*$N23/100,2)</f>
        <v>14.2</v>
      </c>
      <c r="S23" s="27" t="str">
        <f aca="false">IF($N23&gt;المرجع!$K$3,"متقدم",IF($N23&lt;=المرجع!$K$2,"أولي","جزئي"))</f>
        <v>متقدم</v>
      </c>
      <c r="T23" s="28" t="n">
        <f aca="false">ROUND($Q23*$O23/100,2)</f>
        <v>19</v>
      </c>
    </row>
    <row r="24" customFormat="false" ht="15" hidden="false" customHeight="true" outlineLevel="0" collapsed="false">
      <c r="A24" s="20" t="s">
        <v>1476</v>
      </c>
      <c r="B24" s="20" t="s">
        <v>152</v>
      </c>
      <c r="C24" s="19" t="str">
        <f aca="false">IFERROR(INDEX('قائمة الوحدات'!$B$2:$B$41,MATCH($B24,'قائمة الوحدات'!$A$2:$A$41,0)),"")</f>
        <v>TOP</v>
      </c>
      <c r="D24" s="18" t="str">
        <f aca="false">IFERROR(INDEX('قائمة الوحدات'!$C$2:$C$41,MATCH($B24,'قائمة الوحدات'!$A$2:$A$41,0)),"")</f>
        <v>المرتبطة بسمو الوزير</v>
      </c>
      <c r="E24" s="18" t="str">
        <f aca="false">IFERROR(INDEX('قائمة الوحدات'!$D$2:$D$41,MATCH($B24,'قائمة الوحدات'!$A$2:$A$41,0)),"")</f>
        <v>إدارة المتابعة والتقارير</v>
      </c>
      <c r="F24" s="18" t="str">
        <f aca="false">IFERROR(INDEX('قائمة الوحدات'!$F$2:$F$41,MATCH($B24,'قائمة الوحدات'!$A$2:$A$41,0)),"")</f>
        <v>إدارة المتابعة والتقارير</v>
      </c>
      <c r="G24" s="20" t="s">
        <v>44</v>
      </c>
      <c r="H24" s="18" t="str">
        <f aca="false">IFERROR(INDEX(المرجع!$A$2:$A$19,MATCH($G24,المرجع!$B$2:$B$19,0)),"")</f>
        <v>التصميم</v>
      </c>
      <c r="I24" s="20" t="s">
        <v>57</v>
      </c>
      <c r="J24" s="18" t="str">
        <f aca="false">IFERROR(INDEX(المرجع!$D$2:$D$19,MATCH($I24,المرجع!$E$2:$E$19,0)),"")</f>
        <v>الموارد</v>
      </c>
      <c r="K24" s="19" t="n">
        <f aca="false">IFERROR(INDEX(المرجع!$F$2:$F$19,MATCH($I24,المرجع!$E$2:$E$19,0)),"")</f>
        <v>5</v>
      </c>
      <c r="L24" s="19" t="n">
        <f aca="false">SUMIFS(المرجع!$H$2:$H$19,المرجع!$B$2:$B$19,$G24,المرجع!$E$2:$E$19,$I24)</f>
        <v>1</v>
      </c>
      <c r="M24" s="19" t="n">
        <f aca="false">COUNTIFS('المرتبطة بسمو الوزير'!$B$2:$B$151,$B24,'المرتبطة بسمو الوزير'!$G$2:$G$151,$G24,'المرتبطة بسمو الوزير'!$I$2:$I$151,$I24,'المرتبطة بسمو الوزير'!$M$2:$M$151,"&lt;&gt;")+COUNTIFS('الشؤون التنفيذية'!$B$2:$B$421,$B24,'الشؤون التنفيذية'!$G$2:$G$421,$G24,'الشؤون التنفيذية'!$I$2:$I$421,$I24,'الشؤون التنفيذية'!$N$2:$N$421,"&lt;&gt;")+COUNTIFS('الجهاز العسكري'!$B$2:$B$631,$B24,'الجهاز العسكري'!$G$2:$G$631,$G24,'الجهاز العسكري'!$I$2:$I$631,$I24,'الجهاز العسكري'!$M$2:$M$631,"&lt;&gt;")</f>
        <v>1</v>
      </c>
      <c r="N24" s="24" t="n">
        <f aca="false">IF($L24=0,0,ROUND((SUMIFS('المرتبطة بسمو الوزير'!$M$2:$M$151,'المرتبطة بسمو الوزير'!$B$2:$B$151,$B24,'المرتبطة بسمو الوزير'!$G$2:$G$151,$G24,'المرتبطة بسمو الوزير'!$I$2:$I$151,$I24)+SUMIFS('الشؤون التنفيذية'!$N$2:$N$421,'الشؤون التنفيذية'!$B$2:$B$421,$B24,'الشؤون التنفيذية'!$G$2:$G$421,$G24,'الشؤون التنفيذية'!$I$2:$I$421,$I24)+SUMIFS('الجهاز العسكري'!$M$2:$M$631,'الجهاز العسكري'!$B$2:$B$631,$B24,'الجهاز العسكري'!$G$2:$G$631,$G24,'الجهاز العسكري'!$I$2:$I$631,$I24))/$L24,0))</f>
        <v>96</v>
      </c>
      <c r="O24" s="25" t="n">
        <f aca="false">IF($L24=0,0,ROUND((SUMIFS('المرتبطة بسمو الوزير'!$N$2:$N$151,'المرتبطة بسمو الوزير'!$B$2:$B$151,$B24,'المرتبطة بسمو الوزير'!$G$2:$G$151,$G24,'المرتبطة بسمو الوزير'!$I$2:$I$151,$I24)+SUMIFS('الشؤون التنفيذية'!$O$2:$O$421,'الشؤون التنفيذية'!$B$2:$B$421,$B24,'الشؤون التنفيذية'!$G$2:$G$421,$G24,'الشؤون التنفيذية'!$I$2:$I$421,$I24)+SUMIFS('الجهاز العسكري'!$N$2:$N$631,'الجهاز العسكري'!$B$2:$B$631,$B24,'الجهاز العسكري'!$G$2:$G$631,$G24,'الجهاز العسكري'!$I$2:$I$631,$I24))/$L24,0))</f>
        <v>96</v>
      </c>
      <c r="P24" s="22"/>
      <c r="Q24" s="19" t="n">
        <f aca="false">SUMIFS(المرجع!$G$2:$G$19,المرجع!$B$2:$B$19,$G24,المرجع!$E$2:$E$19,$I24)</f>
        <v>20</v>
      </c>
      <c r="R24" s="26" t="n">
        <f aca="false">ROUND($Q24*$N24/100,2)</f>
        <v>19.2</v>
      </c>
      <c r="S24" s="27" t="str">
        <f aca="false">IF($N24&gt;المرجع!$K$3,"متقدم",IF($N24&lt;=المرجع!$K$2,"أولي","جزئي"))</f>
        <v>متقدم</v>
      </c>
      <c r="T24" s="28" t="n">
        <f aca="false">ROUND($Q24*$O24/100,2)</f>
        <v>19.2</v>
      </c>
    </row>
    <row r="25" customFormat="false" ht="15" hidden="false" customHeight="true" outlineLevel="0" collapsed="false">
      <c r="A25" s="20" t="s">
        <v>1477</v>
      </c>
      <c r="B25" s="20" t="s">
        <v>152</v>
      </c>
      <c r="C25" s="19" t="str">
        <f aca="false">IFERROR(INDEX('قائمة الوحدات'!$B$2:$B$41,MATCH($B25,'قائمة الوحدات'!$A$2:$A$41,0)),"")</f>
        <v>TOP</v>
      </c>
      <c r="D25" s="18" t="str">
        <f aca="false">IFERROR(INDEX('قائمة الوحدات'!$C$2:$C$41,MATCH($B25,'قائمة الوحدات'!$A$2:$A$41,0)),"")</f>
        <v>المرتبطة بسمو الوزير</v>
      </c>
      <c r="E25" s="18" t="str">
        <f aca="false">IFERROR(INDEX('قائمة الوحدات'!$D$2:$D$41,MATCH($B25,'قائمة الوحدات'!$A$2:$A$41,0)),"")</f>
        <v>إدارة المتابعة والتقارير</v>
      </c>
      <c r="F25" s="18" t="str">
        <f aca="false">IFERROR(INDEX('قائمة الوحدات'!$F$2:$F$41,MATCH($B25,'قائمة الوحدات'!$A$2:$A$41,0)),"")</f>
        <v>إدارة المتابعة والتقارير</v>
      </c>
      <c r="G25" s="20" t="s">
        <v>44</v>
      </c>
      <c r="H25" s="18" t="str">
        <f aca="false">IFERROR(INDEX(المرجع!$A$2:$A$19,MATCH($G25,المرجع!$B$2:$B$19,0)),"")</f>
        <v>التصميم</v>
      </c>
      <c r="I25" s="20" t="s">
        <v>60</v>
      </c>
      <c r="J25" s="18" t="str">
        <f aca="false">IFERROR(INDEX(المرجع!$D$2:$D$19,MATCH($I25,المرجع!$E$2:$E$19,0)),"")</f>
        <v>الإجراءات</v>
      </c>
      <c r="K25" s="19" t="n">
        <f aca="false">IFERROR(INDEX(المرجع!$F$2:$F$19,MATCH($I25,المرجع!$E$2:$E$19,0)),"")</f>
        <v>6</v>
      </c>
      <c r="L25" s="19" t="n">
        <f aca="false">SUMIFS(المرجع!$H$2:$H$19,المرجع!$B$2:$B$19,$G25,المرجع!$E$2:$E$19,$I25)</f>
        <v>1</v>
      </c>
      <c r="M25" s="19" t="n">
        <f aca="false">COUNTIFS('المرتبطة بسمو الوزير'!$B$2:$B$151,$B25,'المرتبطة بسمو الوزير'!$G$2:$G$151,$G25,'المرتبطة بسمو الوزير'!$I$2:$I$151,$I25,'المرتبطة بسمو الوزير'!$M$2:$M$151,"&lt;&gt;")+COUNTIFS('الشؤون التنفيذية'!$B$2:$B$421,$B25,'الشؤون التنفيذية'!$G$2:$G$421,$G25,'الشؤون التنفيذية'!$I$2:$I$421,$I25,'الشؤون التنفيذية'!$N$2:$N$421,"&lt;&gt;")+COUNTIFS('الجهاز العسكري'!$B$2:$B$631,$B25,'الجهاز العسكري'!$G$2:$G$631,$G25,'الجهاز العسكري'!$I$2:$I$631,$I25,'الجهاز العسكري'!$M$2:$M$631,"&lt;&gt;")</f>
        <v>1</v>
      </c>
      <c r="N25" s="24" t="n">
        <f aca="false">IF($L25=0,0,ROUND((SUMIFS('المرتبطة بسمو الوزير'!$M$2:$M$151,'المرتبطة بسمو الوزير'!$B$2:$B$151,$B25,'المرتبطة بسمو الوزير'!$G$2:$G$151,$G25,'المرتبطة بسمو الوزير'!$I$2:$I$151,$I25)+SUMIFS('الشؤون التنفيذية'!$N$2:$N$421,'الشؤون التنفيذية'!$B$2:$B$421,$B25,'الشؤون التنفيذية'!$G$2:$G$421,$G25,'الشؤون التنفيذية'!$I$2:$I$421,$I25)+SUMIFS('الجهاز العسكري'!$M$2:$M$631,'الجهاز العسكري'!$B$2:$B$631,$B25,'الجهاز العسكري'!$G$2:$G$631,$G25,'الجهاز العسكري'!$I$2:$I$631,$I25))/$L25,0))</f>
        <v>68</v>
      </c>
      <c r="O25" s="25" t="n">
        <f aca="false">IF($L25=0,0,ROUND((SUMIFS('المرتبطة بسمو الوزير'!$N$2:$N$151,'المرتبطة بسمو الوزير'!$B$2:$B$151,$B25,'المرتبطة بسمو الوزير'!$G$2:$G$151,$G25,'المرتبطة بسمو الوزير'!$I$2:$I$151,$I25)+SUMIFS('الشؤون التنفيذية'!$O$2:$O$421,'الشؤون التنفيذية'!$B$2:$B$421,$B25,'الشؤون التنفيذية'!$G$2:$G$421,$G25,'الشؤون التنفيذية'!$I$2:$I$421,$I25)+SUMIFS('الجهاز العسكري'!$N$2:$N$631,'الجهاز العسكري'!$B$2:$B$631,$B25,'الجهاز العسكري'!$G$2:$G$631,$G25,'الجهاز العسكري'!$I$2:$I$631,$I25))/$L25,0))</f>
        <v>85</v>
      </c>
      <c r="P25" s="22"/>
      <c r="Q25" s="19" t="n">
        <f aca="false">SUMIFS(المرجع!$G$2:$G$19,المرجع!$B$2:$B$19,$G25,المرجع!$E$2:$E$19,$I25)</f>
        <v>5</v>
      </c>
      <c r="R25" s="26" t="n">
        <f aca="false">ROUND($Q25*$N25/100,2)</f>
        <v>3.4</v>
      </c>
      <c r="S25" s="27" t="str">
        <f aca="false">IF($N25&gt;المرجع!$K$3,"متقدم",IF($N25&lt;=المرجع!$K$2,"أولي","جزئي"))</f>
        <v>جزئي</v>
      </c>
      <c r="T25" s="28" t="n">
        <f aca="false">ROUND($Q25*$O25/100,2)</f>
        <v>4.25</v>
      </c>
    </row>
    <row r="26" customFormat="false" ht="15" hidden="false" customHeight="true" outlineLevel="0" collapsed="false">
      <c r="A26" s="20" t="s">
        <v>1478</v>
      </c>
      <c r="B26" s="20" t="s">
        <v>152</v>
      </c>
      <c r="C26" s="19" t="str">
        <f aca="false">IFERROR(INDEX('قائمة الوحدات'!$B$2:$B$41,MATCH($B26,'قائمة الوحدات'!$A$2:$A$41,0)),"")</f>
        <v>TOP</v>
      </c>
      <c r="D26" s="18" t="str">
        <f aca="false">IFERROR(INDEX('قائمة الوحدات'!$C$2:$C$41,MATCH($B26,'قائمة الوحدات'!$A$2:$A$41,0)),"")</f>
        <v>المرتبطة بسمو الوزير</v>
      </c>
      <c r="E26" s="18" t="str">
        <f aca="false">IFERROR(INDEX('قائمة الوحدات'!$D$2:$D$41,MATCH($B26,'قائمة الوحدات'!$A$2:$A$41,0)),"")</f>
        <v>إدارة المتابعة والتقارير</v>
      </c>
      <c r="F26" s="18" t="str">
        <f aca="false">IFERROR(INDEX('قائمة الوحدات'!$F$2:$F$41,MATCH($B26,'قائمة الوحدات'!$A$2:$A$41,0)),"")</f>
        <v>إدارة المتابعة والتقارير</v>
      </c>
      <c r="G26" s="20" t="s">
        <v>62</v>
      </c>
      <c r="H26" s="18" t="str">
        <f aca="false">IFERROR(INDEX(المرجع!$A$2:$A$19,MATCH($G26,المرجع!$B$2:$B$19,0)),"")</f>
        <v>البناء المؤسسي</v>
      </c>
      <c r="I26" s="20" t="s">
        <v>46</v>
      </c>
      <c r="J26" s="18" t="str">
        <f aca="false">IFERROR(INDEX(المرجع!$D$2:$D$19,MATCH($I26,المرجع!$E$2:$E$19,0)),"")</f>
        <v>الدور</v>
      </c>
      <c r="K26" s="19" t="n">
        <f aca="false">IFERROR(INDEX(المرجع!$F$2:$F$19,MATCH($I26,المرجع!$E$2:$E$19,0)),"")</f>
        <v>1</v>
      </c>
      <c r="L26" s="19" t="n">
        <f aca="false">SUMIFS(المرجع!$H$2:$H$19,المرجع!$B$2:$B$19,$G26,المرجع!$E$2:$E$19,$I26)</f>
        <v>1</v>
      </c>
      <c r="M26" s="19" t="n">
        <f aca="false">COUNTIFS('المرتبطة بسمو الوزير'!$B$2:$B$151,$B26,'المرتبطة بسمو الوزير'!$G$2:$G$151,$G26,'المرتبطة بسمو الوزير'!$I$2:$I$151,$I26,'المرتبطة بسمو الوزير'!$M$2:$M$151,"&lt;&gt;")+COUNTIFS('الشؤون التنفيذية'!$B$2:$B$421,$B26,'الشؤون التنفيذية'!$G$2:$G$421,$G26,'الشؤون التنفيذية'!$I$2:$I$421,$I26,'الشؤون التنفيذية'!$N$2:$N$421,"&lt;&gt;")+COUNTIFS('الجهاز العسكري'!$B$2:$B$631,$B26,'الجهاز العسكري'!$G$2:$G$631,$G26,'الجهاز العسكري'!$I$2:$I$631,$I26,'الجهاز العسكري'!$M$2:$M$631,"&lt;&gt;")</f>
        <v>1</v>
      </c>
      <c r="N26" s="24" t="n">
        <f aca="false">IF($L26=0,0,ROUND((SUMIFS('المرتبطة بسمو الوزير'!$M$2:$M$151,'المرتبطة بسمو الوزير'!$B$2:$B$151,$B26,'المرتبطة بسمو الوزير'!$G$2:$G$151,$G26,'المرتبطة بسمو الوزير'!$I$2:$I$151,$I26)+SUMIFS('الشؤون التنفيذية'!$N$2:$N$421,'الشؤون التنفيذية'!$B$2:$B$421,$B26,'الشؤون التنفيذية'!$G$2:$G$421,$G26,'الشؤون التنفيذية'!$I$2:$I$421,$I26)+SUMIFS('الجهاز العسكري'!$M$2:$M$631,'الجهاز العسكري'!$B$2:$B$631,$B26,'الجهاز العسكري'!$G$2:$G$631,$G26,'الجهاز العسكري'!$I$2:$I$631,$I26))/$L26,0))</f>
        <v>86</v>
      </c>
      <c r="O26" s="25" t="n">
        <f aca="false">IF($L26=0,0,ROUND((SUMIFS('المرتبطة بسمو الوزير'!$N$2:$N$151,'المرتبطة بسمو الوزير'!$B$2:$B$151,$B26,'المرتبطة بسمو الوزير'!$G$2:$G$151,$G26,'المرتبطة بسمو الوزير'!$I$2:$I$151,$I26)+SUMIFS('الشؤون التنفيذية'!$O$2:$O$421,'الشؤون التنفيذية'!$B$2:$B$421,$B26,'الشؤون التنفيذية'!$G$2:$G$421,$G26,'الشؤون التنفيذية'!$I$2:$I$421,$I26)+SUMIFS('الجهاز العسكري'!$N$2:$N$631,'الجهاز العسكري'!$B$2:$B$631,$B26,'الجهاز العسكري'!$G$2:$G$631,$G26,'الجهاز العسكري'!$I$2:$I$631,$I26))/$L26,0))</f>
        <v>86</v>
      </c>
      <c r="P26" s="22"/>
      <c r="Q26" s="19" t="n">
        <f aca="false">SUMIFS(المرجع!$G$2:$G$19,المرجع!$B$2:$B$19,$G26,المرجع!$E$2:$E$19,$I26)</f>
        <v>15</v>
      </c>
      <c r="R26" s="26" t="n">
        <f aca="false">ROUND($Q26*$N26/100,2)</f>
        <v>12.9</v>
      </c>
      <c r="S26" s="27" t="str">
        <f aca="false">IF($N26&gt;المرجع!$K$3,"متقدم",IF($N26&lt;=المرجع!$K$2,"أولي","جزئي"))</f>
        <v>متقدم</v>
      </c>
      <c r="T26" s="28" t="n">
        <f aca="false">ROUND($Q26*$O26/100,2)</f>
        <v>12.9</v>
      </c>
    </row>
    <row r="27" customFormat="false" ht="15" hidden="false" customHeight="true" outlineLevel="0" collapsed="false">
      <c r="A27" s="20" t="s">
        <v>1479</v>
      </c>
      <c r="B27" s="20" t="s">
        <v>152</v>
      </c>
      <c r="C27" s="19" t="str">
        <f aca="false">IFERROR(INDEX('قائمة الوحدات'!$B$2:$B$41,MATCH($B27,'قائمة الوحدات'!$A$2:$A$41,0)),"")</f>
        <v>TOP</v>
      </c>
      <c r="D27" s="18" t="str">
        <f aca="false">IFERROR(INDEX('قائمة الوحدات'!$C$2:$C$41,MATCH($B27,'قائمة الوحدات'!$A$2:$A$41,0)),"")</f>
        <v>المرتبطة بسمو الوزير</v>
      </c>
      <c r="E27" s="18" t="str">
        <f aca="false">IFERROR(INDEX('قائمة الوحدات'!$D$2:$D$41,MATCH($B27,'قائمة الوحدات'!$A$2:$A$41,0)),"")</f>
        <v>إدارة المتابعة والتقارير</v>
      </c>
      <c r="F27" s="18" t="str">
        <f aca="false">IFERROR(INDEX('قائمة الوحدات'!$F$2:$F$41,MATCH($B27,'قائمة الوحدات'!$A$2:$A$41,0)),"")</f>
        <v>إدارة المتابعة والتقارير</v>
      </c>
      <c r="G27" s="20" t="s">
        <v>62</v>
      </c>
      <c r="H27" s="18" t="str">
        <f aca="false">IFERROR(INDEX(المرجع!$A$2:$A$19,MATCH($G27,المرجع!$B$2:$B$19,0)),"")</f>
        <v>البناء المؤسسي</v>
      </c>
      <c r="I27" s="20" t="s">
        <v>49</v>
      </c>
      <c r="J27" s="18" t="str">
        <f aca="false">IFERROR(INDEX(المرجع!$D$2:$D$19,MATCH($I27,المرجع!$E$2:$E$19,0)),"")</f>
        <v>الأهداف ومؤشرات الأداء</v>
      </c>
      <c r="K27" s="19" t="n">
        <f aca="false">IFERROR(INDEX(المرجع!$F$2:$F$19,MATCH($I27,المرجع!$E$2:$E$19,0)),"")</f>
        <v>2</v>
      </c>
      <c r="L27" s="19" t="n">
        <f aca="false">SUMIFS(المرجع!$H$2:$H$19,المرجع!$B$2:$B$19,$G27,المرجع!$E$2:$E$19,$I27)</f>
        <v>2</v>
      </c>
      <c r="M27" s="19" t="n">
        <f aca="false">COUNTIFS('المرتبطة بسمو الوزير'!$B$2:$B$151,$B27,'المرتبطة بسمو الوزير'!$G$2:$G$151,$G27,'المرتبطة بسمو الوزير'!$I$2:$I$151,$I27,'المرتبطة بسمو الوزير'!$M$2:$M$151,"&lt;&gt;")+COUNTIFS('الشؤون التنفيذية'!$B$2:$B$421,$B27,'الشؤون التنفيذية'!$G$2:$G$421,$G27,'الشؤون التنفيذية'!$I$2:$I$421,$I27,'الشؤون التنفيذية'!$N$2:$N$421,"&lt;&gt;")+COUNTIFS('الجهاز العسكري'!$B$2:$B$631,$B27,'الجهاز العسكري'!$G$2:$G$631,$G27,'الجهاز العسكري'!$I$2:$I$631,$I27,'الجهاز العسكري'!$M$2:$M$631,"&lt;&gt;")</f>
        <v>2</v>
      </c>
      <c r="N27" s="24" t="n">
        <f aca="false">IF($L27=0,0,ROUND((SUMIFS('المرتبطة بسمو الوزير'!$M$2:$M$151,'المرتبطة بسمو الوزير'!$B$2:$B$151,$B27,'المرتبطة بسمو الوزير'!$G$2:$G$151,$G27,'المرتبطة بسمو الوزير'!$I$2:$I$151,$I27)+SUMIFS('الشؤون التنفيذية'!$N$2:$N$421,'الشؤون التنفيذية'!$B$2:$B$421,$B27,'الشؤون التنفيذية'!$G$2:$G$421,$G27,'الشؤون التنفيذية'!$I$2:$I$421,$I27)+SUMIFS('الجهاز العسكري'!$M$2:$M$631,'الجهاز العسكري'!$B$2:$B$631,$B27,'الجهاز العسكري'!$G$2:$G$631,$G27,'الجهاز العسكري'!$I$2:$I$631,$I27))/$L27,0))</f>
        <v>48</v>
      </c>
      <c r="O27" s="25" t="n">
        <f aca="false">IF($L27=0,0,ROUND((SUMIFS('المرتبطة بسمو الوزير'!$N$2:$N$151,'المرتبطة بسمو الوزير'!$B$2:$B$151,$B27,'المرتبطة بسمو الوزير'!$G$2:$G$151,$G27,'المرتبطة بسمو الوزير'!$I$2:$I$151,$I27)+SUMIFS('الشؤون التنفيذية'!$O$2:$O$421,'الشؤون التنفيذية'!$B$2:$B$421,$B27,'الشؤون التنفيذية'!$G$2:$G$421,$G27,'الشؤون التنفيذية'!$I$2:$I$421,$I27)+SUMIFS('الجهاز العسكري'!$N$2:$N$631,'الجهاز العسكري'!$B$2:$B$631,$B27,'الجهاز العسكري'!$G$2:$G$631,$G27,'الجهاز العسكري'!$I$2:$I$631,$I27))/$L27,0))</f>
        <v>100</v>
      </c>
      <c r="P27" s="22"/>
      <c r="Q27" s="19" t="n">
        <f aca="false">SUMIFS(المرجع!$G$2:$G$19,المرجع!$B$2:$B$19,$G27,المرجع!$E$2:$E$19,$I27)</f>
        <v>15</v>
      </c>
      <c r="R27" s="26" t="n">
        <f aca="false">ROUND($Q27*$N27/100,2)</f>
        <v>7.2</v>
      </c>
      <c r="S27" s="27" t="str">
        <f aca="false">IF($N27&gt;المرجع!$K$3,"متقدم",IF($N27&lt;=المرجع!$K$2,"أولي","جزئي"))</f>
        <v>جزئي</v>
      </c>
      <c r="T27" s="28" t="n">
        <f aca="false">ROUND($Q27*$O27/100,2)</f>
        <v>15</v>
      </c>
    </row>
    <row r="28" customFormat="false" ht="15" hidden="false" customHeight="true" outlineLevel="0" collapsed="false">
      <c r="A28" s="20" t="s">
        <v>1480</v>
      </c>
      <c r="B28" s="20" t="s">
        <v>152</v>
      </c>
      <c r="C28" s="19" t="str">
        <f aca="false">IFERROR(INDEX('قائمة الوحدات'!$B$2:$B$41,MATCH($B28,'قائمة الوحدات'!$A$2:$A$41,0)),"")</f>
        <v>TOP</v>
      </c>
      <c r="D28" s="18" t="str">
        <f aca="false">IFERROR(INDEX('قائمة الوحدات'!$C$2:$C$41,MATCH($B28,'قائمة الوحدات'!$A$2:$A$41,0)),"")</f>
        <v>المرتبطة بسمو الوزير</v>
      </c>
      <c r="E28" s="18" t="str">
        <f aca="false">IFERROR(INDEX('قائمة الوحدات'!$D$2:$D$41,MATCH($B28,'قائمة الوحدات'!$A$2:$A$41,0)),"")</f>
        <v>إدارة المتابعة والتقارير</v>
      </c>
      <c r="F28" s="18" t="str">
        <f aca="false">IFERROR(INDEX('قائمة الوحدات'!$F$2:$F$41,MATCH($B28,'قائمة الوحدات'!$A$2:$A$41,0)),"")</f>
        <v>إدارة المتابعة والتقارير</v>
      </c>
      <c r="G28" s="20" t="s">
        <v>62</v>
      </c>
      <c r="H28" s="18" t="str">
        <f aca="false">IFERROR(INDEX(المرجع!$A$2:$A$19,MATCH($G28,المرجع!$B$2:$B$19,0)),"")</f>
        <v>البناء المؤسسي</v>
      </c>
      <c r="I28" s="20" t="s">
        <v>52</v>
      </c>
      <c r="J28" s="18" t="str">
        <f aca="false">IFERROR(INDEX(المرجع!$D$2:$D$19,MATCH($I28,المرجع!$E$2:$E$19,0)),"")</f>
        <v>الحوكمة</v>
      </c>
      <c r="K28" s="19" t="n">
        <f aca="false">IFERROR(INDEX(المرجع!$F$2:$F$19,MATCH($I28,المرجع!$E$2:$E$19,0)),"")</f>
        <v>3</v>
      </c>
      <c r="L28" s="19" t="n">
        <f aca="false">SUMIFS(المرجع!$H$2:$H$19,المرجع!$B$2:$B$19,$G28,المرجع!$E$2:$E$19,$I28)</f>
        <v>3</v>
      </c>
      <c r="M28" s="19" t="n">
        <f aca="false">COUNTIFS('المرتبطة بسمو الوزير'!$B$2:$B$151,$B28,'المرتبطة بسمو الوزير'!$G$2:$G$151,$G28,'المرتبطة بسمو الوزير'!$I$2:$I$151,$I28,'المرتبطة بسمو الوزير'!$M$2:$M$151,"&lt;&gt;")+COUNTIFS('الشؤون التنفيذية'!$B$2:$B$421,$B28,'الشؤون التنفيذية'!$G$2:$G$421,$G28,'الشؤون التنفيذية'!$I$2:$I$421,$I28,'الشؤون التنفيذية'!$N$2:$N$421,"&lt;&gt;")+COUNTIFS('الجهاز العسكري'!$B$2:$B$631,$B28,'الجهاز العسكري'!$G$2:$G$631,$G28,'الجهاز العسكري'!$I$2:$I$631,$I28,'الجهاز العسكري'!$M$2:$M$631,"&lt;&gt;")</f>
        <v>3</v>
      </c>
      <c r="N28" s="24" t="n">
        <f aca="false">IF($L28=0,0,ROUND((SUMIFS('المرتبطة بسمو الوزير'!$M$2:$M$151,'المرتبطة بسمو الوزير'!$B$2:$B$151,$B28,'المرتبطة بسمو الوزير'!$G$2:$G$151,$G28,'المرتبطة بسمو الوزير'!$I$2:$I$151,$I28)+SUMIFS('الشؤون التنفيذية'!$N$2:$N$421,'الشؤون التنفيذية'!$B$2:$B$421,$B28,'الشؤون التنفيذية'!$G$2:$G$421,$G28,'الشؤون التنفيذية'!$I$2:$I$421,$I28)+SUMIFS('الجهاز العسكري'!$M$2:$M$631,'الجهاز العسكري'!$B$2:$B$631,$B28,'الجهاز العسكري'!$G$2:$G$631,$G28,'الجهاز العسكري'!$I$2:$I$631,$I28))/$L28,0))</f>
        <v>65</v>
      </c>
      <c r="O28" s="25" t="n">
        <f aca="false">IF($L28=0,0,ROUND((SUMIFS('المرتبطة بسمو الوزير'!$N$2:$N$151,'المرتبطة بسمو الوزير'!$B$2:$B$151,$B28,'المرتبطة بسمو الوزير'!$G$2:$G$151,$G28,'المرتبطة بسمو الوزير'!$I$2:$I$151,$I28)+SUMIFS('الشؤون التنفيذية'!$O$2:$O$421,'الشؤون التنفيذية'!$B$2:$B$421,$B28,'الشؤون التنفيذية'!$G$2:$G$421,$G28,'الشؤون التنفيذية'!$I$2:$I$421,$I28)+SUMIFS('الجهاز العسكري'!$N$2:$N$631,'الجهاز العسكري'!$B$2:$B$631,$B28,'الجهاز العسكري'!$G$2:$G$631,$G28,'الجهاز العسكري'!$I$2:$I$631,$I28))/$L28,0))</f>
        <v>90</v>
      </c>
      <c r="P28" s="22"/>
      <c r="Q28" s="19" t="n">
        <f aca="false">SUMIFS(المرجع!$G$2:$G$19,المرجع!$B$2:$B$19,$G28,المرجع!$E$2:$E$19,$I28)</f>
        <v>15</v>
      </c>
      <c r="R28" s="26" t="n">
        <f aca="false">ROUND($Q28*$N28/100,2)</f>
        <v>9.75</v>
      </c>
      <c r="S28" s="27" t="str">
        <f aca="false">IF($N28&gt;المرجع!$K$3,"متقدم",IF($N28&lt;=المرجع!$K$2,"أولي","جزئي"))</f>
        <v>جزئي</v>
      </c>
      <c r="T28" s="28" t="n">
        <f aca="false">ROUND($Q28*$O28/100,2)</f>
        <v>13.5</v>
      </c>
    </row>
    <row r="29" customFormat="false" ht="15" hidden="false" customHeight="true" outlineLevel="0" collapsed="false">
      <c r="A29" s="20" t="s">
        <v>1481</v>
      </c>
      <c r="B29" s="20" t="s">
        <v>152</v>
      </c>
      <c r="C29" s="19" t="str">
        <f aca="false">IFERROR(INDEX('قائمة الوحدات'!$B$2:$B$41,MATCH($B29,'قائمة الوحدات'!$A$2:$A$41,0)),"")</f>
        <v>TOP</v>
      </c>
      <c r="D29" s="18" t="str">
        <f aca="false">IFERROR(INDEX('قائمة الوحدات'!$C$2:$C$41,MATCH($B29,'قائمة الوحدات'!$A$2:$A$41,0)),"")</f>
        <v>المرتبطة بسمو الوزير</v>
      </c>
      <c r="E29" s="18" t="str">
        <f aca="false">IFERROR(INDEX('قائمة الوحدات'!$D$2:$D$41,MATCH($B29,'قائمة الوحدات'!$A$2:$A$41,0)),"")</f>
        <v>إدارة المتابعة والتقارير</v>
      </c>
      <c r="F29" s="18" t="str">
        <f aca="false">IFERROR(INDEX('قائمة الوحدات'!$F$2:$F$41,MATCH($B29,'قائمة الوحدات'!$A$2:$A$41,0)),"")</f>
        <v>إدارة المتابعة والتقارير</v>
      </c>
      <c r="G29" s="20" t="s">
        <v>62</v>
      </c>
      <c r="H29" s="18" t="str">
        <f aca="false">IFERROR(INDEX(المرجع!$A$2:$A$19,MATCH($G29,المرجع!$B$2:$B$19,0)),"")</f>
        <v>البناء المؤسسي</v>
      </c>
      <c r="I29" s="20" t="s">
        <v>55</v>
      </c>
      <c r="J29" s="18" t="str">
        <f aca="false">IFERROR(INDEX(المرجع!$D$2:$D$19,MATCH($I29,المرجع!$E$2:$E$19,0)),"")</f>
        <v>التنظيم</v>
      </c>
      <c r="K29" s="19" t="n">
        <f aca="false">IFERROR(INDEX(المرجع!$F$2:$F$19,MATCH($I29,المرجع!$E$2:$E$19,0)),"")</f>
        <v>4</v>
      </c>
      <c r="L29" s="19" t="n">
        <f aca="false">SUMIFS(المرجع!$H$2:$H$19,المرجع!$B$2:$B$19,$G29,المرجع!$E$2:$E$19,$I29)</f>
        <v>3</v>
      </c>
      <c r="M29" s="19" t="n">
        <f aca="false">COUNTIFS('المرتبطة بسمو الوزير'!$B$2:$B$151,$B29,'المرتبطة بسمو الوزير'!$G$2:$G$151,$G29,'المرتبطة بسمو الوزير'!$I$2:$I$151,$I29,'المرتبطة بسمو الوزير'!$M$2:$M$151,"&lt;&gt;")+COUNTIFS('الشؤون التنفيذية'!$B$2:$B$421,$B29,'الشؤون التنفيذية'!$G$2:$G$421,$G29,'الشؤون التنفيذية'!$I$2:$I$421,$I29,'الشؤون التنفيذية'!$N$2:$N$421,"&lt;&gt;")+COUNTIFS('الجهاز العسكري'!$B$2:$B$631,$B29,'الجهاز العسكري'!$G$2:$G$631,$G29,'الجهاز العسكري'!$I$2:$I$631,$I29,'الجهاز العسكري'!$M$2:$M$631,"&lt;&gt;")</f>
        <v>3</v>
      </c>
      <c r="N29" s="24" t="n">
        <f aca="false">IF($L29=0,0,ROUND((SUMIFS('المرتبطة بسمو الوزير'!$M$2:$M$151,'المرتبطة بسمو الوزير'!$B$2:$B$151,$B29,'المرتبطة بسمو الوزير'!$G$2:$G$151,$G29,'المرتبطة بسمو الوزير'!$I$2:$I$151,$I29)+SUMIFS('الشؤون التنفيذية'!$N$2:$N$421,'الشؤون التنفيذية'!$B$2:$B$421,$B29,'الشؤون التنفيذية'!$G$2:$G$421,$G29,'الشؤون التنفيذية'!$I$2:$I$421,$I29)+SUMIFS('الجهاز العسكري'!$M$2:$M$631,'الجهاز العسكري'!$B$2:$B$631,$B29,'الجهاز العسكري'!$G$2:$G$631,$G29,'الجهاز العسكري'!$I$2:$I$631,$I29))/$L29,0))</f>
        <v>47</v>
      </c>
      <c r="O29" s="25" t="n">
        <f aca="false">IF($L29=0,0,ROUND((SUMIFS('المرتبطة بسمو الوزير'!$N$2:$N$151,'المرتبطة بسمو الوزير'!$B$2:$B$151,$B29,'المرتبطة بسمو الوزير'!$G$2:$G$151,$G29,'المرتبطة بسمو الوزير'!$I$2:$I$151,$I29)+SUMIFS('الشؤون التنفيذية'!$O$2:$O$421,'الشؤون التنفيذية'!$B$2:$B$421,$B29,'الشؤون التنفيذية'!$G$2:$G$421,$G29,'الشؤون التنفيذية'!$I$2:$I$421,$I29)+SUMIFS('الجهاز العسكري'!$N$2:$N$631,'الجهاز العسكري'!$B$2:$B$631,$B29,'الجهاز العسكري'!$G$2:$G$631,$G29,'الجهاز العسكري'!$I$2:$I$631,$I29))/$L29,0))</f>
        <v>88</v>
      </c>
      <c r="P29" s="22"/>
      <c r="Q29" s="19" t="n">
        <f aca="false">SUMIFS(المرجع!$G$2:$G$19,المرجع!$B$2:$B$19,$G29,المرجع!$E$2:$E$19,$I29)</f>
        <v>20</v>
      </c>
      <c r="R29" s="26" t="n">
        <f aca="false">ROUND($Q29*$N29/100,2)</f>
        <v>9.4</v>
      </c>
      <c r="S29" s="27" t="str">
        <f aca="false">IF($N29&gt;المرجع!$K$3,"متقدم",IF($N29&lt;=المرجع!$K$2,"أولي","جزئي"))</f>
        <v>جزئي</v>
      </c>
      <c r="T29" s="28" t="n">
        <f aca="false">ROUND($Q29*$O29/100,2)</f>
        <v>17.6</v>
      </c>
    </row>
    <row r="30" customFormat="false" ht="15" hidden="false" customHeight="true" outlineLevel="0" collapsed="false">
      <c r="A30" s="20" t="s">
        <v>1482</v>
      </c>
      <c r="B30" s="20" t="s">
        <v>152</v>
      </c>
      <c r="C30" s="19" t="str">
        <f aca="false">IFERROR(INDEX('قائمة الوحدات'!$B$2:$B$41,MATCH($B30,'قائمة الوحدات'!$A$2:$A$41,0)),"")</f>
        <v>TOP</v>
      </c>
      <c r="D30" s="18" t="str">
        <f aca="false">IFERROR(INDEX('قائمة الوحدات'!$C$2:$C$41,MATCH($B30,'قائمة الوحدات'!$A$2:$A$41,0)),"")</f>
        <v>المرتبطة بسمو الوزير</v>
      </c>
      <c r="E30" s="18" t="str">
        <f aca="false">IFERROR(INDEX('قائمة الوحدات'!$D$2:$D$41,MATCH($B30,'قائمة الوحدات'!$A$2:$A$41,0)),"")</f>
        <v>إدارة المتابعة والتقارير</v>
      </c>
      <c r="F30" s="18" t="str">
        <f aca="false">IFERROR(INDEX('قائمة الوحدات'!$F$2:$F$41,MATCH($B30,'قائمة الوحدات'!$A$2:$A$41,0)),"")</f>
        <v>إدارة المتابعة والتقارير</v>
      </c>
      <c r="G30" s="20" t="s">
        <v>62</v>
      </c>
      <c r="H30" s="18" t="str">
        <f aca="false">IFERROR(INDEX(المرجع!$A$2:$A$19,MATCH($G30,المرجع!$B$2:$B$19,0)),"")</f>
        <v>البناء المؤسسي</v>
      </c>
      <c r="I30" s="20" t="s">
        <v>57</v>
      </c>
      <c r="J30" s="18" t="str">
        <f aca="false">IFERROR(INDEX(المرجع!$D$2:$D$19,MATCH($I30,المرجع!$E$2:$E$19,0)),"")</f>
        <v>الموارد</v>
      </c>
      <c r="K30" s="19" t="n">
        <f aca="false">IFERROR(INDEX(المرجع!$F$2:$F$19,MATCH($I30,المرجع!$E$2:$E$19,0)),"")</f>
        <v>5</v>
      </c>
      <c r="L30" s="19" t="n">
        <f aca="false">SUMIFS(المرجع!$H$2:$H$19,المرجع!$B$2:$B$19,$G30,المرجع!$E$2:$E$19,$I30)</f>
        <v>4</v>
      </c>
      <c r="M30" s="19" t="n">
        <f aca="false">COUNTIFS('المرتبطة بسمو الوزير'!$B$2:$B$151,$B30,'المرتبطة بسمو الوزير'!$G$2:$G$151,$G30,'المرتبطة بسمو الوزير'!$I$2:$I$151,$I30,'المرتبطة بسمو الوزير'!$M$2:$M$151,"&lt;&gt;")+COUNTIFS('الشؤون التنفيذية'!$B$2:$B$421,$B30,'الشؤون التنفيذية'!$G$2:$G$421,$G30,'الشؤون التنفيذية'!$I$2:$I$421,$I30,'الشؤون التنفيذية'!$N$2:$N$421,"&lt;&gt;")+COUNTIFS('الجهاز العسكري'!$B$2:$B$631,$B30,'الجهاز العسكري'!$G$2:$G$631,$G30,'الجهاز العسكري'!$I$2:$I$631,$I30,'الجهاز العسكري'!$M$2:$M$631,"&lt;&gt;")</f>
        <v>4</v>
      </c>
      <c r="N30" s="24" t="n">
        <f aca="false">IF($L30=0,0,ROUND((SUMIFS('المرتبطة بسمو الوزير'!$M$2:$M$151,'المرتبطة بسمو الوزير'!$B$2:$B$151,$B30,'المرتبطة بسمو الوزير'!$G$2:$G$151,$G30,'المرتبطة بسمو الوزير'!$I$2:$I$151,$I30)+SUMIFS('الشؤون التنفيذية'!$N$2:$N$421,'الشؤون التنفيذية'!$B$2:$B$421,$B30,'الشؤون التنفيذية'!$G$2:$G$421,$G30,'الشؤون التنفيذية'!$I$2:$I$421,$I30)+SUMIFS('الجهاز العسكري'!$M$2:$M$631,'الجهاز العسكري'!$B$2:$B$631,$B30,'الجهاز العسكري'!$G$2:$G$631,$G30,'الجهاز العسكري'!$I$2:$I$631,$I30))/$L30,0))</f>
        <v>81</v>
      </c>
      <c r="O30" s="25" t="n">
        <f aca="false">IF($L30=0,0,ROUND((SUMIFS('المرتبطة بسمو الوزير'!$N$2:$N$151,'المرتبطة بسمو الوزير'!$B$2:$B$151,$B30,'المرتبطة بسمو الوزير'!$G$2:$G$151,$G30,'المرتبطة بسمو الوزير'!$I$2:$I$151,$I30)+SUMIFS('الشؤون التنفيذية'!$O$2:$O$421,'الشؤون التنفيذية'!$B$2:$B$421,$B30,'الشؤون التنفيذية'!$G$2:$G$421,$G30,'الشؤون التنفيذية'!$I$2:$I$421,$I30)+SUMIFS('الجهاز العسكري'!$N$2:$N$631,'الجهاز العسكري'!$B$2:$B$631,$B30,'الجهاز العسكري'!$G$2:$G$631,$G30,'الجهاز العسكري'!$I$2:$I$631,$I30))/$L30,0))</f>
        <v>98</v>
      </c>
      <c r="P30" s="22"/>
      <c r="Q30" s="19" t="n">
        <f aca="false">SUMIFS(المرجع!$G$2:$G$19,المرجع!$B$2:$B$19,$G30,المرجع!$E$2:$E$19,$I30)</f>
        <v>25</v>
      </c>
      <c r="R30" s="26" t="n">
        <f aca="false">ROUND($Q30*$N30/100,2)</f>
        <v>20.25</v>
      </c>
      <c r="S30" s="27" t="str">
        <f aca="false">IF($N30&gt;المرجع!$K$3,"متقدم",IF($N30&lt;=المرجع!$K$2,"أولي","جزئي"))</f>
        <v>متقدم</v>
      </c>
      <c r="T30" s="28" t="n">
        <f aca="false">ROUND($Q30*$O30/100,2)</f>
        <v>24.5</v>
      </c>
    </row>
    <row r="31" customFormat="false" ht="15" hidden="false" customHeight="true" outlineLevel="0" collapsed="false">
      <c r="A31" s="20" t="s">
        <v>1483</v>
      </c>
      <c r="B31" s="20" t="s">
        <v>152</v>
      </c>
      <c r="C31" s="19" t="str">
        <f aca="false">IFERROR(INDEX('قائمة الوحدات'!$B$2:$B$41,MATCH($B31,'قائمة الوحدات'!$A$2:$A$41,0)),"")</f>
        <v>TOP</v>
      </c>
      <c r="D31" s="18" t="str">
        <f aca="false">IFERROR(INDEX('قائمة الوحدات'!$C$2:$C$41,MATCH($B31,'قائمة الوحدات'!$A$2:$A$41,0)),"")</f>
        <v>المرتبطة بسمو الوزير</v>
      </c>
      <c r="E31" s="18" t="str">
        <f aca="false">IFERROR(INDEX('قائمة الوحدات'!$D$2:$D$41,MATCH($B31,'قائمة الوحدات'!$A$2:$A$41,0)),"")</f>
        <v>إدارة المتابعة والتقارير</v>
      </c>
      <c r="F31" s="18" t="str">
        <f aca="false">IFERROR(INDEX('قائمة الوحدات'!$F$2:$F$41,MATCH($B31,'قائمة الوحدات'!$A$2:$A$41,0)),"")</f>
        <v>إدارة المتابعة والتقارير</v>
      </c>
      <c r="G31" s="20" t="s">
        <v>62</v>
      </c>
      <c r="H31" s="18" t="str">
        <f aca="false">IFERROR(INDEX(المرجع!$A$2:$A$19,MATCH($G31,المرجع!$B$2:$B$19,0)),"")</f>
        <v>البناء المؤسسي</v>
      </c>
      <c r="I31" s="20" t="s">
        <v>60</v>
      </c>
      <c r="J31" s="18" t="str">
        <f aca="false">IFERROR(INDEX(المرجع!$D$2:$D$19,MATCH($I31,المرجع!$E$2:$E$19,0)),"")</f>
        <v>الإجراءات</v>
      </c>
      <c r="K31" s="19" t="n">
        <f aca="false">IFERROR(INDEX(المرجع!$F$2:$F$19,MATCH($I31,المرجع!$E$2:$E$19,0)),"")</f>
        <v>6</v>
      </c>
      <c r="L31" s="19" t="n">
        <f aca="false">SUMIFS(المرجع!$H$2:$H$19,المرجع!$B$2:$B$19,$G31,المرجع!$E$2:$E$19,$I31)</f>
        <v>1</v>
      </c>
      <c r="M31" s="19" t="n">
        <f aca="false">COUNTIFS('المرتبطة بسمو الوزير'!$B$2:$B$151,$B31,'المرتبطة بسمو الوزير'!$G$2:$G$151,$G31,'المرتبطة بسمو الوزير'!$I$2:$I$151,$I31,'المرتبطة بسمو الوزير'!$M$2:$M$151,"&lt;&gt;")+COUNTIFS('الشؤون التنفيذية'!$B$2:$B$421,$B31,'الشؤون التنفيذية'!$G$2:$G$421,$G31,'الشؤون التنفيذية'!$I$2:$I$421,$I31,'الشؤون التنفيذية'!$N$2:$N$421,"&lt;&gt;")+COUNTIFS('الجهاز العسكري'!$B$2:$B$631,$B31,'الجهاز العسكري'!$G$2:$G$631,$G31,'الجهاز العسكري'!$I$2:$I$631,$I31,'الجهاز العسكري'!$M$2:$M$631,"&lt;&gt;")</f>
        <v>1</v>
      </c>
      <c r="N31" s="24" t="n">
        <f aca="false">IF($L31=0,0,ROUND((SUMIFS('المرتبطة بسمو الوزير'!$M$2:$M$151,'المرتبطة بسمو الوزير'!$B$2:$B$151,$B31,'المرتبطة بسمو الوزير'!$G$2:$G$151,$G31,'المرتبطة بسمو الوزير'!$I$2:$I$151,$I31)+SUMIFS('الشؤون التنفيذية'!$N$2:$N$421,'الشؤون التنفيذية'!$B$2:$B$421,$B31,'الشؤون التنفيذية'!$G$2:$G$421,$G31,'الشؤون التنفيذية'!$I$2:$I$421,$I31)+SUMIFS('الجهاز العسكري'!$M$2:$M$631,'الجهاز العسكري'!$B$2:$B$631,$B31,'الجهاز العسكري'!$G$2:$G$631,$G31,'الجهاز العسكري'!$I$2:$I$631,$I31))/$L31,0))</f>
        <v>48</v>
      </c>
      <c r="O31" s="25" t="n">
        <f aca="false">IF($L31=0,0,ROUND((SUMIFS('المرتبطة بسمو الوزير'!$N$2:$N$151,'المرتبطة بسمو الوزير'!$B$2:$B$151,$B31,'المرتبطة بسمو الوزير'!$G$2:$G$151,$G31,'المرتبطة بسمو الوزير'!$I$2:$I$151,$I31)+SUMIFS('الشؤون التنفيذية'!$O$2:$O$421,'الشؤون التنفيذية'!$B$2:$B$421,$B31,'الشؤون التنفيذية'!$G$2:$G$421,$G31,'الشؤون التنفيذية'!$I$2:$I$421,$I31)+SUMIFS('الجهاز العسكري'!$N$2:$N$631,'الجهاز العسكري'!$B$2:$B$631,$B31,'الجهاز العسكري'!$G$2:$G$631,$G31,'الجهاز العسكري'!$I$2:$I$631,$I31))/$L31,0))</f>
        <v>100</v>
      </c>
      <c r="P31" s="22"/>
      <c r="Q31" s="19" t="n">
        <f aca="false">SUMIFS(المرجع!$G$2:$G$19,المرجع!$B$2:$B$19,$G31,المرجع!$E$2:$E$19,$I31)</f>
        <v>5</v>
      </c>
      <c r="R31" s="26" t="n">
        <f aca="false">ROUND($Q31*$N31/100,2)</f>
        <v>2.4</v>
      </c>
      <c r="S31" s="27" t="str">
        <f aca="false">IF($N31&gt;المرجع!$K$3,"متقدم",IF($N31&lt;=المرجع!$K$2,"أولي","جزئي"))</f>
        <v>جزئي</v>
      </c>
      <c r="T31" s="28" t="n">
        <f aca="false">ROUND($Q31*$O31/100,2)</f>
        <v>5</v>
      </c>
    </row>
    <row r="32" customFormat="false" ht="15" hidden="false" customHeight="true" outlineLevel="0" collapsed="false">
      <c r="A32" s="20" t="s">
        <v>1484</v>
      </c>
      <c r="B32" s="20" t="s">
        <v>152</v>
      </c>
      <c r="C32" s="19" t="str">
        <f aca="false">IFERROR(INDEX('قائمة الوحدات'!$B$2:$B$41,MATCH($B32,'قائمة الوحدات'!$A$2:$A$41,0)),"")</f>
        <v>TOP</v>
      </c>
      <c r="D32" s="18" t="str">
        <f aca="false">IFERROR(INDEX('قائمة الوحدات'!$C$2:$C$41,MATCH($B32,'قائمة الوحدات'!$A$2:$A$41,0)),"")</f>
        <v>المرتبطة بسمو الوزير</v>
      </c>
      <c r="E32" s="18" t="str">
        <f aca="false">IFERROR(INDEX('قائمة الوحدات'!$D$2:$D$41,MATCH($B32,'قائمة الوحدات'!$A$2:$A$41,0)),"")</f>
        <v>إدارة المتابعة والتقارير</v>
      </c>
      <c r="F32" s="18" t="str">
        <f aca="false">IFERROR(INDEX('قائمة الوحدات'!$F$2:$F$41,MATCH($B32,'قائمة الوحدات'!$A$2:$A$41,0)),"")</f>
        <v>إدارة المتابعة والتقارير</v>
      </c>
      <c r="G32" s="20" t="s">
        <v>62</v>
      </c>
      <c r="H32" s="18" t="str">
        <f aca="false">IFERROR(INDEX(المرجع!$A$2:$A$19,MATCH($G32,المرجع!$B$2:$B$19,0)),"")</f>
        <v>البناء المؤسسي</v>
      </c>
      <c r="I32" s="20" t="s">
        <v>69</v>
      </c>
      <c r="J32" s="18" t="str">
        <f aca="false">IFERROR(INDEX(المرجع!$D$2:$D$19,MATCH($I32,المرجع!$E$2:$E$19,0)),"")</f>
        <v>إنتاج المخرج الأول</v>
      </c>
      <c r="K32" s="19" t="n">
        <f aca="false">IFERROR(INDEX(المرجع!$F$2:$F$19,MATCH($I32,المرجع!$E$2:$E$19,0)),"")</f>
        <v>7</v>
      </c>
      <c r="L32" s="19" t="n">
        <f aca="false">SUMIFS(المرجع!$H$2:$H$19,المرجع!$B$2:$B$19,$G32,المرجع!$E$2:$E$19,$I32)</f>
        <v>1</v>
      </c>
      <c r="M32" s="19" t="n">
        <f aca="false">COUNTIFS('المرتبطة بسمو الوزير'!$B$2:$B$151,$B32,'المرتبطة بسمو الوزير'!$G$2:$G$151,$G32,'المرتبطة بسمو الوزير'!$I$2:$I$151,$I32,'المرتبطة بسمو الوزير'!$M$2:$M$151,"&lt;&gt;")+COUNTIFS('الشؤون التنفيذية'!$B$2:$B$421,$B32,'الشؤون التنفيذية'!$G$2:$G$421,$G32,'الشؤون التنفيذية'!$I$2:$I$421,$I32,'الشؤون التنفيذية'!$N$2:$N$421,"&lt;&gt;")+COUNTIFS('الجهاز العسكري'!$B$2:$B$631,$B32,'الجهاز العسكري'!$G$2:$G$631,$G32,'الجهاز العسكري'!$I$2:$I$631,$I32,'الجهاز العسكري'!$M$2:$M$631,"&lt;&gt;")</f>
        <v>1</v>
      </c>
      <c r="N32" s="24" t="n">
        <f aca="false">IF($L32=0,0,ROUND((SUMIFS('المرتبطة بسمو الوزير'!$M$2:$M$151,'المرتبطة بسمو الوزير'!$B$2:$B$151,$B32,'المرتبطة بسمو الوزير'!$G$2:$G$151,$G32,'المرتبطة بسمو الوزير'!$I$2:$I$151,$I32)+SUMIFS('الشؤون التنفيذية'!$N$2:$N$421,'الشؤون التنفيذية'!$B$2:$B$421,$B32,'الشؤون التنفيذية'!$G$2:$G$421,$G32,'الشؤون التنفيذية'!$I$2:$I$421,$I32)+SUMIFS('الجهاز العسكري'!$M$2:$M$631,'الجهاز العسكري'!$B$2:$B$631,$B32,'الجهاز العسكري'!$G$2:$G$631,$G32,'الجهاز العسكري'!$I$2:$I$631,$I32))/$L32,0))</f>
        <v>52</v>
      </c>
      <c r="O32" s="25" t="n">
        <f aca="false">IF($L32=0,0,ROUND((SUMIFS('المرتبطة بسمو الوزير'!$N$2:$N$151,'المرتبطة بسمو الوزير'!$B$2:$B$151,$B32,'المرتبطة بسمو الوزير'!$G$2:$G$151,$G32,'المرتبطة بسمو الوزير'!$I$2:$I$151,$I32)+SUMIFS('الشؤون التنفيذية'!$O$2:$O$421,'الشؤون التنفيذية'!$B$2:$B$421,$B32,'الشؤون التنفيذية'!$G$2:$G$421,$G32,'الشؤون التنفيذية'!$I$2:$I$421,$I32)+SUMIFS('الجهاز العسكري'!$N$2:$N$631,'الجهاز العسكري'!$B$2:$B$631,$B32,'الجهاز العسكري'!$G$2:$G$631,$G32,'الجهاز العسكري'!$I$2:$I$631,$I32))/$L32,0))</f>
        <v>85</v>
      </c>
      <c r="P32" s="22"/>
      <c r="Q32" s="19" t="n">
        <f aca="false">SUMIFS(المرجع!$G$2:$G$19,المرجع!$B$2:$B$19,$G32,المرجع!$E$2:$E$19,$I32)</f>
        <v>5</v>
      </c>
      <c r="R32" s="26" t="n">
        <f aca="false">ROUND($Q32*$N32/100,2)</f>
        <v>2.6</v>
      </c>
      <c r="S32" s="27" t="str">
        <f aca="false">IF($N32&gt;المرجع!$K$3,"متقدم",IF($N32&lt;=المرجع!$K$2,"أولي","جزئي"))</f>
        <v>جزئي</v>
      </c>
      <c r="T32" s="28" t="n">
        <f aca="false">ROUND($Q32*$O32/100,2)</f>
        <v>4.25</v>
      </c>
    </row>
    <row r="33" customFormat="false" ht="15" hidden="false" customHeight="true" outlineLevel="0" collapsed="false">
      <c r="A33" s="20" t="s">
        <v>1485</v>
      </c>
      <c r="B33" s="20" t="s">
        <v>152</v>
      </c>
      <c r="C33" s="19" t="str">
        <f aca="false">IFERROR(INDEX('قائمة الوحدات'!$B$2:$B$41,MATCH($B33,'قائمة الوحدات'!$A$2:$A$41,0)),"")</f>
        <v>TOP</v>
      </c>
      <c r="D33" s="18" t="str">
        <f aca="false">IFERROR(INDEX('قائمة الوحدات'!$C$2:$C$41,MATCH($B33,'قائمة الوحدات'!$A$2:$A$41,0)),"")</f>
        <v>المرتبطة بسمو الوزير</v>
      </c>
      <c r="E33" s="18" t="str">
        <f aca="false">IFERROR(INDEX('قائمة الوحدات'!$D$2:$D$41,MATCH($B33,'قائمة الوحدات'!$A$2:$A$41,0)),"")</f>
        <v>إدارة المتابعة والتقارير</v>
      </c>
      <c r="F33" s="18" t="str">
        <f aca="false">IFERROR(INDEX('قائمة الوحدات'!$F$2:$F$41,MATCH($B33,'قائمة الوحدات'!$A$2:$A$41,0)),"")</f>
        <v>إدارة المتابعة والتقارير</v>
      </c>
      <c r="G33" s="20" t="s">
        <v>66</v>
      </c>
      <c r="H33" s="18" t="str">
        <f aca="false">IFERROR(INDEX(المرجع!$A$2:$A$19,MATCH($G33,المرجع!$B$2:$B$19,0)),"")</f>
        <v>التشغيل</v>
      </c>
      <c r="I33" s="20" t="s">
        <v>49</v>
      </c>
      <c r="J33" s="18" t="str">
        <f aca="false">IFERROR(INDEX(المرجع!$D$2:$D$19,MATCH($I33,المرجع!$E$2:$E$19,0)),"")</f>
        <v>الأهداف ومؤشرات الأداء</v>
      </c>
      <c r="K33" s="19" t="n">
        <f aca="false">IFERROR(INDEX(المرجع!$F$2:$F$19,MATCH($I33,المرجع!$E$2:$E$19,0)),"")</f>
        <v>2</v>
      </c>
      <c r="L33" s="19" t="n">
        <f aca="false">SUMIFS(المرجع!$H$2:$H$19,المرجع!$B$2:$B$19,$G33,المرجع!$E$2:$E$19,$I33)</f>
        <v>2</v>
      </c>
      <c r="M33" s="19" t="n">
        <f aca="false">COUNTIFS('المرتبطة بسمو الوزير'!$B$2:$B$151,$B33,'المرتبطة بسمو الوزير'!$G$2:$G$151,$G33,'المرتبطة بسمو الوزير'!$I$2:$I$151,$I33,'المرتبطة بسمو الوزير'!$M$2:$M$151,"&lt;&gt;")+COUNTIFS('الشؤون التنفيذية'!$B$2:$B$421,$B33,'الشؤون التنفيذية'!$G$2:$G$421,$G33,'الشؤون التنفيذية'!$I$2:$I$421,$I33,'الشؤون التنفيذية'!$N$2:$N$421,"&lt;&gt;")+COUNTIFS('الجهاز العسكري'!$B$2:$B$631,$B33,'الجهاز العسكري'!$G$2:$G$631,$G33,'الجهاز العسكري'!$I$2:$I$631,$I33,'الجهاز العسكري'!$M$2:$M$631,"&lt;&gt;")</f>
        <v>2</v>
      </c>
      <c r="N33" s="24" t="n">
        <f aca="false">IF($L33=0,0,ROUND((SUMIFS('المرتبطة بسمو الوزير'!$M$2:$M$151,'المرتبطة بسمو الوزير'!$B$2:$B$151,$B33,'المرتبطة بسمو الوزير'!$G$2:$G$151,$G33,'المرتبطة بسمو الوزير'!$I$2:$I$151,$I33)+SUMIFS('الشؤون التنفيذية'!$N$2:$N$421,'الشؤون التنفيذية'!$B$2:$B$421,$B33,'الشؤون التنفيذية'!$G$2:$G$421,$G33,'الشؤون التنفيذية'!$I$2:$I$421,$I33)+SUMIFS('الجهاز العسكري'!$M$2:$M$631,'الجهاز العسكري'!$B$2:$B$631,$B33,'الجهاز العسكري'!$G$2:$G$631,$G33,'الجهاز العسكري'!$I$2:$I$631,$I33))/$L33,0))</f>
        <v>50</v>
      </c>
      <c r="O33" s="25" t="n">
        <f aca="false">IF($L33=0,0,ROUND((SUMIFS('المرتبطة بسمو الوزير'!$N$2:$N$151,'المرتبطة بسمو الوزير'!$B$2:$B$151,$B33,'المرتبطة بسمو الوزير'!$G$2:$G$151,$G33,'المرتبطة بسمو الوزير'!$I$2:$I$151,$I33)+SUMIFS('الشؤون التنفيذية'!$O$2:$O$421,'الشؤون التنفيذية'!$B$2:$B$421,$B33,'الشؤون التنفيذية'!$G$2:$G$421,$G33,'الشؤون التنفيذية'!$I$2:$I$421,$I33)+SUMIFS('الجهاز العسكري'!$N$2:$N$631,'الجهاز العسكري'!$B$2:$B$631,$B33,'الجهاز العسكري'!$G$2:$G$631,$G33,'الجهاز العسكري'!$I$2:$I$631,$I33))/$L33,0))</f>
        <v>90</v>
      </c>
      <c r="P33" s="22"/>
      <c r="Q33" s="19" t="n">
        <f aca="false">SUMIFS(المرجع!$G$2:$G$19,المرجع!$B$2:$B$19,$G33,المرجع!$E$2:$E$19,$I33)</f>
        <v>25</v>
      </c>
      <c r="R33" s="26" t="n">
        <f aca="false">ROUND($Q33*$N33/100,2)</f>
        <v>12.5</v>
      </c>
      <c r="S33" s="27" t="str">
        <f aca="false">IF($N33&gt;المرجع!$K$3,"متقدم",IF($N33&lt;=المرجع!$K$2,"أولي","جزئي"))</f>
        <v>جزئي</v>
      </c>
      <c r="T33" s="28" t="n">
        <f aca="false">ROUND($Q33*$O33/100,2)</f>
        <v>22.5</v>
      </c>
    </row>
    <row r="34" customFormat="false" ht="15" hidden="false" customHeight="true" outlineLevel="0" collapsed="false">
      <c r="A34" s="20" t="s">
        <v>1486</v>
      </c>
      <c r="B34" s="20" t="s">
        <v>152</v>
      </c>
      <c r="C34" s="19" t="str">
        <f aca="false">IFERROR(INDEX('قائمة الوحدات'!$B$2:$B$41,MATCH($B34,'قائمة الوحدات'!$A$2:$A$41,0)),"")</f>
        <v>TOP</v>
      </c>
      <c r="D34" s="18" t="str">
        <f aca="false">IFERROR(INDEX('قائمة الوحدات'!$C$2:$C$41,MATCH($B34,'قائمة الوحدات'!$A$2:$A$41,0)),"")</f>
        <v>المرتبطة بسمو الوزير</v>
      </c>
      <c r="E34" s="18" t="str">
        <f aca="false">IFERROR(INDEX('قائمة الوحدات'!$D$2:$D$41,MATCH($B34,'قائمة الوحدات'!$A$2:$A$41,0)),"")</f>
        <v>إدارة المتابعة والتقارير</v>
      </c>
      <c r="F34" s="18" t="str">
        <f aca="false">IFERROR(INDEX('قائمة الوحدات'!$F$2:$F$41,MATCH($B34,'قائمة الوحدات'!$A$2:$A$41,0)),"")</f>
        <v>إدارة المتابعة والتقارير</v>
      </c>
      <c r="G34" s="20" t="s">
        <v>66</v>
      </c>
      <c r="H34" s="18" t="str">
        <f aca="false">IFERROR(INDEX(المرجع!$A$2:$A$19,MATCH($G34,المرجع!$B$2:$B$19,0)),"")</f>
        <v>التشغيل</v>
      </c>
      <c r="I34" s="20" t="s">
        <v>52</v>
      </c>
      <c r="J34" s="18" t="str">
        <f aca="false">IFERROR(INDEX(المرجع!$D$2:$D$19,MATCH($I34,المرجع!$E$2:$E$19,0)),"")</f>
        <v>الحوكمة</v>
      </c>
      <c r="K34" s="19" t="n">
        <f aca="false">IFERROR(INDEX(المرجع!$F$2:$F$19,MATCH($I34,المرجع!$E$2:$E$19,0)),"")</f>
        <v>3</v>
      </c>
      <c r="L34" s="19" t="n">
        <f aca="false">SUMIFS(المرجع!$H$2:$H$19,المرجع!$B$2:$B$19,$G34,المرجع!$E$2:$E$19,$I34)</f>
        <v>3</v>
      </c>
      <c r="M34" s="19" t="n">
        <f aca="false">COUNTIFS('المرتبطة بسمو الوزير'!$B$2:$B$151,$B34,'المرتبطة بسمو الوزير'!$G$2:$G$151,$G34,'المرتبطة بسمو الوزير'!$I$2:$I$151,$I34,'المرتبطة بسمو الوزير'!$M$2:$M$151,"&lt;&gt;")+COUNTIFS('الشؤون التنفيذية'!$B$2:$B$421,$B34,'الشؤون التنفيذية'!$G$2:$G$421,$G34,'الشؤون التنفيذية'!$I$2:$I$421,$I34,'الشؤون التنفيذية'!$N$2:$N$421,"&lt;&gt;")+COUNTIFS('الجهاز العسكري'!$B$2:$B$631,$B34,'الجهاز العسكري'!$G$2:$G$631,$G34,'الجهاز العسكري'!$I$2:$I$631,$I34,'الجهاز العسكري'!$M$2:$M$631,"&lt;&gt;")</f>
        <v>3</v>
      </c>
      <c r="N34" s="24" t="n">
        <f aca="false">IF($L34=0,0,ROUND((SUMIFS('المرتبطة بسمو الوزير'!$M$2:$M$151,'المرتبطة بسمو الوزير'!$B$2:$B$151,$B34,'المرتبطة بسمو الوزير'!$G$2:$G$151,$G34,'المرتبطة بسمو الوزير'!$I$2:$I$151,$I34)+SUMIFS('الشؤون التنفيذية'!$N$2:$N$421,'الشؤون التنفيذية'!$B$2:$B$421,$B34,'الشؤون التنفيذية'!$G$2:$G$421,$G34,'الشؤون التنفيذية'!$I$2:$I$421,$I34)+SUMIFS('الجهاز العسكري'!$M$2:$M$631,'الجهاز العسكري'!$B$2:$B$631,$B34,'الجهاز العسكري'!$G$2:$G$631,$G34,'الجهاز العسكري'!$I$2:$I$631,$I34))/$L34,0))</f>
        <v>25</v>
      </c>
      <c r="O34" s="25" t="n">
        <f aca="false">IF($L34=0,0,ROUND((SUMIFS('المرتبطة بسمو الوزير'!$N$2:$N$151,'المرتبطة بسمو الوزير'!$B$2:$B$151,$B34,'المرتبطة بسمو الوزير'!$G$2:$G$151,$G34,'المرتبطة بسمو الوزير'!$I$2:$I$151,$I34)+SUMIFS('الشؤون التنفيذية'!$O$2:$O$421,'الشؤون التنفيذية'!$B$2:$B$421,$B34,'الشؤون التنفيذية'!$G$2:$G$421,$G34,'الشؤون التنفيذية'!$I$2:$I$421,$I34)+SUMIFS('الجهاز العسكري'!$N$2:$N$631,'الجهاز العسكري'!$B$2:$B$631,$B34,'الجهاز العسكري'!$G$2:$G$631,$G34,'الجهاز العسكري'!$I$2:$I$631,$I34))/$L34,0))</f>
        <v>95</v>
      </c>
      <c r="P34" s="22"/>
      <c r="Q34" s="19" t="n">
        <f aca="false">SUMIFS(المرجع!$G$2:$G$19,المرجع!$B$2:$B$19,$G34,المرجع!$E$2:$E$19,$I34)</f>
        <v>15</v>
      </c>
      <c r="R34" s="26" t="n">
        <f aca="false">ROUND($Q34*$N34/100,2)</f>
        <v>3.75</v>
      </c>
      <c r="S34" s="27" t="str">
        <f aca="false">IF($N34&gt;المرجع!$K$3,"متقدم",IF($N34&lt;=المرجع!$K$2,"أولي","جزئي"))</f>
        <v>أولي</v>
      </c>
      <c r="T34" s="28" t="n">
        <f aca="false">ROUND($Q34*$O34/100,2)</f>
        <v>14.25</v>
      </c>
    </row>
    <row r="35" customFormat="false" ht="15" hidden="false" customHeight="true" outlineLevel="0" collapsed="false">
      <c r="A35" s="20" t="s">
        <v>1487</v>
      </c>
      <c r="B35" s="20" t="s">
        <v>152</v>
      </c>
      <c r="C35" s="19" t="str">
        <f aca="false">IFERROR(INDEX('قائمة الوحدات'!$B$2:$B$41,MATCH($B35,'قائمة الوحدات'!$A$2:$A$41,0)),"")</f>
        <v>TOP</v>
      </c>
      <c r="D35" s="18" t="str">
        <f aca="false">IFERROR(INDEX('قائمة الوحدات'!$C$2:$C$41,MATCH($B35,'قائمة الوحدات'!$A$2:$A$41,0)),"")</f>
        <v>المرتبطة بسمو الوزير</v>
      </c>
      <c r="E35" s="18" t="str">
        <f aca="false">IFERROR(INDEX('قائمة الوحدات'!$D$2:$D$41,MATCH($B35,'قائمة الوحدات'!$A$2:$A$41,0)),"")</f>
        <v>إدارة المتابعة والتقارير</v>
      </c>
      <c r="F35" s="18" t="str">
        <f aca="false">IFERROR(INDEX('قائمة الوحدات'!$F$2:$F$41,MATCH($B35,'قائمة الوحدات'!$A$2:$A$41,0)),"")</f>
        <v>إدارة المتابعة والتقارير</v>
      </c>
      <c r="G35" s="20" t="s">
        <v>66</v>
      </c>
      <c r="H35" s="18" t="str">
        <f aca="false">IFERROR(INDEX(المرجع!$A$2:$A$19,MATCH($G35,المرجع!$B$2:$B$19,0)),"")</f>
        <v>التشغيل</v>
      </c>
      <c r="I35" s="20" t="s">
        <v>57</v>
      </c>
      <c r="J35" s="18" t="str">
        <f aca="false">IFERROR(INDEX(المرجع!$D$2:$D$19,MATCH($I35,المرجع!$E$2:$E$19,0)),"")</f>
        <v>الموارد</v>
      </c>
      <c r="K35" s="19" t="n">
        <f aca="false">IFERROR(INDEX(المرجع!$F$2:$F$19,MATCH($I35,المرجع!$E$2:$E$19,0)),"")</f>
        <v>5</v>
      </c>
      <c r="L35" s="19" t="n">
        <f aca="false">SUMIFS(المرجع!$H$2:$H$19,المرجع!$B$2:$B$19,$G35,المرجع!$E$2:$E$19,$I35)</f>
        <v>1</v>
      </c>
      <c r="M35" s="19" t="n">
        <f aca="false">COUNTIFS('المرتبطة بسمو الوزير'!$B$2:$B$151,$B35,'المرتبطة بسمو الوزير'!$G$2:$G$151,$G35,'المرتبطة بسمو الوزير'!$I$2:$I$151,$I35,'المرتبطة بسمو الوزير'!$M$2:$M$151,"&lt;&gt;")+COUNTIFS('الشؤون التنفيذية'!$B$2:$B$421,$B35,'الشؤون التنفيذية'!$G$2:$G$421,$G35,'الشؤون التنفيذية'!$I$2:$I$421,$I35,'الشؤون التنفيذية'!$N$2:$N$421,"&lt;&gt;")+COUNTIFS('الجهاز العسكري'!$B$2:$B$631,$B35,'الجهاز العسكري'!$G$2:$G$631,$G35,'الجهاز العسكري'!$I$2:$I$631,$I35,'الجهاز العسكري'!$M$2:$M$631,"&lt;&gt;")</f>
        <v>1</v>
      </c>
      <c r="N35" s="24" t="n">
        <f aca="false">IF($L35=0,0,ROUND((SUMIFS('المرتبطة بسمو الوزير'!$M$2:$M$151,'المرتبطة بسمو الوزير'!$B$2:$B$151,$B35,'المرتبطة بسمو الوزير'!$G$2:$G$151,$G35,'المرتبطة بسمو الوزير'!$I$2:$I$151,$I35)+SUMIFS('الشؤون التنفيذية'!$N$2:$N$421,'الشؤون التنفيذية'!$B$2:$B$421,$B35,'الشؤون التنفيذية'!$G$2:$G$421,$G35,'الشؤون التنفيذية'!$I$2:$I$421,$I35)+SUMIFS('الجهاز العسكري'!$M$2:$M$631,'الجهاز العسكري'!$B$2:$B$631,$B35,'الجهاز العسكري'!$G$2:$G$631,$G35,'الجهاز العسكري'!$I$2:$I$631,$I35))/$L35,0))</f>
        <v>56</v>
      </c>
      <c r="O35" s="25" t="n">
        <f aca="false">IF($L35=0,0,ROUND((SUMIFS('المرتبطة بسمو الوزير'!$N$2:$N$151,'المرتبطة بسمو الوزير'!$B$2:$B$151,$B35,'المرتبطة بسمو الوزير'!$G$2:$G$151,$G35,'المرتبطة بسمو الوزير'!$I$2:$I$151,$I35)+SUMIFS('الشؤون التنفيذية'!$O$2:$O$421,'الشؤون التنفيذية'!$B$2:$B$421,$B35,'الشؤون التنفيذية'!$G$2:$G$421,$G35,'الشؤون التنفيذية'!$I$2:$I$421,$I35)+SUMIFS('الجهاز العسكري'!$N$2:$N$631,'الجهاز العسكري'!$B$2:$B$631,$B35,'الجهاز العسكري'!$G$2:$G$631,$G35,'الجهاز العسكري'!$I$2:$I$631,$I35))/$L35,0))</f>
        <v>90</v>
      </c>
      <c r="P35" s="22"/>
      <c r="Q35" s="19" t="n">
        <f aca="false">SUMIFS(المرجع!$G$2:$G$19,المرجع!$B$2:$B$19,$G35,المرجع!$E$2:$E$19,$I35)</f>
        <v>15</v>
      </c>
      <c r="R35" s="26" t="n">
        <f aca="false">ROUND($Q35*$N35/100,2)</f>
        <v>8.4</v>
      </c>
      <c r="S35" s="27" t="str">
        <f aca="false">IF($N35&gt;المرجع!$K$3,"متقدم",IF($N35&lt;=المرجع!$K$2,"أولي","جزئي"))</f>
        <v>جزئي</v>
      </c>
      <c r="T35" s="28" t="n">
        <f aca="false">ROUND($Q35*$O35/100,2)</f>
        <v>13.5</v>
      </c>
    </row>
    <row r="36" customFormat="false" ht="15" hidden="false" customHeight="true" outlineLevel="0" collapsed="false">
      <c r="A36" s="20" t="s">
        <v>1488</v>
      </c>
      <c r="B36" s="20" t="s">
        <v>152</v>
      </c>
      <c r="C36" s="19" t="str">
        <f aca="false">IFERROR(INDEX('قائمة الوحدات'!$B$2:$B$41,MATCH($B36,'قائمة الوحدات'!$A$2:$A$41,0)),"")</f>
        <v>TOP</v>
      </c>
      <c r="D36" s="18" t="str">
        <f aca="false">IFERROR(INDEX('قائمة الوحدات'!$C$2:$C$41,MATCH($B36,'قائمة الوحدات'!$A$2:$A$41,0)),"")</f>
        <v>المرتبطة بسمو الوزير</v>
      </c>
      <c r="E36" s="18" t="str">
        <f aca="false">IFERROR(INDEX('قائمة الوحدات'!$D$2:$D$41,MATCH($B36,'قائمة الوحدات'!$A$2:$A$41,0)),"")</f>
        <v>إدارة المتابعة والتقارير</v>
      </c>
      <c r="F36" s="18" t="str">
        <f aca="false">IFERROR(INDEX('قائمة الوحدات'!$F$2:$F$41,MATCH($B36,'قائمة الوحدات'!$A$2:$A$41,0)),"")</f>
        <v>إدارة المتابعة والتقارير</v>
      </c>
      <c r="G36" s="20" t="s">
        <v>66</v>
      </c>
      <c r="H36" s="18" t="str">
        <f aca="false">IFERROR(INDEX(المرجع!$A$2:$A$19,MATCH($G36,المرجع!$B$2:$B$19,0)),"")</f>
        <v>التشغيل</v>
      </c>
      <c r="I36" s="20" t="s">
        <v>60</v>
      </c>
      <c r="J36" s="18" t="str">
        <f aca="false">IFERROR(INDEX(المرجع!$D$2:$D$19,MATCH($I36,المرجع!$E$2:$E$19,0)),"")</f>
        <v>الإجراءات</v>
      </c>
      <c r="K36" s="19" t="n">
        <f aca="false">IFERROR(INDEX(المرجع!$F$2:$F$19,MATCH($I36,المرجع!$E$2:$E$19,0)),"")</f>
        <v>6</v>
      </c>
      <c r="L36" s="19" t="n">
        <f aca="false">SUMIFS(المرجع!$H$2:$H$19,المرجع!$B$2:$B$19,$G36,المرجع!$E$2:$E$19,$I36)</f>
        <v>1</v>
      </c>
      <c r="M36" s="19" t="n">
        <f aca="false">COUNTIFS('المرتبطة بسمو الوزير'!$B$2:$B$151,$B36,'المرتبطة بسمو الوزير'!$G$2:$G$151,$G36,'المرتبطة بسمو الوزير'!$I$2:$I$151,$I36,'المرتبطة بسمو الوزير'!$M$2:$M$151,"&lt;&gt;")+COUNTIFS('الشؤون التنفيذية'!$B$2:$B$421,$B36,'الشؤون التنفيذية'!$G$2:$G$421,$G36,'الشؤون التنفيذية'!$I$2:$I$421,$I36,'الشؤون التنفيذية'!$N$2:$N$421,"&lt;&gt;")+COUNTIFS('الجهاز العسكري'!$B$2:$B$631,$B36,'الجهاز العسكري'!$G$2:$G$631,$G36,'الجهاز العسكري'!$I$2:$I$631,$I36,'الجهاز العسكري'!$M$2:$M$631,"&lt;&gt;")</f>
        <v>1</v>
      </c>
      <c r="N36" s="24" t="n">
        <f aca="false">IF($L36=0,0,ROUND((SUMIFS('المرتبطة بسمو الوزير'!$M$2:$M$151,'المرتبطة بسمو الوزير'!$B$2:$B$151,$B36,'المرتبطة بسمو الوزير'!$G$2:$G$151,$G36,'المرتبطة بسمو الوزير'!$I$2:$I$151,$I36)+SUMIFS('الشؤون التنفيذية'!$N$2:$N$421,'الشؤون التنفيذية'!$B$2:$B$421,$B36,'الشؤون التنفيذية'!$G$2:$G$421,$G36,'الشؤون التنفيذية'!$I$2:$I$421,$I36)+SUMIFS('الجهاز العسكري'!$M$2:$M$631,'الجهاز العسكري'!$B$2:$B$631,$B36,'الجهاز العسكري'!$G$2:$G$631,$G36,'الجهاز العسكري'!$I$2:$I$631,$I36))/$L36,0))</f>
        <v>47</v>
      </c>
      <c r="O36" s="25" t="n">
        <f aca="false">IF($L36=0,0,ROUND((SUMIFS('المرتبطة بسمو الوزير'!$N$2:$N$151,'المرتبطة بسمو الوزير'!$B$2:$B$151,$B36,'المرتبطة بسمو الوزير'!$G$2:$G$151,$G36,'المرتبطة بسمو الوزير'!$I$2:$I$151,$I36)+SUMIFS('الشؤون التنفيذية'!$O$2:$O$421,'الشؤون التنفيذية'!$B$2:$B$421,$B36,'الشؤون التنفيذية'!$G$2:$G$421,$G36,'الشؤون التنفيذية'!$I$2:$I$421,$I36)+SUMIFS('الجهاز العسكري'!$N$2:$N$631,'الجهاز العسكري'!$B$2:$B$631,$B36,'الجهاز العسكري'!$G$2:$G$631,$G36,'الجهاز العسكري'!$I$2:$I$631,$I36))/$L36,0))</f>
        <v>80</v>
      </c>
      <c r="P36" s="22"/>
      <c r="Q36" s="19" t="n">
        <f aca="false">SUMIFS(المرجع!$G$2:$G$19,المرجع!$B$2:$B$19,$G36,المرجع!$E$2:$E$19,$I36)</f>
        <v>15</v>
      </c>
      <c r="R36" s="26" t="n">
        <f aca="false">ROUND($Q36*$N36/100,2)</f>
        <v>7.05</v>
      </c>
      <c r="S36" s="27" t="str">
        <f aca="false">IF($N36&gt;المرجع!$K$3,"متقدم",IF($N36&lt;=المرجع!$K$2,"أولي","جزئي"))</f>
        <v>جزئي</v>
      </c>
      <c r="T36" s="28" t="n">
        <f aca="false">ROUND($Q36*$O36/100,2)</f>
        <v>12</v>
      </c>
    </row>
    <row r="37" customFormat="false" ht="15" hidden="false" customHeight="true" outlineLevel="0" collapsed="false">
      <c r="A37" s="20" t="s">
        <v>1489</v>
      </c>
      <c r="B37" s="20" t="s">
        <v>152</v>
      </c>
      <c r="C37" s="19" t="str">
        <f aca="false">IFERROR(INDEX('قائمة الوحدات'!$B$2:$B$41,MATCH($B37,'قائمة الوحدات'!$A$2:$A$41,0)),"")</f>
        <v>TOP</v>
      </c>
      <c r="D37" s="18" t="str">
        <f aca="false">IFERROR(INDEX('قائمة الوحدات'!$C$2:$C$41,MATCH($B37,'قائمة الوحدات'!$A$2:$A$41,0)),"")</f>
        <v>المرتبطة بسمو الوزير</v>
      </c>
      <c r="E37" s="18" t="str">
        <f aca="false">IFERROR(INDEX('قائمة الوحدات'!$D$2:$D$41,MATCH($B37,'قائمة الوحدات'!$A$2:$A$41,0)),"")</f>
        <v>إدارة المتابعة والتقارير</v>
      </c>
      <c r="F37" s="18" t="str">
        <f aca="false">IFERROR(INDEX('قائمة الوحدات'!$F$2:$F$41,MATCH($B37,'قائمة الوحدات'!$A$2:$A$41,0)),"")</f>
        <v>إدارة المتابعة والتقارير</v>
      </c>
      <c r="G37" s="20" t="s">
        <v>66</v>
      </c>
      <c r="H37" s="18" t="str">
        <f aca="false">IFERROR(INDEX(المرجع!$A$2:$A$19,MATCH($G37,المرجع!$B$2:$B$19,0)),"")</f>
        <v>التشغيل</v>
      </c>
      <c r="I37" s="20" t="s">
        <v>71</v>
      </c>
      <c r="J37" s="18" t="str">
        <f aca="false">IFERROR(INDEX(المرجع!$D$2:$D$19,MATCH($I37,المرجع!$E$2:$E$19,0)),"")</f>
        <v>اكتمال المخرجات المستهدفة</v>
      </c>
      <c r="K37" s="19" t="n">
        <f aca="false">IFERROR(INDEX(المرجع!$F$2:$F$19,MATCH($I37,المرجع!$E$2:$E$19,0)),"")</f>
        <v>8</v>
      </c>
      <c r="L37" s="19" t="n">
        <f aca="false">SUMIFS(المرجع!$H$2:$H$19,المرجع!$B$2:$B$19,$G37,المرجع!$E$2:$E$19,$I37)</f>
        <v>1</v>
      </c>
      <c r="M37" s="19" t="n">
        <f aca="false">COUNTIFS('المرتبطة بسمو الوزير'!$B$2:$B$151,$B37,'المرتبطة بسمو الوزير'!$G$2:$G$151,$G37,'المرتبطة بسمو الوزير'!$I$2:$I$151,$I37,'المرتبطة بسمو الوزير'!$M$2:$M$151,"&lt;&gt;")+COUNTIFS('الشؤون التنفيذية'!$B$2:$B$421,$B37,'الشؤون التنفيذية'!$G$2:$G$421,$G37,'الشؤون التنفيذية'!$I$2:$I$421,$I37,'الشؤون التنفيذية'!$N$2:$N$421,"&lt;&gt;")+COUNTIFS('الجهاز العسكري'!$B$2:$B$631,$B37,'الجهاز العسكري'!$G$2:$G$631,$G37,'الجهاز العسكري'!$I$2:$I$631,$I37,'الجهاز العسكري'!$M$2:$M$631,"&lt;&gt;")</f>
        <v>1</v>
      </c>
      <c r="N37" s="24" t="n">
        <f aca="false">IF($L37=0,0,ROUND((SUMIFS('المرتبطة بسمو الوزير'!$M$2:$M$151,'المرتبطة بسمو الوزير'!$B$2:$B$151,$B37,'المرتبطة بسمو الوزير'!$G$2:$G$151,$G37,'المرتبطة بسمو الوزير'!$I$2:$I$151,$I37)+SUMIFS('الشؤون التنفيذية'!$N$2:$N$421,'الشؤون التنفيذية'!$B$2:$B$421,$B37,'الشؤون التنفيذية'!$G$2:$G$421,$G37,'الشؤون التنفيذية'!$I$2:$I$421,$I37)+SUMIFS('الجهاز العسكري'!$M$2:$M$631,'الجهاز العسكري'!$B$2:$B$631,$B37,'الجهاز العسكري'!$G$2:$G$631,$G37,'الجهاز العسكري'!$I$2:$I$631,$I37))/$L37,0))</f>
        <v>59</v>
      </c>
      <c r="O37" s="25" t="n">
        <f aca="false">IF($L37=0,0,ROUND((SUMIFS('المرتبطة بسمو الوزير'!$N$2:$N$151,'المرتبطة بسمو الوزير'!$B$2:$B$151,$B37,'المرتبطة بسمو الوزير'!$G$2:$G$151,$G37,'المرتبطة بسمو الوزير'!$I$2:$I$151,$I37)+SUMIFS('الشؤون التنفيذية'!$O$2:$O$421,'الشؤون التنفيذية'!$B$2:$B$421,$B37,'الشؤون التنفيذية'!$G$2:$G$421,$G37,'الشؤون التنفيذية'!$I$2:$I$421,$I37)+SUMIFS('الجهاز العسكري'!$N$2:$N$631,'الجهاز العسكري'!$B$2:$B$631,$B37,'الجهاز العسكري'!$G$2:$G$631,$G37,'الجهاز العسكري'!$I$2:$I$631,$I37))/$L37,0))</f>
        <v>100</v>
      </c>
      <c r="P37" s="22"/>
      <c r="Q37" s="19" t="n">
        <f aca="false">SUMIFS(المرجع!$G$2:$G$19,المرجع!$B$2:$B$19,$G37,المرجع!$E$2:$E$19,$I37)</f>
        <v>30</v>
      </c>
      <c r="R37" s="26" t="n">
        <f aca="false">ROUND($Q37*$N37/100,2)</f>
        <v>17.7</v>
      </c>
      <c r="S37" s="27" t="str">
        <f aca="false">IF($N37&gt;المرجع!$K$3,"متقدم",IF($N37&lt;=المرجع!$K$2,"أولي","جزئي"))</f>
        <v>جزئي</v>
      </c>
      <c r="T37" s="28" t="n">
        <f aca="false">ROUND($Q37*$O37/100,2)</f>
        <v>30</v>
      </c>
    </row>
    <row r="38" customFormat="false" ht="15" hidden="false" customHeight="true" outlineLevel="0" collapsed="false">
      <c r="A38" s="20" t="s">
        <v>1490</v>
      </c>
      <c r="B38" s="20" t="s">
        <v>154</v>
      </c>
      <c r="C38" s="19" t="str">
        <f aca="false">IFERROR(INDEX('قائمة الوحدات'!$B$2:$B$41,MATCH($B38,'قائمة الوحدات'!$A$2:$A$41,0)),"")</f>
        <v>TOP</v>
      </c>
      <c r="D38" s="18" t="str">
        <f aca="false">IFERROR(INDEX('قائمة الوحدات'!$C$2:$C$41,MATCH($B38,'قائمة الوحدات'!$A$2:$A$41,0)),"")</f>
        <v>المرتبطة بسمو الوزير</v>
      </c>
      <c r="E38" s="18" t="str">
        <f aca="false">IFERROR(INDEX('قائمة الوحدات'!$D$2:$D$41,MATCH($B38,'قائمة الوحدات'!$A$2:$A$41,0)),"")</f>
        <v>إدارة الحوكمة والمخاطر</v>
      </c>
      <c r="F38" s="18" t="str">
        <f aca="false">IFERROR(INDEX('قائمة الوحدات'!$F$2:$F$41,MATCH($B38,'قائمة الوحدات'!$A$2:$A$41,0)),"")</f>
        <v>إدارة الحوكمة والمخاطر</v>
      </c>
      <c r="G38" s="20" t="s">
        <v>44</v>
      </c>
      <c r="H38" s="18" t="str">
        <f aca="false">IFERROR(INDEX(المرجع!$A$2:$A$19,MATCH($G38,المرجع!$B$2:$B$19,0)),"")</f>
        <v>التصميم</v>
      </c>
      <c r="I38" s="20" t="s">
        <v>46</v>
      </c>
      <c r="J38" s="18" t="str">
        <f aca="false">IFERROR(INDEX(المرجع!$D$2:$D$19,MATCH($I38,المرجع!$E$2:$E$19,0)),"")</f>
        <v>الدور</v>
      </c>
      <c r="K38" s="19" t="n">
        <f aca="false">IFERROR(INDEX(المرجع!$F$2:$F$19,MATCH($I38,المرجع!$E$2:$E$19,0)),"")</f>
        <v>1</v>
      </c>
      <c r="L38" s="19" t="n">
        <f aca="false">SUMIFS(المرجع!$H$2:$H$19,المرجع!$B$2:$B$19,$G38,المرجع!$E$2:$E$19,$I38)</f>
        <v>1</v>
      </c>
      <c r="M38" s="19" t="n">
        <f aca="false">COUNTIFS('المرتبطة بسمو الوزير'!$B$2:$B$151,$B38,'المرتبطة بسمو الوزير'!$G$2:$G$151,$G38,'المرتبطة بسمو الوزير'!$I$2:$I$151,$I38,'المرتبطة بسمو الوزير'!$M$2:$M$151,"&lt;&gt;")+COUNTIFS('الشؤون التنفيذية'!$B$2:$B$421,$B38,'الشؤون التنفيذية'!$G$2:$G$421,$G38,'الشؤون التنفيذية'!$I$2:$I$421,$I38,'الشؤون التنفيذية'!$N$2:$N$421,"&lt;&gt;")+COUNTIFS('الجهاز العسكري'!$B$2:$B$631,$B38,'الجهاز العسكري'!$G$2:$G$631,$G38,'الجهاز العسكري'!$I$2:$I$631,$I38,'الجهاز العسكري'!$M$2:$M$631,"&lt;&gt;")</f>
        <v>1</v>
      </c>
      <c r="N38" s="24" t="n">
        <f aca="false">IF($L38=0,0,ROUND((SUMIFS('المرتبطة بسمو الوزير'!$M$2:$M$151,'المرتبطة بسمو الوزير'!$B$2:$B$151,$B38,'المرتبطة بسمو الوزير'!$G$2:$G$151,$G38,'المرتبطة بسمو الوزير'!$I$2:$I$151,$I38)+SUMIFS('الشؤون التنفيذية'!$N$2:$N$421,'الشؤون التنفيذية'!$B$2:$B$421,$B38,'الشؤون التنفيذية'!$G$2:$G$421,$G38,'الشؤون التنفيذية'!$I$2:$I$421,$I38)+SUMIFS('الجهاز العسكري'!$M$2:$M$631,'الجهاز العسكري'!$B$2:$B$631,$B38,'الجهاز العسكري'!$G$2:$G$631,$G38,'الجهاز العسكري'!$I$2:$I$631,$I38))/$L38,0))</f>
        <v>74</v>
      </c>
      <c r="O38" s="25" t="n">
        <f aca="false">IF($L38=0,0,ROUND((SUMIFS('المرتبطة بسمو الوزير'!$N$2:$N$151,'المرتبطة بسمو الوزير'!$B$2:$B$151,$B38,'المرتبطة بسمو الوزير'!$G$2:$G$151,$G38,'المرتبطة بسمو الوزير'!$I$2:$I$151,$I38)+SUMIFS('الشؤون التنفيذية'!$O$2:$O$421,'الشؤون التنفيذية'!$B$2:$B$421,$B38,'الشؤون التنفيذية'!$G$2:$G$421,$G38,'الشؤون التنفيذية'!$I$2:$I$421,$I38)+SUMIFS('الجهاز العسكري'!$N$2:$N$631,'الجهاز العسكري'!$B$2:$B$631,$B38,'الجهاز العسكري'!$G$2:$G$631,$G38,'الجهاز العسكري'!$I$2:$I$631,$I38))/$L38,0))</f>
        <v>100</v>
      </c>
      <c r="P38" s="22"/>
      <c r="Q38" s="19" t="n">
        <f aca="false">SUMIFS(المرجع!$G$2:$G$19,المرجع!$B$2:$B$19,$G38,المرجع!$E$2:$E$19,$I38)</f>
        <v>25</v>
      </c>
      <c r="R38" s="26" t="n">
        <f aca="false">ROUND($Q38*$N38/100,2)</f>
        <v>18.5</v>
      </c>
      <c r="S38" s="27" t="str">
        <f aca="false">IF($N38&gt;المرجع!$K$3,"متقدم",IF($N38&lt;=المرجع!$K$2,"أولي","جزئي"))</f>
        <v>متقدم</v>
      </c>
      <c r="T38" s="28" t="n">
        <f aca="false">ROUND($Q38*$O38/100,2)</f>
        <v>25</v>
      </c>
    </row>
    <row r="39" customFormat="false" ht="15" hidden="false" customHeight="true" outlineLevel="0" collapsed="false">
      <c r="A39" s="20" t="s">
        <v>1491</v>
      </c>
      <c r="B39" s="20" t="s">
        <v>154</v>
      </c>
      <c r="C39" s="19" t="str">
        <f aca="false">IFERROR(INDEX('قائمة الوحدات'!$B$2:$B$41,MATCH($B39,'قائمة الوحدات'!$A$2:$A$41,0)),"")</f>
        <v>TOP</v>
      </c>
      <c r="D39" s="18" t="str">
        <f aca="false">IFERROR(INDEX('قائمة الوحدات'!$C$2:$C$41,MATCH($B39,'قائمة الوحدات'!$A$2:$A$41,0)),"")</f>
        <v>المرتبطة بسمو الوزير</v>
      </c>
      <c r="E39" s="18" t="str">
        <f aca="false">IFERROR(INDEX('قائمة الوحدات'!$D$2:$D$41,MATCH($B39,'قائمة الوحدات'!$A$2:$A$41,0)),"")</f>
        <v>إدارة الحوكمة والمخاطر</v>
      </c>
      <c r="F39" s="18" t="str">
        <f aca="false">IFERROR(INDEX('قائمة الوحدات'!$F$2:$F$41,MATCH($B39,'قائمة الوحدات'!$A$2:$A$41,0)),"")</f>
        <v>إدارة الحوكمة والمخاطر</v>
      </c>
      <c r="G39" s="20" t="s">
        <v>44</v>
      </c>
      <c r="H39" s="18" t="str">
        <f aca="false">IFERROR(INDEX(المرجع!$A$2:$A$19,MATCH($G39,المرجع!$B$2:$B$19,0)),"")</f>
        <v>التصميم</v>
      </c>
      <c r="I39" s="20" t="s">
        <v>49</v>
      </c>
      <c r="J39" s="18" t="str">
        <f aca="false">IFERROR(INDEX(المرجع!$D$2:$D$19,MATCH($I39,المرجع!$E$2:$E$19,0)),"")</f>
        <v>الأهداف ومؤشرات الأداء</v>
      </c>
      <c r="K39" s="19" t="n">
        <f aca="false">IFERROR(INDEX(المرجع!$F$2:$F$19,MATCH($I39,المرجع!$E$2:$E$19,0)),"")</f>
        <v>2</v>
      </c>
      <c r="L39" s="19" t="n">
        <f aca="false">SUMIFS(المرجع!$H$2:$H$19,المرجع!$B$2:$B$19,$G39,المرجع!$E$2:$E$19,$I39)</f>
        <v>2</v>
      </c>
      <c r="M39" s="19" t="n">
        <f aca="false">COUNTIFS('المرتبطة بسمو الوزير'!$B$2:$B$151,$B39,'المرتبطة بسمو الوزير'!$G$2:$G$151,$G39,'المرتبطة بسمو الوزير'!$I$2:$I$151,$I39,'المرتبطة بسمو الوزير'!$M$2:$M$151,"&lt;&gt;")+COUNTIFS('الشؤون التنفيذية'!$B$2:$B$421,$B39,'الشؤون التنفيذية'!$G$2:$G$421,$G39,'الشؤون التنفيذية'!$I$2:$I$421,$I39,'الشؤون التنفيذية'!$N$2:$N$421,"&lt;&gt;")+COUNTIFS('الجهاز العسكري'!$B$2:$B$631,$B39,'الجهاز العسكري'!$G$2:$G$631,$G39,'الجهاز العسكري'!$I$2:$I$631,$I39,'الجهاز العسكري'!$M$2:$M$631,"&lt;&gt;")</f>
        <v>2</v>
      </c>
      <c r="N39" s="24" t="n">
        <f aca="false">IF($L39=0,0,ROUND((SUMIFS('المرتبطة بسمو الوزير'!$M$2:$M$151,'المرتبطة بسمو الوزير'!$B$2:$B$151,$B39,'المرتبطة بسمو الوزير'!$G$2:$G$151,$G39,'المرتبطة بسمو الوزير'!$I$2:$I$151,$I39)+SUMIFS('الشؤون التنفيذية'!$N$2:$N$421,'الشؤون التنفيذية'!$B$2:$B$421,$B39,'الشؤون التنفيذية'!$G$2:$G$421,$G39,'الشؤون التنفيذية'!$I$2:$I$421,$I39)+SUMIFS('الجهاز العسكري'!$M$2:$M$631,'الجهاز العسكري'!$B$2:$B$631,$B39,'الجهاز العسكري'!$G$2:$G$631,$G39,'الجهاز العسكري'!$I$2:$I$631,$I39))/$L39,0))</f>
        <v>80</v>
      </c>
      <c r="O39" s="25" t="n">
        <f aca="false">IF($L39=0,0,ROUND((SUMIFS('المرتبطة بسمو الوزير'!$N$2:$N$151,'المرتبطة بسمو الوزير'!$B$2:$B$151,$B39,'المرتبطة بسمو الوزير'!$G$2:$G$151,$G39,'المرتبطة بسمو الوزير'!$I$2:$I$151,$I39)+SUMIFS('الشؤون التنفيذية'!$O$2:$O$421,'الشؤون التنفيذية'!$B$2:$B$421,$B39,'الشؤون التنفيذية'!$G$2:$G$421,$G39,'الشؤون التنفيذية'!$I$2:$I$421,$I39)+SUMIFS('الجهاز العسكري'!$N$2:$N$631,'الجهاز العسكري'!$B$2:$B$631,$B39,'الجهاز العسكري'!$G$2:$G$631,$G39,'الجهاز العسكري'!$I$2:$I$631,$I39))/$L39,0))</f>
        <v>95</v>
      </c>
      <c r="P39" s="22"/>
      <c r="Q39" s="19" t="n">
        <f aca="false">SUMIFS(المرجع!$G$2:$G$19,المرجع!$B$2:$B$19,$G39,المرجع!$E$2:$E$19,$I39)</f>
        <v>15</v>
      </c>
      <c r="R39" s="26" t="n">
        <f aca="false">ROUND($Q39*$N39/100,2)</f>
        <v>12</v>
      </c>
      <c r="S39" s="27" t="str">
        <f aca="false">IF($N39&gt;المرجع!$K$3,"متقدم",IF($N39&lt;=المرجع!$K$2,"أولي","جزئي"))</f>
        <v>متقدم</v>
      </c>
      <c r="T39" s="28" t="n">
        <f aca="false">ROUND($Q39*$O39/100,2)</f>
        <v>14.25</v>
      </c>
    </row>
    <row r="40" customFormat="false" ht="15" hidden="false" customHeight="true" outlineLevel="0" collapsed="false">
      <c r="A40" s="20" t="s">
        <v>1492</v>
      </c>
      <c r="B40" s="20" t="s">
        <v>154</v>
      </c>
      <c r="C40" s="19" t="str">
        <f aca="false">IFERROR(INDEX('قائمة الوحدات'!$B$2:$B$41,MATCH($B40,'قائمة الوحدات'!$A$2:$A$41,0)),"")</f>
        <v>TOP</v>
      </c>
      <c r="D40" s="18" t="str">
        <f aca="false">IFERROR(INDEX('قائمة الوحدات'!$C$2:$C$41,MATCH($B40,'قائمة الوحدات'!$A$2:$A$41,0)),"")</f>
        <v>المرتبطة بسمو الوزير</v>
      </c>
      <c r="E40" s="18" t="str">
        <f aca="false">IFERROR(INDEX('قائمة الوحدات'!$D$2:$D$41,MATCH($B40,'قائمة الوحدات'!$A$2:$A$41,0)),"")</f>
        <v>إدارة الحوكمة والمخاطر</v>
      </c>
      <c r="F40" s="18" t="str">
        <f aca="false">IFERROR(INDEX('قائمة الوحدات'!$F$2:$F$41,MATCH($B40,'قائمة الوحدات'!$A$2:$A$41,0)),"")</f>
        <v>إدارة الحوكمة والمخاطر</v>
      </c>
      <c r="G40" s="20" t="s">
        <v>44</v>
      </c>
      <c r="H40" s="18" t="str">
        <f aca="false">IFERROR(INDEX(المرجع!$A$2:$A$19,MATCH($G40,المرجع!$B$2:$B$19,0)),"")</f>
        <v>التصميم</v>
      </c>
      <c r="I40" s="20" t="s">
        <v>52</v>
      </c>
      <c r="J40" s="18" t="str">
        <f aca="false">IFERROR(INDEX(المرجع!$D$2:$D$19,MATCH($I40,المرجع!$E$2:$E$19,0)),"")</f>
        <v>الحوكمة</v>
      </c>
      <c r="K40" s="19" t="n">
        <f aca="false">IFERROR(INDEX(المرجع!$F$2:$F$19,MATCH($I40,المرجع!$E$2:$E$19,0)),"")</f>
        <v>3</v>
      </c>
      <c r="L40" s="19" t="n">
        <f aca="false">SUMIFS(المرجع!$H$2:$H$19,المرجع!$B$2:$B$19,$G40,المرجع!$E$2:$E$19,$I40)</f>
        <v>1</v>
      </c>
      <c r="M40" s="19" t="n">
        <f aca="false">COUNTIFS('المرتبطة بسمو الوزير'!$B$2:$B$151,$B40,'المرتبطة بسمو الوزير'!$G$2:$G$151,$G40,'المرتبطة بسمو الوزير'!$I$2:$I$151,$I40,'المرتبطة بسمو الوزير'!$M$2:$M$151,"&lt;&gt;")+COUNTIFS('الشؤون التنفيذية'!$B$2:$B$421,$B40,'الشؤون التنفيذية'!$G$2:$G$421,$G40,'الشؤون التنفيذية'!$I$2:$I$421,$I40,'الشؤون التنفيذية'!$N$2:$N$421,"&lt;&gt;")+COUNTIFS('الجهاز العسكري'!$B$2:$B$631,$B40,'الجهاز العسكري'!$G$2:$G$631,$G40,'الجهاز العسكري'!$I$2:$I$631,$I40,'الجهاز العسكري'!$M$2:$M$631,"&lt;&gt;")</f>
        <v>1</v>
      </c>
      <c r="N40" s="24" t="n">
        <f aca="false">IF($L40=0,0,ROUND((SUMIFS('المرتبطة بسمو الوزير'!$M$2:$M$151,'المرتبطة بسمو الوزير'!$B$2:$B$151,$B40,'المرتبطة بسمو الوزير'!$G$2:$G$151,$G40,'المرتبطة بسمو الوزير'!$I$2:$I$151,$I40)+SUMIFS('الشؤون التنفيذية'!$N$2:$N$421,'الشؤون التنفيذية'!$B$2:$B$421,$B40,'الشؤون التنفيذية'!$G$2:$G$421,$G40,'الشؤون التنفيذية'!$I$2:$I$421,$I40)+SUMIFS('الجهاز العسكري'!$M$2:$M$631,'الجهاز العسكري'!$B$2:$B$631,$B40,'الجهاز العسكري'!$G$2:$G$631,$G40,'الجهاز العسكري'!$I$2:$I$631,$I40))/$L40,0))</f>
        <v>81</v>
      </c>
      <c r="O40" s="25" t="n">
        <f aca="false">IF($L40=0,0,ROUND((SUMIFS('المرتبطة بسمو الوزير'!$N$2:$N$151,'المرتبطة بسمو الوزير'!$B$2:$B$151,$B40,'المرتبطة بسمو الوزير'!$G$2:$G$151,$G40,'المرتبطة بسمو الوزير'!$I$2:$I$151,$I40)+SUMIFS('الشؤون التنفيذية'!$O$2:$O$421,'الشؤون التنفيذية'!$B$2:$B$421,$B40,'الشؤون التنفيذية'!$G$2:$G$421,$G40,'الشؤون التنفيذية'!$I$2:$I$421,$I40)+SUMIFS('الجهاز العسكري'!$N$2:$N$631,'الجهاز العسكري'!$B$2:$B$631,$B40,'الجهاز العسكري'!$G$2:$G$631,$G40,'الجهاز العسكري'!$I$2:$I$631,$I40))/$L40,0))</f>
        <v>81</v>
      </c>
      <c r="P40" s="22"/>
      <c r="Q40" s="19" t="n">
        <f aca="false">SUMIFS(المرجع!$G$2:$G$19,المرجع!$B$2:$B$19,$G40,المرجع!$E$2:$E$19,$I40)</f>
        <v>15</v>
      </c>
      <c r="R40" s="26" t="n">
        <f aca="false">ROUND($Q40*$N40/100,2)</f>
        <v>12.15</v>
      </c>
      <c r="S40" s="27" t="str">
        <f aca="false">IF($N40&gt;المرجع!$K$3,"متقدم",IF($N40&lt;=المرجع!$K$2,"أولي","جزئي"))</f>
        <v>متقدم</v>
      </c>
      <c r="T40" s="28" t="n">
        <f aca="false">ROUND($Q40*$O40/100,2)</f>
        <v>12.15</v>
      </c>
    </row>
    <row r="41" customFormat="false" ht="15" hidden="false" customHeight="true" outlineLevel="0" collapsed="false">
      <c r="A41" s="20" t="s">
        <v>1493</v>
      </c>
      <c r="B41" s="20" t="s">
        <v>154</v>
      </c>
      <c r="C41" s="19" t="str">
        <f aca="false">IFERROR(INDEX('قائمة الوحدات'!$B$2:$B$41,MATCH($B41,'قائمة الوحدات'!$A$2:$A$41,0)),"")</f>
        <v>TOP</v>
      </c>
      <c r="D41" s="18" t="str">
        <f aca="false">IFERROR(INDEX('قائمة الوحدات'!$C$2:$C$41,MATCH($B41,'قائمة الوحدات'!$A$2:$A$41,0)),"")</f>
        <v>المرتبطة بسمو الوزير</v>
      </c>
      <c r="E41" s="18" t="str">
        <f aca="false">IFERROR(INDEX('قائمة الوحدات'!$D$2:$D$41,MATCH($B41,'قائمة الوحدات'!$A$2:$A$41,0)),"")</f>
        <v>إدارة الحوكمة والمخاطر</v>
      </c>
      <c r="F41" s="18" t="str">
        <f aca="false">IFERROR(INDEX('قائمة الوحدات'!$F$2:$F$41,MATCH($B41,'قائمة الوحدات'!$A$2:$A$41,0)),"")</f>
        <v>إدارة الحوكمة والمخاطر</v>
      </c>
      <c r="G41" s="20" t="s">
        <v>44</v>
      </c>
      <c r="H41" s="18" t="str">
        <f aca="false">IFERROR(INDEX(المرجع!$A$2:$A$19,MATCH($G41,المرجع!$B$2:$B$19,0)),"")</f>
        <v>التصميم</v>
      </c>
      <c r="I41" s="20" t="s">
        <v>55</v>
      </c>
      <c r="J41" s="18" t="str">
        <f aca="false">IFERROR(INDEX(المرجع!$D$2:$D$19,MATCH($I41,المرجع!$E$2:$E$19,0)),"")</f>
        <v>التنظيم</v>
      </c>
      <c r="K41" s="19" t="n">
        <f aca="false">IFERROR(INDEX(المرجع!$F$2:$F$19,MATCH($I41,المرجع!$E$2:$E$19,0)),"")</f>
        <v>4</v>
      </c>
      <c r="L41" s="19" t="n">
        <f aca="false">SUMIFS(المرجع!$H$2:$H$19,المرجع!$B$2:$B$19,$G41,المرجع!$E$2:$E$19,$I41)</f>
        <v>1</v>
      </c>
      <c r="M41" s="19" t="n">
        <f aca="false">COUNTIFS('المرتبطة بسمو الوزير'!$B$2:$B$151,$B41,'المرتبطة بسمو الوزير'!$G$2:$G$151,$G41,'المرتبطة بسمو الوزير'!$I$2:$I$151,$I41,'المرتبطة بسمو الوزير'!$M$2:$M$151,"&lt;&gt;")+COUNTIFS('الشؤون التنفيذية'!$B$2:$B$421,$B41,'الشؤون التنفيذية'!$G$2:$G$421,$G41,'الشؤون التنفيذية'!$I$2:$I$421,$I41,'الشؤون التنفيذية'!$N$2:$N$421,"&lt;&gt;")+COUNTIFS('الجهاز العسكري'!$B$2:$B$631,$B41,'الجهاز العسكري'!$G$2:$G$631,$G41,'الجهاز العسكري'!$I$2:$I$631,$I41,'الجهاز العسكري'!$M$2:$M$631,"&lt;&gt;")</f>
        <v>1</v>
      </c>
      <c r="N41" s="24" t="n">
        <f aca="false">IF($L41=0,0,ROUND((SUMIFS('المرتبطة بسمو الوزير'!$M$2:$M$151,'المرتبطة بسمو الوزير'!$B$2:$B$151,$B41,'المرتبطة بسمو الوزير'!$G$2:$G$151,$G41,'المرتبطة بسمو الوزير'!$I$2:$I$151,$I41)+SUMIFS('الشؤون التنفيذية'!$N$2:$N$421,'الشؤون التنفيذية'!$B$2:$B$421,$B41,'الشؤون التنفيذية'!$G$2:$G$421,$G41,'الشؤون التنفيذية'!$I$2:$I$421,$I41)+SUMIFS('الجهاز العسكري'!$M$2:$M$631,'الجهاز العسكري'!$B$2:$B$631,$B41,'الجهاز العسكري'!$G$2:$G$631,$G41,'الجهاز العسكري'!$I$2:$I$631,$I41))/$L41,0))</f>
        <v>83</v>
      </c>
      <c r="O41" s="25" t="n">
        <f aca="false">IF($L41=0,0,ROUND((SUMIFS('المرتبطة بسمو الوزير'!$N$2:$N$151,'المرتبطة بسمو الوزير'!$B$2:$B$151,$B41,'المرتبطة بسمو الوزير'!$G$2:$G$151,$G41,'المرتبطة بسمو الوزير'!$I$2:$I$151,$I41)+SUMIFS('الشؤون التنفيذية'!$O$2:$O$421,'الشؤون التنفيذية'!$B$2:$B$421,$B41,'الشؤون التنفيذية'!$G$2:$G$421,$G41,'الشؤون التنفيذية'!$I$2:$I$421,$I41)+SUMIFS('الجهاز العسكري'!$N$2:$N$631,'الجهاز العسكري'!$B$2:$B$631,$B41,'الجهاز العسكري'!$G$2:$G$631,$G41,'الجهاز العسكري'!$I$2:$I$631,$I41))/$L41,0))</f>
        <v>100</v>
      </c>
      <c r="P41" s="22"/>
      <c r="Q41" s="19" t="n">
        <f aca="false">SUMIFS(المرجع!$G$2:$G$19,المرجع!$B$2:$B$19,$G41,المرجع!$E$2:$E$19,$I41)</f>
        <v>20</v>
      </c>
      <c r="R41" s="26" t="n">
        <f aca="false">ROUND($Q41*$N41/100,2)</f>
        <v>16.6</v>
      </c>
      <c r="S41" s="27" t="str">
        <f aca="false">IF($N41&gt;المرجع!$K$3,"متقدم",IF($N41&lt;=المرجع!$K$2,"أولي","جزئي"))</f>
        <v>متقدم</v>
      </c>
      <c r="T41" s="28" t="n">
        <f aca="false">ROUND($Q41*$O41/100,2)</f>
        <v>20</v>
      </c>
    </row>
    <row r="42" customFormat="false" ht="15" hidden="false" customHeight="true" outlineLevel="0" collapsed="false">
      <c r="A42" s="20" t="s">
        <v>1494</v>
      </c>
      <c r="B42" s="20" t="s">
        <v>154</v>
      </c>
      <c r="C42" s="19" t="str">
        <f aca="false">IFERROR(INDEX('قائمة الوحدات'!$B$2:$B$41,MATCH($B42,'قائمة الوحدات'!$A$2:$A$41,0)),"")</f>
        <v>TOP</v>
      </c>
      <c r="D42" s="18" t="str">
        <f aca="false">IFERROR(INDEX('قائمة الوحدات'!$C$2:$C$41,MATCH($B42,'قائمة الوحدات'!$A$2:$A$41,0)),"")</f>
        <v>المرتبطة بسمو الوزير</v>
      </c>
      <c r="E42" s="18" t="str">
        <f aca="false">IFERROR(INDEX('قائمة الوحدات'!$D$2:$D$41,MATCH($B42,'قائمة الوحدات'!$A$2:$A$41,0)),"")</f>
        <v>إدارة الحوكمة والمخاطر</v>
      </c>
      <c r="F42" s="18" t="str">
        <f aca="false">IFERROR(INDEX('قائمة الوحدات'!$F$2:$F$41,MATCH($B42,'قائمة الوحدات'!$A$2:$A$41,0)),"")</f>
        <v>إدارة الحوكمة والمخاطر</v>
      </c>
      <c r="G42" s="20" t="s">
        <v>44</v>
      </c>
      <c r="H42" s="18" t="str">
        <f aca="false">IFERROR(INDEX(المرجع!$A$2:$A$19,MATCH($G42,المرجع!$B$2:$B$19,0)),"")</f>
        <v>التصميم</v>
      </c>
      <c r="I42" s="20" t="s">
        <v>57</v>
      </c>
      <c r="J42" s="18" t="str">
        <f aca="false">IFERROR(INDEX(المرجع!$D$2:$D$19,MATCH($I42,المرجع!$E$2:$E$19,0)),"")</f>
        <v>الموارد</v>
      </c>
      <c r="K42" s="19" t="n">
        <f aca="false">IFERROR(INDEX(المرجع!$F$2:$F$19,MATCH($I42,المرجع!$E$2:$E$19,0)),"")</f>
        <v>5</v>
      </c>
      <c r="L42" s="19" t="n">
        <f aca="false">SUMIFS(المرجع!$H$2:$H$19,المرجع!$B$2:$B$19,$G42,المرجع!$E$2:$E$19,$I42)</f>
        <v>1</v>
      </c>
      <c r="M42" s="19" t="n">
        <f aca="false">COUNTIFS('المرتبطة بسمو الوزير'!$B$2:$B$151,$B42,'المرتبطة بسمو الوزير'!$G$2:$G$151,$G42,'المرتبطة بسمو الوزير'!$I$2:$I$151,$I42,'المرتبطة بسمو الوزير'!$M$2:$M$151,"&lt;&gt;")+COUNTIFS('الشؤون التنفيذية'!$B$2:$B$421,$B42,'الشؤون التنفيذية'!$G$2:$G$421,$G42,'الشؤون التنفيذية'!$I$2:$I$421,$I42,'الشؤون التنفيذية'!$N$2:$N$421,"&lt;&gt;")+COUNTIFS('الجهاز العسكري'!$B$2:$B$631,$B42,'الجهاز العسكري'!$G$2:$G$631,$G42,'الجهاز العسكري'!$I$2:$I$631,$I42,'الجهاز العسكري'!$M$2:$M$631,"&lt;&gt;")</f>
        <v>1</v>
      </c>
      <c r="N42" s="24" t="n">
        <f aca="false">IF($L42=0,0,ROUND((SUMIFS('المرتبطة بسمو الوزير'!$M$2:$M$151,'المرتبطة بسمو الوزير'!$B$2:$B$151,$B42,'المرتبطة بسمو الوزير'!$G$2:$G$151,$G42,'المرتبطة بسمو الوزير'!$I$2:$I$151,$I42)+SUMIFS('الشؤون التنفيذية'!$N$2:$N$421,'الشؤون التنفيذية'!$B$2:$B$421,$B42,'الشؤون التنفيذية'!$G$2:$G$421,$G42,'الشؤون التنفيذية'!$I$2:$I$421,$I42)+SUMIFS('الجهاز العسكري'!$M$2:$M$631,'الجهاز العسكري'!$B$2:$B$631,$B42,'الجهاز العسكري'!$G$2:$G$631,$G42,'الجهاز العسكري'!$I$2:$I$631,$I42))/$L42,0))</f>
        <v>89</v>
      </c>
      <c r="O42" s="25" t="n">
        <f aca="false">IF($L42=0,0,ROUND((SUMIFS('المرتبطة بسمو الوزير'!$N$2:$N$151,'المرتبطة بسمو الوزير'!$B$2:$B$151,$B42,'المرتبطة بسمو الوزير'!$G$2:$G$151,$G42,'المرتبطة بسمو الوزير'!$I$2:$I$151,$I42)+SUMIFS('الشؤون التنفيذية'!$O$2:$O$421,'الشؤون التنفيذية'!$B$2:$B$421,$B42,'الشؤون التنفيذية'!$G$2:$G$421,$G42,'الشؤون التنفيذية'!$I$2:$I$421,$I42)+SUMIFS('الجهاز العسكري'!$N$2:$N$631,'الجهاز العسكري'!$B$2:$B$631,$B42,'الجهاز العسكري'!$G$2:$G$631,$G42,'الجهاز العسكري'!$I$2:$I$631,$I42))/$L42,0))</f>
        <v>89</v>
      </c>
      <c r="P42" s="22"/>
      <c r="Q42" s="19" t="n">
        <f aca="false">SUMIFS(المرجع!$G$2:$G$19,المرجع!$B$2:$B$19,$G42,المرجع!$E$2:$E$19,$I42)</f>
        <v>20</v>
      </c>
      <c r="R42" s="26" t="n">
        <f aca="false">ROUND($Q42*$N42/100,2)</f>
        <v>17.8</v>
      </c>
      <c r="S42" s="27" t="str">
        <f aca="false">IF($N42&gt;المرجع!$K$3,"متقدم",IF($N42&lt;=المرجع!$K$2,"أولي","جزئي"))</f>
        <v>متقدم</v>
      </c>
      <c r="T42" s="28" t="n">
        <f aca="false">ROUND($Q42*$O42/100,2)</f>
        <v>17.8</v>
      </c>
    </row>
    <row r="43" customFormat="false" ht="15" hidden="false" customHeight="true" outlineLevel="0" collapsed="false">
      <c r="A43" s="20" t="s">
        <v>1495</v>
      </c>
      <c r="B43" s="20" t="s">
        <v>154</v>
      </c>
      <c r="C43" s="19" t="str">
        <f aca="false">IFERROR(INDEX('قائمة الوحدات'!$B$2:$B$41,MATCH($B43,'قائمة الوحدات'!$A$2:$A$41,0)),"")</f>
        <v>TOP</v>
      </c>
      <c r="D43" s="18" t="str">
        <f aca="false">IFERROR(INDEX('قائمة الوحدات'!$C$2:$C$41,MATCH($B43,'قائمة الوحدات'!$A$2:$A$41,0)),"")</f>
        <v>المرتبطة بسمو الوزير</v>
      </c>
      <c r="E43" s="18" t="str">
        <f aca="false">IFERROR(INDEX('قائمة الوحدات'!$D$2:$D$41,MATCH($B43,'قائمة الوحدات'!$A$2:$A$41,0)),"")</f>
        <v>إدارة الحوكمة والمخاطر</v>
      </c>
      <c r="F43" s="18" t="str">
        <f aca="false">IFERROR(INDEX('قائمة الوحدات'!$F$2:$F$41,MATCH($B43,'قائمة الوحدات'!$A$2:$A$41,0)),"")</f>
        <v>إدارة الحوكمة والمخاطر</v>
      </c>
      <c r="G43" s="20" t="s">
        <v>44</v>
      </c>
      <c r="H43" s="18" t="str">
        <f aca="false">IFERROR(INDEX(المرجع!$A$2:$A$19,MATCH($G43,المرجع!$B$2:$B$19,0)),"")</f>
        <v>التصميم</v>
      </c>
      <c r="I43" s="20" t="s">
        <v>60</v>
      </c>
      <c r="J43" s="18" t="str">
        <f aca="false">IFERROR(INDEX(المرجع!$D$2:$D$19,MATCH($I43,المرجع!$E$2:$E$19,0)),"")</f>
        <v>الإجراءات</v>
      </c>
      <c r="K43" s="19" t="n">
        <f aca="false">IFERROR(INDEX(المرجع!$F$2:$F$19,MATCH($I43,المرجع!$E$2:$E$19,0)),"")</f>
        <v>6</v>
      </c>
      <c r="L43" s="19" t="n">
        <f aca="false">SUMIFS(المرجع!$H$2:$H$19,المرجع!$B$2:$B$19,$G43,المرجع!$E$2:$E$19,$I43)</f>
        <v>1</v>
      </c>
      <c r="M43" s="19" t="n">
        <f aca="false">COUNTIFS('المرتبطة بسمو الوزير'!$B$2:$B$151,$B43,'المرتبطة بسمو الوزير'!$G$2:$G$151,$G43,'المرتبطة بسمو الوزير'!$I$2:$I$151,$I43,'المرتبطة بسمو الوزير'!$M$2:$M$151,"&lt;&gt;")+COUNTIFS('الشؤون التنفيذية'!$B$2:$B$421,$B43,'الشؤون التنفيذية'!$G$2:$G$421,$G43,'الشؤون التنفيذية'!$I$2:$I$421,$I43,'الشؤون التنفيذية'!$N$2:$N$421,"&lt;&gt;")+COUNTIFS('الجهاز العسكري'!$B$2:$B$631,$B43,'الجهاز العسكري'!$G$2:$G$631,$G43,'الجهاز العسكري'!$I$2:$I$631,$I43,'الجهاز العسكري'!$M$2:$M$631,"&lt;&gt;")</f>
        <v>1</v>
      </c>
      <c r="N43" s="24" t="n">
        <f aca="false">IF($L43=0,0,ROUND((SUMIFS('المرتبطة بسمو الوزير'!$M$2:$M$151,'المرتبطة بسمو الوزير'!$B$2:$B$151,$B43,'المرتبطة بسمو الوزير'!$G$2:$G$151,$G43,'المرتبطة بسمو الوزير'!$I$2:$I$151,$I43)+SUMIFS('الشؤون التنفيذية'!$N$2:$N$421,'الشؤون التنفيذية'!$B$2:$B$421,$B43,'الشؤون التنفيذية'!$G$2:$G$421,$G43,'الشؤون التنفيذية'!$I$2:$I$421,$I43)+SUMIFS('الجهاز العسكري'!$M$2:$M$631,'الجهاز العسكري'!$B$2:$B$631,$B43,'الجهاز العسكري'!$G$2:$G$631,$G43,'الجهاز العسكري'!$I$2:$I$631,$I43))/$L43,0))</f>
        <v>68</v>
      </c>
      <c r="O43" s="25" t="n">
        <f aca="false">IF($L43=0,0,ROUND((SUMIFS('المرتبطة بسمو الوزير'!$N$2:$N$151,'المرتبطة بسمو الوزير'!$B$2:$B$151,$B43,'المرتبطة بسمو الوزير'!$G$2:$G$151,$G43,'المرتبطة بسمو الوزير'!$I$2:$I$151,$I43)+SUMIFS('الشؤون التنفيذية'!$O$2:$O$421,'الشؤون التنفيذية'!$B$2:$B$421,$B43,'الشؤون التنفيذية'!$G$2:$G$421,$G43,'الشؤون التنفيذية'!$I$2:$I$421,$I43)+SUMIFS('الجهاز العسكري'!$N$2:$N$631,'الجهاز العسكري'!$B$2:$B$631,$B43,'الجهاز العسكري'!$G$2:$G$631,$G43,'الجهاز العسكري'!$I$2:$I$631,$I43))/$L43,0))</f>
        <v>95</v>
      </c>
      <c r="P43" s="22"/>
      <c r="Q43" s="19" t="n">
        <f aca="false">SUMIFS(المرجع!$G$2:$G$19,المرجع!$B$2:$B$19,$G43,المرجع!$E$2:$E$19,$I43)</f>
        <v>5</v>
      </c>
      <c r="R43" s="26" t="n">
        <f aca="false">ROUND($Q43*$N43/100,2)</f>
        <v>3.4</v>
      </c>
      <c r="S43" s="27" t="str">
        <f aca="false">IF($N43&gt;المرجع!$K$3,"متقدم",IF($N43&lt;=المرجع!$K$2,"أولي","جزئي"))</f>
        <v>جزئي</v>
      </c>
      <c r="T43" s="28" t="n">
        <f aca="false">ROUND($Q43*$O43/100,2)</f>
        <v>4.75</v>
      </c>
    </row>
    <row r="44" customFormat="false" ht="15" hidden="false" customHeight="true" outlineLevel="0" collapsed="false">
      <c r="A44" s="20" t="s">
        <v>1496</v>
      </c>
      <c r="B44" s="20" t="s">
        <v>154</v>
      </c>
      <c r="C44" s="19" t="str">
        <f aca="false">IFERROR(INDEX('قائمة الوحدات'!$B$2:$B$41,MATCH($B44,'قائمة الوحدات'!$A$2:$A$41,0)),"")</f>
        <v>TOP</v>
      </c>
      <c r="D44" s="18" t="str">
        <f aca="false">IFERROR(INDEX('قائمة الوحدات'!$C$2:$C$41,MATCH($B44,'قائمة الوحدات'!$A$2:$A$41,0)),"")</f>
        <v>المرتبطة بسمو الوزير</v>
      </c>
      <c r="E44" s="18" t="str">
        <f aca="false">IFERROR(INDEX('قائمة الوحدات'!$D$2:$D$41,MATCH($B44,'قائمة الوحدات'!$A$2:$A$41,0)),"")</f>
        <v>إدارة الحوكمة والمخاطر</v>
      </c>
      <c r="F44" s="18" t="str">
        <f aca="false">IFERROR(INDEX('قائمة الوحدات'!$F$2:$F$41,MATCH($B44,'قائمة الوحدات'!$A$2:$A$41,0)),"")</f>
        <v>إدارة الحوكمة والمخاطر</v>
      </c>
      <c r="G44" s="20" t="s">
        <v>62</v>
      </c>
      <c r="H44" s="18" t="str">
        <f aca="false">IFERROR(INDEX(المرجع!$A$2:$A$19,MATCH($G44,المرجع!$B$2:$B$19,0)),"")</f>
        <v>البناء المؤسسي</v>
      </c>
      <c r="I44" s="20" t="s">
        <v>46</v>
      </c>
      <c r="J44" s="18" t="str">
        <f aca="false">IFERROR(INDEX(المرجع!$D$2:$D$19,MATCH($I44,المرجع!$E$2:$E$19,0)),"")</f>
        <v>الدور</v>
      </c>
      <c r="K44" s="19" t="n">
        <f aca="false">IFERROR(INDEX(المرجع!$F$2:$F$19,MATCH($I44,المرجع!$E$2:$E$19,0)),"")</f>
        <v>1</v>
      </c>
      <c r="L44" s="19" t="n">
        <f aca="false">SUMIFS(المرجع!$H$2:$H$19,المرجع!$B$2:$B$19,$G44,المرجع!$E$2:$E$19,$I44)</f>
        <v>1</v>
      </c>
      <c r="M44" s="19" t="n">
        <f aca="false">COUNTIFS('المرتبطة بسمو الوزير'!$B$2:$B$151,$B44,'المرتبطة بسمو الوزير'!$G$2:$G$151,$G44,'المرتبطة بسمو الوزير'!$I$2:$I$151,$I44,'المرتبطة بسمو الوزير'!$M$2:$M$151,"&lt;&gt;")+COUNTIFS('الشؤون التنفيذية'!$B$2:$B$421,$B44,'الشؤون التنفيذية'!$G$2:$G$421,$G44,'الشؤون التنفيذية'!$I$2:$I$421,$I44,'الشؤون التنفيذية'!$N$2:$N$421,"&lt;&gt;")+COUNTIFS('الجهاز العسكري'!$B$2:$B$631,$B44,'الجهاز العسكري'!$G$2:$G$631,$G44,'الجهاز العسكري'!$I$2:$I$631,$I44,'الجهاز العسكري'!$M$2:$M$631,"&lt;&gt;")</f>
        <v>1</v>
      </c>
      <c r="N44" s="24" t="n">
        <f aca="false">IF($L44=0,0,ROUND((SUMIFS('المرتبطة بسمو الوزير'!$M$2:$M$151,'المرتبطة بسمو الوزير'!$B$2:$B$151,$B44,'المرتبطة بسمو الوزير'!$G$2:$G$151,$G44,'المرتبطة بسمو الوزير'!$I$2:$I$151,$I44)+SUMIFS('الشؤون التنفيذية'!$N$2:$N$421,'الشؤون التنفيذية'!$B$2:$B$421,$B44,'الشؤون التنفيذية'!$G$2:$G$421,$G44,'الشؤون التنفيذية'!$I$2:$I$421,$I44)+SUMIFS('الجهاز العسكري'!$M$2:$M$631,'الجهاز العسكري'!$B$2:$B$631,$B44,'الجهاز العسكري'!$G$2:$G$631,$G44,'الجهاز العسكري'!$I$2:$I$631,$I44))/$L44,0))</f>
        <v>56</v>
      </c>
      <c r="O44" s="25" t="n">
        <f aca="false">IF($L44=0,0,ROUND((SUMIFS('المرتبطة بسمو الوزير'!$N$2:$N$151,'المرتبطة بسمو الوزير'!$B$2:$B$151,$B44,'المرتبطة بسمو الوزير'!$G$2:$G$151,$G44,'المرتبطة بسمو الوزير'!$I$2:$I$151,$I44)+SUMIFS('الشؤون التنفيذية'!$O$2:$O$421,'الشؤون التنفيذية'!$B$2:$B$421,$B44,'الشؤون التنفيذية'!$G$2:$G$421,$G44,'الشؤون التنفيذية'!$I$2:$I$421,$I44)+SUMIFS('الجهاز العسكري'!$N$2:$N$631,'الجهاز العسكري'!$B$2:$B$631,$B44,'الجهاز العسكري'!$G$2:$G$631,$G44,'الجهاز العسكري'!$I$2:$I$631,$I44))/$L44,0))</f>
        <v>100</v>
      </c>
      <c r="P44" s="22"/>
      <c r="Q44" s="19" t="n">
        <f aca="false">SUMIFS(المرجع!$G$2:$G$19,المرجع!$B$2:$B$19,$G44,المرجع!$E$2:$E$19,$I44)</f>
        <v>15</v>
      </c>
      <c r="R44" s="26" t="n">
        <f aca="false">ROUND($Q44*$N44/100,2)</f>
        <v>8.4</v>
      </c>
      <c r="S44" s="27" t="str">
        <f aca="false">IF($N44&gt;المرجع!$K$3,"متقدم",IF($N44&lt;=المرجع!$K$2,"أولي","جزئي"))</f>
        <v>جزئي</v>
      </c>
      <c r="T44" s="28" t="n">
        <f aca="false">ROUND($Q44*$O44/100,2)</f>
        <v>15</v>
      </c>
    </row>
    <row r="45" customFormat="false" ht="15" hidden="false" customHeight="true" outlineLevel="0" collapsed="false">
      <c r="A45" s="20" t="s">
        <v>1497</v>
      </c>
      <c r="B45" s="20" t="s">
        <v>154</v>
      </c>
      <c r="C45" s="19" t="str">
        <f aca="false">IFERROR(INDEX('قائمة الوحدات'!$B$2:$B$41,MATCH($B45,'قائمة الوحدات'!$A$2:$A$41,0)),"")</f>
        <v>TOP</v>
      </c>
      <c r="D45" s="18" t="str">
        <f aca="false">IFERROR(INDEX('قائمة الوحدات'!$C$2:$C$41,MATCH($B45,'قائمة الوحدات'!$A$2:$A$41,0)),"")</f>
        <v>المرتبطة بسمو الوزير</v>
      </c>
      <c r="E45" s="18" t="str">
        <f aca="false">IFERROR(INDEX('قائمة الوحدات'!$D$2:$D$41,MATCH($B45,'قائمة الوحدات'!$A$2:$A$41,0)),"")</f>
        <v>إدارة الحوكمة والمخاطر</v>
      </c>
      <c r="F45" s="18" t="str">
        <f aca="false">IFERROR(INDEX('قائمة الوحدات'!$F$2:$F$41,MATCH($B45,'قائمة الوحدات'!$A$2:$A$41,0)),"")</f>
        <v>إدارة الحوكمة والمخاطر</v>
      </c>
      <c r="G45" s="20" t="s">
        <v>62</v>
      </c>
      <c r="H45" s="18" t="str">
        <f aca="false">IFERROR(INDEX(المرجع!$A$2:$A$19,MATCH($G45,المرجع!$B$2:$B$19,0)),"")</f>
        <v>البناء المؤسسي</v>
      </c>
      <c r="I45" s="20" t="s">
        <v>49</v>
      </c>
      <c r="J45" s="18" t="str">
        <f aca="false">IFERROR(INDEX(المرجع!$D$2:$D$19,MATCH($I45,المرجع!$E$2:$E$19,0)),"")</f>
        <v>الأهداف ومؤشرات الأداء</v>
      </c>
      <c r="K45" s="19" t="n">
        <f aca="false">IFERROR(INDEX(المرجع!$F$2:$F$19,MATCH($I45,المرجع!$E$2:$E$19,0)),"")</f>
        <v>2</v>
      </c>
      <c r="L45" s="19" t="n">
        <f aca="false">SUMIFS(المرجع!$H$2:$H$19,المرجع!$B$2:$B$19,$G45,المرجع!$E$2:$E$19,$I45)</f>
        <v>2</v>
      </c>
      <c r="M45" s="19" t="n">
        <f aca="false">COUNTIFS('المرتبطة بسمو الوزير'!$B$2:$B$151,$B45,'المرتبطة بسمو الوزير'!$G$2:$G$151,$G45,'المرتبطة بسمو الوزير'!$I$2:$I$151,$I45,'المرتبطة بسمو الوزير'!$M$2:$M$151,"&lt;&gt;")+COUNTIFS('الشؤون التنفيذية'!$B$2:$B$421,$B45,'الشؤون التنفيذية'!$G$2:$G$421,$G45,'الشؤون التنفيذية'!$I$2:$I$421,$I45,'الشؤون التنفيذية'!$N$2:$N$421,"&lt;&gt;")+COUNTIFS('الجهاز العسكري'!$B$2:$B$631,$B45,'الجهاز العسكري'!$G$2:$G$631,$G45,'الجهاز العسكري'!$I$2:$I$631,$I45,'الجهاز العسكري'!$M$2:$M$631,"&lt;&gt;")</f>
        <v>2</v>
      </c>
      <c r="N45" s="24" t="n">
        <f aca="false">IF($L45=0,0,ROUND((SUMIFS('المرتبطة بسمو الوزير'!$M$2:$M$151,'المرتبطة بسمو الوزير'!$B$2:$B$151,$B45,'المرتبطة بسمو الوزير'!$G$2:$G$151,$G45,'المرتبطة بسمو الوزير'!$I$2:$I$151,$I45)+SUMIFS('الشؤون التنفيذية'!$N$2:$N$421,'الشؤون التنفيذية'!$B$2:$B$421,$B45,'الشؤون التنفيذية'!$G$2:$G$421,$G45,'الشؤون التنفيذية'!$I$2:$I$421,$I45)+SUMIFS('الجهاز العسكري'!$M$2:$M$631,'الجهاز العسكري'!$B$2:$B$631,$B45,'الجهاز العسكري'!$G$2:$G$631,$G45,'الجهاز العسكري'!$I$2:$I$631,$I45))/$L45,0))</f>
        <v>78</v>
      </c>
      <c r="O45" s="25" t="n">
        <f aca="false">IF($L45=0,0,ROUND((SUMIFS('المرتبطة بسمو الوزير'!$N$2:$N$151,'المرتبطة بسمو الوزير'!$B$2:$B$151,$B45,'المرتبطة بسمو الوزير'!$G$2:$G$151,$G45,'المرتبطة بسمو الوزير'!$I$2:$I$151,$I45)+SUMIFS('الشؤون التنفيذية'!$O$2:$O$421,'الشؤون التنفيذية'!$B$2:$B$421,$B45,'الشؤون التنفيذية'!$G$2:$G$421,$G45,'الشؤون التنفيذية'!$I$2:$I$421,$I45)+SUMIFS('الجهاز العسكري'!$N$2:$N$631,'الجهاز العسكري'!$B$2:$B$631,$B45,'الجهاز العسكري'!$G$2:$G$631,$G45,'الجهاز العسكري'!$I$2:$I$631,$I45))/$L45,0))</f>
        <v>98</v>
      </c>
      <c r="P45" s="22"/>
      <c r="Q45" s="19" t="n">
        <f aca="false">SUMIFS(المرجع!$G$2:$G$19,المرجع!$B$2:$B$19,$G45,المرجع!$E$2:$E$19,$I45)</f>
        <v>15</v>
      </c>
      <c r="R45" s="26" t="n">
        <f aca="false">ROUND($Q45*$N45/100,2)</f>
        <v>11.7</v>
      </c>
      <c r="S45" s="27" t="str">
        <f aca="false">IF($N45&gt;المرجع!$K$3,"متقدم",IF($N45&lt;=المرجع!$K$2,"أولي","جزئي"))</f>
        <v>متقدم</v>
      </c>
      <c r="T45" s="28" t="n">
        <f aca="false">ROUND($Q45*$O45/100,2)</f>
        <v>14.7</v>
      </c>
    </row>
    <row r="46" customFormat="false" ht="15" hidden="false" customHeight="true" outlineLevel="0" collapsed="false">
      <c r="A46" s="20" t="s">
        <v>1498</v>
      </c>
      <c r="B46" s="20" t="s">
        <v>154</v>
      </c>
      <c r="C46" s="19" t="str">
        <f aca="false">IFERROR(INDEX('قائمة الوحدات'!$B$2:$B$41,MATCH($B46,'قائمة الوحدات'!$A$2:$A$41,0)),"")</f>
        <v>TOP</v>
      </c>
      <c r="D46" s="18" t="str">
        <f aca="false">IFERROR(INDEX('قائمة الوحدات'!$C$2:$C$41,MATCH($B46,'قائمة الوحدات'!$A$2:$A$41,0)),"")</f>
        <v>المرتبطة بسمو الوزير</v>
      </c>
      <c r="E46" s="18" t="str">
        <f aca="false">IFERROR(INDEX('قائمة الوحدات'!$D$2:$D$41,MATCH($B46,'قائمة الوحدات'!$A$2:$A$41,0)),"")</f>
        <v>إدارة الحوكمة والمخاطر</v>
      </c>
      <c r="F46" s="18" t="str">
        <f aca="false">IFERROR(INDEX('قائمة الوحدات'!$F$2:$F$41,MATCH($B46,'قائمة الوحدات'!$A$2:$A$41,0)),"")</f>
        <v>إدارة الحوكمة والمخاطر</v>
      </c>
      <c r="G46" s="20" t="s">
        <v>62</v>
      </c>
      <c r="H46" s="18" t="str">
        <f aca="false">IFERROR(INDEX(المرجع!$A$2:$A$19,MATCH($G46,المرجع!$B$2:$B$19,0)),"")</f>
        <v>البناء المؤسسي</v>
      </c>
      <c r="I46" s="20" t="s">
        <v>52</v>
      </c>
      <c r="J46" s="18" t="str">
        <f aca="false">IFERROR(INDEX(المرجع!$D$2:$D$19,MATCH($I46,المرجع!$E$2:$E$19,0)),"")</f>
        <v>الحوكمة</v>
      </c>
      <c r="K46" s="19" t="n">
        <f aca="false">IFERROR(INDEX(المرجع!$F$2:$F$19,MATCH($I46,المرجع!$E$2:$E$19,0)),"")</f>
        <v>3</v>
      </c>
      <c r="L46" s="19" t="n">
        <f aca="false">SUMIFS(المرجع!$H$2:$H$19,المرجع!$B$2:$B$19,$G46,المرجع!$E$2:$E$19,$I46)</f>
        <v>3</v>
      </c>
      <c r="M46" s="19" t="n">
        <f aca="false">COUNTIFS('المرتبطة بسمو الوزير'!$B$2:$B$151,$B46,'المرتبطة بسمو الوزير'!$G$2:$G$151,$G46,'المرتبطة بسمو الوزير'!$I$2:$I$151,$I46,'المرتبطة بسمو الوزير'!$M$2:$M$151,"&lt;&gt;")+COUNTIFS('الشؤون التنفيذية'!$B$2:$B$421,$B46,'الشؤون التنفيذية'!$G$2:$G$421,$G46,'الشؤون التنفيذية'!$I$2:$I$421,$I46,'الشؤون التنفيذية'!$N$2:$N$421,"&lt;&gt;")+COUNTIFS('الجهاز العسكري'!$B$2:$B$631,$B46,'الجهاز العسكري'!$G$2:$G$631,$G46,'الجهاز العسكري'!$I$2:$I$631,$I46,'الجهاز العسكري'!$M$2:$M$631,"&lt;&gt;")</f>
        <v>3</v>
      </c>
      <c r="N46" s="24" t="n">
        <f aca="false">IF($L46=0,0,ROUND((SUMIFS('المرتبطة بسمو الوزير'!$M$2:$M$151,'المرتبطة بسمو الوزير'!$B$2:$B$151,$B46,'المرتبطة بسمو الوزير'!$G$2:$G$151,$G46,'المرتبطة بسمو الوزير'!$I$2:$I$151,$I46)+SUMIFS('الشؤون التنفيذية'!$N$2:$N$421,'الشؤون التنفيذية'!$B$2:$B$421,$B46,'الشؤون التنفيذية'!$G$2:$G$421,$G46,'الشؤون التنفيذية'!$I$2:$I$421,$I46)+SUMIFS('الجهاز العسكري'!$M$2:$M$631,'الجهاز العسكري'!$B$2:$B$631,$B46,'الجهاز العسكري'!$G$2:$G$631,$G46,'الجهاز العسكري'!$I$2:$I$631,$I46))/$L46,0))</f>
        <v>65</v>
      </c>
      <c r="O46" s="25" t="n">
        <f aca="false">IF($L46=0,0,ROUND((SUMIFS('المرتبطة بسمو الوزير'!$N$2:$N$151,'المرتبطة بسمو الوزير'!$B$2:$B$151,$B46,'المرتبطة بسمو الوزير'!$G$2:$G$151,$G46,'المرتبطة بسمو الوزير'!$I$2:$I$151,$I46)+SUMIFS('الشؤون التنفيذية'!$O$2:$O$421,'الشؤون التنفيذية'!$B$2:$B$421,$B46,'الشؤون التنفيذية'!$G$2:$G$421,$G46,'الشؤون التنفيذية'!$I$2:$I$421,$I46)+SUMIFS('الجهاز العسكري'!$N$2:$N$631,'الجهاز العسكري'!$B$2:$B$631,$B46,'الجهاز العسكري'!$G$2:$G$631,$G46,'الجهاز العسكري'!$I$2:$I$631,$I46))/$L46,0))</f>
        <v>95</v>
      </c>
      <c r="P46" s="22"/>
      <c r="Q46" s="19" t="n">
        <f aca="false">SUMIFS(المرجع!$G$2:$G$19,المرجع!$B$2:$B$19,$G46,المرجع!$E$2:$E$19,$I46)</f>
        <v>15</v>
      </c>
      <c r="R46" s="26" t="n">
        <f aca="false">ROUND($Q46*$N46/100,2)</f>
        <v>9.75</v>
      </c>
      <c r="S46" s="27" t="str">
        <f aca="false">IF($N46&gt;المرجع!$K$3,"متقدم",IF($N46&lt;=المرجع!$K$2,"أولي","جزئي"))</f>
        <v>جزئي</v>
      </c>
      <c r="T46" s="28" t="n">
        <f aca="false">ROUND($Q46*$O46/100,2)</f>
        <v>14.25</v>
      </c>
    </row>
    <row r="47" customFormat="false" ht="15" hidden="false" customHeight="true" outlineLevel="0" collapsed="false">
      <c r="A47" s="20" t="s">
        <v>1499</v>
      </c>
      <c r="B47" s="20" t="s">
        <v>154</v>
      </c>
      <c r="C47" s="19" t="str">
        <f aca="false">IFERROR(INDEX('قائمة الوحدات'!$B$2:$B$41,MATCH($B47,'قائمة الوحدات'!$A$2:$A$41,0)),"")</f>
        <v>TOP</v>
      </c>
      <c r="D47" s="18" t="str">
        <f aca="false">IFERROR(INDEX('قائمة الوحدات'!$C$2:$C$41,MATCH($B47,'قائمة الوحدات'!$A$2:$A$41,0)),"")</f>
        <v>المرتبطة بسمو الوزير</v>
      </c>
      <c r="E47" s="18" t="str">
        <f aca="false">IFERROR(INDEX('قائمة الوحدات'!$D$2:$D$41,MATCH($B47,'قائمة الوحدات'!$A$2:$A$41,0)),"")</f>
        <v>إدارة الحوكمة والمخاطر</v>
      </c>
      <c r="F47" s="18" t="str">
        <f aca="false">IFERROR(INDEX('قائمة الوحدات'!$F$2:$F$41,MATCH($B47,'قائمة الوحدات'!$A$2:$A$41,0)),"")</f>
        <v>إدارة الحوكمة والمخاطر</v>
      </c>
      <c r="G47" s="20" t="s">
        <v>62</v>
      </c>
      <c r="H47" s="18" t="str">
        <f aca="false">IFERROR(INDEX(المرجع!$A$2:$A$19,MATCH($G47,المرجع!$B$2:$B$19,0)),"")</f>
        <v>البناء المؤسسي</v>
      </c>
      <c r="I47" s="20" t="s">
        <v>55</v>
      </c>
      <c r="J47" s="18" t="str">
        <f aca="false">IFERROR(INDEX(المرجع!$D$2:$D$19,MATCH($I47,المرجع!$E$2:$E$19,0)),"")</f>
        <v>التنظيم</v>
      </c>
      <c r="K47" s="19" t="n">
        <f aca="false">IFERROR(INDEX(المرجع!$F$2:$F$19,MATCH($I47,المرجع!$E$2:$E$19,0)),"")</f>
        <v>4</v>
      </c>
      <c r="L47" s="19" t="n">
        <f aca="false">SUMIFS(المرجع!$H$2:$H$19,المرجع!$B$2:$B$19,$G47,المرجع!$E$2:$E$19,$I47)</f>
        <v>3</v>
      </c>
      <c r="M47" s="19" t="n">
        <f aca="false">COUNTIFS('المرتبطة بسمو الوزير'!$B$2:$B$151,$B47,'المرتبطة بسمو الوزير'!$G$2:$G$151,$G47,'المرتبطة بسمو الوزير'!$I$2:$I$151,$I47,'المرتبطة بسمو الوزير'!$M$2:$M$151,"&lt;&gt;")+COUNTIFS('الشؤون التنفيذية'!$B$2:$B$421,$B47,'الشؤون التنفيذية'!$G$2:$G$421,$G47,'الشؤون التنفيذية'!$I$2:$I$421,$I47,'الشؤون التنفيذية'!$N$2:$N$421,"&lt;&gt;")+COUNTIFS('الجهاز العسكري'!$B$2:$B$631,$B47,'الجهاز العسكري'!$G$2:$G$631,$G47,'الجهاز العسكري'!$I$2:$I$631,$I47,'الجهاز العسكري'!$M$2:$M$631,"&lt;&gt;")</f>
        <v>3</v>
      </c>
      <c r="N47" s="24" t="n">
        <f aca="false">IF($L47=0,0,ROUND((SUMIFS('المرتبطة بسمو الوزير'!$M$2:$M$151,'المرتبطة بسمو الوزير'!$B$2:$B$151,$B47,'المرتبطة بسمو الوزير'!$G$2:$G$151,$G47,'المرتبطة بسمو الوزير'!$I$2:$I$151,$I47)+SUMIFS('الشؤون التنفيذية'!$N$2:$N$421,'الشؤون التنفيذية'!$B$2:$B$421,$B47,'الشؤون التنفيذية'!$G$2:$G$421,$G47,'الشؤون التنفيذية'!$I$2:$I$421,$I47)+SUMIFS('الجهاز العسكري'!$M$2:$M$631,'الجهاز العسكري'!$B$2:$B$631,$B47,'الجهاز العسكري'!$G$2:$G$631,$G47,'الجهاز العسكري'!$I$2:$I$631,$I47))/$L47,0))</f>
        <v>42</v>
      </c>
      <c r="O47" s="25" t="n">
        <f aca="false">IF($L47=0,0,ROUND((SUMIFS('المرتبطة بسمو الوزير'!$N$2:$N$151,'المرتبطة بسمو الوزير'!$B$2:$B$151,$B47,'المرتبطة بسمو الوزير'!$G$2:$G$151,$G47,'المرتبطة بسمو الوزير'!$I$2:$I$151,$I47)+SUMIFS('الشؤون التنفيذية'!$O$2:$O$421,'الشؤون التنفيذية'!$B$2:$B$421,$B47,'الشؤون التنفيذية'!$G$2:$G$421,$G47,'الشؤون التنفيذية'!$I$2:$I$421,$I47)+SUMIFS('الجهاز العسكري'!$N$2:$N$631,'الجهاز العسكري'!$B$2:$B$631,$B47,'الجهاز العسكري'!$G$2:$G$631,$G47,'الجهاز العسكري'!$I$2:$I$631,$I47))/$L47,0))</f>
        <v>95</v>
      </c>
      <c r="P47" s="22"/>
      <c r="Q47" s="19" t="n">
        <f aca="false">SUMIFS(المرجع!$G$2:$G$19,المرجع!$B$2:$B$19,$G47,المرجع!$E$2:$E$19,$I47)</f>
        <v>20</v>
      </c>
      <c r="R47" s="26" t="n">
        <f aca="false">ROUND($Q47*$N47/100,2)</f>
        <v>8.4</v>
      </c>
      <c r="S47" s="27" t="str">
        <f aca="false">IF($N47&gt;المرجع!$K$3,"متقدم",IF($N47&lt;=المرجع!$K$2,"أولي","جزئي"))</f>
        <v>جزئي</v>
      </c>
      <c r="T47" s="28" t="n">
        <f aca="false">ROUND($Q47*$O47/100,2)</f>
        <v>19</v>
      </c>
    </row>
    <row r="48" customFormat="false" ht="15" hidden="false" customHeight="true" outlineLevel="0" collapsed="false">
      <c r="A48" s="20" t="s">
        <v>1500</v>
      </c>
      <c r="B48" s="20" t="s">
        <v>154</v>
      </c>
      <c r="C48" s="19" t="str">
        <f aca="false">IFERROR(INDEX('قائمة الوحدات'!$B$2:$B$41,MATCH($B48,'قائمة الوحدات'!$A$2:$A$41,0)),"")</f>
        <v>TOP</v>
      </c>
      <c r="D48" s="18" t="str">
        <f aca="false">IFERROR(INDEX('قائمة الوحدات'!$C$2:$C$41,MATCH($B48,'قائمة الوحدات'!$A$2:$A$41,0)),"")</f>
        <v>المرتبطة بسمو الوزير</v>
      </c>
      <c r="E48" s="18" t="str">
        <f aca="false">IFERROR(INDEX('قائمة الوحدات'!$D$2:$D$41,MATCH($B48,'قائمة الوحدات'!$A$2:$A$41,0)),"")</f>
        <v>إدارة الحوكمة والمخاطر</v>
      </c>
      <c r="F48" s="18" t="str">
        <f aca="false">IFERROR(INDEX('قائمة الوحدات'!$F$2:$F$41,MATCH($B48,'قائمة الوحدات'!$A$2:$A$41,0)),"")</f>
        <v>إدارة الحوكمة والمخاطر</v>
      </c>
      <c r="G48" s="20" t="s">
        <v>62</v>
      </c>
      <c r="H48" s="18" t="str">
        <f aca="false">IFERROR(INDEX(المرجع!$A$2:$A$19,MATCH($G48,المرجع!$B$2:$B$19,0)),"")</f>
        <v>البناء المؤسسي</v>
      </c>
      <c r="I48" s="20" t="s">
        <v>57</v>
      </c>
      <c r="J48" s="18" t="str">
        <f aca="false">IFERROR(INDEX(المرجع!$D$2:$D$19,MATCH($I48,المرجع!$E$2:$E$19,0)),"")</f>
        <v>الموارد</v>
      </c>
      <c r="K48" s="19" t="n">
        <f aca="false">IFERROR(INDEX(المرجع!$F$2:$F$19,MATCH($I48,المرجع!$E$2:$E$19,0)),"")</f>
        <v>5</v>
      </c>
      <c r="L48" s="19" t="n">
        <f aca="false">SUMIFS(المرجع!$H$2:$H$19,المرجع!$B$2:$B$19,$G48,المرجع!$E$2:$E$19,$I48)</f>
        <v>4</v>
      </c>
      <c r="M48" s="19" t="n">
        <f aca="false">COUNTIFS('المرتبطة بسمو الوزير'!$B$2:$B$151,$B48,'المرتبطة بسمو الوزير'!$G$2:$G$151,$G48,'المرتبطة بسمو الوزير'!$I$2:$I$151,$I48,'المرتبطة بسمو الوزير'!$M$2:$M$151,"&lt;&gt;")+COUNTIFS('الشؤون التنفيذية'!$B$2:$B$421,$B48,'الشؤون التنفيذية'!$G$2:$G$421,$G48,'الشؤون التنفيذية'!$I$2:$I$421,$I48,'الشؤون التنفيذية'!$N$2:$N$421,"&lt;&gt;")+COUNTIFS('الجهاز العسكري'!$B$2:$B$631,$B48,'الجهاز العسكري'!$G$2:$G$631,$G48,'الجهاز العسكري'!$I$2:$I$631,$I48,'الجهاز العسكري'!$M$2:$M$631,"&lt;&gt;")</f>
        <v>4</v>
      </c>
      <c r="N48" s="24" t="n">
        <f aca="false">IF($L48=0,0,ROUND((SUMIFS('المرتبطة بسمو الوزير'!$M$2:$M$151,'المرتبطة بسمو الوزير'!$B$2:$B$151,$B48,'المرتبطة بسمو الوزير'!$G$2:$G$151,$G48,'المرتبطة بسمو الوزير'!$I$2:$I$151,$I48)+SUMIFS('الشؤون التنفيذية'!$N$2:$N$421,'الشؤون التنفيذية'!$B$2:$B$421,$B48,'الشؤون التنفيذية'!$G$2:$G$421,$G48,'الشؤون التنفيذية'!$I$2:$I$421,$I48)+SUMIFS('الجهاز العسكري'!$M$2:$M$631,'الجهاز العسكري'!$B$2:$B$631,$B48,'الجهاز العسكري'!$G$2:$G$631,$G48,'الجهاز العسكري'!$I$2:$I$631,$I48))/$L48,0))</f>
        <v>56</v>
      </c>
      <c r="O48" s="25" t="n">
        <f aca="false">IF($L48=0,0,ROUND((SUMIFS('المرتبطة بسمو الوزير'!$N$2:$N$151,'المرتبطة بسمو الوزير'!$B$2:$B$151,$B48,'المرتبطة بسمو الوزير'!$G$2:$G$151,$G48,'المرتبطة بسمو الوزير'!$I$2:$I$151,$I48)+SUMIFS('الشؤون التنفيذية'!$O$2:$O$421,'الشؤون التنفيذية'!$B$2:$B$421,$B48,'الشؤون التنفيذية'!$G$2:$G$421,$G48,'الشؤون التنفيذية'!$I$2:$I$421,$I48)+SUMIFS('الجهاز العسكري'!$N$2:$N$631,'الجهاز العسكري'!$B$2:$B$631,$B48,'الجهاز العسكري'!$G$2:$G$631,$G48,'الجهاز العسكري'!$I$2:$I$631,$I48))/$L48,0))</f>
        <v>90</v>
      </c>
      <c r="P48" s="22"/>
      <c r="Q48" s="19" t="n">
        <f aca="false">SUMIFS(المرجع!$G$2:$G$19,المرجع!$B$2:$B$19,$G48,المرجع!$E$2:$E$19,$I48)</f>
        <v>25</v>
      </c>
      <c r="R48" s="26" t="n">
        <f aca="false">ROUND($Q48*$N48/100,2)</f>
        <v>14</v>
      </c>
      <c r="S48" s="27" t="str">
        <f aca="false">IF($N48&gt;المرجع!$K$3,"متقدم",IF($N48&lt;=المرجع!$K$2,"أولي","جزئي"))</f>
        <v>جزئي</v>
      </c>
      <c r="T48" s="28" t="n">
        <f aca="false">ROUND($Q48*$O48/100,2)</f>
        <v>22.5</v>
      </c>
    </row>
    <row r="49" customFormat="false" ht="15" hidden="false" customHeight="true" outlineLevel="0" collapsed="false">
      <c r="A49" s="20" t="s">
        <v>1501</v>
      </c>
      <c r="B49" s="20" t="s">
        <v>154</v>
      </c>
      <c r="C49" s="19" t="str">
        <f aca="false">IFERROR(INDEX('قائمة الوحدات'!$B$2:$B$41,MATCH($B49,'قائمة الوحدات'!$A$2:$A$41,0)),"")</f>
        <v>TOP</v>
      </c>
      <c r="D49" s="18" t="str">
        <f aca="false">IFERROR(INDEX('قائمة الوحدات'!$C$2:$C$41,MATCH($B49,'قائمة الوحدات'!$A$2:$A$41,0)),"")</f>
        <v>المرتبطة بسمو الوزير</v>
      </c>
      <c r="E49" s="18" t="str">
        <f aca="false">IFERROR(INDEX('قائمة الوحدات'!$D$2:$D$41,MATCH($B49,'قائمة الوحدات'!$A$2:$A$41,0)),"")</f>
        <v>إدارة الحوكمة والمخاطر</v>
      </c>
      <c r="F49" s="18" t="str">
        <f aca="false">IFERROR(INDEX('قائمة الوحدات'!$F$2:$F$41,MATCH($B49,'قائمة الوحدات'!$A$2:$A$41,0)),"")</f>
        <v>إدارة الحوكمة والمخاطر</v>
      </c>
      <c r="G49" s="20" t="s">
        <v>62</v>
      </c>
      <c r="H49" s="18" t="str">
        <f aca="false">IFERROR(INDEX(المرجع!$A$2:$A$19,MATCH($G49,المرجع!$B$2:$B$19,0)),"")</f>
        <v>البناء المؤسسي</v>
      </c>
      <c r="I49" s="20" t="s">
        <v>60</v>
      </c>
      <c r="J49" s="18" t="str">
        <f aca="false">IFERROR(INDEX(المرجع!$D$2:$D$19,MATCH($I49,المرجع!$E$2:$E$19,0)),"")</f>
        <v>الإجراءات</v>
      </c>
      <c r="K49" s="19" t="n">
        <f aca="false">IFERROR(INDEX(المرجع!$F$2:$F$19,MATCH($I49,المرجع!$E$2:$E$19,0)),"")</f>
        <v>6</v>
      </c>
      <c r="L49" s="19" t="n">
        <f aca="false">SUMIFS(المرجع!$H$2:$H$19,المرجع!$B$2:$B$19,$G49,المرجع!$E$2:$E$19,$I49)</f>
        <v>1</v>
      </c>
      <c r="M49" s="19" t="n">
        <f aca="false">COUNTIFS('المرتبطة بسمو الوزير'!$B$2:$B$151,$B49,'المرتبطة بسمو الوزير'!$G$2:$G$151,$G49,'المرتبطة بسمو الوزير'!$I$2:$I$151,$I49,'المرتبطة بسمو الوزير'!$M$2:$M$151,"&lt;&gt;")+COUNTIFS('الشؤون التنفيذية'!$B$2:$B$421,$B49,'الشؤون التنفيذية'!$G$2:$G$421,$G49,'الشؤون التنفيذية'!$I$2:$I$421,$I49,'الشؤون التنفيذية'!$N$2:$N$421,"&lt;&gt;")+COUNTIFS('الجهاز العسكري'!$B$2:$B$631,$B49,'الجهاز العسكري'!$G$2:$G$631,$G49,'الجهاز العسكري'!$I$2:$I$631,$I49,'الجهاز العسكري'!$M$2:$M$631,"&lt;&gt;")</f>
        <v>1</v>
      </c>
      <c r="N49" s="24" t="n">
        <f aca="false">IF($L49=0,0,ROUND((SUMIFS('المرتبطة بسمو الوزير'!$M$2:$M$151,'المرتبطة بسمو الوزير'!$B$2:$B$151,$B49,'المرتبطة بسمو الوزير'!$G$2:$G$151,$G49,'المرتبطة بسمو الوزير'!$I$2:$I$151,$I49)+SUMIFS('الشؤون التنفيذية'!$N$2:$N$421,'الشؤون التنفيذية'!$B$2:$B$421,$B49,'الشؤون التنفيذية'!$G$2:$G$421,$G49,'الشؤون التنفيذية'!$I$2:$I$421,$I49)+SUMIFS('الجهاز العسكري'!$M$2:$M$631,'الجهاز العسكري'!$B$2:$B$631,$B49,'الجهاز العسكري'!$G$2:$G$631,$G49,'الجهاز العسكري'!$I$2:$I$631,$I49))/$L49,0))</f>
        <v>53</v>
      </c>
      <c r="O49" s="25" t="n">
        <f aca="false">IF($L49=0,0,ROUND((SUMIFS('المرتبطة بسمو الوزير'!$N$2:$N$151,'المرتبطة بسمو الوزير'!$B$2:$B$151,$B49,'المرتبطة بسمو الوزير'!$G$2:$G$151,$G49,'المرتبطة بسمو الوزير'!$I$2:$I$151,$I49)+SUMIFS('الشؤون التنفيذية'!$O$2:$O$421,'الشؤون التنفيذية'!$B$2:$B$421,$B49,'الشؤون التنفيذية'!$G$2:$G$421,$G49,'الشؤون التنفيذية'!$I$2:$I$421,$I49)+SUMIFS('الجهاز العسكري'!$N$2:$N$631,'الجهاز العسكري'!$B$2:$B$631,$B49,'الجهاز العسكري'!$G$2:$G$631,$G49,'الجهاز العسكري'!$I$2:$I$631,$I49))/$L49,0))</f>
        <v>100</v>
      </c>
      <c r="P49" s="22"/>
      <c r="Q49" s="19" t="n">
        <f aca="false">SUMIFS(المرجع!$G$2:$G$19,المرجع!$B$2:$B$19,$G49,المرجع!$E$2:$E$19,$I49)</f>
        <v>5</v>
      </c>
      <c r="R49" s="26" t="n">
        <f aca="false">ROUND($Q49*$N49/100,2)</f>
        <v>2.65</v>
      </c>
      <c r="S49" s="27" t="str">
        <f aca="false">IF($N49&gt;المرجع!$K$3,"متقدم",IF($N49&lt;=المرجع!$K$2,"أولي","جزئي"))</f>
        <v>جزئي</v>
      </c>
      <c r="T49" s="28" t="n">
        <f aca="false">ROUND($Q49*$O49/100,2)</f>
        <v>5</v>
      </c>
    </row>
    <row r="50" customFormat="false" ht="15" hidden="false" customHeight="true" outlineLevel="0" collapsed="false">
      <c r="A50" s="20" t="s">
        <v>1502</v>
      </c>
      <c r="B50" s="20" t="s">
        <v>154</v>
      </c>
      <c r="C50" s="19" t="str">
        <f aca="false">IFERROR(INDEX('قائمة الوحدات'!$B$2:$B$41,MATCH($B50,'قائمة الوحدات'!$A$2:$A$41,0)),"")</f>
        <v>TOP</v>
      </c>
      <c r="D50" s="18" t="str">
        <f aca="false">IFERROR(INDEX('قائمة الوحدات'!$C$2:$C$41,MATCH($B50,'قائمة الوحدات'!$A$2:$A$41,0)),"")</f>
        <v>المرتبطة بسمو الوزير</v>
      </c>
      <c r="E50" s="18" t="str">
        <f aca="false">IFERROR(INDEX('قائمة الوحدات'!$D$2:$D$41,MATCH($B50,'قائمة الوحدات'!$A$2:$A$41,0)),"")</f>
        <v>إدارة الحوكمة والمخاطر</v>
      </c>
      <c r="F50" s="18" t="str">
        <f aca="false">IFERROR(INDEX('قائمة الوحدات'!$F$2:$F$41,MATCH($B50,'قائمة الوحدات'!$A$2:$A$41,0)),"")</f>
        <v>إدارة الحوكمة والمخاطر</v>
      </c>
      <c r="G50" s="20" t="s">
        <v>62</v>
      </c>
      <c r="H50" s="18" t="str">
        <f aca="false">IFERROR(INDEX(المرجع!$A$2:$A$19,MATCH($G50,المرجع!$B$2:$B$19,0)),"")</f>
        <v>البناء المؤسسي</v>
      </c>
      <c r="I50" s="20" t="s">
        <v>69</v>
      </c>
      <c r="J50" s="18" t="str">
        <f aca="false">IFERROR(INDEX(المرجع!$D$2:$D$19,MATCH($I50,المرجع!$E$2:$E$19,0)),"")</f>
        <v>إنتاج المخرج الأول</v>
      </c>
      <c r="K50" s="19" t="n">
        <f aca="false">IFERROR(INDEX(المرجع!$F$2:$F$19,MATCH($I50,المرجع!$E$2:$E$19,0)),"")</f>
        <v>7</v>
      </c>
      <c r="L50" s="19" t="n">
        <f aca="false">SUMIFS(المرجع!$H$2:$H$19,المرجع!$B$2:$B$19,$G50,المرجع!$E$2:$E$19,$I50)</f>
        <v>1</v>
      </c>
      <c r="M50" s="19" t="n">
        <f aca="false">COUNTIFS('المرتبطة بسمو الوزير'!$B$2:$B$151,$B50,'المرتبطة بسمو الوزير'!$G$2:$G$151,$G50,'المرتبطة بسمو الوزير'!$I$2:$I$151,$I50,'المرتبطة بسمو الوزير'!$M$2:$M$151,"&lt;&gt;")+COUNTIFS('الشؤون التنفيذية'!$B$2:$B$421,$B50,'الشؤون التنفيذية'!$G$2:$G$421,$G50,'الشؤون التنفيذية'!$I$2:$I$421,$I50,'الشؤون التنفيذية'!$N$2:$N$421,"&lt;&gt;")+COUNTIFS('الجهاز العسكري'!$B$2:$B$631,$B50,'الجهاز العسكري'!$G$2:$G$631,$G50,'الجهاز العسكري'!$I$2:$I$631,$I50,'الجهاز العسكري'!$M$2:$M$631,"&lt;&gt;")</f>
        <v>1</v>
      </c>
      <c r="N50" s="24" t="n">
        <f aca="false">IF($L50=0,0,ROUND((SUMIFS('المرتبطة بسمو الوزير'!$M$2:$M$151,'المرتبطة بسمو الوزير'!$B$2:$B$151,$B50,'المرتبطة بسمو الوزير'!$G$2:$G$151,$G50,'المرتبطة بسمو الوزير'!$I$2:$I$151,$I50)+SUMIFS('الشؤون التنفيذية'!$N$2:$N$421,'الشؤون التنفيذية'!$B$2:$B$421,$B50,'الشؤون التنفيذية'!$G$2:$G$421,$G50,'الشؤون التنفيذية'!$I$2:$I$421,$I50)+SUMIFS('الجهاز العسكري'!$M$2:$M$631,'الجهاز العسكري'!$B$2:$B$631,$B50,'الجهاز العسكري'!$G$2:$G$631,$G50,'الجهاز العسكري'!$I$2:$I$631,$I50))/$L50,0))</f>
        <v>68</v>
      </c>
      <c r="O50" s="25" t="n">
        <f aca="false">IF($L50=0,0,ROUND((SUMIFS('المرتبطة بسمو الوزير'!$N$2:$N$151,'المرتبطة بسمو الوزير'!$B$2:$B$151,$B50,'المرتبطة بسمو الوزير'!$G$2:$G$151,$G50,'المرتبطة بسمو الوزير'!$I$2:$I$151,$I50)+SUMIFS('الشؤون التنفيذية'!$O$2:$O$421,'الشؤون التنفيذية'!$B$2:$B$421,$B50,'الشؤون التنفيذية'!$G$2:$G$421,$G50,'الشؤون التنفيذية'!$I$2:$I$421,$I50)+SUMIFS('الجهاز العسكري'!$N$2:$N$631,'الجهاز العسكري'!$B$2:$B$631,$B50,'الجهاز العسكري'!$G$2:$G$631,$G50,'الجهاز العسكري'!$I$2:$I$631,$I50))/$L50,0))</f>
        <v>100</v>
      </c>
      <c r="P50" s="22"/>
      <c r="Q50" s="19" t="n">
        <f aca="false">SUMIFS(المرجع!$G$2:$G$19,المرجع!$B$2:$B$19,$G50,المرجع!$E$2:$E$19,$I50)</f>
        <v>5</v>
      </c>
      <c r="R50" s="26" t="n">
        <f aca="false">ROUND($Q50*$N50/100,2)</f>
        <v>3.4</v>
      </c>
      <c r="S50" s="27" t="str">
        <f aca="false">IF($N50&gt;المرجع!$K$3,"متقدم",IF($N50&lt;=المرجع!$K$2,"أولي","جزئي"))</f>
        <v>جزئي</v>
      </c>
      <c r="T50" s="28" t="n">
        <f aca="false">ROUND($Q50*$O50/100,2)</f>
        <v>5</v>
      </c>
    </row>
    <row r="51" customFormat="false" ht="15" hidden="false" customHeight="true" outlineLevel="0" collapsed="false">
      <c r="A51" s="20" t="s">
        <v>1503</v>
      </c>
      <c r="B51" s="20" t="s">
        <v>154</v>
      </c>
      <c r="C51" s="19" t="str">
        <f aca="false">IFERROR(INDEX('قائمة الوحدات'!$B$2:$B$41,MATCH($B51,'قائمة الوحدات'!$A$2:$A$41,0)),"")</f>
        <v>TOP</v>
      </c>
      <c r="D51" s="18" t="str">
        <f aca="false">IFERROR(INDEX('قائمة الوحدات'!$C$2:$C$41,MATCH($B51,'قائمة الوحدات'!$A$2:$A$41,0)),"")</f>
        <v>المرتبطة بسمو الوزير</v>
      </c>
      <c r="E51" s="18" t="str">
        <f aca="false">IFERROR(INDEX('قائمة الوحدات'!$D$2:$D$41,MATCH($B51,'قائمة الوحدات'!$A$2:$A$41,0)),"")</f>
        <v>إدارة الحوكمة والمخاطر</v>
      </c>
      <c r="F51" s="18" t="str">
        <f aca="false">IFERROR(INDEX('قائمة الوحدات'!$F$2:$F$41,MATCH($B51,'قائمة الوحدات'!$A$2:$A$41,0)),"")</f>
        <v>إدارة الحوكمة والمخاطر</v>
      </c>
      <c r="G51" s="20" t="s">
        <v>66</v>
      </c>
      <c r="H51" s="18" t="str">
        <f aca="false">IFERROR(INDEX(المرجع!$A$2:$A$19,MATCH($G51,المرجع!$B$2:$B$19,0)),"")</f>
        <v>التشغيل</v>
      </c>
      <c r="I51" s="20" t="s">
        <v>49</v>
      </c>
      <c r="J51" s="18" t="str">
        <f aca="false">IFERROR(INDEX(المرجع!$D$2:$D$19,MATCH($I51,المرجع!$E$2:$E$19,0)),"")</f>
        <v>الأهداف ومؤشرات الأداء</v>
      </c>
      <c r="K51" s="19" t="n">
        <f aca="false">IFERROR(INDEX(المرجع!$F$2:$F$19,MATCH($I51,المرجع!$E$2:$E$19,0)),"")</f>
        <v>2</v>
      </c>
      <c r="L51" s="19" t="n">
        <f aca="false">SUMIFS(المرجع!$H$2:$H$19,المرجع!$B$2:$B$19,$G51,المرجع!$E$2:$E$19,$I51)</f>
        <v>2</v>
      </c>
      <c r="M51" s="19" t="n">
        <f aca="false">COUNTIFS('المرتبطة بسمو الوزير'!$B$2:$B$151,$B51,'المرتبطة بسمو الوزير'!$G$2:$G$151,$G51,'المرتبطة بسمو الوزير'!$I$2:$I$151,$I51,'المرتبطة بسمو الوزير'!$M$2:$M$151,"&lt;&gt;")+COUNTIFS('الشؤون التنفيذية'!$B$2:$B$421,$B51,'الشؤون التنفيذية'!$G$2:$G$421,$G51,'الشؤون التنفيذية'!$I$2:$I$421,$I51,'الشؤون التنفيذية'!$N$2:$N$421,"&lt;&gt;")+COUNTIFS('الجهاز العسكري'!$B$2:$B$631,$B51,'الجهاز العسكري'!$G$2:$G$631,$G51,'الجهاز العسكري'!$I$2:$I$631,$I51,'الجهاز العسكري'!$M$2:$M$631,"&lt;&gt;")</f>
        <v>2</v>
      </c>
      <c r="N51" s="24" t="n">
        <f aca="false">IF($L51=0,0,ROUND((SUMIFS('المرتبطة بسمو الوزير'!$M$2:$M$151,'المرتبطة بسمو الوزير'!$B$2:$B$151,$B51,'المرتبطة بسمو الوزير'!$G$2:$G$151,$G51,'المرتبطة بسمو الوزير'!$I$2:$I$151,$I51)+SUMIFS('الشؤون التنفيذية'!$N$2:$N$421,'الشؤون التنفيذية'!$B$2:$B$421,$B51,'الشؤون التنفيذية'!$G$2:$G$421,$G51,'الشؤون التنفيذية'!$I$2:$I$421,$I51)+SUMIFS('الجهاز العسكري'!$M$2:$M$631,'الجهاز العسكري'!$B$2:$B$631,$B51,'الجهاز العسكري'!$G$2:$G$631,$G51,'الجهاز العسكري'!$I$2:$I$631,$I51))/$L51,0))</f>
        <v>25</v>
      </c>
      <c r="O51" s="25" t="n">
        <f aca="false">IF($L51=0,0,ROUND((SUMIFS('المرتبطة بسمو الوزير'!$N$2:$N$151,'المرتبطة بسمو الوزير'!$B$2:$B$151,$B51,'المرتبطة بسمو الوزير'!$G$2:$G$151,$G51,'المرتبطة بسمو الوزير'!$I$2:$I$151,$I51)+SUMIFS('الشؤون التنفيذية'!$O$2:$O$421,'الشؤون التنفيذية'!$B$2:$B$421,$B51,'الشؤون التنفيذية'!$G$2:$G$421,$G51,'الشؤون التنفيذية'!$I$2:$I$421,$I51)+SUMIFS('الجهاز العسكري'!$N$2:$N$631,'الجهاز العسكري'!$B$2:$B$631,$B51,'الجهاز العسكري'!$G$2:$G$631,$G51,'الجهاز العسكري'!$I$2:$I$631,$I51))/$L51,0))</f>
        <v>83</v>
      </c>
      <c r="P51" s="22"/>
      <c r="Q51" s="19" t="n">
        <f aca="false">SUMIFS(المرجع!$G$2:$G$19,المرجع!$B$2:$B$19,$G51,المرجع!$E$2:$E$19,$I51)</f>
        <v>25</v>
      </c>
      <c r="R51" s="26" t="n">
        <f aca="false">ROUND($Q51*$N51/100,2)</f>
        <v>6.25</v>
      </c>
      <c r="S51" s="27" t="str">
        <f aca="false">IF($N51&gt;المرجع!$K$3,"متقدم",IF($N51&lt;=المرجع!$K$2,"أولي","جزئي"))</f>
        <v>أولي</v>
      </c>
      <c r="T51" s="28" t="n">
        <f aca="false">ROUND($Q51*$O51/100,2)</f>
        <v>20.75</v>
      </c>
    </row>
    <row r="52" customFormat="false" ht="15" hidden="false" customHeight="true" outlineLevel="0" collapsed="false">
      <c r="A52" s="20" t="s">
        <v>1504</v>
      </c>
      <c r="B52" s="20" t="s">
        <v>154</v>
      </c>
      <c r="C52" s="19" t="str">
        <f aca="false">IFERROR(INDEX('قائمة الوحدات'!$B$2:$B$41,MATCH($B52,'قائمة الوحدات'!$A$2:$A$41,0)),"")</f>
        <v>TOP</v>
      </c>
      <c r="D52" s="18" t="str">
        <f aca="false">IFERROR(INDEX('قائمة الوحدات'!$C$2:$C$41,MATCH($B52,'قائمة الوحدات'!$A$2:$A$41,0)),"")</f>
        <v>المرتبطة بسمو الوزير</v>
      </c>
      <c r="E52" s="18" t="str">
        <f aca="false">IFERROR(INDEX('قائمة الوحدات'!$D$2:$D$41,MATCH($B52,'قائمة الوحدات'!$A$2:$A$41,0)),"")</f>
        <v>إدارة الحوكمة والمخاطر</v>
      </c>
      <c r="F52" s="18" t="str">
        <f aca="false">IFERROR(INDEX('قائمة الوحدات'!$F$2:$F$41,MATCH($B52,'قائمة الوحدات'!$A$2:$A$41,0)),"")</f>
        <v>إدارة الحوكمة والمخاطر</v>
      </c>
      <c r="G52" s="20" t="s">
        <v>66</v>
      </c>
      <c r="H52" s="18" t="str">
        <f aca="false">IFERROR(INDEX(المرجع!$A$2:$A$19,MATCH($G52,المرجع!$B$2:$B$19,0)),"")</f>
        <v>التشغيل</v>
      </c>
      <c r="I52" s="20" t="s">
        <v>52</v>
      </c>
      <c r="J52" s="18" t="str">
        <f aca="false">IFERROR(INDEX(المرجع!$D$2:$D$19,MATCH($I52,المرجع!$E$2:$E$19,0)),"")</f>
        <v>الحوكمة</v>
      </c>
      <c r="K52" s="19" t="n">
        <f aca="false">IFERROR(INDEX(المرجع!$F$2:$F$19,MATCH($I52,المرجع!$E$2:$E$19,0)),"")</f>
        <v>3</v>
      </c>
      <c r="L52" s="19" t="n">
        <f aca="false">SUMIFS(المرجع!$H$2:$H$19,المرجع!$B$2:$B$19,$G52,المرجع!$E$2:$E$19,$I52)</f>
        <v>3</v>
      </c>
      <c r="M52" s="19" t="n">
        <f aca="false">COUNTIFS('المرتبطة بسمو الوزير'!$B$2:$B$151,$B52,'المرتبطة بسمو الوزير'!$G$2:$G$151,$G52,'المرتبطة بسمو الوزير'!$I$2:$I$151,$I52,'المرتبطة بسمو الوزير'!$M$2:$M$151,"&lt;&gt;")+COUNTIFS('الشؤون التنفيذية'!$B$2:$B$421,$B52,'الشؤون التنفيذية'!$G$2:$G$421,$G52,'الشؤون التنفيذية'!$I$2:$I$421,$I52,'الشؤون التنفيذية'!$N$2:$N$421,"&lt;&gt;")+COUNTIFS('الجهاز العسكري'!$B$2:$B$631,$B52,'الجهاز العسكري'!$G$2:$G$631,$G52,'الجهاز العسكري'!$I$2:$I$631,$I52,'الجهاز العسكري'!$M$2:$M$631,"&lt;&gt;")</f>
        <v>3</v>
      </c>
      <c r="N52" s="24" t="n">
        <f aca="false">IF($L52=0,0,ROUND((SUMIFS('المرتبطة بسمو الوزير'!$M$2:$M$151,'المرتبطة بسمو الوزير'!$B$2:$B$151,$B52,'المرتبطة بسمو الوزير'!$G$2:$G$151,$G52,'المرتبطة بسمو الوزير'!$I$2:$I$151,$I52)+SUMIFS('الشؤون التنفيذية'!$N$2:$N$421,'الشؤون التنفيذية'!$B$2:$B$421,$B52,'الشؤون التنفيذية'!$G$2:$G$421,$G52,'الشؤون التنفيذية'!$I$2:$I$421,$I52)+SUMIFS('الجهاز العسكري'!$M$2:$M$631,'الجهاز العسكري'!$B$2:$B$631,$B52,'الجهاز العسكري'!$G$2:$G$631,$G52,'الجهاز العسكري'!$I$2:$I$631,$I52))/$L52,0))</f>
        <v>40</v>
      </c>
      <c r="O52" s="25" t="n">
        <f aca="false">IF($L52=0,0,ROUND((SUMIFS('المرتبطة بسمو الوزير'!$N$2:$N$151,'المرتبطة بسمو الوزير'!$B$2:$B$151,$B52,'المرتبطة بسمو الوزير'!$G$2:$G$151,$G52,'المرتبطة بسمو الوزير'!$I$2:$I$151,$I52)+SUMIFS('الشؤون التنفيذية'!$O$2:$O$421,'الشؤون التنفيذية'!$B$2:$B$421,$B52,'الشؤون التنفيذية'!$G$2:$G$421,$G52,'الشؤون التنفيذية'!$I$2:$I$421,$I52)+SUMIFS('الجهاز العسكري'!$N$2:$N$631,'الجهاز العسكري'!$B$2:$B$631,$B52,'الجهاز العسكري'!$G$2:$G$631,$G52,'الجهاز العسكري'!$I$2:$I$631,$I52))/$L52,0))</f>
        <v>97</v>
      </c>
      <c r="P52" s="22"/>
      <c r="Q52" s="19" t="n">
        <f aca="false">SUMIFS(المرجع!$G$2:$G$19,المرجع!$B$2:$B$19,$G52,المرجع!$E$2:$E$19,$I52)</f>
        <v>15</v>
      </c>
      <c r="R52" s="26" t="n">
        <f aca="false">ROUND($Q52*$N52/100,2)</f>
        <v>6</v>
      </c>
      <c r="S52" s="27" t="str">
        <f aca="false">IF($N52&gt;المرجع!$K$3,"متقدم",IF($N52&lt;=المرجع!$K$2,"أولي","جزئي"))</f>
        <v>جزئي</v>
      </c>
      <c r="T52" s="28" t="n">
        <f aca="false">ROUND($Q52*$O52/100,2)</f>
        <v>14.55</v>
      </c>
    </row>
    <row r="53" customFormat="false" ht="15" hidden="false" customHeight="true" outlineLevel="0" collapsed="false">
      <c r="A53" s="20" t="s">
        <v>1505</v>
      </c>
      <c r="B53" s="20" t="s">
        <v>154</v>
      </c>
      <c r="C53" s="19" t="str">
        <f aca="false">IFERROR(INDEX('قائمة الوحدات'!$B$2:$B$41,MATCH($B53,'قائمة الوحدات'!$A$2:$A$41,0)),"")</f>
        <v>TOP</v>
      </c>
      <c r="D53" s="18" t="str">
        <f aca="false">IFERROR(INDEX('قائمة الوحدات'!$C$2:$C$41,MATCH($B53,'قائمة الوحدات'!$A$2:$A$41,0)),"")</f>
        <v>المرتبطة بسمو الوزير</v>
      </c>
      <c r="E53" s="18" t="str">
        <f aca="false">IFERROR(INDEX('قائمة الوحدات'!$D$2:$D$41,MATCH($B53,'قائمة الوحدات'!$A$2:$A$41,0)),"")</f>
        <v>إدارة الحوكمة والمخاطر</v>
      </c>
      <c r="F53" s="18" t="str">
        <f aca="false">IFERROR(INDEX('قائمة الوحدات'!$F$2:$F$41,MATCH($B53,'قائمة الوحدات'!$A$2:$A$41,0)),"")</f>
        <v>إدارة الحوكمة والمخاطر</v>
      </c>
      <c r="G53" s="20" t="s">
        <v>66</v>
      </c>
      <c r="H53" s="18" t="str">
        <f aca="false">IFERROR(INDEX(المرجع!$A$2:$A$19,MATCH($G53,المرجع!$B$2:$B$19,0)),"")</f>
        <v>التشغيل</v>
      </c>
      <c r="I53" s="20" t="s">
        <v>57</v>
      </c>
      <c r="J53" s="18" t="str">
        <f aca="false">IFERROR(INDEX(المرجع!$D$2:$D$19,MATCH($I53,المرجع!$E$2:$E$19,0)),"")</f>
        <v>الموارد</v>
      </c>
      <c r="K53" s="19" t="n">
        <f aca="false">IFERROR(INDEX(المرجع!$F$2:$F$19,MATCH($I53,المرجع!$E$2:$E$19,0)),"")</f>
        <v>5</v>
      </c>
      <c r="L53" s="19" t="n">
        <f aca="false">SUMIFS(المرجع!$H$2:$H$19,المرجع!$B$2:$B$19,$G53,المرجع!$E$2:$E$19,$I53)</f>
        <v>1</v>
      </c>
      <c r="M53" s="19" t="n">
        <f aca="false">COUNTIFS('المرتبطة بسمو الوزير'!$B$2:$B$151,$B53,'المرتبطة بسمو الوزير'!$G$2:$G$151,$G53,'المرتبطة بسمو الوزير'!$I$2:$I$151,$I53,'المرتبطة بسمو الوزير'!$M$2:$M$151,"&lt;&gt;")+COUNTIFS('الشؤون التنفيذية'!$B$2:$B$421,$B53,'الشؤون التنفيذية'!$G$2:$G$421,$G53,'الشؤون التنفيذية'!$I$2:$I$421,$I53,'الشؤون التنفيذية'!$N$2:$N$421,"&lt;&gt;")+COUNTIFS('الجهاز العسكري'!$B$2:$B$631,$B53,'الجهاز العسكري'!$G$2:$G$631,$G53,'الجهاز العسكري'!$I$2:$I$631,$I53,'الجهاز العسكري'!$M$2:$M$631,"&lt;&gt;")</f>
        <v>1</v>
      </c>
      <c r="N53" s="24" t="n">
        <f aca="false">IF($L53=0,0,ROUND((SUMIFS('المرتبطة بسمو الوزير'!$M$2:$M$151,'المرتبطة بسمو الوزير'!$B$2:$B$151,$B53,'المرتبطة بسمو الوزير'!$G$2:$G$151,$G53,'المرتبطة بسمو الوزير'!$I$2:$I$151,$I53)+SUMIFS('الشؤون التنفيذية'!$N$2:$N$421,'الشؤون التنفيذية'!$B$2:$B$421,$B53,'الشؤون التنفيذية'!$G$2:$G$421,$G53,'الشؤون التنفيذية'!$I$2:$I$421,$I53)+SUMIFS('الجهاز العسكري'!$M$2:$M$631,'الجهاز العسكري'!$B$2:$B$631,$B53,'الجهاز العسكري'!$G$2:$G$631,$G53,'الجهاز العسكري'!$I$2:$I$631,$I53))/$L53,0))</f>
        <v>32</v>
      </c>
      <c r="O53" s="25" t="n">
        <f aca="false">IF($L53=0,0,ROUND((SUMIFS('المرتبطة بسمو الوزير'!$N$2:$N$151,'المرتبطة بسمو الوزير'!$B$2:$B$151,$B53,'المرتبطة بسمو الوزير'!$G$2:$G$151,$G53,'المرتبطة بسمو الوزير'!$I$2:$I$151,$I53)+SUMIFS('الشؤون التنفيذية'!$O$2:$O$421,'الشؤون التنفيذية'!$B$2:$B$421,$B53,'الشؤون التنفيذية'!$G$2:$G$421,$G53,'الشؤون التنفيذية'!$I$2:$I$421,$I53)+SUMIFS('الجهاز العسكري'!$N$2:$N$631,'الجهاز العسكري'!$B$2:$B$631,$B53,'الجهاز العسكري'!$G$2:$G$631,$G53,'الجهاز العسكري'!$I$2:$I$631,$I53))/$L53,0))</f>
        <v>95</v>
      </c>
      <c r="P53" s="22"/>
      <c r="Q53" s="19" t="n">
        <f aca="false">SUMIFS(المرجع!$G$2:$G$19,المرجع!$B$2:$B$19,$G53,المرجع!$E$2:$E$19,$I53)</f>
        <v>15</v>
      </c>
      <c r="R53" s="26" t="n">
        <f aca="false">ROUND($Q53*$N53/100,2)</f>
        <v>4.8</v>
      </c>
      <c r="S53" s="27" t="str">
        <f aca="false">IF($N53&gt;المرجع!$K$3,"متقدم",IF($N53&lt;=المرجع!$K$2,"أولي","جزئي"))</f>
        <v>جزئي</v>
      </c>
      <c r="T53" s="28" t="n">
        <f aca="false">ROUND($Q53*$O53/100,2)</f>
        <v>14.25</v>
      </c>
    </row>
    <row r="54" customFormat="false" ht="15" hidden="false" customHeight="true" outlineLevel="0" collapsed="false">
      <c r="A54" s="20" t="s">
        <v>1506</v>
      </c>
      <c r="B54" s="20" t="s">
        <v>154</v>
      </c>
      <c r="C54" s="19" t="str">
        <f aca="false">IFERROR(INDEX('قائمة الوحدات'!$B$2:$B$41,MATCH($B54,'قائمة الوحدات'!$A$2:$A$41,0)),"")</f>
        <v>TOP</v>
      </c>
      <c r="D54" s="18" t="str">
        <f aca="false">IFERROR(INDEX('قائمة الوحدات'!$C$2:$C$41,MATCH($B54,'قائمة الوحدات'!$A$2:$A$41,0)),"")</f>
        <v>المرتبطة بسمو الوزير</v>
      </c>
      <c r="E54" s="18" t="str">
        <f aca="false">IFERROR(INDEX('قائمة الوحدات'!$D$2:$D$41,MATCH($B54,'قائمة الوحدات'!$A$2:$A$41,0)),"")</f>
        <v>إدارة الحوكمة والمخاطر</v>
      </c>
      <c r="F54" s="18" t="str">
        <f aca="false">IFERROR(INDEX('قائمة الوحدات'!$F$2:$F$41,MATCH($B54,'قائمة الوحدات'!$A$2:$A$41,0)),"")</f>
        <v>إدارة الحوكمة والمخاطر</v>
      </c>
      <c r="G54" s="20" t="s">
        <v>66</v>
      </c>
      <c r="H54" s="18" t="str">
        <f aca="false">IFERROR(INDEX(المرجع!$A$2:$A$19,MATCH($G54,المرجع!$B$2:$B$19,0)),"")</f>
        <v>التشغيل</v>
      </c>
      <c r="I54" s="20" t="s">
        <v>60</v>
      </c>
      <c r="J54" s="18" t="str">
        <f aca="false">IFERROR(INDEX(المرجع!$D$2:$D$19,MATCH($I54,المرجع!$E$2:$E$19,0)),"")</f>
        <v>الإجراءات</v>
      </c>
      <c r="K54" s="19" t="n">
        <f aca="false">IFERROR(INDEX(المرجع!$F$2:$F$19,MATCH($I54,المرجع!$E$2:$E$19,0)),"")</f>
        <v>6</v>
      </c>
      <c r="L54" s="19" t="n">
        <f aca="false">SUMIFS(المرجع!$H$2:$H$19,المرجع!$B$2:$B$19,$G54,المرجع!$E$2:$E$19,$I54)</f>
        <v>1</v>
      </c>
      <c r="M54" s="19" t="n">
        <f aca="false">COUNTIFS('المرتبطة بسمو الوزير'!$B$2:$B$151,$B54,'المرتبطة بسمو الوزير'!$G$2:$G$151,$G54,'المرتبطة بسمو الوزير'!$I$2:$I$151,$I54,'المرتبطة بسمو الوزير'!$M$2:$M$151,"&lt;&gt;")+COUNTIFS('الشؤون التنفيذية'!$B$2:$B$421,$B54,'الشؤون التنفيذية'!$G$2:$G$421,$G54,'الشؤون التنفيذية'!$I$2:$I$421,$I54,'الشؤون التنفيذية'!$N$2:$N$421,"&lt;&gt;")+COUNTIFS('الجهاز العسكري'!$B$2:$B$631,$B54,'الجهاز العسكري'!$G$2:$G$631,$G54,'الجهاز العسكري'!$I$2:$I$631,$I54,'الجهاز العسكري'!$M$2:$M$631,"&lt;&gt;")</f>
        <v>1</v>
      </c>
      <c r="N54" s="24" t="n">
        <f aca="false">IF($L54=0,0,ROUND((SUMIFS('المرتبطة بسمو الوزير'!$M$2:$M$151,'المرتبطة بسمو الوزير'!$B$2:$B$151,$B54,'المرتبطة بسمو الوزير'!$G$2:$G$151,$G54,'المرتبطة بسمو الوزير'!$I$2:$I$151,$I54)+SUMIFS('الشؤون التنفيذية'!$N$2:$N$421,'الشؤون التنفيذية'!$B$2:$B$421,$B54,'الشؤون التنفيذية'!$G$2:$G$421,$G54,'الشؤون التنفيذية'!$I$2:$I$421,$I54)+SUMIFS('الجهاز العسكري'!$M$2:$M$631,'الجهاز العسكري'!$B$2:$B$631,$B54,'الجهاز العسكري'!$G$2:$G$631,$G54,'الجهاز العسكري'!$I$2:$I$631,$I54))/$L54,0))</f>
        <v>47</v>
      </c>
      <c r="O54" s="25" t="n">
        <f aca="false">IF($L54=0,0,ROUND((SUMIFS('المرتبطة بسمو الوزير'!$N$2:$N$151,'المرتبطة بسمو الوزير'!$B$2:$B$151,$B54,'المرتبطة بسمو الوزير'!$G$2:$G$151,$G54,'المرتبطة بسمو الوزير'!$I$2:$I$151,$I54)+SUMIFS('الشؤون التنفيذية'!$O$2:$O$421,'الشؤون التنفيذية'!$B$2:$B$421,$B54,'الشؤون التنفيذية'!$G$2:$G$421,$G54,'الشؤون التنفيذية'!$I$2:$I$421,$I54)+SUMIFS('الجهاز العسكري'!$N$2:$N$631,'الجهاز العسكري'!$B$2:$B$631,$B54,'الجهاز العسكري'!$G$2:$G$631,$G54,'الجهاز العسكري'!$I$2:$I$631,$I54))/$L54,0))</f>
        <v>90</v>
      </c>
      <c r="P54" s="22"/>
      <c r="Q54" s="19" t="n">
        <f aca="false">SUMIFS(المرجع!$G$2:$G$19,المرجع!$B$2:$B$19,$G54,المرجع!$E$2:$E$19,$I54)</f>
        <v>15</v>
      </c>
      <c r="R54" s="26" t="n">
        <f aca="false">ROUND($Q54*$N54/100,2)</f>
        <v>7.05</v>
      </c>
      <c r="S54" s="27" t="str">
        <f aca="false">IF($N54&gt;المرجع!$K$3,"متقدم",IF($N54&lt;=المرجع!$K$2,"أولي","جزئي"))</f>
        <v>جزئي</v>
      </c>
      <c r="T54" s="28" t="n">
        <f aca="false">ROUND($Q54*$O54/100,2)</f>
        <v>13.5</v>
      </c>
    </row>
    <row r="55" customFormat="false" ht="15" hidden="false" customHeight="true" outlineLevel="0" collapsed="false">
      <c r="A55" s="20" t="s">
        <v>1507</v>
      </c>
      <c r="B55" s="20" t="s">
        <v>154</v>
      </c>
      <c r="C55" s="19" t="str">
        <f aca="false">IFERROR(INDEX('قائمة الوحدات'!$B$2:$B$41,MATCH($B55,'قائمة الوحدات'!$A$2:$A$41,0)),"")</f>
        <v>TOP</v>
      </c>
      <c r="D55" s="18" t="str">
        <f aca="false">IFERROR(INDEX('قائمة الوحدات'!$C$2:$C$41,MATCH($B55,'قائمة الوحدات'!$A$2:$A$41,0)),"")</f>
        <v>المرتبطة بسمو الوزير</v>
      </c>
      <c r="E55" s="18" t="str">
        <f aca="false">IFERROR(INDEX('قائمة الوحدات'!$D$2:$D$41,MATCH($B55,'قائمة الوحدات'!$A$2:$A$41,0)),"")</f>
        <v>إدارة الحوكمة والمخاطر</v>
      </c>
      <c r="F55" s="18" t="str">
        <f aca="false">IFERROR(INDEX('قائمة الوحدات'!$F$2:$F$41,MATCH($B55,'قائمة الوحدات'!$A$2:$A$41,0)),"")</f>
        <v>إدارة الحوكمة والمخاطر</v>
      </c>
      <c r="G55" s="20" t="s">
        <v>66</v>
      </c>
      <c r="H55" s="18" t="str">
        <f aca="false">IFERROR(INDEX(المرجع!$A$2:$A$19,MATCH($G55,المرجع!$B$2:$B$19,0)),"")</f>
        <v>التشغيل</v>
      </c>
      <c r="I55" s="20" t="s">
        <v>71</v>
      </c>
      <c r="J55" s="18" t="str">
        <f aca="false">IFERROR(INDEX(المرجع!$D$2:$D$19,MATCH($I55,المرجع!$E$2:$E$19,0)),"")</f>
        <v>اكتمال المخرجات المستهدفة</v>
      </c>
      <c r="K55" s="19" t="n">
        <f aca="false">IFERROR(INDEX(المرجع!$F$2:$F$19,MATCH($I55,المرجع!$E$2:$E$19,0)),"")</f>
        <v>8</v>
      </c>
      <c r="L55" s="19" t="n">
        <f aca="false">SUMIFS(المرجع!$H$2:$H$19,المرجع!$B$2:$B$19,$G55,المرجع!$E$2:$E$19,$I55)</f>
        <v>1</v>
      </c>
      <c r="M55" s="19" t="n">
        <f aca="false">COUNTIFS('المرتبطة بسمو الوزير'!$B$2:$B$151,$B55,'المرتبطة بسمو الوزير'!$G$2:$G$151,$G55,'المرتبطة بسمو الوزير'!$I$2:$I$151,$I55,'المرتبطة بسمو الوزير'!$M$2:$M$151,"&lt;&gt;")+COUNTIFS('الشؤون التنفيذية'!$B$2:$B$421,$B55,'الشؤون التنفيذية'!$G$2:$G$421,$G55,'الشؤون التنفيذية'!$I$2:$I$421,$I55,'الشؤون التنفيذية'!$N$2:$N$421,"&lt;&gt;")+COUNTIFS('الجهاز العسكري'!$B$2:$B$631,$B55,'الجهاز العسكري'!$G$2:$G$631,$G55,'الجهاز العسكري'!$I$2:$I$631,$I55,'الجهاز العسكري'!$M$2:$M$631,"&lt;&gt;")</f>
        <v>1</v>
      </c>
      <c r="N55" s="24" t="n">
        <f aca="false">IF($L55=0,0,ROUND((SUMIFS('المرتبطة بسمو الوزير'!$M$2:$M$151,'المرتبطة بسمو الوزير'!$B$2:$B$151,$B55,'المرتبطة بسمو الوزير'!$G$2:$G$151,$G55,'المرتبطة بسمو الوزير'!$I$2:$I$151,$I55)+SUMIFS('الشؤون التنفيذية'!$N$2:$N$421,'الشؤون التنفيذية'!$B$2:$B$421,$B55,'الشؤون التنفيذية'!$G$2:$G$421,$G55,'الشؤون التنفيذية'!$I$2:$I$421,$I55)+SUMIFS('الجهاز العسكري'!$M$2:$M$631,'الجهاز العسكري'!$B$2:$B$631,$B55,'الجهاز العسكري'!$G$2:$G$631,$G55,'الجهاز العسكري'!$I$2:$I$631,$I55))/$L55,0))</f>
        <v>37</v>
      </c>
      <c r="O55" s="25" t="n">
        <f aca="false">IF($L55=0,0,ROUND((SUMIFS('المرتبطة بسمو الوزير'!$N$2:$N$151,'المرتبطة بسمو الوزير'!$B$2:$B$151,$B55,'المرتبطة بسمو الوزير'!$G$2:$G$151,$G55,'المرتبطة بسمو الوزير'!$I$2:$I$151,$I55)+SUMIFS('الشؤون التنفيذية'!$O$2:$O$421,'الشؤون التنفيذية'!$B$2:$B$421,$B55,'الشؤون التنفيذية'!$G$2:$G$421,$G55,'الشؤون التنفيذية'!$I$2:$I$421,$I55)+SUMIFS('الجهاز العسكري'!$N$2:$N$631,'الجهاز العسكري'!$B$2:$B$631,$B55,'الجهاز العسكري'!$G$2:$G$631,$G55,'الجهاز العسكري'!$I$2:$I$631,$I55))/$L55,0))</f>
        <v>100</v>
      </c>
      <c r="P55" s="22"/>
      <c r="Q55" s="19" t="n">
        <f aca="false">SUMIFS(المرجع!$G$2:$G$19,المرجع!$B$2:$B$19,$G55,المرجع!$E$2:$E$19,$I55)</f>
        <v>30</v>
      </c>
      <c r="R55" s="26" t="n">
        <f aca="false">ROUND($Q55*$N55/100,2)</f>
        <v>11.1</v>
      </c>
      <c r="S55" s="27" t="str">
        <f aca="false">IF($N55&gt;المرجع!$K$3,"متقدم",IF($N55&lt;=المرجع!$K$2,"أولي","جزئي"))</f>
        <v>جزئي</v>
      </c>
      <c r="T55" s="28" t="n">
        <f aca="false">ROUND($Q55*$O55/100,2)</f>
        <v>30</v>
      </c>
    </row>
    <row r="56" customFormat="false" ht="15" hidden="false" customHeight="true" outlineLevel="0" collapsed="false">
      <c r="A56" s="20" t="s">
        <v>1508</v>
      </c>
      <c r="B56" s="20" t="s">
        <v>156</v>
      </c>
      <c r="C56" s="19" t="str">
        <f aca="false">IFERROR(INDEX('قائمة الوحدات'!$B$2:$B$41,MATCH($B56,'قائمة الوحدات'!$A$2:$A$41,0)),"")</f>
        <v>TOP</v>
      </c>
      <c r="D56" s="18" t="str">
        <f aca="false">IFERROR(INDEX('قائمة الوحدات'!$C$2:$C$41,MATCH($B56,'قائمة الوحدات'!$A$2:$A$41,0)),"")</f>
        <v>المرتبطة بسمو الوزير</v>
      </c>
      <c r="E56" s="18" t="str">
        <f aca="false">IFERROR(INDEX('قائمة الوحدات'!$D$2:$D$41,MATCH($B56,'قائمة الوحدات'!$A$2:$A$41,0)),"")</f>
        <v>إدارة الشؤون القانونية</v>
      </c>
      <c r="F56" s="18" t="str">
        <f aca="false">IFERROR(INDEX('قائمة الوحدات'!$F$2:$F$41,MATCH($B56,'قائمة الوحدات'!$A$2:$A$41,0)),"")</f>
        <v>إدارة الشؤون القانونية</v>
      </c>
      <c r="G56" s="20" t="s">
        <v>44</v>
      </c>
      <c r="H56" s="18" t="str">
        <f aca="false">IFERROR(INDEX(المرجع!$A$2:$A$19,MATCH($G56,المرجع!$B$2:$B$19,0)),"")</f>
        <v>التصميم</v>
      </c>
      <c r="I56" s="20" t="s">
        <v>46</v>
      </c>
      <c r="J56" s="18" t="str">
        <f aca="false">IFERROR(INDEX(المرجع!$D$2:$D$19,MATCH($I56,المرجع!$E$2:$E$19,0)),"")</f>
        <v>الدور</v>
      </c>
      <c r="K56" s="19" t="n">
        <f aca="false">IFERROR(INDEX(المرجع!$F$2:$F$19,MATCH($I56,المرجع!$E$2:$E$19,0)),"")</f>
        <v>1</v>
      </c>
      <c r="L56" s="19" t="n">
        <f aca="false">SUMIFS(المرجع!$H$2:$H$19,المرجع!$B$2:$B$19,$G56,المرجع!$E$2:$E$19,$I56)</f>
        <v>1</v>
      </c>
      <c r="M56" s="19" t="n">
        <f aca="false">COUNTIFS('المرتبطة بسمو الوزير'!$B$2:$B$151,$B56,'المرتبطة بسمو الوزير'!$G$2:$G$151,$G56,'المرتبطة بسمو الوزير'!$I$2:$I$151,$I56,'المرتبطة بسمو الوزير'!$M$2:$M$151,"&lt;&gt;")+COUNTIFS('الشؤون التنفيذية'!$B$2:$B$421,$B56,'الشؤون التنفيذية'!$G$2:$G$421,$G56,'الشؤون التنفيذية'!$I$2:$I$421,$I56,'الشؤون التنفيذية'!$N$2:$N$421,"&lt;&gt;")+COUNTIFS('الجهاز العسكري'!$B$2:$B$631,$B56,'الجهاز العسكري'!$G$2:$G$631,$G56,'الجهاز العسكري'!$I$2:$I$631,$I56,'الجهاز العسكري'!$M$2:$M$631,"&lt;&gt;")</f>
        <v>1</v>
      </c>
      <c r="N56" s="24" t="n">
        <f aca="false">IF($L56=0,0,ROUND((SUMIFS('المرتبطة بسمو الوزير'!$M$2:$M$151,'المرتبطة بسمو الوزير'!$B$2:$B$151,$B56,'المرتبطة بسمو الوزير'!$G$2:$G$151,$G56,'المرتبطة بسمو الوزير'!$I$2:$I$151,$I56)+SUMIFS('الشؤون التنفيذية'!$N$2:$N$421,'الشؤون التنفيذية'!$B$2:$B$421,$B56,'الشؤون التنفيذية'!$G$2:$G$421,$G56,'الشؤون التنفيذية'!$I$2:$I$421,$I56)+SUMIFS('الجهاز العسكري'!$M$2:$M$631,'الجهاز العسكري'!$B$2:$B$631,$B56,'الجهاز العسكري'!$G$2:$G$631,$G56,'الجهاز العسكري'!$I$2:$I$631,$I56))/$L56,0))</f>
        <v>84</v>
      </c>
      <c r="O56" s="25" t="n">
        <f aca="false">IF($L56=0,0,ROUND((SUMIFS('المرتبطة بسمو الوزير'!$N$2:$N$151,'المرتبطة بسمو الوزير'!$B$2:$B$151,$B56,'المرتبطة بسمو الوزير'!$G$2:$G$151,$G56,'المرتبطة بسمو الوزير'!$I$2:$I$151,$I56)+SUMIFS('الشؤون التنفيذية'!$O$2:$O$421,'الشؤون التنفيذية'!$B$2:$B$421,$B56,'الشؤون التنفيذية'!$G$2:$G$421,$G56,'الشؤون التنفيذية'!$I$2:$I$421,$I56)+SUMIFS('الجهاز العسكري'!$N$2:$N$631,'الجهاز العسكري'!$B$2:$B$631,$B56,'الجهاز العسكري'!$G$2:$G$631,$G56,'الجهاز العسكري'!$I$2:$I$631,$I56))/$L56,0))</f>
        <v>95</v>
      </c>
      <c r="P56" s="22"/>
      <c r="Q56" s="19" t="n">
        <f aca="false">SUMIFS(المرجع!$G$2:$G$19,المرجع!$B$2:$B$19,$G56,المرجع!$E$2:$E$19,$I56)</f>
        <v>25</v>
      </c>
      <c r="R56" s="26" t="n">
        <f aca="false">ROUND($Q56*$N56/100,2)</f>
        <v>21</v>
      </c>
      <c r="S56" s="27" t="str">
        <f aca="false">IF($N56&gt;المرجع!$K$3,"متقدم",IF($N56&lt;=المرجع!$K$2,"أولي","جزئي"))</f>
        <v>متقدم</v>
      </c>
      <c r="T56" s="28" t="n">
        <f aca="false">ROUND($Q56*$O56/100,2)</f>
        <v>23.75</v>
      </c>
    </row>
    <row r="57" customFormat="false" ht="15" hidden="false" customHeight="true" outlineLevel="0" collapsed="false">
      <c r="A57" s="20" t="s">
        <v>1509</v>
      </c>
      <c r="B57" s="20" t="s">
        <v>156</v>
      </c>
      <c r="C57" s="19" t="str">
        <f aca="false">IFERROR(INDEX('قائمة الوحدات'!$B$2:$B$41,MATCH($B57,'قائمة الوحدات'!$A$2:$A$41,0)),"")</f>
        <v>TOP</v>
      </c>
      <c r="D57" s="18" t="str">
        <f aca="false">IFERROR(INDEX('قائمة الوحدات'!$C$2:$C$41,MATCH($B57,'قائمة الوحدات'!$A$2:$A$41,0)),"")</f>
        <v>المرتبطة بسمو الوزير</v>
      </c>
      <c r="E57" s="18" t="str">
        <f aca="false">IFERROR(INDEX('قائمة الوحدات'!$D$2:$D$41,MATCH($B57,'قائمة الوحدات'!$A$2:$A$41,0)),"")</f>
        <v>إدارة الشؤون القانونية</v>
      </c>
      <c r="F57" s="18" t="str">
        <f aca="false">IFERROR(INDEX('قائمة الوحدات'!$F$2:$F$41,MATCH($B57,'قائمة الوحدات'!$A$2:$A$41,0)),"")</f>
        <v>إدارة الشؤون القانونية</v>
      </c>
      <c r="G57" s="20" t="s">
        <v>44</v>
      </c>
      <c r="H57" s="18" t="str">
        <f aca="false">IFERROR(INDEX(المرجع!$A$2:$A$19,MATCH($G57,المرجع!$B$2:$B$19,0)),"")</f>
        <v>التصميم</v>
      </c>
      <c r="I57" s="20" t="s">
        <v>49</v>
      </c>
      <c r="J57" s="18" t="str">
        <f aca="false">IFERROR(INDEX(المرجع!$D$2:$D$19,MATCH($I57,المرجع!$E$2:$E$19,0)),"")</f>
        <v>الأهداف ومؤشرات الأداء</v>
      </c>
      <c r="K57" s="19" t="n">
        <f aca="false">IFERROR(INDEX(المرجع!$F$2:$F$19,MATCH($I57,المرجع!$E$2:$E$19,0)),"")</f>
        <v>2</v>
      </c>
      <c r="L57" s="19" t="n">
        <f aca="false">SUMIFS(المرجع!$H$2:$H$19,المرجع!$B$2:$B$19,$G57,المرجع!$E$2:$E$19,$I57)</f>
        <v>2</v>
      </c>
      <c r="M57" s="19" t="n">
        <f aca="false">COUNTIFS('المرتبطة بسمو الوزير'!$B$2:$B$151,$B57,'المرتبطة بسمو الوزير'!$G$2:$G$151,$G57,'المرتبطة بسمو الوزير'!$I$2:$I$151,$I57,'المرتبطة بسمو الوزير'!$M$2:$M$151,"&lt;&gt;")+COUNTIFS('الشؤون التنفيذية'!$B$2:$B$421,$B57,'الشؤون التنفيذية'!$G$2:$G$421,$G57,'الشؤون التنفيذية'!$I$2:$I$421,$I57,'الشؤون التنفيذية'!$N$2:$N$421,"&lt;&gt;")+COUNTIFS('الجهاز العسكري'!$B$2:$B$631,$B57,'الجهاز العسكري'!$G$2:$G$631,$G57,'الجهاز العسكري'!$I$2:$I$631,$I57,'الجهاز العسكري'!$M$2:$M$631,"&lt;&gt;")</f>
        <v>2</v>
      </c>
      <c r="N57" s="24" t="n">
        <f aca="false">IF($L57=0,0,ROUND((SUMIFS('المرتبطة بسمو الوزير'!$M$2:$M$151,'المرتبطة بسمو الوزير'!$B$2:$B$151,$B57,'المرتبطة بسمو الوزير'!$G$2:$G$151,$G57,'المرتبطة بسمو الوزير'!$I$2:$I$151,$I57)+SUMIFS('الشؤون التنفيذية'!$N$2:$N$421,'الشؤون التنفيذية'!$B$2:$B$421,$B57,'الشؤون التنفيذية'!$G$2:$G$421,$G57,'الشؤون التنفيذية'!$I$2:$I$421,$I57)+SUMIFS('الجهاز العسكري'!$M$2:$M$631,'الجهاز العسكري'!$B$2:$B$631,$B57,'الجهاز العسكري'!$G$2:$G$631,$G57,'الجهاز العسكري'!$I$2:$I$631,$I57))/$L57,0))</f>
        <v>98</v>
      </c>
      <c r="O57" s="25" t="n">
        <f aca="false">IF($L57=0,0,ROUND((SUMIFS('المرتبطة بسمو الوزير'!$N$2:$N$151,'المرتبطة بسمو الوزير'!$B$2:$B$151,$B57,'المرتبطة بسمو الوزير'!$G$2:$G$151,$G57,'المرتبطة بسمو الوزير'!$I$2:$I$151,$I57)+SUMIFS('الشؤون التنفيذية'!$O$2:$O$421,'الشؤون التنفيذية'!$B$2:$B$421,$B57,'الشؤون التنفيذية'!$G$2:$G$421,$G57,'الشؤون التنفيذية'!$I$2:$I$421,$I57)+SUMIFS('الجهاز العسكري'!$N$2:$N$631,'الجهاز العسكري'!$B$2:$B$631,$B57,'الجهاز العسكري'!$G$2:$G$631,$G57,'الجهاز العسكري'!$I$2:$I$631,$I57))/$L57,0))</f>
        <v>98</v>
      </c>
      <c r="P57" s="22"/>
      <c r="Q57" s="19" t="n">
        <f aca="false">SUMIFS(المرجع!$G$2:$G$19,المرجع!$B$2:$B$19,$G57,المرجع!$E$2:$E$19,$I57)</f>
        <v>15</v>
      </c>
      <c r="R57" s="26" t="n">
        <f aca="false">ROUND($Q57*$N57/100,2)</f>
        <v>14.7</v>
      </c>
      <c r="S57" s="27" t="str">
        <f aca="false">IF($N57&gt;المرجع!$K$3,"متقدم",IF($N57&lt;=المرجع!$K$2,"أولي","جزئي"))</f>
        <v>متقدم</v>
      </c>
      <c r="T57" s="28" t="n">
        <f aca="false">ROUND($Q57*$O57/100,2)</f>
        <v>14.7</v>
      </c>
    </row>
    <row r="58" customFormat="false" ht="15" hidden="false" customHeight="true" outlineLevel="0" collapsed="false">
      <c r="A58" s="20" t="s">
        <v>1510</v>
      </c>
      <c r="B58" s="20" t="s">
        <v>156</v>
      </c>
      <c r="C58" s="19" t="str">
        <f aca="false">IFERROR(INDEX('قائمة الوحدات'!$B$2:$B$41,MATCH($B58,'قائمة الوحدات'!$A$2:$A$41,0)),"")</f>
        <v>TOP</v>
      </c>
      <c r="D58" s="18" t="str">
        <f aca="false">IFERROR(INDEX('قائمة الوحدات'!$C$2:$C$41,MATCH($B58,'قائمة الوحدات'!$A$2:$A$41,0)),"")</f>
        <v>المرتبطة بسمو الوزير</v>
      </c>
      <c r="E58" s="18" t="str">
        <f aca="false">IFERROR(INDEX('قائمة الوحدات'!$D$2:$D$41,MATCH($B58,'قائمة الوحدات'!$A$2:$A$41,0)),"")</f>
        <v>إدارة الشؤون القانونية</v>
      </c>
      <c r="F58" s="18" t="str">
        <f aca="false">IFERROR(INDEX('قائمة الوحدات'!$F$2:$F$41,MATCH($B58,'قائمة الوحدات'!$A$2:$A$41,0)),"")</f>
        <v>إدارة الشؤون القانونية</v>
      </c>
      <c r="G58" s="20" t="s">
        <v>44</v>
      </c>
      <c r="H58" s="18" t="str">
        <f aca="false">IFERROR(INDEX(المرجع!$A$2:$A$19,MATCH($G58,المرجع!$B$2:$B$19,0)),"")</f>
        <v>التصميم</v>
      </c>
      <c r="I58" s="20" t="s">
        <v>52</v>
      </c>
      <c r="J58" s="18" t="str">
        <f aca="false">IFERROR(INDEX(المرجع!$D$2:$D$19,MATCH($I58,المرجع!$E$2:$E$19,0)),"")</f>
        <v>الحوكمة</v>
      </c>
      <c r="K58" s="19" t="n">
        <f aca="false">IFERROR(INDEX(المرجع!$F$2:$F$19,MATCH($I58,المرجع!$E$2:$E$19,0)),"")</f>
        <v>3</v>
      </c>
      <c r="L58" s="19" t="n">
        <f aca="false">SUMIFS(المرجع!$H$2:$H$19,المرجع!$B$2:$B$19,$G58,المرجع!$E$2:$E$19,$I58)</f>
        <v>1</v>
      </c>
      <c r="M58" s="19" t="n">
        <f aca="false">COUNTIFS('المرتبطة بسمو الوزير'!$B$2:$B$151,$B58,'المرتبطة بسمو الوزير'!$G$2:$G$151,$G58,'المرتبطة بسمو الوزير'!$I$2:$I$151,$I58,'المرتبطة بسمو الوزير'!$M$2:$M$151,"&lt;&gt;")+COUNTIFS('الشؤون التنفيذية'!$B$2:$B$421,$B58,'الشؤون التنفيذية'!$G$2:$G$421,$G58,'الشؤون التنفيذية'!$I$2:$I$421,$I58,'الشؤون التنفيذية'!$N$2:$N$421,"&lt;&gt;")+COUNTIFS('الجهاز العسكري'!$B$2:$B$631,$B58,'الجهاز العسكري'!$G$2:$G$631,$G58,'الجهاز العسكري'!$I$2:$I$631,$I58,'الجهاز العسكري'!$M$2:$M$631,"&lt;&gt;")</f>
        <v>1</v>
      </c>
      <c r="N58" s="24" t="n">
        <f aca="false">IF($L58=0,0,ROUND((SUMIFS('المرتبطة بسمو الوزير'!$M$2:$M$151,'المرتبطة بسمو الوزير'!$B$2:$B$151,$B58,'المرتبطة بسمو الوزير'!$G$2:$G$151,$G58,'المرتبطة بسمو الوزير'!$I$2:$I$151,$I58)+SUMIFS('الشؤون التنفيذية'!$N$2:$N$421,'الشؤون التنفيذية'!$B$2:$B$421,$B58,'الشؤون التنفيذية'!$G$2:$G$421,$G58,'الشؤون التنفيذية'!$I$2:$I$421,$I58)+SUMIFS('الجهاز العسكري'!$M$2:$M$631,'الجهاز العسكري'!$B$2:$B$631,$B58,'الجهاز العسكري'!$G$2:$G$631,$G58,'الجهاز العسكري'!$I$2:$I$631,$I58))/$L58,0))</f>
        <v>84</v>
      </c>
      <c r="O58" s="25" t="n">
        <f aca="false">IF($L58=0,0,ROUND((SUMIFS('المرتبطة بسمو الوزير'!$N$2:$N$151,'المرتبطة بسمو الوزير'!$B$2:$B$151,$B58,'المرتبطة بسمو الوزير'!$G$2:$G$151,$G58,'المرتبطة بسمو الوزير'!$I$2:$I$151,$I58)+SUMIFS('الشؤون التنفيذية'!$O$2:$O$421,'الشؤون التنفيذية'!$B$2:$B$421,$B58,'الشؤون التنفيذية'!$G$2:$G$421,$G58,'الشؤون التنفيذية'!$I$2:$I$421,$I58)+SUMIFS('الجهاز العسكري'!$N$2:$N$631,'الجهاز العسكري'!$B$2:$B$631,$B58,'الجهاز العسكري'!$G$2:$G$631,$G58,'الجهاز العسكري'!$I$2:$I$631,$I58))/$L58,0))</f>
        <v>84</v>
      </c>
      <c r="P58" s="22"/>
      <c r="Q58" s="19" t="n">
        <f aca="false">SUMIFS(المرجع!$G$2:$G$19,المرجع!$B$2:$B$19,$G58,المرجع!$E$2:$E$19,$I58)</f>
        <v>15</v>
      </c>
      <c r="R58" s="26" t="n">
        <f aca="false">ROUND($Q58*$N58/100,2)</f>
        <v>12.6</v>
      </c>
      <c r="S58" s="27" t="str">
        <f aca="false">IF($N58&gt;المرجع!$K$3,"متقدم",IF($N58&lt;=المرجع!$K$2,"أولي","جزئي"))</f>
        <v>متقدم</v>
      </c>
      <c r="T58" s="28" t="n">
        <f aca="false">ROUND($Q58*$O58/100,2)</f>
        <v>12.6</v>
      </c>
    </row>
    <row r="59" customFormat="false" ht="15" hidden="false" customHeight="true" outlineLevel="0" collapsed="false">
      <c r="A59" s="20" t="s">
        <v>1511</v>
      </c>
      <c r="B59" s="20" t="s">
        <v>156</v>
      </c>
      <c r="C59" s="19" t="str">
        <f aca="false">IFERROR(INDEX('قائمة الوحدات'!$B$2:$B$41,MATCH($B59,'قائمة الوحدات'!$A$2:$A$41,0)),"")</f>
        <v>TOP</v>
      </c>
      <c r="D59" s="18" t="str">
        <f aca="false">IFERROR(INDEX('قائمة الوحدات'!$C$2:$C$41,MATCH($B59,'قائمة الوحدات'!$A$2:$A$41,0)),"")</f>
        <v>المرتبطة بسمو الوزير</v>
      </c>
      <c r="E59" s="18" t="str">
        <f aca="false">IFERROR(INDEX('قائمة الوحدات'!$D$2:$D$41,MATCH($B59,'قائمة الوحدات'!$A$2:$A$41,0)),"")</f>
        <v>إدارة الشؤون القانونية</v>
      </c>
      <c r="F59" s="18" t="str">
        <f aca="false">IFERROR(INDEX('قائمة الوحدات'!$F$2:$F$41,MATCH($B59,'قائمة الوحدات'!$A$2:$A$41,0)),"")</f>
        <v>إدارة الشؤون القانونية</v>
      </c>
      <c r="G59" s="20" t="s">
        <v>44</v>
      </c>
      <c r="H59" s="18" t="str">
        <f aca="false">IFERROR(INDEX(المرجع!$A$2:$A$19,MATCH($G59,المرجع!$B$2:$B$19,0)),"")</f>
        <v>التصميم</v>
      </c>
      <c r="I59" s="20" t="s">
        <v>55</v>
      </c>
      <c r="J59" s="18" t="str">
        <f aca="false">IFERROR(INDEX(المرجع!$D$2:$D$19,MATCH($I59,المرجع!$E$2:$E$19,0)),"")</f>
        <v>التنظيم</v>
      </c>
      <c r="K59" s="19" t="n">
        <f aca="false">IFERROR(INDEX(المرجع!$F$2:$F$19,MATCH($I59,المرجع!$E$2:$E$19,0)),"")</f>
        <v>4</v>
      </c>
      <c r="L59" s="19" t="n">
        <f aca="false">SUMIFS(المرجع!$H$2:$H$19,المرجع!$B$2:$B$19,$G59,المرجع!$E$2:$E$19,$I59)</f>
        <v>1</v>
      </c>
      <c r="M59" s="19" t="n">
        <f aca="false">COUNTIFS('المرتبطة بسمو الوزير'!$B$2:$B$151,$B59,'المرتبطة بسمو الوزير'!$G$2:$G$151,$G59,'المرتبطة بسمو الوزير'!$I$2:$I$151,$I59,'المرتبطة بسمو الوزير'!$M$2:$M$151,"&lt;&gt;")+COUNTIFS('الشؤون التنفيذية'!$B$2:$B$421,$B59,'الشؤون التنفيذية'!$G$2:$G$421,$G59,'الشؤون التنفيذية'!$I$2:$I$421,$I59,'الشؤون التنفيذية'!$N$2:$N$421,"&lt;&gt;")+COUNTIFS('الجهاز العسكري'!$B$2:$B$631,$B59,'الجهاز العسكري'!$G$2:$G$631,$G59,'الجهاز العسكري'!$I$2:$I$631,$I59,'الجهاز العسكري'!$M$2:$M$631,"&lt;&gt;")</f>
        <v>1</v>
      </c>
      <c r="N59" s="24" t="n">
        <f aca="false">IF($L59=0,0,ROUND((SUMIFS('المرتبطة بسمو الوزير'!$M$2:$M$151,'المرتبطة بسمو الوزير'!$B$2:$B$151,$B59,'المرتبطة بسمو الوزير'!$G$2:$G$151,$G59,'المرتبطة بسمو الوزير'!$I$2:$I$151,$I59)+SUMIFS('الشؤون التنفيذية'!$N$2:$N$421,'الشؤون التنفيذية'!$B$2:$B$421,$B59,'الشؤون التنفيذية'!$G$2:$G$421,$G59,'الشؤون التنفيذية'!$I$2:$I$421,$I59)+SUMIFS('الجهاز العسكري'!$M$2:$M$631,'الجهاز العسكري'!$B$2:$B$631,$B59,'الجهاز العسكري'!$G$2:$G$631,$G59,'الجهاز العسكري'!$I$2:$I$631,$I59))/$L59,0))</f>
        <v>69</v>
      </c>
      <c r="O59" s="25" t="n">
        <f aca="false">IF($L59=0,0,ROUND((SUMIFS('المرتبطة بسمو الوزير'!$N$2:$N$151,'المرتبطة بسمو الوزير'!$B$2:$B$151,$B59,'المرتبطة بسمو الوزير'!$G$2:$G$151,$G59,'المرتبطة بسمو الوزير'!$I$2:$I$151,$I59)+SUMIFS('الشؤون التنفيذية'!$O$2:$O$421,'الشؤون التنفيذية'!$B$2:$B$421,$B59,'الشؤون التنفيذية'!$G$2:$G$421,$G59,'الشؤون التنفيذية'!$I$2:$I$421,$I59)+SUMIFS('الجهاز العسكري'!$N$2:$N$631,'الجهاز العسكري'!$B$2:$B$631,$B59,'الجهاز العسكري'!$G$2:$G$631,$G59,'الجهاز العسكري'!$I$2:$I$631,$I59))/$L59,0))</f>
        <v>80</v>
      </c>
      <c r="P59" s="22"/>
      <c r="Q59" s="19" t="n">
        <f aca="false">SUMIFS(المرجع!$G$2:$G$19,المرجع!$B$2:$B$19,$G59,المرجع!$E$2:$E$19,$I59)</f>
        <v>20</v>
      </c>
      <c r="R59" s="26" t="n">
        <f aca="false">ROUND($Q59*$N59/100,2)</f>
        <v>13.8</v>
      </c>
      <c r="S59" s="27" t="str">
        <f aca="false">IF($N59&gt;المرجع!$K$3,"متقدم",IF($N59&lt;=المرجع!$K$2,"أولي","جزئي"))</f>
        <v>جزئي</v>
      </c>
      <c r="T59" s="28" t="n">
        <f aca="false">ROUND($Q59*$O59/100,2)</f>
        <v>16</v>
      </c>
    </row>
    <row r="60" customFormat="false" ht="15" hidden="false" customHeight="true" outlineLevel="0" collapsed="false">
      <c r="A60" s="20" t="s">
        <v>1512</v>
      </c>
      <c r="B60" s="20" t="s">
        <v>156</v>
      </c>
      <c r="C60" s="19" t="str">
        <f aca="false">IFERROR(INDEX('قائمة الوحدات'!$B$2:$B$41,MATCH($B60,'قائمة الوحدات'!$A$2:$A$41,0)),"")</f>
        <v>TOP</v>
      </c>
      <c r="D60" s="18" t="str">
        <f aca="false">IFERROR(INDEX('قائمة الوحدات'!$C$2:$C$41,MATCH($B60,'قائمة الوحدات'!$A$2:$A$41,0)),"")</f>
        <v>المرتبطة بسمو الوزير</v>
      </c>
      <c r="E60" s="18" t="str">
        <f aca="false">IFERROR(INDEX('قائمة الوحدات'!$D$2:$D$41,MATCH($B60,'قائمة الوحدات'!$A$2:$A$41,0)),"")</f>
        <v>إدارة الشؤون القانونية</v>
      </c>
      <c r="F60" s="18" t="str">
        <f aca="false">IFERROR(INDEX('قائمة الوحدات'!$F$2:$F$41,MATCH($B60,'قائمة الوحدات'!$A$2:$A$41,0)),"")</f>
        <v>إدارة الشؤون القانونية</v>
      </c>
      <c r="G60" s="20" t="s">
        <v>44</v>
      </c>
      <c r="H60" s="18" t="str">
        <f aca="false">IFERROR(INDEX(المرجع!$A$2:$A$19,MATCH($G60,المرجع!$B$2:$B$19,0)),"")</f>
        <v>التصميم</v>
      </c>
      <c r="I60" s="20" t="s">
        <v>57</v>
      </c>
      <c r="J60" s="18" t="str">
        <f aca="false">IFERROR(INDEX(المرجع!$D$2:$D$19,MATCH($I60,المرجع!$E$2:$E$19,0)),"")</f>
        <v>الموارد</v>
      </c>
      <c r="K60" s="19" t="n">
        <f aca="false">IFERROR(INDEX(المرجع!$F$2:$F$19,MATCH($I60,المرجع!$E$2:$E$19,0)),"")</f>
        <v>5</v>
      </c>
      <c r="L60" s="19" t="n">
        <f aca="false">SUMIFS(المرجع!$H$2:$H$19,المرجع!$B$2:$B$19,$G60,المرجع!$E$2:$E$19,$I60)</f>
        <v>1</v>
      </c>
      <c r="M60" s="19" t="n">
        <f aca="false">COUNTIFS('المرتبطة بسمو الوزير'!$B$2:$B$151,$B60,'المرتبطة بسمو الوزير'!$G$2:$G$151,$G60,'المرتبطة بسمو الوزير'!$I$2:$I$151,$I60,'المرتبطة بسمو الوزير'!$M$2:$M$151,"&lt;&gt;")+COUNTIFS('الشؤون التنفيذية'!$B$2:$B$421,$B60,'الشؤون التنفيذية'!$G$2:$G$421,$G60,'الشؤون التنفيذية'!$I$2:$I$421,$I60,'الشؤون التنفيذية'!$N$2:$N$421,"&lt;&gt;")+COUNTIFS('الجهاز العسكري'!$B$2:$B$631,$B60,'الجهاز العسكري'!$G$2:$G$631,$G60,'الجهاز العسكري'!$I$2:$I$631,$I60,'الجهاز العسكري'!$M$2:$M$631,"&lt;&gt;")</f>
        <v>1</v>
      </c>
      <c r="N60" s="24" t="n">
        <f aca="false">IF($L60=0,0,ROUND((SUMIFS('المرتبطة بسمو الوزير'!$M$2:$M$151,'المرتبطة بسمو الوزير'!$B$2:$B$151,$B60,'المرتبطة بسمو الوزير'!$G$2:$G$151,$G60,'المرتبطة بسمو الوزير'!$I$2:$I$151,$I60)+SUMIFS('الشؤون التنفيذية'!$N$2:$N$421,'الشؤون التنفيذية'!$B$2:$B$421,$B60,'الشؤون التنفيذية'!$G$2:$G$421,$G60,'الشؤون التنفيذية'!$I$2:$I$421,$I60)+SUMIFS('الجهاز العسكري'!$M$2:$M$631,'الجهاز العسكري'!$B$2:$B$631,$B60,'الجهاز العسكري'!$G$2:$G$631,$G60,'الجهاز العسكري'!$I$2:$I$631,$I60))/$L60,0))</f>
        <v>86</v>
      </c>
      <c r="O60" s="25" t="n">
        <f aca="false">IF($L60=0,0,ROUND((SUMIFS('المرتبطة بسمو الوزير'!$N$2:$N$151,'المرتبطة بسمو الوزير'!$B$2:$B$151,$B60,'المرتبطة بسمو الوزير'!$G$2:$G$151,$G60,'المرتبطة بسمو الوزير'!$I$2:$I$151,$I60)+SUMIFS('الشؤون التنفيذية'!$O$2:$O$421,'الشؤون التنفيذية'!$B$2:$B$421,$B60,'الشؤون التنفيذية'!$G$2:$G$421,$G60,'الشؤون التنفيذية'!$I$2:$I$421,$I60)+SUMIFS('الجهاز العسكري'!$N$2:$N$631,'الجهاز العسكري'!$B$2:$B$631,$B60,'الجهاز العسكري'!$G$2:$G$631,$G60,'الجهاز العسكري'!$I$2:$I$631,$I60))/$L60,0))</f>
        <v>100</v>
      </c>
      <c r="P60" s="22"/>
      <c r="Q60" s="19" t="n">
        <f aca="false">SUMIFS(المرجع!$G$2:$G$19,المرجع!$B$2:$B$19,$G60,المرجع!$E$2:$E$19,$I60)</f>
        <v>20</v>
      </c>
      <c r="R60" s="26" t="n">
        <f aca="false">ROUND($Q60*$N60/100,2)</f>
        <v>17.2</v>
      </c>
      <c r="S60" s="27" t="str">
        <f aca="false">IF($N60&gt;المرجع!$K$3,"متقدم",IF($N60&lt;=المرجع!$K$2,"أولي","جزئي"))</f>
        <v>متقدم</v>
      </c>
      <c r="T60" s="28" t="n">
        <f aca="false">ROUND($Q60*$O60/100,2)</f>
        <v>20</v>
      </c>
    </row>
    <row r="61" customFormat="false" ht="15" hidden="false" customHeight="true" outlineLevel="0" collapsed="false">
      <c r="A61" s="20" t="s">
        <v>1513</v>
      </c>
      <c r="B61" s="20" t="s">
        <v>156</v>
      </c>
      <c r="C61" s="19" t="str">
        <f aca="false">IFERROR(INDEX('قائمة الوحدات'!$B$2:$B$41,MATCH($B61,'قائمة الوحدات'!$A$2:$A$41,0)),"")</f>
        <v>TOP</v>
      </c>
      <c r="D61" s="18" t="str">
        <f aca="false">IFERROR(INDEX('قائمة الوحدات'!$C$2:$C$41,MATCH($B61,'قائمة الوحدات'!$A$2:$A$41,0)),"")</f>
        <v>المرتبطة بسمو الوزير</v>
      </c>
      <c r="E61" s="18" t="str">
        <f aca="false">IFERROR(INDEX('قائمة الوحدات'!$D$2:$D$41,MATCH($B61,'قائمة الوحدات'!$A$2:$A$41,0)),"")</f>
        <v>إدارة الشؤون القانونية</v>
      </c>
      <c r="F61" s="18" t="str">
        <f aca="false">IFERROR(INDEX('قائمة الوحدات'!$F$2:$F$41,MATCH($B61,'قائمة الوحدات'!$A$2:$A$41,0)),"")</f>
        <v>إدارة الشؤون القانونية</v>
      </c>
      <c r="G61" s="20" t="s">
        <v>44</v>
      </c>
      <c r="H61" s="18" t="str">
        <f aca="false">IFERROR(INDEX(المرجع!$A$2:$A$19,MATCH($G61,المرجع!$B$2:$B$19,0)),"")</f>
        <v>التصميم</v>
      </c>
      <c r="I61" s="20" t="s">
        <v>60</v>
      </c>
      <c r="J61" s="18" t="str">
        <f aca="false">IFERROR(INDEX(المرجع!$D$2:$D$19,MATCH($I61,المرجع!$E$2:$E$19,0)),"")</f>
        <v>الإجراءات</v>
      </c>
      <c r="K61" s="19" t="n">
        <f aca="false">IFERROR(INDEX(المرجع!$F$2:$F$19,MATCH($I61,المرجع!$E$2:$E$19,0)),"")</f>
        <v>6</v>
      </c>
      <c r="L61" s="19" t="n">
        <f aca="false">SUMIFS(المرجع!$H$2:$H$19,المرجع!$B$2:$B$19,$G61,المرجع!$E$2:$E$19,$I61)</f>
        <v>1</v>
      </c>
      <c r="M61" s="19" t="n">
        <f aca="false">COUNTIFS('المرتبطة بسمو الوزير'!$B$2:$B$151,$B61,'المرتبطة بسمو الوزير'!$G$2:$G$151,$G61,'المرتبطة بسمو الوزير'!$I$2:$I$151,$I61,'المرتبطة بسمو الوزير'!$M$2:$M$151,"&lt;&gt;")+COUNTIFS('الشؤون التنفيذية'!$B$2:$B$421,$B61,'الشؤون التنفيذية'!$G$2:$G$421,$G61,'الشؤون التنفيذية'!$I$2:$I$421,$I61,'الشؤون التنفيذية'!$N$2:$N$421,"&lt;&gt;")+COUNTIFS('الجهاز العسكري'!$B$2:$B$631,$B61,'الجهاز العسكري'!$G$2:$G$631,$G61,'الجهاز العسكري'!$I$2:$I$631,$I61,'الجهاز العسكري'!$M$2:$M$631,"&lt;&gt;")</f>
        <v>1</v>
      </c>
      <c r="N61" s="24" t="n">
        <f aca="false">IF($L61=0,0,ROUND((SUMIFS('المرتبطة بسمو الوزير'!$M$2:$M$151,'المرتبطة بسمو الوزير'!$B$2:$B$151,$B61,'المرتبطة بسمو الوزير'!$G$2:$G$151,$G61,'المرتبطة بسمو الوزير'!$I$2:$I$151,$I61)+SUMIFS('الشؤون التنفيذية'!$N$2:$N$421,'الشؤون التنفيذية'!$B$2:$B$421,$B61,'الشؤون التنفيذية'!$G$2:$G$421,$G61,'الشؤون التنفيذية'!$I$2:$I$421,$I61)+SUMIFS('الجهاز العسكري'!$M$2:$M$631,'الجهاز العسكري'!$B$2:$B$631,$B61,'الجهاز العسكري'!$G$2:$G$631,$G61,'الجهاز العسكري'!$I$2:$I$631,$I61))/$L61,0))</f>
        <v>87</v>
      </c>
      <c r="O61" s="25" t="n">
        <f aca="false">IF($L61=0,0,ROUND((SUMIFS('المرتبطة بسمو الوزير'!$N$2:$N$151,'المرتبطة بسمو الوزير'!$B$2:$B$151,$B61,'المرتبطة بسمو الوزير'!$G$2:$G$151,$G61,'المرتبطة بسمو الوزير'!$I$2:$I$151,$I61)+SUMIFS('الشؤون التنفيذية'!$O$2:$O$421,'الشؤون التنفيذية'!$B$2:$B$421,$B61,'الشؤون التنفيذية'!$G$2:$G$421,$G61,'الشؤون التنفيذية'!$I$2:$I$421,$I61)+SUMIFS('الجهاز العسكري'!$N$2:$N$631,'الجهاز العسكري'!$B$2:$B$631,$B61,'الجهاز العسكري'!$G$2:$G$631,$G61,'الجهاز العسكري'!$I$2:$I$631,$I61))/$L61,0))</f>
        <v>95</v>
      </c>
      <c r="P61" s="22"/>
      <c r="Q61" s="19" t="n">
        <f aca="false">SUMIFS(المرجع!$G$2:$G$19,المرجع!$B$2:$B$19,$G61,المرجع!$E$2:$E$19,$I61)</f>
        <v>5</v>
      </c>
      <c r="R61" s="26" t="n">
        <f aca="false">ROUND($Q61*$N61/100,2)</f>
        <v>4.35</v>
      </c>
      <c r="S61" s="27" t="str">
        <f aca="false">IF($N61&gt;المرجع!$K$3,"متقدم",IF($N61&lt;=المرجع!$K$2,"أولي","جزئي"))</f>
        <v>متقدم</v>
      </c>
      <c r="T61" s="28" t="n">
        <f aca="false">ROUND($Q61*$O61/100,2)</f>
        <v>4.75</v>
      </c>
    </row>
    <row r="62" customFormat="false" ht="15" hidden="false" customHeight="true" outlineLevel="0" collapsed="false">
      <c r="A62" s="20" t="s">
        <v>1514</v>
      </c>
      <c r="B62" s="20" t="s">
        <v>156</v>
      </c>
      <c r="C62" s="19" t="str">
        <f aca="false">IFERROR(INDEX('قائمة الوحدات'!$B$2:$B$41,MATCH($B62,'قائمة الوحدات'!$A$2:$A$41,0)),"")</f>
        <v>TOP</v>
      </c>
      <c r="D62" s="18" t="str">
        <f aca="false">IFERROR(INDEX('قائمة الوحدات'!$C$2:$C$41,MATCH($B62,'قائمة الوحدات'!$A$2:$A$41,0)),"")</f>
        <v>المرتبطة بسمو الوزير</v>
      </c>
      <c r="E62" s="18" t="str">
        <f aca="false">IFERROR(INDEX('قائمة الوحدات'!$D$2:$D$41,MATCH($B62,'قائمة الوحدات'!$A$2:$A$41,0)),"")</f>
        <v>إدارة الشؤون القانونية</v>
      </c>
      <c r="F62" s="18" t="str">
        <f aca="false">IFERROR(INDEX('قائمة الوحدات'!$F$2:$F$41,MATCH($B62,'قائمة الوحدات'!$A$2:$A$41,0)),"")</f>
        <v>إدارة الشؤون القانونية</v>
      </c>
      <c r="G62" s="20" t="s">
        <v>62</v>
      </c>
      <c r="H62" s="18" t="str">
        <f aca="false">IFERROR(INDEX(المرجع!$A$2:$A$19,MATCH($G62,المرجع!$B$2:$B$19,0)),"")</f>
        <v>البناء المؤسسي</v>
      </c>
      <c r="I62" s="20" t="s">
        <v>46</v>
      </c>
      <c r="J62" s="18" t="str">
        <f aca="false">IFERROR(INDEX(المرجع!$D$2:$D$19,MATCH($I62,المرجع!$E$2:$E$19,0)),"")</f>
        <v>الدور</v>
      </c>
      <c r="K62" s="19" t="n">
        <f aca="false">IFERROR(INDEX(المرجع!$F$2:$F$19,MATCH($I62,المرجع!$E$2:$E$19,0)),"")</f>
        <v>1</v>
      </c>
      <c r="L62" s="19" t="n">
        <f aca="false">SUMIFS(المرجع!$H$2:$H$19,المرجع!$B$2:$B$19,$G62,المرجع!$E$2:$E$19,$I62)</f>
        <v>1</v>
      </c>
      <c r="M62" s="19" t="n">
        <f aca="false">COUNTIFS('المرتبطة بسمو الوزير'!$B$2:$B$151,$B62,'المرتبطة بسمو الوزير'!$G$2:$G$151,$G62,'المرتبطة بسمو الوزير'!$I$2:$I$151,$I62,'المرتبطة بسمو الوزير'!$M$2:$M$151,"&lt;&gt;")+COUNTIFS('الشؤون التنفيذية'!$B$2:$B$421,$B62,'الشؤون التنفيذية'!$G$2:$G$421,$G62,'الشؤون التنفيذية'!$I$2:$I$421,$I62,'الشؤون التنفيذية'!$N$2:$N$421,"&lt;&gt;")+COUNTIFS('الجهاز العسكري'!$B$2:$B$631,$B62,'الجهاز العسكري'!$G$2:$G$631,$G62,'الجهاز العسكري'!$I$2:$I$631,$I62,'الجهاز العسكري'!$M$2:$M$631,"&lt;&gt;")</f>
        <v>1</v>
      </c>
      <c r="N62" s="24" t="n">
        <f aca="false">IF($L62=0,0,ROUND((SUMIFS('المرتبطة بسمو الوزير'!$M$2:$M$151,'المرتبطة بسمو الوزير'!$B$2:$B$151,$B62,'المرتبطة بسمو الوزير'!$G$2:$G$151,$G62,'المرتبطة بسمو الوزير'!$I$2:$I$151,$I62)+SUMIFS('الشؤون التنفيذية'!$N$2:$N$421,'الشؤون التنفيذية'!$B$2:$B$421,$B62,'الشؤون التنفيذية'!$G$2:$G$421,$G62,'الشؤون التنفيذية'!$I$2:$I$421,$I62)+SUMIFS('الجهاز العسكري'!$M$2:$M$631,'الجهاز العسكري'!$B$2:$B$631,$B62,'الجهاز العسكري'!$G$2:$G$631,$G62,'الجهاز العسكري'!$I$2:$I$631,$I62))/$L62,0))</f>
        <v>48</v>
      </c>
      <c r="O62" s="25" t="n">
        <f aca="false">IF($L62=0,0,ROUND((SUMIFS('المرتبطة بسمو الوزير'!$N$2:$N$151,'المرتبطة بسمو الوزير'!$B$2:$B$151,$B62,'المرتبطة بسمو الوزير'!$G$2:$G$151,$G62,'المرتبطة بسمو الوزير'!$I$2:$I$151,$I62)+SUMIFS('الشؤون التنفيذية'!$O$2:$O$421,'الشؤون التنفيذية'!$B$2:$B$421,$B62,'الشؤون التنفيذية'!$G$2:$G$421,$G62,'الشؤون التنفيذية'!$I$2:$I$421,$I62)+SUMIFS('الجهاز العسكري'!$N$2:$N$631,'الجهاز العسكري'!$B$2:$B$631,$B62,'الجهاز العسكري'!$G$2:$G$631,$G62,'الجهاز العسكري'!$I$2:$I$631,$I62))/$L62,0))</f>
        <v>85</v>
      </c>
      <c r="P62" s="22"/>
      <c r="Q62" s="19" t="n">
        <f aca="false">SUMIFS(المرجع!$G$2:$G$19,المرجع!$B$2:$B$19,$G62,المرجع!$E$2:$E$19,$I62)</f>
        <v>15</v>
      </c>
      <c r="R62" s="26" t="n">
        <f aca="false">ROUND($Q62*$N62/100,2)</f>
        <v>7.2</v>
      </c>
      <c r="S62" s="27" t="str">
        <f aca="false">IF($N62&gt;المرجع!$K$3,"متقدم",IF($N62&lt;=المرجع!$K$2,"أولي","جزئي"))</f>
        <v>جزئي</v>
      </c>
      <c r="T62" s="28" t="n">
        <f aca="false">ROUND($Q62*$O62/100,2)</f>
        <v>12.75</v>
      </c>
    </row>
    <row r="63" customFormat="false" ht="15" hidden="false" customHeight="true" outlineLevel="0" collapsed="false">
      <c r="A63" s="20" t="s">
        <v>1515</v>
      </c>
      <c r="B63" s="20" t="s">
        <v>156</v>
      </c>
      <c r="C63" s="19" t="str">
        <f aca="false">IFERROR(INDEX('قائمة الوحدات'!$B$2:$B$41,MATCH($B63,'قائمة الوحدات'!$A$2:$A$41,0)),"")</f>
        <v>TOP</v>
      </c>
      <c r="D63" s="18" t="str">
        <f aca="false">IFERROR(INDEX('قائمة الوحدات'!$C$2:$C$41,MATCH($B63,'قائمة الوحدات'!$A$2:$A$41,0)),"")</f>
        <v>المرتبطة بسمو الوزير</v>
      </c>
      <c r="E63" s="18" t="str">
        <f aca="false">IFERROR(INDEX('قائمة الوحدات'!$D$2:$D$41,MATCH($B63,'قائمة الوحدات'!$A$2:$A$41,0)),"")</f>
        <v>إدارة الشؤون القانونية</v>
      </c>
      <c r="F63" s="18" t="str">
        <f aca="false">IFERROR(INDEX('قائمة الوحدات'!$F$2:$F$41,MATCH($B63,'قائمة الوحدات'!$A$2:$A$41,0)),"")</f>
        <v>إدارة الشؤون القانونية</v>
      </c>
      <c r="G63" s="20" t="s">
        <v>62</v>
      </c>
      <c r="H63" s="18" t="str">
        <f aca="false">IFERROR(INDEX(المرجع!$A$2:$A$19,MATCH($G63,المرجع!$B$2:$B$19,0)),"")</f>
        <v>البناء المؤسسي</v>
      </c>
      <c r="I63" s="20" t="s">
        <v>49</v>
      </c>
      <c r="J63" s="18" t="str">
        <f aca="false">IFERROR(INDEX(المرجع!$D$2:$D$19,MATCH($I63,المرجع!$E$2:$E$19,0)),"")</f>
        <v>الأهداف ومؤشرات الأداء</v>
      </c>
      <c r="K63" s="19" t="n">
        <f aca="false">IFERROR(INDEX(المرجع!$F$2:$F$19,MATCH($I63,المرجع!$E$2:$E$19,0)),"")</f>
        <v>2</v>
      </c>
      <c r="L63" s="19" t="n">
        <f aca="false">SUMIFS(المرجع!$H$2:$H$19,المرجع!$B$2:$B$19,$G63,المرجع!$E$2:$E$19,$I63)</f>
        <v>2</v>
      </c>
      <c r="M63" s="19" t="n">
        <f aca="false">COUNTIFS('المرتبطة بسمو الوزير'!$B$2:$B$151,$B63,'المرتبطة بسمو الوزير'!$G$2:$G$151,$G63,'المرتبطة بسمو الوزير'!$I$2:$I$151,$I63,'المرتبطة بسمو الوزير'!$M$2:$M$151,"&lt;&gt;")+COUNTIFS('الشؤون التنفيذية'!$B$2:$B$421,$B63,'الشؤون التنفيذية'!$G$2:$G$421,$G63,'الشؤون التنفيذية'!$I$2:$I$421,$I63,'الشؤون التنفيذية'!$N$2:$N$421,"&lt;&gt;")+COUNTIFS('الجهاز العسكري'!$B$2:$B$631,$B63,'الجهاز العسكري'!$G$2:$G$631,$G63,'الجهاز العسكري'!$I$2:$I$631,$I63,'الجهاز العسكري'!$M$2:$M$631,"&lt;&gt;")</f>
        <v>2</v>
      </c>
      <c r="N63" s="24" t="n">
        <f aca="false">IF($L63=0,0,ROUND((SUMIFS('المرتبطة بسمو الوزير'!$M$2:$M$151,'المرتبطة بسمو الوزير'!$B$2:$B$151,$B63,'المرتبطة بسمو الوزير'!$G$2:$G$151,$G63,'المرتبطة بسمو الوزير'!$I$2:$I$151,$I63)+SUMIFS('الشؤون التنفيذية'!$N$2:$N$421,'الشؤون التنفيذية'!$B$2:$B$421,$B63,'الشؤون التنفيذية'!$G$2:$G$421,$G63,'الشؤون التنفيذية'!$I$2:$I$421,$I63)+SUMIFS('الجهاز العسكري'!$M$2:$M$631,'الجهاز العسكري'!$B$2:$B$631,$B63,'الجهاز العسكري'!$G$2:$G$631,$G63,'الجهاز العسكري'!$I$2:$I$631,$I63))/$L63,0))</f>
        <v>83</v>
      </c>
      <c r="O63" s="25" t="n">
        <f aca="false">IF($L63=0,0,ROUND((SUMIFS('المرتبطة بسمو الوزير'!$N$2:$N$151,'المرتبطة بسمو الوزير'!$B$2:$B$151,$B63,'المرتبطة بسمو الوزير'!$G$2:$G$151,$G63,'المرتبطة بسمو الوزير'!$I$2:$I$151,$I63)+SUMIFS('الشؤون التنفيذية'!$O$2:$O$421,'الشؤون التنفيذية'!$B$2:$B$421,$B63,'الشؤون التنفيذية'!$G$2:$G$421,$G63,'الشؤون التنفيذية'!$I$2:$I$421,$I63)+SUMIFS('الجهاز العسكري'!$N$2:$N$631,'الجهاز العسكري'!$B$2:$B$631,$B63,'الجهاز العسكري'!$G$2:$G$631,$G63,'الجهاز العسكري'!$I$2:$I$631,$I63))/$L63,0))</f>
        <v>95</v>
      </c>
      <c r="P63" s="22"/>
      <c r="Q63" s="19" t="n">
        <f aca="false">SUMIFS(المرجع!$G$2:$G$19,المرجع!$B$2:$B$19,$G63,المرجع!$E$2:$E$19,$I63)</f>
        <v>15</v>
      </c>
      <c r="R63" s="26" t="n">
        <f aca="false">ROUND($Q63*$N63/100,2)</f>
        <v>12.45</v>
      </c>
      <c r="S63" s="27" t="str">
        <f aca="false">IF($N63&gt;المرجع!$K$3,"متقدم",IF($N63&lt;=المرجع!$K$2,"أولي","جزئي"))</f>
        <v>متقدم</v>
      </c>
      <c r="T63" s="28" t="n">
        <f aca="false">ROUND($Q63*$O63/100,2)</f>
        <v>14.25</v>
      </c>
    </row>
    <row r="64" customFormat="false" ht="15" hidden="false" customHeight="true" outlineLevel="0" collapsed="false">
      <c r="A64" s="20" t="s">
        <v>1516</v>
      </c>
      <c r="B64" s="20" t="s">
        <v>156</v>
      </c>
      <c r="C64" s="19" t="str">
        <f aca="false">IFERROR(INDEX('قائمة الوحدات'!$B$2:$B$41,MATCH($B64,'قائمة الوحدات'!$A$2:$A$41,0)),"")</f>
        <v>TOP</v>
      </c>
      <c r="D64" s="18" t="str">
        <f aca="false">IFERROR(INDEX('قائمة الوحدات'!$C$2:$C$41,MATCH($B64,'قائمة الوحدات'!$A$2:$A$41,0)),"")</f>
        <v>المرتبطة بسمو الوزير</v>
      </c>
      <c r="E64" s="18" t="str">
        <f aca="false">IFERROR(INDEX('قائمة الوحدات'!$D$2:$D$41,MATCH($B64,'قائمة الوحدات'!$A$2:$A$41,0)),"")</f>
        <v>إدارة الشؤون القانونية</v>
      </c>
      <c r="F64" s="18" t="str">
        <f aca="false">IFERROR(INDEX('قائمة الوحدات'!$F$2:$F$41,MATCH($B64,'قائمة الوحدات'!$A$2:$A$41,0)),"")</f>
        <v>إدارة الشؤون القانونية</v>
      </c>
      <c r="G64" s="20" t="s">
        <v>62</v>
      </c>
      <c r="H64" s="18" t="str">
        <f aca="false">IFERROR(INDEX(المرجع!$A$2:$A$19,MATCH($G64,المرجع!$B$2:$B$19,0)),"")</f>
        <v>البناء المؤسسي</v>
      </c>
      <c r="I64" s="20" t="s">
        <v>52</v>
      </c>
      <c r="J64" s="18" t="str">
        <f aca="false">IFERROR(INDEX(المرجع!$D$2:$D$19,MATCH($I64,المرجع!$E$2:$E$19,0)),"")</f>
        <v>الحوكمة</v>
      </c>
      <c r="K64" s="19" t="n">
        <f aca="false">IFERROR(INDEX(المرجع!$F$2:$F$19,MATCH($I64,المرجع!$E$2:$E$19,0)),"")</f>
        <v>3</v>
      </c>
      <c r="L64" s="19" t="n">
        <f aca="false">SUMIFS(المرجع!$H$2:$H$19,المرجع!$B$2:$B$19,$G64,المرجع!$E$2:$E$19,$I64)</f>
        <v>3</v>
      </c>
      <c r="M64" s="19" t="n">
        <f aca="false">COUNTIFS('المرتبطة بسمو الوزير'!$B$2:$B$151,$B64,'المرتبطة بسمو الوزير'!$G$2:$G$151,$G64,'المرتبطة بسمو الوزير'!$I$2:$I$151,$I64,'المرتبطة بسمو الوزير'!$M$2:$M$151,"&lt;&gt;")+COUNTIFS('الشؤون التنفيذية'!$B$2:$B$421,$B64,'الشؤون التنفيذية'!$G$2:$G$421,$G64,'الشؤون التنفيذية'!$I$2:$I$421,$I64,'الشؤون التنفيذية'!$N$2:$N$421,"&lt;&gt;")+COUNTIFS('الجهاز العسكري'!$B$2:$B$631,$B64,'الجهاز العسكري'!$G$2:$G$631,$G64,'الجهاز العسكري'!$I$2:$I$631,$I64,'الجهاز العسكري'!$M$2:$M$631,"&lt;&gt;")</f>
        <v>3</v>
      </c>
      <c r="N64" s="24" t="n">
        <f aca="false">IF($L64=0,0,ROUND((SUMIFS('المرتبطة بسمو الوزير'!$M$2:$M$151,'المرتبطة بسمو الوزير'!$B$2:$B$151,$B64,'المرتبطة بسمو الوزير'!$G$2:$G$151,$G64,'المرتبطة بسمو الوزير'!$I$2:$I$151,$I64)+SUMIFS('الشؤون التنفيذية'!$N$2:$N$421,'الشؤون التنفيذية'!$B$2:$B$421,$B64,'الشؤون التنفيذية'!$G$2:$G$421,$G64,'الشؤون التنفيذية'!$I$2:$I$421,$I64)+SUMIFS('الجهاز العسكري'!$M$2:$M$631,'الجهاز العسكري'!$B$2:$B$631,$B64,'الجهاز العسكري'!$G$2:$G$631,$G64,'الجهاز العسكري'!$I$2:$I$631,$I64))/$L64,0))</f>
        <v>57</v>
      </c>
      <c r="O64" s="25" t="n">
        <f aca="false">IF($L64=0,0,ROUND((SUMIFS('المرتبطة بسمو الوزير'!$N$2:$N$151,'المرتبطة بسمو الوزير'!$B$2:$B$151,$B64,'المرتبطة بسمو الوزير'!$G$2:$G$151,$G64,'المرتبطة بسمو الوزير'!$I$2:$I$151,$I64)+SUMIFS('الشؤون التنفيذية'!$O$2:$O$421,'الشؤون التنفيذية'!$B$2:$B$421,$B64,'الشؤون التنفيذية'!$G$2:$G$421,$G64,'الشؤون التنفيذية'!$I$2:$I$421,$I64)+SUMIFS('الجهاز العسكري'!$N$2:$N$631,'الجهاز العسكري'!$B$2:$B$631,$B64,'الجهاز العسكري'!$G$2:$G$631,$G64,'الجهاز العسكري'!$I$2:$I$631,$I64))/$L64,0))</f>
        <v>92</v>
      </c>
      <c r="P64" s="22"/>
      <c r="Q64" s="19" t="n">
        <f aca="false">SUMIFS(المرجع!$G$2:$G$19,المرجع!$B$2:$B$19,$G64,المرجع!$E$2:$E$19,$I64)</f>
        <v>15</v>
      </c>
      <c r="R64" s="26" t="n">
        <f aca="false">ROUND($Q64*$N64/100,2)</f>
        <v>8.55</v>
      </c>
      <c r="S64" s="27" t="str">
        <f aca="false">IF($N64&gt;المرجع!$K$3,"متقدم",IF($N64&lt;=المرجع!$K$2,"أولي","جزئي"))</f>
        <v>جزئي</v>
      </c>
      <c r="T64" s="28" t="n">
        <f aca="false">ROUND($Q64*$O64/100,2)</f>
        <v>13.8</v>
      </c>
    </row>
    <row r="65" customFormat="false" ht="15" hidden="false" customHeight="true" outlineLevel="0" collapsed="false">
      <c r="A65" s="20" t="s">
        <v>1517</v>
      </c>
      <c r="B65" s="20" t="s">
        <v>156</v>
      </c>
      <c r="C65" s="19" t="str">
        <f aca="false">IFERROR(INDEX('قائمة الوحدات'!$B$2:$B$41,MATCH($B65,'قائمة الوحدات'!$A$2:$A$41,0)),"")</f>
        <v>TOP</v>
      </c>
      <c r="D65" s="18" t="str">
        <f aca="false">IFERROR(INDEX('قائمة الوحدات'!$C$2:$C$41,MATCH($B65,'قائمة الوحدات'!$A$2:$A$41,0)),"")</f>
        <v>المرتبطة بسمو الوزير</v>
      </c>
      <c r="E65" s="18" t="str">
        <f aca="false">IFERROR(INDEX('قائمة الوحدات'!$D$2:$D$41,MATCH($B65,'قائمة الوحدات'!$A$2:$A$41,0)),"")</f>
        <v>إدارة الشؤون القانونية</v>
      </c>
      <c r="F65" s="18" t="str">
        <f aca="false">IFERROR(INDEX('قائمة الوحدات'!$F$2:$F$41,MATCH($B65,'قائمة الوحدات'!$A$2:$A$41,0)),"")</f>
        <v>إدارة الشؤون القانونية</v>
      </c>
      <c r="G65" s="20" t="s">
        <v>62</v>
      </c>
      <c r="H65" s="18" t="str">
        <f aca="false">IFERROR(INDEX(المرجع!$A$2:$A$19,MATCH($G65,المرجع!$B$2:$B$19,0)),"")</f>
        <v>البناء المؤسسي</v>
      </c>
      <c r="I65" s="20" t="s">
        <v>55</v>
      </c>
      <c r="J65" s="18" t="str">
        <f aca="false">IFERROR(INDEX(المرجع!$D$2:$D$19,MATCH($I65,المرجع!$E$2:$E$19,0)),"")</f>
        <v>التنظيم</v>
      </c>
      <c r="K65" s="19" t="n">
        <f aca="false">IFERROR(INDEX(المرجع!$F$2:$F$19,MATCH($I65,المرجع!$E$2:$E$19,0)),"")</f>
        <v>4</v>
      </c>
      <c r="L65" s="19" t="n">
        <f aca="false">SUMIFS(المرجع!$H$2:$H$19,المرجع!$B$2:$B$19,$G65,المرجع!$E$2:$E$19,$I65)</f>
        <v>3</v>
      </c>
      <c r="M65" s="19" t="n">
        <f aca="false">COUNTIFS('المرتبطة بسمو الوزير'!$B$2:$B$151,$B65,'المرتبطة بسمو الوزير'!$G$2:$G$151,$G65,'المرتبطة بسمو الوزير'!$I$2:$I$151,$I65,'المرتبطة بسمو الوزير'!$M$2:$M$151,"&lt;&gt;")+COUNTIFS('الشؤون التنفيذية'!$B$2:$B$421,$B65,'الشؤون التنفيذية'!$G$2:$G$421,$G65,'الشؤون التنفيذية'!$I$2:$I$421,$I65,'الشؤون التنفيذية'!$N$2:$N$421,"&lt;&gt;")+COUNTIFS('الجهاز العسكري'!$B$2:$B$631,$B65,'الجهاز العسكري'!$G$2:$G$631,$G65,'الجهاز العسكري'!$I$2:$I$631,$I65,'الجهاز العسكري'!$M$2:$M$631,"&lt;&gt;")</f>
        <v>3</v>
      </c>
      <c r="N65" s="24" t="n">
        <f aca="false">IF($L65=0,0,ROUND((SUMIFS('المرتبطة بسمو الوزير'!$M$2:$M$151,'المرتبطة بسمو الوزير'!$B$2:$B$151,$B65,'المرتبطة بسمو الوزير'!$G$2:$G$151,$G65,'المرتبطة بسمو الوزير'!$I$2:$I$151,$I65)+SUMIFS('الشؤون التنفيذية'!$N$2:$N$421,'الشؤون التنفيذية'!$B$2:$B$421,$B65,'الشؤون التنفيذية'!$G$2:$G$421,$G65,'الشؤون التنفيذية'!$I$2:$I$421,$I65)+SUMIFS('الجهاز العسكري'!$M$2:$M$631,'الجهاز العسكري'!$B$2:$B$631,$B65,'الجهاز العسكري'!$G$2:$G$631,$G65,'الجهاز العسكري'!$I$2:$I$631,$I65))/$L65,0))</f>
        <v>47</v>
      </c>
      <c r="O65" s="25" t="n">
        <f aca="false">IF($L65=0,0,ROUND((SUMIFS('المرتبطة بسمو الوزير'!$N$2:$N$151,'المرتبطة بسمو الوزير'!$B$2:$B$151,$B65,'المرتبطة بسمو الوزير'!$G$2:$G$151,$G65,'المرتبطة بسمو الوزير'!$I$2:$I$151,$I65)+SUMIFS('الشؤون التنفيذية'!$O$2:$O$421,'الشؤون التنفيذية'!$B$2:$B$421,$B65,'الشؤون التنفيذية'!$G$2:$G$421,$G65,'الشؤون التنفيذية'!$I$2:$I$421,$I65)+SUMIFS('الجهاز العسكري'!$N$2:$N$631,'الجهاز العسكري'!$B$2:$B$631,$B65,'الجهاز العسكري'!$G$2:$G$631,$G65,'الجهاز العسكري'!$I$2:$I$631,$I65))/$L65,0))</f>
        <v>87</v>
      </c>
      <c r="P65" s="22"/>
      <c r="Q65" s="19" t="n">
        <f aca="false">SUMIFS(المرجع!$G$2:$G$19,المرجع!$B$2:$B$19,$G65,المرجع!$E$2:$E$19,$I65)</f>
        <v>20</v>
      </c>
      <c r="R65" s="26" t="n">
        <f aca="false">ROUND($Q65*$N65/100,2)</f>
        <v>9.4</v>
      </c>
      <c r="S65" s="27" t="str">
        <f aca="false">IF($N65&gt;المرجع!$K$3,"متقدم",IF($N65&lt;=المرجع!$K$2,"أولي","جزئي"))</f>
        <v>جزئي</v>
      </c>
      <c r="T65" s="28" t="n">
        <f aca="false">ROUND($Q65*$O65/100,2)</f>
        <v>17.4</v>
      </c>
    </row>
    <row r="66" customFormat="false" ht="15" hidden="false" customHeight="true" outlineLevel="0" collapsed="false">
      <c r="A66" s="20" t="s">
        <v>1518</v>
      </c>
      <c r="B66" s="20" t="s">
        <v>156</v>
      </c>
      <c r="C66" s="19" t="str">
        <f aca="false">IFERROR(INDEX('قائمة الوحدات'!$B$2:$B$41,MATCH($B66,'قائمة الوحدات'!$A$2:$A$41,0)),"")</f>
        <v>TOP</v>
      </c>
      <c r="D66" s="18" t="str">
        <f aca="false">IFERROR(INDEX('قائمة الوحدات'!$C$2:$C$41,MATCH($B66,'قائمة الوحدات'!$A$2:$A$41,0)),"")</f>
        <v>المرتبطة بسمو الوزير</v>
      </c>
      <c r="E66" s="18" t="str">
        <f aca="false">IFERROR(INDEX('قائمة الوحدات'!$D$2:$D$41,MATCH($B66,'قائمة الوحدات'!$A$2:$A$41,0)),"")</f>
        <v>إدارة الشؤون القانونية</v>
      </c>
      <c r="F66" s="18" t="str">
        <f aca="false">IFERROR(INDEX('قائمة الوحدات'!$F$2:$F$41,MATCH($B66,'قائمة الوحدات'!$A$2:$A$41,0)),"")</f>
        <v>إدارة الشؤون القانونية</v>
      </c>
      <c r="G66" s="20" t="s">
        <v>62</v>
      </c>
      <c r="H66" s="18" t="str">
        <f aca="false">IFERROR(INDEX(المرجع!$A$2:$A$19,MATCH($G66,المرجع!$B$2:$B$19,0)),"")</f>
        <v>البناء المؤسسي</v>
      </c>
      <c r="I66" s="20" t="s">
        <v>57</v>
      </c>
      <c r="J66" s="18" t="str">
        <f aca="false">IFERROR(INDEX(المرجع!$D$2:$D$19,MATCH($I66,المرجع!$E$2:$E$19,0)),"")</f>
        <v>الموارد</v>
      </c>
      <c r="K66" s="19" t="n">
        <f aca="false">IFERROR(INDEX(المرجع!$F$2:$F$19,MATCH($I66,المرجع!$E$2:$E$19,0)),"")</f>
        <v>5</v>
      </c>
      <c r="L66" s="19" t="n">
        <f aca="false">SUMIFS(المرجع!$H$2:$H$19,المرجع!$B$2:$B$19,$G66,المرجع!$E$2:$E$19,$I66)</f>
        <v>4</v>
      </c>
      <c r="M66" s="19" t="n">
        <f aca="false">COUNTIFS('المرتبطة بسمو الوزير'!$B$2:$B$151,$B66,'المرتبطة بسمو الوزير'!$G$2:$G$151,$G66,'المرتبطة بسمو الوزير'!$I$2:$I$151,$I66,'المرتبطة بسمو الوزير'!$M$2:$M$151,"&lt;&gt;")+COUNTIFS('الشؤون التنفيذية'!$B$2:$B$421,$B66,'الشؤون التنفيذية'!$G$2:$G$421,$G66,'الشؤون التنفيذية'!$I$2:$I$421,$I66,'الشؤون التنفيذية'!$N$2:$N$421,"&lt;&gt;")+COUNTIFS('الجهاز العسكري'!$B$2:$B$631,$B66,'الجهاز العسكري'!$G$2:$G$631,$G66,'الجهاز العسكري'!$I$2:$I$631,$I66,'الجهاز العسكري'!$M$2:$M$631,"&lt;&gt;")</f>
        <v>4</v>
      </c>
      <c r="N66" s="24" t="n">
        <f aca="false">IF($L66=0,0,ROUND((SUMIFS('المرتبطة بسمو الوزير'!$M$2:$M$151,'المرتبطة بسمو الوزير'!$B$2:$B$151,$B66,'المرتبطة بسمو الوزير'!$G$2:$G$151,$G66,'المرتبطة بسمو الوزير'!$I$2:$I$151,$I66)+SUMIFS('الشؤون التنفيذية'!$N$2:$N$421,'الشؤون التنفيذية'!$B$2:$B$421,$B66,'الشؤون التنفيذية'!$G$2:$G$421,$G66,'الشؤون التنفيذية'!$I$2:$I$421,$I66)+SUMIFS('الجهاز العسكري'!$M$2:$M$631,'الجهاز العسكري'!$B$2:$B$631,$B66,'الجهاز العسكري'!$G$2:$G$631,$G66,'الجهاز العسكري'!$I$2:$I$631,$I66))/$L66,0))</f>
        <v>66</v>
      </c>
      <c r="O66" s="25" t="n">
        <f aca="false">IF($L66=0,0,ROUND((SUMIFS('المرتبطة بسمو الوزير'!$N$2:$N$151,'المرتبطة بسمو الوزير'!$B$2:$B$151,$B66,'المرتبطة بسمو الوزير'!$G$2:$G$151,$G66,'المرتبطة بسمو الوزير'!$I$2:$I$151,$I66)+SUMIFS('الشؤون التنفيذية'!$O$2:$O$421,'الشؤون التنفيذية'!$B$2:$B$421,$B66,'الشؤون التنفيذية'!$G$2:$G$421,$G66,'الشؤون التنفيذية'!$I$2:$I$421,$I66)+SUMIFS('الجهاز العسكري'!$N$2:$N$631,'الجهاز العسكري'!$B$2:$B$631,$B66,'الجهاز العسكري'!$G$2:$G$631,$G66,'الجهاز العسكري'!$I$2:$I$631,$I66))/$L66,0))</f>
        <v>100</v>
      </c>
      <c r="P66" s="22"/>
      <c r="Q66" s="19" t="n">
        <f aca="false">SUMIFS(المرجع!$G$2:$G$19,المرجع!$B$2:$B$19,$G66,المرجع!$E$2:$E$19,$I66)</f>
        <v>25</v>
      </c>
      <c r="R66" s="26" t="n">
        <f aca="false">ROUND($Q66*$N66/100,2)</f>
        <v>16.5</v>
      </c>
      <c r="S66" s="27" t="str">
        <f aca="false">IF($N66&gt;المرجع!$K$3,"متقدم",IF($N66&lt;=المرجع!$K$2,"أولي","جزئي"))</f>
        <v>جزئي</v>
      </c>
      <c r="T66" s="28" t="n">
        <f aca="false">ROUND($Q66*$O66/100,2)</f>
        <v>25</v>
      </c>
    </row>
    <row r="67" customFormat="false" ht="15" hidden="false" customHeight="true" outlineLevel="0" collapsed="false">
      <c r="A67" s="20" t="s">
        <v>1519</v>
      </c>
      <c r="B67" s="20" t="s">
        <v>156</v>
      </c>
      <c r="C67" s="19" t="str">
        <f aca="false">IFERROR(INDEX('قائمة الوحدات'!$B$2:$B$41,MATCH($B67,'قائمة الوحدات'!$A$2:$A$41,0)),"")</f>
        <v>TOP</v>
      </c>
      <c r="D67" s="18" t="str">
        <f aca="false">IFERROR(INDEX('قائمة الوحدات'!$C$2:$C$41,MATCH($B67,'قائمة الوحدات'!$A$2:$A$41,0)),"")</f>
        <v>المرتبطة بسمو الوزير</v>
      </c>
      <c r="E67" s="18" t="str">
        <f aca="false">IFERROR(INDEX('قائمة الوحدات'!$D$2:$D$41,MATCH($B67,'قائمة الوحدات'!$A$2:$A$41,0)),"")</f>
        <v>إدارة الشؤون القانونية</v>
      </c>
      <c r="F67" s="18" t="str">
        <f aca="false">IFERROR(INDEX('قائمة الوحدات'!$F$2:$F$41,MATCH($B67,'قائمة الوحدات'!$A$2:$A$41,0)),"")</f>
        <v>إدارة الشؤون القانونية</v>
      </c>
      <c r="G67" s="20" t="s">
        <v>62</v>
      </c>
      <c r="H67" s="18" t="str">
        <f aca="false">IFERROR(INDEX(المرجع!$A$2:$A$19,MATCH($G67,المرجع!$B$2:$B$19,0)),"")</f>
        <v>البناء المؤسسي</v>
      </c>
      <c r="I67" s="20" t="s">
        <v>60</v>
      </c>
      <c r="J67" s="18" t="str">
        <f aca="false">IFERROR(INDEX(المرجع!$D$2:$D$19,MATCH($I67,المرجع!$E$2:$E$19,0)),"")</f>
        <v>الإجراءات</v>
      </c>
      <c r="K67" s="19" t="n">
        <f aca="false">IFERROR(INDEX(المرجع!$F$2:$F$19,MATCH($I67,المرجع!$E$2:$E$19,0)),"")</f>
        <v>6</v>
      </c>
      <c r="L67" s="19" t="n">
        <f aca="false">SUMIFS(المرجع!$H$2:$H$19,المرجع!$B$2:$B$19,$G67,المرجع!$E$2:$E$19,$I67)</f>
        <v>1</v>
      </c>
      <c r="M67" s="19" t="n">
        <f aca="false">COUNTIFS('المرتبطة بسمو الوزير'!$B$2:$B$151,$B67,'المرتبطة بسمو الوزير'!$G$2:$G$151,$G67,'المرتبطة بسمو الوزير'!$I$2:$I$151,$I67,'المرتبطة بسمو الوزير'!$M$2:$M$151,"&lt;&gt;")+COUNTIFS('الشؤون التنفيذية'!$B$2:$B$421,$B67,'الشؤون التنفيذية'!$G$2:$G$421,$G67,'الشؤون التنفيذية'!$I$2:$I$421,$I67,'الشؤون التنفيذية'!$N$2:$N$421,"&lt;&gt;")+COUNTIFS('الجهاز العسكري'!$B$2:$B$631,$B67,'الجهاز العسكري'!$G$2:$G$631,$G67,'الجهاز العسكري'!$I$2:$I$631,$I67,'الجهاز العسكري'!$M$2:$M$631,"&lt;&gt;")</f>
        <v>1</v>
      </c>
      <c r="N67" s="24" t="n">
        <f aca="false">IF($L67=0,0,ROUND((SUMIFS('المرتبطة بسمو الوزير'!$M$2:$M$151,'المرتبطة بسمو الوزير'!$B$2:$B$151,$B67,'المرتبطة بسمو الوزير'!$G$2:$G$151,$G67,'المرتبطة بسمو الوزير'!$I$2:$I$151,$I67)+SUMIFS('الشؤون التنفيذية'!$N$2:$N$421,'الشؤون التنفيذية'!$B$2:$B$421,$B67,'الشؤون التنفيذية'!$G$2:$G$421,$G67,'الشؤون التنفيذية'!$I$2:$I$421,$I67)+SUMIFS('الجهاز العسكري'!$M$2:$M$631,'الجهاز العسكري'!$B$2:$B$631,$B67,'الجهاز العسكري'!$G$2:$G$631,$G67,'الجهاز العسكري'!$I$2:$I$631,$I67))/$L67,0))</f>
        <v>71</v>
      </c>
      <c r="O67" s="25" t="n">
        <f aca="false">IF($L67=0,0,ROUND((SUMIFS('المرتبطة بسمو الوزير'!$N$2:$N$151,'المرتبطة بسمو الوزير'!$B$2:$B$151,$B67,'المرتبطة بسمو الوزير'!$G$2:$G$151,$G67,'المرتبطة بسمو الوزير'!$I$2:$I$151,$I67)+SUMIFS('الشؤون التنفيذية'!$O$2:$O$421,'الشؤون التنفيذية'!$B$2:$B$421,$B67,'الشؤون التنفيذية'!$G$2:$G$421,$G67,'الشؤون التنفيذية'!$I$2:$I$421,$I67)+SUMIFS('الجهاز العسكري'!$N$2:$N$631,'الجهاز العسكري'!$B$2:$B$631,$B67,'الجهاز العسكري'!$G$2:$G$631,$G67,'الجهاز العسكري'!$I$2:$I$631,$I67))/$L67,0))</f>
        <v>100</v>
      </c>
      <c r="P67" s="22"/>
      <c r="Q67" s="19" t="n">
        <f aca="false">SUMIFS(المرجع!$G$2:$G$19,المرجع!$B$2:$B$19,$G67,المرجع!$E$2:$E$19,$I67)</f>
        <v>5</v>
      </c>
      <c r="R67" s="26" t="n">
        <f aca="false">ROUND($Q67*$N67/100,2)</f>
        <v>3.55</v>
      </c>
      <c r="S67" s="27" t="str">
        <f aca="false">IF($N67&gt;المرجع!$K$3,"متقدم",IF($N67&lt;=المرجع!$K$2,"أولي","جزئي"))</f>
        <v>متقدم</v>
      </c>
      <c r="T67" s="28" t="n">
        <f aca="false">ROUND($Q67*$O67/100,2)</f>
        <v>5</v>
      </c>
    </row>
    <row r="68" customFormat="false" ht="15" hidden="false" customHeight="true" outlineLevel="0" collapsed="false">
      <c r="A68" s="20" t="s">
        <v>1520</v>
      </c>
      <c r="B68" s="20" t="s">
        <v>156</v>
      </c>
      <c r="C68" s="19" t="str">
        <f aca="false">IFERROR(INDEX('قائمة الوحدات'!$B$2:$B$41,MATCH($B68,'قائمة الوحدات'!$A$2:$A$41,0)),"")</f>
        <v>TOP</v>
      </c>
      <c r="D68" s="18" t="str">
        <f aca="false">IFERROR(INDEX('قائمة الوحدات'!$C$2:$C$41,MATCH($B68,'قائمة الوحدات'!$A$2:$A$41,0)),"")</f>
        <v>المرتبطة بسمو الوزير</v>
      </c>
      <c r="E68" s="18" t="str">
        <f aca="false">IFERROR(INDEX('قائمة الوحدات'!$D$2:$D$41,MATCH($B68,'قائمة الوحدات'!$A$2:$A$41,0)),"")</f>
        <v>إدارة الشؤون القانونية</v>
      </c>
      <c r="F68" s="18" t="str">
        <f aca="false">IFERROR(INDEX('قائمة الوحدات'!$F$2:$F$41,MATCH($B68,'قائمة الوحدات'!$A$2:$A$41,0)),"")</f>
        <v>إدارة الشؤون القانونية</v>
      </c>
      <c r="G68" s="20" t="s">
        <v>62</v>
      </c>
      <c r="H68" s="18" t="str">
        <f aca="false">IFERROR(INDEX(المرجع!$A$2:$A$19,MATCH($G68,المرجع!$B$2:$B$19,0)),"")</f>
        <v>البناء المؤسسي</v>
      </c>
      <c r="I68" s="20" t="s">
        <v>69</v>
      </c>
      <c r="J68" s="18" t="str">
        <f aca="false">IFERROR(INDEX(المرجع!$D$2:$D$19,MATCH($I68,المرجع!$E$2:$E$19,0)),"")</f>
        <v>إنتاج المخرج الأول</v>
      </c>
      <c r="K68" s="19" t="n">
        <f aca="false">IFERROR(INDEX(المرجع!$F$2:$F$19,MATCH($I68,المرجع!$E$2:$E$19,0)),"")</f>
        <v>7</v>
      </c>
      <c r="L68" s="19" t="n">
        <f aca="false">SUMIFS(المرجع!$H$2:$H$19,المرجع!$B$2:$B$19,$G68,المرجع!$E$2:$E$19,$I68)</f>
        <v>1</v>
      </c>
      <c r="M68" s="19" t="n">
        <f aca="false">COUNTIFS('المرتبطة بسمو الوزير'!$B$2:$B$151,$B68,'المرتبطة بسمو الوزير'!$G$2:$G$151,$G68,'المرتبطة بسمو الوزير'!$I$2:$I$151,$I68,'المرتبطة بسمو الوزير'!$M$2:$M$151,"&lt;&gt;")+COUNTIFS('الشؤون التنفيذية'!$B$2:$B$421,$B68,'الشؤون التنفيذية'!$G$2:$G$421,$G68,'الشؤون التنفيذية'!$I$2:$I$421,$I68,'الشؤون التنفيذية'!$N$2:$N$421,"&lt;&gt;")+COUNTIFS('الجهاز العسكري'!$B$2:$B$631,$B68,'الجهاز العسكري'!$G$2:$G$631,$G68,'الجهاز العسكري'!$I$2:$I$631,$I68,'الجهاز العسكري'!$M$2:$M$631,"&lt;&gt;")</f>
        <v>1</v>
      </c>
      <c r="N68" s="24" t="n">
        <f aca="false">IF($L68=0,0,ROUND((SUMIFS('المرتبطة بسمو الوزير'!$M$2:$M$151,'المرتبطة بسمو الوزير'!$B$2:$B$151,$B68,'المرتبطة بسمو الوزير'!$G$2:$G$151,$G68,'المرتبطة بسمو الوزير'!$I$2:$I$151,$I68)+SUMIFS('الشؤون التنفيذية'!$N$2:$N$421,'الشؤون التنفيذية'!$B$2:$B$421,$B68,'الشؤون التنفيذية'!$G$2:$G$421,$G68,'الشؤون التنفيذية'!$I$2:$I$421,$I68)+SUMIFS('الجهاز العسكري'!$M$2:$M$631,'الجهاز العسكري'!$B$2:$B$631,$B68,'الجهاز العسكري'!$G$2:$G$631,$G68,'الجهاز العسكري'!$I$2:$I$631,$I68))/$L68,0))</f>
        <v>56</v>
      </c>
      <c r="O68" s="25" t="n">
        <f aca="false">IF($L68=0,0,ROUND((SUMIFS('المرتبطة بسمو الوزير'!$N$2:$N$151,'المرتبطة بسمو الوزير'!$B$2:$B$151,$B68,'المرتبطة بسمو الوزير'!$G$2:$G$151,$G68,'المرتبطة بسمو الوزير'!$I$2:$I$151,$I68)+SUMIFS('الشؤون التنفيذية'!$O$2:$O$421,'الشؤون التنفيذية'!$B$2:$B$421,$B68,'الشؤون التنفيذية'!$G$2:$G$421,$G68,'الشؤون التنفيذية'!$I$2:$I$421,$I68)+SUMIFS('الجهاز العسكري'!$N$2:$N$631,'الجهاز العسكري'!$B$2:$B$631,$B68,'الجهاز العسكري'!$G$2:$G$631,$G68,'الجهاز العسكري'!$I$2:$I$631,$I68))/$L68,0))</f>
        <v>90</v>
      </c>
      <c r="P68" s="22"/>
      <c r="Q68" s="19" t="n">
        <f aca="false">SUMIFS(المرجع!$G$2:$G$19,المرجع!$B$2:$B$19,$G68,المرجع!$E$2:$E$19,$I68)</f>
        <v>5</v>
      </c>
      <c r="R68" s="26" t="n">
        <f aca="false">ROUND($Q68*$N68/100,2)</f>
        <v>2.8</v>
      </c>
      <c r="S68" s="27" t="str">
        <f aca="false">IF($N68&gt;المرجع!$K$3,"متقدم",IF($N68&lt;=المرجع!$K$2,"أولي","جزئي"))</f>
        <v>جزئي</v>
      </c>
      <c r="T68" s="28" t="n">
        <f aca="false">ROUND($Q68*$O68/100,2)</f>
        <v>4.5</v>
      </c>
    </row>
    <row r="69" customFormat="false" ht="15" hidden="false" customHeight="true" outlineLevel="0" collapsed="false">
      <c r="A69" s="20" t="s">
        <v>1521</v>
      </c>
      <c r="B69" s="20" t="s">
        <v>156</v>
      </c>
      <c r="C69" s="19" t="str">
        <f aca="false">IFERROR(INDEX('قائمة الوحدات'!$B$2:$B$41,MATCH($B69,'قائمة الوحدات'!$A$2:$A$41,0)),"")</f>
        <v>TOP</v>
      </c>
      <c r="D69" s="18" t="str">
        <f aca="false">IFERROR(INDEX('قائمة الوحدات'!$C$2:$C$41,MATCH($B69,'قائمة الوحدات'!$A$2:$A$41,0)),"")</f>
        <v>المرتبطة بسمو الوزير</v>
      </c>
      <c r="E69" s="18" t="str">
        <f aca="false">IFERROR(INDEX('قائمة الوحدات'!$D$2:$D$41,MATCH($B69,'قائمة الوحدات'!$A$2:$A$41,0)),"")</f>
        <v>إدارة الشؤون القانونية</v>
      </c>
      <c r="F69" s="18" t="str">
        <f aca="false">IFERROR(INDEX('قائمة الوحدات'!$F$2:$F$41,MATCH($B69,'قائمة الوحدات'!$A$2:$A$41,0)),"")</f>
        <v>إدارة الشؤون القانونية</v>
      </c>
      <c r="G69" s="20" t="s">
        <v>66</v>
      </c>
      <c r="H69" s="18" t="str">
        <f aca="false">IFERROR(INDEX(المرجع!$A$2:$A$19,MATCH($G69,المرجع!$B$2:$B$19,0)),"")</f>
        <v>التشغيل</v>
      </c>
      <c r="I69" s="20" t="s">
        <v>49</v>
      </c>
      <c r="J69" s="18" t="str">
        <f aca="false">IFERROR(INDEX(المرجع!$D$2:$D$19,MATCH($I69,المرجع!$E$2:$E$19,0)),"")</f>
        <v>الأهداف ومؤشرات الأداء</v>
      </c>
      <c r="K69" s="19" t="n">
        <f aca="false">IFERROR(INDEX(المرجع!$F$2:$F$19,MATCH($I69,المرجع!$E$2:$E$19,0)),"")</f>
        <v>2</v>
      </c>
      <c r="L69" s="19" t="n">
        <f aca="false">SUMIFS(المرجع!$H$2:$H$19,المرجع!$B$2:$B$19,$G69,المرجع!$E$2:$E$19,$I69)</f>
        <v>2</v>
      </c>
      <c r="M69" s="19" t="n">
        <f aca="false">COUNTIFS('المرتبطة بسمو الوزير'!$B$2:$B$151,$B69,'المرتبطة بسمو الوزير'!$G$2:$G$151,$G69,'المرتبطة بسمو الوزير'!$I$2:$I$151,$I69,'المرتبطة بسمو الوزير'!$M$2:$M$151,"&lt;&gt;")+COUNTIFS('الشؤون التنفيذية'!$B$2:$B$421,$B69,'الشؤون التنفيذية'!$G$2:$G$421,$G69,'الشؤون التنفيذية'!$I$2:$I$421,$I69,'الشؤون التنفيذية'!$N$2:$N$421,"&lt;&gt;")+COUNTIFS('الجهاز العسكري'!$B$2:$B$631,$B69,'الجهاز العسكري'!$G$2:$G$631,$G69,'الجهاز العسكري'!$I$2:$I$631,$I69,'الجهاز العسكري'!$M$2:$M$631,"&lt;&gt;")</f>
        <v>2</v>
      </c>
      <c r="N69" s="24" t="n">
        <f aca="false">IF($L69=0,0,ROUND((SUMIFS('المرتبطة بسمو الوزير'!$M$2:$M$151,'المرتبطة بسمو الوزير'!$B$2:$B$151,$B69,'المرتبطة بسمو الوزير'!$G$2:$G$151,$G69,'المرتبطة بسمو الوزير'!$I$2:$I$151,$I69)+SUMIFS('الشؤون التنفيذية'!$N$2:$N$421,'الشؤون التنفيذية'!$B$2:$B$421,$B69,'الشؤون التنفيذية'!$G$2:$G$421,$G69,'الشؤون التنفيذية'!$I$2:$I$421,$I69)+SUMIFS('الجهاز العسكري'!$M$2:$M$631,'الجهاز العسكري'!$B$2:$B$631,$B69,'الجهاز العسكري'!$G$2:$G$631,$G69,'الجهاز العسكري'!$I$2:$I$631,$I69))/$L69,0))</f>
        <v>58</v>
      </c>
      <c r="O69" s="25" t="n">
        <f aca="false">IF($L69=0,0,ROUND((SUMIFS('المرتبطة بسمو الوزير'!$N$2:$N$151,'المرتبطة بسمو الوزير'!$B$2:$B$151,$B69,'المرتبطة بسمو الوزير'!$G$2:$G$151,$G69,'المرتبطة بسمو الوزير'!$I$2:$I$151,$I69)+SUMIFS('الشؤون التنفيذية'!$O$2:$O$421,'الشؤون التنفيذية'!$B$2:$B$421,$B69,'الشؤون التنفيذية'!$G$2:$G$421,$G69,'الشؤون التنفيذية'!$I$2:$I$421,$I69)+SUMIFS('الجهاز العسكري'!$N$2:$N$631,'الجهاز العسكري'!$B$2:$B$631,$B69,'الجهاز العسكري'!$G$2:$G$631,$G69,'الجهاز العسكري'!$I$2:$I$631,$I69))/$L69,0))</f>
        <v>95</v>
      </c>
      <c r="P69" s="22"/>
      <c r="Q69" s="19" t="n">
        <f aca="false">SUMIFS(المرجع!$G$2:$G$19,المرجع!$B$2:$B$19,$G69,المرجع!$E$2:$E$19,$I69)</f>
        <v>25</v>
      </c>
      <c r="R69" s="26" t="n">
        <f aca="false">ROUND($Q69*$N69/100,2)</f>
        <v>14.5</v>
      </c>
      <c r="S69" s="27" t="str">
        <f aca="false">IF($N69&gt;المرجع!$K$3,"متقدم",IF($N69&lt;=المرجع!$K$2,"أولي","جزئي"))</f>
        <v>جزئي</v>
      </c>
      <c r="T69" s="28" t="n">
        <f aca="false">ROUND($Q69*$O69/100,2)</f>
        <v>23.75</v>
      </c>
    </row>
    <row r="70" customFormat="false" ht="15" hidden="false" customHeight="true" outlineLevel="0" collapsed="false">
      <c r="A70" s="20" t="s">
        <v>1522</v>
      </c>
      <c r="B70" s="20" t="s">
        <v>156</v>
      </c>
      <c r="C70" s="19" t="str">
        <f aca="false">IFERROR(INDEX('قائمة الوحدات'!$B$2:$B$41,MATCH($B70,'قائمة الوحدات'!$A$2:$A$41,0)),"")</f>
        <v>TOP</v>
      </c>
      <c r="D70" s="18" t="str">
        <f aca="false">IFERROR(INDEX('قائمة الوحدات'!$C$2:$C$41,MATCH($B70,'قائمة الوحدات'!$A$2:$A$41,0)),"")</f>
        <v>المرتبطة بسمو الوزير</v>
      </c>
      <c r="E70" s="18" t="str">
        <f aca="false">IFERROR(INDEX('قائمة الوحدات'!$D$2:$D$41,MATCH($B70,'قائمة الوحدات'!$A$2:$A$41,0)),"")</f>
        <v>إدارة الشؤون القانونية</v>
      </c>
      <c r="F70" s="18" t="str">
        <f aca="false">IFERROR(INDEX('قائمة الوحدات'!$F$2:$F$41,MATCH($B70,'قائمة الوحدات'!$A$2:$A$41,0)),"")</f>
        <v>إدارة الشؤون القانونية</v>
      </c>
      <c r="G70" s="20" t="s">
        <v>66</v>
      </c>
      <c r="H70" s="18" t="str">
        <f aca="false">IFERROR(INDEX(المرجع!$A$2:$A$19,MATCH($G70,المرجع!$B$2:$B$19,0)),"")</f>
        <v>التشغيل</v>
      </c>
      <c r="I70" s="20" t="s">
        <v>52</v>
      </c>
      <c r="J70" s="18" t="str">
        <f aca="false">IFERROR(INDEX(المرجع!$D$2:$D$19,MATCH($I70,المرجع!$E$2:$E$19,0)),"")</f>
        <v>الحوكمة</v>
      </c>
      <c r="K70" s="19" t="n">
        <f aca="false">IFERROR(INDEX(المرجع!$F$2:$F$19,MATCH($I70,المرجع!$E$2:$E$19,0)),"")</f>
        <v>3</v>
      </c>
      <c r="L70" s="19" t="n">
        <f aca="false">SUMIFS(المرجع!$H$2:$H$19,المرجع!$B$2:$B$19,$G70,المرجع!$E$2:$E$19,$I70)</f>
        <v>3</v>
      </c>
      <c r="M70" s="19" t="n">
        <f aca="false">COUNTIFS('المرتبطة بسمو الوزير'!$B$2:$B$151,$B70,'المرتبطة بسمو الوزير'!$G$2:$G$151,$G70,'المرتبطة بسمو الوزير'!$I$2:$I$151,$I70,'المرتبطة بسمو الوزير'!$M$2:$M$151,"&lt;&gt;")+COUNTIFS('الشؤون التنفيذية'!$B$2:$B$421,$B70,'الشؤون التنفيذية'!$G$2:$G$421,$G70,'الشؤون التنفيذية'!$I$2:$I$421,$I70,'الشؤون التنفيذية'!$N$2:$N$421,"&lt;&gt;")+COUNTIFS('الجهاز العسكري'!$B$2:$B$631,$B70,'الجهاز العسكري'!$G$2:$G$631,$G70,'الجهاز العسكري'!$I$2:$I$631,$I70,'الجهاز العسكري'!$M$2:$M$631,"&lt;&gt;")</f>
        <v>3</v>
      </c>
      <c r="N70" s="24" t="n">
        <f aca="false">IF($L70=0,0,ROUND((SUMIFS('المرتبطة بسمو الوزير'!$M$2:$M$151,'المرتبطة بسمو الوزير'!$B$2:$B$151,$B70,'المرتبطة بسمو الوزير'!$G$2:$G$151,$G70,'المرتبطة بسمو الوزير'!$I$2:$I$151,$I70)+SUMIFS('الشؤون التنفيذية'!$N$2:$N$421,'الشؤون التنفيذية'!$B$2:$B$421,$B70,'الشؤون التنفيذية'!$G$2:$G$421,$G70,'الشؤون التنفيذية'!$I$2:$I$421,$I70)+SUMIFS('الجهاز العسكري'!$M$2:$M$631,'الجهاز العسكري'!$B$2:$B$631,$B70,'الجهاز العسكري'!$G$2:$G$631,$G70,'الجهاز العسكري'!$I$2:$I$631,$I70))/$L70,0))</f>
        <v>40</v>
      </c>
      <c r="O70" s="25" t="n">
        <f aca="false">IF($L70=0,0,ROUND((SUMIFS('المرتبطة بسمو الوزير'!$N$2:$N$151,'المرتبطة بسمو الوزير'!$B$2:$B$151,$B70,'المرتبطة بسمو الوزير'!$G$2:$G$151,$G70,'المرتبطة بسمو الوزير'!$I$2:$I$151,$I70)+SUMIFS('الشؤون التنفيذية'!$O$2:$O$421,'الشؤون التنفيذية'!$B$2:$B$421,$B70,'الشؤون التنفيذية'!$G$2:$G$421,$G70,'الشؤون التنفيذية'!$I$2:$I$421,$I70)+SUMIFS('الجهاز العسكري'!$N$2:$N$631,'الجهاز العسكري'!$B$2:$B$631,$B70,'الجهاز العسكري'!$G$2:$G$631,$G70,'الجهاز العسكري'!$I$2:$I$631,$I70))/$L70,0))</f>
        <v>95</v>
      </c>
      <c r="P70" s="22"/>
      <c r="Q70" s="19" t="n">
        <f aca="false">SUMIFS(المرجع!$G$2:$G$19,المرجع!$B$2:$B$19,$G70,المرجع!$E$2:$E$19,$I70)</f>
        <v>15</v>
      </c>
      <c r="R70" s="26" t="n">
        <f aca="false">ROUND($Q70*$N70/100,2)</f>
        <v>6</v>
      </c>
      <c r="S70" s="27" t="str">
        <f aca="false">IF($N70&gt;المرجع!$K$3,"متقدم",IF($N70&lt;=المرجع!$K$2,"أولي","جزئي"))</f>
        <v>جزئي</v>
      </c>
      <c r="T70" s="28" t="n">
        <f aca="false">ROUND($Q70*$O70/100,2)</f>
        <v>14.25</v>
      </c>
    </row>
    <row r="71" customFormat="false" ht="15" hidden="false" customHeight="true" outlineLevel="0" collapsed="false">
      <c r="A71" s="20" t="s">
        <v>1523</v>
      </c>
      <c r="B71" s="20" t="s">
        <v>156</v>
      </c>
      <c r="C71" s="19" t="str">
        <f aca="false">IFERROR(INDEX('قائمة الوحدات'!$B$2:$B$41,MATCH($B71,'قائمة الوحدات'!$A$2:$A$41,0)),"")</f>
        <v>TOP</v>
      </c>
      <c r="D71" s="18" t="str">
        <f aca="false">IFERROR(INDEX('قائمة الوحدات'!$C$2:$C$41,MATCH($B71,'قائمة الوحدات'!$A$2:$A$41,0)),"")</f>
        <v>المرتبطة بسمو الوزير</v>
      </c>
      <c r="E71" s="18" t="str">
        <f aca="false">IFERROR(INDEX('قائمة الوحدات'!$D$2:$D$41,MATCH($B71,'قائمة الوحدات'!$A$2:$A$41,0)),"")</f>
        <v>إدارة الشؤون القانونية</v>
      </c>
      <c r="F71" s="18" t="str">
        <f aca="false">IFERROR(INDEX('قائمة الوحدات'!$F$2:$F$41,MATCH($B71,'قائمة الوحدات'!$A$2:$A$41,0)),"")</f>
        <v>إدارة الشؤون القانونية</v>
      </c>
      <c r="G71" s="20" t="s">
        <v>66</v>
      </c>
      <c r="H71" s="18" t="str">
        <f aca="false">IFERROR(INDEX(المرجع!$A$2:$A$19,MATCH($G71,المرجع!$B$2:$B$19,0)),"")</f>
        <v>التشغيل</v>
      </c>
      <c r="I71" s="20" t="s">
        <v>57</v>
      </c>
      <c r="J71" s="18" t="str">
        <f aca="false">IFERROR(INDEX(المرجع!$D$2:$D$19,MATCH($I71,المرجع!$E$2:$E$19,0)),"")</f>
        <v>الموارد</v>
      </c>
      <c r="K71" s="19" t="n">
        <f aca="false">IFERROR(INDEX(المرجع!$F$2:$F$19,MATCH($I71,المرجع!$E$2:$E$19,0)),"")</f>
        <v>5</v>
      </c>
      <c r="L71" s="19" t="n">
        <f aca="false">SUMIFS(المرجع!$H$2:$H$19,المرجع!$B$2:$B$19,$G71,المرجع!$E$2:$E$19,$I71)</f>
        <v>1</v>
      </c>
      <c r="M71" s="19" t="n">
        <f aca="false">COUNTIFS('المرتبطة بسمو الوزير'!$B$2:$B$151,$B71,'المرتبطة بسمو الوزير'!$G$2:$G$151,$G71,'المرتبطة بسمو الوزير'!$I$2:$I$151,$I71,'المرتبطة بسمو الوزير'!$M$2:$M$151,"&lt;&gt;")+COUNTIFS('الشؤون التنفيذية'!$B$2:$B$421,$B71,'الشؤون التنفيذية'!$G$2:$G$421,$G71,'الشؤون التنفيذية'!$I$2:$I$421,$I71,'الشؤون التنفيذية'!$N$2:$N$421,"&lt;&gt;")+COUNTIFS('الجهاز العسكري'!$B$2:$B$631,$B71,'الجهاز العسكري'!$G$2:$G$631,$G71,'الجهاز العسكري'!$I$2:$I$631,$I71,'الجهاز العسكري'!$M$2:$M$631,"&lt;&gt;")</f>
        <v>1</v>
      </c>
      <c r="N71" s="24" t="n">
        <f aca="false">IF($L71=0,0,ROUND((SUMIFS('المرتبطة بسمو الوزير'!$M$2:$M$151,'المرتبطة بسمو الوزير'!$B$2:$B$151,$B71,'المرتبطة بسمو الوزير'!$G$2:$G$151,$G71,'المرتبطة بسمو الوزير'!$I$2:$I$151,$I71)+SUMIFS('الشؤون التنفيذية'!$N$2:$N$421,'الشؤون التنفيذية'!$B$2:$B$421,$B71,'الشؤون التنفيذية'!$G$2:$G$421,$G71,'الشؤون التنفيذية'!$I$2:$I$421,$I71)+SUMIFS('الجهاز العسكري'!$M$2:$M$631,'الجهاز العسكري'!$B$2:$B$631,$B71,'الجهاز العسكري'!$G$2:$G$631,$G71,'الجهاز العسكري'!$I$2:$I$631,$I71))/$L71,0))</f>
        <v>42</v>
      </c>
      <c r="O71" s="25" t="n">
        <f aca="false">IF($L71=0,0,ROUND((SUMIFS('المرتبطة بسمو الوزير'!$N$2:$N$151,'المرتبطة بسمو الوزير'!$B$2:$B$151,$B71,'المرتبطة بسمو الوزير'!$G$2:$G$151,$G71,'المرتبطة بسمو الوزير'!$I$2:$I$151,$I71)+SUMIFS('الشؤون التنفيذية'!$O$2:$O$421,'الشؤون التنفيذية'!$B$2:$B$421,$B71,'الشؤون التنفيذية'!$G$2:$G$421,$G71,'الشؤون التنفيذية'!$I$2:$I$421,$I71)+SUMIFS('الجهاز العسكري'!$N$2:$N$631,'الجهاز العسكري'!$B$2:$B$631,$B71,'الجهاز العسكري'!$G$2:$G$631,$G71,'الجهاز العسكري'!$I$2:$I$631,$I71))/$L71,0))</f>
        <v>100</v>
      </c>
      <c r="P71" s="22"/>
      <c r="Q71" s="19" t="n">
        <f aca="false">SUMIFS(المرجع!$G$2:$G$19,المرجع!$B$2:$B$19,$G71,المرجع!$E$2:$E$19,$I71)</f>
        <v>15</v>
      </c>
      <c r="R71" s="26" t="n">
        <f aca="false">ROUND($Q71*$N71/100,2)</f>
        <v>6.3</v>
      </c>
      <c r="S71" s="27" t="str">
        <f aca="false">IF($N71&gt;المرجع!$K$3,"متقدم",IF($N71&lt;=المرجع!$K$2,"أولي","جزئي"))</f>
        <v>جزئي</v>
      </c>
      <c r="T71" s="28" t="n">
        <f aca="false">ROUND($Q71*$O71/100,2)</f>
        <v>15</v>
      </c>
    </row>
    <row r="72" customFormat="false" ht="15" hidden="false" customHeight="true" outlineLevel="0" collapsed="false">
      <c r="A72" s="20" t="s">
        <v>1524</v>
      </c>
      <c r="B72" s="20" t="s">
        <v>156</v>
      </c>
      <c r="C72" s="19" t="str">
        <f aca="false">IFERROR(INDEX('قائمة الوحدات'!$B$2:$B$41,MATCH($B72,'قائمة الوحدات'!$A$2:$A$41,0)),"")</f>
        <v>TOP</v>
      </c>
      <c r="D72" s="18" t="str">
        <f aca="false">IFERROR(INDEX('قائمة الوحدات'!$C$2:$C$41,MATCH($B72,'قائمة الوحدات'!$A$2:$A$41,0)),"")</f>
        <v>المرتبطة بسمو الوزير</v>
      </c>
      <c r="E72" s="18" t="str">
        <f aca="false">IFERROR(INDEX('قائمة الوحدات'!$D$2:$D$41,MATCH($B72,'قائمة الوحدات'!$A$2:$A$41,0)),"")</f>
        <v>إدارة الشؤون القانونية</v>
      </c>
      <c r="F72" s="18" t="str">
        <f aca="false">IFERROR(INDEX('قائمة الوحدات'!$F$2:$F$41,MATCH($B72,'قائمة الوحدات'!$A$2:$A$41,0)),"")</f>
        <v>إدارة الشؤون القانونية</v>
      </c>
      <c r="G72" s="20" t="s">
        <v>66</v>
      </c>
      <c r="H72" s="18" t="str">
        <f aca="false">IFERROR(INDEX(المرجع!$A$2:$A$19,MATCH($G72,المرجع!$B$2:$B$19,0)),"")</f>
        <v>التشغيل</v>
      </c>
      <c r="I72" s="20" t="s">
        <v>60</v>
      </c>
      <c r="J72" s="18" t="str">
        <f aca="false">IFERROR(INDEX(المرجع!$D$2:$D$19,MATCH($I72,المرجع!$E$2:$E$19,0)),"")</f>
        <v>الإجراءات</v>
      </c>
      <c r="K72" s="19" t="n">
        <f aca="false">IFERROR(INDEX(المرجع!$F$2:$F$19,MATCH($I72,المرجع!$E$2:$E$19,0)),"")</f>
        <v>6</v>
      </c>
      <c r="L72" s="19" t="n">
        <f aca="false">SUMIFS(المرجع!$H$2:$H$19,المرجع!$B$2:$B$19,$G72,المرجع!$E$2:$E$19,$I72)</f>
        <v>1</v>
      </c>
      <c r="M72" s="19" t="n">
        <f aca="false">COUNTIFS('المرتبطة بسمو الوزير'!$B$2:$B$151,$B72,'المرتبطة بسمو الوزير'!$G$2:$G$151,$G72,'المرتبطة بسمو الوزير'!$I$2:$I$151,$I72,'المرتبطة بسمو الوزير'!$M$2:$M$151,"&lt;&gt;")+COUNTIFS('الشؤون التنفيذية'!$B$2:$B$421,$B72,'الشؤون التنفيذية'!$G$2:$G$421,$G72,'الشؤون التنفيذية'!$I$2:$I$421,$I72,'الشؤون التنفيذية'!$N$2:$N$421,"&lt;&gt;")+COUNTIFS('الجهاز العسكري'!$B$2:$B$631,$B72,'الجهاز العسكري'!$G$2:$G$631,$G72,'الجهاز العسكري'!$I$2:$I$631,$I72,'الجهاز العسكري'!$M$2:$M$631,"&lt;&gt;")</f>
        <v>1</v>
      </c>
      <c r="N72" s="24" t="n">
        <f aca="false">IF($L72=0,0,ROUND((SUMIFS('المرتبطة بسمو الوزير'!$M$2:$M$151,'المرتبطة بسمو الوزير'!$B$2:$B$151,$B72,'المرتبطة بسمو الوزير'!$G$2:$G$151,$G72,'المرتبطة بسمو الوزير'!$I$2:$I$151,$I72)+SUMIFS('الشؤون التنفيذية'!$N$2:$N$421,'الشؤون التنفيذية'!$B$2:$B$421,$B72,'الشؤون التنفيذية'!$G$2:$G$421,$G72,'الشؤون التنفيذية'!$I$2:$I$421,$I72)+SUMIFS('الجهاز العسكري'!$M$2:$M$631,'الجهاز العسكري'!$B$2:$B$631,$B72,'الجهاز العسكري'!$G$2:$G$631,$G72,'الجهاز العسكري'!$I$2:$I$631,$I72))/$L72,0))</f>
        <v>56</v>
      </c>
      <c r="O72" s="25" t="n">
        <f aca="false">IF($L72=0,0,ROUND((SUMIFS('المرتبطة بسمو الوزير'!$N$2:$N$151,'المرتبطة بسمو الوزير'!$B$2:$B$151,$B72,'المرتبطة بسمو الوزير'!$G$2:$G$151,$G72,'المرتبطة بسمو الوزير'!$I$2:$I$151,$I72)+SUMIFS('الشؤون التنفيذية'!$O$2:$O$421,'الشؤون التنفيذية'!$B$2:$B$421,$B72,'الشؤون التنفيذية'!$G$2:$G$421,$G72,'الشؤون التنفيذية'!$I$2:$I$421,$I72)+SUMIFS('الجهاز العسكري'!$N$2:$N$631,'الجهاز العسكري'!$B$2:$B$631,$B72,'الجهاز العسكري'!$G$2:$G$631,$G72,'الجهاز العسكري'!$I$2:$I$631,$I72))/$L72,0))</f>
        <v>100</v>
      </c>
      <c r="P72" s="22"/>
      <c r="Q72" s="19" t="n">
        <f aca="false">SUMIFS(المرجع!$G$2:$G$19,المرجع!$B$2:$B$19,$G72,المرجع!$E$2:$E$19,$I72)</f>
        <v>15</v>
      </c>
      <c r="R72" s="26" t="n">
        <f aca="false">ROUND($Q72*$N72/100,2)</f>
        <v>8.4</v>
      </c>
      <c r="S72" s="27" t="str">
        <f aca="false">IF($N72&gt;المرجع!$K$3,"متقدم",IF($N72&lt;=المرجع!$K$2,"أولي","جزئي"))</f>
        <v>جزئي</v>
      </c>
      <c r="T72" s="28" t="n">
        <f aca="false">ROUND($Q72*$O72/100,2)</f>
        <v>15</v>
      </c>
    </row>
    <row r="73" customFormat="false" ht="15" hidden="false" customHeight="true" outlineLevel="0" collapsed="false">
      <c r="A73" s="20" t="s">
        <v>1525</v>
      </c>
      <c r="B73" s="20" t="s">
        <v>156</v>
      </c>
      <c r="C73" s="19" t="str">
        <f aca="false">IFERROR(INDEX('قائمة الوحدات'!$B$2:$B$41,MATCH($B73,'قائمة الوحدات'!$A$2:$A$41,0)),"")</f>
        <v>TOP</v>
      </c>
      <c r="D73" s="18" t="str">
        <f aca="false">IFERROR(INDEX('قائمة الوحدات'!$C$2:$C$41,MATCH($B73,'قائمة الوحدات'!$A$2:$A$41,0)),"")</f>
        <v>المرتبطة بسمو الوزير</v>
      </c>
      <c r="E73" s="18" t="str">
        <f aca="false">IFERROR(INDEX('قائمة الوحدات'!$D$2:$D$41,MATCH($B73,'قائمة الوحدات'!$A$2:$A$41,0)),"")</f>
        <v>إدارة الشؤون القانونية</v>
      </c>
      <c r="F73" s="18" t="str">
        <f aca="false">IFERROR(INDEX('قائمة الوحدات'!$F$2:$F$41,MATCH($B73,'قائمة الوحدات'!$A$2:$A$41,0)),"")</f>
        <v>إدارة الشؤون القانونية</v>
      </c>
      <c r="G73" s="20" t="s">
        <v>66</v>
      </c>
      <c r="H73" s="18" t="str">
        <f aca="false">IFERROR(INDEX(المرجع!$A$2:$A$19,MATCH($G73,المرجع!$B$2:$B$19,0)),"")</f>
        <v>التشغيل</v>
      </c>
      <c r="I73" s="20" t="s">
        <v>71</v>
      </c>
      <c r="J73" s="18" t="str">
        <f aca="false">IFERROR(INDEX(المرجع!$D$2:$D$19,MATCH($I73,المرجع!$E$2:$E$19,0)),"")</f>
        <v>اكتمال المخرجات المستهدفة</v>
      </c>
      <c r="K73" s="19" t="n">
        <f aca="false">IFERROR(INDEX(المرجع!$F$2:$F$19,MATCH($I73,المرجع!$E$2:$E$19,0)),"")</f>
        <v>8</v>
      </c>
      <c r="L73" s="19" t="n">
        <f aca="false">SUMIFS(المرجع!$H$2:$H$19,المرجع!$B$2:$B$19,$G73,المرجع!$E$2:$E$19,$I73)</f>
        <v>1</v>
      </c>
      <c r="M73" s="19" t="n">
        <f aca="false">COUNTIFS('المرتبطة بسمو الوزير'!$B$2:$B$151,$B73,'المرتبطة بسمو الوزير'!$G$2:$G$151,$G73,'المرتبطة بسمو الوزير'!$I$2:$I$151,$I73,'المرتبطة بسمو الوزير'!$M$2:$M$151,"&lt;&gt;")+COUNTIFS('الشؤون التنفيذية'!$B$2:$B$421,$B73,'الشؤون التنفيذية'!$G$2:$G$421,$G73,'الشؤون التنفيذية'!$I$2:$I$421,$I73,'الشؤون التنفيذية'!$N$2:$N$421,"&lt;&gt;")+COUNTIFS('الجهاز العسكري'!$B$2:$B$631,$B73,'الجهاز العسكري'!$G$2:$G$631,$G73,'الجهاز العسكري'!$I$2:$I$631,$I73,'الجهاز العسكري'!$M$2:$M$631,"&lt;&gt;")</f>
        <v>1</v>
      </c>
      <c r="N73" s="24" t="n">
        <f aca="false">IF($L73=0,0,ROUND((SUMIFS('المرتبطة بسمو الوزير'!$M$2:$M$151,'المرتبطة بسمو الوزير'!$B$2:$B$151,$B73,'المرتبطة بسمو الوزير'!$G$2:$G$151,$G73,'المرتبطة بسمو الوزير'!$I$2:$I$151,$I73)+SUMIFS('الشؤون التنفيذية'!$N$2:$N$421,'الشؤون التنفيذية'!$B$2:$B$421,$B73,'الشؤون التنفيذية'!$G$2:$G$421,$G73,'الشؤون التنفيذية'!$I$2:$I$421,$I73)+SUMIFS('الجهاز العسكري'!$M$2:$M$631,'الجهاز العسكري'!$B$2:$B$631,$B73,'الجهاز العسكري'!$G$2:$G$631,$G73,'الجهاز العسكري'!$I$2:$I$631,$I73))/$L73,0))</f>
        <v>20</v>
      </c>
      <c r="O73" s="25" t="n">
        <f aca="false">IF($L73=0,0,ROUND((SUMIFS('المرتبطة بسمو الوزير'!$N$2:$N$151,'المرتبطة بسمو الوزير'!$B$2:$B$151,$B73,'المرتبطة بسمو الوزير'!$G$2:$G$151,$G73,'المرتبطة بسمو الوزير'!$I$2:$I$151,$I73)+SUMIFS('الشؤون التنفيذية'!$O$2:$O$421,'الشؤون التنفيذية'!$B$2:$B$421,$B73,'الشؤون التنفيذية'!$G$2:$G$421,$G73,'الشؤون التنفيذية'!$I$2:$I$421,$I73)+SUMIFS('الجهاز العسكري'!$N$2:$N$631,'الجهاز العسكري'!$B$2:$B$631,$B73,'الجهاز العسكري'!$G$2:$G$631,$G73,'الجهاز العسكري'!$I$2:$I$631,$I73))/$L73,0))</f>
        <v>95</v>
      </c>
      <c r="P73" s="22"/>
      <c r="Q73" s="19" t="n">
        <f aca="false">SUMIFS(المرجع!$G$2:$G$19,المرجع!$B$2:$B$19,$G73,المرجع!$E$2:$E$19,$I73)</f>
        <v>30</v>
      </c>
      <c r="R73" s="26" t="n">
        <f aca="false">ROUND($Q73*$N73/100,2)</f>
        <v>6</v>
      </c>
      <c r="S73" s="27" t="str">
        <f aca="false">IF($N73&gt;المرجع!$K$3,"متقدم",IF($N73&lt;=المرجع!$K$2,"أولي","جزئي"))</f>
        <v>أولي</v>
      </c>
      <c r="T73" s="28" t="n">
        <f aca="false">ROUND($Q73*$O73/100,2)</f>
        <v>28.5</v>
      </c>
    </row>
    <row r="74" customFormat="false" ht="15" hidden="false" customHeight="true" outlineLevel="0" collapsed="false">
      <c r="A74" s="20" t="s">
        <v>1526</v>
      </c>
      <c r="B74" s="20" t="s">
        <v>158</v>
      </c>
      <c r="C74" s="19" t="str">
        <f aca="false">IFERROR(INDEX('قائمة الوحدات'!$B$2:$B$41,MATCH($B74,'قائمة الوحدات'!$A$2:$A$41,0)),"")</f>
        <v>TOP</v>
      </c>
      <c r="D74" s="18" t="str">
        <f aca="false">IFERROR(INDEX('قائمة الوحدات'!$C$2:$C$41,MATCH($B74,'قائمة الوحدات'!$A$2:$A$41,0)),"")</f>
        <v>المرتبطة بسمو الوزير</v>
      </c>
      <c r="E74" s="18" t="str">
        <f aca="false">IFERROR(INDEX('قائمة الوحدات'!$D$2:$D$41,MATCH($B74,'قائمة الوحدات'!$A$2:$A$41,0)),"")</f>
        <v>إدارة التميز المؤسسي</v>
      </c>
      <c r="F74" s="18" t="str">
        <f aca="false">IFERROR(INDEX('قائمة الوحدات'!$F$2:$F$41,MATCH($B74,'قائمة الوحدات'!$A$2:$A$41,0)),"")</f>
        <v>إدارة التميز المؤسسي</v>
      </c>
      <c r="G74" s="20" t="s">
        <v>44</v>
      </c>
      <c r="H74" s="18" t="str">
        <f aca="false">IFERROR(INDEX(المرجع!$A$2:$A$19,MATCH($G74,المرجع!$B$2:$B$19,0)),"")</f>
        <v>التصميم</v>
      </c>
      <c r="I74" s="20" t="s">
        <v>46</v>
      </c>
      <c r="J74" s="18" t="str">
        <f aca="false">IFERROR(INDEX(المرجع!$D$2:$D$19,MATCH($I74,المرجع!$E$2:$E$19,0)),"")</f>
        <v>الدور</v>
      </c>
      <c r="K74" s="19" t="n">
        <f aca="false">IFERROR(INDEX(المرجع!$F$2:$F$19,MATCH($I74,المرجع!$E$2:$E$19,0)),"")</f>
        <v>1</v>
      </c>
      <c r="L74" s="19" t="n">
        <f aca="false">SUMIFS(المرجع!$H$2:$H$19,المرجع!$B$2:$B$19,$G74,المرجع!$E$2:$E$19,$I74)</f>
        <v>1</v>
      </c>
      <c r="M74" s="19" t="n">
        <f aca="false">COUNTIFS('المرتبطة بسمو الوزير'!$B$2:$B$151,$B74,'المرتبطة بسمو الوزير'!$G$2:$G$151,$G74,'المرتبطة بسمو الوزير'!$I$2:$I$151,$I74,'المرتبطة بسمو الوزير'!$M$2:$M$151,"&lt;&gt;")+COUNTIFS('الشؤون التنفيذية'!$B$2:$B$421,$B74,'الشؤون التنفيذية'!$G$2:$G$421,$G74,'الشؤون التنفيذية'!$I$2:$I$421,$I74,'الشؤون التنفيذية'!$N$2:$N$421,"&lt;&gt;")+COUNTIFS('الجهاز العسكري'!$B$2:$B$631,$B74,'الجهاز العسكري'!$G$2:$G$631,$G74,'الجهاز العسكري'!$I$2:$I$631,$I74,'الجهاز العسكري'!$M$2:$M$631,"&lt;&gt;")</f>
        <v>1</v>
      </c>
      <c r="N74" s="24" t="n">
        <f aca="false">IF($L74=0,0,ROUND((SUMIFS('المرتبطة بسمو الوزير'!$M$2:$M$151,'المرتبطة بسمو الوزير'!$B$2:$B$151,$B74,'المرتبطة بسمو الوزير'!$G$2:$G$151,$G74,'المرتبطة بسمو الوزير'!$I$2:$I$151,$I74)+SUMIFS('الشؤون التنفيذية'!$N$2:$N$421,'الشؤون التنفيذية'!$B$2:$B$421,$B74,'الشؤون التنفيذية'!$G$2:$G$421,$G74,'الشؤون التنفيذية'!$I$2:$I$421,$I74)+SUMIFS('الجهاز العسكري'!$M$2:$M$631,'الجهاز العسكري'!$B$2:$B$631,$B74,'الجهاز العسكري'!$G$2:$G$631,$G74,'الجهاز العسكري'!$I$2:$I$631,$I74))/$L74,0))</f>
        <v>88</v>
      </c>
      <c r="O74" s="25" t="n">
        <f aca="false">IF($L74=0,0,ROUND((SUMIFS('المرتبطة بسمو الوزير'!$N$2:$N$151,'المرتبطة بسمو الوزير'!$B$2:$B$151,$B74,'المرتبطة بسمو الوزير'!$G$2:$G$151,$G74,'المرتبطة بسمو الوزير'!$I$2:$I$151,$I74)+SUMIFS('الشؤون التنفيذية'!$O$2:$O$421,'الشؤون التنفيذية'!$B$2:$B$421,$B74,'الشؤون التنفيذية'!$G$2:$G$421,$G74,'الشؤون التنفيذية'!$I$2:$I$421,$I74)+SUMIFS('الجهاز العسكري'!$N$2:$N$631,'الجهاز العسكري'!$B$2:$B$631,$B74,'الجهاز العسكري'!$G$2:$G$631,$G74,'الجهاز العسكري'!$I$2:$I$631,$I74))/$L74,0))</f>
        <v>88</v>
      </c>
      <c r="P74" s="22"/>
      <c r="Q74" s="19" t="n">
        <f aca="false">SUMIFS(المرجع!$G$2:$G$19,المرجع!$B$2:$B$19,$G74,المرجع!$E$2:$E$19,$I74)</f>
        <v>25</v>
      </c>
      <c r="R74" s="26" t="n">
        <f aca="false">ROUND($Q74*$N74/100,2)</f>
        <v>22</v>
      </c>
      <c r="S74" s="27" t="str">
        <f aca="false">IF($N74&gt;المرجع!$K$3,"متقدم",IF($N74&lt;=المرجع!$K$2,"أولي","جزئي"))</f>
        <v>متقدم</v>
      </c>
      <c r="T74" s="28" t="n">
        <f aca="false">ROUND($Q74*$O74/100,2)</f>
        <v>22</v>
      </c>
    </row>
    <row r="75" customFormat="false" ht="15" hidden="false" customHeight="true" outlineLevel="0" collapsed="false">
      <c r="A75" s="20" t="s">
        <v>1527</v>
      </c>
      <c r="B75" s="20" t="s">
        <v>158</v>
      </c>
      <c r="C75" s="19" t="str">
        <f aca="false">IFERROR(INDEX('قائمة الوحدات'!$B$2:$B$41,MATCH($B75,'قائمة الوحدات'!$A$2:$A$41,0)),"")</f>
        <v>TOP</v>
      </c>
      <c r="D75" s="18" t="str">
        <f aca="false">IFERROR(INDEX('قائمة الوحدات'!$C$2:$C$41,MATCH($B75,'قائمة الوحدات'!$A$2:$A$41,0)),"")</f>
        <v>المرتبطة بسمو الوزير</v>
      </c>
      <c r="E75" s="18" t="str">
        <f aca="false">IFERROR(INDEX('قائمة الوحدات'!$D$2:$D$41,MATCH($B75,'قائمة الوحدات'!$A$2:$A$41,0)),"")</f>
        <v>إدارة التميز المؤسسي</v>
      </c>
      <c r="F75" s="18" t="str">
        <f aca="false">IFERROR(INDEX('قائمة الوحدات'!$F$2:$F$41,MATCH($B75,'قائمة الوحدات'!$A$2:$A$41,0)),"")</f>
        <v>إدارة التميز المؤسسي</v>
      </c>
      <c r="G75" s="20" t="s">
        <v>44</v>
      </c>
      <c r="H75" s="18" t="str">
        <f aca="false">IFERROR(INDEX(المرجع!$A$2:$A$19,MATCH($G75,المرجع!$B$2:$B$19,0)),"")</f>
        <v>التصميم</v>
      </c>
      <c r="I75" s="20" t="s">
        <v>49</v>
      </c>
      <c r="J75" s="18" t="str">
        <f aca="false">IFERROR(INDEX(المرجع!$D$2:$D$19,MATCH($I75,المرجع!$E$2:$E$19,0)),"")</f>
        <v>الأهداف ومؤشرات الأداء</v>
      </c>
      <c r="K75" s="19" t="n">
        <f aca="false">IFERROR(INDEX(المرجع!$F$2:$F$19,MATCH($I75,المرجع!$E$2:$E$19,0)),"")</f>
        <v>2</v>
      </c>
      <c r="L75" s="19" t="n">
        <f aca="false">SUMIFS(المرجع!$H$2:$H$19,المرجع!$B$2:$B$19,$G75,المرجع!$E$2:$E$19,$I75)</f>
        <v>2</v>
      </c>
      <c r="M75" s="19" t="n">
        <f aca="false">COUNTIFS('المرتبطة بسمو الوزير'!$B$2:$B$151,$B75,'المرتبطة بسمو الوزير'!$G$2:$G$151,$G75,'المرتبطة بسمو الوزير'!$I$2:$I$151,$I75,'المرتبطة بسمو الوزير'!$M$2:$M$151,"&lt;&gt;")+COUNTIFS('الشؤون التنفيذية'!$B$2:$B$421,$B75,'الشؤون التنفيذية'!$G$2:$G$421,$G75,'الشؤون التنفيذية'!$I$2:$I$421,$I75,'الشؤون التنفيذية'!$N$2:$N$421,"&lt;&gt;")+COUNTIFS('الجهاز العسكري'!$B$2:$B$631,$B75,'الجهاز العسكري'!$G$2:$G$631,$G75,'الجهاز العسكري'!$I$2:$I$631,$I75,'الجهاز العسكري'!$M$2:$M$631,"&lt;&gt;")</f>
        <v>2</v>
      </c>
      <c r="N75" s="24" t="n">
        <f aca="false">IF($L75=0,0,ROUND((SUMIFS('المرتبطة بسمو الوزير'!$M$2:$M$151,'المرتبطة بسمو الوزير'!$B$2:$B$151,$B75,'المرتبطة بسمو الوزير'!$G$2:$G$151,$G75,'المرتبطة بسمو الوزير'!$I$2:$I$151,$I75)+SUMIFS('الشؤون التنفيذية'!$N$2:$N$421,'الشؤون التنفيذية'!$B$2:$B$421,$B75,'الشؤون التنفيذية'!$G$2:$G$421,$G75,'الشؤون التنفيذية'!$I$2:$I$421,$I75)+SUMIFS('الجهاز العسكري'!$M$2:$M$631,'الجهاز العسكري'!$B$2:$B$631,$B75,'الجهاز العسكري'!$G$2:$G$631,$G75,'الجهاز العسكري'!$I$2:$I$631,$I75))/$L75,0))</f>
        <v>73</v>
      </c>
      <c r="O75" s="25" t="n">
        <f aca="false">IF($L75=0,0,ROUND((SUMIFS('المرتبطة بسمو الوزير'!$N$2:$N$151,'المرتبطة بسمو الوزير'!$B$2:$B$151,$B75,'المرتبطة بسمو الوزير'!$G$2:$G$151,$G75,'المرتبطة بسمو الوزير'!$I$2:$I$151,$I75)+SUMIFS('الشؤون التنفيذية'!$O$2:$O$421,'الشؤون التنفيذية'!$B$2:$B$421,$B75,'الشؤون التنفيذية'!$G$2:$G$421,$G75,'الشؤون التنفيذية'!$I$2:$I$421,$I75)+SUMIFS('الجهاز العسكري'!$N$2:$N$631,'الجهاز العسكري'!$B$2:$B$631,$B75,'الجهاز العسكري'!$G$2:$G$631,$G75,'الجهاز العسكري'!$I$2:$I$631,$I75))/$L75,0))</f>
        <v>90</v>
      </c>
      <c r="P75" s="22"/>
      <c r="Q75" s="19" t="n">
        <f aca="false">SUMIFS(المرجع!$G$2:$G$19,المرجع!$B$2:$B$19,$G75,المرجع!$E$2:$E$19,$I75)</f>
        <v>15</v>
      </c>
      <c r="R75" s="26" t="n">
        <f aca="false">ROUND($Q75*$N75/100,2)</f>
        <v>10.95</v>
      </c>
      <c r="S75" s="27" t="str">
        <f aca="false">IF($N75&gt;المرجع!$K$3,"متقدم",IF($N75&lt;=المرجع!$K$2,"أولي","جزئي"))</f>
        <v>متقدم</v>
      </c>
      <c r="T75" s="28" t="n">
        <f aca="false">ROUND($Q75*$O75/100,2)</f>
        <v>13.5</v>
      </c>
    </row>
    <row r="76" customFormat="false" ht="15" hidden="false" customHeight="true" outlineLevel="0" collapsed="false">
      <c r="A76" s="20" t="s">
        <v>1528</v>
      </c>
      <c r="B76" s="20" t="s">
        <v>158</v>
      </c>
      <c r="C76" s="19" t="str">
        <f aca="false">IFERROR(INDEX('قائمة الوحدات'!$B$2:$B$41,MATCH($B76,'قائمة الوحدات'!$A$2:$A$41,0)),"")</f>
        <v>TOP</v>
      </c>
      <c r="D76" s="18" t="str">
        <f aca="false">IFERROR(INDEX('قائمة الوحدات'!$C$2:$C$41,MATCH($B76,'قائمة الوحدات'!$A$2:$A$41,0)),"")</f>
        <v>المرتبطة بسمو الوزير</v>
      </c>
      <c r="E76" s="18" t="str">
        <f aca="false">IFERROR(INDEX('قائمة الوحدات'!$D$2:$D$41,MATCH($B76,'قائمة الوحدات'!$A$2:$A$41,0)),"")</f>
        <v>إدارة التميز المؤسسي</v>
      </c>
      <c r="F76" s="18" t="str">
        <f aca="false">IFERROR(INDEX('قائمة الوحدات'!$F$2:$F$41,MATCH($B76,'قائمة الوحدات'!$A$2:$A$41,0)),"")</f>
        <v>إدارة التميز المؤسسي</v>
      </c>
      <c r="G76" s="20" t="s">
        <v>44</v>
      </c>
      <c r="H76" s="18" t="str">
        <f aca="false">IFERROR(INDEX(المرجع!$A$2:$A$19,MATCH($G76,المرجع!$B$2:$B$19,0)),"")</f>
        <v>التصميم</v>
      </c>
      <c r="I76" s="20" t="s">
        <v>52</v>
      </c>
      <c r="J76" s="18" t="str">
        <f aca="false">IFERROR(INDEX(المرجع!$D$2:$D$19,MATCH($I76,المرجع!$E$2:$E$19,0)),"")</f>
        <v>الحوكمة</v>
      </c>
      <c r="K76" s="19" t="n">
        <f aca="false">IFERROR(INDEX(المرجع!$F$2:$F$19,MATCH($I76,المرجع!$E$2:$E$19,0)),"")</f>
        <v>3</v>
      </c>
      <c r="L76" s="19" t="n">
        <f aca="false">SUMIFS(المرجع!$H$2:$H$19,المرجع!$B$2:$B$19,$G76,المرجع!$E$2:$E$19,$I76)</f>
        <v>1</v>
      </c>
      <c r="M76" s="19" t="n">
        <f aca="false">COUNTIFS('المرتبطة بسمو الوزير'!$B$2:$B$151,$B76,'المرتبطة بسمو الوزير'!$G$2:$G$151,$G76,'المرتبطة بسمو الوزير'!$I$2:$I$151,$I76,'المرتبطة بسمو الوزير'!$M$2:$M$151,"&lt;&gt;")+COUNTIFS('الشؤون التنفيذية'!$B$2:$B$421,$B76,'الشؤون التنفيذية'!$G$2:$G$421,$G76,'الشؤون التنفيذية'!$I$2:$I$421,$I76,'الشؤون التنفيذية'!$N$2:$N$421,"&lt;&gt;")+COUNTIFS('الجهاز العسكري'!$B$2:$B$631,$B76,'الجهاز العسكري'!$G$2:$G$631,$G76,'الجهاز العسكري'!$I$2:$I$631,$I76,'الجهاز العسكري'!$M$2:$M$631,"&lt;&gt;")</f>
        <v>1</v>
      </c>
      <c r="N76" s="24" t="n">
        <f aca="false">IF($L76=0,0,ROUND((SUMIFS('المرتبطة بسمو الوزير'!$M$2:$M$151,'المرتبطة بسمو الوزير'!$B$2:$B$151,$B76,'المرتبطة بسمو الوزير'!$G$2:$G$151,$G76,'المرتبطة بسمو الوزير'!$I$2:$I$151,$I76)+SUMIFS('الشؤون التنفيذية'!$N$2:$N$421,'الشؤون التنفيذية'!$B$2:$B$421,$B76,'الشؤون التنفيذية'!$G$2:$G$421,$G76,'الشؤون التنفيذية'!$I$2:$I$421,$I76)+SUMIFS('الجهاز العسكري'!$M$2:$M$631,'الجهاز العسكري'!$B$2:$B$631,$B76,'الجهاز العسكري'!$G$2:$G$631,$G76,'الجهاز العسكري'!$I$2:$I$631,$I76))/$L76,0))</f>
        <v>79</v>
      </c>
      <c r="O76" s="25" t="n">
        <f aca="false">IF($L76=0,0,ROUND((SUMIFS('المرتبطة بسمو الوزير'!$N$2:$N$151,'المرتبطة بسمو الوزير'!$B$2:$B$151,$B76,'المرتبطة بسمو الوزير'!$G$2:$G$151,$G76,'المرتبطة بسمو الوزير'!$I$2:$I$151,$I76)+SUMIFS('الشؤون التنفيذية'!$O$2:$O$421,'الشؤون التنفيذية'!$B$2:$B$421,$B76,'الشؤون التنفيذية'!$G$2:$G$421,$G76,'الشؤون التنفيذية'!$I$2:$I$421,$I76)+SUMIFS('الجهاز العسكري'!$N$2:$N$631,'الجهاز العسكري'!$B$2:$B$631,$B76,'الجهاز العسكري'!$G$2:$G$631,$G76,'الجهاز العسكري'!$I$2:$I$631,$I76))/$L76,0))</f>
        <v>90</v>
      </c>
      <c r="P76" s="22"/>
      <c r="Q76" s="19" t="n">
        <f aca="false">SUMIFS(المرجع!$G$2:$G$19,المرجع!$B$2:$B$19,$G76,المرجع!$E$2:$E$19,$I76)</f>
        <v>15</v>
      </c>
      <c r="R76" s="26" t="n">
        <f aca="false">ROUND($Q76*$N76/100,2)</f>
        <v>11.85</v>
      </c>
      <c r="S76" s="27" t="str">
        <f aca="false">IF($N76&gt;المرجع!$K$3,"متقدم",IF($N76&lt;=المرجع!$K$2,"أولي","جزئي"))</f>
        <v>متقدم</v>
      </c>
      <c r="T76" s="28" t="n">
        <f aca="false">ROUND($Q76*$O76/100,2)</f>
        <v>13.5</v>
      </c>
    </row>
    <row r="77" customFormat="false" ht="15" hidden="false" customHeight="true" outlineLevel="0" collapsed="false">
      <c r="A77" s="20" t="s">
        <v>1529</v>
      </c>
      <c r="B77" s="20" t="s">
        <v>158</v>
      </c>
      <c r="C77" s="19" t="str">
        <f aca="false">IFERROR(INDEX('قائمة الوحدات'!$B$2:$B$41,MATCH($B77,'قائمة الوحدات'!$A$2:$A$41,0)),"")</f>
        <v>TOP</v>
      </c>
      <c r="D77" s="18" t="str">
        <f aca="false">IFERROR(INDEX('قائمة الوحدات'!$C$2:$C$41,MATCH($B77,'قائمة الوحدات'!$A$2:$A$41,0)),"")</f>
        <v>المرتبطة بسمو الوزير</v>
      </c>
      <c r="E77" s="18" t="str">
        <f aca="false">IFERROR(INDEX('قائمة الوحدات'!$D$2:$D$41,MATCH($B77,'قائمة الوحدات'!$A$2:$A$41,0)),"")</f>
        <v>إدارة التميز المؤسسي</v>
      </c>
      <c r="F77" s="18" t="str">
        <f aca="false">IFERROR(INDEX('قائمة الوحدات'!$F$2:$F$41,MATCH($B77,'قائمة الوحدات'!$A$2:$A$41,0)),"")</f>
        <v>إدارة التميز المؤسسي</v>
      </c>
      <c r="G77" s="20" t="s">
        <v>44</v>
      </c>
      <c r="H77" s="18" t="str">
        <f aca="false">IFERROR(INDEX(المرجع!$A$2:$A$19,MATCH($G77,المرجع!$B$2:$B$19,0)),"")</f>
        <v>التصميم</v>
      </c>
      <c r="I77" s="20" t="s">
        <v>55</v>
      </c>
      <c r="J77" s="18" t="str">
        <f aca="false">IFERROR(INDEX(المرجع!$D$2:$D$19,MATCH($I77,المرجع!$E$2:$E$19,0)),"")</f>
        <v>التنظيم</v>
      </c>
      <c r="K77" s="19" t="n">
        <f aca="false">IFERROR(INDEX(المرجع!$F$2:$F$19,MATCH($I77,المرجع!$E$2:$E$19,0)),"")</f>
        <v>4</v>
      </c>
      <c r="L77" s="19" t="n">
        <f aca="false">SUMIFS(المرجع!$H$2:$H$19,المرجع!$B$2:$B$19,$G77,المرجع!$E$2:$E$19,$I77)</f>
        <v>1</v>
      </c>
      <c r="M77" s="19" t="n">
        <f aca="false">COUNTIFS('المرتبطة بسمو الوزير'!$B$2:$B$151,$B77,'المرتبطة بسمو الوزير'!$G$2:$G$151,$G77,'المرتبطة بسمو الوزير'!$I$2:$I$151,$I77,'المرتبطة بسمو الوزير'!$M$2:$M$151,"&lt;&gt;")+COUNTIFS('الشؤون التنفيذية'!$B$2:$B$421,$B77,'الشؤون التنفيذية'!$G$2:$G$421,$G77,'الشؤون التنفيذية'!$I$2:$I$421,$I77,'الشؤون التنفيذية'!$N$2:$N$421,"&lt;&gt;")+COUNTIFS('الجهاز العسكري'!$B$2:$B$631,$B77,'الجهاز العسكري'!$G$2:$G$631,$G77,'الجهاز العسكري'!$I$2:$I$631,$I77,'الجهاز العسكري'!$M$2:$M$631,"&lt;&gt;")</f>
        <v>1</v>
      </c>
      <c r="N77" s="24" t="n">
        <f aca="false">IF($L77=0,0,ROUND((SUMIFS('المرتبطة بسمو الوزير'!$M$2:$M$151,'المرتبطة بسمو الوزير'!$B$2:$B$151,$B77,'المرتبطة بسمو الوزير'!$G$2:$G$151,$G77,'المرتبطة بسمو الوزير'!$I$2:$I$151,$I77)+SUMIFS('الشؤون التنفيذية'!$N$2:$N$421,'الشؤون التنفيذية'!$B$2:$B$421,$B77,'الشؤون التنفيذية'!$G$2:$G$421,$G77,'الشؤون التنفيذية'!$I$2:$I$421,$I77)+SUMIFS('الجهاز العسكري'!$M$2:$M$631,'الجهاز العسكري'!$B$2:$B$631,$B77,'الجهاز العسكري'!$G$2:$G$631,$G77,'الجهاز العسكري'!$I$2:$I$631,$I77))/$L77,0))</f>
        <v>98</v>
      </c>
      <c r="O77" s="25" t="n">
        <f aca="false">IF($L77=0,0,ROUND((SUMIFS('المرتبطة بسمو الوزير'!$N$2:$N$151,'المرتبطة بسمو الوزير'!$B$2:$B$151,$B77,'المرتبطة بسمو الوزير'!$G$2:$G$151,$G77,'المرتبطة بسمو الوزير'!$I$2:$I$151,$I77)+SUMIFS('الشؤون التنفيذية'!$O$2:$O$421,'الشؤون التنفيذية'!$B$2:$B$421,$B77,'الشؤون التنفيذية'!$G$2:$G$421,$G77,'الشؤون التنفيذية'!$I$2:$I$421,$I77)+SUMIFS('الجهاز العسكري'!$N$2:$N$631,'الجهاز العسكري'!$B$2:$B$631,$B77,'الجهاز العسكري'!$G$2:$G$631,$G77,'الجهاز العسكري'!$I$2:$I$631,$I77))/$L77,0))</f>
        <v>98</v>
      </c>
      <c r="P77" s="22"/>
      <c r="Q77" s="19" t="n">
        <f aca="false">SUMIFS(المرجع!$G$2:$G$19,المرجع!$B$2:$B$19,$G77,المرجع!$E$2:$E$19,$I77)</f>
        <v>20</v>
      </c>
      <c r="R77" s="26" t="n">
        <f aca="false">ROUND($Q77*$N77/100,2)</f>
        <v>19.6</v>
      </c>
      <c r="S77" s="27" t="str">
        <f aca="false">IF($N77&gt;المرجع!$K$3,"متقدم",IF($N77&lt;=المرجع!$K$2,"أولي","جزئي"))</f>
        <v>متقدم</v>
      </c>
      <c r="T77" s="28" t="n">
        <f aca="false">ROUND($Q77*$O77/100,2)</f>
        <v>19.6</v>
      </c>
    </row>
    <row r="78" customFormat="false" ht="15" hidden="false" customHeight="true" outlineLevel="0" collapsed="false">
      <c r="A78" s="20" t="s">
        <v>1530</v>
      </c>
      <c r="B78" s="20" t="s">
        <v>158</v>
      </c>
      <c r="C78" s="19" t="str">
        <f aca="false">IFERROR(INDEX('قائمة الوحدات'!$B$2:$B$41,MATCH($B78,'قائمة الوحدات'!$A$2:$A$41,0)),"")</f>
        <v>TOP</v>
      </c>
      <c r="D78" s="18" t="str">
        <f aca="false">IFERROR(INDEX('قائمة الوحدات'!$C$2:$C$41,MATCH($B78,'قائمة الوحدات'!$A$2:$A$41,0)),"")</f>
        <v>المرتبطة بسمو الوزير</v>
      </c>
      <c r="E78" s="18" t="str">
        <f aca="false">IFERROR(INDEX('قائمة الوحدات'!$D$2:$D$41,MATCH($B78,'قائمة الوحدات'!$A$2:$A$41,0)),"")</f>
        <v>إدارة التميز المؤسسي</v>
      </c>
      <c r="F78" s="18" t="str">
        <f aca="false">IFERROR(INDEX('قائمة الوحدات'!$F$2:$F$41,MATCH($B78,'قائمة الوحدات'!$A$2:$A$41,0)),"")</f>
        <v>إدارة التميز المؤسسي</v>
      </c>
      <c r="G78" s="20" t="s">
        <v>44</v>
      </c>
      <c r="H78" s="18" t="str">
        <f aca="false">IFERROR(INDEX(المرجع!$A$2:$A$19,MATCH($G78,المرجع!$B$2:$B$19,0)),"")</f>
        <v>التصميم</v>
      </c>
      <c r="I78" s="20" t="s">
        <v>57</v>
      </c>
      <c r="J78" s="18" t="str">
        <f aca="false">IFERROR(INDEX(المرجع!$D$2:$D$19,MATCH($I78,المرجع!$E$2:$E$19,0)),"")</f>
        <v>الموارد</v>
      </c>
      <c r="K78" s="19" t="n">
        <f aca="false">IFERROR(INDEX(المرجع!$F$2:$F$19,MATCH($I78,المرجع!$E$2:$E$19,0)),"")</f>
        <v>5</v>
      </c>
      <c r="L78" s="19" t="n">
        <f aca="false">SUMIFS(المرجع!$H$2:$H$19,المرجع!$B$2:$B$19,$G78,المرجع!$E$2:$E$19,$I78)</f>
        <v>1</v>
      </c>
      <c r="M78" s="19" t="n">
        <f aca="false">COUNTIFS('المرتبطة بسمو الوزير'!$B$2:$B$151,$B78,'المرتبطة بسمو الوزير'!$G$2:$G$151,$G78,'المرتبطة بسمو الوزير'!$I$2:$I$151,$I78,'المرتبطة بسمو الوزير'!$M$2:$M$151,"&lt;&gt;")+COUNTIFS('الشؤون التنفيذية'!$B$2:$B$421,$B78,'الشؤون التنفيذية'!$G$2:$G$421,$G78,'الشؤون التنفيذية'!$I$2:$I$421,$I78,'الشؤون التنفيذية'!$N$2:$N$421,"&lt;&gt;")+COUNTIFS('الجهاز العسكري'!$B$2:$B$631,$B78,'الجهاز العسكري'!$G$2:$G$631,$G78,'الجهاز العسكري'!$I$2:$I$631,$I78,'الجهاز العسكري'!$M$2:$M$631,"&lt;&gt;")</f>
        <v>1</v>
      </c>
      <c r="N78" s="24" t="n">
        <f aca="false">IF($L78=0,0,ROUND((SUMIFS('المرتبطة بسمو الوزير'!$M$2:$M$151,'المرتبطة بسمو الوزير'!$B$2:$B$151,$B78,'المرتبطة بسمو الوزير'!$G$2:$G$151,$G78,'المرتبطة بسمو الوزير'!$I$2:$I$151,$I78)+SUMIFS('الشؤون التنفيذية'!$N$2:$N$421,'الشؤون التنفيذية'!$B$2:$B$421,$B78,'الشؤون التنفيذية'!$G$2:$G$421,$G78,'الشؤون التنفيذية'!$I$2:$I$421,$I78)+SUMIFS('الجهاز العسكري'!$M$2:$M$631,'الجهاز العسكري'!$B$2:$B$631,$B78,'الجهاز العسكري'!$G$2:$G$631,$G78,'الجهاز العسكري'!$I$2:$I$631,$I78))/$L78,0))</f>
        <v>70</v>
      </c>
      <c r="O78" s="25" t="n">
        <f aca="false">IF($L78=0,0,ROUND((SUMIFS('المرتبطة بسمو الوزير'!$N$2:$N$151,'المرتبطة بسمو الوزير'!$B$2:$B$151,$B78,'المرتبطة بسمو الوزير'!$G$2:$G$151,$G78,'المرتبطة بسمو الوزير'!$I$2:$I$151,$I78)+SUMIFS('الشؤون التنفيذية'!$O$2:$O$421,'الشؤون التنفيذية'!$B$2:$B$421,$B78,'الشؤون التنفيذية'!$G$2:$G$421,$G78,'الشؤون التنفيذية'!$I$2:$I$421,$I78)+SUMIFS('الجهاز العسكري'!$N$2:$N$631,'الجهاز العسكري'!$B$2:$B$631,$B78,'الجهاز العسكري'!$G$2:$G$631,$G78,'الجهاز العسكري'!$I$2:$I$631,$I78))/$L78,0))</f>
        <v>100</v>
      </c>
      <c r="P78" s="22"/>
      <c r="Q78" s="19" t="n">
        <f aca="false">SUMIFS(المرجع!$G$2:$G$19,المرجع!$B$2:$B$19,$G78,المرجع!$E$2:$E$19,$I78)</f>
        <v>20</v>
      </c>
      <c r="R78" s="26" t="n">
        <f aca="false">ROUND($Q78*$N78/100,2)</f>
        <v>14</v>
      </c>
      <c r="S78" s="27" t="str">
        <f aca="false">IF($N78&gt;المرجع!$K$3,"متقدم",IF($N78&lt;=المرجع!$K$2,"أولي","جزئي"))</f>
        <v>جزئي</v>
      </c>
      <c r="T78" s="28" t="n">
        <f aca="false">ROUND($Q78*$O78/100,2)</f>
        <v>20</v>
      </c>
    </row>
    <row r="79" customFormat="false" ht="15" hidden="false" customHeight="true" outlineLevel="0" collapsed="false">
      <c r="A79" s="20" t="s">
        <v>1531</v>
      </c>
      <c r="B79" s="20" t="s">
        <v>158</v>
      </c>
      <c r="C79" s="19" t="str">
        <f aca="false">IFERROR(INDEX('قائمة الوحدات'!$B$2:$B$41,MATCH($B79,'قائمة الوحدات'!$A$2:$A$41,0)),"")</f>
        <v>TOP</v>
      </c>
      <c r="D79" s="18" t="str">
        <f aca="false">IFERROR(INDEX('قائمة الوحدات'!$C$2:$C$41,MATCH($B79,'قائمة الوحدات'!$A$2:$A$41,0)),"")</f>
        <v>المرتبطة بسمو الوزير</v>
      </c>
      <c r="E79" s="18" t="str">
        <f aca="false">IFERROR(INDEX('قائمة الوحدات'!$D$2:$D$41,MATCH($B79,'قائمة الوحدات'!$A$2:$A$41,0)),"")</f>
        <v>إدارة التميز المؤسسي</v>
      </c>
      <c r="F79" s="18" t="str">
        <f aca="false">IFERROR(INDEX('قائمة الوحدات'!$F$2:$F$41,MATCH($B79,'قائمة الوحدات'!$A$2:$A$41,0)),"")</f>
        <v>إدارة التميز المؤسسي</v>
      </c>
      <c r="G79" s="20" t="s">
        <v>44</v>
      </c>
      <c r="H79" s="18" t="str">
        <f aca="false">IFERROR(INDEX(المرجع!$A$2:$A$19,MATCH($G79,المرجع!$B$2:$B$19,0)),"")</f>
        <v>التصميم</v>
      </c>
      <c r="I79" s="20" t="s">
        <v>60</v>
      </c>
      <c r="J79" s="18" t="str">
        <f aca="false">IFERROR(INDEX(المرجع!$D$2:$D$19,MATCH($I79,المرجع!$E$2:$E$19,0)),"")</f>
        <v>الإجراءات</v>
      </c>
      <c r="K79" s="19" t="n">
        <f aca="false">IFERROR(INDEX(المرجع!$F$2:$F$19,MATCH($I79,المرجع!$E$2:$E$19,0)),"")</f>
        <v>6</v>
      </c>
      <c r="L79" s="19" t="n">
        <f aca="false">SUMIFS(المرجع!$H$2:$H$19,المرجع!$B$2:$B$19,$G79,المرجع!$E$2:$E$19,$I79)</f>
        <v>1</v>
      </c>
      <c r="M79" s="19" t="n">
        <f aca="false">COUNTIFS('المرتبطة بسمو الوزير'!$B$2:$B$151,$B79,'المرتبطة بسمو الوزير'!$G$2:$G$151,$G79,'المرتبطة بسمو الوزير'!$I$2:$I$151,$I79,'المرتبطة بسمو الوزير'!$M$2:$M$151,"&lt;&gt;")+COUNTIFS('الشؤون التنفيذية'!$B$2:$B$421,$B79,'الشؤون التنفيذية'!$G$2:$G$421,$G79,'الشؤون التنفيذية'!$I$2:$I$421,$I79,'الشؤون التنفيذية'!$N$2:$N$421,"&lt;&gt;")+COUNTIFS('الجهاز العسكري'!$B$2:$B$631,$B79,'الجهاز العسكري'!$G$2:$G$631,$G79,'الجهاز العسكري'!$I$2:$I$631,$I79,'الجهاز العسكري'!$M$2:$M$631,"&lt;&gt;")</f>
        <v>1</v>
      </c>
      <c r="N79" s="24" t="n">
        <f aca="false">IF($L79=0,0,ROUND((SUMIFS('المرتبطة بسمو الوزير'!$M$2:$M$151,'المرتبطة بسمو الوزير'!$B$2:$B$151,$B79,'المرتبطة بسمو الوزير'!$G$2:$G$151,$G79,'المرتبطة بسمو الوزير'!$I$2:$I$151,$I79)+SUMIFS('الشؤون التنفيذية'!$N$2:$N$421,'الشؤون التنفيذية'!$B$2:$B$421,$B79,'الشؤون التنفيذية'!$G$2:$G$421,$G79,'الشؤون التنفيذية'!$I$2:$I$421,$I79)+SUMIFS('الجهاز العسكري'!$M$2:$M$631,'الجهاز العسكري'!$B$2:$B$631,$B79,'الجهاز العسكري'!$G$2:$G$631,$G79,'الجهاز العسكري'!$I$2:$I$631,$I79))/$L79,0))</f>
        <v>70</v>
      </c>
      <c r="O79" s="25" t="n">
        <f aca="false">IF($L79=0,0,ROUND((SUMIFS('المرتبطة بسمو الوزير'!$N$2:$N$151,'المرتبطة بسمو الوزير'!$B$2:$B$151,$B79,'المرتبطة بسمو الوزير'!$G$2:$G$151,$G79,'المرتبطة بسمو الوزير'!$I$2:$I$151,$I79)+SUMIFS('الشؤون التنفيذية'!$O$2:$O$421,'الشؤون التنفيذية'!$B$2:$B$421,$B79,'الشؤون التنفيذية'!$G$2:$G$421,$G79,'الشؤون التنفيذية'!$I$2:$I$421,$I79)+SUMIFS('الجهاز العسكري'!$N$2:$N$631,'الجهاز العسكري'!$B$2:$B$631,$B79,'الجهاز العسكري'!$G$2:$G$631,$G79,'الجهاز العسكري'!$I$2:$I$631,$I79))/$L79,0))</f>
        <v>100</v>
      </c>
      <c r="P79" s="22"/>
      <c r="Q79" s="19" t="n">
        <f aca="false">SUMIFS(المرجع!$G$2:$G$19,المرجع!$B$2:$B$19,$G79,المرجع!$E$2:$E$19,$I79)</f>
        <v>5</v>
      </c>
      <c r="R79" s="26" t="n">
        <f aca="false">ROUND($Q79*$N79/100,2)</f>
        <v>3.5</v>
      </c>
      <c r="S79" s="27" t="str">
        <f aca="false">IF($N79&gt;المرجع!$K$3,"متقدم",IF($N79&lt;=المرجع!$K$2,"أولي","جزئي"))</f>
        <v>جزئي</v>
      </c>
      <c r="T79" s="28" t="n">
        <f aca="false">ROUND($Q79*$O79/100,2)</f>
        <v>5</v>
      </c>
    </row>
    <row r="80" customFormat="false" ht="15" hidden="false" customHeight="true" outlineLevel="0" collapsed="false">
      <c r="A80" s="20" t="s">
        <v>1532</v>
      </c>
      <c r="B80" s="20" t="s">
        <v>158</v>
      </c>
      <c r="C80" s="19" t="str">
        <f aca="false">IFERROR(INDEX('قائمة الوحدات'!$B$2:$B$41,MATCH($B80,'قائمة الوحدات'!$A$2:$A$41,0)),"")</f>
        <v>TOP</v>
      </c>
      <c r="D80" s="18" t="str">
        <f aca="false">IFERROR(INDEX('قائمة الوحدات'!$C$2:$C$41,MATCH($B80,'قائمة الوحدات'!$A$2:$A$41,0)),"")</f>
        <v>المرتبطة بسمو الوزير</v>
      </c>
      <c r="E80" s="18" t="str">
        <f aca="false">IFERROR(INDEX('قائمة الوحدات'!$D$2:$D$41,MATCH($B80,'قائمة الوحدات'!$A$2:$A$41,0)),"")</f>
        <v>إدارة التميز المؤسسي</v>
      </c>
      <c r="F80" s="18" t="str">
        <f aca="false">IFERROR(INDEX('قائمة الوحدات'!$F$2:$F$41,MATCH($B80,'قائمة الوحدات'!$A$2:$A$41,0)),"")</f>
        <v>إدارة التميز المؤسسي</v>
      </c>
      <c r="G80" s="20" t="s">
        <v>62</v>
      </c>
      <c r="H80" s="18" t="str">
        <f aca="false">IFERROR(INDEX(المرجع!$A$2:$A$19,MATCH($G80,المرجع!$B$2:$B$19,0)),"")</f>
        <v>البناء المؤسسي</v>
      </c>
      <c r="I80" s="20" t="s">
        <v>46</v>
      </c>
      <c r="J80" s="18" t="str">
        <f aca="false">IFERROR(INDEX(المرجع!$D$2:$D$19,MATCH($I80,المرجع!$E$2:$E$19,0)),"")</f>
        <v>الدور</v>
      </c>
      <c r="K80" s="19" t="n">
        <f aca="false">IFERROR(INDEX(المرجع!$F$2:$F$19,MATCH($I80,المرجع!$E$2:$E$19,0)),"")</f>
        <v>1</v>
      </c>
      <c r="L80" s="19" t="n">
        <f aca="false">SUMIFS(المرجع!$H$2:$H$19,المرجع!$B$2:$B$19,$G80,المرجع!$E$2:$E$19,$I80)</f>
        <v>1</v>
      </c>
      <c r="M80" s="19" t="n">
        <f aca="false">COUNTIFS('المرتبطة بسمو الوزير'!$B$2:$B$151,$B80,'المرتبطة بسمو الوزير'!$G$2:$G$151,$G80,'المرتبطة بسمو الوزير'!$I$2:$I$151,$I80,'المرتبطة بسمو الوزير'!$M$2:$M$151,"&lt;&gt;")+COUNTIFS('الشؤون التنفيذية'!$B$2:$B$421,$B80,'الشؤون التنفيذية'!$G$2:$G$421,$G80,'الشؤون التنفيذية'!$I$2:$I$421,$I80,'الشؤون التنفيذية'!$N$2:$N$421,"&lt;&gt;")+COUNTIFS('الجهاز العسكري'!$B$2:$B$631,$B80,'الجهاز العسكري'!$G$2:$G$631,$G80,'الجهاز العسكري'!$I$2:$I$631,$I80,'الجهاز العسكري'!$M$2:$M$631,"&lt;&gt;")</f>
        <v>1</v>
      </c>
      <c r="N80" s="24" t="n">
        <f aca="false">IF($L80=0,0,ROUND((SUMIFS('المرتبطة بسمو الوزير'!$M$2:$M$151,'المرتبطة بسمو الوزير'!$B$2:$B$151,$B80,'المرتبطة بسمو الوزير'!$G$2:$G$151,$G80,'المرتبطة بسمو الوزير'!$I$2:$I$151,$I80)+SUMIFS('الشؤون التنفيذية'!$N$2:$N$421,'الشؤون التنفيذية'!$B$2:$B$421,$B80,'الشؤون التنفيذية'!$G$2:$G$421,$G80,'الشؤون التنفيذية'!$I$2:$I$421,$I80)+SUMIFS('الجهاز العسكري'!$M$2:$M$631,'الجهاز العسكري'!$B$2:$B$631,$B80,'الجهاز العسكري'!$G$2:$G$631,$G80,'الجهاز العسكري'!$I$2:$I$631,$I80))/$L80,0))</f>
        <v>58</v>
      </c>
      <c r="O80" s="25" t="n">
        <f aca="false">IF($L80=0,0,ROUND((SUMIFS('المرتبطة بسمو الوزير'!$N$2:$N$151,'المرتبطة بسمو الوزير'!$B$2:$B$151,$B80,'المرتبطة بسمو الوزير'!$G$2:$G$151,$G80,'المرتبطة بسمو الوزير'!$I$2:$I$151,$I80)+SUMIFS('الشؤون التنفيذية'!$O$2:$O$421,'الشؤون التنفيذية'!$B$2:$B$421,$B80,'الشؤون التنفيذية'!$G$2:$G$421,$G80,'الشؤون التنفيذية'!$I$2:$I$421,$I80)+SUMIFS('الجهاز العسكري'!$N$2:$N$631,'الجهاز العسكري'!$B$2:$B$631,$B80,'الجهاز العسكري'!$G$2:$G$631,$G80,'الجهاز العسكري'!$I$2:$I$631,$I80))/$L80,0))</f>
        <v>80</v>
      </c>
      <c r="P80" s="22"/>
      <c r="Q80" s="19" t="n">
        <f aca="false">SUMIFS(المرجع!$G$2:$G$19,المرجع!$B$2:$B$19,$G80,المرجع!$E$2:$E$19,$I80)</f>
        <v>15</v>
      </c>
      <c r="R80" s="26" t="n">
        <f aca="false">ROUND($Q80*$N80/100,2)</f>
        <v>8.7</v>
      </c>
      <c r="S80" s="27" t="str">
        <f aca="false">IF($N80&gt;المرجع!$K$3,"متقدم",IF($N80&lt;=المرجع!$K$2,"أولي","جزئي"))</f>
        <v>جزئي</v>
      </c>
      <c r="T80" s="28" t="n">
        <f aca="false">ROUND($Q80*$O80/100,2)</f>
        <v>12</v>
      </c>
    </row>
    <row r="81" customFormat="false" ht="15" hidden="false" customHeight="true" outlineLevel="0" collapsed="false">
      <c r="A81" s="20" t="s">
        <v>1533</v>
      </c>
      <c r="B81" s="20" t="s">
        <v>158</v>
      </c>
      <c r="C81" s="19" t="str">
        <f aca="false">IFERROR(INDEX('قائمة الوحدات'!$B$2:$B$41,MATCH($B81,'قائمة الوحدات'!$A$2:$A$41,0)),"")</f>
        <v>TOP</v>
      </c>
      <c r="D81" s="18" t="str">
        <f aca="false">IFERROR(INDEX('قائمة الوحدات'!$C$2:$C$41,MATCH($B81,'قائمة الوحدات'!$A$2:$A$41,0)),"")</f>
        <v>المرتبطة بسمو الوزير</v>
      </c>
      <c r="E81" s="18" t="str">
        <f aca="false">IFERROR(INDEX('قائمة الوحدات'!$D$2:$D$41,MATCH($B81,'قائمة الوحدات'!$A$2:$A$41,0)),"")</f>
        <v>إدارة التميز المؤسسي</v>
      </c>
      <c r="F81" s="18" t="str">
        <f aca="false">IFERROR(INDEX('قائمة الوحدات'!$F$2:$F$41,MATCH($B81,'قائمة الوحدات'!$A$2:$A$41,0)),"")</f>
        <v>إدارة التميز المؤسسي</v>
      </c>
      <c r="G81" s="20" t="s">
        <v>62</v>
      </c>
      <c r="H81" s="18" t="str">
        <f aca="false">IFERROR(INDEX(المرجع!$A$2:$A$19,MATCH($G81,المرجع!$B$2:$B$19,0)),"")</f>
        <v>البناء المؤسسي</v>
      </c>
      <c r="I81" s="20" t="s">
        <v>49</v>
      </c>
      <c r="J81" s="18" t="str">
        <f aca="false">IFERROR(INDEX(المرجع!$D$2:$D$19,MATCH($I81,المرجع!$E$2:$E$19,0)),"")</f>
        <v>الأهداف ومؤشرات الأداء</v>
      </c>
      <c r="K81" s="19" t="n">
        <f aca="false">IFERROR(INDEX(المرجع!$F$2:$F$19,MATCH($I81,المرجع!$E$2:$E$19,0)),"")</f>
        <v>2</v>
      </c>
      <c r="L81" s="19" t="n">
        <f aca="false">SUMIFS(المرجع!$H$2:$H$19,المرجع!$B$2:$B$19,$G81,المرجع!$E$2:$E$19,$I81)</f>
        <v>2</v>
      </c>
      <c r="M81" s="19" t="n">
        <f aca="false">COUNTIFS('المرتبطة بسمو الوزير'!$B$2:$B$151,$B81,'المرتبطة بسمو الوزير'!$G$2:$G$151,$G81,'المرتبطة بسمو الوزير'!$I$2:$I$151,$I81,'المرتبطة بسمو الوزير'!$M$2:$M$151,"&lt;&gt;")+COUNTIFS('الشؤون التنفيذية'!$B$2:$B$421,$B81,'الشؤون التنفيذية'!$G$2:$G$421,$G81,'الشؤون التنفيذية'!$I$2:$I$421,$I81,'الشؤون التنفيذية'!$N$2:$N$421,"&lt;&gt;")+COUNTIFS('الجهاز العسكري'!$B$2:$B$631,$B81,'الجهاز العسكري'!$G$2:$G$631,$G81,'الجهاز العسكري'!$I$2:$I$631,$I81,'الجهاز العسكري'!$M$2:$M$631,"&lt;&gt;")</f>
        <v>2</v>
      </c>
      <c r="N81" s="24" t="n">
        <f aca="false">IF($L81=0,0,ROUND((SUMIFS('المرتبطة بسمو الوزير'!$M$2:$M$151,'المرتبطة بسمو الوزير'!$B$2:$B$151,$B81,'المرتبطة بسمو الوزير'!$G$2:$G$151,$G81,'المرتبطة بسمو الوزير'!$I$2:$I$151,$I81)+SUMIFS('الشؤون التنفيذية'!$N$2:$N$421,'الشؤون التنفيذية'!$B$2:$B$421,$B81,'الشؤون التنفيذية'!$G$2:$G$421,$G81,'الشؤون التنفيذية'!$I$2:$I$421,$I81)+SUMIFS('الجهاز العسكري'!$M$2:$M$631,'الجهاز العسكري'!$B$2:$B$631,$B81,'الجهاز العسكري'!$G$2:$G$631,$G81,'الجهاز العسكري'!$I$2:$I$631,$I81))/$L81,0))</f>
        <v>70</v>
      </c>
      <c r="O81" s="25" t="n">
        <f aca="false">IF($L81=0,0,ROUND((SUMIFS('المرتبطة بسمو الوزير'!$N$2:$N$151,'المرتبطة بسمو الوزير'!$B$2:$B$151,$B81,'المرتبطة بسمو الوزير'!$G$2:$G$151,$G81,'المرتبطة بسمو الوزير'!$I$2:$I$151,$I81)+SUMIFS('الشؤون التنفيذية'!$O$2:$O$421,'الشؤون التنفيذية'!$B$2:$B$421,$B81,'الشؤون التنفيذية'!$G$2:$G$421,$G81,'الشؤون التنفيذية'!$I$2:$I$421,$I81)+SUMIFS('الجهاز العسكري'!$N$2:$N$631,'الجهاز العسكري'!$B$2:$B$631,$B81,'الجهاز العسكري'!$G$2:$G$631,$G81,'الجهاز العسكري'!$I$2:$I$631,$I81))/$L81,0))</f>
        <v>90</v>
      </c>
      <c r="P81" s="22"/>
      <c r="Q81" s="19" t="n">
        <f aca="false">SUMIFS(المرجع!$G$2:$G$19,المرجع!$B$2:$B$19,$G81,المرجع!$E$2:$E$19,$I81)</f>
        <v>15</v>
      </c>
      <c r="R81" s="26" t="n">
        <f aca="false">ROUND($Q81*$N81/100,2)</f>
        <v>10.5</v>
      </c>
      <c r="S81" s="27" t="str">
        <f aca="false">IF($N81&gt;المرجع!$K$3,"متقدم",IF($N81&lt;=المرجع!$K$2,"أولي","جزئي"))</f>
        <v>جزئي</v>
      </c>
      <c r="T81" s="28" t="n">
        <f aca="false">ROUND($Q81*$O81/100,2)</f>
        <v>13.5</v>
      </c>
    </row>
    <row r="82" customFormat="false" ht="15" hidden="false" customHeight="true" outlineLevel="0" collapsed="false">
      <c r="A82" s="20" t="s">
        <v>1534</v>
      </c>
      <c r="B82" s="20" t="s">
        <v>158</v>
      </c>
      <c r="C82" s="19" t="str">
        <f aca="false">IFERROR(INDEX('قائمة الوحدات'!$B$2:$B$41,MATCH($B82,'قائمة الوحدات'!$A$2:$A$41,0)),"")</f>
        <v>TOP</v>
      </c>
      <c r="D82" s="18" t="str">
        <f aca="false">IFERROR(INDEX('قائمة الوحدات'!$C$2:$C$41,MATCH($B82,'قائمة الوحدات'!$A$2:$A$41,0)),"")</f>
        <v>المرتبطة بسمو الوزير</v>
      </c>
      <c r="E82" s="18" t="str">
        <f aca="false">IFERROR(INDEX('قائمة الوحدات'!$D$2:$D$41,MATCH($B82,'قائمة الوحدات'!$A$2:$A$41,0)),"")</f>
        <v>إدارة التميز المؤسسي</v>
      </c>
      <c r="F82" s="18" t="str">
        <f aca="false">IFERROR(INDEX('قائمة الوحدات'!$F$2:$F$41,MATCH($B82,'قائمة الوحدات'!$A$2:$A$41,0)),"")</f>
        <v>إدارة التميز المؤسسي</v>
      </c>
      <c r="G82" s="20" t="s">
        <v>62</v>
      </c>
      <c r="H82" s="18" t="str">
        <f aca="false">IFERROR(INDEX(المرجع!$A$2:$A$19,MATCH($G82,المرجع!$B$2:$B$19,0)),"")</f>
        <v>البناء المؤسسي</v>
      </c>
      <c r="I82" s="20" t="s">
        <v>52</v>
      </c>
      <c r="J82" s="18" t="str">
        <f aca="false">IFERROR(INDEX(المرجع!$D$2:$D$19,MATCH($I82,المرجع!$E$2:$E$19,0)),"")</f>
        <v>الحوكمة</v>
      </c>
      <c r="K82" s="19" t="n">
        <f aca="false">IFERROR(INDEX(المرجع!$F$2:$F$19,MATCH($I82,المرجع!$E$2:$E$19,0)),"")</f>
        <v>3</v>
      </c>
      <c r="L82" s="19" t="n">
        <f aca="false">SUMIFS(المرجع!$H$2:$H$19,المرجع!$B$2:$B$19,$G82,المرجع!$E$2:$E$19,$I82)</f>
        <v>3</v>
      </c>
      <c r="M82" s="19" t="n">
        <f aca="false">COUNTIFS('المرتبطة بسمو الوزير'!$B$2:$B$151,$B82,'المرتبطة بسمو الوزير'!$G$2:$G$151,$G82,'المرتبطة بسمو الوزير'!$I$2:$I$151,$I82,'المرتبطة بسمو الوزير'!$M$2:$M$151,"&lt;&gt;")+COUNTIFS('الشؤون التنفيذية'!$B$2:$B$421,$B82,'الشؤون التنفيذية'!$G$2:$G$421,$G82,'الشؤون التنفيذية'!$I$2:$I$421,$I82,'الشؤون التنفيذية'!$N$2:$N$421,"&lt;&gt;")+COUNTIFS('الجهاز العسكري'!$B$2:$B$631,$B82,'الجهاز العسكري'!$G$2:$G$631,$G82,'الجهاز العسكري'!$I$2:$I$631,$I82,'الجهاز العسكري'!$M$2:$M$631,"&lt;&gt;")</f>
        <v>3</v>
      </c>
      <c r="N82" s="24" t="n">
        <f aca="false">IF($L82=0,0,ROUND((SUMIFS('المرتبطة بسمو الوزير'!$M$2:$M$151,'المرتبطة بسمو الوزير'!$B$2:$B$151,$B82,'المرتبطة بسمو الوزير'!$G$2:$G$151,$G82,'المرتبطة بسمو الوزير'!$I$2:$I$151,$I82)+SUMIFS('الشؤون التنفيذية'!$N$2:$N$421,'الشؤون التنفيذية'!$B$2:$B$421,$B82,'الشؤون التنفيذية'!$G$2:$G$421,$G82,'الشؤون التنفيذية'!$I$2:$I$421,$I82)+SUMIFS('الجهاز العسكري'!$M$2:$M$631,'الجهاز العسكري'!$B$2:$B$631,$B82,'الجهاز العسكري'!$G$2:$G$631,$G82,'الجهاز العسكري'!$I$2:$I$631,$I82))/$L82,0))</f>
        <v>60</v>
      </c>
      <c r="O82" s="25" t="n">
        <f aca="false">IF($L82=0,0,ROUND((SUMIFS('المرتبطة بسمو الوزير'!$N$2:$N$151,'المرتبطة بسمو الوزير'!$B$2:$B$151,$B82,'المرتبطة بسمو الوزير'!$G$2:$G$151,$G82,'المرتبطة بسمو الوزير'!$I$2:$I$151,$I82)+SUMIFS('الشؤون التنفيذية'!$O$2:$O$421,'الشؤون التنفيذية'!$B$2:$B$421,$B82,'الشؤون التنفيذية'!$G$2:$G$421,$G82,'الشؤون التنفيذية'!$I$2:$I$421,$I82)+SUMIFS('الجهاز العسكري'!$N$2:$N$631,'الجهاز العسكري'!$B$2:$B$631,$B82,'الجهاز العسكري'!$G$2:$G$631,$G82,'الجهاز العسكري'!$I$2:$I$631,$I82))/$L82,0))</f>
        <v>97</v>
      </c>
      <c r="P82" s="22"/>
      <c r="Q82" s="19" t="n">
        <f aca="false">SUMIFS(المرجع!$G$2:$G$19,المرجع!$B$2:$B$19,$G82,المرجع!$E$2:$E$19,$I82)</f>
        <v>15</v>
      </c>
      <c r="R82" s="26" t="n">
        <f aca="false">ROUND($Q82*$N82/100,2)</f>
        <v>9</v>
      </c>
      <c r="S82" s="27" t="str">
        <f aca="false">IF($N82&gt;المرجع!$K$3,"متقدم",IF($N82&lt;=المرجع!$K$2,"أولي","جزئي"))</f>
        <v>جزئي</v>
      </c>
      <c r="T82" s="28" t="n">
        <f aca="false">ROUND($Q82*$O82/100,2)</f>
        <v>14.55</v>
      </c>
    </row>
    <row r="83" customFormat="false" ht="15" hidden="false" customHeight="true" outlineLevel="0" collapsed="false">
      <c r="A83" s="20" t="s">
        <v>1535</v>
      </c>
      <c r="B83" s="20" t="s">
        <v>158</v>
      </c>
      <c r="C83" s="19" t="str">
        <f aca="false">IFERROR(INDEX('قائمة الوحدات'!$B$2:$B$41,MATCH($B83,'قائمة الوحدات'!$A$2:$A$41,0)),"")</f>
        <v>TOP</v>
      </c>
      <c r="D83" s="18" t="str">
        <f aca="false">IFERROR(INDEX('قائمة الوحدات'!$C$2:$C$41,MATCH($B83,'قائمة الوحدات'!$A$2:$A$41,0)),"")</f>
        <v>المرتبطة بسمو الوزير</v>
      </c>
      <c r="E83" s="18" t="str">
        <f aca="false">IFERROR(INDEX('قائمة الوحدات'!$D$2:$D$41,MATCH($B83,'قائمة الوحدات'!$A$2:$A$41,0)),"")</f>
        <v>إدارة التميز المؤسسي</v>
      </c>
      <c r="F83" s="18" t="str">
        <f aca="false">IFERROR(INDEX('قائمة الوحدات'!$F$2:$F$41,MATCH($B83,'قائمة الوحدات'!$A$2:$A$41,0)),"")</f>
        <v>إدارة التميز المؤسسي</v>
      </c>
      <c r="G83" s="20" t="s">
        <v>62</v>
      </c>
      <c r="H83" s="18" t="str">
        <f aca="false">IFERROR(INDEX(المرجع!$A$2:$A$19,MATCH($G83,المرجع!$B$2:$B$19,0)),"")</f>
        <v>البناء المؤسسي</v>
      </c>
      <c r="I83" s="20" t="s">
        <v>55</v>
      </c>
      <c r="J83" s="18" t="str">
        <f aca="false">IFERROR(INDEX(المرجع!$D$2:$D$19,MATCH($I83,المرجع!$E$2:$E$19,0)),"")</f>
        <v>التنظيم</v>
      </c>
      <c r="K83" s="19" t="n">
        <f aca="false">IFERROR(INDEX(المرجع!$F$2:$F$19,MATCH($I83,المرجع!$E$2:$E$19,0)),"")</f>
        <v>4</v>
      </c>
      <c r="L83" s="19" t="n">
        <f aca="false">SUMIFS(المرجع!$H$2:$H$19,المرجع!$B$2:$B$19,$G83,المرجع!$E$2:$E$19,$I83)</f>
        <v>3</v>
      </c>
      <c r="M83" s="19" t="n">
        <f aca="false">COUNTIFS('المرتبطة بسمو الوزير'!$B$2:$B$151,$B83,'المرتبطة بسمو الوزير'!$G$2:$G$151,$G83,'المرتبطة بسمو الوزير'!$I$2:$I$151,$I83,'المرتبطة بسمو الوزير'!$M$2:$M$151,"&lt;&gt;")+COUNTIFS('الشؤون التنفيذية'!$B$2:$B$421,$B83,'الشؤون التنفيذية'!$G$2:$G$421,$G83,'الشؤون التنفيذية'!$I$2:$I$421,$I83,'الشؤون التنفيذية'!$N$2:$N$421,"&lt;&gt;")+COUNTIFS('الجهاز العسكري'!$B$2:$B$631,$B83,'الجهاز العسكري'!$G$2:$G$631,$G83,'الجهاز العسكري'!$I$2:$I$631,$I83,'الجهاز العسكري'!$M$2:$M$631,"&lt;&gt;")</f>
        <v>3</v>
      </c>
      <c r="N83" s="24" t="n">
        <f aca="false">IF($L83=0,0,ROUND((SUMIFS('المرتبطة بسمو الوزير'!$M$2:$M$151,'المرتبطة بسمو الوزير'!$B$2:$B$151,$B83,'المرتبطة بسمو الوزير'!$G$2:$G$151,$G83,'المرتبطة بسمو الوزير'!$I$2:$I$151,$I83)+SUMIFS('الشؤون التنفيذية'!$N$2:$N$421,'الشؤون التنفيذية'!$B$2:$B$421,$B83,'الشؤون التنفيذية'!$G$2:$G$421,$G83,'الشؤون التنفيذية'!$I$2:$I$421,$I83)+SUMIFS('الجهاز العسكري'!$M$2:$M$631,'الجهاز العسكري'!$B$2:$B$631,$B83,'الجهاز العسكري'!$G$2:$G$631,$G83,'الجهاز العسكري'!$I$2:$I$631,$I83))/$L83,0))</f>
        <v>73</v>
      </c>
      <c r="O83" s="25" t="n">
        <f aca="false">IF($L83=0,0,ROUND((SUMIFS('المرتبطة بسمو الوزير'!$N$2:$N$151,'المرتبطة بسمو الوزير'!$B$2:$B$151,$B83,'المرتبطة بسمو الوزير'!$G$2:$G$151,$G83,'المرتبطة بسمو الوزير'!$I$2:$I$151,$I83)+SUMIFS('الشؤون التنفيذية'!$O$2:$O$421,'الشؤون التنفيذية'!$B$2:$B$421,$B83,'الشؤون التنفيذية'!$G$2:$G$421,$G83,'الشؤون التنفيذية'!$I$2:$I$421,$I83)+SUMIFS('الجهاز العسكري'!$N$2:$N$631,'الجهاز العسكري'!$B$2:$B$631,$B83,'الجهاز العسكري'!$G$2:$G$631,$G83,'الجهاز العسكري'!$I$2:$I$631,$I83))/$L83,0))</f>
        <v>100</v>
      </c>
      <c r="P83" s="22"/>
      <c r="Q83" s="19" t="n">
        <f aca="false">SUMIFS(المرجع!$G$2:$G$19,المرجع!$B$2:$B$19,$G83,المرجع!$E$2:$E$19,$I83)</f>
        <v>20</v>
      </c>
      <c r="R83" s="26" t="n">
        <f aca="false">ROUND($Q83*$N83/100,2)</f>
        <v>14.6</v>
      </c>
      <c r="S83" s="27" t="str">
        <f aca="false">IF($N83&gt;المرجع!$K$3,"متقدم",IF($N83&lt;=المرجع!$K$2,"أولي","جزئي"))</f>
        <v>متقدم</v>
      </c>
      <c r="T83" s="28" t="n">
        <f aca="false">ROUND($Q83*$O83/100,2)</f>
        <v>20</v>
      </c>
    </row>
    <row r="84" customFormat="false" ht="15" hidden="false" customHeight="true" outlineLevel="0" collapsed="false">
      <c r="A84" s="20" t="s">
        <v>1536</v>
      </c>
      <c r="B84" s="20" t="s">
        <v>158</v>
      </c>
      <c r="C84" s="19" t="str">
        <f aca="false">IFERROR(INDEX('قائمة الوحدات'!$B$2:$B$41,MATCH($B84,'قائمة الوحدات'!$A$2:$A$41,0)),"")</f>
        <v>TOP</v>
      </c>
      <c r="D84" s="18" t="str">
        <f aca="false">IFERROR(INDEX('قائمة الوحدات'!$C$2:$C$41,MATCH($B84,'قائمة الوحدات'!$A$2:$A$41,0)),"")</f>
        <v>المرتبطة بسمو الوزير</v>
      </c>
      <c r="E84" s="18" t="str">
        <f aca="false">IFERROR(INDEX('قائمة الوحدات'!$D$2:$D$41,MATCH($B84,'قائمة الوحدات'!$A$2:$A$41,0)),"")</f>
        <v>إدارة التميز المؤسسي</v>
      </c>
      <c r="F84" s="18" t="str">
        <f aca="false">IFERROR(INDEX('قائمة الوحدات'!$F$2:$F$41,MATCH($B84,'قائمة الوحدات'!$A$2:$A$41,0)),"")</f>
        <v>إدارة التميز المؤسسي</v>
      </c>
      <c r="G84" s="20" t="s">
        <v>62</v>
      </c>
      <c r="H84" s="18" t="str">
        <f aca="false">IFERROR(INDEX(المرجع!$A$2:$A$19,MATCH($G84,المرجع!$B$2:$B$19,0)),"")</f>
        <v>البناء المؤسسي</v>
      </c>
      <c r="I84" s="20" t="s">
        <v>57</v>
      </c>
      <c r="J84" s="18" t="str">
        <f aca="false">IFERROR(INDEX(المرجع!$D$2:$D$19,MATCH($I84,المرجع!$E$2:$E$19,0)),"")</f>
        <v>الموارد</v>
      </c>
      <c r="K84" s="19" t="n">
        <f aca="false">IFERROR(INDEX(المرجع!$F$2:$F$19,MATCH($I84,المرجع!$E$2:$E$19,0)),"")</f>
        <v>5</v>
      </c>
      <c r="L84" s="19" t="n">
        <f aca="false">SUMIFS(المرجع!$H$2:$H$19,المرجع!$B$2:$B$19,$G84,المرجع!$E$2:$E$19,$I84)</f>
        <v>4</v>
      </c>
      <c r="M84" s="19" t="n">
        <f aca="false">COUNTIFS('المرتبطة بسمو الوزير'!$B$2:$B$151,$B84,'المرتبطة بسمو الوزير'!$G$2:$G$151,$G84,'المرتبطة بسمو الوزير'!$I$2:$I$151,$I84,'المرتبطة بسمو الوزير'!$M$2:$M$151,"&lt;&gt;")+COUNTIFS('الشؤون التنفيذية'!$B$2:$B$421,$B84,'الشؤون التنفيذية'!$G$2:$G$421,$G84,'الشؤون التنفيذية'!$I$2:$I$421,$I84,'الشؤون التنفيذية'!$N$2:$N$421,"&lt;&gt;")+COUNTIFS('الجهاز العسكري'!$B$2:$B$631,$B84,'الجهاز العسكري'!$G$2:$G$631,$G84,'الجهاز العسكري'!$I$2:$I$631,$I84,'الجهاز العسكري'!$M$2:$M$631,"&lt;&gt;")</f>
        <v>4</v>
      </c>
      <c r="N84" s="24" t="n">
        <f aca="false">IF($L84=0,0,ROUND((SUMIFS('المرتبطة بسمو الوزير'!$M$2:$M$151,'المرتبطة بسمو الوزير'!$B$2:$B$151,$B84,'المرتبطة بسمو الوزير'!$G$2:$G$151,$G84,'المرتبطة بسمو الوزير'!$I$2:$I$151,$I84)+SUMIFS('الشؤون التنفيذية'!$N$2:$N$421,'الشؤون التنفيذية'!$B$2:$B$421,$B84,'الشؤون التنفيذية'!$G$2:$G$421,$G84,'الشؤون التنفيذية'!$I$2:$I$421,$I84)+SUMIFS('الجهاز العسكري'!$M$2:$M$631,'الجهاز العسكري'!$B$2:$B$631,$B84,'الجهاز العسكري'!$G$2:$G$631,$G84,'الجهاز العسكري'!$I$2:$I$631,$I84))/$L84,0))</f>
        <v>66</v>
      </c>
      <c r="O84" s="25" t="n">
        <f aca="false">IF($L84=0,0,ROUND((SUMIFS('المرتبطة بسمو الوزير'!$N$2:$N$151,'المرتبطة بسمو الوزير'!$B$2:$B$151,$B84,'المرتبطة بسمو الوزير'!$G$2:$G$151,$G84,'المرتبطة بسمو الوزير'!$I$2:$I$151,$I84)+SUMIFS('الشؤون التنفيذية'!$O$2:$O$421,'الشؤون التنفيذية'!$B$2:$B$421,$B84,'الشؤون التنفيذية'!$G$2:$G$421,$G84,'الشؤون التنفيذية'!$I$2:$I$421,$I84)+SUMIFS('الجهاز العسكري'!$N$2:$N$631,'الجهاز العسكري'!$B$2:$B$631,$B84,'الجهاز العسكري'!$G$2:$G$631,$G84,'الجهاز العسكري'!$I$2:$I$631,$I84))/$L84,0))</f>
        <v>95</v>
      </c>
      <c r="P84" s="22"/>
      <c r="Q84" s="19" t="n">
        <f aca="false">SUMIFS(المرجع!$G$2:$G$19,المرجع!$B$2:$B$19,$G84,المرجع!$E$2:$E$19,$I84)</f>
        <v>25</v>
      </c>
      <c r="R84" s="26" t="n">
        <f aca="false">ROUND($Q84*$N84/100,2)</f>
        <v>16.5</v>
      </c>
      <c r="S84" s="27" t="str">
        <f aca="false">IF($N84&gt;المرجع!$K$3,"متقدم",IF($N84&lt;=المرجع!$K$2,"أولي","جزئي"))</f>
        <v>جزئي</v>
      </c>
      <c r="T84" s="28" t="n">
        <f aca="false">ROUND($Q84*$O84/100,2)</f>
        <v>23.75</v>
      </c>
    </row>
    <row r="85" customFormat="false" ht="15" hidden="false" customHeight="true" outlineLevel="0" collapsed="false">
      <c r="A85" s="20" t="s">
        <v>1537</v>
      </c>
      <c r="B85" s="20" t="s">
        <v>158</v>
      </c>
      <c r="C85" s="19" t="str">
        <f aca="false">IFERROR(INDEX('قائمة الوحدات'!$B$2:$B$41,MATCH($B85,'قائمة الوحدات'!$A$2:$A$41,0)),"")</f>
        <v>TOP</v>
      </c>
      <c r="D85" s="18" t="str">
        <f aca="false">IFERROR(INDEX('قائمة الوحدات'!$C$2:$C$41,MATCH($B85,'قائمة الوحدات'!$A$2:$A$41,0)),"")</f>
        <v>المرتبطة بسمو الوزير</v>
      </c>
      <c r="E85" s="18" t="str">
        <f aca="false">IFERROR(INDEX('قائمة الوحدات'!$D$2:$D$41,MATCH($B85,'قائمة الوحدات'!$A$2:$A$41,0)),"")</f>
        <v>إدارة التميز المؤسسي</v>
      </c>
      <c r="F85" s="18" t="str">
        <f aca="false">IFERROR(INDEX('قائمة الوحدات'!$F$2:$F$41,MATCH($B85,'قائمة الوحدات'!$A$2:$A$41,0)),"")</f>
        <v>إدارة التميز المؤسسي</v>
      </c>
      <c r="G85" s="20" t="s">
        <v>62</v>
      </c>
      <c r="H85" s="18" t="str">
        <f aca="false">IFERROR(INDEX(المرجع!$A$2:$A$19,MATCH($G85,المرجع!$B$2:$B$19,0)),"")</f>
        <v>البناء المؤسسي</v>
      </c>
      <c r="I85" s="20" t="s">
        <v>60</v>
      </c>
      <c r="J85" s="18" t="str">
        <f aca="false">IFERROR(INDEX(المرجع!$D$2:$D$19,MATCH($I85,المرجع!$E$2:$E$19,0)),"")</f>
        <v>الإجراءات</v>
      </c>
      <c r="K85" s="19" t="n">
        <f aca="false">IFERROR(INDEX(المرجع!$F$2:$F$19,MATCH($I85,المرجع!$E$2:$E$19,0)),"")</f>
        <v>6</v>
      </c>
      <c r="L85" s="19" t="n">
        <f aca="false">SUMIFS(المرجع!$H$2:$H$19,المرجع!$B$2:$B$19,$G85,المرجع!$E$2:$E$19,$I85)</f>
        <v>1</v>
      </c>
      <c r="M85" s="19" t="n">
        <f aca="false">COUNTIFS('المرتبطة بسمو الوزير'!$B$2:$B$151,$B85,'المرتبطة بسمو الوزير'!$G$2:$G$151,$G85,'المرتبطة بسمو الوزير'!$I$2:$I$151,$I85,'المرتبطة بسمو الوزير'!$M$2:$M$151,"&lt;&gt;")+COUNTIFS('الشؤون التنفيذية'!$B$2:$B$421,$B85,'الشؤون التنفيذية'!$G$2:$G$421,$G85,'الشؤون التنفيذية'!$I$2:$I$421,$I85,'الشؤون التنفيذية'!$N$2:$N$421,"&lt;&gt;")+COUNTIFS('الجهاز العسكري'!$B$2:$B$631,$B85,'الجهاز العسكري'!$G$2:$G$631,$G85,'الجهاز العسكري'!$I$2:$I$631,$I85,'الجهاز العسكري'!$M$2:$M$631,"&lt;&gt;")</f>
        <v>1</v>
      </c>
      <c r="N85" s="24" t="n">
        <f aca="false">IF($L85=0,0,ROUND((SUMIFS('المرتبطة بسمو الوزير'!$M$2:$M$151,'المرتبطة بسمو الوزير'!$B$2:$B$151,$B85,'المرتبطة بسمو الوزير'!$G$2:$G$151,$G85,'المرتبطة بسمو الوزير'!$I$2:$I$151,$I85)+SUMIFS('الشؤون التنفيذية'!$N$2:$N$421,'الشؤون التنفيذية'!$B$2:$B$421,$B85,'الشؤون التنفيذية'!$G$2:$G$421,$G85,'الشؤون التنفيذية'!$I$2:$I$421,$I85)+SUMIFS('الجهاز العسكري'!$M$2:$M$631,'الجهاز العسكري'!$B$2:$B$631,$B85,'الجهاز العسكري'!$G$2:$G$631,$G85,'الجهاز العسكري'!$I$2:$I$631,$I85))/$L85,0))</f>
        <v>67</v>
      </c>
      <c r="O85" s="25" t="n">
        <f aca="false">IF($L85=0,0,ROUND((SUMIFS('المرتبطة بسمو الوزير'!$N$2:$N$151,'المرتبطة بسمو الوزير'!$B$2:$B$151,$B85,'المرتبطة بسمو الوزير'!$G$2:$G$151,$G85,'المرتبطة بسمو الوزير'!$I$2:$I$151,$I85)+SUMIFS('الشؤون التنفيذية'!$O$2:$O$421,'الشؤون التنفيذية'!$B$2:$B$421,$B85,'الشؤون التنفيذية'!$G$2:$G$421,$G85,'الشؤون التنفيذية'!$I$2:$I$421,$I85)+SUMIFS('الجهاز العسكري'!$N$2:$N$631,'الجهاز العسكري'!$B$2:$B$631,$B85,'الجهاز العسكري'!$G$2:$G$631,$G85,'الجهاز العسكري'!$I$2:$I$631,$I85))/$L85,0))</f>
        <v>100</v>
      </c>
      <c r="P85" s="22"/>
      <c r="Q85" s="19" t="n">
        <f aca="false">SUMIFS(المرجع!$G$2:$G$19,المرجع!$B$2:$B$19,$G85,المرجع!$E$2:$E$19,$I85)</f>
        <v>5</v>
      </c>
      <c r="R85" s="26" t="n">
        <f aca="false">ROUND($Q85*$N85/100,2)</f>
        <v>3.35</v>
      </c>
      <c r="S85" s="27" t="str">
        <f aca="false">IF($N85&gt;المرجع!$K$3,"متقدم",IF($N85&lt;=المرجع!$K$2,"أولي","جزئي"))</f>
        <v>جزئي</v>
      </c>
      <c r="T85" s="28" t="n">
        <f aca="false">ROUND($Q85*$O85/100,2)</f>
        <v>5</v>
      </c>
    </row>
    <row r="86" customFormat="false" ht="15" hidden="false" customHeight="true" outlineLevel="0" collapsed="false">
      <c r="A86" s="20" t="s">
        <v>1538</v>
      </c>
      <c r="B86" s="20" t="s">
        <v>158</v>
      </c>
      <c r="C86" s="19" t="str">
        <f aca="false">IFERROR(INDEX('قائمة الوحدات'!$B$2:$B$41,MATCH($B86,'قائمة الوحدات'!$A$2:$A$41,0)),"")</f>
        <v>TOP</v>
      </c>
      <c r="D86" s="18" t="str">
        <f aca="false">IFERROR(INDEX('قائمة الوحدات'!$C$2:$C$41,MATCH($B86,'قائمة الوحدات'!$A$2:$A$41,0)),"")</f>
        <v>المرتبطة بسمو الوزير</v>
      </c>
      <c r="E86" s="18" t="str">
        <f aca="false">IFERROR(INDEX('قائمة الوحدات'!$D$2:$D$41,MATCH($B86,'قائمة الوحدات'!$A$2:$A$41,0)),"")</f>
        <v>إدارة التميز المؤسسي</v>
      </c>
      <c r="F86" s="18" t="str">
        <f aca="false">IFERROR(INDEX('قائمة الوحدات'!$F$2:$F$41,MATCH($B86,'قائمة الوحدات'!$A$2:$A$41,0)),"")</f>
        <v>إدارة التميز المؤسسي</v>
      </c>
      <c r="G86" s="20" t="s">
        <v>62</v>
      </c>
      <c r="H86" s="18" t="str">
        <f aca="false">IFERROR(INDEX(المرجع!$A$2:$A$19,MATCH($G86,المرجع!$B$2:$B$19,0)),"")</f>
        <v>البناء المؤسسي</v>
      </c>
      <c r="I86" s="20" t="s">
        <v>69</v>
      </c>
      <c r="J86" s="18" t="str">
        <f aca="false">IFERROR(INDEX(المرجع!$D$2:$D$19,MATCH($I86,المرجع!$E$2:$E$19,0)),"")</f>
        <v>إنتاج المخرج الأول</v>
      </c>
      <c r="K86" s="19" t="n">
        <f aca="false">IFERROR(INDEX(المرجع!$F$2:$F$19,MATCH($I86,المرجع!$E$2:$E$19,0)),"")</f>
        <v>7</v>
      </c>
      <c r="L86" s="19" t="n">
        <f aca="false">SUMIFS(المرجع!$H$2:$H$19,المرجع!$B$2:$B$19,$G86,المرجع!$E$2:$E$19,$I86)</f>
        <v>1</v>
      </c>
      <c r="M86" s="19" t="n">
        <f aca="false">COUNTIFS('المرتبطة بسمو الوزير'!$B$2:$B$151,$B86,'المرتبطة بسمو الوزير'!$G$2:$G$151,$G86,'المرتبطة بسمو الوزير'!$I$2:$I$151,$I86,'المرتبطة بسمو الوزير'!$M$2:$M$151,"&lt;&gt;")+COUNTIFS('الشؤون التنفيذية'!$B$2:$B$421,$B86,'الشؤون التنفيذية'!$G$2:$G$421,$G86,'الشؤون التنفيذية'!$I$2:$I$421,$I86,'الشؤون التنفيذية'!$N$2:$N$421,"&lt;&gt;")+COUNTIFS('الجهاز العسكري'!$B$2:$B$631,$B86,'الجهاز العسكري'!$G$2:$G$631,$G86,'الجهاز العسكري'!$I$2:$I$631,$I86,'الجهاز العسكري'!$M$2:$M$631,"&lt;&gt;")</f>
        <v>1</v>
      </c>
      <c r="N86" s="24" t="n">
        <f aca="false">IF($L86=0,0,ROUND((SUMIFS('المرتبطة بسمو الوزير'!$M$2:$M$151,'المرتبطة بسمو الوزير'!$B$2:$B$151,$B86,'المرتبطة بسمو الوزير'!$G$2:$G$151,$G86,'المرتبطة بسمو الوزير'!$I$2:$I$151,$I86)+SUMIFS('الشؤون التنفيذية'!$N$2:$N$421,'الشؤون التنفيذية'!$B$2:$B$421,$B86,'الشؤون التنفيذية'!$G$2:$G$421,$G86,'الشؤون التنفيذية'!$I$2:$I$421,$I86)+SUMIFS('الجهاز العسكري'!$M$2:$M$631,'الجهاز العسكري'!$B$2:$B$631,$B86,'الجهاز العسكري'!$G$2:$G$631,$G86,'الجهاز العسكري'!$I$2:$I$631,$I86))/$L86,0))</f>
        <v>43</v>
      </c>
      <c r="O86" s="25" t="n">
        <f aca="false">IF($L86=0,0,ROUND((SUMIFS('المرتبطة بسمو الوزير'!$N$2:$N$151,'المرتبطة بسمو الوزير'!$B$2:$B$151,$B86,'المرتبطة بسمو الوزير'!$G$2:$G$151,$G86,'المرتبطة بسمو الوزير'!$I$2:$I$151,$I86)+SUMIFS('الشؤون التنفيذية'!$O$2:$O$421,'الشؤون التنفيذية'!$B$2:$B$421,$B86,'الشؤون التنفيذية'!$G$2:$G$421,$G86,'الشؤون التنفيذية'!$I$2:$I$421,$I86)+SUMIFS('الجهاز العسكري'!$N$2:$N$631,'الجهاز العسكري'!$B$2:$B$631,$B86,'الجهاز العسكري'!$G$2:$G$631,$G86,'الجهاز العسكري'!$I$2:$I$631,$I86))/$L86,0))</f>
        <v>90</v>
      </c>
      <c r="P86" s="22"/>
      <c r="Q86" s="19" t="n">
        <f aca="false">SUMIFS(المرجع!$G$2:$G$19,المرجع!$B$2:$B$19,$G86,المرجع!$E$2:$E$19,$I86)</f>
        <v>5</v>
      </c>
      <c r="R86" s="26" t="n">
        <f aca="false">ROUND($Q86*$N86/100,2)</f>
        <v>2.15</v>
      </c>
      <c r="S86" s="27" t="str">
        <f aca="false">IF($N86&gt;المرجع!$K$3,"متقدم",IF($N86&lt;=المرجع!$K$2,"أولي","جزئي"))</f>
        <v>جزئي</v>
      </c>
      <c r="T86" s="28" t="n">
        <f aca="false">ROUND($Q86*$O86/100,2)</f>
        <v>4.5</v>
      </c>
    </row>
    <row r="87" customFormat="false" ht="15" hidden="false" customHeight="true" outlineLevel="0" collapsed="false">
      <c r="A87" s="20" t="s">
        <v>1539</v>
      </c>
      <c r="B87" s="20" t="s">
        <v>158</v>
      </c>
      <c r="C87" s="19" t="str">
        <f aca="false">IFERROR(INDEX('قائمة الوحدات'!$B$2:$B$41,MATCH($B87,'قائمة الوحدات'!$A$2:$A$41,0)),"")</f>
        <v>TOP</v>
      </c>
      <c r="D87" s="18" t="str">
        <f aca="false">IFERROR(INDEX('قائمة الوحدات'!$C$2:$C$41,MATCH($B87,'قائمة الوحدات'!$A$2:$A$41,0)),"")</f>
        <v>المرتبطة بسمو الوزير</v>
      </c>
      <c r="E87" s="18" t="str">
        <f aca="false">IFERROR(INDEX('قائمة الوحدات'!$D$2:$D$41,MATCH($B87,'قائمة الوحدات'!$A$2:$A$41,0)),"")</f>
        <v>إدارة التميز المؤسسي</v>
      </c>
      <c r="F87" s="18" t="str">
        <f aca="false">IFERROR(INDEX('قائمة الوحدات'!$F$2:$F$41,MATCH($B87,'قائمة الوحدات'!$A$2:$A$41,0)),"")</f>
        <v>إدارة التميز المؤسسي</v>
      </c>
      <c r="G87" s="20" t="s">
        <v>66</v>
      </c>
      <c r="H87" s="18" t="str">
        <f aca="false">IFERROR(INDEX(المرجع!$A$2:$A$19,MATCH($G87,المرجع!$B$2:$B$19,0)),"")</f>
        <v>التشغيل</v>
      </c>
      <c r="I87" s="20" t="s">
        <v>49</v>
      </c>
      <c r="J87" s="18" t="str">
        <f aca="false">IFERROR(INDEX(المرجع!$D$2:$D$19,MATCH($I87,المرجع!$E$2:$E$19,0)),"")</f>
        <v>الأهداف ومؤشرات الأداء</v>
      </c>
      <c r="K87" s="19" t="n">
        <f aca="false">IFERROR(INDEX(المرجع!$F$2:$F$19,MATCH($I87,المرجع!$E$2:$E$19,0)),"")</f>
        <v>2</v>
      </c>
      <c r="L87" s="19" t="n">
        <f aca="false">SUMIFS(المرجع!$H$2:$H$19,المرجع!$B$2:$B$19,$G87,المرجع!$E$2:$E$19,$I87)</f>
        <v>2</v>
      </c>
      <c r="M87" s="19" t="n">
        <f aca="false">COUNTIFS('المرتبطة بسمو الوزير'!$B$2:$B$151,$B87,'المرتبطة بسمو الوزير'!$G$2:$G$151,$G87,'المرتبطة بسمو الوزير'!$I$2:$I$151,$I87,'المرتبطة بسمو الوزير'!$M$2:$M$151,"&lt;&gt;")+COUNTIFS('الشؤون التنفيذية'!$B$2:$B$421,$B87,'الشؤون التنفيذية'!$G$2:$G$421,$G87,'الشؤون التنفيذية'!$I$2:$I$421,$I87,'الشؤون التنفيذية'!$N$2:$N$421,"&lt;&gt;")+COUNTIFS('الجهاز العسكري'!$B$2:$B$631,$B87,'الجهاز العسكري'!$G$2:$G$631,$G87,'الجهاز العسكري'!$I$2:$I$631,$I87,'الجهاز العسكري'!$M$2:$M$631,"&lt;&gt;")</f>
        <v>2</v>
      </c>
      <c r="N87" s="24" t="n">
        <f aca="false">IF($L87=0,0,ROUND((SUMIFS('المرتبطة بسمو الوزير'!$M$2:$M$151,'المرتبطة بسمو الوزير'!$B$2:$B$151,$B87,'المرتبطة بسمو الوزير'!$G$2:$G$151,$G87,'المرتبطة بسمو الوزير'!$I$2:$I$151,$I87)+SUMIFS('الشؤون التنفيذية'!$N$2:$N$421,'الشؤون التنفيذية'!$B$2:$B$421,$B87,'الشؤون التنفيذية'!$G$2:$G$421,$G87,'الشؤون التنفيذية'!$I$2:$I$421,$I87)+SUMIFS('الجهاز العسكري'!$M$2:$M$631,'الجهاز العسكري'!$B$2:$B$631,$B87,'الجهاز العسكري'!$G$2:$G$631,$G87,'الجهاز العسكري'!$I$2:$I$631,$I87))/$L87,0))</f>
        <v>5</v>
      </c>
      <c r="O87" s="25" t="n">
        <f aca="false">IF($L87=0,0,ROUND((SUMIFS('المرتبطة بسمو الوزير'!$N$2:$N$151,'المرتبطة بسمو الوزير'!$B$2:$B$151,$B87,'المرتبطة بسمو الوزير'!$G$2:$G$151,$G87,'المرتبطة بسمو الوزير'!$I$2:$I$151,$I87)+SUMIFS('الشؤون التنفيذية'!$O$2:$O$421,'الشؤون التنفيذية'!$B$2:$B$421,$B87,'الشؤون التنفيذية'!$G$2:$G$421,$G87,'الشؤون التنفيذية'!$I$2:$I$421,$I87)+SUMIFS('الجهاز العسكري'!$N$2:$N$631,'الجهاز العسكري'!$B$2:$B$631,$B87,'الجهاز العسكري'!$G$2:$G$631,$G87,'الجهاز العسكري'!$I$2:$I$631,$I87))/$L87,0))</f>
        <v>88</v>
      </c>
      <c r="P87" s="22"/>
      <c r="Q87" s="19" t="n">
        <f aca="false">SUMIFS(المرجع!$G$2:$G$19,المرجع!$B$2:$B$19,$G87,المرجع!$E$2:$E$19,$I87)</f>
        <v>25</v>
      </c>
      <c r="R87" s="26" t="n">
        <f aca="false">ROUND($Q87*$N87/100,2)</f>
        <v>1.25</v>
      </c>
      <c r="S87" s="27" t="str">
        <f aca="false">IF($N87&gt;المرجع!$K$3,"متقدم",IF($N87&lt;=المرجع!$K$2,"أولي","جزئي"))</f>
        <v>أولي</v>
      </c>
      <c r="T87" s="28" t="n">
        <f aca="false">ROUND($Q87*$O87/100,2)</f>
        <v>22</v>
      </c>
    </row>
    <row r="88" customFormat="false" ht="15" hidden="false" customHeight="true" outlineLevel="0" collapsed="false">
      <c r="A88" s="20" t="s">
        <v>1540</v>
      </c>
      <c r="B88" s="20" t="s">
        <v>158</v>
      </c>
      <c r="C88" s="19" t="str">
        <f aca="false">IFERROR(INDEX('قائمة الوحدات'!$B$2:$B$41,MATCH($B88,'قائمة الوحدات'!$A$2:$A$41,0)),"")</f>
        <v>TOP</v>
      </c>
      <c r="D88" s="18" t="str">
        <f aca="false">IFERROR(INDEX('قائمة الوحدات'!$C$2:$C$41,MATCH($B88,'قائمة الوحدات'!$A$2:$A$41,0)),"")</f>
        <v>المرتبطة بسمو الوزير</v>
      </c>
      <c r="E88" s="18" t="str">
        <f aca="false">IFERROR(INDEX('قائمة الوحدات'!$D$2:$D$41,MATCH($B88,'قائمة الوحدات'!$A$2:$A$41,0)),"")</f>
        <v>إدارة التميز المؤسسي</v>
      </c>
      <c r="F88" s="18" t="str">
        <f aca="false">IFERROR(INDEX('قائمة الوحدات'!$F$2:$F$41,MATCH($B88,'قائمة الوحدات'!$A$2:$A$41,0)),"")</f>
        <v>إدارة التميز المؤسسي</v>
      </c>
      <c r="G88" s="20" t="s">
        <v>66</v>
      </c>
      <c r="H88" s="18" t="str">
        <f aca="false">IFERROR(INDEX(المرجع!$A$2:$A$19,MATCH($G88,المرجع!$B$2:$B$19,0)),"")</f>
        <v>التشغيل</v>
      </c>
      <c r="I88" s="20" t="s">
        <v>52</v>
      </c>
      <c r="J88" s="18" t="str">
        <f aca="false">IFERROR(INDEX(المرجع!$D$2:$D$19,MATCH($I88,المرجع!$E$2:$E$19,0)),"")</f>
        <v>الحوكمة</v>
      </c>
      <c r="K88" s="19" t="n">
        <f aca="false">IFERROR(INDEX(المرجع!$F$2:$F$19,MATCH($I88,المرجع!$E$2:$E$19,0)),"")</f>
        <v>3</v>
      </c>
      <c r="L88" s="19" t="n">
        <f aca="false">SUMIFS(المرجع!$H$2:$H$19,المرجع!$B$2:$B$19,$G88,المرجع!$E$2:$E$19,$I88)</f>
        <v>3</v>
      </c>
      <c r="M88" s="19" t="n">
        <f aca="false">COUNTIFS('المرتبطة بسمو الوزير'!$B$2:$B$151,$B88,'المرتبطة بسمو الوزير'!$G$2:$G$151,$G88,'المرتبطة بسمو الوزير'!$I$2:$I$151,$I88,'المرتبطة بسمو الوزير'!$M$2:$M$151,"&lt;&gt;")+COUNTIFS('الشؤون التنفيذية'!$B$2:$B$421,$B88,'الشؤون التنفيذية'!$G$2:$G$421,$G88,'الشؤون التنفيذية'!$I$2:$I$421,$I88,'الشؤون التنفيذية'!$N$2:$N$421,"&lt;&gt;")+COUNTIFS('الجهاز العسكري'!$B$2:$B$631,$B88,'الجهاز العسكري'!$G$2:$G$631,$G88,'الجهاز العسكري'!$I$2:$I$631,$I88,'الجهاز العسكري'!$M$2:$M$631,"&lt;&gt;")</f>
        <v>3</v>
      </c>
      <c r="N88" s="24" t="n">
        <f aca="false">IF($L88=0,0,ROUND((SUMIFS('المرتبطة بسمو الوزير'!$M$2:$M$151,'المرتبطة بسمو الوزير'!$B$2:$B$151,$B88,'المرتبطة بسمو الوزير'!$G$2:$G$151,$G88,'المرتبطة بسمو الوزير'!$I$2:$I$151,$I88)+SUMIFS('الشؤون التنفيذية'!$N$2:$N$421,'الشؤون التنفيذية'!$B$2:$B$421,$B88,'الشؤون التنفيذية'!$G$2:$G$421,$G88,'الشؤون التنفيذية'!$I$2:$I$421,$I88)+SUMIFS('الجهاز العسكري'!$M$2:$M$631,'الجهاز العسكري'!$B$2:$B$631,$B88,'الجهاز العسكري'!$G$2:$G$631,$G88,'الجهاز العسكري'!$I$2:$I$631,$I88))/$L88,0))</f>
        <v>43</v>
      </c>
      <c r="O88" s="25" t="n">
        <f aca="false">IF($L88=0,0,ROUND((SUMIFS('المرتبطة بسمو الوزير'!$N$2:$N$151,'المرتبطة بسمو الوزير'!$B$2:$B$151,$B88,'المرتبطة بسمو الوزير'!$G$2:$G$151,$G88,'المرتبطة بسمو الوزير'!$I$2:$I$151,$I88)+SUMIFS('الشؤون التنفيذية'!$O$2:$O$421,'الشؤون التنفيذية'!$B$2:$B$421,$B88,'الشؤون التنفيذية'!$G$2:$G$421,$G88,'الشؤون التنفيذية'!$I$2:$I$421,$I88)+SUMIFS('الجهاز العسكري'!$N$2:$N$631,'الجهاز العسكري'!$B$2:$B$631,$B88,'الجهاز العسكري'!$G$2:$G$631,$G88,'الجهاز العسكري'!$I$2:$I$631,$I88))/$L88,0))</f>
        <v>92</v>
      </c>
      <c r="P88" s="22"/>
      <c r="Q88" s="19" t="n">
        <f aca="false">SUMIFS(المرجع!$G$2:$G$19,المرجع!$B$2:$B$19,$G88,المرجع!$E$2:$E$19,$I88)</f>
        <v>15</v>
      </c>
      <c r="R88" s="26" t="n">
        <f aca="false">ROUND($Q88*$N88/100,2)</f>
        <v>6.45</v>
      </c>
      <c r="S88" s="27" t="str">
        <f aca="false">IF($N88&gt;المرجع!$K$3,"متقدم",IF($N88&lt;=المرجع!$K$2,"أولي","جزئي"))</f>
        <v>جزئي</v>
      </c>
      <c r="T88" s="28" t="n">
        <f aca="false">ROUND($Q88*$O88/100,2)</f>
        <v>13.8</v>
      </c>
    </row>
    <row r="89" customFormat="false" ht="15" hidden="false" customHeight="true" outlineLevel="0" collapsed="false">
      <c r="A89" s="20" t="s">
        <v>1541</v>
      </c>
      <c r="B89" s="20" t="s">
        <v>158</v>
      </c>
      <c r="C89" s="19" t="str">
        <f aca="false">IFERROR(INDEX('قائمة الوحدات'!$B$2:$B$41,MATCH($B89,'قائمة الوحدات'!$A$2:$A$41,0)),"")</f>
        <v>TOP</v>
      </c>
      <c r="D89" s="18" t="str">
        <f aca="false">IFERROR(INDEX('قائمة الوحدات'!$C$2:$C$41,MATCH($B89,'قائمة الوحدات'!$A$2:$A$41,0)),"")</f>
        <v>المرتبطة بسمو الوزير</v>
      </c>
      <c r="E89" s="18" t="str">
        <f aca="false">IFERROR(INDEX('قائمة الوحدات'!$D$2:$D$41,MATCH($B89,'قائمة الوحدات'!$A$2:$A$41,0)),"")</f>
        <v>إدارة التميز المؤسسي</v>
      </c>
      <c r="F89" s="18" t="str">
        <f aca="false">IFERROR(INDEX('قائمة الوحدات'!$F$2:$F$41,MATCH($B89,'قائمة الوحدات'!$A$2:$A$41,0)),"")</f>
        <v>إدارة التميز المؤسسي</v>
      </c>
      <c r="G89" s="20" t="s">
        <v>66</v>
      </c>
      <c r="H89" s="18" t="str">
        <f aca="false">IFERROR(INDEX(المرجع!$A$2:$A$19,MATCH($G89,المرجع!$B$2:$B$19,0)),"")</f>
        <v>التشغيل</v>
      </c>
      <c r="I89" s="20" t="s">
        <v>57</v>
      </c>
      <c r="J89" s="18" t="str">
        <f aca="false">IFERROR(INDEX(المرجع!$D$2:$D$19,MATCH($I89,المرجع!$E$2:$E$19,0)),"")</f>
        <v>الموارد</v>
      </c>
      <c r="K89" s="19" t="n">
        <f aca="false">IFERROR(INDEX(المرجع!$F$2:$F$19,MATCH($I89,المرجع!$E$2:$E$19,0)),"")</f>
        <v>5</v>
      </c>
      <c r="L89" s="19" t="n">
        <f aca="false">SUMIFS(المرجع!$H$2:$H$19,المرجع!$B$2:$B$19,$G89,المرجع!$E$2:$E$19,$I89)</f>
        <v>1</v>
      </c>
      <c r="M89" s="19" t="n">
        <f aca="false">COUNTIFS('المرتبطة بسمو الوزير'!$B$2:$B$151,$B89,'المرتبطة بسمو الوزير'!$G$2:$G$151,$G89,'المرتبطة بسمو الوزير'!$I$2:$I$151,$I89,'المرتبطة بسمو الوزير'!$M$2:$M$151,"&lt;&gt;")+COUNTIFS('الشؤون التنفيذية'!$B$2:$B$421,$B89,'الشؤون التنفيذية'!$G$2:$G$421,$G89,'الشؤون التنفيذية'!$I$2:$I$421,$I89,'الشؤون التنفيذية'!$N$2:$N$421,"&lt;&gt;")+COUNTIFS('الجهاز العسكري'!$B$2:$B$631,$B89,'الجهاز العسكري'!$G$2:$G$631,$G89,'الجهاز العسكري'!$I$2:$I$631,$I89,'الجهاز العسكري'!$M$2:$M$631,"&lt;&gt;")</f>
        <v>1</v>
      </c>
      <c r="N89" s="24" t="n">
        <f aca="false">IF($L89=0,0,ROUND((SUMIFS('المرتبطة بسمو الوزير'!$M$2:$M$151,'المرتبطة بسمو الوزير'!$B$2:$B$151,$B89,'المرتبطة بسمو الوزير'!$G$2:$G$151,$G89,'المرتبطة بسمو الوزير'!$I$2:$I$151,$I89)+SUMIFS('الشؤون التنفيذية'!$N$2:$N$421,'الشؤون التنفيذية'!$B$2:$B$421,$B89,'الشؤون التنفيذية'!$G$2:$G$421,$G89,'الشؤون التنفيذية'!$I$2:$I$421,$I89)+SUMIFS('الجهاز العسكري'!$M$2:$M$631,'الجهاز العسكري'!$B$2:$B$631,$B89,'الجهاز العسكري'!$G$2:$G$631,$G89,'الجهاز العسكري'!$I$2:$I$631,$I89))/$L89,0))</f>
        <v>33</v>
      </c>
      <c r="O89" s="25" t="n">
        <f aca="false">IF($L89=0,0,ROUND((SUMIFS('المرتبطة بسمو الوزير'!$N$2:$N$151,'المرتبطة بسمو الوزير'!$B$2:$B$151,$B89,'المرتبطة بسمو الوزير'!$G$2:$G$151,$G89,'المرتبطة بسمو الوزير'!$I$2:$I$151,$I89)+SUMIFS('الشؤون التنفيذية'!$O$2:$O$421,'الشؤون التنفيذية'!$B$2:$B$421,$B89,'الشؤون التنفيذية'!$G$2:$G$421,$G89,'الشؤون التنفيذية'!$I$2:$I$421,$I89)+SUMIFS('الجهاز العسكري'!$N$2:$N$631,'الجهاز العسكري'!$B$2:$B$631,$B89,'الجهاز العسكري'!$G$2:$G$631,$G89,'الجهاز العسكري'!$I$2:$I$631,$I89))/$L89,0))</f>
        <v>80</v>
      </c>
      <c r="P89" s="22"/>
      <c r="Q89" s="19" t="n">
        <f aca="false">SUMIFS(المرجع!$G$2:$G$19,المرجع!$B$2:$B$19,$G89,المرجع!$E$2:$E$19,$I89)</f>
        <v>15</v>
      </c>
      <c r="R89" s="26" t="n">
        <f aca="false">ROUND($Q89*$N89/100,2)</f>
        <v>4.95</v>
      </c>
      <c r="S89" s="27" t="str">
        <f aca="false">IF($N89&gt;المرجع!$K$3,"متقدم",IF($N89&lt;=المرجع!$K$2,"أولي","جزئي"))</f>
        <v>جزئي</v>
      </c>
      <c r="T89" s="28" t="n">
        <f aca="false">ROUND($Q89*$O89/100,2)</f>
        <v>12</v>
      </c>
    </row>
    <row r="90" customFormat="false" ht="15" hidden="false" customHeight="true" outlineLevel="0" collapsed="false">
      <c r="A90" s="20" t="s">
        <v>1542</v>
      </c>
      <c r="B90" s="20" t="s">
        <v>158</v>
      </c>
      <c r="C90" s="19" t="str">
        <f aca="false">IFERROR(INDEX('قائمة الوحدات'!$B$2:$B$41,MATCH($B90,'قائمة الوحدات'!$A$2:$A$41,0)),"")</f>
        <v>TOP</v>
      </c>
      <c r="D90" s="18" t="str">
        <f aca="false">IFERROR(INDEX('قائمة الوحدات'!$C$2:$C$41,MATCH($B90,'قائمة الوحدات'!$A$2:$A$41,0)),"")</f>
        <v>المرتبطة بسمو الوزير</v>
      </c>
      <c r="E90" s="18" t="str">
        <f aca="false">IFERROR(INDEX('قائمة الوحدات'!$D$2:$D$41,MATCH($B90,'قائمة الوحدات'!$A$2:$A$41,0)),"")</f>
        <v>إدارة التميز المؤسسي</v>
      </c>
      <c r="F90" s="18" t="str">
        <f aca="false">IFERROR(INDEX('قائمة الوحدات'!$F$2:$F$41,MATCH($B90,'قائمة الوحدات'!$A$2:$A$41,0)),"")</f>
        <v>إدارة التميز المؤسسي</v>
      </c>
      <c r="G90" s="20" t="s">
        <v>66</v>
      </c>
      <c r="H90" s="18" t="str">
        <f aca="false">IFERROR(INDEX(المرجع!$A$2:$A$19,MATCH($G90,المرجع!$B$2:$B$19,0)),"")</f>
        <v>التشغيل</v>
      </c>
      <c r="I90" s="20" t="s">
        <v>60</v>
      </c>
      <c r="J90" s="18" t="str">
        <f aca="false">IFERROR(INDEX(المرجع!$D$2:$D$19,MATCH($I90,المرجع!$E$2:$E$19,0)),"")</f>
        <v>الإجراءات</v>
      </c>
      <c r="K90" s="19" t="n">
        <f aca="false">IFERROR(INDEX(المرجع!$F$2:$F$19,MATCH($I90,المرجع!$E$2:$E$19,0)),"")</f>
        <v>6</v>
      </c>
      <c r="L90" s="19" t="n">
        <f aca="false">SUMIFS(المرجع!$H$2:$H$19,المرجع!$B$2:$B$19,$G90,المرجع!$E$2:$E$19,$I90)</f>
        <v>1</v>
      </c>
      <c r="M90" s="19" t="n">
        <f aca="false">COUNTIFS('المرتبطة بسمو الوزير'!$B$2:$B$151,$B90,'المرتبطة بسمو الوزير'!$G$2:$G$151,$G90,'المرتبطة بسمو الوزير'!$I$2:$I$151,$I90,'المرتبطة بسمو الوزير'!$M$2:$M$151,"&lt;&gt;")+COUNTIFS('الشؤون التنفيذية'!$B$2:$B$421,$B90,'الشؤون التنفيذية'!$G$2:$G$421,$G90,'الشؤون التنفيذية'!$I$2:$I$421,$I90,'الشؤون التنفيذية'!$N$2:$N$421,"&lt;&gt;")+COUNTIFS('الجهاز العسكري'!$B$2:$B$631,$B90,'الجهاز العسكري'!$G$2:$G$631,$G90,'الجهاز العسكري'!$I$2:$I$631,$I90,'الجهاز العسكري'!$M$2:$M$631,"&lt;&gt;")</f>
        <v>1</v>
      </c>
      <c r="N90" s="24" t="n">
        <f aca="false">IF($L90=0,0,ROUND((SUMIFS('المرتبطة بسمو الوزير'!$M$2:$M$151,'المرتبطة بسمو الوزير'!$B$2:$B$151,$B90,'المرتبطة بسمو الوزير'!$G$2:$G$151,$G90,'المرتبطة بسمو الوزير'!$I$2:$I$151,$I90)+SUMIFS('الشؤون التنفيذية'!$N$2:$N$421,'الشؤون التنفيذية'!$B$2:$B$421,$B90,'الشؤون التنفيذية'!$G$2:$G$421,$G90,'الشؤون التنفيذية'!$I$2:$I$421,$I90)+SUMIFS('الجهاز العسكري'!$M$2:$M$631,'الجهاز العسكري'!$B$2:$B$631,$B90,'الجهاز العسكري'!$G$2:$G$631,$G90,'الجهاز العسكري'!$I$2:$I$631,$I90))/$L90,0))</f>
        <v>40</v>
      </c>
      <c r="O90" s="25" t="n">
        <f aca="false">IF($L90=0,0,ROUND((SUMIFS('المرتبطة بسمو الوزير'!$N$2:$N$151,'المرتبطة بسمو الوزير'!$B$2:$B$151,$B90,'المرتبطة بسمو الوزير'!$G$2:$G$151,$G90,'المرتبطة بسمو الوزير'!$I$2:$I$151,$I90)+SUMIFS('الشؤون التنفيذية'!$O$2:$O$421,'الشؤون التنفيذية'!$B$2:$B$421,$B90,'الشؤون التنفيذية'!$G$2:$G$421,$G90,'الشؤون التنفيذية'!$I$2:$I$421,$I90)+SUMIFS('الجهاز العسكري'!$N$2:$N$631,'الجهاز العسكري'!$B$2:$B$631,$B90,'الجهاز العسكري'!$G$2:$G$631,$G90,'الجهاز العسكري'!$I$2:$I$631,$I90))/$L90,0))</f>
        <v>95</v>
      </c>
      <c r="P90" s="22"/>
      <c r="Q90" s="19" t="n">
        <f aca="false">SUMIFS(المرجع!$G$2:$G$19,المرجع!$B$2:$B$19,$G90,المرجع!$E$2:$E$19,$I90)</f>
        <v>15</v>
      </c>
      <c r="R90" s="26" t="n">
        <f aca="false">ROUND($Q90*$N90/100,2)</f>
        <v>6</v>
      </c>
      <c r="S90" s="27" t="str">
        <f aca="false">IF($N90&gt;المرجع!$K$3,"متقدم",IF($N90&lt;=المرجع!$K$2,"أولي","جزئي"))</f>
        <v>جزئي</v>
      </c>
      <c r="T90" s="28" t="n">
        <f aca="false">ROUND($Q90*$O90/100,2)</f>
        <v>14.25</v>
      </c>
    </row>
    <row r="91" customFormat="false" ht="15" hidden="false" customHeight="true" outlineLevel="0" collapsed="false">
      <c r="A91" s="20" t="s">
        <v>1543</v>
      </c>
      <c r="B91" s="20" t="s">
        <v>158</v>
      </c>
      <c r="C91" s="19" t="str">
        <f aca="false">IFERROR(INDEX('قائمة الوحدات'!$B$2:$B$41,MATCH($B91,'قائمة الوحدات'!$A$2:$A$41,0)),"")</f>
        <v>TOP</v>
      </c>
      <c r="D91" s="18" t="str">
        <f aca="false">IFERROR(INDEX('قائمة الوحدات'!$C$2:$C$41,MATCH($B91,'قائمة الوحدات'!$A$2:$A$41,0)),"")</f>
        <v>المرتبطة بسمو الوزير</v>
      </c>
      <c r="E91" s="18" t="str">
        <f aca="false">IFERROR(INDEX('قائمة الوحدات'!$D$2:$D$41,MATCH($B91,'قائمة الوحدات'!$A$2:$A$41,0)),"")</f>
        <v>إدارة التميز المؤسسي</v>
      </c>
      <c r="F91" s="18" t="str">
        <f aca="false">IFERROR(INDEX('قائمة الوحدات'!$F$2:$F$41,MATCH($B91,'قائمة الوحدات'!$A$2:$A$41,0)),"")</f>
        <v>إدارة التميز المؤسسي</v>
      </c>
      <c r="G91" s="20" t="s">
        <v>66</v>
      </c>
      <c r="H91" s="18" t="str">
        <f aca="false">IFERROR(INDEX(المرجع!$A$2:$A$19,MATCH($G91,المرجع!$B$2:$B$19,0)),"")</f>
        <v>التشغيل</v>
      </c>
      <c r="I91" s="20" t="s">
        <v>71</v>
      </c>
      <c r="J91" s="18" t="str">
        <f aca="false">IFERROR(INDEX(المرجع!$D$2:$D$19,MATCH($I91,المرجع!$E$2:$E$19,0)),"")</f>
        <v>اكتمال المخرجات المستهدفة</v>
      </c>
      <c r="K91" s="19" t="n">
        <f aca="false">IFERROR(INDEX(المرجع!$F$2:$F$19,MATCH($I91,المرجع!$E$2:$E$19,0)),"")</f>
        <v>8</v>
      </c>
      <c r="L91" s="19" t="n">
        <f aca="false">SUMIFS(المرجع!$H$2:$H$19,المرجع!$B$2:$B$19,$G91,المرجع!$E$2:$E$19,$I91)</f>
        <v>1</v>
      </c>
      <c r="M91" s="19" t="n">
        <f aca="false">COUNTIFS('المرتبطة بسمو الوزير'!$B$2:$B$151,$B91,'المرتبطة بسمو الوزير'!$G$2:$G$151,$G91,'المرتبطة بسمو الوزير'!$I$2:$I$151,$I91,'المرتبطة بسمو الوزير'!$M$2:$M$151,"&lt;&gt;")+COUNTIFS('الشؤون التنفيذية'!$B$2:$B$421,$B91,'الشؤون التنفيذية'!$G$2:$G$421,$G91,'الشؤون التنفيذية'!$I$2:$I$421,$I91,'الشؤون التنفيذية'!$N$2:$N$421,"&lt;&gt;")+COUNTIFS('الجهاز العسكري'!$B$2:$B$631,$B91,'الجهاز العسكري'!$G$2:$G$631,$G91,'الجهاز العسكري'!$I$2:$I$631,$I91,'الجهاز العسكري'!$M$2:$M$631,"&lt;&gt;")</f>
        <v>1</v>
      </c>
      <c r="N91" s="24" t="n">
        <f aca="false">IF($L91=0,0,ROUND((SUMIFS('المرتبطة بسمو الوزير'!$M$2:$M$151,'المرتبطة بسمو الوزير'!$B$2:$B$151,$B91,'المرتبطة بسمو الوزير'!$G$2:$G$151,$G91,'المرتبطة بسمو الوزير'!$I$2:$I$151,$I91)+SUMIFS('الشؤون التنفيذية'!$N$2:$N$421,'الشؤون التنفيذية'!$B$2:$B$421,$B91,'الشؤون التنفيذية'!$G$2:$G$421,$G91,'الشؤون التنفيذية'!$I$2:$I$421,$I91)+SUMIFS('الجهاز العسكري'!$M$2:$M$631,'الجهاز العسكري'!$B$2:$B$631,$B91,'الجهاز العسكري'!$G$2:$G$631,$G91,'الجهاز العسكري'!$I$2:$I$631,$I91))/$L91,0))</f>
        <v>49</v>
      </c>
      <c r="O91" s="25" t="n">
        <f aca="false">IF($L91=0,0,ROUND((SUMIFS('المرتبطة بسمو الوزير'!$N$2:$N$151,'المرتبطة بسمو الوزير'!$B$2:$B$151,$B91,'المرتبطة بسمو الوزير'!$G$2:$G$151,$G91,'المرتبطة بسمو الوزير'!$I$2:$I$151,$I91)+SUMIFS('الشؤون التنفيذية'!$O$2:$O$421,'الشؤون التنفيذية'!$B$2:$B$421,$B91,'الشؤون التنفيذية'!$G$2:$G$421,$G91,'الشؤون التنفيذية'!$I$2:$I$421,$I91)+SUMIFS('الجهاز العسكري'!$N$2:$N$631,'الجهاز العسكري'!$B$2:$B$631,$B91,'الجهاز العسكري'!$G$2:$G$631,$G91,'الجهاز العسكري'!$I$2:$I$631,$I91))/$L91,0))</f>
        <v>80</v>
      </c>
      <c r="P91" s="22"/>
      <c r="Q91" s="19" t="n">
        <f aca="false">SUMIFS(المرجع!$G$2:$G$19,المرجع!$B$2:$B$19,$G91,المرجع!$E$2:$E$19,$I91)</f>
        <v>30</v>
      </c>
      <c r="R91" s="26" t="n">
        <f aca="false">ROUND($Q91*$N91/100,2)</f>
        <v>14.7</v>
      </c>
      <c r="S91" s="27" t="str">
        <f aca="false">IF($N91&gt;المرجع!$K$3,"متقدم",IF($N91&lt;=المرجع!$K$2,"أولي","جزئي"))</f>
        <v>جزئي</v>
      </c>
      <c r="T91" s="28" t="n">
        <f aca="false">ROUND($Q91*$O91/100,2)</f>
        <v>24</v>
      </c>
    </row>
    <row r="92" customFormat="false" ht="15" hidden="false" customHeight="true" outlineLevel="0" collapsed="false">
      <c r="A92" s="20" t="s">
        <v>1544</v>
      </c>
      <c r="B92" s="20" t="s">
        <v>160</v>
      </c>
      <c r="C92" s="19" t="str">
        <f aca="false">IFERROR(INDEX('قائمة الوحدات'!$B$2:$B$41,MATCH($B92,'قائمة الوحدات'!$A$2:$A$41,0)),"")</f>
        <v>EXE</v>
      </c>
      <c r="D92" s="18" t="str">
        <f aca="false">IFERROR(INDEX('قائمة الوحدات'!$C$2:$C$41,MATCH($B92,'قائمة الوحدات'!$A$2:$A$41,0)),"")</f>
        <v>الشؤون التنفيذية</v>
      </c>
      <c r="E92" s="18" t="str">
        <f aca="false">IFERROR(INDEX('قائمة الوحدات'!$D$2:$D$41,MATCH($B92,'قائمة الوحدات'!$A$2:$A$41,0)),"")</f>
        <v>وكالة الشؤون الفنية</v>
      </c>
      <c r="F92" s="18" t="str">
        <f aca="false">IFERROR(INDEX('قائمة الوحدات'!$F$2:$F$41,MATCH($B92,'قائمة الوحدات'!$A$2:$A$41,0)),"")</f>
        <v>الإدارة العامة للتخطيط والدراسات</v>
      </c>
      <c r="G92" s="20" t="s">
        <v>44</v>
      </c>
      <c r="H92" s="18" t="str">
        <f aca="false">IFERROR(INDEX(المرجع!$A$2:$A$19,MATCH($G92,المرجع!$B$2:$B$19,0)),"")</f>
        <v>التصميم</v>
      </c>
      <c r="I92" s="20" t="s">
        <v>46</v>
      </c>
      <c r="J92" s="18" t="str">
        <f aca="false">IFERROR(INDEX(المرجع!$D$2:$D$19,MATCH($I92,المرجع!$E$2:$E$19,0)),"")</f>
        <v>الدور</v>
      </c>
      <c r="K92" s="19" t="n">
        <f aca="false">IFERROR(INDEX(المرجع!$F$2:$F$19,MATCH($I92,المرجع!$E$2:$E$19,0)),"")</f>
        <v>1</v>
      </c>
      <c r="L92" s="19" t="n">
        <f aca="false">SUMIFS(المرجع!$H$2:$H$19,المرجع!$B$2:$B$19,$G92,المرجع!$E$2:$E$19,$I92)</f>
        <v>1</v>
      </c>
      <c r="M92" s="19" t="n">
        <f aca="false">COUNTIFS('المرتبطة بسمو الوزير'!$B$2:$B$151,$B92,'المرتبطة بسمو الوزير'!$G$2:$G$151,$G92,'المرتبطة بسمو الوزير'!$I$2:$I$151,$I92,'المرتبطة بسمو الوزير'!$M$2:$M$151,"&lt;&gt;")+COUNTIFS('الشؤون التنفيذية'!$B$2:$B$421,$B92,'الشؤون التنفيذية'!$G$2:$G$421,$G92,'الشؤون التنفيذية'!$I$2:$I$421,$I92,'الشؤون التنفيذية'!$N$2:$N$421,"&lt;&gt;")+COUNTIFS('الجهاز العسكري'!$B$2:$B$631,$B92,'الجهاز العسكري'!$G$2:$G$631,$G92,'الجهاز العسكري'!$I$2:$I$631,$I92,'الجهاز العسكري'!$M$2:$M$631,"&lt;&gt;")</f>
        <v>1</v>
      </c>
      <c r="N92" s="24" t="n">
        <f aca="false">IF($L92=0,0,ROUND((SUMIFS('المرتبطة بسمو الوزير'!$M$2:$M$151,'المرتبطة بسمو الوزير'!$B$2:$B$151,$B92,'المرتبطة بسمو الوزير'!$G$2:$G$151,$G92,'المرتبطة بسمو الوزير'!$I$2:$I$151,$I92)+SUMIFS('الشؤون التنفيذية'!$N$2:$N$421,'الشؤون التنفيذية'!$B$2:$B$421,$B92,'الشؤون التنفيذية'!$G$2:$G$421,$G92,'الشؤون التنفيذية'!$I$2:$I$421,$I92)+SUMIFS('الجهاز العسكري'!$M$2:$M$631,'الجهاز العسكري'!$B$2:$B$631,$B92,'الجهاز العسكري'!$G$2:$G$631,$G92,'الجهاز العسكري'!$I$2:$I$631,$I92))/$L92,0))</f>
        <v>87</v>
      </c>
      <c r="O92" s="25" t="n">
        <f aca="false">IF($L92=0,0,ROUND((SUMIFS('المرتبطة بسمو الوزير'!$N$2:$N$151,'المرتبطة بسمو الوزير'!$B$2:$B$151,$B92,'المرتبطة بسمو الوزير'!$G$2:$G$151,$G92,'المرتبطة بسمو الوزير'!$I$2:$I$151,$I92)+SUMIFS('الشؤون التنفيذية'!$O$2:$O$421,'الشؤون التنفيذية'!$B$2:$B$421,$B92,'الشؤون التنفيذية'!$G$2:$G$421,$G92,'الشؤون التنفيذية'!$I$2:$I$421,$I92)+SUMIFS('الجهاز العسكري'!$N$2:$N$631,'الجهاز العسكري'!$B$2:$B$631,$B92,'الجهاز العسكري'!$G$2:$G$631,$G92,'الجهاز العسكري'!$I$2:$I$631,$I92))/$L92,0))</f>
        <v>87</v>
      </c>
      <c r="P92" s="22"/>
      <c r="Q92" s="19" t="n">
        <f aca="false">SUMIFS(المرجع!$G$2:$G$19,المرجع!$B$2:$B$19,$G92,المرجع!$E$2:$E$19,$I92)</f>
        <v>25</v>
      </c>
      <c r="R92" s="26" t="n">
        <f aca="false">ROUND($Q92*$N92/100,2)</f>
        <v>21.75</v>
      </c>
      <c r="S92" s="27" t="str">
        <f aca="false">IF($N92&gt;المرجع!$K$3,"متقدم",IF($N92&lt;=المرجع!$K$2,"أولي","جزئي"))</f>
        <v>متقدم</v>
      </c>
      <c r="T92" s="28" t="n">
        <f aca="false">ROUND($Q92*$O92/100,2)</f>
        <v>21.75</v>
      </c>
    </row>
    <row r="93" customFormat="false" ht="15" hidden="false" customHeight="true" outlineLevel="0" collapsed="false">
      <c r="A93" s="20" t="s">
        <v>1545</v>
      </c>
      <c r="B93" s="20" t="s">
        <v>160</v>
      </c>
      <c r="C93" s="19" t="str">
        <f aca="false">IFERROR(INDEX('قائمة الوحدات'!$B$2:$B$41,MATCH($B93,'قائمة الوحدات'!$A$2:$A$41,0)),"")</f>
        <v>EXE</v>
      </c>
      <c r="D93" s="18" t="str">
        <f aca="false">IFERROR(INDEX('قائمة الوحدات'!$C$2:$C$41,MATCH($B93,'قائمة الوحدات'!$A$2:$A$41,0)),"")</f>
        <v>الشؤون التنفيذية</v>
      </c>
      <c r="E93" s="18" t="str">
        <f aca="false">IFERROR(INDEX('قائمة الوحدات'!$D$2:$D$41,MATCH($B93,'قائمة الوحدات'!$A$2:$A$41,0)),"")</f>
        <v>وكالة الشؤون الفنية</v>
      </c>
      <c r="F93" s="18" t="str">
        <f aca="false">IFERROR(INDEX('قائمة الوحدات'!$F$2:$F$41,MATCH($B93,'قائمة الوحدات'!$A$2:$A$41,0)),"")</f>
        <v>الإدارة العامة للتخطيط والدراسات</v>
      </c>
      <c r="G93" s="20" t="s">
        <v>44</v>
      </c>
      <c r="H93" s="18" t="str">
        <f aca="false">IFERROR(INDEX(المرجع!$A$2:$A$19,MATCH($G93,المرجع!$B$2:$B$19,0)),"")</f>
        <v>التصميم</v>
      </c>
      <c r="I93" s="20" t="s">
        <v>49</v>
      </c>
      <c r="J93" s="18" t="str">
        <f aca="false">IFERROR(INDEX(المرجع!$D$2:$D$19,MATCH($I93,المرجع!$E$2:$E$19,0)),"")</f>
        <v>الأهداف ومؤشرات الأداء</v>
      </c>
      <c r="K93" s="19" t="n">
        <f aca="false">IFERROR(INDEX(المرجع!$F$2:$F$19,MATCH($I93,المرجع!$E$2:$E$19,0)),"")</f>
        <v>2</v>
      </c>
      <c r="L93" s="19" t="n">
        <f aca="false">SUMIFS(المرجع!$H$2:$H$19,المرجع!$B$2:$B$19,$G93,المرجع!$E$2:$E$19,$I93)</f>
        <v>2</v>
      </c>
      <c r="M93" s="19" t="n">
        <f aca="false">COUNTIFS('المرتبطة بسمو الوزير'!$B$2:$B$151,$B93,'المرتبطة بسمو الوزير'!$G$2:$G$151,$G93,'المرتبطة بسمو الوزير'!$I$2:$I$151,$I93,'المرتبطة بسمو الوزير'!$M$2:$M$151,"&lt;&gt;")+COUNTIFS('الشؤون التنفيذية'!$B$2:$B$421,$B93,'الشؤون التنفيذية'!$G$2:$G$421,$G93,'الشؤون التنفيذية'!$I$2:$I$421,$I93,'الشؤون التنفيذية'!$N$2:$N$421,"&lt;&gt;")+COUNTIFS('الجهاز العسكري'!$B$2:$B$631,$B93,'الجهاز العسكري'!$G$2:$G$631,$G93,'الجهاز العسكري'!$I$2:$I$631,$I93,'الجهاز العسكري'!$M$2:$M$631,"&lt;&gt;")</f>
        <v>2</v>
      </c>
      <c r="N93" s="24" t="n">
        <f aca="false">IF($L93=0,0,ROUND((SUMIFS('المرتبطة بسمو الوزير'!$M$2:$M$151,'المرتبطة بسمو الوزير'!$B$2:$B$151,$B93,'المرتبطة بسمو الوزير'!$G$2:$G$151,$G93,'المرتبطة بسمو الوزير'!$I$2:$I$151,$I93)+SUMIFS('الشؤون التنفيذية'!$N$2:$N$421,'الشؤون التنفيذية'!$B$2:$B$421,$B93,'الشؤون التنفيذية'!$G$2:$G$421,$G93,'الشؤون التنفيذية'!$I$2:$I$421,$I93)+SUMIFS('الجهاز العسكري'!$M$2:$M$631,'الجهاز العسكري'!$B$2:$B$631,$B93,'الجهاز العسكري'!$G$2:$G$631,$G93,'الجهاز العسكري'!$I$2:$I$631,$I93))/$L93,0))</f>
        <v>83</v>
      </c>
      <c r="O93" s="25" t="n">
        <f aca="false">IF($L93=0,0,ROUND((SUMIFS('المرتبطة بسمو الوزير'!$N$2:$N$151,'المرتبطة بسمو الوزير'!$B$2:$B$151,$B93,'المرتبطة بسمو الوزير'!$G$2:$G$151,$G93,'المرتبطة بسمو الوزير'!$I$2:$I$151,$I93)+SUMIFS('الشؤون التنفيذية'!$O$2:$O$421,'الشؤون التنفيذية'!$B$2:$B$421,$B93,'الشؤون التنفيذية'!$G$2:$G$421,$G93,'الشؤون التنفيذية'!$I$2:$I$421,$I93)+SUMIFS('الجهاز العسكري'!$N$2:$N$631,'الجهاز العسكري'!$B$2:$B$631,$B93,'الجهاز العسكري'!$G$2:$G$631,$G93,'الجهاز العسكري'!$I$2:$I$631,$I93))/$L93,0))</f>
        <v>95</v>
      </c>
      <c r="P93" s="22"/>
      <c r="Q93" s="19" t="n">
        <f aca="false">SUMIFS(المرجع!$G$2:$G$19,المرجع!$B$2:$B$19,$G93,المرجع!$E$2:$E$19,$I93)</f>
        <v>15</v>
      </c>
      <c r="R93" s="26" t="n">
        <f aca="false">ROUND($Q93*$N93/100,2)</f>
        <v>12.45</v>
      </c>
      <c r="S93" s="27" t="str">
        <f aca="false">IF($N93&gt;المرجع!$K$3,"متقدم",IF($N93&lt;=المرجع!$K$2,"أولي","جزئي"))</f>
        <v>متقدم</v>
      </c>
      <c r="T93" s="28" t="n">
        <f aca="false">ROUND($Q93*$O93/100,2)</f>
        <v>14.25</v>
      </c>
    </row>
    <row r="94" customFormat="false" ht="15" hidden="false" customHeight="true" outlineLevel="0" collapsed="false">
      <c r="A94" s="20" t="s">
        <v>1546</v>
      </c>
      <c r="B94" s="20" t="s">
        <v>160</v>
      </c>
      <c r="C94" s="19" t="str">
        <f aca="false">IFERROR(INDEX('قائمة الوحدات'!$B$2:$B$41,MATCH($B94,'قائمة الوحدات'!$A$2:$A$41,0)),"")</f>
        <v>EXE</v>
      </c>
      <c r="D94" s="18" t="str">
        <f aca="false">IFERROR(INDEX('قائمة الوحدات'!$C$2:$C$41,MATCH($B94,'قائمة الوحدات'!$A$2:$A$41,0)),"")</f>
        <v>الشؤون التنفيذية</v>
      </c>
      <c r="E94" s="18" t="str">
        <f aca="false">IFERROR(INDEX('قائمة الوحدات'!$D$2:$D$41,MATCH($B94,'قائمة الوحدات'!$A$2:$A$41,0)),"")</f>
        <v>وكالة الشؤون الفنية</v>
      </c>
      <c r="F94" s="18" t="str">
        <f aca="false">IFERROR(INDEX('قائمة الوحدات'!$F$2:$F$41,MATCH($B94,'قائمة الوحدات'!$A$2:$A$41,0)),"")</f>
        <v>الإدارة العامة للتخطيط والدراسات</v>
      </c>
      <c r="G94" s="20" t="s">
        <v>44</v>
      </c>
      <c r="H94" s="18" t="str">
        <f aca="false">IFERROR(INDEX(المرجع!$A$2:$A$19,MATCH($G94,المرجع!$B$2:$B$19,0)),"")</f>
        <v>التصميم</v>
      </c>
      <c r="I94" s="20" t="s">
        <v>52</v>
      </c>
      <c r="J94" s="18" t="str">
        <f aca="false">IFERROR(INDEX(المرجع!$D$2:$D$19,MATCH($I94,المرجع!$E$2:$E$19,0)),"")</f>
        <v>الحوكمة</v>
      </c>
      <c r="K94" s="19" t="n">
        <f aca="false">IFERROR(INDEX(المرجع!$F$2:$F$19,MATCH($I94,المرجع!$E$2:$E$19,0)),"")</f>
        <v>3</v>
      </c>
      <c r="L94" s="19" t="n">
        <f aca="false">SUMIFS(المرجع!$H$2:$H$19,المرجع!$B$2:$B$19,$G94,المرجع!$E$2:$E$19,$I94)</f>
        <v>1</v>
      </c>
      <c r="M94" s="19" t="n">
        <f aca="false">COUNTIFS('المرتبطة بسمو الوزير'!$B$2:$B$151,$B94,'المرتبطة بسمو الوزير'!$G$2:$G$151,$G94,'المرتبطة بسمو الوزير'!$I$2:$I$151,$I94,'المرتبطة بسمو الوزير'!$M$2:$M$151,"&lt;&gt;")+COUNTIFS('الشؤون التنفيذية'!$B$2:$B$421,$B94,'الشؤون التنفيذية'!$G$2:$G$421,$G94,'الشؤون التنفيذية'!$I$2:$I$421,$I94,'الشؤون التنفيذية'!$N$2:$N$421,"&lt;&gt;")+COUNTIFS('الجهاز العسكري'!$B$2:$B$631,$B94,'الجهاز العسكري'!$G$2:$G$631,$G94,'الجهاز العسكري'!$I$2:$I$631,$I94,'الجهاز العسكري'!$M$2:$M$631,"&lt;&gt;")</f>
        <v>1</v>
      </c>
      <c r="N94" s="24" t="n">
        <f aca="false">IF($L94=0,0,ROUND((SUMIFS('المرتبطة بسمو الوزير'!$M$2:$M$151,'المرتبطة بسمو الوزير'!$B$2:$B$151,$B94,'المرتبطة بسمو الوزير'!$G$2:$G$151,$G94,'المرتبطة بسمو الوزير'!$I$2:$I$151,$I94)+SUMIFS('الشؤون التنفيذية'!$N$2:$N$421,'الشؤون التنفيذية'!$B$2:$B$421,$B94,'الشؤون التنفيذية'!$G$2:$G$421,$G94,'الشؤون التنفيذية'!$I$2:$I$421,$I94)+SUMIFS('الجهاز العسكري'!$M$2:$M$631,'الجهاز العسكري'!$B$2:$B$631,$B94,'الجهاز العسكري'!$G$2:$G$631,$G94,'الجهاز العسكري'!$I$2:$I$631,$I94))/$L94,0))</f>
        <v>93</v>
      </c>
      <c r="O94" s="25" t="n">
        <f aca="false">IF($L94=0,0,ROUND((SUMIFS('المرتبطة بسمو الوزير'!$N$2:$N$151,'المرتبطة بسمو الوزير'!$B$2:$B$151,$B94,'المرتبطة بسمو الوزير'!$G$2:$G$151,$G94,'المرتبطة بسمو الوزير'!$I$2:$I$151,$I94)+SUMIFS('الشؤون التنفيذية'!$O$2:$O$421,'الشؤون التنفيذية'!$B$2:$B$421,$B94,'الشؤون التنفيذية'!$G$2:$G$421,$G94,'الشؤون التنفيذية'!$I$2:$I$421,$I94)+SUMIFS('الجهاز العسكري'!$N$2:$N$631,'الجهاز العسكري'!$B$2:$B$631,$B94,'الجهاز العسكري'!$G$2:$G$631,$G94,'الجهاز العسكري'!$I$2:$I$631,$I94))/$L94,0))</f>
        <v>93</v>
      </c>
      <c r="P94" s="22"/>
      <c r="Q94" s="19" t="n">
        <f aca="false">SUMIFS(المرجع!$G$2:$G$19,المرجع!$B$2:$B$19,$G94,المرجع!$E$2:$E$19,$I94)</f>
        <v>15</v>
      </c>
      <c r="R94" s="26" t="n">
        <f aca="false">ROUND($Q94*$N94/100,2)</f>
        <v>13.95</v>
      </c>
      <c r="S94" s="27" t="str">
        <f aca="false">IF($N94&gt;المرجع!$K$3,"متقدم",IF($N94&lt;=المرجع!$K$2,"أولي","جزئي"))</f>
        <v>متقدم</v>
      </c>
      <c r="T94" s="28" t="n">
        <f aca="false">ROUND($Q94*$O94/100,2)</f>
        <v>13.95</v>
      </c>
    </row>
    <row r="95" customFormat="false" ht="15" hidden="false" customHeight="true" outlineLevel="0" collapsed="false">
      <c r="A95" s="20" t="s">
        <v>1547</v>
      </c>
      <c r="B95" s="20" t="s">
        <v>160</v>
      </c>
      <c r="C95" s="19" t="str">
        <f aca="false">IFERROR(INDEX('قائمة الوحدات'!$B$2:$B$41,MATCH($B95,'قائمة الوحدات'!$A$2:$A$41,0)),"")</f>
        <v>EXE</v>
      </c>
      <c r="D95" s="18" t="str">
        <f aca="false">IFERROR(INDEX('قائمة الوحدات'!$C$2:$C$41,MATCH($B95,'قائمة الوحدات'!$A$2:$A$41,0)),"")</f>
        <v>الشؤون التنفيذية</v>
      </c>
      <c r="E95" s="18" t="str">
        <f aca="false">IFERROR(INDEX('قائمة الوحدات'!$D$2:$D$41,MATCH($B95,'قائمة الوحدات'!$A$2:$A$41,0)),"")</f>
        <v>وكالة الشؤون الفنية</v>
      </c>
      <c r="F95" s="18" t="str">
        <f aca="false">IFERROR(INDEX('قائمة الوحدات'!$F$2:$F$41,MATCH($B95,'قائمة الوحدات'!$A$2:$A$41,0)),"")</f>
        <v>الإدارة العامة للتخطيط والدراسات</v>
      </c>
      <c r="G95" s="20" t="s">
        <v>44</v>
      </c>
      <c r="H95" s="18" t="str">
        <f aca="false">IFERROR(INDEX(المرجع!$A$2:$A$19,MATCH($G95,المرجع!$B$2:$B$19,0)),"")</f>
        <v>التصميم</v>
      </c>
      <c r="I95" s="20" t="s">
        <v>55</v>
      </c>
      <c r="J95" s="18" t="str">
        <f aca="false">IFERROR(INDEX(المرجع!$D$2:$D$19,MATCH($I95,المرجع!$E$2:$E$19,0)),"")</f>
        <v>التنظيم</v>
      </c>
      <c r="K95" s="19" t="n">
        <f aca="false">IFERROR(INDEX(المرجع!$F$2:$F$19,MATCH($I95,المرجع!$E$2:$E$19,0)),"")</f>
        <v>4</v>
      </c>
      <c r="L95" s="19" t="n">
        <f aca="false">SUMIFS(المرجع!$H$2:$H$19,المرجع!$B$2:$B$19,$G95,المرجع!$E$2:$E$19,$I95)</f>
        <v>1</v>
      </c>
      <c r="M95" s="19" t="n">
        <f aca="false">COUNTIFS('المرتبطة بسمو الوزير'!$B$2:$B$151,$B95,'المرتبطة بسمو الوزير'!$G$2:$G$151,$G95,'المرتبطة بسمو الوزير'!$I$2:$I$151,$I95,'المرتبطة بسمو الوزير'!$M$2:$M$151,"&lt;&gt;")+COUNTIFS('الشؤون التنفيذية'!$B$2:$B$421,$B95,'الشؤون التنفيذية'!$G$2:$G$421,$G95,'الشؤون التنفيذية'!$I$2:$I$421,$I95,'الشؤون التنفيذية'!$N$2:$N$421,"&lt;&gt;")+COUNTIFS('الجهاز العسكري'!$B$2:$B$631,$B95,'الجهاز العسكري'!$G$2:$G$631,$G95,'الجهاز العسكري'!$I$2:$I$631,$I95,'الجهاز العسكري'!$M$2:$M$631,"&lt;&gt;")</f>
        <v>1</v>
      </c>
      <c r="N95" s="24" t="n">
        <f aca="false">IF($L95=0,0,ROUND((SUMIFS('المرتبطة بسمو الوزير'!$M$2:$M$151,'المرتبطة بسمو الوزير'!$B$2:$B$151,$B95,'المرتبطة بسمو الوزير'!$G$2:$G$151,$G95,'المرتبطة بسمو الوزير'!$I$2:$I$151,$I95)+SUMIFS('الشؤون التنفيذية'!$N$2:$N$421,'الشؤون التنفيذية'!$B$2:$B$421,$B95,'الشؤون التنفيذية'!$G$2:$G$421,$G95,'الشؤون التنفيذية'!$I$2:$I$421,$I95)+SUMIFS('الجهاز العسكري'!$M$2:$M$631,'الجهاز العسكري'!$B$2:$B$631,$B95,'الجهاز العسكري'!$G$2:$G$631,$G95,'الجهاز العسكري'!$I$2:$I$631,$I95))/$L95,0))</f>
        <v>74</v>
      </c>
      <c r="O95" s="25" t="n">
        <f aca="false">IF($L95=0,0,ROUND((SUMIFS('المرتبطة بسمو الوزير'!$N$2:$N$151,'المرتبطة بسمو الوزير'!$B$2:$B$151,$B95,'المرتبطة بسمو الوزير'!$G$2:$G$151,$G95,'المرتبطة بسمو الوزير'!$I$2:$I$151,$I95)+SUMIFS('الشؤون التنفيذية'!$O$2:$O$421,'الشؤون التنفيذية'!$B$2:$B$421,$B95,'الشؤون التنفيذية'!$G$2:$G$421,$G95,'الشؤون التنفيذية'!$I$2:$I$421,$I95)+SUMIFS('الجهاز العسكري'!$N$2:$N$631,'الجهاز العسكري'!$B$2:$B$631,$B95,'الجهاز العسكري'!$G$2:$G$631,$G95,'الجهاز العسكري'!$I$2:$I$631,$I95))/$L95,0))</f>
        <v>100</v>
      </c>
      <c r="P95" s="22"/>
      <c r="Q95" s="19" t="n">
        <f aca="false">SUMIFS(المرجع!$G$2:$G$19,المرجع!$B$2:$B$19,$G95,المرجع!$E$2:$E$19,$I95)</f>
        <v>20</v>
      </c>
      <c r="R95" s="26" t="n">
        <f aca="false">ROUND($Q95*$N95/100,2)</f>
        <v>14.8</v>
      </c>
      <c r="S95" s="27" t="str">
        <f aca="false">IF($N95&gt;المرجع!$K$3,"متقدم",IF($N95&lt;=المرجع!$K$2,"أولي","جزئي"))</f>
        <v>متقدم</v>
      </c>
      <c r="T95" s="28" t="n">
        <f aca="false">ROUND($Q95*$O95/100,2)</f>
        <v>20</v>
      </c>
    </row>
    <row r="96" customFormat="false" ht="15" hidden="false" customHeight="true" outlineLevel="0" collapsed="false">
      <c r="A96" s="20" t="s">
        <v>1548</v>
      </c>
      <c r="B96" s="20" t="s">
        <v>160</v>
      </c>
      <c r="C96" s="19" t="str">
        <f aca="false">IFERROR(INDEX('قائمة الوحدات'!$B$2:$B$41,MATCH($B96,'قائمة الوحدات'!$A$2:$A$41,0)),"")</f>
        <v>EXE</v>
      </c>
      <c r="D96" s="18" t="str">
        <f aca="false">IFERROR(INDEX('قائمة الوحدات'!$C$2:$C$41,MATCH($B96,'قائمة الوحدات'!$A$2:$A$41,0)),"")</f>
        <v>الشؤون التنفيذية</v>
      </c>
      <c r="E96" s="18" t="str">
        <f aca="false">IFERROR(INDEX('قائمة الوحدات'!$D$2:$D$41,MATCH($B96,'قائمة الوحدات'!$A$2:$A$41,0)),"")</f>
        <v>وكالة الشؤون الفنية</v>
      </c>
      <c r="F96" s="18" t="str">
        <f aca="false">IFERROR(INDEX('قائمة الوحدات'!$F$2:$F$41,MATCH($B96,'قائمة الوحدات'!$A$2:$A$41,0)),"")</f>
        <v>الإدارة العامة للتخطيط والدراسات</v>
      </c>
      <c r="G96" s="20" t="s">
        <v>44</v>
      </c>
      <c r="H96" s="18" t="str">
        <f aca="false">IFERROR(INDEX(المرجع!$A$2:$A$19,MATCH($G96,المرجع!$B$2:$B$19,0)),"")</f>
        <v>التصميم</v>
      </c>
      <c r="I96" s="20" t="s">
        <v>57</v>
      </c>
      <c r="J96" s="18" t="str">
        <f aca="false">IFERROR(INDEX(المرجع!$D$2:$D$19,MATCH($I96,المرجع!$E$2:$E$19,0)),"")</f>
        <v>الموارد</v>
      </c>
      <c r="K96" s="19" t="n">
        <f aca="false">IFERROR(INDEX(المرجع!$F$2:$F$19,MATCH($I96,المرجع!$E$2:$E$19,0)),"")</f>
        <v>5</v>
      </c>
      <c r="L96" s="19" t="n">
        <f aca="false">SUMIFS(المرجع!$H$2:$H$19,المرجع!$B$2:$B$19,$G96,المرجع!$E$2:$E$19,$I96)</f>
        <v>1</v>
      </c>
      <c r="M96" s="19" t="n">
        <f aca="false">COUNTIFS('المرتبطة بسمو الوزير'!$B$2:$B$151,$B96,'المرتبطة بسمو الوزير'!$G$2:$G$151,$G96,'المرتبطة بسمو الوزير'!$I$2:$I$151,$I96,'المرتبطة بسمو الوزير'!$M$2:$M$151,"&lt;&gt;")+COUNTIFS('الشؤون التنفيذية'!$B$2:$B$421,$B96,'الشؤون التنفيذية'!$G$2:$G$421,$G96,'الشؤون التنفيذية'!$I$2:$I$421,$I96,'الشؤون التنفيذية'!$N$2:$N$421,"&lt;&gt;")+COUNTIFS('الجهاز العسكري'!$B$2:$B$631,$B96,'الجهاز العسكري'!$G$2:$G$631,$G96,'الجهاز العسكري'!$I$2:$I$631,$I96,'الجهاز العسكري'!$M$2:$M$631,"&lt;&gt;")</f>
        <v>1</v>
      </c>
      <c r="N96" s="24" t="n">
        <f aca="false">IF($L96=0,0,ROUND((SUMIFS('المرتبطة بسمو الوزير'!$M$2:$M$151,'المرتبطة بسمو الوزير'!$B$2:$B$151,$B96,'المرتبطة بسمو الوزير'!$G$2:$G$151,$G96,'المرتبطة بسمو الوزير'!$I$2:$I$151,$I96)+SUMIFS('الشؤون التنفيذية'!$N$2:$N$421,'الشؤون التنفيذية'!$B$2:$B$421,$B96,'الشؤون التنفيذية'!$G$2:$G$421,$G96,'الشؤون التنفيذية'!$I$2:$I$421,$I96)+SUMIFS('الجهاز العسكري'!$M$2:$M$631,'الجهاز العسكري'!$B$2:$B$631,$B96,'الجهاز العسكري'!$G$2:$G$631,$G96,'الجهاز العسكري'!$I$2:$I$631,$I96))/$L96,0))</f>
        <v>68</v>
      </c>
      <c r="O96" s="25" t="n">
        <f aca="false">IF($L96=0,0,ROUND((SUMIFS('المرتبطة بسمو الوزير'!$N$2:$N$151,'المرتبطة بسمو الوزير'!$B$2:$B$151,$B96,'المرتبطة بسمو الوزير'!$G$2:$G$151,$G96,'المرتبطة بسمو الوزير'!$I$2:$I$151,$I96)+SUMIFS('الشؤون التنفيذية'!$O$2:$O$421,'الشؤون التنفيذية'!$B$2:$B$421,$B96,'الشؤون التنفيذية'!$G$2:$G$421,$G96,'الشؤون التنفيذية'!$I$2:$I$421,$I96)+SUMIFS('الجهاز العسكري'!$N$2:$N$631,'الجهاز العسكري'!$B$2:$B$631,$B96,'الجهاز العسكري'!$G$2:$G$631,$G96,'الجهاز العسكري'!$I$2:$I$631,$I96))/$L96,0))</f>
        <v>85</v>
      </c>
      <c r="P96" s="22"/>
      <c r="Q96" s="19" t="n">
        <f aca="false">SUMIFS(المرجع!$G$2:$G$19,المرجع!$B$2:$B$19,$G96,المرجع!$E$2:$E$19,$I96)</f>
        <v>20</v>
      </c>
      <c r="R96" s="26" t="n">
        <f aca="false">ROUND($Q96*$N96/100,2)</f>
        <v>13.6</v>
      </c>
      <c r="S96" s="27" t="str">
        <f aca="false">IF($N96&gt;المرجع!$K$3,"متقدم",IF($N96&lt;=المرجع!$K$2,"أولي","جزئي"))</f>
        <v>جزئي</v>
      </c>
      <c r="T96" s="28" t="n">
        <f aca="false">ROUND($Q96*$O96/100,2)</f>
        <v>17</v>
      </c>
    </row>
    <row r="97" customFormat="false" ht="15" hidden="false" customHeight="true" outlineLevel="0" collapsed="false">
      <c r="A97" s="20" t="s">
        <v>1549</v>
      </c>
      <c r="B97" s="20" t="s">
        <v>160</v>
      </c>
      <c r="C97" s="19" t="str">
        <f aca="false">IFERROR(INDEX('قائمة الوحدات'!$B$2:$B$41,MATCH($B97,'قائمة الوحدات'!$A$2:$A$41,0)),"")</f>
        <v>EXE</v>
      </c>
      <c r="D97" s="18" t="str">
        <f aca="false">IFERROR(INDEX('قائمة الوحدات'!$C$2:$C$41,MATCH($B97,'قائمة الوحدات'!$A$2:$A$41,0)),"")</f>
        <v>الشؤون التنفيذية</v>
      </c>
      <c r="E97" s="18" t="str">
        <f aca="false">IFERROR(INDEX('قائمة الوحدات'!$D$2:$D$41,MATCH($B97,'قائمة الوحدات'!$A$2:$A$41,0)),"")</f>
        <v>وكالة الشؤون الفنية</v>
      </c>
      <c r="F97" s="18" t="str">
        <f aca="false">IFERROR(INDEX('قائمة الوحدات'!$F$2:$F$41,MATCH($B97,'قائمة الوحدات'!$A$2:$A$41,0)),"")</f>
        <v>الإدارة العامة للتخطيط والدراسات</v>
      </c>
      <c r="G97" s="20" t="s">
        <v>44</v>
      </c>
      <c r="H97" s="18" t="str">
        <f aca="false">IFERROR(INDEX(المرجع!$A$2:$A$19,MATCH($G97,المرجع!$B$2:$B$19,0)),"")</f>
        <v>التصميم</v>
      </c>
      <c r="I97" s="20" t="s">
        <v>60</v>
      </c>
      <c r="J97" s="18" t="str">
        <f aca="false">IFERROR(INDEX(المرجع!$D$2:$D$19,MATCH($I97,المرجع!$E$2:$E$19,0)),"")</f>
        <v>الإجراءات</v>
      </c>
      <c r="K97" s="19" t="n">
        <f aca="false">IFERROR(INDEX(المرجع!$F$2:$F$19,MATCH($I97,المرجع!$E$2:$E$19,0)),"")</f>
        <v>6</v>
      </c>
      <c r="L97" s="19" t="n">
        <f aca="false">SUMIFS(المرجع!$H$2:$H$19,المرجع!$B$2:$B$19,$G97,المرجع!$E$2:$E$19,$I97)</f>
        <v>1</v>
      </c>
      <c r="M97" s="19" t="n">
        <f aca="false">COUNTIFS('المرتبطة بسمو الوزير'!$B$2:$B$151,$B97,'المرتبطة بسمو الوزير'!$G$2:$G$151,$G97,'المرتبطة بسمو الوزير'!$I$2:$I$151,$I97,'المرتبطة بسمو الوزير'!$M$2:$M$151,"&lt;&gt;")+COUNTIFS('الشؤون التنفيذية'!$B$2:$B$421,$B97,'الشؤون التنفيذية'!$G$2:$G$421,$G97,'الشؤون التنفيذية'!$I$2:$I$421,$I97,'الشؤون التنفيذية'!$N$2:$N$421,"&lt;&gt;")+COUNTIFS('الجهاز العسكري'!$B$2:$B$631,$B97,'الجهاز العسكري'!$G$2:$G$631,$G97,'الجهاز العسكري'!$I$2:$I$631,$I97,'الجهاز العسكري'!$M$2:$M$631,"&lt;&gt;")</f>
        <v>1</v>
      </c>
      <c r="N97" s="24" t="n">
        <f aca="false">IF($L97=0,0,ROUND((SUMIFS('المرتبطة بسمو الوزير'!$M$2:$M$151,'المرتبطة بسمو الوزير'!$B$2:$B$151,$B97,'المرتبطة بسمو الوزير'!$G$2:$G$151,$G97,'المرتبطة بسمو الوزير'!$I$2:$I$151,$I97)+SUMIFS('الشؤون التنفيذية'!$N$2:$N$421,'الشؤون التنفيذية'!$B$2:$B$421,$B97,'الشؤون التنفيذية'!$G$2:$G$421,$G97,'الشؤون التنفيذية'!$I$2:$I$421,$I97)+SUMIFS('الجهاز العسكري'!$M$2:$M$631,'الجهاز العسكري'!$B$2:$B$631,$B97,'الجهاز العسكري'!$G$2:$G$631,$G97,'الجهاز العسكري'!$I$2:$I$631,$I97))/$L97,0))</f>
        <v>91</v>
      </c>
      <c r="O97" s="25" t="n">
        <f aca="false">IF($L97=0,0,ROUND((SUMIFS('المرتبطة بسمو الوزير'!$N$2:$N$151,'المرتبطة بسمو الوزير'!$B$2:$B$151,$B97,'المرتبطة بسمو الوزير'!$G$2:$G$151,$G97,'المرتبطة بسمو الوزير'!$I$2:$I$151,$I97)+SUMIFS('الشؤون التنفيذية'!$O$2:$O$421,'الشؤون التنفيذية'!$B$2:$B$421,$B97,'الشؤون التنفيذية'!$G$2:$G$421,$G97,'الشؤون التنفيذية'!$I$2:$I$421,$I97)+SUMIFS('الجهاز العسكري'!$N$2:$N$631,'الجهاز العسكري'!$B$2:$B$631,$B97,'الجهاز العسكري'!$G$2:$G$631,$G97,'الجهاز العسكري'!$I$2:$I$631,$I97))/$L97,0))</f>
        <v>95</v>
      </c>
      <c r="P97" s="22"/>
      <c r="Q97" s="19" t="n">
        <f aca="false">SUMIFS(المرجع!$G$2:$G$19,المرجع!$B$2:$B$19,$G97,المرجع!$E$2:$E$19,$I97)</f>
        <v>5</v>
      </c>
      <c r="R97" s="26" t="n">
        <f aca="false">ROUND($Q97*$N97/100,2)</f>
        <v>4.55</v>
      </c>
      <c r="S97" s="27" t="str">
        <f aca="false">IF($N97&gt;المرجع!$K$3,"متقدم",IF($N97&lt;=المرجع!$K$2,"أولي","جزئي"))</f>
        <v>متقدم</v>
      </c>
      <c r="T97" s="28" t="n">
        <f aca="false">ROUND($Q97*$O97/100,2)</f>
        <v>4.75</v>
      </c>
    </row>
    <row r="98" customFormat="false" ht="15" hidden="false" customHeight="true" outlineLevel="0" collapsed="false">
      <c r="A98" s="20" t="s">
        <v>1550</v>
      </c>
      <c r="B98" s="20" t="s">
        <v>160</v>
      </c>
      <c r="C98" s="19" t="str">
        <f aca="false">IFERROR(INDEX('قائمة الوحدات'!$B$2:$B$41,MATCH($B98,'قائمة الوحدات'!$A$2:$A$41,0)),"")</f>
        <v>EXE</v>
      </c>
      <c r="D98" s="18" t="str">
        <f aca="false">IFERROR(INDEX('قائمة الوحدات'!$C$2:$C$41,MATCH($B98,'قائمة الوحدات'!$A$2:$A$41,0)),"")</f>
        <v>الشؤون التنفيذية</v>
      </c>
      <c r="E98" s="18" t="str">
        <f aca="false">IFERROR(INDEX('قائمة الوحدات'!$D$2:$D$41,MATCH($B98,'قائمة الوحدات'!$A$2:$A$41,0)),"")</f>
        <v>وكالة الشؤون الفنية</v>
      </c>
      <c r="F98" s="18" t="str">
        <f aca="false">IFERROR(INDEX('قائمة الوحدات'!$F$2:$F$41,MATCH($B98,'قائمة الوحدات'!$A$2:$A$41,0)),"")</f>
        <v>الإدارة العامة للتخطيط والدراسات</v>
      </c>
      <c r="G98" s="20" t="s">
        <v>62</v>
      </c>
      <c r="H98" s="18" t="str">
        <f aca="false">IFERROR(INDEX(المرجع!$A$2:$A$19,MATCH($G98,المرجع!$B$2:$B$19,0)),"")</f>
        <v>البناء المؤسسي</v>
      </c>
      <c r="I98" s="20" t="s">
        <v>46</v>
      </c>
      <c r="J98" s="18" t="str">
        <f aca="false">IFERROR(INDEX(المرجع!$D$2:$D$19,MATCH($I98,المرجع!$E$2:$E$19,0)),"")</f>
        <v>الدور</v>
      </c>
      <c r="K98" s="19" t="n">
        <f aca="false">IFERROR(INDEX(المرجع!$F$2:$F$19,MATCH($I98,المرجع!$E$2:$E$19,0)),"")</f>
        <v>1</v>
      </c>
      <c r="L98" s="19" t="n">
        <f aca="false">SUMIFS(المرجع!$H$2:$H$19,المرجع!$B$2:$B$19,$G98,المرجع!$E$2:$E$19,$I98)</f>
        <v>1</v>
      </c>
      <c r="M98" s="19" t="n">
        <f aca="false">COUNTIFS('المرتبطة بسمو الوزير'!$B$2:$B$151,$B98,'المرتبطة بسمو الوزير'!$G$2:$G$151,$G98,'المرتبطة بسمو الوزير'!$I$2:$I$151,$I98,'المرتبطة بسمو الوزير'!$M$2:$M$151,"&lt;&gt;")+COUNTIFS('الشؤون التنفيذية'!$B$2:$B$421,$B98,'الشؤون التنفيذية'!$G$2:$G$421,$G98,'الشؤون التنفيذية'!$I$2:$I$421,$I98,'الشؤون التنفيذية'!$N$2:$N$421,"&lt;&gt;")+COUNTIFS('الجهاز العسكري'!$B$2:$B$631,$B98,'الجهاز العسكري'!$G$2:$G$631,$G98,'الجهاز العسكري'!$I$2:$I$631,$I98,'الجهاز العسكري'!$M$2:$M$631,"&lt;&gt;")</f>
        <v>1</v>
      </c>
      <c r="N98" s="24" t="n">
        <f aca="false">IF($L98=0,0,ROUND((SUMIFS('المرتبطة بسمو الوزير'!$M$2:$M$151,'المرتبطة بسمو الوزير'!$B$2:$B$151,$B98,'المرتبطة بسمو الوزير'!$G$2:$G$151,$G98,'المرتبطة بسمو الوزير'!$I$2:$I$151,$I98)+SUMIFS('الشؤون التنفيذية'!$N$2:$N$421,'الشؤون التنفيذية'!$B$2:$B$421,$B98,'الشؤون التنفيذية'!$G$2:$G$421,$G98,'الشؤون التنفيذية'!$I$2:$I$421,$I98)+SUMIFS('الجهاز العسكري'!$M$2:$M$631,'الجهاز العسكري'!$B$2:$B$631,$B98,'الجهاز العسكري'!$G$2:$G$631,$G98,'الجهاز العسكري'!$I$2:$I$631,$I98))/$L98,0))</f>
        <v>49</v>
      </c>
      <c r="O98" s="25" t="n">
        <f aca="false">IF($L98=0,0,ROUND((SUMIFS('المرتبطة بسمو الوزير'!$N$2:$N$151,'المرتبطة بسمو الوزير'!$B$2:$B$151,$B98,'المرتبطة بسمو الوزير'!$G$2:$G$151,$G98,'المرتبطة بسمو الوزير'!$I$2:$I$151,$I98)+SUMIFS('الشؤون التنفيذية'!$O$2:$O$421,'الشؤون التنفيذية'!$B$2:$B$421,$B98,'الشؤون التنفيذية'!$G$2:$G$421,$G98,'الشؤون التنفيذية'!$I$2:$I$421,$I98)+SUMIFS('الجهاز العسكري'!$N$2:$N$631,'الجهاز العسكري'!$B$2:$B$631,$B98,'الجهاز العسكري'!$G$2:$G$631,$G98,'الجهاز العسكري'!$I$2:$I$631,$I98))/$L98,0))</f>
        <v>95</v>
      </c>
      <c r="P98" s="22"/>
      <c r="Q98" s="19" t="n">
        <f aca="false">SUMIFS(المرجع!$G$2:$G$19,المرجع!$B$2:$B$19,$G98,المرجع!$E$2:$E$19,$I98)</f>
        <v>15</v>
      </c>
      <c r="R98" s="26" t="n">
        <f aca="false">ROUND($Q98*$N98/100,2)</f>
        <v>7.35</v>
      </c>
      <c r="S98" s="27" t="str">
        <f aca="false">IF($N98&gt;المرجع!$K$3,"متقدم",IF($N98&lt;=المرجع!$K$2,"أولي","جزئي"))</f>
        <v>جزئي</v>
      </c>
      <c r="T98" s="28" t="n">
        <f aca="false">ROUND($Q98*$O98/100,2)</f>
        <v>14.25</v>
      </c>
    </row>
    <row r="99" customFormat="false" ht="15" hidden="false" customHeight="true" outlineLevel="0" collapsed="false">
      <c r="A99" s="20" t="s">
        <v>1551</v>
      </c>
      <c r="B99" s="20" t="s">
        <v>160</v>
      </c>
      <c r="C99" s="19" t="str">
        <f aca="false">IFERROR(INDEX('قائمة الوحدات'!$B$2:$B$41,MATCH($B99,'قائمة الوحدات'!$A$2:$A$41,0)),"")</f>
        <v>EXE</v>
      </c>
      <c r="D99" s="18" t="str">
        <f aca="false">IFERROR(INDEX('قائمة الوحدات'!$C$2:$C$41,MATCH($B99,'قائمة الوحدات'!$A$2:$A$41,0)),"")</f>
        <v>الشؤون التنفيذية</v>
      </c>
      <c r="E99" s="18" t="str">
        <f aca="false">IFERROR(INDEX('قائمة الوحدات'!$D$2:$D$41,MATCH($B99,'قائمة الوحدات'!$A$2:$A$41,0)),"")</f>
        <v>وكالة الشؤون الفنية</v>
      </c>
      <c r="F99" s="18" t="str">
        <f aca="false">IFERROR(INDEX('قائمة الوحدات'!$F$2:$F$41,MATCH($B99,'قائمة الوحدات'!$A$2:$A$41,0)),"")</f>
        <v>الإدارة العامة للتخطيط والدراسات</v>
      </c>
      <c r="G99" s="20" t="s">
        <v>62</v>
      </c>
      <c r="H99" s="18" t="str">
        <f aca="false">IFERROR(INDEX(المرجع!$A$2:$A$19,MATCH($G99,المرجع!$B$2:$B$19,0)),"")</f>
        <v>البناء المؤسسي</v>
      </c>
      <c r="I99" s="20" t="s">
        <v>49</v>
      </c>
      <c r="J99" s="18" t="str">
        <f aca="false">IFERROR(INDEX(المرجع!$D$2:$D$19,MATCH($I99,المرجع!$E$2:$E$19,0)),"")</f>
        <v>الأهداف ومؤشرات الأداء</v>
      </c>
      <c r="K99" s="19" t="n">
        <f aca="false">IFERROR(INDEX(المرجع!$F$2:$F$19,MATCH($I99,المرجع!$E$2:$E$19,0)),"")</f>
        <v>2</v>
      </c>
      <c r="L99" s="19" t="n">
        <f aca="false">SUMIFS(المرجع!$H$2:$H$19,المرجع!$B$2:$B$19,$G99,المرجع!$E$2:$E$19,$I99)</f>
        <v>2</v>
      </c>
      <c r="M99" s="19" t="n">
        <f aca="false">COUNTIFS('المرتبطة بسمو الوزير'!$B$2:$B$151,$B99,'المرتبطة بسمو الوزير'!$G$2:$G$151,$G99,'المرتبطة بسمو الوزير'!$I$2:$I$151,$I99,'المرتبطة بسمو الوزير'!$M$2:$M$151,"&lt;&gt;")+COUNTIFS('الشؤون التنفيذية'!$B$2:$B$421,$B99,'الشؤون التنفيذية'!$G$2:$G$421,$G99,'الشؤون التنفيذية'!$I$2:$I$421,$I99,'الشؤون التنفيذية'!$N$2:$N$421,"&lt;&gt;")+COUNTIFS('الجهاز العسكري'!$B$2:$B$631,$B99,'الجهاز العسكري'!$G$2:$G$631,$G99,'الجهاز العسكري'!$I$2:$I$631,$I99,'الجهاز العسكري'!$M$2:$M$631,"&lt;&gt;")</f>
        <v>2</v>
      </c>
      <c r="N99" s="24" t="n">
        <f aca="false">IF($L99=0,0,ROUND((SUMIFS('المرتبطة بسمو الوزير'!$M$2:$M$151,'المرتبطة بسمو الوزير'!$B$2:$B$151,$B99,'المرتبطة بسمو الوزير'!$G$2:$G$151,$G99,'المرتبطة بسمو الوزير'!$I$2:$I$151,$I99)+SUMIFS('الشؤون التنفيذية'!$N$2:$N$421,'الشؤون التنفيذية'!$B$2:$B$421,$B99,'الشؤون التنفيذية'!$G$2:$G$421,$G99,'الشؤون التنفيذية'!$I$2:$I$421,$I99)+SUMIFS('الجهاز العسكري'!$M$2:$M$631,'الجهاز العسكري'!$B$2:$B$631,$B99,'الجهاز العسكري'!$G$2:$G$631,$G99,'الجهاز العسكري'!$I$2:$I$631,$I99))/$L99,0))</f>
        <v>70</v>
      </c>
      <c r="O99" s="25" t="n">
        <f aca="false">IF($L99=0,0,ROUND((SUMIFS('المرتبطة بسمو الوزير'!$N$2:$N$151,'المرتبطة بسمو الوزير'!$B$2:$B$151,$B99,'المرتبطة بسمو الوزير'!$G$2:$G$151,$G99,'المرتبطة بسمو الوزير'!$I$2:$I$151,$I99)+SUMIFS('الشؤون التنفيذية'!$O$2:$O$421,'الشؤون التنفيذية'!$B$2:$B$421,$B99,'الشؤون التنفيذية'!$G$2:$G$421,$G99,'الشؤون التنفيذية'!$I$2:$I$421,$I99)+SUMIFS('الجهاز العسكري'!$N$2:$N$631,'الجهاز العسكري'!$B$2:$B$631,$B99,'الجهاز العسكري'!$G$2:$G$631,$G99,'الجهاز العسكري'!$I$2:$I$631,$I99))/$L99,0))</f>
        <v>98</v>
      </c>
      <c r="P99" s="22"/>
      <c r="Q99" s="19" t="n">
        <f aca="false">SUMIFS(المرجع!$G$2:$G$19,المرجع!$B$2:$B$19,$G99,المرجع!$E$2:$E$19,$I99)</f>
        <v>15</v>
      </c>
      <c r="R99" s="26" t="n">
        <f aca="false">ROUND($Q99*$N99/100,2)</f>
        <v>10.5</v>
      </c>
      <c r="S99" s="27" t="str">
        <f aca="false">IF($N99&gt;المرجع!$K$3,"متقدم",IF($N99&lt;=المرجع!$K$2,"أولي","جزئي"))</f>
        <v>جزئي</v>
      </c>
      <c r="T99" s="28" t="n">
        <f aca="false">ROUND($Q99*$O99/100,2)</f>
        <v>14.7</v>
      </c>
    </row>
    <row r="100" customFormat="false" ht="15" hidden="false" customHeight="true" outlineLevel="0" collapsed="false">
      <c r="A100" s="20" t="s">
        <v>1552</v>
      </c>
      <c r="B100" s="20" t="s">
        <v>160</v>
      </c>
      <c r="C100" s="19" t="str">
        <f aca="false">IFERROR(INDEX('قائمة الوحدات'!$B$2:$B$41,MATCH($B100,'قائمة الوحدات'!$A$2:$A$41,0)),"")</f>
        <v>EXE</v>
      </c>
      <c r="D100" s="18" t="str">
        <f aca="false">IFERROR(INDEX('قائمة الوحدات'!$C$2:$C$41,MATCH($B100,'قائمة الوحدات'!$A$2:$A$41,0)),"")</f>
        <v>الشؤون التنفيذية</v>
      </c>
      <c r="E100" s="18" t="str">
        <f aca="false">IFERROR(INDEX('قائمة الوحدات'!$D$2:$D$41,MATCH($B100,'قائمة الوحدات'!$A$2:$A$41,0)),"")</f>
        <v>وكالة الشؤون الفنية</v>
      </c>
      <c r="F100" s="18" t="str">
        <f aca="false">IFERROR(INDEX('قائمة الوحدات'!$F$2:$F$41,MATCH($B100,'قائمة الوحدات'!$A$2:$A$41,0)),"")</f>
        <v>الإدارة العامة للتخطيط والدراسات</v>
      </c>
      <c r="G100" s="20" t="s">
        <v>62</v>
      </c>
      <c r="H100" s="18" t="str">
        <f aca="false">IFERROR(INDEX(المرجع!$A$2:$A$19,MATCH($G100,المرجع!$B$2:$B$19,0)),"")</f>
        <v>البناء المؤسسي</v>
      </c>
      <c r="I100" s="20" t="s">
        <v>52</v>
      </c>
      <c r="J100" s="18" t="str">
        <f aca="false">IFERROR(INDEX(المرجع!$D$2:$D$19,MATCH($I100,المرجع!$E$2:$E$19,0)),"")</f>
        <v>الحوكمة</v>
      </c>
      <c r="K100" s="19" t="n">
        <f aca="false">IFERROR(INDEX(المرجع!$F$2:$F$19,MATCH($I100,المرجع!$E$2:$E$19,0)),"")</f>
        <v>3</v>
      </c>
      <c r="L100" s="19" t="n">
        <f aca="false">SUMIFS(المرجع!$H$2:$H$19,المرجع!$B$2:$B$19,$G100,المرجع!$E$2:$E$19,$I100)</f>
        <v>3</v>
      </c>
      <c r="M100" s="19" t="n">
        <f aca="false">COUNTIFS('المرتبطة بسمو الوزير'!$B$2:$B$151,$B100,'المرتبطة بسمو الوزير'!$G$2:$G$151,$G100,'المرتبطة بسمو الوزير'!$I$2:$I$151,$I100,'المرتبطة بسمو الوزير'!$M$2:$M$151,"&lt;&gt;")+COUNTIFS('الشؤون التنفيذية'!$B$2:$B$421,$B100,'الشؤون التنفيذية'!$G$2:$G$421,$G100,'الشؤون التنفيذية'!$I$2:$I$421,$I100,'الشؤون التنفيذية'!$N$2:$N$421,"&lt;&gt;")+COUNTIFS('الجهاز العسكري'!$B$2:$B$631,$B100,'الجهاز العسكري'!$G$2:$G$631,$G100,'الجهاز العسكري'!$I$2:$I$631,$I100,'الجهاز العسكري'!$M$2:$M$631,"&lt;&gt;")</f>
        <v>3</v>
      </c>
      <c r="N100" s="24" t="n">
        <f aca="false">IF($L100=0,0,ROUND((SUMIFS('المرتبطة بسمو الوزير'!$M$2:$M$151,'المرتبطة بسمو الوزير'!$B$2:$B$151,$B100,'المرتبطة بسمو الوزير'!$G$2:$G$151,$G100,'المرتبطة بسمو الوزير'!$I$2:$I$151,$I100)+SUMIFS('الشؤون التنفيذية'!$N$2:$N$421,'الشؤون التنفيذية'!$B$2:$B$421,$B100,'الشؤون التنفيذية'!$G$2:$G$421,$G100,'الشؤون التنفيذية'!$I$2:$I$421,$I100)+SUMIFS('الجهاز العسكري'!$M$2:$M$631,'الجهاز العسكري'!$B$2:$B$631,$B100,'الجهاز العسكري'!$G$2:$G$631,$G100,'الجهاز العسكري'!$I$2:$I$631,$I100))/$L100,0))</f>
        <v>82</v>
      </c>
      <c r="O100" s="25" t="n">
        <f aca="false">IF($L100=0,0,ROUND((SUMIFS('المرتبطة بسمو الوزير'!$N$2:$N$151,'المرتبطة بسمو الوزير'!$B$2:$B$151,$B100,'المرتبطة بسمو الوزير'!$G$2:$G$151,$G100,'المرتبطة بسمو الوزير'!$I$2:$I$151,$I100)+SUMIFS('الشؤون التنفيذية'!$O$2:$O$421,'الشؤون التنفيذية'!$B$2:$B$421,$B100,'الشؤون التنفيذية'!$G$2:$G$421,$G100,'الشؤون التنفيذية'!$I$2:$I$421,$I100)+SUMIFS('الجهاز العسكري'!$N$2:$N$631,'الجهاز العسكري'!$B$2:$B$631,$B100,'الجهاز العسكري'!$G$2:$G$631,$G100,'الجهاز العسكري'!$I$2:$I$631,$I100))/$L100,0))</f>
        <v>90</v>
      </c>
      <c r="P100" s="22"/>
      <c r="Q100" s="19" t="n">
        <f aca="false">SUMIFS(المرجع!$G$2:$G$19,المرجع!$B$2:$B$19,$G100,المرجع!$E$2:$E$19,$I100)</f>
        <v>15</v>
      </c>
      <c r="R100" s="26" t="n">
        <f aca="false">ROUND($Q100*$N100/100,2)</f>
        <v>12.3</v>
      </c>
      <c r="S100" s="27" t="str">
        <f aca="false">IF($N100&gt;المرجع!$K$3,"متقدم",IF($N100&lt;=المرجع!$K$2,"أولي","جزئي"))</f>
        <v>متقدم</v>
      </c>
      <c r="T100" s="28" t="n">
        <f aca="false">ROUND($Q100*$O100/100,2)</f>
        <v>13.5</v>
      </c>
    </row>
    <row r="101" customFormat="false" ht="15" hidden="false" customHeight="true" outlineLevel="0" collapsed="false">
      <c r="A101" s="20" t="s">
        <v>1553</v>
      </c>
      <c r="B101" s="20" t="s">
        <v>160</v>
      </c>
      <c r="C101" s="19" t="str">
        <f aca="false">IFERROR(INDEX('قائمة الوحدات'!$B$2:$B$41,MATCH($B101,'قائمة الوحدات'!$A$2:$A$41,0)),"")</f>
        <v>EXE</v>
      </c>
      <c r="D101" s="18" t="str">
        <f aca="false">IFERROR(INDEX('قائمة الوحدات'!$C$2:$C$41,MATCH($B101,'قائمة الوحدات'!$A$2:$A$41,0)),"")</f>
        <v>الشؤون التنفيذية</v>
      </c>
      <c r="E101" s="18" t="str">
        <f aca="false">IFERROR(INDEX('قائمة الوحدات'!$D$2:$D$41,MATCH($B101,'قائمة الوحدات'!$A$2:$A$41,0)),"")</f>
        <v>وكالة الشؤون الفنية</v>
      </c>
      <c r="F101" s="18" t="str">
        <f aca="false">IFERROR(INDEX('قائمة الوحدات'!$F$2:$F$41,MATCH($B101,'قائمة الوحدات'!$A$2:$A$41,0)),"")</f>
        <v>الإدارة العامة للتخطيط والدراسات</v>
      </c>
      <c r="G101" s="20" t="s">
        <v>62</v>
      </c>
      <c r="H101" s="18" t="str">
        <f aca="false">IFERROR(INDEX(المرجع!$A$2:$A$19,MATCH($G101,المرجع!$B$2:$B$19,0)),"")</f>
        <v>البناء المؤسسي</v>
      </c>
      <c r="I101" s="20" t="s">
        <v>55</v>
      </c>
      <c r="J101" s="18" t="str">
        <f aca="false">IFERROR(INDEX(المرجع!$D$2:$D$19,MATCH($I101,المرجع!$E$2:$E$19,0)),"")</f>
        <v>التنظيم</v>
      </c>
      <c r="K101" s="19" t="n">
        <f aca="false">IFERROR(INDEX(المرجع!$F$2:$F$19,MATCH($I101,المرجع!$E$2:$E$19,0)),"")</f>
        <v>4</v>
      </c>
      <c r="L101" s="19" t="n">
        <f aca="false">SUMIFS(المرجع!$H$2:$H$19,المرجع!$B$2:$B$19,$G101,المرجع!$E$2:$E$19,$I101)</f>
        <v>3</v>
      </c>
      <c r="M101" s="19" t="n">
        <f aca="false">COUNTIFS('المرتبطة بسمو الوزير'!$B$2:$B$151,$B101,'المرتبطة بسمو الوزير'!$G$2:$G$151,$G101,'المرتبطة بسمو الوزير'!$I$2:$I$151,$I101,'المرتبطة بسمو الوزير'!$M$2:$M$151,"&lt;&gt;")+COUNTIFS('الشؤون التنفيذية'!$B$2:$B$421,$B101,'الشؤون التنفيذية'!$G$2:$G$421,$G101,'الشؤون التنفيذية'!$I$2:$I$421,$I101,'الشؤون التنفيذية'!$N$2:$N$421,"&lt;&gt;")+COUNTIFS('الجهاز العسكري'!$B$2:$B$631,$B101,'الجهاز العسكري'!$G$2:$G$631,$G101,'الجهاز العسكري'!$I$2:$I$631,$I101,'الجهاز العسكري'!$M$2:$M$631,"&lt;&gt;")</f>
        <v>3</v>
      </c>
      <c r="N101" s="24" t="n">
        <f aca="false">IF($L101=0,0,ROUND((SUMIFS('المرتبطة بسمو الوزير'!$M$2:$M$151,'المرتبطة بسمو الوزير'!$B$2:$B$151,$B101,'المرتبطة بسمو الوزير'!$G$2:$G$151,$G101,'المرتبطة بسمو الوزير'!$I$2:$I$151,$I101)+SUMIFS('الشؤون التنفيذية'!$N$2:$N$421,'الشؤون التنفيذية'!$B$2:$B$421,$B101,'الشؤون التنفيذية'!$G$2:$G$421,$G101,'الشؤون التنفيذية'!$I$2:$I$421,$I101)+SUMIFS('الجهاز العسكري'!$M$2:$M$631,'الجهاز العسكري'!$B$2:$B$631,$B101,'الجهاز العسكري'!$G$2:$G$631,$G101,'الجهاز العسكري'!$I$2:$I$631,$I101))/$L101,0))</f>
        <v>82</v>
      </c>
      <c r="O101" s="25" t="n">
        <f aca="false">IF($L101=0,0,ROUND((SUMIFS('المرتبطة بسمو الوزير'!$N$2:$N$151,'المرتبطة بسمو الوزير'!$B$2:$B$151,$B101,'المرتبطة بسمو الوزير'!$G$2:$G$151,$G101,'المرتبطة بسمو الوزير'!$I$2:$I$151,$I101)+SUMIFS('الشؤون التنفيذية'!$O$2:$O$421,'الشؤون التنفيذية'!$B$2:$B$421,$B101,'الشؤون التنفيذية'!$G$2:$G$421,$G101,'الشؤون التنفيذية'!$I$2:$I$421,$I101)+SUMIFS('الجهاز العسكري'!$N$2:$N$631,'الجهاز العسكري'!$B$2:$B$631,$B101,'الجهاز العسكري'!$G$2:$G$631,$G101,'الجهاز العسكري'!$I$2:$I$631,$I101))/$L101,0))</f>
        <v>98</v>
      </c>
      <c r="P101" s="22"/>
      <c r="Q101" s="19" t="n">
        <f aca="false">SUMIFS(المرجع!$G$2:$G$19,المرجع!$B$2:$B$19,$G101,المرجع!$E$2:$E$19,$I101)</f>
        <v>20</v>
      </c>
      <c r="R101" s="26" t="n">
        <f aca="false">ROUND($Q101*$N101/100,2)</f>
        <v>16.4</v>
      </c>
      <c r="S101" s="27" t="str">
        <f aca="false">IF($N101&gt;المرجع!$K$3,"متقدم",IF($N101&lt;=المرجع!$K$2,"أولي","جزئي"))</f>
        <v>متقدم</v>
      </c>
      <c r="T101" s="28" t="n">
        <f aca="false">ROUND($Q101*$O101/100,2)</f>
        <v>19.6</v>
      </c>
    </row>
    <row r="102" customFormat="false" ht="15" hidden="false" customHeight="true" outlineLevel="0" collapsed="false">
      <c r="A102" s="20" t="s">
        <v>1554</v>
      </c>
      <c r="B102" s="20" t="s">
        <v>160</v>
      </c>
      <c r="C102" s="19" t="str">
        <f aca="false">IFERROR(INDEX('قائمة الوحدات'!$B$2:$B$41,MATCH($B102,'قائمة الوحدات'!$A$2:$A$41,0)),"")</f>
        <v>EXE</v>
      </c>
      <c r="D102" s="18" t="str">
        <f aca="false">IFERROR(INDEX('قائمة الوحدات'!$C$2:$C$41,MATCH($B102,'قائمة الوحدات'!$A$2:$A$41,0)),"")</f>
        <v>الشؤون التنفيذية</v>
      </c>
      <c r="E102" s="18" t="str">
        <f aca="false">IFERROR(INDEX('قائمة الوحدات'!$D$2:$D$41,MATCH($B102,'قائمة الوحدات'!$A$2:$A$41,0)),"")</f>
        <v>وكالة الشؤون الفنية</v>
      </c>
      <c r="F102" s="18" t="str">
        <f aca="false">IFERROR(INDEX('قائمة الوحدات'!$F$2:$F$41,MATCH($B102,'قائمة الوحدات'!$A$2:$A$41,0)),"")</f>
        <v>الإدارة العامة للتخطيط والدراسات</v>
      </c>
      <c r="G102" s="20" t="s">
        <v>62</v>
      </c>
      <c r="H102" s="18" t="str">
        <f aca="false">IFERROR(INDEX(المرجع!$A$2:$A$19,MATCH($G102,المرجع!$B$2:$B$19,0)),"")</f>
        <v>البناء المؤسسي</v>
      </c>
      <c r="I102" s="20" t="s">
        <v>57</v>
      </c>
      <c r="J102" s="18" t="str">
        <f aca="false">IFERROR(INDEX(المرجع!$D$2:$D$19,MATCH($I102,المرجع!$E$2:$E$19,0)),"")</f>
        <v>الموارد</v>
      </c>
      <c r="K102" s="19" t="n">
        <f aca="false">IFERROR(INDEX(المرجع!$F$2:$F$19,MATCH($I102,المرجع!$E$2:$E$19,0)),"")</f>
        <v>5</v>
      </c>
      <c r="L102" s="19" t="n">
        <f aca="false">SUMIFS(المرجع!$H$2:$H$19,المرجع!$B$2:$B$19,$G102,المرجع!$E$2:$E$19,$I102)</f>
        <v>4</v>
      </c>
      <c r="M102" s="19" t="n">
        <f aca="false">COUNTIFS('المرتبطة بسمو الوزير'!$B$2:$B$151,$B102,'المرتبطة بسمو الوزير'!$G$2:$G$151,$G102,'المرتبطة بسمو الوزير'!$I$2:$I$151,$I102,'المرتبطة بسمو الوزير'!$M$2:$M$151,"&lt;&gt;")+COUNTIFS('الشؤون التنفيذية'!$B$2:$B$421,$B102,'الشؤون التنفيذية'!$G$2:$G$421,$G102,'الشؤون التنفيذية'!$I$2:$I$421,$I102,'الشؤون التنفيذية'!$N$2:$N$421,"&lt;&gt;")+COUNTIFS('الجهاز العسكري'!$B$2:$B$631,$B102,'الجهاز العسكري'!$G$2:$G$631,$G102,'الجهاز العسكري'!$I$2:$I$631,$I102,'الجهاز العسكري'!$M$2:$M$631,"&lt;&gt;")</f>
        <v>4</v>
      </c>
      <c r="N102" s="24" t="n">
        <f aca="false">IF($L102=0,0,ROUND((SUMIFS('المرتبطة بسمو الوزير'!$M$2:$M$151,'المرتبطة بسمو الوزير'!$B$2:$B$151,$B102,'المرتبطة بسمو الوزير'!$G$2:$G$151,$G102,'المرتبطة بسمو الوزير'!$I$2:$I$151,$I102)+SUMIFS('الشؤون التنفيذية'!$N$2:$N$421,'الشؤون التنفيذية'!$B$2:$B$421,$B102,'الشؤون التنفيذية'!$G$2:$G$421,$G102,'الشؤون التنفيذية'!$I$2:$I$421,$I102)+SUMIFS('الجهاز العسكري'!$M$2:$M$631,'الجهاز العسكري'!$B$2:$B$631,$B102,'الجهاز العسكري'!$G$2:$G$631,$G102,'الجهاز العسكري'!$I$2:$I$631,$I102))/$L102,0))</f>
        <v>53</v>
      </c>
      <c r="O102" s="25" t="n">
        <f aca="false">IF($L102=0,0,ROUND((SUMIFS('المرتبطة بسمو الوزير'!$N$2:$N$151,'المرتبطة بسمو الوزير'!$B$2:$B$151,$B102,'المرتبطة بسمو الوزير'!$G$2:$G$151,$G102,'المرتبطة بسمو الوزير'!$I$2:$I$151,$I102)+SUMIFS('الشؤون التنفيذية'!$O$2:$O$421,'الشؤون التنفيذية'!$B$2:$B$421,$B102,'الشؤون التنفيذية'!$G$2:$G$421,$G102,'الشؤون التنفيذية'!$I$2:$I$421,$I102)+SUMIFS('الجهاز العسكري'!$N$2:$N$631,'الجهاز العسكري'!$B$2:$B$631,$B102,'الجهاز العسكري'!$G$2:$G$631,$G102,'الجهاز العسكري'!$I$2:$I$631,$I102))/$L102,0))</f>
        <v>95</v>
      </c>
      <c r="P102" s="22"/>
      <c r="Q102" s="19" t="n">
        <f aca="false">SUMIFS(المرجع!$G$2:$G$19,المرجع!$B$2:$B$19,$G102,المرجع!$E$2:$E$19,$I102)</f>
        <v>25</v>
      </c>
      <c r="R102" s="26" t="n">
        <f aca="false">ROUND($Q102*$N102/100,2)</f>
        <v>13.25</v>
      </c>
      <c r="S102" s="27" t="str">
        <f aca="false">IF($N102&gt;المرجع!$K$3,"متقدم",IF($N102&lt;=المرجع!$K$2,"أولي","جزئي"))</f>
        <v>جزئي</v>
      </c>
      <c r="T102" s="28" t="n">
        <f aca="false">ROUND($Q102*$O102/100,2)</f>
        <v>23.75</v>
      </c>
    </row>
    <row r="103" customFormat="false" ht="15" hidden="false" customHeight="true" outlineLevel="0" collapsed="false">
      <c r="A103" s="20" t="s">
        <v>1555</v>
      </c>
      <c r="B103" s="20" t="s">
        <v>160</v>
      </c>
      <c r="C103" s="19" t="str">
        <f aca="false">IFERROR(INDEX('قائمة الوحدات'!$B$2:$B$41,MATCH($B103,'قائمة الوحدات'!$A$2:$A$41,0)),"")</f>
        <v>EXE</v>
      </c>
      <c r="D103" s="18" t="str">
        <f aca="false">IFERROR(INDEX('قائمة الوحدات'!$C$2:$C$41,MATCH($B103,'قائمة الوحدات'!$A$2:$A$41,0)),"")</f>
        <v>الشؤون التنفيذية</v>
      </c>
      <c r="E103" s="18" t="str">
        <f aca="false">IFERROR(INDEX('قائمة الوحدات'!$D$2:$D$41,MATCH($B103,'قائمة الوحدات'!$A$2:$A$41,0)),"")</f>
        <v>وكالة الشؤون الفنية</v>
      </c>
      <c r="F103" s="18" t="str">
        <f aca="false">IFERROR(INDEX('قائمة الوحدات'!$F$2:$F$41,MATCH($B103,'قائمة الوحدات'!$A$2:$A$41,0)),"")</f>
        <v>الإدارة العامة للتخطيط والدراسات</v>
      </c>
      <c r="G103" s="20" t="s">
        <v>62</v>
      </c>
      <c r="H103" s="18" t="str">
        <f aca="false">IFERROR(INDEX(المرجع!$A$2:$A$19,MATCH($G103,المرجع!$B$2:$B$19,0)),"")</f>
        <v>البناء المؤسسي</v>
      </c>
      <c r="I103" s="20" t="s">
        <v>60</v>
      </c>
      <c r="J103" s="18" t="str">
        <f aca="false">IFERROR(INDEX(المرجع!$D$2:$D$19,MATCH($I103,المرجع!$E$2:$E$19,0)),"")</f>
        <v>الإجراءات</v>
      </c>
      <c r="K103" s="19" t="n">
        <f aca="false">IFERROR(INDEX(المرجع!$F$2:$F$19,MATCH($I103,المرجع!$E$2:$E$19,0)),"")</f>
        <v>6</v>
      </c>
      <c r="L103" s="19" t="n">
        <f aca="false">SUMIFS(المرجع!$H$2:$H$19,المرجع!$B$2:$B$19,$G103,المرجع!$E$2:$E$19,$I103)</f>
        <v>1</v>
      </c>
      <c r="M103" s="19" t="n">
        <f aca="false">COUNTIFS('المرتبطة بسمو الوزير'!$B$2:$B$151,$B103,'المرتبطة بسمو الوزير'!$G$2:$G$151,$G103,'المرتبطة بسمو الوزير'!$I$2:$I$151,$I103,'المرتبطة بسمو الوزير'!$M$2:$M$151,"&lt;&gt;")+COUNTIFS('الشؤون التنفيذية'!$B$2:$B$421,$B103,'الشؤون التنفيذية'!$G$2:$G$421,$G103,'الشؤون التنفيذية'!$I$2:$I$421,$I103,'الشؤون التنفيذية'!$N$2:$N$421,"&lt;&gt;")+COUNTIFS('الجهاز العسكري'!$B$2:$B$631,$B103,'الجهاز العسكري'!$G$2:$G$631,$G103,'الجهاز العسكري'!$I$2:$I$631,$I103,'الجهاز العسكري'!$M$2:$M$631,"&lt;&gt;")</f>
        <v>1</v>
      </c>
      <c r="N103" s="24" t="n">
        <f aca="false">IF($L103=0,0,ROUND((SUMIFS('المرتبطة بسمو الوزير'!$M$2:$M$151,'المرتبطة بسمو الوزير'!$B$2:$B$151,$B103,'المرتبطة بسمو الوزير'!$G$2:$G$151,$G103,'المرتبطة بسمو الوزير'!$I$2:$I$151,$I103)+SUMIFS('الشؤون التنفيذية'!$N$2:$N$421,'الشؤون التنفيذية'!$B$2:$B$421,$B103,'الشؤون التنفيذية'!$G$2:$G$421,$G103,'الشؤون التنفيذية'!$I$2:$I$421,$I103)+SUMIFS('الجهاز العسكري'!$M$2:$M$631,'الجهاز العسكري'!$B$2:$B$631,$B103,'الجهاز العسكري'!$G$2:$G$631,$G103,'الجهاز العسكري'!$I$2:$I$631,$I103))/$L103,0))</f>
        <v>59</v>
      </c>
      <c r="O103" s="25" t="n">
        <f aca="false">IF($L103=0,0,ROUND((SUMIFS('المرتبطة بسمو الوزير'!$N$2:$N$151,'المرتبطة بسمو الوزير'!$B$2:$B$151,$B103,'المرتبطة بسمو الوزير'!$G$2:$G$151,$G103,'المرتبطة بسمو الوزير'!$I$2:$I$151,$I103)+SUMIFS('الشؤون التنفيذية'!$O$2:$O$421,'الشؤون التنفيذية'!$B$2:$B$421,$B103,'الشؤون التنفيذية'!$G$2:$G$421,$G103,'الشؤون التنفيذية'!$I$2:$I$421,$I103)+SUMIFS('الجهاز العسكري'!$N$2:$N$631,'الجهاز العسكري'!$B$2:$B$631,$B103,'الجهاز العسكري'!$G$2:$G$631,$G103,'الجهاز العسكري'!$I$2:$I$631,$I103))/$L103,0))</f>
        <v>100</v>
      </c>
      <c r="P103" s="22"/>
      <c r="Q103" s="19" t="n">
        <f aca="false">SUMIFS(المرجع!$G$2:$G$19,المرجع!$B$2:$B$19,$G103,المرجع!$E$2:$E$19,$I103)</f>
        <v>5</v>
      </c>
      <c r="R103" s="26" t="n">
        <f aca="false">ROUND($Q103*$N103/100,2)</f>
        <v>2.95</v>
      </c>
      <c r="S103" s="27" t="str">
        <f aca="false">IF($N103&gt;المرجع!$K$3,"متقدم",IF($N103&lt;=المرجع!$K$2,"أولي","جزئي"))</f>
        <v>جزئي</v>
      </c>
      <c r="T103" s="28" t="n">
        <f aca="false">ROUND($Q103*$O103/100,2)</f>
        <v>5</v>
      </c>
    </row>
    <row r="104" customFormat="false" ht="15" hidden="false" customHeight="true" outlineLevel="0" collapsed="false">
      <c r="A104" s="20" t="s">
        <v>1556</v>
      </c>
      <c r="B104" s="20" t="s">
        <v>160</v>
      </c>
      <c r="C104" s="19" t="str">
        <f aca="false">IFERROR(INDEX('قائمة الوحدات'!$B$2:$B$41,MATCH($B104,'قائمة الوحدات'!$A$2:$A$41,0)),"")</f>
        <v>EXE</v>
      </c>
      <c r="D104" s="18" t="str">
        <f aca="false">IFERROR(INDEX('قائمة الوحدات'!$C$2:$C$41,MATCH($B104,'قائمة الوحدات'!$A$2:$A$41,0)),"")</f>
        <v>الشؤون التنفيذية</v>
      </c>
      <c r="E104" s="18" t="str">
        <f aca="false">IFERROR(INDEX('قائمة الوحدات'!$D$2:$D$41,MATCH($B104,'قائمة الوحدات'!$A$2:$A$41,0)),"")</f>
        <v>وكالة الشؤون الفنية</v>
      </c>
      <c r="F104" s="18" t="str">
        <f aca="false">IFERROR(INDEX('قائمة الوحدات'!$F$2:$F$41,MATCH($B104,'قائمة الوحدات'!$A$2:$A$41,0)),"")</f>
        <v>الإدارة العامة للتخطيط والدراسات</v>
      </c>
      <c r="G104" s="20" t="s">
        <v>62</v>
      </c>
      <c r="H104" s="18" t="str">
        <f aca="false">IFERROR(INDEX(المرجع!$A$2:$A$19,MATCH($G104,المرجع!$B$2:$B$19,0)),"")</f>
        <v>البناء المؤسسي</v>
      </c>
      <c r="I104" s="20" t="s">
        <v>69</v>
      </c>
      <c r="J104" s="18" t="str">
        <f aca="false">IFERROR(INDEX(المرجع!$D$2:$D$19,MATCH($I104,المرجع!$E$2:$E$19,0)),"")</f>
        <v>إنتاج المخرج الأول</v>
      </c>
      <c r="K104" s="19" t="n">
        <f aca="false">IFERROR(INDEX(المرجع!$F$2:$F$19,MATCH($I104,المرجع!$E$2:$E$19,0)),"")</f>
        <v>7</v>
      </c>
      <c r="L104" s="19" t="n">
        <f aca="false">SUMIFS(المرجع!$H$2:$H$19,المرجع!$B$2:$B$19,$G104,المرجع!$E$2:$E$19,$I104)</f>
        <v>1</v>
      </c>
      <c r="M104" s="19" t="n">
        <f aca="false">COUNTIFS('المرتبطة بسمو الوزير'!$B$2:$B$151,$B104,'المرتبطة بسمو الوزير'!$G$2:$G$151,$G104,'المرتبطة بسمو الوزير'!$I$2:$I$151,$I104,'المرتبطة بسمو الوزير'!$M$2:$M$151,"&lt;&gt;")+COUNTIFS('الشؤون التنفيذية'!$B$2:$B$421,$B104,'الشؤون التنفيذية'!$G$2:$G$421,$G104,'الشؤون التنفيذية'!$I$2:$I$421,$I104,'الشؤون التنفيذية'!$N$2:$N$421,"&lt;&gt;")+COUNTIFS('الجهاز العسكري'!$B$2:$B$631,$B104,'الجهاز العسكري'!$G$2:$G$631,$G104,'الجهاز العسكري'!$I$2:$I$631,$I104,'الجهاز العسكري'!$M$2:$M$631,"&lt;&gt;")</f>
        <v>1</v>
      </c>
      <c r="N104" s="24" t="n">
        <f aca="false">IF($L104=0,0,ROUND((SUMIFS('المرتبطة بسمو الوزير'!$M$2:$M$151,'المرتبطة بسمو الوزير'!$B$2:$B$151,$B104,'المرتبطة بسمو الوزير'!$G$2:$G$151,$G104,'المرتبطة بسمو الوزير'!$I$2:$I$151,$I104)+SUMIFS('الشؤون التنفيذية'!$N$2:$N$421,'الشؤون التنفيذية'!$B$2:$B$421,$B104,'الشؤون التنفيذية'!$G$2:$G$421,$G104,'الشؤون التنفيذية'!$I$2:$I$421,$I104)+SUMIFS('الجهاز العسكري'!$M$2:$M$631,'الجهاز العسكري'!$B$2:$B$631,$B104,'الجهاز العسكري'!$G$2:$G$631,$G104,'الجهاز العسكري'!$I$2:$I$631,$I104))/$L104,0))</f>
        <v>56</v>
      </c>
      <c r="O104" s="25" t="n">
        <f aca="false">IF($L104=0,0,ROUND((SUMIFS('المرتبطة بسمو الوزير'!$N$2:$N$151,'المرتبطة بسمو الوزير'!$B$2:$B$151,$B104,'المرتبطة بسمو الوزير'!$G$2:$G$151,$G104,'المرتبطة بسمو الوزير'!$I$2:$I$151,$I104)+SUMIFS('الشؤون التنفيذية'!$O$2:$O$421,'الشؤون التنفيذية'!$B$2:$B$421,$B104,'الشؤون التنفيذية'!$G$2:$G$421,$G104,'الشؤون التنفيذية'!$I$2:$I$421,$I104)+SUMIFS('الجهاز العسكري'!$N$2:$N$631,'الجهاز العسكري'!$B$2:$B$631,$B104,'الجهاز العسكري'!$G$2:$G$631,$G104,'الجهاز العسكري'!$I$2:$I$631,$I104))/$L104,0))</f>
        <v>90</v>
      </c>
      <c r="P104" s="22"/>
      <c r="Q104" s="19" t="n">
        <f aca="false">SUMIFS(المرجع!$G$2:$G$19,المرجع!$B$2:$B$19,$G104,المرجع!$E$2:$E$19,$I104)</f>
        <v>5</v>
      </c>
      <c r="R104" s="26" t="n">
        <f aca="false">ROUND($Q104*$N104/100,2)</f>
        <v>2.8</v>
      </c>
      <c r="S104" s="27" t="str">
        <f aca="false">IF($N104&gt;المرجع!$K$3,"متقدم",IF($N104&lt;=المرجع!$K$2,"أولي","جزئي"))</f>
        <v>جزئي</v>
      </c>
      <c r="T104" s="28" t="n">
        <f aca="false">ROUND($Q104*$O104/100,2)</f>
        <v>4.5</v>
      </c>
    </row>
    <row r="105" customFormat="false" ht="15" hidden="false" customHeight="true" outlineLevel="0" collapsed="false">
      <c r="A105" s="20" t="s">
        <v>1557</v>
      </c>
      <c r="B105" s="20" t="s">
        <v>160</v>
      </c>
      <c r="C105" s="19" t="str">
        <f aca="false">IFERROR(INDEX('قائمة الوحدات'!$B$2:$B$41,MATCH($B105,'قائمة الوحدات'!$A$2:$A$41,0)),"")</f>
        <v>EXE</v>
      </c>
      <c r="D105" s="18" t="str">
        <f aca="false">IFERROR(INDEX('قائمة الوحدات'!$C$2:$C$41,MATCH($B105,'قائمة الوحدات'!$A$2:$A$41,0)),"")</f>
        <v>الشؤون التنفيذية</v>
      </c>
      <c r="E105" s="18" t="str">
        <f aca="false">IFERROR(INDEX('قائمة الوحدات'!$D$2:$D$41,MATCH($B105,'قائمة الوحدات'!$A$2:$A$41,0)),"")</f>
        <v>وكالة الشؤون الفنية</v>
      </c>
      <c r="F105" s="18" t="str">
        <f aca="false">IFERROR(INDEX('قائمة الوحدات'!$F$2:$F$41,MATCH($B105,'قائمة الوحدات'!$A$2:$A$41,0)),"")</f>
        <v>الإدارة العامة للتخطيط والدراسات</v>
      </c>
      <c r="G105" s="20" t="s">
        <v>66</v>
      </c>
      <c r="H105" s="18" t="str">
        <f aca="false">IFERROR(INDEX(المرجع!$A$2:$A$19,MATCH($G105,المرجع!$B$2:$B$19,0)),"")</f>
        <v>التشغيل</v>
      </c>
      <c r="I105" s="20" t="s">
        <v>49</v>
      </c>
      <c r="J105" s="18" t="str">
        <f aca="false">IFERROR(INDEX(المرجع!$D$2:$D$19,MATCH($I105,المرجع!$E$2:$E$19,0)),"")</f>
        <v>الأهداف ومؤشرات الأداء</v>
      </c>
      <c r="K105" s="19" t="n">
        <f aca="false">IFERROR(INDEX(المرجع!$F$2:$F$19,MATCH($I105,المرجع!$E$2:$E$19,0)),"")</f>
        <v>2</v>
      </c>
      <c r="L105" s="19" t="n">
        <f aca="false">SUMIFS(المرجع!$H$2:$H$19,المرجع!$B$2:$B$19,$G105,المرجع!$E$2:$E$19,$I105)</f>
        <v>2</v>
      </c>
      <c r="M105" s="19" t="n">
        <f aca="false">COUNTIFS('المرتبطة بسمو الوزير'!$B$2:$B$151,$B105,'المرتبطة بسمو الوزير'!$G$2:$G$151,$G105,'المرتبطة بسمو الوزير'!$I$2:$I$151,$I105,'المرتبطة بسمو الوزير'!$M$2:$M$151,"&lt;&gt;")+COUNTIFS('الشؤون التنفيذية'!$B$2:$B$421,$B105,'الشؤون التنفيذية'!$G$2:$G$421,$G105,'الشؤون التنفيذية'!$I$2:$I$421,$I105,'الشؤون التنفيذية'!$N$2:$N$421,"&lt;&gt;")+COUNTIFS('الجهاز العسكري'!$B$2:$B$631,$B105,'الجهاز العسكري'!$G$2:$G$631,$G105,'الجهاز العسكري'!$I$2:$I$631,$I105,'الجهاز العسكري'!$M$2:$M$631,"&lt;&gt;")</f>
        <v>2</v>
      </c>
      <c r="N105" s="24" t="n">
        <f aca="false">IF($L105=0,0,ROUND((SUMIFS('المرتبطة بسمو الوزير'!$M$2:$M$151,'المرتبطة بسمو الوزير'!$B$2:$B$151,$B105,'المرتبطة بسمو الوزير'!$G$2:$G$151,$G105,'المرتبطة بسمو الوزير'!$I$2:$I$151,$I105)+SUMIFS('الشؤون التنفيذية'!$N$2:$N$421,'الشؤون التنفيذية'!$B$2:$B$421,$B105,'الشؤون التنفيذية'!$G$2:$G$421,$G105,'الشؤون التنفيذية'!$I$2:$I$421,$I105)+SUMIFS('الجهاز العسكري'!$M$2:$M$631,'الجهاز العسكري'!$B$2:$B$631,$B105,'الجهاز العسكري'!$G$2:$G$631,$G105,'الجهاز العسكري'!$I$2:$I$631,$I105))/$L105,0))</f>
        <v>58</v>
      </c>
      <c r="O105" s="25" t="n">
        <f aca="false">IF($L105=0,0,ROUND((SUMIFS('المرتبطة بسمو الوزير'!$N$2:$N$151,'المرتبطة بسمو الوزير'!$B$2:$B$151,$B105,'المرتبطة بسمو الوزير'!$G$2:$G$151,$G105,'المرتبطة بسمو الوزير'!$I$2:$I$151,$I105)+SUMIFS('الشؤون التنفيذية'!$O$2:$O$421,'الشؤون التنفيذية'!$B$2:$B$421,$B105,'الشؤون التنفيذية'!$G$2:$G$421,$G105,'الشؤون التنفيذية'!$I$2:$I$421,$I105)+SUMIFS('الجهاز العسكري'!$N$2:$N$631,'الجهاز العسكري'!$B$2:$B$631,$B105,'الجهاز العسكري'!$G$2:$G$631,$G105,'الجهاز العسكري'!$I$2:$I$631,$I105))/$L105,0))</f>
        <v>98</v>
      </c>
      <c r="P105" s="22"/>
      <c r="Q105" s="19" t="n">
        <f aca="false">SUMIFS(المرجع!$G$2:$G$19,المرجع!$B$2:$B$19,$G105,المرجع!$E$2:$E$19,$I105)</f>
        <v>25</v>
      </c>
      <c r="R105" s="26" t="n">
        <f aca="false">ROUND($Q105*$N105/100,2)</f>
        <v>14.5</v>
      </c>
      <c r="S105" s="27" t="str">
        <f aca="false">IF($N105&gt;المرجع!$K$3,"متقدم",IF($N105&lt;=المرجع!$K$2,"أولي","جزئي"))</f>
        <v>جزئي</v>
      </c>
      <c r="T105" s="28" t="n">
        <f aca="false">ROUND($Q105*$O105/100,2)</f>
        <v>24.5</v>
      </c>
    </row>
    <row r="106" customFormat="false" ht="15" hidden="false" customHeight="true" outlineLevel="0" collapsed="false">
      <c r="A106" s="20" t="s">
        <v>1558</v>
      </c>
      <c r="B106" s="20" t="s">
        <v>160</v>
      </c>
      <c r="C106" s="19" t="str">
        <f aca="false">IFERROR(INDEX('قائمة الوحدات'!$B$2:$B$41,MATCH($B106,'قائمة الوحدات'!$A$2:$A$41,0)),"")</f>
        <v>EXE</v>
      </c>
      <c r="D106" s="18" t="str">
        <f aca="false">IFERROR(INDEX('قائمة الوحدات'!$C$2:$C$41,MATCH($B106,'قائمة الوحدات'!$A$2:$A$41,0)),"")</f>
        <v>الشؤون التنفيذية</v>
      </c>
      <c r="E106" s="18" t="str">
        <f aca="false">IFERROR(INDEX('قائمة الوحدات'!$D$2:$D$41,MATCH($B106,'قائمة الوحدات'!$A$2:$A$41,0)),"")</f>
        <v>وكالة الشؤون الفنية</v>
      </c>
      <c r="F106" s="18" t="str">
        <f aca="false">IFERROR(INDEX('قائمة الوحدات'!$F$2:$F$41,MATCH($B106,'قائمة الوحدات'!$A$2:$A$41,0)),"")</f>
        <v>الإدارة العامة للتخطيط والدراسات</v>
      </c>
      <c r="G106" s="20" t="s">
        <v>66</v>
      </c>
      <c r="H106" s="18" t="str">
        <f aca="false">IFERROR(INDEX(المرجع!$A$2:$A$19,MATCH($G106,المرجع!$B$2:$B$19,0)),"")</f>
        <v>التشغيل</v>
      </c>
      <c r="I106" s="20" t="s">
        <v>52</v>
      </c>
      <c r="J106" s="18" t="str">
        <f aca="false">IFERROR(INDEX(المرجع!$D$2:$D$19,MATCH($I106,المرجع!$E$2:$E$19,0)),"")</f>
        <v>الحوكمة</v>
      </c>
      <c r="K106" s="19" t="n">
        <f aca="false">IFERROR(INDEX(المرجع!$F$2:$F$19,MATCH($I106,المرجع!$E$2:$E$19,0)),"")</f>
        <v>3</v>
      </c>
      <c r="L106" s="19" t="n">
        <f aca="false">SUMIFS(المرجع!$H$2:$H$19,المرجع!$B$2:$B$19,$G106,المرجع!$E$2:$E$19,$I106)</f>
        <v>3</v>
      </c>
      <c r="M106" s="19" t="n">
        <f aca="false">COUNTIFS('المرتبطة بسمو الوزير'!$B$2:$B$151,$B106,'المرتبطة بسمو الوزير'!$G$2:$G$151,$G106,'المرتبطة بسمو الوزير'!$I$2:$I$151,$I106,'المرتبطة بسمو الوزير'!$M$2:$M$151,"&lt;&gt;")+COUNTIFS('الشؤون التنفيذية'!$B$2:$B$421,$B106,'الشؤون التنفيذية'!$G$2:$G$421,$G106,'الشؤون التنفيذية'!$I$2:$I$421,$I106,'الشؤون التنفيذية'!$N$2:$N$421,"&lt;&gt;")+COUNTIFS('الجهاز العسكري'!$B$2:$B$631,$B106,'الجهاز العسكري'!$G$2:$G$631,$G106,'الجهاز العسكري'!$I$2:$I$631,$I106,'الجهاز العسكري'!$M$2:$M$631,"&lt;&gt;")</f>
        <v>3</v>
      </c>
      <c r="N106" s="24" t="n">
        <f aca="false">IF($L106=0,0,ROUND((SUMIFS('المرتبطة بسمو الوزير'!$M$2:$M$151,'المرتبطة بسمو الوزير'!$B$2:$B$151,$B106,'المرتبطة بسمو الوزير'!$G$2:$G$151,$G106,'المرتبطة بسمو الوزير'!$I$2:$I$151,$I106)+SUMIFS('الشؤون التنفيذية'!$N$2:$N$421,'الشؤون التنفيذية'!$B$2:$B$421,$B106,'الشؤون التنفيذية'!$G$2:$G$421,$G106,'الشؤون التنفيذية'!$I$2:$I$421,$I106)+SUMIFS('الجهاز العسكري'!$M$2:$M$631,'الجهاز العسكري'!$B$2:$B$631,$B106,'الجهاز العسكري'!$G$2:$G$631,$G106,'الجهاز العسكري'!$I$2:$I$631,$I106))/$L106,0))</f>
        <v>33</v>
      </c>
      <c r="O106" s="25" t="n">
        <f aca="false">IF($L106=0,0,ROUND((SUMIFS('المرتبطة بسمو الوزير'!$N$2:$N$151,'المرتبطة بسمو الوزير'!$B$2:$B$151,$B106,'المرتبطة بسمو الوزير'!$G$2:$G$151,$G106,'المرتبطة بسمو الوزير'!$I$2:$I$151,$I106)+SUMIFS('الشؤون التنفيذية'!$O$2:$O$421,'الشؤون التنفيذية'!$B$2:$B$421,$B106,'الشؤون التنفيذية'!$G$2:$G$421,$G106,'الشؤون التنفيذية'!$I$2:$I$421,$I106)+SUMIFS('الجهاز العسكري'!$N$2:$N$631,'الجهاز العسكري'!$B$2:$B$631,$B106,'الجهاز العسكري'!$G$2:$G$631,$G106,'الجهاز العسكري'!$I$2:$I$631,$I106))/$L106,0))</f>
        <v>95</v>
      </c>
      <c r="P106" s="22"/>
      <c r="Q106" s="19" t="n">
        <f aca="false">SUMIFS(المرجع!$G$2:$G$19,المرجع!$B$2:$B$19,$G106,المرجع!$E$2:$E$19,$I106)</f>
        <v>15</v>
      </c>
      <c r="R106" s="26" t="n">
        <f aca="false">ROUND($Q106*$N106/100,2)</f>
        <v>4.95</v>
      </c>
      <c r="S106" s="27" t="str">
        <f aca="false">IF($N106&gt;المرجع!$K$3,"متقدم",IF($N106&lt;=المرجع!$K$2,"أولي","جزئي"))</f>
        <v>جزئي</v>
      </c>
      <c r="T106" s="28" t="n">
        <f aca="false">ROUND($Q106*$O106/100,2)</f>
        <v>14.25</v>
      </c>
    </row>
    <row r="107" customFormat="false" ht="15" hidden="false" customHeight="true" outlineLevel="0" collapsed="false">
      <c r="A107" s="20" t="s">
        <v>1559</v>
      </c>
      <c r="B107" s="20" t="s">
        <v>160</v>
      </c>
      <c r="C107" s="19" t="str">
        <f aca="false">IFERROR(INDEX('قائمة الوحدات'!$B$2:$B$41,MATCH($B107,'قائمة الوحدات'!$A$2:$A$41,0)),"")</f>
        <v>EXE</v>
      </c>
      <c r="D107" s="18" t="str">
        <f aca="false">IFERROR(INDEX('قائمة الوحدات'!$C$2:$C$41,MATCH($B107,'قائمة الوحدات'!$A$2:$A$41,0)),"")</f>
        <v>الشؤون التنفيذية</v>
      </c>
      <c r="E107" s="18" t="str">
        <f aca="false">IFERROR(INDEX('قائمة الوحدات'!$D$2:$D$41,MATCH($B107,'قائمة الوحدات'!$A$2:$A$41,0)),"")</f>
        <v>وكالة الشؤون الفنية</v>
      </c>
      <c r="F107" s="18" t="str">
        <f aca="false">IFERROR(INDEX('قائمة الوحدات'!$F$2:$F$41,MATCH($B107,'قائمة الوحدات'!$A$2:$A$41,0)),"")</f>
        <v>الإدارة العامة للتخطيط والدراسات</v>
      </c>
      <c r="G107" s="20" t="s">
        <v>66</v>
      </c>
      <c r="H107" s="18" t="str">
        <f aca="false">IFERROR(INDEX(المرجع!$A$2:$A$19,MATCH($G107,المرجع!$B$2:$B$19,0)),"")</f>
        <v>التشغيل</v>
      </c>
      <c r="I107" s="20" t="s">
        <v>57</v>
      </c>
      <c r="J107" s="18" t="str">
        <f aca="false">IFERROR(INDEX(المرجع!$D$2:$D$19,MATCH($I107,المرجع!$E$2:$E$19,0)),"")</f>
        <v>الموارد</v>
      </c>
      <c r="K107" s="19" t="n">
        <f aca="false">IFERROR(INDEX(المرجع!$F$2:$F$19,MATCH($I107,المرجع!$E$2:$E$19,0)),"")</f>
        <v>5</v>
      </c>
      <c r="L107" s="19" t="n">
        <f aca="false">SUMIFS(المرجع!$H$2:$H$19,المرجع!$B$2:$B$19,$G107,المرجع!$E$2:$E$19,$I107)</f>
        <v>1</v>
      </c>
      <c r="M107" s="19" t="n">
        <f aca="false">COUNTIFS('المرتبطة بسمو الوزير'!$B$2:$B$151,$B107,'المرتبطة بسمو الوزير'!$G$2:$G$151,$G107,'المرتبطة بسمو الوزير'!$I$2:$I$151,$I107,'المرتبطة بسمو الوزير'!$M$2:$M$151,"&lt;&gt;")+COUNTIFS('الشؤون التنفيذية'!$B$2:$B$421,$B107,'الشؤون التنفيذية'!$G$2:$G$421,$G107,'الشؤون التنفيذية'!$I$2:$I$421,$I107,'الشؤون التنفيذية'!$N$2:$N$421,"&lt;&gt;")+COUNTIFS('الجهاز العسكري'!$B$2:$B$631,$B107,'الجهاز العسكري'!$G$2:$G$631,$G107,'الجهاز العسكري'!$I$2:$I$631,$I107,'الجهاز العسكري'!$M$2:$M$631,"&lt;&gt;")</f>
        <v>1</v>
      </c>
      <c r="N107" s="24" t="n">
        <f aca="false">IF($L107=0,0,ROUND((SUMIFS('المرتبطة بسمو الوزير'!$M$2:$M$151,'المرتبطة بسمو الوزير'!$B$2:$B$151,$B107,'المرتبطة بسمو الوزير'!$G$2:$G$151,$G107,'المرتبطة بسمو الوزير'!$I$2:$I$151,$I107)+SUMIFS('الشؤون التنفيذية'!$N$2:$N$421,'الشؤون التنفيذية'!$B$2:$B$421,$B107,'الشؤون التنفيذية'!$G$2:$G$421,$G107,'الشؤون التنفيذية'!$I$2:$I$421,$I107)+SUMIFS('الجهاز العسكري'!$M$2:$M$631,'الجهاز العسكري'!$B$2:$B$631,$B107,'الجهاز العسكري'!$G$2:$G$631,$G107,'الجهاز العسكري'!$I$2:$I$631,$I107))/$L107,0))</f>
        <v>24</v>
      </c>
      <c r="O107" s="25" t="n">
        <f aca="false">IF($L107=0,0,ROUND((SUMIFS('المرتبطة بسمو الوزير'!$N$2:$N$151,'المرتبطة بسمو الوزير'!$B$2:$B$151,$B107,'المرتبطة بسمو الوزير'!$G$2:$G$151,$G107,'المرتبطة بسمو الوزير'!$I$2:$I$151,$I107)+SUMIFS('الشؤون التنفيذية'!$O$2:$O$421,'الشؤون التنفيذية'!$B$2:$B$421,$B107,'الشؤون التنفيذية'!$G$2:$G$421,$G107,'الشؤون التنفيذية'!$I$2:$I$421,$I107)+SUMIFS('الجهاز العسكري'!$N$2:$N$631,'الجهاز العسكري'!$B$2:$B$631,$B107,'الجهاز العسكري'!$G$2:$G$631,$G107,'الجهاز العسكري'!$I$2:$I$631,$I107))/$L107,0))</f>
        <v>85</v>
      </c>
      <c r="P107" s="22"/>
      <c r="Q107" s="19" t="n">
        <f aca="false">SUMIFS(المرجع!$G$2:$G$19,المرجع!$B$2:$B$19,$G107,المرجع!$E$2:$E$19,$I107)</f>
        <v>15</v>
      </c>
      <c r="R107" s="26" t="n">
        <f aca="false">ROUND($Q107*$N107/100,2)</f>
        <v>3.6</v>
      </c>
      <c r="S107" s="27" t="str">
        <f aca="false">IF($N107&gt;المرجع!$K$3,"متقدم",IF($N107&lt;=المرجع!$K$2,"أولي","جزئي"))</f>
        <v>أولي</v>
      </c>
      <c r="T107" s="28" t="n">
        <f aca="false">ROUND($Q107*$O107/100,2)</f>
        <v>12.75</v>
      </c>
    </row>
    <row r="108" customFormat="false" ht="15" hidden="false" customHeight="true" outlineLevel="0" collapsed="false">
      <c r="A108" s="20" t="s">
        <v>1560</v>
      </c>
      <c r="B108" s="20" t="s">
        <v>160</v>
      </c>
      <c r="C108" s="19" t="str">
        <f aca="false">IFERROR(INDEX('قائمة الوحدات'!$B$2:$B$41,MATCH($B108,'قائمة الوحدات'!$A$2:$A$41,0)),"")</f>
        <v>EXE</v>
      </c>
      <c r="D108" s="18" t="str">
        <f aca="false">IFERROR(INDEX('قائمة الوحدات'!$C$2:$C$41,MATCH($B108,'قائمة الوحدات'!$A$2:$A$41,0)),"")</f>
        <v>الشؤون التنفيذية</v>
      </c>
      <c r="E108" s="18" t="str">
        <f aca="false">IFERROR(INDEX('قائمة الوحدات'!$D$2:$D$41,MATCH($B108,'قائمة الوحدات'!$A$2:$A$41,0)),"")</f>
        <v>وكالة الشؤون الفنية</v>
      </c>
      <c r="F108" s="18" t="str">
        <f aca="false">IFERROR(INDEX('قائمة الوحدات'!$F$2:$F$41,MATCH($B108,'قائمة الوحدات'!$A$2:$A$41,0)),"")</f>
        <v>الإدارة العامة للتخطيط والدراسات</v>
      </c>
      <c r="G108" s="20" t="s">
        <v>66</v>
      </c>
      <c r="H108" s="18" t="str">
        <f aca="false">IFERROR(INDEX(المرجع!$A$2:$A$19,MATCH($G108,المرجع!$B$2:$B$19,0)),"")</f>
        <v>التشغيل</v>
      </c>
      <c r="I108" s="20" t="s">
        <v>60</v>
      </c>
      <c r="J108" s="18" t="str">
        <f aca="false">IFERROR(INDEX(المرجع!$D$2:$D$19,MATCH($I108,المرجع!$E$2:$E$19,0)),"")</f>
        <v>الإجراءات</v>
      </c>
      <c r="K108" s="19" t="n">
        <f aca="false">IFERROR(INDEX(المرجع!$F$2:$F$19,MATCH($I108,المرجع!$E$2:$E$19,0)),"")</f>
        <v>6</v>
      </c>
      <c r="L108" s="19" t="n">
        <f aca="false">SUMIFS(المرجع!$H$2:$H$19,المرجع!$B$2:$B$19,$G108,المرجع!$E$2:$E$19,$I108)</f>
        <v>1</v>
      </c>
      <c r="M108" s="19" t="n">
        <f aca="false">COUNTIFS('المرتبطة بسمو الوزير'!$B$2:$B$151,$B108,'المرتبطة بسمو الوزير'!$G$2:$G$151,$G108,'المرتبطة بسمو الوزير'!$I$2:$I$151,$I108,'المرتبطة بسمو الوزير'!$M$2:$M$151,"&lt;&gt;")+COUNTIFS('الشؤون التنفيذية'!$B$2:$B$421,$B108,'الشؤون التنفيذية'!$G$2:$G$421,$G108,'الشؤون التنفيذية'!$I$2:$I$421,$I108,'الشؤون التنفيذية'!$N$2:$N$421,"&lt;&gt;")+COUNTIFS('الجهاز العسكري'!$B$2:$B$631,$B108,'الجهاز العسكري'!$G$2:$G$631,$G108,'الجهاز العسكري'!$I$2:$I$631,$I108,'الجهاز العسكري'!$M$2:$M$631,"&lt;&gt;")</f>
        <v>1</v>
      </c>
      <c r="N108" s="24" t="n">
        <f aca="false">IF($L108=0,0,ROUND((SUMIFS('المرتبطة بسمو الوزير'!$M$2:$M$151,'المرتبطة بسمو الوزير'!$B$2:$B$151,$B108,'المرتبطة بسمو الوزير'!$G$2:$G$151,$G108,'المرتبطة بسمو الوزير'!$I$2:$I$151,$I108)+SUMIFS('الشؤون التنفيذية'!$N$2:$N$421,'الشؤون التنفيذية'!$B$2:$B$421,$B108,'الشؤون التنفيذية'!$G$2:$G$421,$G108,'الشؤون التنفيذية'!$I$2:$I$421,$I108)+SUMIFS('الجهاز العسكري'!$M$2:$M$631,'الجهاز العسكري'!$B$2:$B$631,$B108,'الجهاز العسكري'!$G$2:$G$631,$G108,'الجهاز العسكري'!$I$2:$I$631,$I108))/$L108,0))</f>
        <v>37</v>
      </c>
      <c r="O108" s="25" t="n">
        <f aca="false">IF($L108=0,0,ROUND((SUMIFS('المرتبطة بسمو الوزير'!$N$2:$N$151,'المرتبطة بسمو الوزير'!$B$2:$B$151,$B108,'المرتبطة بسمو الوزير'!$G$2:$G$151,$G108,'المرتبطة بسمو الوزير'!$I$2:$I$151,$I108)+SUMIFS('الشؤون التنفيذية'!$O$2:$O$421,'الشؤون التنفيذية'!$B$2:$B$421,$B108,'الشؤون التنفيذية'!$G$2:$G$421,$G108,'الشؤون التنفيذية'!$I$2:$I$421,$I108)+SUMIFS('الجهاز العسكري'!$N$2:$N$631,'الجهاز العسكري'!$B$2:$B$631,$B108,'الجهاز العسكري'!$G$2:$G$631,$G108,'الجهاز العسكري'!$I$2:$I$631,$I108))/$L108,0))</f>
        <v>85</v>
      </c>
      <c r="P108" s="22"/>
      <c r="Q108" s="19" t="n">
        <f aca="false">SUMIFS(المرجع!$G$2:$G$19,المرجع!$B$2:$B$19,$G108,المرجع!$E$2:$E$19,$I108)</f>
        <v>15</v>
      </c>
      <c r="R108" s="26" t="n">
        <f aca="false">ROUND($Q108*$N108/100,2)</f>
        <v>5.55</v>
      </c>
      <c r="S108" s="27" t="str">
        <f aca="false">IF($N108&gt;المرجع!$K$3,"متقدم",IF($N108&lt;=المرجع!$K$2,"أولي","جزئي"))</f>
        <v>جزئي</v>
      </c>
      <c r="T108" s="28" t="n">
        <f aca="false">ROUND($Q108*$O108/100,2)</f>
        <v>12.75</v>
      </c>
    </row>
    <row r="109" customFormat="false" ht="15" hidden="false" customHeight="true" outlineLevel="0" collapsed="false">
      <c r="A109" s="20" t="s">
        <v>1561</v>
      </c>
      <c r="B109" s="20" t="s">
        <v>160</v>
      </c>
      <c r="C109" s="19" t="str">
        <f aca="false">IFERROR(INDEX('قائمة الوحدات'!$B$2:$B$41,MATCH($B109,'قائمة الوحدات'!$A$2:$A$41,0)),"")</f>
        <v>EXE</v>
      </c>
      <c r="D109" s="18" t="str">
        <f aca="false">IFERROR(INDEX('قائمة الوحدات'!$C$2:$C$41,MATCH($B109,'قائمة الوحدات'!$A$2:$A$41,0)),"")</f>
        <v>الشؤون التنفيذية</v>
      </c>
      <c r="E109" s="18" t="str">
        <f aca="false">IFERROR(INDEX('قائمة الوحدات'!$D$2:$D$41,MATCH($B109,'قائمة الوحدات'!$A$2:$A$41,0)),"")</f>
        <v>وكالة الشؤون الفنية</v>
      </c>
      <c r="F109" s="18" t="str">
        <f aca="false">IFERROR(INDEX('قائمة الوحدات'!$F$2:$F$41,MATCH($B109,'قائمة الوحدات'!$A$2:$A$41,0)),"")</f>
        <v>الإدارة العامة للتخطيط والدراسات</v>
      </c>
      <c r="G109" s="20" t="s">
        <v>66</v>
      </c>
      <c r="H109" s="18" t="str">
        <f aca="false">IFERROR(INDEX(المرجع!$A$2:$A$19,MATCH($G109,المرجع!$B$2:$B$19,0)),"")</f>
        <v>التشغيل</v>
      </c>
      <c r="I109" s="20" t="s">
        <v>71</v>
      </c>
      <c r="J109" s="18" t="str">
        <f aca="false">IFERROR(INDEX(المرجع!$D$2:$D$19,MATCH($I109,المرجع!$E$2:$E$19,0)),"")</f>
        <v>اكتمال المخرجات المستهدفة</v>
      </c>
      <c r="K109" s="19" t="n">
        <f aca="false">IFERROR(INDEX(المرجع!$F$2:$F$19,MATCH($I109,المرجع!$E$2:$E$19,0)),"")</f>
        <v>8</v>
      </c>
      <c r="L109" s="19" t="n">
        <f aca="false">SUMIFS(المرجع!$H$2:$H$19,المرجع!$B$2:$B$19,$G109,المرجع!$E$2:$E$19,$I109)</f>
        <v>1</v>
      </c>
      <c r="M109" s="19" t="n">
        <f aca="false">COUNTIFS('المرتبطة بسمو الوزير'!$B$2:$B$151,$B109,'المرتبطة بسمو الوزير'!$G$2:$G$151,$G109,'المرتبطة بسمو الوزير'!$I$2:$I$151,$I109,'المرتبطة بسمو الوزير'!$M$2:$M$151,"&lt;&gt;")+COUNTIFS('الشؤون التنفيذية'!$B$2:$B$421,$B109,'الشؤون التنفيذية'!$G$2:$G$421,$G109,'الشؤون التنفيذية'!$I$2:$I$421,$I109,'الشؤون التنفيذية'!$N$2:$N$421,"&lt;&gt;")+COUNTIFS('الجهاز العسكري'!$B$2:$B$631,$B109,'الجهاز العسكري'!$G$2:$G$631,$G109,'الجهاز العسكري'!$I$2:$I$631,$I109,'الجهاز العسكري'!$M$2:$M$631,"&lt;&gt;")</f>
        <v>1</v>
      </c>
      <c r="N109" s="24" t="n">
        <f aca="false">IF($L109=0,0,ROUND((SUMIFS('المرتبطة بسمو الوزير'!$M$2:$M$151,'المرتبطة بسمو الوزير'!$B$2:$B$151,$B109,'المرتبطة بسمو الوزير'!$G$2:$G$151,$G109,'المرتبطة بسمو الوزير'!$I$2:$I$151,$I109)+SUMIFS('الشؤون التنفيذية'!$N$2:$N$421,'الشؤون التنفيذية'!$B$2:$B$421,$B109,'الشؤون التنفيذية'!$G$2:$G$421,$G109,'الشؤون التنفيذية'!$I$2:$I$421,$I109)+SUMIFS('الجهاز العسكري'!$M$2:$M$631,'الجهاز العسكري'!$B$2:$B$631,$B109,'الجهاز العسكري'!$G$2:$G$631,$G109,'الجهاز العسكري'!$I$2:$I$631,$I109))/$L109,0))</f>
        <v>46</v>
      </c>
      <c r="O109" s="25" t="n">
        <f aca="false">IF($L109=0,0,ROUND((SUMIFS('المرتبطة بسمو الوزير'!$N$2:$N$151,'المرتبطة بسمو الوزير'!$B$2:$B$151,$B109,'المرتبطة بسمو الوزير'!$G$2:$G$151,$G109,'المرتبطة بسمو الوزير'!$I$2:$I$151,$I109)+SUMIFS('الشؤون التنفيذية'!$O$2:$O$421,'الشؤون التنفيذية'!$B$2:$B$421,$B109,'الشؤون التنفيذية'!$G$2:$G$421,$G109,'الشؤون التنفيذية'!$I$2:$I$421,$I109)+SUMIFS('الجهاز العسكري'!$N$2:$N$631,'الجهاز العسكري'!$B$2:$B$631,$B109,'الجهاز العسكري'!$G$2:$G$631,$G109,'الجهاز العسكري'!$I$2:$I$631,$I109))/$L109,0))</f>
        <v>80</v>
      </c>
      <c r="P109" s="22"/>
      <c r="Q109" s="19" t="n">
        <f aca="false">SUMIFS(المرجع!$G$2:$G$19,المرجع!$B$2:$B$19,$G109,المرجع!$E$2:$E$19,$I109)</f>
        <v>30</v>
      </c>
      <c r="R109" s="26" t="n">
        <f aca="false">ROUND($Q109*$N109/100,2)</f>
        <v>13.8</v>
      </c>
      <c r="S109" s="27" t="str">
        <f aca="false">IF($N109&gt;المرجع!$K$3,"متقدم",IF($N109&lt;=المرجع!$K$2,"أولي","جزئي"))</f>
        <v>جزئي</v>
      </c>
      <c r="T109" s="28" t="n">
        <f aca="false">ROUND($Q109*$O109/100,2)</f>
        <v>24</v>
      </c>
    </row>
    <row r="110" customFormat="false" ht="15" hidden="false" customHeight="true" outlineLevel="0" collapsed="false">
      <c r="A110" s="20" t="s">
        <v>1562</v>
      </c>
      <c r="B110" s="20" t="s">
        <v>166</v>
      </c>
      <c r="C110" s="19" t="str">
        <f aca="false">IFERROR(INDEX('قائمة الوحدات'!$B$2:$B$41,MATCH($B110,'قائمة الوحدات'!$A$2:$A$41,0)),"")</f>
        <v>EXE</v>
      </c>
      <c r="D110" s="18" t="str">
        <f aca="false">IFERROR(INDEX('قائمة الوحدات'!$C$2:$C$41,MATCH($B110,'قائمة الوحدات'!$A$2:$A$41,0)),"")</f>
        <v>الشؤون التنفيذية</v>
      </c>
      <c r="E110" s="18" t="str">
        <f aca="false">IFERROR(INDEX('قائمة الوحدات'!$D$2:$D$41,MATCH($B110,'قائمة الوحدات'!$A$2:$A$41,0)),"")</f>
        <v>وكالة الشؤون الفنية</v>
      </c>
      <c r="F110" s="18" t="str">
        <f aca="false">IFERROR(INDEX('قائمة الوحدات'!$F$2:$F$41,MATCH($B110,'قائمة الوحدات'!$A$2:$A$41,0)),"")</f>
        <v>الإدارة العامة للجودة والتطوير</v>
      </c>
      <c r="G110" s="20" t="s">
        <v>44</v>
      </c>
      <c r="H110" s="18" t="str">
        <f aca="false">IFERROR(INDEX(المرجع!$A$2:$A$19,MATCH($G110,المرجع!$B$2:$B$19,0)),"")</f>
        <v>التصميم</v>
      </c>
      <c r="I110" s="20" t="s">
        <v>46</v>
      </c>
      <c r="J110" s="18" t="str">
        <f aca="false">IFERROR(INDEX(المرجع!$D$2:$D$19,MATCH($I110,المرجع!$E$2:$E$19,0)),"")</f>
        <v>الدور</v>
      </c>
      <c r="K110" s="19" t="n">
        <f aca="false">IFERROR(INDEX(المرجع!$F$2:$F$19,MATCH($I110,المرجع!$E$2:$E$19,0)),"")</f>
        <v>1</v>
      </c>
      <c r="L110" s="19" t="n">
        <f aca="false">SUMIFS(المرجع!$H$2:$H$19,المرجع!$B$2:$B$19,$G110,المرجع!$E$2:$E$19,$I110)</f>
        <v>1</v>
      </c>
      <c r="M110" s="19" t="n">
        <f aca="false">COUNTIFS('المرتبطة بسمو الوزير'!$B$2:$B$151,$B110,'المرتبطة بسمو الوزير'!$G$2:$G$151,$G110,'المرتبطة بسمو الوزير'!$I$2:$I$151,$I110,'المرتبطة بسمو الوزير'!$M$2:$M$151,"&lt;&gt;")+COUNTIFS('الشؤون التنفيذية'!$B$2:$B$421,$B110,'الشؤون التنفيذية'!$G$2:$G$421,$G110,'الشؤون التنفيذية'!$I$2:$I$421,$I110,'الشؤون التنفيذية'!$N$2:$N$421,"&lt;&gt;")+COUNTIFS('الجهاز العسكري'!$B$2:$B$631,$B110,'الجهاز العسكري'!$G$2:$G$631,$G110,'الجهاز العسكري'!$I$2:$I$631,$I110,'الجهاز العسكري'!$M$2:$M$631,"&lt;&gt;")</f>
        <v>1</v>
      </c>
      <c r="N110" s="24" t="n">
        <f aca="false">IF($L110=0,0,ROUND((SUMIFS('المرتبطة بسمو الوزير'!$M$2:$M$151,'المرتبطة بسمو الوزير'!$B$2:$B$151,$B110,'المرتبطة بسمو الوزير'!$G$2:$G$151,$G110,'المرتبطة بسمو الوزير'!$I$2:$I$151,$I110)+SUMIFS('الشؤون التنفيذية'!$N$2:$N$421,'الشؤون التنفيذية'!$B$2:$B$421,$B110,'الشؤون التنفيذية'!$G$2:$G$421,$G110,'الشؤون التنفيذية'!$I$2:$I$421,$I110)+SUMIFS('الجهاز العسكري'!$M$2:$M$631,'الجهاز العسكري'!$B$2:$B$631,$B110,'الجهاز العسكري'!$G$2:$G$631,$G110,'الجهاز العسكري'!$I$2:$I$631,$I110))/$L110,0))</f>
        <v>76</v>
      </c>
      <c r="O110" s="25" t="n">
        <f aca="false">IF($L110=0,0,ROUND((SUMIFS('المرتبطة بسمو الوزير'!$N$2:$N$151,'المرتبطة بسمو الوزير'!$B$2:$B$151,$B110,'المرتبطة بسمو الوزير'!$G$2:$G$151,$G110,'المرتبطة بسمو الوزير'!$I$2:$I$151,$I110)+SUMIFS('الشؤون التنفيذية'!$O$2:$O$421,'الشؤون التنفيذية'!$B$2:$B$421,$B110,'الشؤون التنفيذية'!$G$2:$G$421,$G110,'الشؤون التنفيذية'!$I$2:$I$421,$I110)+SUMIFS('الجهاز العسكري'!$N$2:$N$631,'الجهاز العسكري'!$B$2:$B$631,$B110,'الجهاز العسكري'!$G$2:$G$631,$G110,'الجهاز العسكري'!$I$2:$I$631,$I110))/$L110,0))</f>
        <v>85</v>
      </c>
      <c r="P110" s="22"/>
      <c r="Q110" s="19" t="n">
        <f aca="false">SUMIFS(المرجع!$G$2:$G$19,المرجع!$B$2:$B$19,$G110,المرجع!$E$2:$E$19,$I110)</f>
        <v>25</v>
      </c>
      <c r="R110" s="26" t="n">
        <f aca="false">ROUND($Q110*$N110/100,2)</f>
        <v>19</v>
      </c>
      <c r="S110" s="27" t="str">
        <f aca="false">IF($N110&gt;المرجع!$K$3,"متقدم",IF($N110&lt;=المرجع!$K$2,"أولي","جزئي"))</f>
        <v>متقدم</v>
      </c>
      <c r="T110" s="28" t="n">
        <f aca="false">ROUND($Q110*$O110/100,2)</f>
        <v>21.25</v>
      </c>
    </row>
    <row r="111" customFormat="false" ht="15" hidden="false" customHeight="true" outlineLevel="0" collapsed="false">
      <c r="A111" s="20" t="s">
        <v>1563</v>
      </c>
      <c r="B111" s="20" t="s">
        <v>166</v>
      </c>
      <c r="C111" s="19" t="str">
        <f aca="false">IFERROR(INDEX('قائمة الوحدات'!$B$2:$B$41,MATCH($B111,'قائمة الوحدات'!$A$2:$A$41,0)),"")</f>
        <v>EXE</v>
      </c>
      <c r="D111" s="18" t="str">
        <f aca="false">IFERROR(INDEX('قائمة الوحدات'!$C$2:$C$41,MATCH($B111,'قائمة الوحدات'!$A$2:$A$41,0)),"")</f>
        <v>الشؤون التنفيذية</v>
      </c>
      <c r="E111" s="18" t="str">
        <f aca="false">IFERROR(INDEX('قائمة الوحدات'!$D$2:$D$41,MATCH($B111,'قائمة الوحدات'!$A$2:$A$41,0)),"")</f>
        <v>وكالة الشؤون الفنية</v>
      </c>
      <c r="F111" s="18" t="str">
        <f aca="false">IFERROR(INDEX('قائمة الوحدات'!$F$2:$F$41,MATCH($B111,'قائمة الوحدات'!$A$2:$A$41,0)),"")</f>
        <v>الإدارة العامة للجودة والتطوير</v>
      </c>
      <c r="G111" s="20" t="s">
        <v>44</v>
      </c>
      <c r="H111" s="18" t="str">
        <f aca="false">IFERROR(INDEX(المرجع!$A$2:$A$19,MATCH($G111,المرجع!$B$2:$B$19,0)),"")</f>
        <v>التصميم</v>
      </c>
      <c r="I111" s="20" t="s">
        <v>49</v>
      </c>
      <c r="J111" s="18" t="str">
        <f aca="false">IFERROR(INDEX(المرجع!$D$2:$D$19,MATCH($I111,المرجع!$E$2:$E$19,0)),"")</f>
        <v>الأهداف ومؤشرات الأداء</v>
      </c>
      <c r="K111" s="19" t="n">
        <f aca="false">IFERROR(INDEX(المرجع!$F$2:$F$19,MATCH($I111,المرجع!$E$2:$E$19,0)),"")</f>
        <v>2</v>
      </c>
      <c r="L111" s="19" t="n">
        <f aca="false">SUMIFS(المرجع!$H$2:$H$19,المرجع!$B$2:$B$19,$G111,المرجع!$E$2:$E$19,$I111)</f>
        <v>2</v>
      </c>
      <c r="M111" s="19" t="n">
        <f aca="false">COUNTIFS('المرتبطة بسمو الوزير'!$B$2:$B$151,$B111,'المرتبطة بسمو الوزير'!$G$2:$G$151,$G111,'المرتبطة بسمو الوزير'!$I$2:$I$151,$I111,'المرتبطة بسمو الوزير'!$M$2:$M$151,"&lt;&gt;")+COUNTIFS('الشؤون التنفيذية'!$B$2:$B$421,$B111,'الشؤون التنفيذية'!$G$2:$G$421,$G111,'الشؤون التنفيذية'!$I$2:$I$421,$I111,'الشؤون التنفيذية'!$N$2:$N$421,"&lt;&gt;")+COUNTIFS('الجهاز العسكري'!$B$2:$B$631,$B111,'الجهاز العسكري'!$G$2:$G$631,$G111,'الجهاز العسكري'!$I$2:$I$631,$I111,'الجهاز العسكري'!$M$2:$M$631,"&lt;&gt;")</f>
        <v>2</v>
      </c>
      <c r="N111" s="24" t="n">
        <f aca="false">IF($L111=0,0,ROUND((SUMIFS('المرتبطة بسمو الوزير'!$M$2:$M$151,'المرتبطة بسمو الوزير'!$B$2:$B$151,$B111,'المرتبطة بسمو الوزير'!$G$2:$G$151,$G111,'المرتبطة بسمو الوزير'!$I$2:$I$151,$I111)+SUMIFS('الشؤون التنفيذية'!$N$2:$N$421,'الشؤون التنفيذية'!$B$2:$B$421,$B111,'الشؤون التنفيذية'!$G$2:$G$421,$G111,'الشؤون التنفيذية'!$I$2:$I$421,$I111)+SUMIFS('الجهاز العسكري'!$M$2:$M$631,'الجهاز العسكري'!$B$2:$B$631,$B111,'الجهاز العسكري'!$G$2:$G$631,$G111,'الجهاز العسكري'!$I$2:$I$631,$I111))/$L111,0))</f>
        <v>88</v>
      </c>
      <c r="O111" s="25" t="n">
        <f aca="false">IF($L111=0,0,ROUND((SUMIFS('المرتبطة بسمو الوزير'!$N$2:$N$151,'المرتبطة بسمو الوزير'!$B$2:$B$151,$B111,'المرتبطة بسمو الوزير'!$G$2:$G$151,$G111,'المرتبطة بسمو الوزير'!$I$2:$I$151,$I111)+SUMIFS('الشؤون التنفيذية'!$O$2:$O$421,'الشؤون التنفيذية'!$B$2:$B$421,$B111,'الشؤون التنفيذية'!$G$2:$G$421,$G111,'الشؤون التنفيذية'!$I$2:$I$421,$I111)+SUMIFS('الجهاز العسكري'!$N$2:$N$631,'الجهاز العسكري'!$B$2:$B$631,$B111,'الجهاز العسكري'!$G$2:$G$631,$G111,'الجهاز العسكري'!$I$2:$I$631,$I111))/$L111,0))</f>
        <v>90</v>
      </c>
      <c r="P111" s="22"/>
      <c r="Q111" s="19" t="n">
        <f aca="false">SUMIFS(المرجع!$G$2:$G$19,المرجع!$B$2:$B$19,$G111,المرجع!$E$2:$E$19,$I111)</f>
        <v>15</v>
      </c>
      <c r="R111" s="26" t="n">
        <f aca="false">ROUND($Q111*$N111/100,2)</f>
        <v>13.2</v>
      </c>
      <c r="S111" s="27" t="str">
        <f aca="false">IF($N111&gt;المرجع!$K$3,"متقدم",IF($N111&lt;=المرجع!$K$2,"أولي","جزئي"))</f>
        <v>متقدم</v>
      </c>
      <c r="T111" s="28" t="n">
        <f aca="false">ROUND($Q111*$O111/100,2)</f>
        <v>13.5</v>
      </c>
    </row>
    <row r="112" customFormat="false" ht="15" hidden="false" customHeight="true" outlineLevel="0" collapsed="false">
      <c r="A112" s="20" t="s">
        <v>1564</v>
      </c>
      <c r="B112" s="20" t="s">
        <v>166</v>
      </c>
      <c r="C112" s="19" t="str">
        <f aca="false">IFERROR(INDEX('قائمة الوحدات'!$B$2:$B$41,MATCH($B112,'قائمة الوحدات'!$A$2:$A$41,0)),"")</f>
        <v>EXE</v>
      </c>
      <c r="D112" s="18" t="str">
        <f aca="false">IFERROR(INDEX('قائمة الوحدات'!$C$2:$C$41,MATCH($B112,'قائمة الوحدات'!$A$2:$A$41,0)),"")</f>
        <v>الشؤون التنفيذية</v>
      </c>
      <c r="E112" s="18" t="str">
        <f aca="false">IFERROR(INDEX('قائمة الوحدات'!$D$2:$D$41,MATCH($B112,'قائمة الوحدات'!$A$2:$A$41,0)),"")</f>
        <v>وكالة الشؤون الفنية</v>
      </c>
      <c r="F112" s="18" t="str">
        <f aca="false">IFERROR(INDEX('قائمة الوحدات'!$F$2:$F$41,MATCH($B112,'قائمة الوحدات'!$A$2:$A$41,0)),"")</f>
        <v>الإدارة العامة للجودة والتطوير</v>
      </c>
      <c r="G112" s="20" t="s">
        <v>44</v>
      </c>
      <c r="H112" s="18" t="str">
        <f aca="false">IFERROR(INDEX(المرجع!$A$2:$A$19,MATCH($G112,المرجع!$B$2:$B$19,0)),"")</f>
        <v>التصميم</v>
      </c>
      <c r="I112" s="20" t="s">
        <v>52</v>
      </c>
      <c r="J112" s="18" t="str">
        <f aca="false">IFERROR(INDEX(المرجع!$D$2:$D$19,MATCH($I112,المرجع!$E$2:$E$19,0)),"")</f>
        <v>الحوكمة</v>
      </c>
      <c r="K112" s="19" t="n">
        <f aca="false">IFERROR(INDEX(المرجع!$F$2:$F$19,MATCH($I112,المرجع!$E$2:$E$19,0)),"")</f>
        <v>3</v>
      </c>
      <c r="L112" s="19" t="n">
        <f aca="false">SUMIFS(المرجع!$H$2:$H$19,المرجع!$B$2:$B$19,$G112,المرجع!$E$2:$E$19,$I112)</f>
        <v>1</v>
      </c>
      <c r="M112" s="19" t="n">
        <f aca="false">COUNTIFS('المرتبطة بسمو الوزير'!$B$2:$B$151,$B112,'المرتبطة بسمو الوزير'!$G$2:$G$151,$G112,'المرتبطة بسمو الوزير'!$I$2:$I$151,$I112,'المرتبطة بسمو الوزير'!$M$2:$M$151,"&lt;&gt;")+COUNTIFS('الشؤون التنفيذية'!$B$2:$B$421,$B112,'الشؤون التنفيذية'!$G$2:$G$421,$G112,'الشؤون التنفيذية'!$I$2:$I$421,$I112,'الشؤون التنفيذية'!$N$2:$N$421,"&lt;&gt;")+COUNTIFS('الجهاز العسكري'!$B$2:$B$631,$B112,'الجهاز العسكري'!$G$2:$G$631,$G112,'الجهاز العسكري'!$I$2:$I$631,$I112,'الجهاز العسكري'!$M$2:$M$631,"&lt;&gt;")</f>
        <v>1</v>
      </c>
      <c r="N112" s="24" t="n">
        <f aca="false">IF($L112=0,0,ROUND((SUMIFS('المرتبطة بسمو الوزير'!$M$2:$M$151,'المرتبطة بسمو الوزير'!$B$2:$B$151,$B112,'المرتبطة بسمو الوزير'!$G$2:$G$151,$G112,'المرتبطة بسمو الوزير'!$I$2:$I$151,$I112)+SUMIFS('الشؤون التنفيذية'!$N$2:$N$421,'الشؤون التنفيذية'!$B$2:$B$421,$B112,'الشؤون التنفيذية'!$G$2:$G$421,$G112,'الشؤون التنفيذية'!$I$2:$I$421,$I112)+SUMIFS('الجهاز العسكري'!$M$2:$M$631,'الجهاز العسكري'!$B$2:$B$631,$B112,'الجهاز العسكري'!$G$2:$G$631,$G112,'الجهاز العسكري'!$I$2:$I$631,$I112))/$L112,0))</f>
        <v>85</v>
      </c>
      <c r="O112" s="25" t="n">
        <f aca="false">IF($L112=0,0,ROUND((SUMIFS('المرتبطة بسمو الوزير'!$N$2:$N$151,'المرتبطة بسمو الوزير'!$B$2:$B$151,$B112,'المرتبطة بسمو الوزير'!$G$2:$G$151,$G112,'المرتبطة بسمو الوزير'!$I$2:$I$151,$I112)+SUMIFS('الشؤون التنفيذية'!$O$2:$O$421,'الشؤون التنفيذية'!$B$2:$B$421,$B112,'الشؤون التنفيذية'!$G$2:$G$421,$G112,'الشؤون التنفيذية'!$I$2:$I$421,$I112)+SUMIFS('الجهاز العسكري'!$N$2:$N$631,'الجهاز العسكري'!$B$2:$B$631,$B112,'الجهاز العسكري'!$G$2:$G$631,$G112,'الجهاز العسكري'!$I$2:$I$631,$I112))/$L112,0))</f>
        <v>100</v>
      </c>
      <c r="P112" s="22"/>
      <c r="Q112" s="19" t="n">
        <f aca="false">SUMIFS(المرجع!$G$2:$G$19,المرجع!$B$2:$B$19,$G112,المرجع!$E$2:$E$19,$I112)</f>
        <v>15</v>
      </c>
      <c r="R112" s="26" t="n">
        <f aca="false">ROUND($Q112*$N112/100,2)</f>
        <v>12.75</v>
      </c>
      <c r="S112" s="27" t="str">
        <f aca="false">IF($N112&gt;المرجع!$K$3,"متقدم",IF($N112&lt;=المرجع!$K$2,"أولي","جزئي"))</f>
        <v>متقدم</v>
      </c>
      <c r="T112" s="28" t="n">
        <f aca="false">ROUND($Q112*$O112/100,2)</f>
        <v>15</v>
      </c>
    </row>
    <row r="113" customFormat="false" ht="15" hidden="false" customHeight="true" outlineLevel="0" collapsed="false">
      <c r="A113" s="20" t="s">
        <v>1565</v>
      </c>
      <c r="B113" s="20" t="s">
        <v>166</v>
      </c>
      <c r="C113" s="19" t="str">
        <f aca="false">IFERROR(INDEX('قائمة الوحدات'!$B$2:$B$41,MATCH($B113,'قائمة الوحدات'!$A$2:$A$41,0)),"")</f>
        <v>EXE</v>
      </c>
      <c r="D113" s="18" t="str">
        <f aca="false">IFERROR(INDEX('قائمة الوحدات'!$C$2:$C$41,MATCH($B113,'قائمة الوحدات'!$A$2:$A$41,0)),"")</f>
        <v>الشؤون التنفيذية</v>
      </c>
      <c r="E113" s="18" t="str">
        <f aca="false">IFERROR(INDEX('قائمة الوحدات'!$D$2:$D$41,MATCH($B113,'قائمة الوحدات'!$A$2:$A$41,0)),"")</f>
        <v>وكالة الشؤون الفنية</v>
      </c>
      <c r="F113" s="18" t="str">
        <f aca="false">IFERROR(INDEX('قائمة الوحدات'!$F$2:$F$41,MATCH($B113,'قائمة الوحدات'!$A$2:$A$41,0)),"")</f>
        <v>الإدارة العامة للجودة والتطوير</v>
      </c>
      <c r="G113" s="20" t="s">
        <v>44</v>
      </c>
      <c r="H113" s="18" t="str">
        <f aca="false">IFERROR(INDEX(المرجع!$A$2:$A$19,MATCH($G113,المرجع!$B$2:$B$19,0)),"")</f>
        <v>التصميم</v>
      </c>
      <c r="I113" s="20" t="s">
        <v>55</v>
      </c>
      <c r="J113" s="18" t="str">
        <f aca="false">IFERROR(INDEX(المرجع!$D$2:$D$19,MATCH($I113,المرجع!$E$2:$E$19,0)),"")</f>
        <v>التنظيم</v>
      </c>
      <c r="K113" s="19" t="n">
        <f aca="false">IFERROR(INDEX(المرجع!$F$2:$F$19,MATCH($I113,المرجع!$E$2:$E$19,0)),"")</f>
        <v>4</v>
      </c>
      <c r="L113" s="19" t="n">
        <f aca="false">SUMIFS(المرجع!$H$2:$H$19,المرجع!$B$2:$B$19,$G113,المرجع!$E$2:$E$19,$I113)</f>
        <v>1</v>
      </c>
      <c r="M113" s="19" t="n">
        <f aca="false">COUNTIFS('المرتبطة بسمو الوزير'!$B$2:$B$151,$B113,'المرتبطة بسمو الوزير'!$G$2:$G$151,$G113,'المرتبطة بسمو الوزير'!$I$2:$I$151,$I113,'المرتبطة بسمو الوزير'!$M$2:$M$151,"&lt;&gt;")+COUNTIFS('الشؤون التنفيذية'!$B$2:$B$421,$B113,'الشؤون التنفيذية'!$G$2:$G$421,$G113,'الشؤون التنفيذية'!$I$2:$I$421,$I113,'الشؤون التنفيذية'!$N$2:$N$421,"&lt;&gt;")+COUNTIFS('الجهاز العسكري'!$B$2:$B$631,$B113,'الجهاز العسكري'!$G$2:$G$631,$G113,'الجهاز العسكري'!$I$2:$I$631,$I113,'الجهاز العسكري'!$M$2:$M$631,"&lt;&gt;")</f>
        <v>1</v>
      </c>
      <c r="N113" s="24" t="n">
        <f aca="false">IF($L113=0,0,ROUND((SUMIFS('المرتبطة بسمو الوزير'!$M$2:$M$151,'المرتبطة بسمو الوزير'!$B$2:$B$151,$B113,'المرتبطة بسمو الوزير'!$G$2:$G$151,$G113,'المرتبطة بسمو الوزير'!$I$2:$I$151,$I113)+SUMIFS('الشؤون التنفيذية'!$N$2:$N$421,'الشؤون التنفيذية'!$B$2:$B$421,$B113,'الشؤون التنفيذية'!$G$2:$G$421,$G113,'الشؤون التنفيذية'!$I$2:$I$421,$I113)+SUMIFS('الجهاز العسكري'!$M$2:$M$631,'الجهاز العسكري'!$B$2:$B$631,$B113,'الجهاز العسكري'!$G$2:$G$631,$G113,'الجهاز العسكري'!$I$2:$I$631,$I113))/$L113,0))</f>
        <v>74</v>
      </c>
      <c r="O113" s="25" t="n">
        <f aca="false">IF($L113=0,0,ROUND((SUMIFS('المرتبطة بسمو الوزير'!$N$2:$N$151,'المرتبطة بسمو الوزير'!$B$2:$B$151,$B113,'المرتبطة بسمو الوزير'!$G$2:$G$151,$G113,'المرتبطة بسمو الوزير'!$I$2:$I$151,$I113)+SUMIFS('الشؤون التنفيذية'!$O$2:$O$421,'الشؤون التنفيذية'!$B$2:$B$421,$B113,'الشؤون التنفيذية'!$G$2:$G$421,$G113,'الشؤون التنفيذية'!$I$2:$I$421,$I113)+SUMIFS('الجهاز العسكري'!$N$2:$N$631,'الجهاز العسكري'!$B$2:$B$631,$B113,'الجهاز العسكري'!$G$2:$G$631,$G113,'الجهاز العسكري'!$I$2:$I$631,$I113))/$L113,0))</f>
        <v>85</v>
      </c>
      <c r="P113" s="22"/>
      <c r="Q113" s="19" t="n">
        <f aca="false">SUMIFS(المرجع!$G$2:$G$19,المرجع!$B$2:$B$19,$G113,المرجع!$E$2:$E$19,$I113)</f>
        <v>20</v>
      </c>
      <c r="R113" s="26" t="n">
        <f aca="false">ROUND($Q113*$N113/100,2)</f>
        <v>14.8</v>
      </c>
      <c r="S113" s="27" t="str">
        <f aca="false">IF($N113&gt;المرجع!$K$3,"متقدم",IF($N113&lt;=المرجع!$K$2,"أولي","جزئي"))</f>
        <v>متقدم</v>
      </c>
      <c r="T113" s="28" t="n">
        <f aca="false">ROUND($Q113*$O113/100,2)</f>
        <v>17</v>
      </c>
    </row>
    <row r="114" customFormat="false" ht="15" hidden="false" customHeight="true" outlineLevel="0" collapsed="false">
      <c r="A114" s="20" t="s">
        <v>1566</v>
      </c>
      <c r="B114" s="20" t="s">
        <v>166</v>
      </c>
      <c r="C114" s="19" t="str">
        <f aca="false">IFERROR(INDEX('قائمة الوحدات'!$B$2:$B$41,MATCH($B114,'قائمة الوحدات'!$A$2:$A$41,0)),"")</f>
        <v>EXE</v>
      </c>
      <c r="D114" s="18" t="str">
        <f aca="false">IFERROR(INDEX('قائمة الوحدات'!$C$2:$C$41,MATCH($B114,'قائمة الوحدات'!$A$2:$A$41,0)),"")</f>
        <v>الشؤون التنفيذية</v>
      </c>
      <c r="E114" s="18" t="str">
        <f aca="false">IFERROR(INDEX('قائمة الوحدات'!$D$2:$D$41,MATCH($B114,'قائمة الوحدات'!$A$2:$A$41,0)),"")</f>
        <v>وكالة الشؤون الفنية</v>
      </c>
      <c r="F114" s="18" t="str">
        <f aca="false">IFERROR(INDEX('قائمة الوحدات'!$F$2:$F$41,MATCH($B114,'قائمة الوحدات'!$A$2:$A$41,0)),"")</f>
        <v>الإدارة العامة للجودة والتطوير</v>
      </c>
      <c r="G114" s="20" t="s">
        <v>44</v>
      </c>
      <c r="H114" s="18" t="str">
        <f aca="false">IFERROR(INDEX(المرجع!$A$2:$A$19,MATCH($G114,المرجع!$B$2:$B$19,0)),"")</f>
        <v>التصميم</v>
      </c>
      <c r="I114" s="20" t="s">
        <v>57</v>
      </c>
      <c r="J114" s="18" t="str">
        <f aca="false">IFERROR(INDEX(المرجع!$D$2:$D$19,MATCH($I114,المرجع!$E$2:$E$19,0)),"")</f>
        <v>الموارد</v>
      </c>
      <c r="K114" s="19" t="n">
        <f aca="false">IFERROR(INDEX(المرجع!$F$2:$F$19,MATCH($I114,المرجع!$E$2:$E$19,0)),"")</f>
        <v>5</v>
      </c>
      <c r="L114" s="19" t="n">
        <f aca="false">SUMIFS(المرجع!$H$2:$H$19,المرجع!$B$2:$B$19,$G114,المرجع!$E$2:$E$19,$I114)</f>
        <v>1</v>
      </c>
      <c r="M114" s="19" t="n">
        <f aca="false">COUNTIFS('المرتبطة بسمو الوزير'!$B$2:$B$151,$B114,'المرتبطة بسمو الوزير'!$G$2:$G$151,$G114,'المرتبطة بسمو الوزير'!$I$2:$I$151,$I114,'المرتبطة بسمو الوزير'!$M$2:$M$151,"&lt;&gt;")+COUNTIFS('الشؤون التنفيذية'!$B$2:$B$421,$B114,'الشؤون التنفيذية'!$G$2:$G$421,$G114,'الشؤون التنفيذية'!$I$2:$I$421,$I114,'الشؤون التنفيذية'!$N$2:$N$421,"&lt;&gt;")+COUNTIFS('الجهاز العسكري'!$B$2:$B$631,$B114,'الجهاز العسكري'!$G$2:$G$631,$G114,'الجهاز العسكري'!$I$2:$I$631,$I114,'الجهاز العسكري'!$M$2:$M$631,"&lt;&gt;")</f>
        <v>1</v>
      </c>
      <c r="N114" s="24" t="n">
        <f aca="false">IF($L114=0,0,ROUND((SUMIFS('المرتبطة بسمو الوزير'!$M$2:$M$151,'المرتبطة بسمو الوزير'!$B$2:$B$151,$B114,'المرتبطة بسمو الوزير'!$G$2:$G$151,$G114,'المرتبطة بسمو الوزير'!$I$2:$I$151,$I114)+SUMIFS('الشؤون التنفيذية'!$N$2:$N$421,'الشؤون التنفيذية'!$B$2:$B$421,$B114,'الشؤون التنفيذية'!$G$2:$G$421,$G114,'الشؤون التنفيذية'!$I$2:$I$421,$I114)+SUMIFS('الجهاز العسكري'!$M$2:$M$631,'الجهاز العسكري'!$B$2:$B$631,$B114,'الجهاز العسكري'!$G$2:$G$631,$G114,'الجهاز العسكري'!$I$2:$I$631,$I114))/$L114,0))</f>
        <v>90</v>
      </c>
      <c r="O114" s="25" t="n">
        <f aca="false">IF($L114=0,0,ROUND((SUMIFS('المرتبطة بسمو الوزير'!$N$2:$N$151,'المرتبطة بسمو الوزير'!$B$2:$B$151,$B114,'المرتبطة بسمو الوزير'!$G$2:$G$151,$G114,'المرتبطة بسمو الوزير'!$I$2:$I$151,$I114)+SUMIFS('الشؤون التنفيذية'!$O$2:$O$421,'الشؤون التنفيذية'!$B$2:$B$421,$B114,'الشؤون التنفيذية'!$G$2:$G$421,$G114,'الشؤون التنفيذية'!$I$2:$I$421,$I114)+SUMIFS('الجهاز العسكري'!$N$2:$N$631,'الجهاز العسكري'!$B$2:$B$631,$B114,'الجهاز العسكري'!$G$2:$G$631,$G114,'الجهاز العسكري'!$I$2:$I$631,$I114))/$L114,0))</f>
        <v>90</v>
      </c>
      <c r="P114" s="22"/>
      <c r="Q114" s="19" t="n">
        <f aca="false">SUMIFS(المرجع!$G$2:$G$19,المرجع!$B$2:$B$19,$G114,المرجع!$E$2:$E$19,$I114)</f>
        <v>20</v>
      </c>
      <c r="R114" s="26" t="n">
        <f aca="false">ROUND($Q114*$N114/100,2)</f>
        <v>18</v>
      </c>
      <c r="S114" s="27" t="str">
        <f aca="false">IF($N114&gt;المرجع!$K$3,"متقدم",IF($N114&lt;=المرجع!$K$2,"أولي","جزئي"))</f>
        <v>متقدم</v>
      </c>
      <c r="T114" s="28" t="n">
        <f aca="false">ROUND($Q114*$O114/100,2)</f>
        <v>18</v>
      </c>
    </row>
    <row r="115" customFormat="false" ht="15" hidden="false" customHeight="true" outlineLevel="0" collapsed="false">
      <c r="A115" s="20" t="s">
        <v>1567</v>
      </c>
      <c r="B115" s="20" t="s">
        <v>166</v>
      </c>
      <c r="C115" s="19" t="str">
        <f aca="false">IFERROR(INDEX('قائمة الوحدات'!$B$2:$B$41,MATCH($B115,'قائمة الوحدات'!$A$2:$A$41,0)),"")</f>
        <v>EXE</v>
      </c>
      <c r="D115" s="18" t="str">
        <f aca="false">IFERROR(INDEX('قائمة الوحدات'!$C$2:$C$41,MATCH($B115,'قائمة الوحدات'!$A$2:$A$41,0)),"")</f>
        <v>الشؤون التنفيذية</v>
      </c>
      <c r="E115" s="18" t="str">
        <f aca="false">IFERROR(INDEX('قائمة الوحدات'!$D$2:$D$41,MATCH($B115,'قائمة الوحدات'!$A$2:$A$41,0)),"")</f>
        <v>وكالة الشؤون الفنية</v>
      </c>
      <c r="F115" s="18" t="str">
        <f aca="false">IFERROR(INDEX('قائمة الوحدات'!$F$2:$F$41,MATCH($B115,'قائمة الوحدات'!$A$2:$A$41,0)),"")</f>
        <v>الإدارة العامة للجودة والتطوير</v>
      </c>
      <c r="G115" s="20" t="s">
        <v>44</v>
      </c>
      <c r="H115" s="18" t="str">
        <f aca="false">IFERROR(INDEX(المرجع!$A$2:$A$19,MATCH($G115,المرجع!$B$2:$B$19,0)),"")</f>
        <v>التصميم</v>
      </c>
      <c r="I115" s="20" t="s">
        <v>60</v>
      </c>
      <c r="J115" s="18" t="str">
        <f aca="false">IFERROR(INDEX(المرجع!$D$2:$D$19,MATCH($I115,المرجع!$E$2:$E$19,0)),"")</f>
        <v>الإجراءات</v>
      </c>
      <c r="K115" s="19" t="n">
        <f aca="false">IFERROR(INDEX(المرجع!$F$2:$F$19,MATCH($I115,المرجع!$E$2:$E$19,0)),"")</f>
        <v>6</v>
      </c>
      <c r="L115" s="19" t="n">
        <f aca="false">SUMIFS(المرجع!$H$2:$H$19,المرجع!$B$2:$B$19,$G115,المرجع!$E$2:$E$19,$I115)</f>
        <v>1</v>
      </c>
      <c r="M115" s="19" t="n">
        <f aca="false">COUNTIFS('المرتبطة بسمو الوزير'!$B$2:$B$151,$B115,'المرتبطة بسمو الوزير'!$G$2:$G$151,$G115,'المرتبطة بسمو الوزير'!$I$2:$I$151,$I115,'المرتبطة بسمو الوزير'!$M$2:$M$151,"&lt;&gt;")+COUNTIFS('الشؤون التنفيذية'!$B$2:$B$421,$B115,'الشؤون التنفيذية'!$G$2:$G$421,$G115,'الشؤون التنفيذية'!$I$2:$I$421,$I115,'الشؤون التنفيذية'!$N$2:$N$421,"&lt;&gt;")+COUNTIFS('الجهاز العسكري'!$B$2:$B$631,$B115,'الجهاز العسكري'!$G$2:$G$631,$G115,'الجهاز العسكري'!$I$2:$I$631,$I115,'الجهاز العسكري'!$M$2:$M$631,"&lt;&gt;")</f>
        <v>1</v>
      </c>
      <c r="N115" s="24" t="n">
        <f aca="false">IF($L115=0,0,ROUND((SUMIFS('المرتبطة بسمو الوزير'!$M$2:$M$151,'المرتبطة بسمو الوزير'!$B$2:$B$151,$B115,'المرتبطة بسمو الوزير'!$G$2:$G$151,$G115,'المرتبطة بسمو الوزير'!$I$2:$I$151,$I115)+SUMIFS('الشؤون التنفيذية'!$N$2:$N$421,'الشؤون التنفيذية'!$B$2:$B$421,$B115,'الشؤون التنفيذية'!$G$2:$G$421,$G115,'الشؤون التنفيذية'!$I$2:$I$421,$I115)+SUMIFS('الجهاز العسكري'!$M$2:$M$631,'الجهاز العسكري'!$B$2:$B$631,$B115,'الجهاز العسكري'!$G$2:$G$631,$G115,'الجهاز العسكري'!$I$2:$I$631,$I115))/$L115,0))</f>
        <v>83</v>
      </c>
      <c r="O115" s="25" t="n">
        <f aca="false">IF($L115=0,0,ROUND((SUMIFS('المرتبطة بسمو الوزير'!$N$2:$N$151,'المرتبطة بسمو الوزير'!$B$2:$B$151,$B115,'المرتبطة بسمو الوزير'!$G$2:$G$151,$G115,'المرتبطة بسمو الوزير'!$I$2:$I$151,$I115)+SUMIFS('الشؤون التنفيذية'!$O$2:$O$421,'الشؤون التنفيذية'!$B$2:$B$421,$B115,'الشؤون التنفيذية'!$G$2:$G$421,$G115,'الشؤون التنفيذية'!$I$2:$I$421,$I115)+SUMIFS('الجهاز العسكري'!$N$2:$N$631,'الجهاز العسكري'!$B$2:$B$631,$B115,'الجهاز العسكري'!$G$2:$G$631,$G115,'الجهاز العسكري'!$I$2:$I$631,$I115))/$L115,0))</f>
        <v>95</v>
      </c>
      <c r="P115" s="22"/>
      <c r="Q115" s="19" t="n">
        <f aca="false">SUMIFS(المرجع!$G$2:$G$19,المرجع!$B$2:$B$19,$G115,المرجع!$E$2:$E$19,$I115)</f>
        <v>5</v>
      </c>
      <c r="R115" s="26" t="n">
        <f aca="false">ROUND($Q115*$N115/100,2)</f>
        <v>4.15</v>
      </c>
      <c r="S115" s="27" t="str">
        <f aca="false">IF($N115&gt;المرجع!$K$3,"متقدم",IF($N115&lt;=المرجع!$K$2,"أولي","جزئي"))</f>
        <v>متقدم</v>
      </c>
      <c r="T115" s="28" t="n">
        <f aca="false">ROUND($Q115*$O115/100,2)</f>
        <v>4.75</v>
      </c>
    </row>
    <row r="116" customFormat="false" ht="15" hidden="false" customHeight="true" outlineLevel="0" collapsed="false">
      <c r="A116" s="20" t="s">
        <v>1568</v>
      </c>
      <c r="B116" s="20" t="s">
        <v>166</v>
      </c>
      <c r="C116" s="19" t="str">
        <f aca="false">IFERROR(INDEX('قائمة الوحدات'!$B$2:$B$41,MATCH($B116,'قائمة الوحدات'!$A$2:$A$41,0)),"")</f>
        <v>EXE</v>
      </c>
      <c r="D116" s="18" t="str">
        <f aca="false">IFERROR(INDEX('قائمة الوحدات'!$C$2:$C$41,MATCH($B116,'قائمة الوحدات'!$A$2:$A$41,0)),"")</f>
        <v>الشؤون التنفيذية</v>
      </c>
      <c r="E116" s="18" t="str">
        <f aca="false">IFERROR(INDEX('قائمة الوحدات'!$D$2:$D$41,MATCH($B116,'قائمة الوحدات'!$A$2:$A$41,0)),"")</f>
        <v>وكالة الشؤون الفنية</v>
      </c>
      <c r="F116" s="18" t="str">
        <f aca="false">IFERROR(INDEX('قائمة الوحدات'!$F$2:$F$41,MATCH($B116,'قائمة الوحدات'!$A$2:$A$41,0)),"")</f>
        <v>الإدارة العامة للجودة والتطوير</v>
      </c>
      <c r="G116" s="20" t="s">
        <v>62</v>
      </c>
      <c r="H116" s="18" t="str">
        <f aca="false">IFERROR(INDEX(المرجع!$A$2:$A$19,MATCH($G116,المرجع!$B$2:$B$19,0)),"")</f>
        <v>البناء المؤسسي</v>
      </c>
      <c r="I116" s="20" t="s">
        <v>46</v>
      </c>
      <c r="J116" s="18" t="str">
        <f aca="false">IFERROR(INDEX(المرجع!$D$2:$D$19,MATCH($I116,المرجع!$E$2:$E$19,0)),"")</f>
        <v>الدور</v>
      </c>
      <c r="K116" s="19" t="n">
        <f aca="false">IFERROR(INDEX(المرجع!$F$2:$F$19,MATCH($I116,المرجع!$E$2:$E$19,0)),"")</f>
        <v>1</v>
      </c>
      <c r="L116" s="19" t="n">
        <f aca="false">SUMIFS(المرجع!$H$2:$H$19,المرجع!$B$2:$B$19,$G116,المرجع!$E$2:$E$19,$I116)</f>
        <v>1</v>
      </c>
      <c r="M116" s="19" t="n">
        <f aca="false">COUNTIFS('المرتبطة بسمو الوزير'!$B$2:$B$151,$B116,'المرتبطة بسمو الوزير'!$G$2:$G$151,$G116,'المرتبطة بسمو الوزير'!$I$2:$I$151,$I116,'المرتبطة بسمو الوزير'!$M$2:$M$151,"&lt;&gt;")+COUNTIFS('الشؤون التنفيذية'!$B$2:$B$421,$B116,'الشؤون التنفيذية'!$G$2:$G$421,$G116,'الشؤون التنفيذية'!$I$2:$I$421,$I116,'الشؤون التنفيذية'!$N$2:$N$421,"&lt;&gt;")+COUNTIFS('الجهاز العسكري'!$B$2:$B$631,$B116,'الجهاز العسكري'!$G$2:$G$631,$G116,'الجهاز العسكري'!$I$2:$I$631,$I116,'الجهاز العسكري'!$M$2:$M$631,"&lt;&gt;")</f>
        <v>1</v>
      </c>
      <c r="N116" s="24" t="n">
        <f aca="false">IF($L116=0,0,ROUND((SUMIFS('المرتبطة بسمو الوزير'!$M$2:$M$151,'المرتبطة بسمو الوزير'!$B$2:$B$151,$B116,'المرتبطة بسمو الوزير'!$G$2:$G$151,$G116,'المرتبطة بسمو الوزير'!$I$2:$I$151,$I116)+SUMIFS('الشؤون التنفيذية'!$N$2:$N$421,'الشؤون التنفيذية'!$B$2:$B$421,$B116,'الشؤون التنفيذية'!$G$2:$G$421,$G116,'الشؤون التنفيذية'!$I$2:$I$421,$I116)+SUMIFS('الجهاز العسكري'!$M$2:$M$631,'الجهاز العسكري'!$B$2:$B$631,$B116,'الجهاز العسكري'!$G$2:$G$631,$G116,'الجهاز العسكري'!$I$2:$I$631,$I116))/$L116,0))</f>
        <v>73</v>
      </c>
      <c r="O116" s="25" t="n">
        <f aca="false">IF($L116=0,0,ROUND((SUMIFS('المرتبطة بسمو الوزير'!$N$2:$N$151,'المرتبطة بسمو الوزير'!$B$2:$B$151,$B116,'المرتبطة بسمو الوزير'!$G$2:$G$151,$G116,'المرتبطة بسمو الوزير'!$I$2:$I$151,$I116)+SUMIFS('الشؤون التنفيذية'!$O$2:$O$421,'الشؤون التنفيذية'!$B$2:$B$421,$B116,'الشؤون التنفيذية'!$G$2:$G$421,$G116,'الشؤون التنفيذية'!$I$2:$I$421,$I116)+SUMIFS('الجهاز العسكري'!$N$2:$N$631,'الجهاز العسكري'!$B$2:$B$631,$B116,'الجهاز العسكري'!$G$2:$G$631,$G116,'الجهاز العسكري'!$I$2:$I$631,$I116))/$L116,0))</f>
        <v>100</v>
      </c>
      <c r="P116" s="22"/>
      <c r="Q116" s="19" t="n">
        <f aca="false">SUMIFS(المرجع!$G$2:$G$19,المرجع!$B$2:$B$19,$G116,المرجع!$E$2:$E$19,$I116)</f>
        <v>15</v>
      </c>
      <c r="R116" s="26" t="n">
        <f aca="false">ROUND($Q116*$N116/100,2)</f>
        <v>10.95</v>
      </c>
      <c r="S116" s="27" t="str">
        <f aca="false">IF($N116&gt;المرجع!$K$3,"متقدم",IF($N116&lt;=المرجع!$K$2,"أولي","جزئي"))</f>
        <v>متقدم</v>
      </c>
      <c r="T116" s="28" t="n">
        <f aca="false">ROUND($Q116*$O116/100,2)</f>
        <v>15</v>
      </c>
    </row>
    <row r="117" customFormat="false" ht="15" hidden="false" customHeight="true" outlineLevel="0" collapsed="false">
      <c r="A117" s="20" t="s">
        <v>1569</v>
      </c>
      <c r="B117" s="20" t="s">
        <v>166</v>
      </c>
      <c r="C117" s="19" t="str">
        <f aca="false">IFERROR(INDEX('قائمة الوحدات'!$B$2:$B$41,MATCH($B117,'قائمة الوحدات'!$A$2:$A$41,0)),"")</f>
        <v>EXE</v>
      </c>
      <c r="D117" s="18" t="str">
        <f aca="false">IFERROR(INDEX('قائمة الوحدات'!$C$2:$C$41,MATCH($B117,'قائمة الوحدات'!$A$2:$A$41,0)),"")</f>
        <v>الشؤون التنفيذية</v>
      </c>
      <c r="E117" s="18" t="str">
        <f aca="false">IFERROR(INDEX('قائمة الوحدات'!$D$2:$D$41,MATCH($B117,'قائمة الوحدات'!$A$2:$A$41,0)),"")</f>
        <v>وكالة الشؤون الفنية</v>
      </c>
      <c r="F117" s="18" t="str">
        <f aca="false">IFERROR(INDEX('قائمة الوحدات'!$F$2:$F$41,MATCH($B117,'قائمة الوحدات'!$A$2:$A$41,0)),"")</f>
        <v>الإدارة العامة للجودة والتطوير</v>
      </c>
      <c r="G117" s="20" t="s">
        <v>62</v>
      </c>
      <c r="H117" s="18" t="str">
        <f aca="false">IFERROR(INDEX(المرجع!$A$2:$A$19,MATCH($G117,المرجع!$B$2:$B$19,0)),"")</f>
        <v>البناء المؤسسي</v>
      </c>
      <c r="I117" s="20" t="s">
        <v>49</v>
      </c>
      <c r="J117" s="18" t="str">
        <f aca="false">IFERROR(INDEX(المرجع!$D$2:$D$19,MATCH($I117,المرجع!$E$2:$E$19,0)),"")</f>
        <v>الأهداف ومؤشرات الأداء</v>
      </c>
      <c r="K117" s="19" t="n">
        <f aca="false">IFERROR(INDEX(المرجع!$F$2:$F$19,MATCH($I117,المرجع!$E$2:$E$19,0)),"")</f>
        <v>2</v>
      </c>
      <c r="L117" s="19" t="n">
        <f aca="false">SUMIFS(المرجع!$H$2:$H$19,المرجع!$B$2:$B$19,$G117,المرجع!$E$2:$E$19,$I117)</f>
        <v>2</v>
      </c>
      <c r="M117" s="19" t="n">
        <f aca="false">COUNTIFS('المرتبطة بسمو الوزير'!$B$2:$B$151,$B117,'المرتبطة بسمو الوزير'!$G$2:$G$151,$G117,'المرتبطة بسمو الوزير'!$I$2:$I$151,$I117,'المرتبطة بسمو الوزير'!$M$2:$M$151,"&lt;&gt;")+COUNTIFS('الشؤون التنفيذية'!$B$2:$B$421,$B117,'الشؤون التنفيذية'!$G$2:$G$421,$G117,'الشؤون التنفيذية'!$I$2:$I$421,$I117,'الشؤون التنفيذية'!$N$2:$N$421,"&lt;&gt;")+COUNTIFS('الجهاز العسكري'!$B$2:$B$631,$B117,'الجهاز العسكري'!$G$2:$G$631,$G117,'الجهاز العسكري'!$I$2:$I$631,$I117,'الجهاز العسكري'!$M$2:$M$631,"&lt;&gt;")</f>
        <v>2</v>
      </c>
      <c r="N117" s="24" t="n">
        <f aca="false">IF($L117=0,0,ROUND((SUMIFS('المرتبطة بسمو الوزير'!$M$2:$M$151,'المرتبطة بسمو الوزير'!$B$2:$B$151,$B117,'المرتبطة بسمو الوزير'!$G$2:$G$151,$G117,'المرتبطة بسمو الوزير'!$I$2:$I$151,$I117)+SUMIFS('الشؤون التنفيذية'!$N$2:$N$421,'الشؤون التنفيذية'!$B$2:$B$421,$B117,'الشؤون التنفيذية'!$G$2:$G$421,$G117,'الشؤون التنفيذية'!$I$2:$I$421,$I117)+SUMIFS('الجهاز العسكري'!$M$2:$M$631,'الجهاز العسكري'!$B$2:$B$631,$B117,'الجهاز العسكري'!$G$2:$G$631,$G117,'الجهاز العسكري'!$I$2:$I$631,$I117))/$L117,0))</f>
        <v>70</v>
      </c>
      <c r="O117" s="25" t="n">
        <f aca="false">IF($L117=0,0,ROUND((SUMIFS('المرتبطة بسمو الوزير'!$N$2:$N$151,'المرتبطة بسمو الوزير'!$B$2:$B$151,$B117,'المرتبطة بسمو الوزير'!$G$2:$G$151,$G117,'المرتبطة بسمو الوزير'!$I$2:$I$151,$I117)+SUMIFS('الشؤون التنفيذية'!$O$2:$O$421,'الشؤون التنفيذية'!$B$2:$B$421,$B117,'الشؤون التنفيذية'!$G$2:$G$421,$G117,'الشؤون التنفيذية'!$I$2:$I$421,$I117)+SUMIFS('الجهاز العسكري'!$N$2:$N$631,'الجهاز العسكري'!$B$2:$B$631,$B117,'الجهاز العسكري'!$G$2:$G$631,$G117,'الجهاز العسكري'!$I$2:$I$631,$I117))/$L117,0))</f>
        <v>93</v>
      </c>
      <c r="P117" s="22"/>
      <c r="Q117" s="19" t="n">
        <f aca="false">SUMIFS(المرجع!$G$2:$G$19,المرجع!$B$2:$B$19,$G117,المرجع!$E$2:$E$19,$I117)</f>
        <v>15</v>
      </c>
      <c r="R117" s="26" t="n">
        <f aca="false">ROUND($Q117*$N117/100,2)</f>
        <v>10.5</v>
      </c>
      <c r="S117" s="27" t="str">
        <f aca="false">IF($N117&gt;المرجع!$K$3,"متقدم",IF($N117&lt;=المرجع!$K$2,"أولي","جزئي"))</f>
        <v>جزئي</v>
      </c>
      <c r="T117" s="28" t="n">
        <f aca="false">ROUND($Q117*$O117/100,2)</f>
        <v>13.95</v>
      </c>
    </row>
    <row r="118" customFormat="false" ht="15" hidden="false" customHeight="true" outlineLevel="0" collapsed="false">
      <c r="A118" s="20" t="s">
        <v>1570</v>
      </c>
      <c r="B118" s="20" t="s">
        <v>166</v>
      </c>
      <c r="C118" s="19" t="str">
        <f aca="false">IFERROR(INDEX('قائمة الوحدات'!$B$2:$B$41,MATCH($B118,'قائمة الوحدات'!$A$2:$A$41,0)),"")</f>
        <v>EXE</v>
      </c>
      <c r="D118" s="18" t="str">
        <f aca="false">IFERROR(INDEX('قائمة الوحدات'!$C$2:$C$41,MATCH($B118,'قائمة الوحدات'!$A$2:$A$41,0)),"")</f>
        <v>الشؤون التنفيذية</v>
      </c>
      <c r="E118" s="18" t="str">
        <f aca="false">IFERROR(INDEX('قائمة الوحدات'!$D$2:$D$41,MATCH($B118,'قائمة الوحدات'!$A$2:$A$41,0)),"")</f>
        <v>وكالة الشؤون الفنية</v>
      </c>
      <c r="F118" s="18" t="str">
        <f aca="false">IFERROR(INDEX('قائمة الوحدات'!$F$2:$F$41,MATCH($B118,'قائمة الوحدات'!$A$2:$A$41,0)),"")</f>
        <v>الإدارة العامة للجودة والتطوير</v>
      </c>
      <c r="G118" s="20" t="s">
        <v>62</v>
      </c>
      <c r="H118" s="18" t="str">
        <f aca="false">IFERROR(INDEX(المرجع!$A$2:$A$19,MATCH($G118,المرجع!$B$2:$B$19,0)),"")</f>
        <v>البناء المؤسسي</v>
      </c>
      <c r="I118" s="20" t="s">
        <v>52</v>
      </c>
      <c r="J118" s="18" t="str">
        <f aca="false">IFERROR(INDEX(المرجع!$D$2:$D$19,MATCH($I118,المرجع!$E$2:$E$19,0)),"")</f>
        <v>الحوكمة</v>
      </c>
      <c r="K118" s="19" t="n">
        <f aca="false">IFERROR(INDEX(المرجع!$F$2:$F$19,MATCH($I118,المرجع!$E$2:$E$19,0)),"")</f>
        <v>3</v>
      </c>
      <c r="L118" s="19" t="n">
        <f aca="false">SUMIFS(المرجع!$H$2:$H$19,المرجع!$B$2:$B$19,$G118,المرجع!$E$2:$E$19,$I118)</f>
        <v>3</v>
      </c>
      <c r="M118" s="19" t="n">
        <f aca="false">COUNTIFS('المرتبطة بسمو الوزير'!$B$2:$B$151,$B118,'المرتبطة بسمو الوزير'!$G$2:$G$151,$G118,'المرتبطة بسمو الوزير'!$I$2:$I$151,$I118,'المرتبطة بسمو الوزير'!$M$2:$M$151,"&lt;&gt;")+COUNTIFS('الشؤون التنفيذية'!$B$2:$B$421,$B118,'الشؤون التنفيذية'!$G$2:$G$421,$G118,'الشؤون التنفيذية'!$I$2:$I$421,$I118,'الشؤون التنفيذية'!$N$2:$N$421,"&lt;&gt;")+COUNTIFS('الجهاز العسكري'!$B$2:$B$631,$B118,'الجهاز العسكري'!$G$2:$G$631,$G118,'الجهاز العسكري'!$I$2:$I$631,$I118,'الجهاز العسكري'!$M$2:$M$631,"&lt;&gt;")</f>
        <v>3</v>
      </c>
      <c r="N118" s="24" t="n">
        <f aca="false">IF($L118=0,0,ROUND((SUMIFS('المرتبطة بسمو الوزير'!$M$2:$M$151,'المرتبطة بسمو الوزير'!$B$2:$B$151,$B118,'المرتبطة بسمو الوزير'!$G$2:$G$151,$G118,'المرتبطة بسمو الوزير'!$I$2:$I$151,$I118)+SUMIFS('الشؤون التنفيذية'!$N$2:$N$421,'الشؤون التنفيذية'!$B$2:$B$421,$B118,'الشؤون التنفيذية'!$G$2:$G$421,$G118,'الشؤون التنفيذية'!$I$2:$I$421,$I118)+SUMIFS('الجهاز العسكري'!$M$2:$M$631,'الجهاز العسكري'!$B$2:$B$631,$B118,'الجهاز العسكري'!$G$2:$G$631,$G118,'الجهاز العسكري'!$I$2:$I$631,$I118))/$L118,0))</f>
        <v>77</v>
      </c>
      <c r="O118" s="25" t="n">
        <f aca="false">IF($L118=0,0,ROUND((SUMIFS('المرتبطة بسمو الوزير'!$N$2:$N$151,'المرتبطة بسمو الوزير'!$B$2:$B$151,$B118,'المرتبطة بسمو الوزير'!$G$2:$G$151,$G118,'المرتبطة بسمو الوزير'!$I$2:$I$151,$I118)+SUMIFS('الشؤون التنفيذية'!$O$2:$O$421,'الشؤون التنفيذية'!$B$2:$B$421,$B118,'الشؤون التنفيذية'!$G$2:$G$421,$G118,'الشؤون التنفيذية'!$I$2:$I$421,$I118)+SUMIFS('الجهاز العسكري'!$N$2:$N$631,'الجهاز العسكري'!$B$2:$B$631,$B118,'الجهاز العسكري'!$G$2:$G$631,$G118,'الجهاز العسكري'!$I$2:$I$631,$I118))/$L118,0))</f>
        <v>87</v>
      </c>
      <c r="P118" s="22"/>
      <c r="Q118" s="19" t="n">
        <f aca="false">SUMIFS(المرجع!$G$2:$G$19,المرجع!$B$2:$B$19,$G118,المرجع!$E$2:$E$19,$I118)</f>
        <v>15</v>
      </c>
      <c r="R118" s="26" t="n">
        <f aca="false">ROUND($Q118*$N118/100,2)</f>
        <v>11.55</v>
      </c>
      <c r="S118" s="27" t="str">
        <f aca="false">IF($N118&gt;المرجع!$K$3,"متقدم",IF($N118&lt;=المرجع!$K$2,"أولي","جزئي"))</f>
        <v>متقدم</v>
      </c>
      <c r="T118" s="28" t="n">
        <f aca="false">ROUND($Q118*$O118/100,2)</f>
        <v>13.05</v>
      </c>
    </row>
    <row r="119" customFormat="false" ht="15" hidden="false" customHeight="true" outlineLevel="0" collapsed="false">
      <c r="A119" s="20" t="s">
        <v>1571</v>
      </c>
      <c r="B119" s="20" t="s">
        <v>166</v>
      </c>
      <c r="C119" s="19" t="str">
        <f aca="false">IFERROR(INDEX('قائمة الوحدات'!$B$2:$B$41,MATCH($B119,'قائمة الوحدات'!$A$2:$A$41,0)),"")</f>
        <v>EXE</v>
      </c>
      <c r="D119" s="18" t="str">
        <f aca="false">IFERROR(INDEX('قائمة الوحدات'!$C$2:$C$41,MATCH($B119,'قائمة الوحدات'!$A$2:$A$41,0)),"")</f>
        <v>الشؤون التنفيذية</v>
      </c>
      <c r="E119" s="18" t="str">
        <f aca="false">IFERROR(INDEX('قائمة الوحدات'!$D$2:$D$41,MATCH($B119,'قائمة الوحدات'!$A$2:$A$41,0)),"")</f>
        <v>وكالة الشؤون الفنية</v>
      </c>
      <c r="F119" s="18" t="str">
        <f aca="false">IFERROR(INDEX('قائمة الوحدات'!$F$2:$F$41,MATCH($B119,'قائمة الوحدات'!$A$2:$A$41,0)),"")</f>
        <v>الإدارة العامة للجودة والتطوير</v>
      </c>
      <c r="G119" s="20" t="s">
        <v>62</v>
      </c>
      <c r="H119" s="18" t="str">
        <f aca="false">IFERROR(INDEX(المرجع!$A$2:$A$19,MATCH($G119,المرجع!$B$2:$B$19,0)),"")</f>
        <v>البناء المؤسسي</v>
      </c>
      <c r="I119" s="20" t="s">
        <v>55</v>
      </c>
      <c r="J119" s="18" t="str">
        <f aca="false">IFERROR(INDEX(المرجع!$D$2:$D$19,MATCH($I119,المرجع!$E$2:$E$19,0)),"")</f>
        <v>التنظيم</v>
      </c>
      <c r="K119" s="19" t="n">
        <f aca="false">IFERROR(INDEX(المرجع!$F$2:$F$19,MATCH($I119,المرجع!$E$2:$E$19,0)),"")</f>
        <v>4</v>
      </c>
      <c r="L119" s="19" t="n">
        <f aca="false">SUMIFS(المرجع!$H$2:$H$19,المرجع!$B$2:$B$19,$G119,المرجع!$E$2:$E$19,$I119)</f>
        <v>3</v>
      </c>
      <c r="M119" s="19" t="n">
        <f aca="false">COUNTIFS('المرتبطة بسمو الوزير'!$B$2:$B$151,$B119,'المرتبطة بسمو الوزير'!$G$2:$G$151,$G119,'المرتبطة بسمو الوزير'!$I$2:$I$151,$I119,'المرتبطة بسمو الوزير'!$M$2:$M$151,"&lt;&gt;")+COUNTIFS('الشؤون التنفيذية'!$B$2:$B$421,$B119,'الشؤون التنفيذية'!$G$2:$G$421,$G119,'الشؤون التنفيذية'!$I$2:$I$421,$I119,'الشؤون التنفيذية'!$N$2:$N$421,"&lt;&gt;")+COUNTIFS('الجهاز العسكري'!$B$2:$B$631,$B119,'الجهاز العسكري'!$G$2:$G$631,$G119,'الجهاز العسكري'!$I$2:$I$631,$I119,'الجهاز العسكري'!$M$2:$M$631,"&lt;&gt;")</f>
        <v>3</v>
      </c>
      <c r="N119" s="24" t="n">
        <f aca="false">IF($L119=0,0,ROUND((SUMIFS('المرتبطة بسمو الوزير'!$M$2:$M$151,'المرتبطة بسمو الوزير'!$B$2:$B$151,$B119,'المرتبطة بسمو الوزير'!$G$2:$G$151,$G119,'المرتبطة بسمو الوزير'!$I$2:$I$151,$I119)+SUMIFS('الشؤون التنفيذية'!$N$2:$N$421,'الشؤون التنفيذية'!$B$2:$B$421,$B119,'الشؤون التنفيذية'!$G$2:$G$421,$G119,'الشؤون التنفيذية'!$I$2:$I$421,$I119)+SUMIFS('الجهاز العسكري'!$M$2:$M$631,'الجهاز العسكري'!$B$2:$B$631,$B119,'الجهاز العسكري'!$G$2:$G$631,$G119,'الجهاز العسكري'!$I$2:$I$631,$I119))/$L119,0))</f>
        <v>58</v>
      </c>
      <c r="O119" s="25" t="n">
        <f aca="false">IF($L119=0,0,ROUND((SUMIFS('المرتبطة بسمو الوزير'!$N$2:$N$151,'المرتبطة بسمو الوزير'!$B$2:$B$151,$B119,'المرتبطة بسمو الوزير'!$G$2:$G$151,$G119,'المرتبطة بسمو الوزير'!$I$2:$I$151,$I119)+SUMIFS('الشؤون التنفيذية'!$O$2:$O$421,'الشؤون التنفيذية'!$B$2:$B$421,$B119,'الشؤون التنفيذية'!$G$2:$G$421,$G119,'الشؤون التنفيذية'!$I$2:$I$421,$I119)+SUMIFS('الجهاز العسكري'!$N$2:$N$631,'الجهاز العسكري'!$B$2:$B$631,$B119,'الجهاز العسكري'!$G$2:$G$631,$G119,'الجهاز العسكري'!$I$2:$I$631,$I119))/$L119,0))</f>
        <v>93</v>
      </c>
      <c r="P119" s="22"/>
      <c r="Q119" s="19" t="n">
        <f aca="false">SUMIFS(المرجع!$G$2:$G$19,المرجع!$B$2:$B$19,$G119,المرجع!$E$2:$E$19,$I119)</f>
        <v>20</v>
      </c>
      <c r="R119" s="26" t="n">
        <f aca="false">ROUND($Q119*$N119/100,2)</f>
        <v>11.6</v>
      </c>
      <c r="S119" s="27" t="str">
        <f aca="false">IF($N119&gt;المرجع!$K$3,"متقدم",IF($N119&lt;=المرجع!$K$2,"أولي","جزئي"))</f>
        <v>جزئي</v>
      </c>
      <c r="T119" s="28" t="n">
        <f aca="false">ROUND($Q119*$O119/100,2)</f>
        <v>18.6</v>
      </c>
    </row>
    <row r="120" customFormat="false" ht="15" hidden="false" customHeight="true" outlineLevel="0" collapsed="false">
      <c r="A120" s="20" t="s">
        <v>1572</v>
      </c>
      <c r="B120" s="20" t="s">
        <v>166</v>
      </c>
      <c r="C120" s="19" t="str">
        <f aca="false">IFERROR(INDEX('قائمة الوحدات'!$B$2:$B$41,MATCH($B120,'قائمة الوحدات'!$A$2:$A$41,0)),"")</f>
        <v>EXE</v>
      </c>
      <c r="D120" s="18" t="str">
        <f aca="false">IFERROR(INDEX('قائمة الوحدات'!$C$2:$C$41,MATCH($B120,'قائمة الوحدات'!$A$2:$A$41,0)),"")</f>
        <v>الشؤون التنفيذية</v>
      </c>
      <c r="E120" s="18" t="str">
        <f aca="false">IFERROR(INDEX('قائمة الوحدات'!$D$2:$D$41,MATCH($B120,'قائمة الوحدات'!$A$2:$A$41,0)),"")</f>
        <v>وكالة الشؤون الفنية</v>
      </c>
      <c r="F120" s="18" t="str">
        <f aca="false">IFERROR(INDEX('قائمة الوحدات'!$F$2:$F$41,MATCH($B120,'قائمة الوحدات'!$A$2:$A$41,0)),"")</f>
        <v>الإدارة العامة للجودة والتطوير</v>
      </c>
      <c r="G120" s="20" t="s">
        <v>62</v>
      </c>
      <c r="H120" s="18" t="str">
        <f aca="false">IFERROR(INDEX(المرجع!$A$2:$A$19,MATCH($G120,المرجع!$B$2:$B$19,0)),"")</f>
        <v>البناء المؤسسي</v>
      </c>
      <c r="I120" s="20" t="s">
        <v>57</v>
      </c>
      <c r="J120" s="18" t="str">
        <f aca="false">IFERROR(INDEX(المرجع!$D$2:$D$19,MATCH($I120,المرجع!$E$2:$E$19,0)),"")</f>
        <v>الموارد</v>
      </c>
      <c r="K120" s="19" t="n">
        <f aca="false">IFERROR(INDEX(المرجع!$F$2:$F$19,MATCH($I120,المرجع!$E$2:$E$19,0)),"")</f>
        <v>5</v>
      </c>
      <c r="L120" s="19" t="n">
        <f aca="false">SUMIFS(المرجع!$H$2:$H$19,المرجع!$B$2:$B$19,$G120,المرجع!$E$2:$E$19,$I120)</f>
        <v>4</v>
      </c>
      <c r="M120" s="19" t="n">
        <f aca="false">COUNTIFS('المرتبطة بسمو الوزير'!$B$2:$B$151,$B120,'المرتبطة بسمو الوزير'!$G$2:$G$151,$G120,'المرتبطة بسمو الوزير'!$I$2:$I$151,$I120,'المرتبطة بسمو الوزير'!$M$2:$M$151,"&lt;&gt;")+COUNTIFS('الشؤون التنفيذية'!$B$2:$B$421,$B120,'الشؤون التنفيذية'!$G$2:$G$421,$G120,'الشؤون التنفيذية'!$I$2:$I$421,$I120,'الشؤون التنفيذية'!$N$2:$N$421,"&lt;&gt;")+COUNTIFS('الجهاز العسكري'!$B$2:$B$631,$B120,'الجهاز العسكري'!$G$2:$G$631,$G120,'الجهاز العسكري'!$I$2:$I$631,$I120,'الجهاز العسكري'!$M$2:$M$631,"&lt;&gt;")</f>
        <v>4</v>
      </c>
      <c r="N120" s="24" t="n">
        <f aca="false">IF($L120=0,0,ROUND((SUMIFS('المرتبطة بسمو الوزير'!$M$2:$M$151,'المرتبطة بسمو الوزير'!$B$2:$B$151,$B120,'المرتبطة بسمو الوزير'!$G$2:$G$151,$G120,'المرتبطة بسمو الوزير'!$I$2:$I$151,$I120)+SUMIFS('الشؤون التنفيذية'!$N$2:$N$421,'الشؤون التنفيذية'!$B$2:$B$421,$B120,'الشؤون التنفيذية'!$G$2:$G$421,$G120,'الشؤون التنفيذية'!$I$2:$I$421,$I120)+SUMIFS('الجهاز العسكري'!$M$2:$M$631,'الجهاز العسكري'!$B$2:$B$631,$B120,'الجهاز العسكري'!$G$2:$G$631,$G120,'الجهاز العسكري'!$I$2:$I$631,$I120))/$L120,0))</f>
        <v>50</v>
      </c>
      <c r="O120" s="25" t="n">
        <f aca="false">IF($L120=0,0,ROUND((SUMIFS('المرتبطة بسمو الوزير'!$N$2:$N$151,'المرتبطة بسمو الوزير'!$B$2:$B$151,$B120,'المرتبطة بسمو الوزير'!$G$2:$G$151,$G120,'المرتبطة بسمو الوزير'!$I$2:$I$151,$I120)+SUMIFS('الشؤون التنفيذية'!$O$2:$O$421,'الشؤون التنفيذية'!$B$2:$B$421,$B120,'الشؤون التنفيذية'!$G$2:$G$421,$G120,'الشؤون التنفيذية'!$I$2:$I$421,$I120)+SUMIFS('الجهاز العسكري'!$N$2:$N$631,'الجهاز العسكري'!$B$2:$B$631,$B120,'الجهاز العسكري'!$G$2:$G$631,$G120,'الجهاز العسكري'!$I$2:$I$631,$I120))/$L120,0))</f>
        <v>95</v>
      </c>
      <c r="P120" s="22"/>
      <c r="Q120" s="19" t="n">
        <f aca="false">SUMIFS(المرجع!$G$2:$G$19,المرجع!$B$2:$B$19,$G120,المرجع!$E$2:$E$19,$I120)</f>
        <v>25</v>
      </c>
      <c r="R120" s="26" t="n">
        <f aca="false">ROUND($Q120*$N120/100,2)</f>
        <v>12.5</v>
      </c>
      <c r="S120" s="27" t="str">
        <f aca="false">IF($N120&gt;المرجع!$K$3,"متقدم",IF($N120&lt;=المرجع!$K$2,"أولي","جزئي"))</f>
        <v>جزئي</v>
      </c>
      <c r="T120" s="28" t="n">
        <f aca="false">ROUND($Q120*$O120/100,2)</f>
        <v>23.75</v>
      </c>
    </row>
    <row r="121" customFormat="false" ht="15" hidden="false" customHeight="true" outlineLevel="0" collapsed="false">
      <c r="A121" s="20" t="s">
        <v>1573</v>
      </c>
      <c r="B121" s="20" t="s">
        <v>166</v>
      </c>
      <c r="C121" s="19" t="str">
        <f aca="false">IFERROR(INDEX('قائمة الوحدات'!$B$2:$B$41,MATCH($B121,'قائمة الوحدات'!$A$2:$A$41,0)),"")</f>
        <v>EXE</v>
      </c>
      <c r="D121" s="18" t="str">
        <f aca="false">IFERROR(INDEX('قائمة الوحدات'!$C$2:$C$41,MATCH($B121,'قائمة الوحدات'!$A$2:$A$41,0)),"")</f>
        <v>الشؤون التنفيذية</v>
      </c>
      <c r="E121" s="18" t="str">
        <f aca="false">IFERROR(INDEX('قائمة الوحدات'!$D$2:$D$41,MATCH($B121,'قائمة الوحدات'!$A$2:$A$41,0)),"")</f>
        <v>وكالة الشؤون الفنية</v>
      </c>
      <c r="F121" s="18" t="str">
        <f aca="false">IFERROR(INDEX('قائمة الوحدات'!$F$2:$F$41,MATCH($B121,'قائمة الوحدات'!$A$2:$A$41,0)),"")</f>
        <v>الإدارة العامة للجودة والتطوير</v>
      </c>
      <c r="G121" s="20" t="s">
        <v>62</v>
      </c>
      <c r="H121" s="18" t="str">
        <f aca="false">IFERROR(INDEX(المرجع!$A$2:$A$19,MATCH($G121,المرجع!$B$2:$B$19,0)),"")</f>
        <v>البناء المؤسسي</v>
      </c>
      <c r="I121" s="20" t="s">
        <v>60</v>
      </c>
      <c r="J121" s="18" t="str">
        <f aca="false">IFERROR(INDEX(المرجع!$D$2:$D$19,MATCH($I121,المرجع!$E$2:$E$19,0)),"")</f>
        <v>الإجراءات</v>
      </c>
      <c r="K121" s="19" t="n">
        <f aca="false">IFERROR(INDEX(المرجع!$F$2:$F$19,MATCH($I121,المرجع!$E$2:$E$19,0)),"")</f>
        <v>6</v>
      </c>
      <c r="L121" s="19" t="n">
        <f aca="false">SUMIFS(المرجع!$H$2:$H$19,المرجع!$B$2:$B$19,$G121,المرجع!$E$2:$E$19,$I121)</f>
        <v>1</v>
      </c>
      <c r="M121" s="19" t="n">
        <f aca="false">COUNTIFS('المرتبطة بسمو الوزير'!$B$2:$B$151,$B121,'المرتبطة بسمو الوزير'!$G$2:$G$151,$G121,'المرتبطة بسمو الوزير'!$I$2:$I$151,$I121,'المرتبطة بسمو الوزير'!$M$2:$M$151,"&lt;&gt;")+COUNTIFS('الشؤون التنفيذية'!$B$2:$B$421,$B121,'الشؤون التنفيذية'!$G$2:$G$421,$G121,'الشؤون التنفيذية'!$I$2:$I$421,$I121,'الشؤون التنفيذية'!$N$2:$N$421,"&lt;&gt;")+COUNTIFS('الجهاز العسكري'!$B$2:$B$631,$B121,'الجهاز العسكري'!$G$2:$G$631,$G121,'الجهاز العسكري'!$I$2:$I$631,$I121,'الجهاز العسكري'!$M$2:$M$631,"&lt;&gt;")</f>
        <v>1</v>
      </c>
      <c r="N121" s="24" t="n">
        <f aca="false">IF($L121=0,0,ROUND((SUMIFS('المرتبطة بسمو الوزير'!$M$2:$M$151,'المرتبطة بسمو الوزير'!$B$2:$B$151,$B121,'المرتبطة بسمو الوزير'!$G$2:$G$151,$G121,'المرتبطة بسمو الوزير'!$I$2:$I$151,$I121)+SUMIFS('الشؤون التنفيذية'!$N$2:$N$421,'الشؤون التنفيذية'!$B$2:$B$421,$B121,'الشؤون التنفيذية'!$G$2:$G$421,$G121,'الشؤون التنفيذية'!$I$2:$I$421,$I121)+SUMIFS('الجهاز العسكري'!$M$2:$M$631,'الجهاز العسكري'!$B$2:$B$631,$B121,'الجهاز العسكري'!$G$2:$G$631,$G121,'الجهاز العسكري'!$I$2:$I$631,$I121))/$L121,0))</f>
        <v>50</v>
      </c>
      <c r="O121" s="25" t="n">
        <f aca="false">IF($L121=0,0,ROUND((SUMIFS('المرتبطة بسمو الوزير'!$N$2:$N$151,'المرتبطة بسمو الوزير'!$B$2:$B$151,$B121,'المرتبطة بسمو الوزير'!$G$2:$G$151,$G121,'المرتبطة بسمو الوزير'!$I$2:$I$151,$I121)+SUMIFS('الشؤون التنفيذية'!$O$2:$O$421,'الشؤون التنفيذية'!$B$2:$B$421,$B121,'الشؤون التنفيذية'!$G$2:$G$421,$G121,'الشؤون التنفيذية'!$I$2:$I$421,$I121)+SUMIFS('الجهاز العسكري'!$N$2:$N$631,'الجهاز العسكري'!$B$2:$B$631,$B121,'الجهاز العسكري'!$G$2:$G$631,$G121,'الجهاز العسكري'!$I$2:$I$631,$I121))/$L121,0))</f>
        <v>85</v>
      </c>
      <c r="P121" s="22"/>
      <c r="Q121" s="19" t="n">
        <f aca="false">SUMIFS(المرجع!$G$2:$G$19,المرجع!$B$2:$B$19,$G121,المرجع!$E$2:$E$19,$I121)</f>
        <v>5</v>
      </c>
      <c r="R121" s="26" t="n">
        <f aca="false">ROUND($Q121*$N121/100,2)</f>
        <v>2.5</v>
      </c>
      <c r="S121" s="27" t="str">
        <f aca="false">IF($N121&gt;المرجع!$K$3,"متقدم",IF($N121&lt;=المرجع!$K$2,"أولي","جزئي"))</f>
        <v>جزئي</v>
      </c>
      <c r="T121" s="28" t="n">
        <f aca="false">ROUND($Q121*$O121/100,2)</f>
        <v>4.25</v>
      </c>
    </row>
    <row r="122" customFormat="false" ht="15" hidden="false" customHeight="true" outlineLevel="0" collapsed="false">
      <c r="A122" s="20" t="s">
        <v>1574</v>
      </c>
      <c r="B122" s="20" t="s">
        <v>166</v>
      </c>
      <c r="C122" s="19" t="str">
        <f aca="false">IFERROR(INDEX('قائمة الوحدات'!$B$2:$B$41,MATCH($B122,'قائمة الوحدات'!$A$2:$A$41,0)),"")</f>
        <v>EXE</v>
      </c>
      <c r="D122" s="18" t="str">
        <f aca="false">IFERROR(INDEX('قائمة الوحدات'!$C$2:$C$41,MATCH($B122,'قائمة الوحدات'!$A$2:$A$41,0)),"")</f>
        <v>الشؤون التنفيذية</v>
      </c>
      <c r="E122" s="18" t="str">
        <f aca="false">IFERROR(INDEX('قائمة الوحدات'!$D$2:$D$41,MATCH($B122,'قائمة الوحدات'!$A$2:$A$41,0)),"")</f>
        <v>وكالة الشؤون الفنية</v>
      </c>
      <c r="F122" s="18" t="str">
        <f aca="false">IFERROR(INDEX('قائمة الوحدات'!$F$2:$F$41,MATCH($B122,'قائمة الوحدات'!$A$2:$A$41,0)),"")</f>
        <v>الإدارة العامة للجودة والتطوير</v>
      </c>
      <c r="G122" s="20" t="s">
        <v>62</v>
      </c>
      <c r="H122" s="18" t="str">
        <f aca="false">IFERROR(INDEX(المرجع!$A$2:$A$19,MATCH($G122,المرجع!$B$2:$B$19,0)),"")</f>
        <v>البناء المؤسسي</v>
      </c>
      <c r="I122" s="20" t="s">
        <v>69</v>
      </c>
      <c r="J122" s="18" t="str">
        <f aca="false">IFERROR(INDEX(المرجع!$D$2:$D$19,MATCH($I122,المرجع!$E$2:$E$19,0)),"")</f>
        <v>إنتاج المخرج الأول</v>
      </c>
      <c r="K122" s="19" t="n">
        <f aca="false">IFERROR(INDEX(المرجع!$F$2:$F$19,MATCH($I122,المرجع!$E$2:$E$19,0)),"")</f>
        <v>7</v>
      </c>
      <c r="L122" s="19" t="n">
        <f aca="false">SUMIFS(المرجع!$H$2:$H$19,المرجع!$B$2:$B$19,$G122,المرجع!$E$2:$E$19,$I122)</f>
        <v>1</v>
      </c>
      <c r="M122" s="19" t="n">
        <f aca="false">COUNTIFS('المرتبطة بسمو الوزير'!$B$2:$B$151,$B122,'المرتبطة بسمو الوزير'!$G$2:$G$151,$G122,'المرتبطة بسمو الوزير'!$I$2:$I$151,$I122,'المرتبطة بسمو الوزير'!$M$2:$M$151,"&lt;&gt;")+COUNTIFS('الشؤون التنفيذية'!$B$2:$B$421,$B122,'الشؤون التنفيذية'!$G$2:$G$421,$G122,'الشؤون التنفيذية'!$I$2:$I$421,$I122,'الشؤون التنفيذية'!$N$2:$N$421,"&lt;&gt;")+COUNTIFS('الجهاز العسكري'!$B$2:$B$631,$B122,'الجهاز العسكري'!$G$2:$G$631,$G122,'الجهاز العسكري'!$I$2:$I$631,$I122,'الجهاز العسكري'!$M$2:$M$631,"&lt;&gt;")</f>
        <v>1</v>
      </c>
      <c r="N122" s="24" t="n">
        <f aca="false">IF($L122=0,0,ROUND((SUMIFS('المرتبطة بسمو الوزير'!$M$2:$M$151,'المرتبطة بسمو الوزير'!$B$2:$B$151,$B122,'المرتبطة بسمو الوزير'!$G$2:$G$151,$G122,'المرتبطة بسمو الوزير'!$I$2:$I$151,$I122)+SUMIFS('الشؤون التنفيذية'!$N$2:$N$421,'الشؤون التنفيذية'!$B$2:$B$421,$B122,'الشؤون التنفيذية'!$G$2:$G$421,$G122,'الشؤون التنفيذية'!$I$2:$I$421,$I122)+SUMIFS('الجهاز العسكري'!$M$2:$M$631,'الجهاز العسكري'!$B$2:$B$631,$B122,'الجهاز العسكري'!$G$2:$G$631,$G122,'الجهاز العسكري'!$I$2:$I$631,$I122))/$L122,0))</f>
        <v>81</v>
      </c>
      <c r="O122" s="25" t="n">
        <f aca="false">IF($L122=0,0,ROUND((SUMIFS('المرتبطة بسمو الوزير'!$N$2:$N$151,'المرتبطة بسمو الوزير'!$B$2:$B$151,$B122,'المرتبطة بسمو الوزير'!$G$2:$G$151,$G122,'المرتبطة بسمو الوزير'!$I$2:$I$151,$I122)+SUMIFS('الشؤون التنفيذية'!$O$2:$O$421,'الشؤون التنفيذية'!$B$2:$B$421,$B122,'الشؤون التنفيذية'!$G$2:$G$421,$G122,'الشؤون التنفيذية'!$I$2:$I$421,$I122)+SUMIFS('الجهاز العسكري'!$N$2:$N$631,'الجهاز العسكري'!$B$2:$B$631,$B122,'الجهاز العسكري'!$G$2:$G$631,$G122,'الجهاز العسكري'!$I$2:$I$631,$I122))/$L122,0))</f>
        <v>100</v>
      </c>
      <c r="P122" s="22"/>
      <c r="Q122" s="19" t="n">
        <f aca="false">SUMIFS(المرجع!$G$2:$G$19,المرجع!$B$2:$B$19,$G122,المرجع!$E$2:$E$19,$I122)</f>
        <v>5</v>
      </c>
      <c r="R122" s="26" t="n">
        <f aca="false">ROUND($Q122*$N122/100,2)</f>
        <v>4.05</v>
      </c>
      <c r="S122" s="27" t="str">
        <f aca="false">IF($N122&gt;المرجع!$K$3,"متقدم",IF($N122&lt;=المرجع!$K$2,"أولي","جزئي"))</f>
        <v>متقدم</v>
      </c>
      <c r="T122" s="28" t="n">
        <f aca="false">ROUND($Q122*$O122/100,2)</f>
        <v>5</v>
      </c>
    </row>
    <row r="123" customFormat="false" ht="15" hidden="false" customHeight="true" outlineLevel="0" collapsed="false">
      <c r="A123" s="20" t="s">
        <v>1575</v>
      </c>
      <c r="B123" s="20" t="s">
        <v>166</v>
      </c>
      <c r="C123" s="19" t="str">
        <f aca="false">IFERROR(INDEX('قائمة الوحدات'!$B$2:$B$41,MATCH($B123,'قائمة الوحدات'!$A$2:$A$41,0)),"")</f>
        <v>EXE</v>
      </c>
      <c r="D123" s="18" t="str">
        <f aca="false">IFERROR(INDEX('قائمة الوحدات'!$C$2:$C$41,MATCH($B123,'قائمة الوحدات'!$A$2:$A$41,0)),"")</f>
        <v>الشؤون التنفيذية</v>
      </c>
      <c r="E123" s="18" t="str">
        <f aca="false">IFERROR(INDEX('قائمة الوحدات'!$D$2:$D$41,MATCH($B123,'قائمة الوحدات'!$A$2:$A$41,0)),"")</f>
        <v>وكالة الشؤون الفنية</v>
      </c>
      <c r="F123" s="18" t="str">
        <f aca="false">IFERROR(INDEX('قائمة الوحدات'!$F$2:$F$41,MATCH($B123,'قائمة الوحدات'!$A$2:$A$41,0)),"")</f>
        <v>الإدارة العامة للجودة والتطوير</v>
      </c>
      <c r="G123" s="20" t="s">
        <v>66</v>
      </c>
      <c r="H123" s="18" t="str">
        <f aca="false">IFERROR(INDEX(المرجع!$A$2:$A$19,MATCH($G123,المرجع!$B$2:$B$19,0)),"")</f>
        <v>التشغيل</v>
      </c>
      <c r="I123" s="20" t="s">
        <v>49</v>
      </c>
      <c r="J123" s="18" t="str">
        <f aca="false">IFERROR(INDEX(المرجع!$D$2:$D$19,MATCH($I123,المرجع!$E$2:$E$19,0)),"")</f>
        <v>الأهداف ومؤشرات الأداء</v>
      </c>
      <c r="K123" s="19" t="n">
        <f aca="false">IFERROR(INDEX(المرجع!$F$2:$F$19,MATCH($I123,المرجع!$E$2:$E$19,0)),"")</f>
        <v>2</v>
      </c>
      <c r="L123" s="19" t="n">
        <f aca="false">SUMIFS(المرجع!$H$2:$H$19,المرجع!$B$2:$B$19,$G123,المرجع!$E$2:$E$19,$I123)</f>
        <v>2</v>
      </c>
      <c r="M123" s="19" t="n">
        <f aca="false">COUNTIFS('المرتبطة بسمو الوزير'!$B$2:$B$151,$B123,'المرتبطة بسمو الوزير'!$G$2:$G$151,$G123,'المرتبطة بسمو الوزير'!$I$2:$I$151,$I123,'المرتبطة بسمو الوزير'!$M$2:$M$151,"&lt;&gt;")+COUNTIFS('الشؤون التنفيذية'!$B$2:$B$421,$B123,'الشؤون التنفيذية'!$G$2:$G$421,$G123,'الشؤون التنفيذية'!$I$2:$I$421,$I123,'الشؤون التنفيذية'!$N$2:$N$421,"&lt;&gt;")+COUNTIFS('الجهاز العسكري'!$B$2:$B$631,$B123,'الجهاز العسكري'!$G$2:$G$631,$G123,'الجهاز العسكري'!$I$2:$I$631,$I123,'الجهاز العسكري'!$M$2:$M$631,"&lt;&gt;")</f>
        <v>2</v>
      </c>
      <c r="N123" s="24" t="n">
        <f aca="false">IF($L123=0,0,ROUND((SUMIFS('المرتبطة بسمو الوزير'!$M$2:$M$151,'المرتبطة بسمو الوزير'!$B$2:$B$151,$B123,'المرتبطة بسمو الوزير'!$G$2:$G$151,$G123,'المرتبطة بسمو الوزير'!$I$2:$I$151,$I123)+SUMIFS('الشؤون التنفيذية'!$N$2:$N$421,'الشؤون التنفيذية'!$B$2:$B$421,$B123,'الشؤون التنفيذية'!$G$2:$G$421,$G123,'الشؤون التنفيذية'!$I$2:$I$421,$I123)+SUMIFS('الجهاز العسكري'!$M$2:$M$631,'الجهاز العسكري'!$B$2:$B$631,$B123,'الجهاز العسكري'!$G$2:$G$631,$G123,'الجهاز العسكري'!$I$2:$I$631,$I123))/$L123,0))</f>
        <v>20</v>
      </c>
      <c r="O123" s="25" t="n">
        <f aca="false">IF($L123=0,0,ROUND((SUMIFS('المرتبطة بسمو الوزير'!$N$2:$N$151,'المرتبطة بسمو الوزير'!$B$2:$B$151,$B123,'المرتبطة بسمو الوزير'!$G$2:$G$151,$G123,'المرتبطة بسمو الوزير'!$I$2:$I$151,$I123)+SUMIFS('الشؤون التنفيذية'!$O$2:$O$421,'الشؤون التنفيذية'!$B$2:$B$421,$B123,'الشؤون التنفيذية'!$G$2:$G$421,$G123,'الشؤون التنفيذية'!$I$2:$I$421,$I123)+SUMIFS('الجهاز العسكري'!$N$2:$N$631,'الجهاز العسكري'!$B$2:$B$631,$B123,'الجهاز العسكري'!$G$2:$G$631,$G123,'الجهاز العسكري'!$I$2:$I$631,$I123))/$L123,0))</f>
        <v>100</v>
      </c>
      <c r="P123" s="22"/>
      <c r="Q123" s="19" t="n">
        <f aca="false">SUMIFS(المرجع!$G$2:$G$19,المرجع!$B$2:$B$19,$G123,المرجع!$E$2:$E$19,$I123)</f>
        <v>25</v>
      </c>
      <c r="R123" s="26" t="n">
        <f aca="false">ROUND($Q123*$N123/100,2)</f>
        <v>5</v>
      </c>
      <c r="S123" s="27" t="str">
        <f aca="false">IF($N123&gt;المرجع!$K$3,"متقدم",IF($N123&lt;=المرجع!$K$2,"أولي","جزئي"))</f>
        <v>أولي</v>
      </c>
      <c r="T123" s="28" t="n">
        <f aca="false">ROUND($Q123*$O123/100,2)</f>
        <v>25</v>
      </c>
    </row>
    <row r="124" customFormat="false" ht="15" hidden="false" customHeight="true" outlineLevel="0" collapsed="false">
      <c r="A124" s="20" t="s">
        <v>1576</v>
      </c>
      <c r="B124" s="20" t="s">
        <v>166</v>
      </c>
      <c r="C124" s="19" t="str">
        <f aca="false">IFERROR(INDEX('قائمة الوحدات'!$B$2:$B$41,MATCH($B124,'قائمة الوحدات'!$A$2:$A$41,0)),"")</f>
        <v>EXE</v>
      </c>
      <c r="D124" s="18" t="str">
        <f aca="false">IFERROR(INDEX('قائمة الوحدات'!$C$2:$C$41,MATCH($B124,'قائمة الوحدات'!$A$2:$A$41,0)),"")</f>
        <v>الشؤون التنفيذية</v>
      </c>
      <c r="E124" s="18" t="str">
        <f aca="false">IFERROR(INDEX('قائمة الوحدات'!$D$2:$D$41,MATCH($B124,'قائمة الوحدات'!$A$2:$A$41,0)),"")</f>
        <v>وكالة الشؤون الفنية</v>
      </c>
      <c r="F124" s="18" t="str">
        <f aca="false">IFERROR(INDEX('قائمة الوحدات'!$F$2:$F$41,MATCH($B124,'قائمة الوحدات'!$A$2:$A$41,0)),"")</f>
        <v>الإدارة العامة للجودة والتطوير</v>
      </c>
      <c r="G124" s="20" t="s">
        <v>66</v>
      </c>
      <c r="H124" s="18" t="str">
        <f aca="false">IFERROR(INDEX(المرجع!$A$2:$A$19,MATCH($G124,المرجع!$B$2:$B$19,0)),"")</f>
        <v>التشغيل</v>
      </c>
      <c r="I124" s="20" t="s">
        <v>52</v>
      </c>
      <c r="J124" s="18" t="str">
        <f aca="false">IFERROR(INDEX(المرجع!$D$2:$D$19,MATCH($I124,المرجع!$E$2:$E$19,0)),"")</f>
        <v>الحوكمة</v>
      </c>
      <c r="K124" s="19" t="n">
        <f aca="false">IFERROR(INDEX(المرجع!$F$2:$F$19,MATCH($I124,المرجع!$E$2:$E$19,0)),"")</f>
        <v>3</v>
      </c>
      <c r="L124" s="19" t="n">
        <f aca="false">SUMIFS(المرجع!$H$2:$H$19,المرجع!$B$2:$B$19,$G124,المرجع!$E$2:$E$19,$I124)</f>
        <v>3</v>
      </c>
      <c r="M124" s="19" t="n">
        <f aca="false">COUNTIFS('المرتبطة بسمو الوزير'!$B$2:$B$151,$B124,'المرتبطة بسمو الوزير'!$G$2:$G$151,$G124,'المرتبطة بسمو الوزير'!$I$2:$I$151,$I124,'المرتبطة بسمو الوزير'!$M$2:$M$151,"&lt;&gt;")+COUNTIFS('الشؤون التنفيذية'!$B$2:$B$421,$B124,'الشؤون التنفيذية'!$G$2:$G$421,$G124,'الشؤون التنفيذية'!$I$2:$I$421,$I124,'الشؤون التنفيذية'!$N$2:$N$421,"&lt;&gt;")+COUNTIFS('الجهاز العسكري'!$B$2:$B$631,$B124,'الجهاز العسكري'!$G$2:$G$631,$G124,'الجهاز العسكري'!$I$2:$I$631,$I124,'الجهاز العسكري'!$M$2:$M$631,"&lt;&gt;")</f>
        <v>3</v>
      </c>
      <c r="N124" s="24" t="n">
        <f aca="false">IF($L124=0,0,ROUND((SUMIFS('المرتبطة بسمو الوزير'!$M$2:$M$151,'المرتبطة بسمو الوزير'!$B$2:$B$151,$B124,'المرتبطة بسمو الوزير'!$G$2:$G$151,$G124,'المرتبطة بسمو الوزير'!$I$2:$I$151,$I124)+SUMIFS('الشؤون التنفيذية'!$N$2:$N$421,'الشؤون التنفيذية'!$B$2:$B$421,$B124,'الشؤون التنفيذية'!$G$2:$G$421,$G124,'الشؤون التنفيذية'!$I$2:$I$421,$I124)+SUMIFS('الجهاز العسكري'!$M$2:$M$631,'الجهاز العسكري'!$B$2:$B$631,$B124,'الجهاز العسكري'!$G$2:$G$631,$G124,'الجهاز العسكري'!$I$2:$I$631,$I124))/$L124,0))</f>
        <v>42</v>
      </c>
      <c r="O124" s="25" t="n">
        <f aca="false">IF($L124=0,0,ROUND((SUMIFS('المرتبطة بسمو الوزير'!$N$2:$N$151,'المرتبطة بسمو الوزير'!$B$2:$B$151,$B124,'المرتبطة بسمو الوزير'!$G$2:$G$151,$G124,'المرتبطة بسمو الوزير'!$I$2:$I$151,$I124)+SUMIFS('الشؤون التنفيذية'!$O$2:$O$421,'الشؤون التنفيذية'!$B$2:$B$421,$B124,'الشؤون التنفيذية'!$G$2:$G$421,$G124,'الشؤون التنفيذية'!$I$2:$I$421,$I124)+SUMIFS('الجهاز العسكري'!$N$2:$N$631,'الجهاز العسكري'!$B$2:$B$631,$B124,'الجهاز العسكري'!$G$2:$G$631,$G124,'الجهاز العسكري'!$I$2:$I$631,$I124))/$L124,0))</f>
        <v>100</v>
      </c>
      <c r="P124" s="22"/>
      <c r="Q124" s="19" t="n">
        <f aca="false">SUMIFS(المرجع!$G$2:$G$19,المرجع!$B$2:$B$19,$G124,المرجع!$E$2:$E$19,$I124)</f>
        <v>15</v>
      </c>
      <c r="R124" s="26" t="n">
        <f aca="false">ROUND($Q124*$N124/100,2)</f>
        <v>6.3</v>
      </c>
      <c r="S124" s="27" t="str">
        <f aca="false">IF($N124&gt;المرجع!$K$3,"متقدم",IF($N124&lt;=المرجع!$K$2,"أولي","جزئي"))</f>
        <v>جزئي</v>
      </c>
      <c r="T124" s="28" t="n">
        <f aca="false">ROUND($Q124*$O124/100,2)</f>
        <v>15</v>
      </c>
    </row>
    <row r="125" customFormat="false" ht="15" hidden="false" customHeight="true" outlineLevel="0" collapsed="false">
      <c r="A125" s="20" t="s">
        <v>1577</v>
      </c>
      <c r="B125" s="20" t="s">
        <v>166</v>
      </c>
      <c r="C125" s="19" t="str">
        <f aca="false">IFERROR(INDEX('قائمة الوحدات'!$B$2:$B$41,MATCH($B125,'قائمة الوحدات'!$A$2:$A$41,0)),"")</f>
        <v>EXE</v>
      </c>
      <c r="D125" s="18" t="str">
        <f aca="false">IFERROR(INDEX('قائمة الوحدات'!$C$2:$C$41,MATCH($B125,'قائمة الوحدات'!$A$2:$A$41,0)),"")</f>
        <v>الشؤون التنفيذية</v>
      </c>
      <c r="E125" s="18" t="str">
        <f aca="false">IFERROR(INDEX('قائمة الوحدات'!$D$2:$D$41,MATCH($B125,'قائمة الوحدات'!$A$2:$A$41,0)),"")</f>
        <v>وكالة الشؤون الفنية</v>
      </c>
      <c r="F125" s="18" t="str">
        <f aca="false">IFERROR(INDEX('قائمة الوحدات'!$F$2:$F$41,MATCH($B125,'قائمة الوحدات'!$A$2:$A$41,0)),"")</f>
        <v>الإدارة العامة للجودة والتطوير</v>
      </c>
      <c r="G125" s="20" t="s">
        <v>66</v>
      </c>
      <c r="H125" s="18" t="str">
        <f aca="false">IFERROR(INDEX(المرجع!$A$2:$A$19,MATCH($G125,المرجع!$B$2:$B$19,0)),"")</f>
        <v>التشغيل</v>
      </c>
      <c r="I125" s="20" t="s">
        <v>57</v>
      </c>
      <c r="J125" s="18" t="str">
        <f aca="false">IFERROR(INDEX(المرجع!$D$2:$D$19,MATCH($I125,المرجع!$E$2:$E$19,0)),"")</f>
        <v>الموارد</v>
      </c>
      <c r="K125" s="19" t="n">
        <f aca="false">IFERROR(INDEX(المرجع!$F$2:$F$19,MATCH($I125,المرجع!$E$2:$E$19,0)),"")</f>
        <v>5</v>
      </c>
      <c r="L125" s="19" t="n">
        <f aca="false">SUMIFS(المرجع!$H$2:$H$19,المرجع!$B$2:$B$19,$G125,المرجع!$E$2:$E$19,$I125)</f>
        <v>1</v>
      </c>
      <c r="M125" s="19" t="n">
        <f aca="false">COUNTIFS('المرتبطة بسمو الوزير'!$B$2:$B$151,$B125,'المرتبطة بسمو الوزير'!$G$2:$G$151,$G125,'المرتبطة بسمو الوزير'!$I$2:$I$151,$I125,'المرتبطة بسمو الوزير'!$M$2:$M$151,"&lt;&gt;")+COUNTIFS('الشؤون التنفيذية'!$B$2:$B$421,$B125,'الشؤون التنفيذية'!$G$2:$G$421,$G125,'الشؤون التنفيذية'!$I$2:$I$421,$I125,'الشؤون التنفيذية'!$N$2:$N$421,"&lt;&gt;")+COUNTIFS('الجهاز العسكري'!$B$2:$B$631,$B125,'الجهاز العسكري'!$G$2:$G$631,$G125,'الجهاز العسكري'!$I$2:$I$631,$I125,'الجهاز العسكري'!$M$2:$M$631,"&lt;&gt;")</f>
        <v>1</v>
      </c>
      <c r="N125" s="24" t="n">
        <f aca="false">IF($L125=0,0,ROUND((SUMIFS('المرتبطة بسمو الوزير'!$M$2:$M$151,'المرتبطة بسمو الوزير'!$B$2:$B$151,$B125,'المرتبطة بسمو الوزير'!$G$2:$G$151,$G125,'المرتبطة بسمو الوزير'!$I$2:$I$151,$I125)+SUMIFS('الشؤون التنفيذية'!$N$2:$N$421,'الشؤون التنفيذية'!$B$2:$B$421,$B125,'الشؤون التنفيذية'!$G$2:$G$421,$G125,'الشؤون التنفيذية'!$I$2:$I$421,$I125)+SUMIFS('الجهاز العسكري'!$M$2:$M$631,'الجهاز العسكري'!$B$2:$B$631,$B125,'الجهاز العسكري'!$G$2:$G$631,$G125,'الجهاز العسكري'!$I$2:$I$631,$I125))/$L125,0))</f>
        <v>54</v>
      </c>
      <c r="O125" s="25" t="n">
        <f aca="false">IF($L125=0,0,ROUND((SUMIFS('المرتبطة بسمو الوزير'!$N$2:$N$151,'المرتبطة بسمو الوزير'!$B$2:$B$151,$B125,'المرتبطة بسمو الوزير'!$G$2:$G$151,$G125,'المرتبطة بسمو الوزير'!$I$2:$I$151,$I125)+SUMIFS('الشؤون التنفيذية'!$O$2:$O$421,'الشؤون التنفيذية'!$B$2:$B$421,$B125,'الشؤون التنفيذية'!$G$2:$G$421,$G125,'الشؤون التنفيذية'!$I$2:$I$421,$I125)+SUMIFS('الجهاز العسكري'!$N$2:$N$631,'الجهاز العسكري'!$B$2:$B$631,$B125,'الجهاز العسكري'!$G$2:$G$631,$G125,'الجهاز العسكري'!$I$2:$I$631,$I125))/$L125,0))</f>
        <v>100</v>
      </c>
      <c r="P125" s="22"/>
      <c r="Q125" s="19" t="n">
        <f aca="false">SUMIFS(المرجع!$G$2:$G$19,المرجع!$B$2:$B$19,$G125,المرجع!$E$2:$E$19,$I125)</f>
        <v>15</v>
      </c>
      <c r="R125" s="26" t="n">
        <f aca="false">ROUND($Q125*$N125/100,2)</f>
        <v>8.1</v>
      </c>
      <c r="S125" s="27" t="str">
        <f aca="false">IF($N125&gt;المرجع!$K$3,"متقدم",IF($N125&lt;=المرجع!$K$2,"أولي","جزئي"))</f>
        <v>جزئي</v>
      </c>
      <c r="T125" s="28" t="n">
        <f aca="false">ROUND($Q125*$O125/100,2)</f>
        <v>15</v>
      </c>
    </row>
    <row r="126" customFormat="false" ht="15" hidden="false" customHeight="true" outlineLevel="0" collapsed="false">
      <c r="A126" s="20" t="s">
        <v>1578</v>
      </c>
      <c r="B126" s="20" t="s">
        <v>166</v>
      </c>
      <c r="C126" s="19" t="str">
        <f aca="false">IFERROR(INDEX('قائمة الوحدات'!$B$2:$B$41,MATCH($B126,'قائمة الوحدات'!$A$2:$A$41,0)),"")</f>
        <v>EXE</v>
      </c>
      <c r="D126" s="18" t="str">
        <f aca="false">IFERROR(INDEX('قائمة الوحدات'!$C$2:$C$41,MATCH($B126,'قائمة الوحدات'!$A$2:$A$41,0)),"")</f>
        <v>الشؤون التنفيذية</v>
      </c>
      <c r="E126" s="18" t="str">
        <f aca="false">IFERROR(INDEX('قائمة الوحدات'!$D$2:$D$41,MATCH($B126,'قائمة الوحدات'!$A$2:$A$41,0)),"")</f>
        <v>وكالة الشؤون الفنية</v>
      </c>
      <c r="F126" s="18" t="str">
        <f aca="false">IFERROR(INDEX('قائمة الوحدات'!$F$2:$F$41,MATCH($B126,'قائمة الوحدات'!$A$2:$A$41,0)),"")</f>
        <v>الإدارة العامة للجودة والتطوير</v>
      </c>
      <c r="G126" s="20" t="s">
        <v>66</v>
      </c>
      <c r="H126" s="18" t="str">
        <f aca="false">IFERROR(INDEX(المرجع!$A$2:$A$19,MATCH($G126,المرجع!$B$2:$B$19,0)),"")</f>
        <v>التشغيل</v>
      </c>
      <c r="I126" s="20" t="s">
        <v>60</v>
      </c>
      <c r="J126" s="18" t="str">
        <f aca="false">IFERROR(INDEX(المرجع!$D$2:$D$19,MATCH($I126,المرجع!$E$2:$E$19,0)),"")</f>
        <v>الإجراءات</v>
      </c>
      <c r="K126" s="19" t="n">
        <f aca="false">IFERROR(INDEX(المرجع!$F$2:$F$19,MATCH($I126,المرجع!$E$2:$E$19,0)),"")</f>
        <v>6</v>
      </c>
      <c r="L126" s="19" t="n">
        <f aca="false">SUMIFS(المرجع!$H$2:$H$19,المرجع!$B$2:$B$19,$G126,المرجع!$E$2:$E$19,$I126)</f>
        <v>1</v>
      </c>
      <c r="M126" s="19" t="n">
        <f aca="false">COUNTIFS('المرتبطة بسمو الوزير'!$B$2:$B$151,$B126,'المرتبطة بسمو الوزير'!$G$2:$G$151,$G126,'المرتبطة بسمو الوزير'!$I$2:$I$151,$I126,'المرتبطة بسمو الوزير'!$M$2:$M$151,"&lt;&gt;")+COUNTIFS('الشؤون التنفيذية'!$B$2:$B$421,$B126,'الشؤون التنفيذية'!$G$2:$G$421,$G126,'الشؤون التنفيذية'!$I$2:$I$421,$I126,'الشؤون التنفيذية'!$N$2:$N$421,"&lt;&gt;")+COUNTIFS('الجهاز العسكري'!$B$2:$B$631,$B126,'الجهاز العسكري'!$G$2:$G$631,$G126,'الجهاز العسكري'!$I$2:$I$631,$I126,'الجهاز العسكري'!$M$2:$M$631,"&lt;&gt;")</f>
        <v>1</v>
      </c>
      <c r="N126" s="24" t="n">
        <f aca="false">IF($L126=0,0,ROUND((SUMIFS('المرتبطة بسمو الوزير'!$M$2:$M$151,'المرتبطة بسمو الوزير'!$B$2:$B$151,$B126,'المرتبطة بسمو الوزير'!$G$2:$G$151,$G126,'المرتبطة بسمو الوزير'!$I$2:$I$151,$I126)+SUMIFS('الشؤون التنفيذية'!$N$2:$N$421,'الشؤون التنفيذية'!$B$2:$B$421,$B126,'الشؤون التنفيذية'!$G$2:$G$421,$G126,'الشؤون التنفيذية'!$I$2:$I$421,$I126)+SUMIFS('الجهاز العسكري'!$M$2:$M$631,'الجهاز العسكري'!$B$2:$B$631,$B126,'الجهاز العسكري'!$G$2:$G$631,$G126,'الجهاز العسكري'!$I$2:$I$631,$I126))/$L126,0))</f>
        <v>61</v>
      </c>
      <c r="O126" s="25" t="n">
        <f aca="false">IF($L126=0,0,ROUND((SUMIFS('المرتبطة بسمو الوزير'!$N$2:$N$151,'المرتبطة بسمو الوزير'!$B$2:$B$151,$B126,'المرتبطة بسمو الوزير'!$G$2:$G$151,$G126,'المرتبطة بسمو الوزير'!$I$2:$I$151,$I126)+SUMIFS('الشؤون التنفيذية'!$O$2:$O$421,'الشؤون التنفيذية'!$B$2:$B$421,$B126,'الشؤون التنفيذية'!$G$2:$G$421,$G126,'الشؤون التنفيذية'!$I$2:$I$421,$I126)+SUMIFS('الجهاز العسكري'!$N$2:$N$631,'الجهاز العسكري'!$B$2:$B$631,$B126,'الجهاز العسكري'!$G$2:$G$631,$G126,'الجهاز العسكري'!$I$2:$I$631,$I126))/$L126,0))</f>
        <v>80</v>
      </c>
      <c r="P126" s="22"/>
      <c r="Q126" s="19" t="n">
        <f aca="false">SUMIFS(المرجع!$G$2:$G$19,المرجع!$B$2:$B$19,$G126,المرجع!$E$2:$E$19,$I126)</f>
        <v>15</v>
      </c>
      <c r="R126" s="26" t="n">
        <f aca="false">ROUND($Q126*$N126/100,2)</f>
        <v>9.15</v>
      </c>
      <c r="S126" s="27" t="str">
        <f aca="false">IF($N126&gt;المرجع!$K$3,"متقدم",IF($N126&lt;=المرجع!$K$2,"أولي","جزئي"))</f>
        <v>جزئي</v>
      </c>
      <c r="T126" s="28" t="n">
        <f aca="false">ROUND($Q126*$O126/100,2)</f>
        <v>12</v>
      </c>
    </row>
    <row r="127" customFormat="false" ht="15" hidden="false" customHeight="true" outlineLevel="0" collapsed="false">
      <c r="A127" s="20" t="s">
        <v>1579</v>
      </c>
      <c r="B127" s="20" t="s">
        <v>166</v>
      </c>
      <c r="C127" s="19" t="str">
        <f aca="false">IFERROR(INDEX('قائمة الوحدات'!$B$2:$B$41,MATCH($B127,'قائمة الوحدات'!$A$2:$A$41,0)),"")</f>
        <v>EXE</v>
      </c>
      <c r="D127" s="18" t="str">
        <f aca="false">IFERROR(INDEX('قائمة الوحدات'!$C$2:$C$41,MATCH($B127,'قائمة الوحدات'!$A$2:$A$41,0)),"")</f>
        <v>الشؤون التنفيذية</v>
      </c>
      <c r="E127" s="18" t="str">
        <f aca="false">IFERROR(INDEX('قائمة الوحدات'!$D$2:$D$41,MATCH($B127,'قائمة الوحدات'!$A$2:$A$41,0)),"")</f>
        <v>وكالة الشؤون الفنية</v>
      </c>
      <c r="F127" s="18" t="str">
        <f aca="false">IFERROR(INDEX('قائمة الوحدات'!$F$2:$F$41,MATCH($B127,'قائمة الوحدات'!$A$2:$A$41,0)),"")</f>
        <v>الإدارة العامة للجودة والتطوير</v>
      </c>
      <c r="G127" s="20" t="s">
        <v>66</v>
      </c>
      <c r="H127" s="18" t="str">
        <f aca="false">IFERROR(INDEX(المرجع!$A$2:$A$19,MATCH($G127,المرجع!$B$2:$B$19,0)),"")</f>
        <v>التشغيل</v>
      </c>
      <c r="I127" s="20" t="s">
        <v>71</v>
      </c>
      <c r="J127" s="18" t="str">
        <f aca="false">IFERROR(INDEX(المرجع!$D$2:$D$19,MATCH($I127,المرجع!$E$2:$E$19,0)),"")</f>
        <v>اكتمال المخرجات المستهدفة</v>
      </c>
      <c r="K127" s="19" t="n">
        <f aca="false">IFERROR(INDEX(المرجع!$F$2:$F$19,MATCH($I127,المرجع!$E$2:$E$19,0)),"")</f>
        <v>8</v>
      </c>
      <c r="L127" s="19" t="n">
        <f aca="false">SUMIFS(المرجع!$H$2:$H$19,المرجع!$B$2:$B$19,$G127,المرجع!$E$2:$E$19,$I127)</f>
        <v>1</v>
      </c>
      <c r="M127" s="19" t="n">
        <f aca="false">COUNTIFS('المرتبطة بسمو الوزير'!$B$2:$B$151,$B127,'المرتبطة بسمو الوزير'!$G$2:$G$151,$G127,'المرتبطة بسمو الوزير'!$I$2:$I$151,$I127,'المرتبطة بسمو الوزير'!$M$2:$M$151,"&lt;&gt;")+COUNTIFS('الشؤون التنفيذية'!$B$2:$B$421,$B127,'الشؤون التنفيذية'!$G$2:$G$421,$G127,'الشؤون التنفيذية'!$I$2:$I$421,$I127,'الشؤون التنفيذية'!$N$2:$N$421,"&lt;&gt;")+COUNTIFS('الجهاز العسكري'!$B$2:$B$631,$B127,'الجهاز العسكري'!$G$2:$G$631,$G127,'الجهاز العسكري'!$I$2:$I$631,$I127,'الجهاز العسكري'!$M$2:$M$631,"&lt;&gt;")</f>
        <v>1</v>
      </c>
      <c r="N127" s="24" t="n">
        <f aca="false">IF($L127=0,0,ROUND((SUMIFS('المرتبطة بسمو الوزير'!$M$2:$M$151,'المرتبطة بسمو الوزير'!$B$2:$B$151,$B127,'المرتبطة بسمو الوزير'!$G$2:$G$151,$G127,'المرتبطة بسمو الوزير'!$I$2:$I$151,$I127)+SUMIFS('الشؤون التنفيذية'!$N$2:$N$421,'الشؤون التنفيذية'!$B$2:$B$421,$B127,'الشؤون التنفيذية'!$G$2:$G$421,$G127,'الشؤون التنفيذية'!$I$2:$I$421,$I127)+SUMIFS('الجهاز العسكري'!$M$2:$M$631,'الجهاز العسكري'!$B$2:$B$631,$B127,'الجهاز العسكري'!$G$2:$G$631,$G127,'الجهاز العسكري'!$I$2:$I$631,$I127))/$L127,0))</f>
        <v>38</v>
      </c>
      <c r="O127" s="25" t="n">
        <f aca="false">IF($L127=0,0,ROUND((SUMIFS('المرتبطة بسمو الوزير'!$N$2:$N$151,'المرتبطة بسمو الوزير'!$B$2:$B$151,$B127,'المرتبطة بسمو الوزير'!$G$2:$G$151,$G127,'المرتبطة بسمو الوزير'!$I$2:$I$151,$I127)+SUMIFS('الشؤون التنفيذية'!$O$2:$O$421,'الشؤون التنفيذية'!$B$2:$B$421,$B127,'الشؤون التنفيذية'!$G$2:$G$421,$G127,'الشؤون التنفيذية'!$I$2:$I$421,$I127)+SUMIFS('الجهاز العسكري'!$N$2:$N$631,'الجهاز العسكري'!$B$2:$B$631,$B127,'الجهاز العسكري'!$G$2:$G$631,$G127,'الجهاز العسكري'!$I$2:$I$631,$I127))/$L127,0))</f>
        <v>95</v>
      </c>
      <c r="P127" s="22"/>
      <c r="Q127" s="19" t="n">
        <f aca="false">SUMIFS(المرجع!$G$2:$G$19,المرجع!$B$2:$B$19,$G127,المرجع!$E$2:$E$19,$I127)</f>
        <v>30</v>
      </c>
      <c r="R127" s="26" t="n">
        <f aca="false">ROUND($Q127*$N127/100,2)</f>
        <v>11.4</v>
      </c>
      <c r="S127" s="27" t="str">
        <f aca="false">IF($N127&gt;المرجع!$K$3,"متقدم",IF($N127&lt;=المرجع!$K$2,"أولي","جزئي"))</f>
        <v>جزئي</v>
      </c>
      <c r="T127" s="28" t="n">
        <f aca="false">ROUND($Q127*$O127/100,2)</f>
        <v>28.5</v>
      </c>
    </row>
    <row r="128" customFormat="false" ht="15" hidden="false" customHeight="true" outlineLevel="0" collapsed="false">
      <c r="A128" s="20" t="s">
        <v>1580</v>
      </c>
      <c r="B128" s="20" t="s">
        <v>168</v>
      </c>
      <c r="C128" s="19" t="str">
        <f aca="false">IFERROR(INDEX('قائمة الوحدات'!$B$2:$B$41,MATCH($B128,'قائمة الوحدات'!$A$2:$A$41,0)),"")</f>
        <v>EXE</v>
      </c>
      <c r="D128" s="18" t="str">
        <f aca="false">IFERROR(INDEX('قائمة الوحدات'!$C$2:$C$41,MATCH($B128,'قائمة الوحدات'!$A$2:$A$41,0)),"")</f>
        <v>الشؤون التنفيذية</v>
      </c>
      <c r="E128" s="18" t="str">
        <f aca="false">IFERROR(INDEX('قائمة الوحدات'!$D$2:$D$41,MATCH($B128,'قائمة الوحدات'!$A$2:$A$41,0)),"")</f>
        <v>وكالة الشؤون الفنية</v>
      </c>
      <c r="F128" s="18" t="str">
        <f aca="false">IFERROR(INDEX('قائمة الوحدات'!$F$2:$F$41,MATCH($B128,'قائمة الوحدات'!$A$2:$A$41,0)),"")</f>
        <v>الإدارة العامة للمشاريع</v>
      </c>
      <c r="G128" s="20" t="s">
        <v>44</v>
      </c>
      <c r="H128" s="18" t="str">
        <f aca="false">IFERROR(INDEX(المرجع!$A$2:$A$19,MATCH($G128,المرجع!$B$2:$B$19,0)),"")</f>
        <v>التصميم</v>
      </c>
      <c r="I128" s="20" t="s">
        <v>46</v>
      </c>
      <c r="J128" s="18" t="str">
        <f aca="false">IFERROR(INDEX(المرجع!$D$2:$D$19,MATCH($I128,المرجع!$E$2:$E$19,0)),"")</f>
        <v>الدور</v>
      </c>
      <c r="K128" s="19" t="n">
        <f aca="false">IFERROR(INDEX(المرجع!$F$2:$F$19,MATCH($I128,المرجع!$E$2:$E$19,0)),"")</f>
        <v>1</v>
      </c>
      <c r="L128" s="19" t="n">
        <f aca="false">SUMIFS(المرجع!$H$2:$H$19,المرجع!$B$2:$B$19,$G128,المرجع!$E$2:$E$19,$I128)</f>
        <v>1</v>
      </c>
      <c r="M128" s="19" t="n">
        <f aca="false">COUNTIFS('المرتبطة بسمو الوزير'!$B$2:$B$151,$B128,'المرتبطة بسمو الوزير'!$G$2:$G$151,$G128,'المرتبطة بسمو الوزير'!$I$2:$I$151,$I128,'المرتبطة بسمو الوزير'!$M$2:$M$151,"&lt;&gt;")+COUNTIFS('الشؤون التنفيذية'!$B$2:$B$421,$B128,'الشؤون التنفيذية'!$G$2:$G$421,$G128,'الشؤون التنفيذية'!$I$2:$I$421,$I128,'الشؤون التنفيذية'!$N$2:$N$421,"&lt;&gt;")+COUNTIFS('الجهاز العسكري'!$B$2:$B$631,$B128,'الجهاز العسكري'!$G$2:$G$631,$G128,'الجهاز العسكري'!$I$2:$I$631,$I128,'الجهاز العسكري'!$M$2:$M$631,"&lt;&gt;")</f>
        <v>1</v>
      </c>
      <c r="N128" s="24" t="n">
        <f aca="false">IF($L128=0,0,ROUND((SUMIFS('المرتبطة بسمو الوزير'!$M$2:$M$151,'المرتبطة بسمو الوزير'!$B$2:$B$151,$B128,'المرتبطة بسمو الوزير'!$G$2:$G$151,$G128,'المرتبطة بسمو الوزير'!$I$2:$I$151,$I128)+SUMIFS('الشؤون التنفيذية'!$N$2:$N$421,'الشؤون التنفيذية'!$B$2:$B$421,$B128,'الشؤون التنفيذية'!$G$2:$G$421,$G128,'الشؤون التنفيذية'!$I$2:$I$421,$I128)+SUMIFS('الجهاز العسكري'!$M$2:$M$631,'الجهاز العسكري'!$B$2:$B$631,$B128,'الجهاز العسكري'!$G$2:$G$631,$G128,'الجهاز العسكري'!$I$2:$I$631,$I128))/$L128,0))</f>
        <v>94</v>
      </c>
      <c r="O128" s="25" t="n">
        <f aca="false">IF($L128=0,0,ROUND((SUMIFS('المرتبطة بسمو الوزير'!$N$2:$N$151,'المرتبطة بسمو الوزير'!$B$2:$B$151,$B128,'المرتبطة بسمو الوزير'!$G$2:$G$151,$G128,'المرتبطة بسمو الوزير'!$I$2:$I$151,$I128)+SUMIFS('الشؤون التنفيذية'!$O$2:$O$421,'الشؤون التنفيذية'!$B$2:$B$421,$B128,'الشؤون التنفيذية'!$G$2:$G$421,$G128,'الشؤون التنفيذية'!$I$2:$I$421,$I128)+SUMIFS('الجهاز العسكري'!$N$2:$N$631,'الجهاز العسكري'!$B$2:$B$631,$B128,'الجهاز العسكري'!$G$2:$G$631,$G128,'الجهاز العسكري'!$I$2:$I$631,$I128))/$L128,0))</f>
        <v>100</v>
      </c>
      <c r="P128" s="22"/>
      <c r="Q128" s="19" t="n">
        <f aca="false">SUMIFS(المرجع!$G$2:$G$19,المرجع!$B$2:$B$19,$G128,المرجع!$E$2:$E$19,$I128)</f>
        <v>25</v>
      </c>
      <c r="R128" s="26" t="n">
        <f aca="false">ROUND($Q128*$N128/100,2)</f>
        <v>23.5</v>
      </c>
      <c r="S128" s="27" t="str">
        <f aca="false">IF($N128&gt;المرجع!$K$3,"متقدم",IF($N128&lt;=المرجع!$K$2,"أولي","جزئي"))</f>
        <v>متقدم</v>
      </c>
      <c r="T128" s="28" t="n">
        <f aca="false">ROUND($Q128*$O128/100,2)</f>
        <v>25</v>
      </c>
    </row>
    <row r="129" customFormat="false" ht="15" hidden="false" customHeight="true" outlineLevel="0" collapsed="false">
      <c r="A129" s="20" t="s">
        <v>1581</v>
      </c>
      <c r="B129" s="20" t="s">
        <v>168</v>
      </c>
      <c r="C129" s="19" t="str">
        <f aca="false">IFERROR(INDEX('قائمة الوحدات'!$B$2:$B$41,MATCH($B129,'قائمة الوحدات'!$A$2:$A$41,0)),"")</f>
        <v>EXE</v>
      </c>
      <c r="D129" s="18" t="str">
        <f aca="false">IFERROR(INDEX('قائمة الوحدات'!$C$2:$C$41,MATCH($B129,'قائمة الوحدات'!$A$2:$A$41,0)),"")</f>
        <v>الشؤون التنفيذية</v>
      </c>
      <c r="E129" s="18" t="str">
        <f aca="false">IFERROR(INDEX('قائمة الوحدات'!$D$2:$D$41,MATCH($B129,'قائمة الوحدات'!$A$2:$A$41,0)),"")</f>
        <v>وكالة الشؤون الفنية</v>
      </c>
      <c r="F129" s="18" t="str">
        <f aca="false">IFERROR(INDEX('قائمة الوحدات'!$F$2:$F$41,MATCH($B129,'قائمة الوحدات'!$A$2:$A$41,0)),"")</f>
        <v>الإدارة العامة للمشاريع</v>
      </c>
      <c r="G129" s="20" t="s">
        <v>44</v>
      </c>
      <c r="H129" s="18" t="str">
        <f aca="false">IFERROR(INDEX(المرجع!$A$2:$A$19,MATCH($G129,المرجع!$B$2:$B$19,0)),"")</f>
        <v>التصميم</v>
      </c>
      <c r="I129" s="20" t="s">
        <v>49</v>
      </c>
      <c r="J129" s="18" t="str">
        <f aca="false">IFERROR(INDEX(المرجع!$D$2:$D$19,MATCH($I129,المرجع!$E$2:$E$19,0)),"")</f>
        <v>الأهداف ومؤشرات الأداء</v>
      </c>
      <c r="K129" s="19" t="n">
        <f aca="false">IFERROR(INDEX(المرجع!$F$2:$F$19,MATCH($I129,المرجع!$E$2:$E$19,0)),"")</f>
        <v>2</v>
      </c>
      <c r="L129" s="19" t="n">
        <f aca="false">SUMIFS(المرجع!$H$2:$H$19,المرجع!$B$2:$B$19,$G129,المرجع!$E$2:$E$19,$I129)</f>
        <v>2</v>
      </c>
      <c r="M129" s="19" t="n">
        <f aca="false">COUNTIFS('المرتبطة بسمو الوزير'!$B$2:$B$151,$B129,'المرتبطة بسمو الوزير'!$G$2:$G$151,$G129,'المرتبطة بسمو الوزير'!$I$2:$I$151,$I129,'المرتبطة بسمو الوزير'!$M$2:$M$151,"&lt;&gt;")+COUNTIFS('الشؤون التنفيذية'!$B$2:$B$421,$B129,'الشؤون التنفيذية'!$G$2:$G$421,$G129,'الشؤون التنفيذية'!$I$2:$I$421,$I129,'الشؤون التنفيذية'!$N$2:$N$421,"&lt;&gt;")+COUNTIFS('الجهاز العسكري'!$B$2:$B$631,$B129,'الجهاز العسكري'!$G$2:$G$631,$G129,'الجهاز العسكري'!$I$2:$I$631,$I129,'الجهاز العسكري'!$M$2:$M$631,"&lt;&gt;")</f>
        <v>2</v>
      </c>
      <c r="N129" s="24" t="n">
        <f aca="false">IF($L129=0,0,ROUND((SUMIFS('المرتبطة بسمو الوزير'!$M$2:$M$151,'المرتبطة بسمو الوزير'!$B$2:$B$151,$B129,'المرتبطة بسمو الوزير'!$G$2:$G$151,$G129,'المرتبطة بسمو الوزير'!$I$2:$I$151,$I129)+SUMIFS('الشؤون التنفيذية'!$N$2:$N$421,'الشؤون التنفيذية'!$B$2:$B$421,$B129,'الشؤون التنفيذية'!$G$2:$G$421,$G129,'الشؤون التنفيذية'!$I$2:$I$421,$I129)+SUMIFS('الجهاز العسكري'!$M$2:$M$631,'الجهاز العسكري'!$B$2:$B$631,$B129,'الجهاز العسكري'!$G$2:$G$631,$G129,'الجهاز العسكري'!$I$2:$I$631,$I129))/$L129,0))</f>
        <v>93</v>
      </c>
      <c r="O129" s="25" t="n">
        <f aca="false">IF($L129=0,0,ROUND((SUMIFS('المرتبطة بسمو الوزير'!$N$2:$N$151,'المرتبطة بسمو الوزير'!$B$2:$B$151,$B129,'المرتبطة بسمو الوزير'!$G$2:$G$151,$G129,'المرتبطة بسمو الوزير'!$I$2:$I$151,$I129)+SUMIFS('الشؤون التنفيذية'!$O$2:$O$421,'الشؤون التنفيذية'!$B$2:$B$421,$B129,'الشؤون التنفيذية'!$G$2:$G$421,$G129,'الشؤون التنفيذية'!$I$2:$I$421,$I129)+SUMIFS('الجهاز العسكري'!$N$2:$N$631,'الجهاز العسكري'!$B$2:$B$631,$B129,'الجهاز العسكري'!$G$2:$G$631,$G129,'الجهاز العسكري'!$I$2:$I$631,$I129))/$L129,0))</f>
        <v>100</v>
      </c>
      <c r="P129" s="22"/>
      <c r="Q129" s="19" t="n">
        <f aca="false">SUMIFS(المرجع!$G$2:$G$19,المرجع!$B$2:$B$19,$G129,المرجع!$E$2:$E$19,$I129)</f>
        <v>15</v>
      </c>
      <c r="R129" s="26" t="n">
        <f aca="false">ROUND($Q129*$N129/100,2)</f>
        <v>13.95</v>
      </c>
      <c r="S129" s="27" t="str">
        <f aca="false">IF($N129&gt;المرجع!$K$3,"متقدم",IF($N129&lt;=المرجع!$K$2,"أولي","جزئي"))</f>
        <v>متقدم</v>
      </c>
      <c r="T129" s="28" t="n">
        <f aca="false">ROUND($Q129*$O129/100,2)</f>
        <v>15</v>
      </c>
    </row>
    <row r="130" customFormat="false" ht="15" hidden="false" customHeight="true" outlineLevel="0" collapsed="false">
      <c r="A130" s="20" t="s">
        <v>1582</v>
      </c>
      <c r="B130" s="20" t="s">
        <v>168</v>
      </c>
      <c r="C130" s="19" t="str">
        <f aca="false">IFERROR(INDEX('قائمة الوحدات'!$B$2:$B$41,MATCH($B130,'قائمة الوحدات'!$A$2:$A$41,0)),"")</f>
        <v>EXE</v>
      </c>
      <c r="D130" s="18" t="str">
        <f aca="false">IFERROR(INDEX('قائمة الوحدات'!$C$2:$C$41,MATCH($B130,'قائمة الوحدات'!$A$2:$A$41,0)),"")</f>
        <v>الشؤون التنفيذية</v>
      </c>
      <c r="E130" s="18" t="str">
        <f aca="false">IFERROR(INDEX('قائمة الوحدات'!$D$2:$D$41,MATCH($B130,'قائمة الوحدات'!$A$2:$A$41,0)),"")</f>
        <v>وكالة الشؤون الفنية</v>
      </c>
      <c r="F130" s="18" t="str">
        <f aca="false">IFERROR(INDEX('قائمة الوحدات'!$F$2:$F$41,MATCH($B130,'قائمة الوحدات'!$A$2:$A$41,0)),"")</f>
        <v>الإدارة العامة للمشاريع</v>
      </c>
      <c r="G130" s="20" t="s">
        <v>44</v>
      </c>
      <c r="H130" s="18" t="str">
        <f aca="false">IFERROR(INDEX(المرجع!$A$2:$A$19,MATCH($G130,المرجع!$B$2:$B$19,0)),"")</f>
        <v>التصميم</v>
      </c>
      <c r="I130" s="20" t="s">
        <v>52</v>
      </c>
      <c r="J130" s="18" t="str">
        <f aca="false">IFERROR(INDEX(المرجع!$D$2:$D$19,MATCH($I130,المرجع!$E$2:$E$19,0)),"")</f>
        <v>الحوكمة</v>
      </c>
      <c r="K130" s="19" t="n">
        <f aca="false">IFERROR(INDEX(المرجع!$F$2:$F$19,MATCH($I130,المرجع!$E$2:$E$19,0)),"")</f>
        <v>3</v>
      </c>
      <c r="L130" s="19" t="n">
        <f aca="false">SUMIFS(المرجع!$H$2:$H$19,المرجع!$B$2:$B$19,$G130,المرجع!$E$2:$E$19,$I130)</f>
        <v>1</v>
      </c>
      <c r="M130" s="19" t="n">
        <f aca="false">COUNTIFS('المرتبطة بسمو الوزير'!$B$2:$B$151,$B130,'المرتبطة بسمو الوزير'!$G$2:$G$151,$G130,'المرتبطة بسمو الوزير'!$I$2:$I$151,$I130,'المرتبطة بسمو الوزير'!$M$2:$M$151,"&lt;&gt;")+COUNTIFS('الشؤون التنفيذية'!$B$2:$B$421,$B130,'الشؤون التنفيذية'!$G$2:$G$421,$G130,'الشؤون التنفيذية'!$I$2:$I$421,$I130,'الشؤون التنفيذية'!$N$2:$N$421,"&lt;&gt;")+COUNTIFS('الجهاز العسكري'!$B$2:$B$631,$B130,'الجهاز العسكري'!$G$2:$G$631,$G130,'الجهاز العسكري'!$I$2:$I$631,$I130,'الجهاز العسكري'!$M$2:$M$631,"&lt;&gt;")</f>
        <v>1</v>
      </c>
      <c r="N130" s="24" t="n">
        <f aca="false">IF($L130=0,0,ROUND((SUMIFS('المرتبطة بسمو الوزير'!$M$2:$M$151,'المرتبطة بسمو الوزير'!$B$2:$B$151,$B130,'المرتبطة بسمو الوزير'!$G$2:$G$151,$G130,'المرتبطة بسمو الوزير'!$I$2:$I$151,$I130)+SUMIFS('الشؤون التنفيذية'!$N$2:$N$421,'الشؤون التنفيذية'!$B$2:$B$421,$B130,'الشؤون التنفيذية'!$G$2:$G$421,$G130,'الشؤون التنفيذية'!$I$2:$I$421,$I130)+SUMIFS('الجهاز العسكري'!$M$2:$M$631,'الجهاز العسكري'!$B$2:$B$631,$B130,'الجهاز العسكري'!$G$2:$G$631,$G130,'الجهاز العسكري'!$I$2:$I$631,$I130))/$L130,0))</f>
        <v>81</v>
      </c>
      <c r="O130" s="25" t="n">
        <f aca="false">IF($L130=0,0,ROUND((SUMIFS('المرتبطة بسمو الوزير'!$N$2:$N$151,'المرتبطة بسمو الوزير'!$B$2:$B$151,$B130,'المرتبطة بسمو الوزير'!$G$2:$G$151,$G130,'المرتبطة بسمو الوزير'!$I$2:$I$151,$I130)+SUMIFS('الشؤون التنفيذية'!$O$2:$O$421,'الشؤون التنفيذية'!$B$2:$B$421,$B130,'الشؤون التنفيذية'!$G$2:$G$421,$G130,'الشؤون التنفيذية'!$I$2:$I$421,$I130)+SUMIFS('الجهاز العسكري'!$N$2:$N$631,'الجهاز العسكري'!$B$2:$B$631,$B130,'الجهاز العسكري'!$G$2:$G$631,$G130,'الجهاز العسكري'!$I$2:$I$631,$I130))/$L130,0))</f>
        <v>100</v>
      </c>
      <c r="P130" s="22"/>
      <c r="Q130" s="19" t="n">
        <f aca="false">SUMIFS(المرجع!$G$2:$G$19,المرجع!$B$2:$B$19,$G130,المرجع!$E$2:$E$19,$I130)</f>
        <v>15</v>
      </c>
      <c r="R130" s="26" t="n">
        <f aca="false">ROUND($Q130*$N130/100,2)</f>
        <v>12.15</v>
      </c>
      <c r="S130" s="27" t="str">
        <f aca="false">IF($N130&gt;المرجع!$K$3,"متقدم",IF($N130&lt;=المرجع!$K$2,"أولي","جزئي"))</f>
        <v>متقدم</v>
      </c>
      <c r="T130" s="28" t="n">
        <f aca="false">ROUND($Q130*$O130/100,2)</f>
        <v>15</v>
      </c>
    </row>
    <row r="131" customFormat="false" ht="15" hidden="false" customHeight="true" outlineLevel="0" collapsed="false">
      <c r="A131" s="20" t="s">
        <v>1583</v>
      </c>
      <c r="B131" s="20" t="s">
        <v>168</v>
      </c>
      <c r="C131" s="19" t="str">
        <f aca="false">IFERROR(INDEX('قائمة الوحدات'!$B$2:$B$41,MATCH($B131,'قائمة الوحدات'!$A$2:$A$41,0)),"")</f>
        <v>EXE</v>
      </c>
      <c r="D131" s="18" t="str">
        <f aca="false">IFERROR(INDEX('قائمة الوحدات'!$C$2:$C$41,MATCH($B131,'قائمة الوحدات'!$A$2:$A$41,0)),"")</f>
        <v>الشؤون التنفيذية</v>
      </c>
      <c r="E131" s="18" t="str">
        <f aca="false">IFERROR(INDEX('قائمة الوحدات'!$D$2:$D$41,MATCH($B131,'قائمة الوحدات'!$A$2:$A$41,0)),"")</f>
        <v>وكالة الشؤون الفنية</v>
      </c>
      <c r="F131" s="18" t="str">
        <f aca="false">IFERROR(INDEX('قائمة الوحدات'!$F$2:$F$41,MATCH($B131,'قائمة الوحدات'!$A$2:$A$41,0)),"")</f>
        <v>الإدارة العامة للمشاريع</v>
      </c>
      <c r="G131" s="20" t="s">
        <v>44</v>
      </c>
      <c r="H131" s="18" t="str">
        <f aca="false">IFERROR(INDEX(المرجع!$A$2:$A$19,MATCH($G131,المرجع!$B$2:$B$19,0)),"")</f>
        <v>التصميم</v>
      </c>
      <c r="I131" s="20" t="s">
        <v>55</v>
      </c>
      <c r="J131" s="18" t="str">
        <f aca="false">IFERROR(INDEX(المرجع!$D$2:$D$19,MATCH($I131,المرجع!$E$2:$E$19,0)),"")</f>
        <v>التنظيم</v>
      </c>
      <c r="K131" s="19" t="n">
        <f aca="false">IFERROR(INDEX(المرجع!$F$2:$F$19,MATCH($I131,المرجع!$E$2:$E$19,0)),"")</f>
        <v>4</v>
      </c>
      <c r="L131" s="19" t="n">
        <f aca="false">SUMIFS(المرجع!$H$2:$H$19,المرجع!$B$2:$B$19,$G131,المرجع!$E$2:$E$19,$I131)</f>
        <v>1</v>
      </c>
      <c r="M131" s="19" t="n">
        <f aca="false">COUNTIFS('المرتبطة بسمو الوزير'!$B$2:$B$151,$B131,'المرتبطة بسمو الوزير'!$G$2:$G$151,$G131,'المرتبطة بسمو الوزير'!$I$2:$I$151,$I131,'المرتبطة بسمو الوزير'!$M$2:$M$151,"&lt;&gt;")+COUNTIFS('الشؤون التنفيذية'!$B$2:$B$421,$B131,'الشؤون التنفيذية'!$G$2:$G$421,$G131,'الشؤون التنفيذية'!$I$2:$I$421,$I131,'الشؤون التنفيذية'!$N$2:$N$421,"&lt;&gt;")+COUNTIFS('الجهاز العسكري'!$B$2:$B$631,$B131,'الجهاز العسكري'!$G$2:$G$631,$G131,'الجهاز العسكري'!$I$2:$I$631,$I131,'الجهاز العسكري'!$M$2:$M$631,"&lt;&gt;")</f>
        <v>1</v>
      </c>
      <c r="N131" s="24" t="n">
        <f aca="false">IF($L131=0,0,ROUND((SUMIFS('المرتبطة بسمو الوزير'!$M$2:$M$151,'المرتبطة بسمو الوزير'!$B$2:$B$151,$B131,'المرتبطة بسمو الوزير'!$G$2:$G$151,$G131,'المرتبطة بسمو الوزير'!$I$2:$I$151,$I131)+SUMIFS('الشؤون التنفيذية'!$N$2:$N$421,'الشؤون التنفيذية'!$B$2:$B$421,$B131,'الشؤون التنفيذية'!$G$2:$G$421,$G131,'الشؤون التنفيذية'!$I$2:$I$421,$I131)+SUMIFS('الجهاز العسكري'!$M$2:$M$631,'الجهاز العسكري'!$B$2:$B$631,$B131,'الجهاز العسكري'!$G$2:$G$631,$G131,'الجهاز العسكري'!$I$2:$I$631,$I131))/$L131,0))</f>
        <v>91</v>
      </c>
      <c r="O131" s="25" t="n">
        <f aca="false">IF($L131=0,0,ROUND((SUMIFS('المرتبطة بسمو الوزير'!$N$2:$N$151,'المرتبطة بسمو الوزير'!$B$2:$B$151,$B131,'المرتبطة بسمو الوزير'!$G$2:$G$151,$G131,'المرتبطة بسمو الوزير'!$I$2:$I$151,$I131)+SUMIFS('الشؤون التنفيذية'!$O$2:$O$421,'الشؤون التنفيذية'!$B$2:$B$421,$B131,'الشؤون التنفيذية'!$G$2:$G$421,$G131,'الشؤون التنفيذية'!$I$2:$I$421,$I131)+SUMIFS('الجهاز العسكري'!$N$2:$N$631,'الجهاز العسكري'!$B$2:$B$631,$B131,'الجهاز العسكري'!$G$2:$G$631,$G131,'الجهاز العسكري'!$I$2:$I$631,$I131))/$L131,0))</f>
        <v>100</v>
      </c>
      <c r="P131" s="22"/>
      <c r="Q131" s="19" t="n">
        <f aca="false">SUMIFS(المرجع!$G$2:$G$19,المرجع!$B$2:$B$19,$G131,المرجع!$E$2:$E$19,$I131)</f>
        <v>20</v>
      </c>
      <c r="R131" s="26" t="n">
        <f aca="false">ROUND($Q131*$N131/100,2)</f>
        <v>18.2</v>
      </c>
      <c r="S131" s="27" t="str">
        <f aca="false">IF($N131&gt;المرجع!$K$3,"متقدم",IF($N131&lt;=المرجع!$K$2,"أولي","جزئي"))</f>
        <v>متقدم</v>
      </c>
      <c r="T131" s="28" t="n">
        <f aca="false">ROUND($Q131*$O131/100,2)</f>
        <v>20</v>
      </c>
    </row>
    <row r="132" customFormat="false" ht="15" hidden="false" customHeight="true" outlineLevel="0" collapsed="false">
      <c r="A132" s="20" t="s">
        <v>1584</v>
      </c>
      <c r="B132" s="20" t="s">
        <v>168</v>
      </c>
      <c r="C132" s="19" t="str">
        <f aca="false">IFERROR(INDEX('قائمة الوحدات'!$B$2:$B$41,MATCH($B132,'قائمة الوحدات'!$A$2:$A$41,0)),"")</f>
        <v>EXE</v>
      </c>
      <c r="D132" s="18" t="str">
        <f aca="false">IFERROR(INDEX('قائمة الوحدات'!$C$2:$C$41,MATCH($B132,'قائمة الوحدات'!$A$2:$A$41,0)),"")</f>
        <v>الشؤون التنفيذية</v>
      </c>
      <c r="E132" s="18" t="str">
        <f aca="false">IFERROR(INDEX('قائمة الوحدات'!$D$2:$D$41,MATCH($B132,'قائمة الوحدات'!$A$2:$A$41,0)),"")</f>
        <v>وكالة الشؤون الفنية</v>
      </c>
      <c r="F132" s="18" t="str">
        <f aca="false">IFERROR(INDEX('قائمة الوحدات'!$F$2:$F$41,MATCH($B132,'قائمة الوحدات'!$A$2:$A$41,0)),"")</f>
        <v>الإدارة العامة للمشاريع</v>
      </c>
      <c r="G132" s="20" t="s">
        <v>44</v>
      </c>
      <c r="H132" s="18" t="str">
        <f aca="false">IFERROR(INDEX(المرجع!$A$2:$A$19,MATCH($G132,المرجع!$B$2:$B$19,0)),"")</f>
        <v>التصميم</v>
      </c>
      <c r="I132" s="20" t="s">
        <v>57</v>
      </c>
      <c r="J132" s="18" t="str">
        <f aca="false">IFERROR(INDEX(المرجع!$D$2:$D$19,MATCH($I132,المرجع!$E$2:$E$19,0)),"")</f>
        <v>الموارد</v>
      </c>
      <c r="K132" s="19" t="n">
        <f aca="false">IFERROR(INDEX(المرجع!$F$2:$F$19,MATCH($I132,المرجع!$E$2:$E$19,0)),"")</f>
        <v>5</v>
      </c>
      <c r="L132" s="19" t="n">
        <f aca="false">SUMIFS(المرجع!$H$2:$H$19,المرجع!$B$2:$B$19,$G132,المرجع!$E$2:$E$19,$I132)</f>
        <v>1</v>
      </c>
      <c r="M132" s="19" t="n">
        <f aca="false">COUNTIFS('المرتبطة بسمو الوزير'!$B$2:$B$151,$B132,'المرتبطة بسمو الوزير'!$G$2:$G$151,$G132,'المرتبطة بسمو الوزير'!$I$2:$I$151,$I132,'المرتبطة بسمو الوزير'!$M$2:$M$151,"&lt;&gt;")+COUNTIFS('الشؤون التنفيذية'!$B$2:$B$421,$B132,'الشؤون التنفيذية'!$G$2:$G$421,$G132,'الشؤون التنفيذية'!$I$2:$I$421,$I132,'الشؤون التنفيذية'!$N$2:$N$421,"&lt;&gt;")+COUNTIFS('الجهاز العسكري'!$B$2:$B$631,$B132,'الجهاز العسكري'!$G$2:$G$631,$G132,'الجهاز العسكري'!$I$2:$I$631,$I132,'الجهاز العسكري'!$M$2:$M$631,"&lt;&gt;")</f>
        <v>1</v>
      </c>
      <c r="N132" s="24" t="n">
        <f aca="false">IF($L132=0,0,ROUND((SUMIFS('المرتبطة بسمو الوزير'!$M$2:$M$151,'المرتبطة بسمو الوزير'!$B$2:$B$151,$B132,'المرتبطة بسمو الوزير'!$G$2:$G$151,$G132,'المرتبطة بسمو الوزير'!$I$2:$I$151,$I132)+SUMIFS('الشؤون التنفيذية'!$N$2:$N$421,'الشؤون التنفيذية'!$B$2:$B$421,$B132,'الشؤون التنفيذية'!$G$2:$G$421,$G132,'الشؤون التنفيذية'!$I$2:$I$421,$I132)+SUMIFS('الجهاز العسكري'!$M$2:$M$631,'الجهاز العسكري'!$B$2:$B$631,$B132,'الجهاز العسكري'!$G$2:$G$631,$G132,'الجهاز العسكري'!$I$2:$I$631,$I132))/$L132,0))</f>
        <v>71</v>
      </c>
      <c r="O132" s="25" t="n">
        <f aca="false">IF($L132=0,0,ROUND((SUMIFS('المرتبطة بسمو الوزير'!$N$2:$N$151,'المرتبطة بسمو الوزير'!$B$2:$B$151,$B132,'المرتبطة بسمو الوزير'!$G$2:$G$151,$G132,'المرتبطة بسمو الوزير'!$I$2:$I$151,$I132)+SUMIFS('الشؤون التنفيذية'!$O$2:$O$421,'الشؤون التنفيذية'!$B$2:$B$421,$B132,'الشؤون التنفيذية'!$G$2:$G$421,$G132,'الشؤون التنفيذية'!$I$2:$I$421,$I132)+SUMIFS('الجهاز العسكري'!$N$2:$N$631,'الجهاز العسكري'!$B$2:$B$631,$B132,'الجهاز العسكري'!$G$2:$G$631,$G132,'الجهاز العسكري'!$I$2:$I$631,$I132))/$L132,0))</f>
        <v>100</v>
      </c>
      <c r="P132" s="22"/>
      <c r="Q132" s="19" t="n">
        <f aca="false">SUMIFS(المرجع!$G$2:$G$19,المرجع!$B$2:$B$19,$G132,المرجع!$E$2:$E$19,$I132)</f>
        <v>20</v>
      </c>
      <c r="R132" s="26" t="n">
        <f aca="false">ROUND($Q132*$N132/100,2)</f>
        <v>14.2</v>
      </c>
      <c r="S132" s="27" t="str">
        <f aca="false">IF($N132&gt;المرجع!$K$3,"متقدم",IF($N132&lt;=المرجع!$K$2,"أولي","جزئي"))</f>
        <v>متقدم</v>
      </c>
      <c r="T132" s="28" t="n">
        <f aca="false">ROUND($Q132*$O132/100,2)</f>
        <v>20</v>
      </c>
    </row>
    <row r="133" customFormat="false" ht="15" hidden="false" customHeight="true" outlineLevel="0" collapsed="false">
      <c r="A133" s="20" t="s">
        <v>1585</v>
      </c>
      <c r="B133" s="20" t="s">
        <v>168</v>
      </c>
      <c r="C133" s="19" t="str">
        <f aca="false">IFERROR(INDEX('قائمة الوحدات'!$B$2:$B$41,MATCH($B133,'قائمة الوحدات'!$A$2:$A$41,0)),"")</f>
        <v>EXE</v>
      </c>
      <c r="D133" s="18" t="str">
        <f aca="false">IFERROR(INDEX('قائمة الوحدات'!$C$2:$C$41,MATCH($B133,'قائمة الوحدات'!$A$2:$A$41,0)),"")</f>
        <v>الشؤون التنفيذية</v>
      </c>
      <c r="E133" s="18" t="str">
        <f aca="false">IFERROR(INDEX('قائمة الوحدات'!$D$2:$D$41,MATCH($B133,'قائمة الوحدات'!$A$2:$A$41,0)),"")</f>
        <v>وكالة الشؤون الفنية</v>
      </c>
      <c r="F133" s="18" t="str">
        <f aca="false">IFERROR(INDEX('قائمة الوحدات'!$F$2:$F$41,MATCH($B133,'قائمة الوحدات'!$A$2:$A$41,0)),"")</f>
        <v>الإدارة العامة للمشاريع</v>
      </c>
      <c r="G133" s="20" t="s">
        <v>44</v>
      </c>
      <c r="H133" s="18" t="str">
        <f aca="false">IFERROR(INDEX(المرجع!$A$2:$A$19,MATCH($G133,المرجع!$B$2:$B$19,0)),"")</f>
        <v>التصميم</v>
      </c>
      <c r="I133" s="20" t="s">
        <v>60</v>
      </c>
      <c r="J133" s="18" t="str">
        <f aca="false">IFERROR(INDEX(المرجع!$D$2:$D$19,MATCH($I133,المرجع!$E$2:$E$19,0)),"")</f>
        <v>الإجراءات</v>
      </c>
      <c r="K133" s="19" t="n">
        <f aca="false">IFERROR(INDEX(المرجع!$F$2:$F$19,MATCH($I133,المرجع!$E$2:$E$19,0)),"")</f>
        <v>6</v>
      </c>
      <c r="L133" s="19" t="n">
        <f aca="false">SUMIFS(المرجع!$H$2:$H$19,المرجع!$B$2:$B$19,$G133,المرجع!$E$2:$E$19,$I133)</f>
        <v>1</v>
      </c>
      <c r="M133" s="19" t="n">
        <f aca="false">COUNTIFS('المرتبطة بسمو الوزير'!$B$2:$B$151,$B133,'المرتبطة بسمو الوزير'!$G$2:$G$151,$G133,'المرتبطة بسمو الوزير'!$I$2:$I$151,$I133,'المرتبطة بسمو الوزير'!$M$2:$M$151,"&lt;&gt;")+COUNTIFS('الشؤون التنفيذية'!$B$2:$B$421,$B133,'الشؤون التنفيذية'!$G$2:$G$421,$G133,'الشؤون التنفيذية'!$I$2:$I$421,$I133,'الشؤون التنفيذية'!$N$2:$N$421,"&lt;&gt;")+COUNTIFS('الجهاز العسكري'!$B$2:$B$631,$B133,'الجهاز العسكري'!$G$2:$G$631,$G133,'الجهاز العسكري'!$I$2:$I$631,$I133,'الجهاز العسكري'!$M$2:$M$631,"&lt;&gt;")</f>
        <v>1</v>
      </c>
      <c r="N133" s="24" t="n">
        <f aca="false">IF($L133=0,0,ROUND((SUMIFS('المرتبطة بسمو الوزير'!$M$2:$M$151,'المرتبطة بسمو الوزير'!$B$2:$B$151,$B133,'المرتبطة بسمو الوزير'!$G$2:$G$151,$G133,'المرتبطة بسمو الوزير'!$I$2:$I$151,$I133)+SUMIFS('الشؤون التنفيذية'!$N$2:$N$421,'الشؤون التنفيذية'!$B$2:$B$421,$B133,'الشؤون التنفيذية'!$G$2:$G$421,$G133,'الشؤون التنفيذية'!$I$2:$I$421,$I133)+SUMIFS('الجهاز العسكري'!$M$2:$M$631,'الجهاز العسكري'!$B$2:$B$631,$B133,'الجهاز العسكري'!$G$2:$G$631,$G133,'الجهاز العسكري'!$I$2:$I$631,$I133))/$L133,0))</f>
        <v>98</v>
      </c>
      <c r="O133" s="25" t="n">
        <f aca="false">IF($L133=0,0,ROUND((SUMIFS('المرتبطة بسمو الوزير'!$N$2:$N$151,'المرتبطة بسمو الوزير'!$B$2:$B$151,$B133,'المرتبطة بسمو الوزير'!$G$2:$G$151,$G133,'المرتبطة بسمو الوزير'!$I$2:$I$151,$I133)+SUMIFS('الشؤون التنفيذية'!$O$2:$O$421,'الشؤون التنفيذية'!$B$2:$B$421,$B133,'الشؤون التنفيذية'!$G$2:$G$421,$G133,'الشؤون التنفيذية'!$I$2:$I$421,$I133)+SUMIFS('الجهاز العسكري'!$N$2:$N$631,'الجهاز العسكري'!$B$2:$B$631,$B133,'الجهاز العسكري'!$G$2:$G$631,$G133,'الجهاز العسكري'!$I$2:$I$631,$I133))/$L133,0))</f>
        <v>98</v>
      </c>
      <c r="P133" s="22"/>
      <c r="Q133" s="19" t="n">
        <f aca="false">SUMIFS(المرجع!$G$2:$G$19,المرجع!$B$2:$B$19,$G133,المرجع!$E$2:$E$19,$I133)</f>
        <v>5</v>
      </c>
      <c r="R133" s="26" t="n">
        <f aca="false">ROUND($Q133*$N133/100,2)</f>
        <v>4.9</v>
      </c>
      <c r="S133" s="27" t="str">
        <f aca="false">IF($N133&gt;المرجع!$K$3,"متقدم",IF($N133&lt;=المرجع!$K$2,"أولي","جزئي"))</f>
        <v>متقدم</v>
      </c>
      <c r="T133" s="28" t="n">
        <f aca="false">ROUND($Q133*$O133/100,2)</f>
        <v>4.9</v>
      </c>
    </row>
    <row r="134" customFormat="false" ht="15" hidden="false" customHeight="true" outlineLevel="0" collapsed="false">
      <c r="A134" s="20" t="s">
        <v>1586</v>
      </c>
      <c r="B134" s="20" t="s">
        <v>168</v>
      </c>
      <c r="C134" s="19" t="str">
        <f aca="false">IFERROR(INDEX('قائمة الوحدات'!$B$2:$B$41,MATCH($B134,'قائمة الوحدات'!$A$2:$A$41,0)),"")</f>
        <v>EXE</v>
      </c>
      <c r="D134" s="18" t="str">
        <f aca="false">IFERROR(INDEX('قائمة الوحدات'!$C$2:$C$41,MATCH($B134,'قائمة الوحدات'!$A$2:$A$41,0)),"")</f>
        <v>الشؤون التنفيذية</v>
      </c>
      <c r="E134" s="18" t="str">
        <f aca="false">IFERROR(INDEX('قائمة الوحدات'!$D$2:$D$41,MATCH($B134,'قائمة الوحدات'!$A$2:$A$41,0)),"")</f>
        <v>وكالة الشؤون الفنية</v>
      </c>
      <c r="F134" s="18" t="str">
        <f aca="false">IFERROR(INDEX('قائمة الوحدات'!$F$2:$F$41,MATCH($B134,'قائمة الوحدات'!$A$2:$A$41,0)),"")</f>
        <v>الإدارة العامة للمشاريع</v>
      </c>
      <c r="G134" s="20" t="s">
        <v>62</v>
      </c>
      <c r="H134" s="18" t="str">
        <f aca="false">IFERROR(INDEX(المرجع!$A$2:$A$19,MATCH($G134,المرجع!$B$2:$B$19,0)),"")</f>
        <v>البناء المؤسسي</v>
      </c>
      <c r="I134" s="20" t="s">
        <v>46</v>
      </c>
      <c r="J134" s="18" t="str">
        <f aca="false">IFERROR(INDEX(المرجع!$D$2:$D$19,MATCH($I134,المرجع!$E$2:$E$19,0)),"")</f>
        <v>الدور</v>
      </c>
      <c r="K134" s="19" t="n">
        <f aca="false">IFERROR(INDEX(المرجع!$F$2:$F$19,MATCH($I134,المرجع!$E$2:$E$19,0)),"")</f>
        <v>1</v>
      </c>
      <c r="L134" s="19" t="n">
        <f aca="false">SUMIFS(المرجع!$H$2:$H$19,المرجع!$B$2:$B$19,$G134,المرجع!$E$2:$E$19,$I134)</f>
        <v>1</v>
      </c>
      <c r="M134" s="19" t="n">
        <f aca="false">COUNTIFS('المرتبطة بسمو الوزير'!$B$2:$B$151,$B134,'المرتبطة بسمو الوزير'!$G$2:$G$151,$G134,'المرتبطة بسمو الوزير'!$I$2:$I$151,$I134,'المرتبطة بسمو الوزير'!$M$2:$M$151,"&lt;&gt;")+COUNTIFS('الشؤون التنفيذية'!$B$2:$B$421,$B134,'الشؤون التنفيذية'!$G$2:$G$421,$G134,'الشؤون التنفيذية'!$I$2:$I$421,$I134,'الشؤون التنفيذية'!$N$2:$N$421,"&lt;&gt;")+COUNTIFS('الجهاز العسكري'!$B$2:$B$631,$B134,'الجهاز العسكري'!$G$2:$G$631,$G134,'الجهاز العسكري'!$I$2:$I$631,$I134,'الجهاز العسكري'!$M$2:$M$631,"&lt;&gt;")</f>
        <v>1</v>
      </c>
      <c r="N134" s="24" t="n">
        <f aca="false">IF($L134=0,0,ROUND((SUMIFS('المرتبطة بسمو الوزير'!$M$2:$M$151,'المرتبطة بسمو الوزير'!$B$2:$B$151,$B134,'المرتبطة بسمو الوزير'!$G$2:$G$151,$G134,'المرتبطة بسمو الوزير'!$I$2:$I$151,$I134)+SUMIFS('الشؤون التنفيذية'!$N$2:$N$421,'الشؤون التنفيذية'!$B$2:$B$421,$B134,'الشؤون التنفيذية'!$G$2:$G$421,$G134,'الشؤون التنفيذية'!$I$2:$I$421,$I134)+SUMIFS('الجهاز العسكري'!$M$2:$M$631,'الجهاز العسكري'!$B$2:$B$631,$B134,'الجهاز العسكري'!$G$2:$G$631,$G134,'الجهاز العسكري'!$I$2:$I$631,$I134))/$L134,0))</f>
        <v>80</v>
      </c>
      <c r="O134" s="25" t="n">
        <f aca="false">IF($L134=0,0,ROUND((SUMIFS('المرتبطة بسمو الوزير'!$N$2:$N$151,'المرتبطة بسمو الوزير'!$B$2:$B$151,$B134,'المرتبطة بسمو الوزير'!$G$2:$G$151,$G134,'المرتبطة بسمو الوزير'!$I$2:$I$151,$I134)+SUMIFS('الشؤون التنفيذية'!$O$2:$O$421,'الشؤون التنفيذية'!$B$2:$B$421,$B134,'الشؤون التنفيذية'!$G$2:$G$421,$G134,'الشؤون التنفيذية'!$I$2:$I$421,$I134)+SUMIFS('الجهاز العسكري'!$N$2:$N$631,'الجهاز العسكري'!$B$2:$B$631,$B134,'الجهاز العسكري'!$G$2:$G$631,$G134,'الجهاز العسكري'!$I$2:$I$631,$I134))/$L134,0))</f>
        <v>95</v>
      </c>
      <c r="P134" s="22"/>
      <c r="Q134" s="19" t="n">
        <f aca="false">SUMIFS(المرجع!$G$2:$G$19,المرجع!$B$2:$B$19,$G134,المرجع!$E$2:$E$19,$I134)</f>
        <v>15</v>
      </c>
      <c r="R134" s="26" t="n">
        <f aca="false">ROUND($Q134*$N134/100,2)</f>
        <v>12</v>
      </c>
      <c r="S134" s="27" t="str">
        <f aca="false">IF($N134&gt;المرجع!$K$3,"متقدم",IF($N134&lt;=المرجع!$K$2,"أولي","جزئي"))</f>
        <v>متقدم</v>
      </c>
      <c r="T134" s="28" t="n">
        <f aca="false">ROUND($Q134*$O134/100,2)</f>
        <v>14.25</v>
      </c>
    </row>
    <row r="135" customFormat="false" ht="15" hidden="false" customHeight="true" outlineLevel="0" collapsed="false">
      <c r="A135" s="20" t="s">
        <v>1587</v>
      </c>
      <c r="B135" s="20" t="s">
        <v>168</v>
      </c>
      <c r="C135" s="19" t="str">
        <f aca="false">IFERROR(INDEX('قائمة الوحدات'!$B$2:$B$41,MATCH($B135,'قائمة الوحدات'!$A$2:$A$41,0)),"")</f>
        <v>EXE</v>
      </c>
      <c r="D135" s="18" t="str">
        <f aca="false">IFERROR(INDEX('قائمة الوحدات'!$C$2:$C$41,MATCH($B135,'قائمة الوحدات'!$A$2:$A$41,0)),"")</f>
        <v>الشؤون التنفيذية</v>
      </c>
      <c r="E135" s="18" t="str">
        <f aca="false">IFERROR(INDEX('قائمة الوحدات'!$D$2:$D$41,MATCH($B135,'قائمة الوحدات'!$A$2:$A$41,0)),"")</f>
        <v>وكالة الشؤون الفنية</v>
      </c>
      <c r="F135" s="18" t="str">
        <f aca="false">IFERROR(INDEX('قائمة الوحدات'!$F$2:$F$41,MATCH($B135,'قائمة الوحدات'!$A$2:$A$41,0)),"")</f>
        <v>الإدارة العامة للمشاريع</v>
      </c>
      <c r="G135" s="20" t="s">
        <v>62</v>
      </c>
      <c r="H135" s="18" t="str">
        <f aca="false">IFERROR(INDEX(المرجع!$A$2:$A$19,MATCH($G135,المرجع!$B$2:$B$19,0)),"")</f>
        <v>البناء المؤسسي</v>
      </c>
      <c r="I135" s="20" t="s">
        <v>49</v>
      </c>
      <c r="J135" s="18" t="str">
        <f aca="false">IFERROR(INDEX(المرجع!$D$2:$D$19,MATCH($I135,المرجع!$E$2:$E$19,0)),"")</f>
        <v>الأهداف ومؤشرات الأداء</v>
      </c>
      <c r="K135" s="19" t="n">
        <f aca="false">IFERROR(INDEX(المرجع!$F$2:$F$19,MATCH($I135,المرجع!$E$2:$E$19,0)),"")</f>
        <v>2</v>
      </c>
      <c r="L135" s="19" t="n">
        <f aca="false">SUMIFS(المرجع!$H$2:$H$19,المرجع!$B$2:$B$19,$G135,المرجع!$E$2:$E$19,$I135)</f>
        <v>2</v>
      </c>
      <c r="M135" s="19" t="n">
        <f aca="false">COUNTIFS('المرتبطة بسمو الوزير'!$B$2:$B$151,$B135,'المرتبطة بسمو الوزير'!$G$2:$G$151,$G135,'المرتبطة بسمو الوزير'!$I$2:$I$151,$I135,'المرتبطة بسمو الوزير'!$M$2:$M$151,"&lt;&gt;")+COUNTIFS('الشؤون التنفيذية'!$B$2:$B$421,$B135,'الشؤون التنفيذية'!$G$2:$G$421,$G135,'الشؤون التنفيذية'!$I$2:$I$421,$I135,'الشؤون التنفيذية'!$N$2:$N$421,"&lt;&gt;")+COUNTIFS('الجهاز العسكري'!$B$2:$B$631,$B135,'الجهاز العسكري'!$G$2:$G$631,$G135,'الجهاز العسكري'!$I$2:$I$631,$I135,'الجهاز العسكري'!$M$2:$M$631,"&lt;&gt;")</f>
        <v>2</v>
      </c>
      <c r="N135" s="24" t="n">
        <f aca="false">IF($L135=0,0,ROUND((SUMIFS('المرتبطة بسمو الوزير'!$M$2:$M$151,'المرتبطة بسمو الوزير'!$B$2:$B$151,$B135,'المرتبطة بسمو الوزير'!$G$2:$G$151,$G135,'المرتبطة بسمو الوزير'!$I$2:$I$151,$I135)+SUMIFS('الشؤون التنفيذية'!$N$2:$N$421,'الشؤون التنفيذية'!$B$2:$B$421,$B135,'الشؤون التنفيذية'!$G$2:$G$421,$G135,'الشؤون التنفيذية'!$I$2:$I$421,$I135)+SUMIFS('الجهاز العسكري'!$M$2:$M$631,'الجهاز العسكري'!$B$2:$B$631,$B135,'الجهاز العسكري'!$G$2:$G$631,$G135,'الجهاز العسكري'!$I$2:$I$631,$I135))/$L135,0))</f>
        <v>43</v>
      </c>
      <c r="O135" s="25" t="n">
        <f aca="false">IF($L135=0,0,ROUND((SUMIFS('المرتبطة بسمو الوزير'!$N$2:$N$151,'المرتبطة بسمو الوزير'!$B$2:$B$151,$B135,'المرتبطة بسمو الوزير'!$G$2:$G$151,$G135,'المرتبطة بسمو الوزير'!$I$2:$I$151,$I135)+SUMIFS('الشؤون التنفيذية'!$O$2:$O$421,'الشؤون التنفيذية'!$B$2:$B$421,$B135,'الشؤون التنفيذية'!$G$2:$G$421,$G135,'الشؤون التنفيذية'!$I$2:$I$421,$I135)+SUMIFS('الجهاز العسكري'!$N$2:$N$631,'الجهاز العسكري'!$B$2:$B$631,$B135,'الجهاز العسكري'!$G$2:$G$631,$G135,'الجهاز العسكري'!$I$2:$I$631,$I135))/$L135,0))</f>
        <v>95</v>
      </c>
      <c r="P135" s="22"/>
      <c r="Q135" s="19" t="n">
        <f aca="false">SUMIFS(المرجع!$G$2:$G$19,المرجع!$B$2:$B$19,$G135,المرجع!$E$2:$E$19,$I135)</f>
        <v>15</v>
      </c>
      <c r="R135" s="26" t="n">
        <f aca="false">ROUND($Q135*$N135/100,2)</f>
        <v>6.45</v>
      </c>
      <c r="S135" s="27" t="str">
        <f aca="false">IF($N135&gt;المرجع!$K$3,"متقدم",IF($N135&lt;=المرجع!$K$2,"أولي","جزئي"))</f>
        <v>جزئي</v>
      </c>
      <c r="T135" s="28" t="n">
        <f aca="false">ROUND($Q135*$O135/100,2)</f>
        <v>14.25</v>
      </c>
    </row>
    <row r="136" customFormat="false" ht="15" hidden="false" customHeight="true" outlineLevel="0" collapsed="false">
      <c r="A136" s="20" t="s">
        <v>1588</v>
      </c>
      <c r="B136" s="20" t="s">
        <v>168</v>
      </c>
      <c r="C136" s="19" t="str">
        <f aca="false">IFERROR(INDEX('قائمة الوحدات'!$B$2:$B$41,MATCH($B136,'قائمة الوحدات'!$A$2:$A$41,0)),"")</f>
        <v>EXE</v>
      </c>
      <c r="D136" s="18" t="str">
        <f aca="false">IFERROR(INDEX('قائمة الوحدات'!$C$2:$C$41,MATCH($B136,'قائمة الوحدات'!$A$2:$A$41,0)),"")</f>
        <v>الشؤون التنفيذية</v>
      </c>
      <c r="E136" s="18" t="str">
        <f aca="false">IFERROR(INDEX('قائمة الوحدات'!$D$2:$D$41,MATCH($B136,'قائمة الوحدات'!$A$2:$A$41,0)),"")</f>
        <v>وكالة الشؤون الفنية</v>
      </c>
      <c r="F136" s="18" t="str">
        <f aca="false">IFERROR(INDEX('قائمة الوحدات'!$F$2:$F$41,MATCH($B136,'قائمة الوحدات'!$A$2:$A$41,0)),"")</f>
        <v>الإدارة العامة للمشاريع</v>
      </c>
      <c r="G136" s="20" t="s">
        <v>62</v>
      </c>
      <c r="H136" s="18" t="str">
        <f aca="false">IFERROR(INDEX(المرجع!$A$2:$A$19,MATCH($G136,المرجع!$B$2:$B$19,0)),"")</f>
        <v>البناء المؤسسي</v>
      </c>
      <c r="I136" s="20" t="s">
        <v>52</v>
      </c>
      <c r="J136" s="18" t="str">
        <f aca="false">IFERROR(INDEX(المرجع!$D$2:$D$19,MATCH($I136,المرجع!$E$2:$E$19,0)),"")</f>
        <v>الحوكمة</v>
      </c>
      <c r="K136" s="19" t="n">
        <f aca="false">IFERROR(INDEX(المرجع!$F$2:$F$19,MATCH($I136,المرجع!$E$2:$E$19,0)),"")</f>
        <v>3</v>
      </c>
      <c r="L136" s="19" t="n">
        <f aca="false">SUMIFS(المرجع!$H$2:$H$19,المرجع!$B$2:$B$19,$G136,المرجع!$E$2:$E$19,$I136)</f>
        <v>3</v>
      </c>
      <c r="M136" s="19" t="n">
        <f aca="false">COUNTIFS('المرتبطة بسمو الوزير'!$B$2:$B$151,$B136,'المرتبطة بسمو الوزير'!$G$2:$G$151,$G136,'المرتبطة بسمو الوزير'!$I$2:$I$151,$I136,'المرتبطة بسمو الوزير'!$M$2:$M$151,"&lt;&gt;")+COUNTIFS('الشؤون التنفيذية'!$B$2:$B$421,$B136,'الشؤون التنفيذية'!$G$2:$G$421,$G136,'الشؤون التنفيذية'!$I$2:$I$421,$I136,'الشؤون التنفيذية'!$N$2:$N$421,"&lt;&gt;")+COUNTIFS('الجهاز العسكري'!$B$2:$B$631,$B136,'الجهاز العسكري'!$G$2:$G$631,$G136,'الجهاز العسكري'!$I$2:$I$631,$I136,'الجهاز العسكري'!$M$2:$M$631,"&lt;&gt;")</f>
        <v>3</v>
      </c>
      <c r="N136" s="24" t="n">
        <f aca="false">IF($L136=0,0,ROUND((SUMIFS('المرتبطة بسمو الوزير'!$M$2:$M$151,'المرتبطة بسمو الوزير'!$B$2:$B$151,$B136,'المرتبطة بسمو الوزير'!$G$2:$G$151,$G136,'المرتبطة بسمو الوزير'!$I$2:$I$151,$I136)+SUMIFS('الشؤون التنفيذية'!$N$2:$N$421,'الشؤون التنفيذية'!$B$2:$B$421,$B136,'الشؤون التنفيذية'!$G$2:$G$421,$G136,'الشؤون التنفيذية'!$I$2:$I$421,$I136)+SUMIFS('الجهاز العسكري'!$M$2:$M$631,'الجهاز العسكري'!$B$2:$B$631,$B136,'الجهاز العسكري'!$G$2:$G$631,$G136,'الجهاز العسكري'!$I$2:$I$631,$I136))/$L136,0))</f>
        <v>70</v>
      </c>
      <c r="O136" s="25" t="n">
        <f aca="false">IF($L136=0,0,ROUND((SUMIFS('المرتبطة بسمو الوزير'!$N$2:$N$151,'المرتبطة بسمو الوزير'!$B$2:$B$151,$B136,'المرتبطة بسمو الوزير'!$G$2:$G$151,$G136,'المرتبطة بسمو الوزير'!$I$2:$I$151,$I136)+SUMIFS('الشؤون التنفيذية'!$O$2:$O$421,'الشؤون التنفيذية'!$B$2:$B$421,$B136,'الشؤون التنفيذية'!$G$2:$G$421,$G136,'الشؤون التنفيذية'!$I$2:$I$421,$I136)+SUMIFS('الجهاز العسكري'!$N$2:$N$631,'الجهاز العسكري'!$B$2:$B$631,$B136,'الجهاز العسكري'!$G$2:$G$631,$G136,'الجهاز العسكري'!$I$2:$I$631,$I136))/$L136,0))</f>
        <v>92</v>
      </c>
      <c r="P136" s="22"/>
      <c r="Q136" s="19" t="n">
        <f aca="false">SUMIFS(المرجع!$G$2:$G$19,المرجع!$B$2:$B$19,$G136,المرجع!$E$2:$E$19,$I136)</f>
        <v>15</v>
      </c>
      <c r="R136" s="26" t="n">
        <f aca="false">ROUND($Q136*$N136/100,2)</f>
        <v>10.5</v>
      </c>
      <c r="S136" s="27" t="str">
        <f aca="false">IF($N136&gt;المرجع!$K$3,"متقدم",IF($N136&lt;=المرجع!$K$2,"أولي","جزئي"))</f>
        <v>جزئي</v>
      </c>
      <c r="T136" s="28" t="n">
        <f aca="false">ROUND($Q136*$O136/100,2)</f>
        <v>13.8</v>
      </c>
    </row>
    <row r="137" customFormat="false" ht="15" hidden="false" customHeight="true" outlineLevel="0" collapsed="false">
      <c r="A137" s="20" t="s">
        <v>1589</v>
      </c>
      <c r="B137" s="20" t="s">
        <v>168</v>
      </c>
      <c r="C137" s="19" t="str">
        <f aca="false">IFERROR(INDEX('قائمة الوحدات'!$B$2:$B$41,MATCH($B137,'قائمة الوحدات'!$A$2:$A$41,0)),"")</f>
        <v>EXE</v>
      </c>
      <c r="D137" s="18" t="str">
        <f aca="false">IFERROR(INDEX('قائمة الوحدات'!$C$2:$C$41,MATCH($B137,'قائمة الوحدات'!$A$2:$A$41,0)),"")</f>
        <v>الشؤون التنفيذية</v>
      </c>
      <c r="E137" s="18" t="str">
        <f aca="false">IFERROR(INDEX('قائمة الوحدات'!$D$2:$D$41,MATCH($B137,'قائمة الوحدات'!$A$2:$A$41,0)),"")</f>
        <v>وكالة الشؤون الفنية</v>
      </c>
      <c r="F137" s="18" t="str">
        <f aca="false">IFERROR(INDEX('قائمة الوحدات'!$F$2:$F$41,MATCH($B137,'قائمة الوحدات'!$A$2:$A$41,0)),"")</f>
        <v>الإدارة العامة للمشاريع</v>
      </c>
      <c r="G137" s="20" t="s">
        <v>62</v>
      </c>
      <c r="H137" s="18" t="str">
        <f aca="false">IFERROR(INDEX(المرجع!$A$2:$A$19,MATCH($G137,المرجع!$B$2:$B$19,0)),"")</f>
        <v>البناء المؤسسي</v>
      </c>
      <c r="I137" s="20" t="s">
        <v>55</v>
      </c>
      <c r="J137" s="18" t="str">
        <f aca="false">IFERROR(INDEX(المرجع!$D$2:$D$19,MATCH($I137,المرجع!$E$2:$E$19,0)),"")</f>
        <v>التنظيم</v>
      </c>
      <c r="K137" s="19" t="n">
        <f aca="false">IFERROR(INDEX(المرجع!$F$2:$F$19,MATCH($I137,المرجع!$E$2:$E$19,0)),"")</f>
        <v>4</v>
      </c>
      <c r="L137" s="19" t="n">
        <f aca="false">SUMIFS(المرجع!$H$2:$H$19,المرجع!$B$2:$B$19,$G137,المرجع!$E$2:$E$19,$I137)</f>
        <v>3</v>
      </c>
      <c r="M137" s="19" t="n">
        <f aca="false">COUNTIFS('المرتبطة بسمو الوزير'!$B$2:$B$151,$B137,'المرتبطة بسمو الوزير'!$G$2:$G$151,$G137,'المرتبطة بسمو الوزير'!$I$2:$I$151,$I137,'المرتبطة بسمو الوزير'!$M$2:$M$151,"&lt;&gt;")+COUNTIFS('الشؤون التنفيذية'!$B$2:$B$421,$B137,'الشؤون التنفيذية'!$G$2:$G$421,$G137,'الشؤون التنفيذية'!$I$2:$I$421,$I137,'الشؤون التنفيذية'!$N$2:$N$421,"&lt;&gt;")+COUNTIFS('الجهاز العسكري'!$B$2:$B$631,$B137,'الجهاز العسكري'!$G$2:$G$631,$G137,'الجهاز العسكري'!$I$2:$I$631,$I137,'الجهاز العسكري'!$M$2:$M$631,"&lt;&gt;")</f>
        <v>3</v>
      </c>
      <c r="N137" s="24" t="n">
        <f aca="false">IF($L137=0,0,ROUND((SUMIFS('المرتبطة بسمو الوزير'!$M$2:$M$151,'المرتبطة بسمو الوزير'!$B$2:$B$151,$B137,'المرتبطة بسمو الوزير'!$G$2:$G$151,$G137,'المرتبطة بسمو الوزير'!$I$2:$I$151,$I137)+SUMIFS('الشؤون التنفيذية'!$N$2:$N$421,'الشؤون التنفيذية'!$B$2:$B$421,$B137,'الشؤون التنفيذية'!$G$2:$G$421,$G137,'الشؤون التنفيذية'!$I$2:$I$421,$I137)+SUMIFS('الجهاز العسكري'!$M$2:$M$631,'الجهاز العسكري'!$B$2:$B$631,$B137,'الجهاز العسكري'!$G$2:$G$631,$G137,'الجهاز العسكري'!$I$2:$I$631,$I137))/$L137,0))</f>
        <v>95</v>
      </c>
      <c r="O137" s="25" t="n">
        <f aca="false">IF($L137=0,0,ROUND((SUMIFS('المرتبطة بسمو الوزير'!$N$2:$N$151,'المرتبطة بسمو الوزير'!$B$2:$B$151,$B137,'المرتبطة بسمو الوزير'!$G$2:$G$151,$G137,'المرتبطة بسمو الوزير'!$I$2:$I$151,$I137)+SUMIFS('الشؤون التنفيذية'!$O$2:$O$421,'الشؤون التنفيذية'!$B$2:$B$421,$B137,'الشؤون التنفيذية'!$G$2:$G$421,$G137,'الشؤون التنفيذية'!$I$2:$I$421,$I137)+SUMIFS('الجهاز العسكري'!$N$2:$N$631,'الجهاز العسكري'!$B$2:$B$631,$B137,'الجهاز العسكري'!$G$2:$G$631,$G137,'الجهاز العسكري'!$I$2:$I$631,$I137))/$L137,0))</f>
        <v>98</v>
      </c>
      <c r="P137" s="22"/>
      <c r="Q137" s="19" t="n">
        <f aca="false">SUMIFS(المرجع!$G$2:$G$19,المرجع!$B$2:$B$19,$G137,المرجع!$E$2:$E$19,$I137)</f>
        <v>20</v>
      </c>
      <c r="R137" s="26" t="n">
        <f aca="false">ROUND($Q137*$N137/100,2)</f>
        <v>19</v>
      </c>
      <c r="S137" s="27" t="str">
        <f aca="false">IF($N137&gt;المرجع!$K$3,"متقدم",IF($N137&lt;=المرجع!$K$2,"أولي","جزئي"))</f>
        <v>متقدم</v>
      </c>
      <c r="T137" s="28" t="n">
        <f aca="false">ROUND($Q137*$O137/100,2)</f>
        <v>19.6</v>
      </c>
    </row>
    <row r="138" customFormat="false" ht="15" hidden="false" customHeight="true" outlineLevel="0" collapsed="false">
      <c r="A138" s="20" t="s">
        <v>1590</v>
      </c>
      <c r="B138" s="20" t="s">
        <v>168</v>
      </c>
      <c r="C138" s="19" t="str">
        <f aca="false">IFERROR(INDEX('قائمة الوحدات'!$B$2:$B$41,MATCH($B138,'قائمة الوحدات'!$A$2:$A$41,0)),"")</f>
        <v>EXE</v>
      </c>
      <c r="D138" s="18" t="str">
        <f aca="false">IFERROR(INDEX('قائمة الوحدات'!$C$2:$C$41,MATCH($B138,'قائمة الوحدات'!$A$2:$A$41,0)),"")</f>
        <v>الشؤون التنفيذية</v>
      </c>
      <c r="E138" s="18" t="str">
        <f aca="false">IFERROR(INDEX('قائمة الوحدات'!$D$2:$D$41,MATCH($B138,'قائمة الوحدات'!$A$2:$A$41,0)),"")</f>
        <v>وكالة الشؤون الفنية</v>
      </c>
      <c r="F138" s="18" t="str">
        <f aca="false">IFERROR(INDEX('قائمة الوحدات'!$F$2:$F$41,MATCH($B138,'قائمة الوحدات'!$A$2:$A$41,0)),"")</f>
        <v>الإدارة العامة للمشاريع</v>
      </c>
      <c r="G138" s="20" t="s">
        <v>62</v>
      </c>
      <c r="H138" s="18" t="str">
        <f aca="false">IFERROR(INDEX(المرجع!$A$2:$A$19,MATCH($G138,المرجع!$B$2:$B$19,0)),"")</f>
        <v>البناء المؤسسي</v>
      </c>
      <c r="I138" s="20" t="s">
        <v>57</v>
      </c>
      <c r="J138" s="18" t="str">
        <f aca="false">IFERROR(INDEX(المرجع!$D$2:$D$19,MATCH($I138,المرجع!$E$2:$E$19,0)),"")</f>
        <v>الموارد</v>
      </c>
      <c r="K138" s="19" t="n">
        <f aca="false">IFERROR(INDEX(المرجع!$F$2:$F$19,MATCH($I138,المرجع!$E$2:$E$19,0)),"")</f>
        <v>5</v>
      </c>
      <c r="L138" s="19" t="n">
        <f aca="false">SUMIFS(المرجع!$H$2:$H$19,المرجع!$B$2:$B$19,$G138,المرجع!$E$2:$E$19,$I138)</f>
        <v>4</v>
      </c>
      <c r="M138" s="19" t="n">
        <f aca="false">COUNTIFS('المرتبطة بسمو الوزير'!$B$2:$B$151,$B138,'المرتبطة بسمو الوزير'!$G$2:$G$151,$G138,'المرتبطة بسمو الوزير'!$I$2:$I$151,$I138,'المرتبطة بسمو الوزير'!$M$2:$M$151,"&lt;&gt;")+COUNTIFS('الشؤون التنفيذية'!$B$2:$B$421,$B138,'الشؤون التنفيذية'!$G$2:$G$421,$G138,'الشؤون التنفيذية'!$I$2:$I$421,$I138,'الشؤون التنفيذية'!$N$2:$N$421,"&lt;&gt;")+COUNTIFS('الجهاز العسكري'!$B$2:$B$631,$B138,'الجهاز العسكري'!$G$2:$G$631,$G138,'الجهاز العسكري'!$I$2:$I$631,$I138,'الجهاز العسكري'!$M$2:$M$631,"&lt;&gt;")</f>
        <v>4</v>
      </c>
      <c r="N138" s="24" t="n">
        <f aca="false">IF($L138=0,0,ROUND((SUMIFS('المرتبطة بسمو الوزير'!$M$2:$M$151,'المرتبطة بسمو الوزير'!$B$2:$B$151,$B138,'المرتبطة بسمو الوزير'!$G$2:$G$151,$G138,'المرتبطة بسمو الوزير'!$I$2:$I$151,$I138)+SUMIFS('الشؤون التنفيذية'!$N$2:$N$421,'الشؤون التنفيذية'!$B$2:$B$421,$B138,'الشؤون التنفيذية'!$G$2:$G$421,$G138,'الشؤون التنفيذية'!$I$2:$I$421,$I138)+SUMIFS('الجهاز العسكري'!$M$2:$M$631,'الجهاز العسكري'!$B$2:$B$631,$B138,'الجهاز العسكري'!$G$2:$G$631,$G138,'الجهاز العسكري'!$I$2:$I$631,$I138))/$L138,0))</f>
        <v>58</v>
      </c>
      <c r="O138" s="25" t="n">
        <f aca="false">IF($L138=0,0,ROUND((SUMIFS('المرتبطة بسمو الوزير'!$N$2:$N$151,'المرتبطة بسمو الوزير'!$B$2:$B$151,$B138,'المرتبطة بسمو الوزير'!$G$2:$G$151,$G138,'المرتبطة بسمو الوزير'!$I$2:$I$151,$I138)+SUMIFS('الشؤون التنفيذية'!$O$2:$O$421,'الشؤون التنفيذية'!$B$2:$B$421,$B138,'الشؤون التنفيذية'!$G$2:$G$421,$G138,'الشؤون التنفيذية'!$I$2:$I$421,$I138)+SUMIFS('الجهاز العسكري'!$N$2:$N$631,'الجهاز العسكري'!$B$2:$B$631,$B138,'الجهاز العسكري'!$G$2:$G$631,$G138,'الجهاز العسكري'!$I$2:$I$631,$I138))/$L138,0))</f>
        <v>86</v>
      </c>
      <c r="P138" s="22"/>
      <c r="Q138" s="19" t="n">
        <f aca="false">SUMIFS(المرجع!$G$2:$G$19,المرجع!$B$2:$B$19,$G138,المرجع!$E$2:$E$19,$I138)</f>
        <v>25</v>
      </c>
      <c r="R138" s="26" t="n">
        <f aca="false">ROUND($Q138*$N138/100,2)</f>
        <v>14.5</v>
      </c>
      <c r="S138" s="27" t="str">
        <f aca="false">IF($N138&gt;المرجع!$K$3,"متقدم",IF($N138&lt;=المرجع!$K$2,"أولي","جزئي"))</f>
        <v>جزئي</v>
      </c>
      <c r="T138" s="28" t="n">
        <f aca="false">ROUND($Q138*$O138/100,2)</f>
        <v>21.5</v>
      </c>
    </row>
    <row r="139" customFormat="false" ht="15" hidden="false" customHeight="true" outlineLevel="0" collapsed="false">
      <c r="A139" s="20" t="s">
        <v>1591</v>
      </c>
      <c r="B139" s="20" t="s">
        <v>168</v>
      </c>
      <c r="C139" s="19" t="str">
        <f aca="false">IFERROR(INDEX('قائمة الوحدات'!$B$2:$B$41,MATCH($B139,'قائمة الوحدات'!$A$2:$A$41,0)),"")</f>
        <v>EXE</v>
      </c>
      <c r="D139" s="18" t="str">
        <f aca="false">IFERROR(INDEX('قائمة الوحدات'!$C$2:$C$41,MATCH($B139,'قائمة الوحدات'!$A$2:$A$41,0)),"")</f>
        <v>الشؤون التنفيذية</v>
      </c>
      <c r="E139" s="18" t="str">
        <f aca="false">IFERROR(INDEX('قائمة الوحدات'!$D$2:$D$41,MATCH($B139,'قائمة الوحدات'!$A$2:$A$41,0)),"")</f>
        <v>وكالة الشؤون الفنية</v>
      </c>
      <c r="F139" s="18" t="str">
        <f aca="false">IFERROR(INDEX('قائمة الوحدات'!$F$2:$F$41,MATCH($B139,'قائمة الوحدات'!$A$2:$A$41,0)),"")</f>
        <v>الإدارة العامة للمشاريع</v>
      </c>
      <c r="G139" s="20" t="s">
        <v>62</v>
      </c>
      <c r="H139" s="18" t="str">
        <f aca="false">IFERROR(INDEX(المرجع!$A$2:$A$19,MATCH($G139,المرجع!$B$2:$B$19,0)),"")</f>
        <v>البناء المؤسسي</v>
      </c>
      <c r="I139" s="20" t="s">
        <v>60</v>
      </c>
      <c r="J139" s="18" t="str">
        <f aca="false">IFERROR(INDEX(المرجع!$D$2:$D$19,MATCH($I139,المرجع!$E$2:$E$19,0)),"")</f>
        <v>الإجراءات</v>
      </c>
      <c r="K139" s="19" t="n">
        <f aca="false">IFERROR(INDEX(المرجع!$F$2:$F$19,MATCH($I139,المرجع!$E$2:$E$19,0)),"")</f>
        <v>6</v>
      </c>
      <c r="L139" s="19" t="n">
        <f aca="false">SUMIFS(المرجع!$H$2:$H$19,المرجع!$B$2:$B$19,$G139,المرجع!$E$2:$E$19,$I139)</f>
        <v>1</v>
      </c>
      <c r="M139" s="19" t="n">
        <f aca="false">COUNTIFS('المرتبطة بسمو الوزير'!$B$2:$B$151,$B139,'المرتبطة بسمو الوزير'!$G$2:$G$151,$G139,'المرتبطة بسمو الوزير'!$I$2:$I$151,$I139,'المرتبطة بسمو الوزير'!$M$2:$M$151,"&lt;&gt;")+COUNTIFS('الشؤون التنفيذية'!$B$2:$B$421,$B139,'الشؤون التنفيذية'!$G$2:$G$421,$G139,'الشؤون التنفيذية'!$I$2:$I$421,$I139,'الشؤون التنفيذية'!$N$2:$N$421,"&lt;&gt;")+COUNTIFS('الجهاز العسكري'!$B$2:$B$631,$B139,'الجهاز العسكري'!$G$2:$G$631,$G139,'الجهاز العسكري'!$I$2:$I$631,$I139,'الجهاز العسكري'!$M$2:$M$631,"&lt;&gt;")</f>
        <v>1</v>
      </c>
      <c r="N139" s="24" t="n">
        <f aca="false">IF($L139=0,0,ROUND((SUMIFS('المرتبطة بسمو الوزير'!$M$2:$M$151,'المرتبطة بسمو الوزير'!$B$2:$B$151,$B139,'المرتبطة بسمو الوزير'!$G$2:$G$151,$G139,'المرتبطة بسمو الوزير'!$I$2:$I$151,$I139)+SUMIFS('الشؤون التنفيذية'!$N$2:$N$421,'الشؤون التنفيذية'!$B$2:$B$421,$B139,'الشؤون التنفيذية'!$G$2:$G$421,$G139,'الشؤون التنفيذية'!$I$2:$I$421,$I139)+SUMIFS('الجهاز العسكري'!$M$2:$M$631,'الجهاز العسكري'!$B$2:$B$631,$B139,'الجهاز العسكري'!$G$2:$G$631,$G139,'الجهاز العسكري'!$I$2:$I$631,$I139))/$L139,0))</f>
        <v>84</v>
      </c>
      <c r="O139" s="25" t="n">
        <f aca="false">IF($L139=0,0,ROUND((SUMIFS('المرتبطة بسمو الوزير'!$N$2:$N$151,'المرتبطة بسمو الوزير'!$B$2:$B$151,$B139,'المرتبطة بسمو الوزير'!$G$2:$G$151,$G139,'المرتبطة بسمو الوزير'!$I$2:$I$151,$I139)+SUMIFS('الشؤون التنفيذية'!$O$2:$O$421,'الشؤون التنفيذية'!$B$2:$B$421,$B139,'الشؤون التنفيذية'!$G$2:$G$421,$G139,'الشؤون التنفيذية'!$I$2:$I$421,$I139)+SUMIFS('الجهاز العسكري'!$N$2:$N$631,'الجهاز العسكري'!$B$2:$B$631,$B139,'الجهاز العسكري'!$G$2:$G$631,$G139,'الجهاز العسكري'!$I$2:$I$631,$I139))/$L139,0))</f>
        <v>84</v>
      </c>
      <c r="P139" s="22"/>
      <c r="Q139" s="19" t="n">
        <f aca="false">SUMIFS(المرجع!$G$2:$G$19,المرجع!$B$2:$B$19,$G139,المرجع!$E$2:$E$19,$I139)</f>
        <v>5</v>
      </c>
      <c r="R139" s="26" t="n">
        <f aca="false">ROUND($Q139*$N139/100,2)</f>
        <v>4.2</v>
      </c>
      <c r="S139" s="27" t="str">
        <f aca="false">IF($N139&gt;المرجع!$K$3,"متقدم",IF($N139&lt;=المرجع!$K$2,"أولي","جزئي"))</f>
        <v>متقدم</v>
      </c>
      <c r="T139" s="28" t="n">
        <f aca="false">ROUND($Q139*$O139/100,2)</f>
        <v>4.2</v>
      </c>
    </row>
    <row r="140" customFormat="false" ht="15" hidden="false" customHeight="true" outlineLevel="0" collapsed="false">
      <c r="A140" s="20" t="s">
        <v>1592</v>
      </c>
      <c r="B140" s="20" t="s">
        <v>168</v>
      </c>
      <c r="C140" s="19" t="str">
        <f aca="false">IFERROR(INDEX('قائمة الوحدات'!$B$2:$B$41,MATCH($B140,'قائمة الوحدات'!$A$2:$A$41,0)),"")</f>
        <v>EXE</v>
      </c>
      <c r="D140" s="18" t="str">
        <f aca="false">IFERROR(INDEX('قائمة الوحدات'!$C$2:$C$41,MATCH($B140,'قائمة الوحدات'!$A$2:$A$41,0)),"")</f>
        <v>الشؤون التنفيذية</v>
      </c>
      <c r="E140" s="18" t="str">
        <f aca="false">IFERROR(INDEX('قائمة الوحدات'!$D$2:$D$41,MATCH($B140,'قائمة الوحدات'!$A$2:$A$41,0)),"")</f>
        <v>وكالة الشؤون الفنية</v>
      </c>
      <c r="F140" s="18" t="str">
        <f aca="false">IFERROR(INDEX('قائمة الوحدات'!$F$2:$F$41,MATCH($B140,'قائمة الوحدات'!$A$2:$A$41,0)),"")</f>
        <v>الإدارة العامة للمشاريع</v>
      </c>
      <c r="G140" s="20" t="s">
        <v>62</v>
      </c>
      <c r="H140" s="18" t="str">
        <f aca="false">IFERROR(INDEX(المرجع!$A$2:$A$19,MATCH($G140,المرجع!$B$2:$B$19,0)),"")</f>
        <v>البناء المؤسسي</v>
      </c>
      <c r="I140" s="20" t="s">
        <v>69</v>
      </c>
      <c r="J140" s="18" t="str">
        <f aca="false">IFERROR(INDEX(المرجع!$D$2:$D$19,MATCH($I140,المرجع!$E$2:$E$19,0)),"")</f>
        <v>إنتاج المخرج الأول</v>
      </c>
      <c r="K140" s="19" t="n">
        <f aca="false">IFERROR(INDEX(المرجع!$F$2:$F$19,MATCH($I140,المرجع!$E$2:$E$19,0)),"")</f>
        <v>7</v>
      </c>
      <c r="L140" s="19" t="n">
        <f aca="false">SUMIFS(المرجع!$H$2:$H$19,المرجع!$B$2:$B$19,$G140,المرجع!$E$2:$E$19,$I140)</f>
        <v>1</v>
      </c>
      <c r="M140" s="19" t="n">
        <f aca="false">COUNTIFS('المرتبطة بسمو الوزير'!$B$2:$B$151,$B140,'المرتبطة بسمو الوزير'!$G$2:$G$151,$G140,'المرتبطة بسمو الوزير'!$I$2:$I$151,$I140,'المرتبطة بسمو الوزير'!$M$2:$M$151,"&lt;&gt;")+COUNTIFS('الشؤون التنفيذية'!$B$2:$B$421,$B140,'الشؤون التنفيذية'!$G$2:$G$421,$G140,'الشؤون التنفيذية'!$I$2:$I$421,$I140,'الشؤون التنفيذية'!$N$2:$N$421,"&lt;&gt;")+COUNTIFS('الجهاز العسكري'!$B$2:$B$631,$B140,'الجهاز العسكري'!$G$2:$G$631,$G140,'الجهاز العسكري'!$I$2:$I$631,$I140,'الجهاز العسكري'!$M$2:$M$631,"&lt;&gt;")</f>
        <v>1</v>
      </c>
      <c r="N140" s="24" t="n">
        <f aca="false">IF($L140=0,0,ROUND((SUMIFS('المرتبطة بسمو الوزير'!$M$2:$M$151,'المرتبطة بسمو الوزير'!$B$2:$B$151,$B140,'المرتبطة بسمو الوزير'!$G$2:$G$151,$G140,'المرتبطة بسمو الوزير'!$I$2:$I$151,$I140)+SUMIFS('الشؤون التنفيذية'!$N$2:$N$421,'الشؤون التنفيذية'!$B$2:$B$421,$B140,'الشؤون التنفيذية'!$G$2:$G$421,$G140,'الشؤون التنفيذية'!$I$2:$I$421,$I140)+SUMIFS('الجهاز العسكري'!$M$2:$M$631,'الجهاز العسكري'!$B$2:$B$631,$B140,'الجهاز العسكري'!$G$2:$G$631,$G140,'الجهاز العسكري'!$I$2:$I$631,$I140))/$L140,0))</f>
        <v>52</v>
      </c>
      <c r="O140" s="25" t="n">
        <f aca="false">IF($L140=0,0,ROUND((SUMIFS('المرتبطة بسمو الوزير'!$N$2:$N$151,'المرتبطة بسمو الوزير'!$B$2:$B$151,$B140,'المرتبطة بسمو الوزير'!$G$2:$G$151,$G140,'المرتبطة بسمو الوزير'!$I$2:$I$151,$I140)+SUMIFS('الشؤون التنفيذية'!$O$2:$O$421,'الشؤون التنفيذية'!$B$2:$B$421,$B140,'الشؤون التنفيذية'!$G$2:$G$421,$G140,'الشؤون التنفيذية'!$I$2:$I$421,$I140)+SUMIFS('الجهاز العسكري'!$N$2:$N$631,'الجهاز العسكري'!$B$2:$B$631,$B140,'الجهاز العسكري'!$G$2:$G$631,$G140,'الجهاز العسكري'!$I$2:$I$631,$I140))/$L140,0))</f>
        <v>90</v>
      </c>
      <c r="P140" s="22"/>
      <c r="Q140" s="19" t="n">
        <f aca="false">SUMIFS(المرجع!$G$2:$G$19,المرجع!$B$2:$B$19,$G140,المرجع!$E$2:$E$19,$I140)</f>
        <v>5</v>
      </c>
      <c r="R140" s="26" t="n">
        <f aca="false">ROUND($Q140*$N140/100,2)</f>
        <v>2.6</v>
      </c>
      <c r="S140" s="27" t="str">
        <f aca="false">IF($N140&gt;المرجع!$K$3,"متقدم",IF($N140&lt;=المرجع!$K$2,"أولي","جزئي"))</f>
        <v>جزئي</v>
      </c>
      <c r="T140" s="28" t="n">
        <f aca="false">ROUND($Q140*$O140/100,2)</f>
        <v>4.5</v>
      </c>
    </row>
    <row r="141" customFormat="false" ht="15" hidden="false" customHeight="true" outlineLevel="0" collapsed="false">
      <c r="A141" s="20" t="s">
        <v>1593</v>
      </c>
      <c r="B141" s="20" t="s">
        <v>168</v>
      </c>
      <c r="C141" s="19" t="str">
        <f aca="false">IFERROR(INDEX('قائمة الوحدات'!$B$2:$B$41,MATCH($B141,'قائمة الوحدات'!$A$2:$A$41,0)),"")</f>
        <v>EXE</v>
      </c>
      <c r="D141" s="18" t="str">
        <f aca="false">IFERROR(INDEX('قائمة الوحدات'!$C$2:$C$41,MATCH($B141,'قائمة الوحدات'!$A$2:$A$41,0)),"")</f>
        <v>الشؤون التنفيذية</v>
      </c>
      <c r="E141" s="18" t="str">
        <f aca="false">IFERROR(INDEX('قائمة الوحدات'!$D$2:$D$41,MATCH($B141,'قائمة الوحدات'!$A$2:$A$41,0)),"")</f>
        <v>وكالة الشؤون الفنية</v>
      </c>
      <c r="F141" s="18" t="str">
        <f aca="false">IFERROR(INDEX('قائمة الوحدات'!$F$2:$F$41,MATCH($B141,'قائمة الوحدات'!$A$2:$A$41,0)),"")</f>
        <v>الإدارة العامة للمشاريع</v>
      </c>
      <c r="G141" s="20" t="s">
        <v>66</v>
      </c>
      <c r="H141" s="18" t="str">
        <f aca="false">IFERROR(INDEX(المرجع!$A$2:$A$19,MATCH($G141,المرجع!$B$2:$B$19,0)),"")</f>
        <v>التشغيل</v>
      </c>
      <c r="I141" s="20" t="s">
        <v>49</v>
      </c>
      <c r="J141" s="18" t="str">
        <f aca="false">IFERROR(INDEX(المرجع!$D$2:$D$19,MATCH($I141,المرجع!$E$2:$E$19,0)),"")</f>
        <v>الأهداف ومؤشرات الأداء</v>
      </c>
      <c r="K141" s="19" t="n">
        <f aca="false">IFERROR(INDEX(المرجع!$F$2:$F$19,MATCH($I141,المرجع!$E$2:$E$19,0)),"")</f>
        <v>2</v>
      </c>
      <c r="L141" s="19" t="n">
        <f aca="false">SUMIFS(المرجع!$H$2:$H$19,المرجع!$B$2:$B$19,$G141,المرجع!$E$2:$E$19,$I141)</f>
        <v>2</v>
      </c>
      <c r="M141" s="19" t="n">
        <f aca="false">COUNTIFS('المرتبطة بسمو الوزير'!$B$2:$B$151,$B141,'المرتبطة بسمو الوزير'!$G$2:$G$151,$G141,'المرتبطة بسمو الوزير'!$I$2:$I$151,$I141,'المرتبطة بسمو الوزير'!$M$2:$M$151,"&lt;&gt;")+COUNTIFS('الشؤون التنفيذية'!$B$2:$B$421,$B141,'الشؤون التنفيذية'!$G$2:$G$421,$G141,'الشؤون التنفيذية'!$I$2:$I$421,$I141,'الشؤون التنفيذية'!$N$2:$N$421,"&lt;&gt;")+COUNTIFS('الجهاز العسكري'!$B$2:$B$631,$B141,'الجهاز العسكري'!$G$2:$G$631,$G141,'الجهاز العسكري'!$I$2:$I$631,$I141,'الجهاز العسكري'!$M$2:$M$631,"&lt;&gt;")</f>
        <v>2</v>
      </c>
      <c r="N141" s="24" t="n">
        <f aca="false">IF($L141=0,0,ROUND((SUMIFS('المرتبطة بسمو الوزير'!$M$2:$M$151,'المرتبطة بسمو الوزير'!$B$2:$B$151,$B141,'المرتبطة بسمو الوزير'!$G$2:$G$151,$G141,'المرتبطة بسمو الوزير'!$I$2:$I$151,$I141)+SUMIFS('الشؤون التنفيذية'!$N$2:$N$421,'الشؤون التنفيذية'!$B$2:$B$421,$B141,'الشؤون التنفيذية'!$G$2:$G$421,$G141,'الشؤون التنفيذية'!$I$2:$I$421,$I141)+SUMIFS('الجهاز العسكري'!$M$2:$M$631,'الجهاز العسكري'!$B$2:$B$631,$B141,'الجهاز العسكري'!$G$2:$G$631,$G141,'الجهاز العسكري'!$I$2:$I$631,$I141))/$L141,0))</f>
        <v>40</v>
      </c>
      <c r="O141" s="25" t="n">
        <f aca="false">IF($L141=0,0,ROUND((SUMIFS('المرتبطة بسمو الوزير'!$N$2:$N$151,'المرتبطة بسمو الوزير'!$B$2:$B$151,$B141,'المرتبطة بسمو الوزير'!$G$2:$G$151,$G141,'المرتبطة بسمو الوزير'!$I$2:$I$151,$I141)+SUMIFS('الشؤون التنفيذية'!$O$2:$O$421,'الشؤون التنفيذية'!$B$2:$B$421,$B141,'الشؤون التنفيذية'!$G$2:$G$421,$G141,'الشؤون التنفيذية'!$I$2:$I$421,$I141)+SUMIFS('الجهاز العسكري'!$N$2:$N$631,'الجهاز العسكري'!$B$2:$B$631,$B141,'الجهاز العسكري'!$G$2:$G$631,$G141,'الجهاز العسكري'!$I$2:$I$631,$I141))/$L141,0))</f>
        <v>90</v>
      </c>
      <c r="P141" s="22"/>
      <c r="Q141" s="19" t="n">
        <f aca="false">SUMIFS(المرجع!$G$2:$G$19,المرجع!$B$2:$B$19,$G141,المرجع!$E$2:$E$19,$I141)</f>
        <v>25</v>
      </c>
      <c r="R141" s="26" t="n">
        <f aca="false">ROUND($Q141*$N141/100,2)</f>
        <v>10</v>
      </c>
      <c r="S141" s="27" t="str">
        <f aca="false">IF($N141&gt;المرجع!$K$3,"متقدم",IF($N141&lt;=المرجع!$K$2,"أولي","جزئي"))</f>
        <v>جزئي</v>
      </c>
      <c r="T141" s="28" t="n">
        <f aca="false">ROUND($Q141*$O141/100,2)</f>
        <v>22.5</v>
      </c>
    </row>
    <row r="142" customFormat="false" ht="15" hidden="false" customHeight="true" outlineLevel="0" collapsed="false">
      <c r="A142" s="20" t="s">
        <v>1594</v>
      </c>
      <c r="B142" s="20" t="s">
        <v>168</v>
      </c>
      <c r="C142" s="19" t="str">
        <f aca="false">IFERROR(INDEX('قائمة الوحدات'!$B$2:$B$41,MATCH($B142,'قائمة الوحدات'!$A$2:$A$41,0)),"")</f>
        <v>EXE</v>
      </c>
      <c r="D142" s="18" t="str">
        <f aca="false">IFERROR(INDEX('قائمة الوحدات'!$C$2:$C$41,MATCH($B142,'قائمة الوحدات'!$A$2:$A$41,0)),"")</f>
        <v>الشؤون التنفيذية</v>
      </c>
      <c r="E142" s="18" t="str">
        <f aca="false">IFERROR(INDEX('قائمة الوحدات'!$D$2:$D$41,MATCH($B142,'قائمة الوحدات'!$A$2:$A$41,0)),"")</f>
        <v>وكالة الشؤون الفنية</v>
      </c>
      <c r="F142" s="18" t="str">
        <f aca="false">IFERROR(INDEX('قائمة الوحدات'!$F$2:$F$41,MATCH($B142,'قائمة الوحدات'!$A$2:$A$41,0)),"")</f>
        <v>الإدارة العامة للمشاريع</v>
      </c>
      <c r="G142" s="20" t="s">
        <v>66</v>
      </c>
      <c r="H142" s="18" t="str">
        <f aca="false">IFERROR(INDEX(المرجع!$A$2:$A$19,MATCH($G142,المرجع!$B$2:$B$19,0)),"")</f>
        <v>التشغيل</v>
      </c>
      <c r="I142" s="20" t="s">
        <v>52</v>
      </c>
      <c r="J142" s="18" t="str">
        <f aca="false">IFERROR(INDEX(المرجع!$D$2:$D$19,MATCH($I142,المرجع!$E$2:$E$19,0)),"")</f>
        <v>الحوكمة</v>
      </c>
      <c r="K142" s="19" t="n">
        <f aca="false">IFERROR(INDEX(المرجع!$F$2:$F$19,MATCH($I142,المرجع!$E$2:$E$19,0)),"")</f>
        <v>3</v>
      </c>
      <c r="L142" s="19" t="n">
        <f aca="false">SUMIFS(المرجع!$H$2:$H$19,المرجع!$B$2:$B$19,$G142,المرجع!$E$2:$E$19,$I142)</f>
        <v>3</v>
      </c>
      <c r="M142" s="19" t="n">
        <f aca="false">COUNTIFS('المرتبطة بسمو الوزير'!$B$2:$B$151,$B142,'المرتبطة بسمو الوزير'!$G$2:$G$151,$G142,'المرتبطة بسمو الوزير'!$I$2:$I$151,$I142,'المرتبطة بسمو الوزير'!$M$2:$M$151,"&lt;&gt;")+COUNTIFS('الشؤون التنفيذية'!$B$2:$B$421,$B142,'الشؤون التنفيذية'!$G$2:$G$421,$G142,'الشؤون التنفيذية'!$I$2:$I$421,$I142,'الشؤون التنفيذية'!$N$2:$N$421,"&lt;&gt;")+COUNTIFS('الجهاز العسكري'!$B$2:$B$631,$B142,'الجهاز العسكري'!$G$2:$G$631,$G142,'الجهاز العسكري'!$I$2:$I$631,$I142,'الجهاز العسكري'!$M$2:$M$631,"&lt;&gt;")</f>
        <v>3</v>
      </c>
      <c r="N142" s="24" t="n">
        <f aca="false">IF($L142=0,0,ROUND((SUMIFS('المرتبطة بسمو الوزير'!$M$2:$M$151,'المرتبطة بسمو الوزير'!$B$2:$B$151,$B142,'المرتبطة بسمو الوزير'!$G$2:$G$151,$G142,'المرتبطة بسمو الوزير'!$I$2:$I$151,$I142)+SUMIFS('الشؤون التنفيذية'!$N$2:$N$421,'الشؤون التنفيذية'!$B$2:$B$421,$B142,'الشؤون التنفيذية'!$G$2:$G$421,$G142,'الشؤون التنفيذية'!$I$2:$I$421,$I142)+SUMIFS('الجهاز العسكري'!$M$2:$M$631,'الجهاز العسكري'!$B$2:$B$631,$B142,'الجهاز العسكري'!$G$2:$G$631,$G142,'الجهاز العسكري'!$I$2:$I$631,$I142))/$L142,0))</f>
        <v>27</v>
      </c>
      <c r="O142" s="25" t="n">
        <f aca="false">IF($L142=0,0,ROUND((SUMIFS('المرتبطة بسمو الوزير'!$N$2:$N$151,'المرتبطة بسمو الوزير'!$B$2:$B$151,$B142,'المرتبطة بسمو الوزير'!$G$2:$G$151,$G142,'المرتبطة بسمو الوزير'!$I$2:$I$151,$I142)+SUMIFS('الشؤون التنفيذية'!$O$2:$O$421,'الشؤون التنفيذية'!$B$2:$B$421,$B142,'الشؤون التنفيذية'!$G$2:$G$421,$G142,'الشؤون التنفيذية'!$I$2:$I$421,$I142)+SUMIFS('الجهاز العسكري'!$N$2:$N$631,'الجهاز العسكري'!$B$2:$B$631,$B142,'الجهاز العسكري'!$G$2:$G$631,$G142,'الجهاز العسكري'!$I$2:$I$631,$I142))/$L142,0))</f>
        <v>87</v>
      </c>
      <c r="P142" s="22"/>
      <c r="Q142" s="19" t="n">
        <f aca="false">SUMIFS(المرجع!$G$2:$G$19,المرجع!$B$2:$B$19,$G142,المرجع!$E$2:$E$19,$I142)</f>
        <v>15</v>
      </c>
      <c r="R142" s="26" t="n">
        <f aca="false">ROUND($Q142*$N142/100,2)</f>
        <v>4.05</v>
      </c>
      <c r="S142" s="27" t="str">
        <f aca="false">IF($N142&gt;المرجع!$K$3,"متقدم",IF($N142&lt;=المرجع!$K$2,"أولي","جزئي"))</f>
        <v>أولي</v>
      </c>
      <c r="T142" s="28" t="n">
        <f aca="false">ROUND($Q142*$O142/100,2)</f>
        <v>13.05</v>
      </c>
    </row>
    <row r="143" customFormat="false" ht="15" hidden="false" customHeight="true" outlineLevel="0" collapsed="false">
      <c r="A143" s="20" t="s">
        <v>1595</v>
      </c>
      <c r="B143" s="20" t="s">
        <v>168</v>
      </c>
      <c r="C143" s="19" t="str">
        <f aca="false">IFERROR(INDEX('قائمة الوحدات'!$B$2:$B$41,MATCH($B143,'قائمة الوحدات'!$A$2:$A$41,0)),"")</f>
        <v>EXE</v>
      </c>
      <c r="D143" s="18" t="str">
        <f aca="false">IFERROR(INDEX('قائمة الوحدات'!$C$2:$C$41,MATCH($B143,'قائمة الوحدات'!$A$2:$A$41,0)),"")</f>
        <v>الشؤون التنفيذية</v>
      </c>
      <c r="E143" s="18" t="str">
        <f aca="false">IFERROR(INDEX('قائمة الوحدات'!$D$2:$D$41,MATCH($B143,'قائمة الوحدات'!$A$2:$A$41,0)),"")</f>
        <v>وكالة الشؤون الفنية</v>
      </c>
      <c r="F143" s="18" t="str">
        <f aca="false">IFERROR(INDEX('قائمة الوحدات'!$F$2:$F$41,MATCH($B143,'قائمة الوحدات'!$A$2:$A$41,0)),"")</f>
        <v>الإدارة العامة للمشاريع</v>
      </c>
      <c r="G143" s="20" t="s">
        <v>66</v>
      </c>
      <c r="H143" s="18" t="str">
        <f aca="false">IFERROR(INDEX(المرجع!$A$2:$A$19,MATCH($G143,المرجع!$B$2:$B$19,0)),"")</f>
        <v>التشغيل</v>
      </c>
      <c r="I143" s="20" t="s">
        <v>57</v>
      </c>
      <c r="J143" s="18" t="str">
        <f aca="false">IFERROR(INDEX(المرجع!$D$2:$D$19,MATCH($I143,المرجع!$E$2:$E$19,0)),"")</f>
        <v>الموارد</v>
      </c>
      <c r="K143" s="19" t="n">
        <f aca="false">IFERROR(INDEX(المرجع!$F$2:$F$19,MATCH($I143,المرجع!$E$2:$E$19,0)),"")</f>
        <v>5</v>
      </c>
      <c r="L143" s="19" t="n">
        <f aca="false">SUMIFS(المرجع!$H$2:$H$19,المرجع!$B$2:$B$19,$G143,المرجع!$E$2:$E$19,$I143)</f>
        <v>1</v>
      </c>
      <c r="M143" s="19" t="n">
        <f aca="false">COUNTIFS('المرتبطة بسمو الوزير'!$B$2:$B$151,$B143,'المرتبطة بسمو الوزير'!$G$2:$G$151,$G143,'المرتبطة بسمو الوزير'!$I$2:$I$151,$I143,'المرتبطة بسمو الوزير'!$M$2:$M$151,"&lt;&gt;")+COUNTIFS('الشؤون التنفيذية'!$B$2:$B$421,$B143,'الشؤون التنفيذية'!$G$2:$G$421,$G143,'الشؤون التنفيذية'!$I$2:$I$421,$I143,'الشؤون التنفيذية'!$N$2:$N$421,"&lt;&gt;")+COUNTIFS('الجهاز العسكري'!$B$2:$B$631,$B143,'الجهاز العسكري'!$G$2:$G$631,$G143,'الجهاز العسكري'!$I$2:$I$631,$I143,'الجهاز العسكري'!$M$2:$M$631,"&lt;&gt;")</f>
        <v>1</v>
      </c>
      <c r="N143" s="24" t="n">
        <f aca="false">IF($L143=0,0,ROUND((SUMIFS('المرتبطة بسمو الوزير'!$M$2:$M$151,'المرتبطة بسمو الوزير'!$B$2:$B$151,$B143,'المرتبطة بسمو الوزير'!$G$2:$G$151,$G143,'المرتبطة بسمو الوزير'!$I$2:$I$151,$I143)+SUMIFS('الشؤون التنفيذية'!$N$2:$N$421,'الشؤون التنفيذية'!$B$2:$B$421,$B143,'الشؤون التنفيذية'!$G$2:$G$421,$G143,'الشؤون التنفيذية'!$I$2:$I$421,$I143)+SUMIFS('الجهاز العسكري'!$M$2:$M$631,'الجهاز العسكري'!$B$2:$B$631,$B143,'الجهاز العسكري'!$G$2:$G$631,$G143,'الجهاز العسكري'!$I$2:$I$631,$I143))/$L143,0))</f>
        <v>59</v>
      </c>
      <c r="O143" s="25" t="n">
        <f aca="false">IF($L143=0,0,ROUND((SUMIFS('المرتبطة بسمو الوزير'!$N$2:$N$151,'المرتبطة بسمو الوزير'!$B$2:$B$151,$B143,'المرتبطة بسمو الوزير'!$G$2:$G$151,$G143,'المرتبطة بسمو الوزير'!$I$2:$I$151,$I143)+SUMIFS('الشؤون التنفيذية'!$O$2:$O$421,'الشؤون التنفيذية'!$B$2:$B$421,$B143,'الشؤون التنفيذية'!$G$2:$G$421,$G143,'الشؤون التنفيذية'!$I$2:$I$421,$I143)+SUMIFS('الجهاز العسكري'!$N$2:$N$631,'الجهاز العسكري'!$B$2:$B$631,$B143,'الجهاز العسكري'!$G$2:$G$631,$G143,'الجهاز العسكري'!$I$2:$I$631,$I143))/$L143,0))</f>
        <v>85</v>
      </c>
      <c r="P143" s="22"/>
      <c r="Q143" s="19" t="n">
        <f aca="false">SUMIFS(المرجع!$G$2:$G$19,المرجع!$B$2:$B$19,$G143,المرجع!$E$2:$E$19,$I143)</f>
        <v>15</v>
      </c>
      <c r="R143" s="26" t="n">
        <f aca="false">ROUND($Q143*$N143/100,2)</f>
        <v>8.85</v>
      </c>
      <c r="S143" s="27" t="str">
        <f aca="false">IF($N143&gt;المرجع!$K$3,"متقدم",IF($N143&lt;=المرجع!$K$2,"أولي","جزئي"))</f>
        <v>جزئي</v>
      </c>
      <c r="T143" s="28" t="n">
        <f aca="false">ROUND($Q143*$O143/100,2)</f>
        <v>12.75</v>
      </c>
    </row>
    <row r="144" customFormat="false" ht="15" hidden="false" customHeight="true" outlineLevel="0" collapsed="false">
      <c r="A144" s="20" t="s">
        <v>1596</v>
      </c>
      <c r="B144" s="20" t="s">
        <v>168</v>
      </c>
      <c r="C144" s="19" t="str">
        <f aca="false">IFERROR(INDEX('قائمة الوحدات'!$B$2:$B$41,MATCH($B144,'قائمة الوحدات'!$A$2:$A$41,0)),"")</f>
        <v>EXE</v>
      </c>
      <c r="D144" s="18" t="str">
        <f aca="false">IFERROR(INDEX('قائمة الوحدات'!$C$2:$C$41,MATCH($B144,'قائمة الوحدات'!$A$2:$A$41,0)),"")</f>
        <v>الشؤون التنفيذية</v>
      </c>
      <c r="E144" s="18" t="str">
        <f aca="false">IFERROR(INDEX('قائمة الوحدات'!$D$2:$D$41,MATCH($B144,'قائمة الوحدات'!$A$2:$A$41,0)),"")</f>
        <v>وكالة الشؤون الفنية</v>
      </c>
      <c r="F144" s="18" t="str">
        <f aca="false">IFERROR(INDEX('قائمة الوحدات'!$F$2:$F$41,MATCH($B144,'قائمة الوحدات'!$A$2:$A$41,0)),"")</f>
        <v>الإدارة العامة للمشاريع</v>
      </c>
      <c r="G144" s="20" t="s">
        <v>66</v>
      </c>
      <c r="H144" s="18" t="str">
        <f aca="false">IFERROR(INDEX(المرجع!$A$2:$A$19,MATCH($G144,المرجع!$B$2:$B$19,0)),"")</f>
        <v>التشغيل</v>
      </c>
      <c r="I144" s="20" t="s">
        <v>60</v>
      </c>
      <c r="J144" s="18" t="str">
        <f aca="false">IFERROR(INDEX(المرجع!$D$2:$D$19,MATCH($I144,المرجع!$E$2:$E$19,0)),"")</f>
        <v>الإجراءات</v>
      </c>
      <c r="K144" s="19" t="n">
        <f aca="false">IFERROR(INDEX(المرجع!$F$2:$F$19,MATCH($I144,المرجع!$E$2:$E$19,0)),"")</f>
        <v>6</v>
      </c>
      <c r="L144" s="19" t="n">
        <f aca="false">SUMIFS(المرجع!$H$2:$H$19,المرجع!$B$2:$B$19,$G144,المرجع!$E$2:$E$19,$I144)</f>
        <v>1</v>
      </c>
      <c r="M144" s="19" t="n">
        <f aca="false">COUNTIFS('المرتبطة بسمو الوزير'!$B$2:$B$151,$B144,'المرتبطة بسمو الوزير'!$G$2:$G$151,$G144,'المرتبطة بسمو الوزير'!$I$2:$I$151,$I144,'المرتبطة بسمو الوزير'!$M$2:$M$151,"&lt;&gt;")+COUNTIFS('الشؤون التنفيذية'!$B$2:$B$421,$B144,'الشؤون التنفيذية'!$G$2:$G$421,$G144,'الشؤون التنفيذية'!$I$2:$I$421,$I144,'الشؤون التنفيذية'!$N$2:$N$421,"&lt;&gt;")+COUNTIFS('الجهاز العسكري'!$B$2:$B$631,$B144,'الجهاز العسكري'!$G$2:$G$631,$G144,'الجهاز العسكري'!$I$2:$I$631,$I144,'الجهاز العسكري'!$M$2:$M$631,"&lt;&gt;")</f>
        <v>1</v>
      </c>
      <c r="N144" s="24" t="n">
        <f aca="false">IF($L144=0,0,ROUND((SUMIFS('المرتبطة بسمو الوزير'!$M$2:$M$151,'المرتبطة بسمو الوزير'!$B$2:$B$151,$B144,'المرتبطة بسمو الوزير'!$G$2:$G$151,$G144,'المرتبطة بسمو الوزير'!$I$2:$I$151,$I144)+SUMIFS('الشؤون التنفيذية'!$N$2:$N$421,'الشؤون التنفيذية'!$B$2:$B$421,$B144,'الشؤون التنفيذية'!$G$2:$G$421,$G144,'الشؤون التنفيذية'!$I$2:$I$421,$I144)+SUMIFS('الجهاز العسكري'!$M$2:$M$631,'الجهاز العسكري'!$B$2:$B$631,$B144,'الجهاز العسكري'!$G$2:$G$631,$G144,'الجهاز العسكري'!$I$2:$I$631,$I144))/$L144,0))</f>
        <v>42</v>
      </c>
      <c r="O144" s="25" t="n">
        <f aca="false">IF($L144=0,0,ROUND((SUMIFS('المرتبطة بسمو الوزير'!$N$2:$N$151,'المرتبطة بسمو الوزير'!$B$2:$B$151,$B144,'المرتبطة بسمو الوزير'!$G$2:$G$151,$G144,'المرتبطة بسمو الوزير'!$I$2:$I$151,$I144)+SUMIFS('الشؤون التنفيذية'!$O$2:$O$421,'الشؤون التنفيذية'!$B$2:$B$421,$B144,'الشؤون التنفيذية'!$G$2:$G$421,$G144,'الشؤون التنفيذية'!$I$2:$I$421,$I144)+SUMIFS('الجهاز العسكري'!$N$2:$N$631,'الجهاز العسكري'!$B$2:$B$631,$B144,'الجهاز العسكري'!$G$2:$G$631,$G144,'الجهاز العسكري'!$I$2:$I$631,$I144))/$L144,0))</f>
        <v>100</v>
      </c>
      <c r="P144" s="22"/>
      <c r="Q144" s="19" t="n">
        <f aca="false">SUMIFS(المرجع!$G$2:$G$19,المرجع!$B$2:$B$19,$G144,المرجع!$E$2:$E$19,$I144)</f>
        <v>15</v>
      </c>
      <c r="R144" s="26" t="n">
        <f aca="false">ROUND($Q144*$N144/100,2)</f>
        <v>6.3</v>
      </c>
      <c r="S144" s="27" t="str">
        <f aca="false">IF($N144&gt;المرجع!$K$3,"متقدم",IF($N144&lt;=المرجع!$K$2,"أولي","جزئي"))</f>
        <v>جزئي</v>
      </c>
      <c r="T144" s="28" t="n">
        <f aca="false">ROUND($Q144*$O144/100,2)</f>
        <v>15</v>
      </c>
    </row>
    <row r="145" customFormat="false" ht="15" hidden="false" customHeight="true" outlineLevel="0" collapsed="false">
      <c r="A145" s="20" t="s">
        <v>1597</v>
      </c>
      <c r="B145" s="20" t="s">
        <v>168</v>
      </c>
      <c r="C145" s="19" t="str">
        <f aca="false">IFERROR(INDEX('قائمة الوحدات'!$B$2:$B$41,MATCH($B145,'قائمة الوحدات'!$A$2:$A$41,0)),"")</f>
        <v>EXE</v>
      </c>
      <c r="D145" s="18" t="str">
        <f aca="false">IFERROR(INDEX('قائمة الوحدات'!$C$2:$C$41,MATCH($B145,'قائمة الوحدات'!$A$2:$A$41,0)),"")</f>
        <v>الشؤون التنفيذية</v>
      </c>
      <c r="E145" s="18" t="str">
        <f aca="false">IFERROR(INDEX('قائمة الوحدات'!$D$2:$D$41,MATCH($B145,'قائمة الوحدات'!$A$2:$A$41,0)),"")</f>
        <v>وكالة الشؤون الفنية</v>
      </c>
      <c r="F145" s="18" t="str">
        <f aca="false">IFERROR(INDEX('قائمة الوحدات'!$F$2:$F$41,MATCH($B145,'قائمة الوحدات'!$A$2:$A$41,0)),"")</f>
        <v>الإدارة العامة للمشاريع</v>
      </c>
      <c r="G145" s="20" t="s">
        <v>66</v>
      </c>
      <c r="H145" s="18" t="str">
        <f aca="false">IFERROR(INDEX(المرجع!$A$2:$A$19,MATCH($G145,المرجع!$B$2:$B$19,0)),"")</f>
        <v>التشغيل</v>
      </c>
      <c r="I145" s="20" t="s">
        <v>71</v>
      </c>
      <c r="J145" s="18" t="str">
        <f aca="false">IFERROR(INDEX(المرجع!$D$2:$D$19,MATCH($I145,المرجع!$E$2:$E$19,0)),"")</f>
        <v>اكتمال المخرجات المستهدفة</v>
      </c>
      <c r="K145" s="19" t="n">
        <f aca="false">IFERROR(INDEX(المرجع!$F$2:$F$19,MATCH($I145,المرجع!$E$2:$E$19,0)),"")</f>
        <v>8</v>
      </c>
      <c r="L145" s="19" t="n">
        <f aca="false">SUMIFS(المرجع!$H$2:$H$19,المرجع!$B$2:$B$19,$G145,المرجع!$E$2:$E$19,$I145)</f>
        <v>1</v>
      </c>
      <c r="M145" s="19" t="n">
        <f aca="false">COUNTIFS('المرتبطة بسمو الوزير'!$B$2:$B$151,$B145,'المرتبطة بسمو الوزير'!$G$2:$G$151,$G145,'المرتبطة بسمو الوزير'!$I$2:$I$151,$I145,'المرتبطة بسمو الوزير'!$M$2:$M$151,"&lt;&gt;")+COUNTIFS('الشؤون التنفيذية'!$B$2:$B$421,$B145,'الشؤون التنفيذية'!$G$2:$G$421,$G145,'الشؤون التنفيذية'!$I$2:$I$421,$I145,'الشؤون التنفيذية'!$N$2:$N$421,"&lt;&gt;")+COUNTIFS('الجهاز العسكري'!$B$2:$B$631,$B145,'الجهاز العسكري'!$G$2:$G$631,$G145,'الجهاز العسكري'!$I$2:$I$631,$I145,'الجهاز العسكري'!$M$2:$M$631,"&lt;&gt;")</f>
        <v>1</v>
      </c>
      <c r="N145" s="24" t="n">
        <f aca="false">IF($L145=0,0,ROUND((SUMIFS('المرتبطة بسمو الوزير'!$M$2:$M$151,'المرتبطة بسمو الوزير'!$B$2:$B$151,$B145,'المرتبطة بسمو الوزير'!$G$2:$G$151,$G145,'المرتبطة بسمو الوزير'!$I$2:$I$151,$I145)+SUMIFS('الشؤون التنفيذية'!$N$2:$N$421,'الشؤون التنفيذية'!$B$2:$B$421,$B145,'الشؤون التنفيذية'!$G$2:$G$421,$G145,'الشؤون التنفيذية'!$I$2:$I$421,$I145)+SUMIFS('الجهاز العسكري'!$M$2:$M$631,'الجهاز العسكري'!$B$2:$B$631,$B145,'الجهاز العسكري'!$G$2:$G$631,$G145,'الجهاز العسكري'!$I$2:$I$631,$I145))/$L145,0))</f>
        <v>46</v>
      </c>
      <c r="O145" s="25" t="n">
        <f aca="false">IF($L145=0,0,ROUND((SUMIFS('المرتبطة بسمو الوزير'!$N$2:$N$151,'المرتبطة بسمو الوزير'!$B$2:$B$151,$B145,'المرتبطة بسمو الوزير'!$G$2:$G$151,$G145,'المرتبطة بسمو الوزير'!$I$2:$I$151,$I145)+SUMIFS('الشؤون التنفيذية'!$O$2:$O$421,'الشؤون التنفيذية'!$B$2:$B$421,$B145,'الشؤون التنفيذية'!$G$2:$G$421,$G145,'الشؤون التنفيذية'!$I$2:$I$421,$I145)+SUMIFS('الجهاز العسكري'!$N$2:$N$631,'الجهاز العسكري'!$B$2:$B$631,$B145,'الجهاز العسكري'!$G$2:$G$631,$G145,'الجهاز العسكري'!$I$2:$I$631,$I145))/$L145,0))</f>
        <v>80</v>
      </c>
      <c r="P145" s="22"/>
      <c r="Q145" s="19" t="n">
        <f aca="false">SUMIFS(المرجع!$G$2:$G$19,المرجع!$B$2:$B$19,$G145,المرجع!$E$2:$E$19,$I145)</f>
        <v>30</v>
      </c>
      <c r="R145" s="26" t="n">
        <f aca="false">ROUND($Q145*$N145/100,2)</f>
        <v>13.8</v>
      </c>
      <c r="S145" s="27" t="str">
        <f aca="false">IF($N145&gt;المرجع!$K$3,"متقدم",IF($N145&lt;=المرجع!$K$2,"أولي","جزئي"))</f>
        <v>جزئي</v>
      </c>
      <c r="T145" s="28" t="n">
        <f aca="false">ROUND($Q145*$O145/100,2)</f>
        <v>24</v>
      </c>
    </row>
    <row r="146" customFormat="false" ht="15" hidden="false" customHeight="true" outlineLevel="0" collapsed="false">
      <c r="A146" s="20" t="s">
        <v>1598</v>
      </c>
      <c r="B146" s="20" t="s">
        <v>170</v>
      </c>
      <c r="C146" s="19" t="str">
        <f aca="false">IFERROR(INDEX('قائمة الوحدات'!$B$2:$B$41,MATCH($B146,'قائمة الوحدات'!$A$2:$A$41,0)),"")</f>
        <v>EXE</v>
      </c>
      <c r="D146" s="18" t="str">
        <f aca="false">IFERROR(INDEX('قائمة الوحدات'!$C$2:$C$41,MATCH($B146,'قائمة الوحدات'!$A$2:$A$41,0)),"")</f>
        <v>الشؤون التنفيذية</v>
      </c>
      <c r="E146" s="18" t="str">
        <f aca="false">IFERROR(INDEX('قائمة الوحدات'!$D$2:$D$41,MATCH($B146,'قائمة الوحدات'!$A$2:$A$41,0)),"")</f>
        <v>وكالة الشؤون الفنية</v>
      </c>
      <c r="F146" s="18" t="str">
        <f aca="false">IFERROR(INDEX('قائمة الوحدات'!$F$2:$F$41,MATCH($B146,'قائمة الوحدات'!$A$2:$A$41,0)),"")</f>
        <v>الإدارة العامة للتشغيل والصيانة</v>
      </c>
      <c r="G146" s="20" t="s">
        <v>44</v>
      </c>
      <c r="H146" s="18" t="str">
        <f aca="false">IFERROR(INDEX(المرجع!$A$2:$A$19,MATCH($G146,المرجع!$B$2:$B$19,0)),"")</f>
        <v>التصميم</v>
      </c>
      <c r="I146" s="20" t="s">
        <v>46</v>
      </c>
      <c r="J146" s="18" t="str">
        <f aca="false">IFERROR(INDEX(المرجع!$D$2:$D$19,MATCH($I146,المرجع!$E$2:$E$19,0)),"")</f>
        <v>الدور</v>
      </c>
      <c r="K146" s="19" t="n">
        <f aca="false">IFERROR(INDEX(المرجع!$F$2:$F$19,MATCH($I146,المرجع!$E$2:$E$19,0)),"")</f>
        <v>1</v>
      </c>
      <c r="L146" s="19" t="n">
        <f aca="false">SUMIFS(المرجع!$H$2:$H$19,المرجع!$B$2:$B$19,$G146,المرجع!$E$2:$E$19,$I146)</f>
        <v>1</v>
      </c>
      <c r="M146" s="19" t="n">
        <f aca="false">COUNTIFS('المرتبطة بسمو الوزير'!$B$2:$B$151,$B146,'المرتبطة بسمو الوزير'!$G$2:$G$151,$G146,'المرتبطة بسمو الوزير'!$I$2:$I$151,$I146,'المرتبطة بسمو الوزير'!$M$2:$M$151,"&lt;&gt;")+COUNTIFS('الشؤون التنفيذية'!$B$2:$B$421,$B146,'الشؤون التنفيذية'!$G$2:$G$421,$G146,'الشؤون التنفيذية'!$I$2:$I$421,$I146,'الشؤون التنفيذية'!$N$2:$N$421,"&lt;&gt;")+COUNTIFS('الجهاز العسكري'!$B$2:$B$631,$B146,'الجهاز العسكري'!$G$2:$G$631,$G146,'الجهاز العسكري'!$I$2:$I$631,$I146,'الجهاز العسكري'!$M$2:$M$631,"&lt;&gt;")</f>
        <v>1</v>
      </c>
      <c r="N146" s="24" t="n">
        <f aca="false">IF($L146=0,0,ROUND((SUMIFS('المرتبطة بسمو الوزير'!$M$2:$M$151,'المرتبطة بسمو الوزير'!$B$2:$B$151,$B146,'المرتبطة بسمو الوزير'!$G$2:$G$151,$G146,'المرتبطة بسمو الوزير'!$I$2:$I$151,$I146)+SUMIFS('الشؤون التنفيذية'!$N$2:$N$421,'الشؤون التنفيذية'!$B$2:$B$421,$B146,'الشؤون التنفيذية'!$G$2:$G$421,$G146,'الشؤون التنفيذية'!$I$2:$I$421,$I146)+SUMIFS('الجهاز العسكري'!$M$2:$M$631,'الجهاز العسكري'!$B$2:$B$631,$B146,'الجهاز العسكري'!$G$2:$G$631,$G146,'الجهاز العسكري'!$I$2:$I$631,$I146))/$L146,0))</f>
        <v>83</v>
      </c>
      <c r="O146" s="25" t="n">
        <f aca="false">IF($L146=0,0,ROUND((SUMIFS('المرتبطة بسمو الوزير'!$N$2:$N$151,'المرتبطة بسمو الوزير'!$B$2:$B$151,$B146,'المرتبطة بسمو الوزير'!$G$2:$G$151,$G146,'المرتبطة بسمو الوزير'!$I$2:$I$151,$I146)+SUMIFS('الشؤون التنفيذية'!$O$2:$O$421,'الشؤون التنفيذية'!$B$2:$B$421,$B146,'الشؤون التنفيذية'!$G$2:$G$421,$G146,'الشؤون التنفيذية'!$I$2:$I$421,$I146)+SUMIFS('الجهاز العسكري'!$N$2:$N$631,'الجهاز العسكري'!$B$2:$B$631,$B146,'الجهاز العسكري'!$G$2:$G$631,$G146,'الجهاز العسكري'!$I$2:$I$631,$I146))/$L146,0))</f>
        <v>90</v>
      </c>
      <c r="P146" s="22"/>
      <c r="Q146" s="19" t="n">
        <f aca="false">SUMIFS(المرجع!$G$2:$G$19,المرجع!$B$2:$B$19,$G146,المرجع!$E$2:$E$19,$I146)</f>
        <v>25</v>
      </c>
      <c r="R146" s="26" t="n">
        <f aca="false">ROUND($Q146*$N146/100,2)</f>
        <v>20.75</v>
      </c>
      <c r="S146" s="27" t="str">
        <f aca="false">IF($N146&gt;المرجع!$K$3,"متقدم",IF($N146&lt;=المرجع!$K$2,"أولي","جزئي"))</f>
        <v>متقدم</v>
      </c>
      <c r="T146" s="28" t="n">
        <f aca="false">ROUND($Q146*$O146/100,2)</f>
        <v>22.5</v>
      </c>
    </row>
    <row r="147" customFormat="false" ht="15" hidden="false" customHeight="true" outlineLevel="0" collapsed="false">
      <c r="A147" s="20" t="s">
        <v>1599</v>
      </c>
      <c r="B147" s="20" t="s">
        <v>170</v>
      </c>
      <c r="C147" s="19" t="str">
        <f aca="false">IFERROR(INDEX('قائمة الوحدات'!$B$2:$B$41,MATCH($B147,'قائمة الوحدات'!$A$2:$A$41,0)),"")</f>
        <v>EXE</v>
      </c>
      <c r="D147" s="18" t="str">
        <f aca="false">IFERROR(INDEX('قائمة الوحدات'!$C$2:$C$41,MATCH($B147,'قائمة الوحدات'!$A$2:$A$41,0)),"")</f>
        <v>الشؤون التنفيذية</v>
      </c>
      <c r="E147" s="18" t="str">
        <f aca="false">IFERROR(INDEX('قائمة الوحدات'!$D$2:$D$41,MATCH($B147,'قائمة الوحدات'!$A$2:$A$41,0)),"")</f>
        <v>وكالة الشؤون الفنية</v>
      </c>
      <c r="F147" s="18" t="str">
        <f aca="false">IFERROR(INDEX('قائمة الوحدات'!$F$2:$F$41,MATCH($B147,'قائمة الوحدات'!$A$2:$A$41,0)),"")</f>
        <v>الإدارة العامة للتشغيل والصيانة</v>
      </c>
      <c r="G147" s="20" t="s">
        <v>44</v>
      </c>
      <c r="H147" s="18" t="str">
        <f aca="false">IFERROR(INDEX(المرجع!$A$2:$A$19,MATCH($G147,المرجع!$B$2:$B$19,0)),"")</f>
        <v>التصميم</v>
      </c>
      <c r="I147" s="20" t="s">
        <v>49</v>
      </c>
      <c r="J147" s="18" t="str">
        <f aca="false">IFERROR(INDEX(المرجع!$D$2:$D$19,MATCH($I147,المرجع!$E$2:$E$19,0)),"")</f>
        <v>الأهداف ومؤشرات الأداء</v>
      </c>
      <c r="K147" s="19" t="n">
        <f aca="false">IFERROR(INDEX(المرجع!$F$2:$F$19,MATCH($I147,المرجع!$E$2:$E$19,0)),"")</f>
        <v>2</v>
      </c>
      <c r="L147" s="19" t="n">
        <f aca="false">SUMIFS(المرجع!$H$2:$H$19,المرجع!$B$2:$B$19,$G147,المرجع!$E$2:$E$19,$I147)</f>
        <v>2</v>
      </c>
      <c r="M147" s="19" t="n">
        <f aca="false">COUNTIFS('المرتبطة بسمو الوزير'!$B$2:$B$151,$B147,'المرتبطة بسمو الوزير'!$G$2:$G$151,$G147,'المرتبطة بسمو الوزير'!$I$2:$I$151,$I147,'المرتبطة بسمو الوزير'!$M$2:$M$151,"&lt;&gt;")+COUNTIFS('الشؤون التنفيذية'!$B$2:$B$421,$B147,'الشؤون التنفيذية'!$G$2:$G$421,$G147,'الشؤون التنفيذية'!$I$2:$I$421,$I147,'الشؤون التنفيذية'!$N$2:$N$421,"&lt;&gt;")+COUNTIFS('الجهاز العسكري'!$B$2:$B$631,$B147,'الجهاز العسكري'!$G$2:$G$631,$G147,'الجهاز العسكري'!$I$2:$I$631,$I147,'الجهاز العسكري'!$M$2:$M$631,"&lt;&gt;")</f>
        <v>2</v>
      </c>
      <c r="N147" s="24" t="n">
        <f aca="false">IF($L147=0,0,ROUND((SUMIFS('المرتبطة بسمو الوزير'!$M$2:$M$151,'المرتبطة بسمو الوزير'!$B$2:$B$151,$B147,'المرتبطة بسمو الوزير'!$G$2:$G$151,$G147,'المرتبطة بسمو الوزير'!$I$2:$I$151,$I147)+SUMIFS('الشؤون التنفيذية'!$N$2:$N$421,'الشؤون التنفيذية'!$B$2:$B$421,$B147,'الشؤون التنفيذية'!$G$2:$G$421,$G147,'الشؤون التنفيذية'!$I$2:$I$421,$I147)+SUMIFS('الجهاز العسكري'!$M$2:$M$631,'الجهاز العسكري'!$B$2:$B$631,$B147,'الجهاز العسكري'!$G$2:$G$631,$G147,'الجهاز العسكري'!$I$2:$I$631,$I147))/$L147,0))</f>
        <v>75</v>
      </c>
      <c r="O147" s="25" t="n">
        <f aca="false">IF($L147=0,0,ROUND((SUMIFS('المرتبطة بسمو الوزير'!$N$2:$N$151,'المرتبطة بسمو الوزير'!$B$2:$B$151,$B147,'المرتبطة بسمو الوزير'!$G$2:$G$151,$G147,'المرتبطة بسمو الوزير'!$I$2:$I$151,$I147)+SUMIFS('الشؤون التنفيذية'!$O$2:$O$421,'الشؤون التنفيذية'!$B$2:$B$421,$B147,'الشؤون التنفيذية'!$G$2:$G$421,$G147,'الشؤون التنفيذية'!$I$2:$I$421,$I147)+SUMIFS('الجهاز العسكري'!$N$2:$N$631,'الجهاز العسكري'!$B$2:$B$631,$B147,'الجهاز العسكري'!$G$2:$G$631,$G147,'الجهاز العسكري'!$I$2:$I$631,$I147))/$L147,0))</f>
        <v>90</v>
      </c>
      <c r="P147" s="22"/>
      <c r="Q147" s="19" t="n">
        <f aca="false">SUMIFS(المرجع!$G$2:$G$19,المرجع!$B$2:$B$19,$G147,المرجع!$E$2:$E$19,$I147)</f>
        <v>15</v>
      </c>
      <c r="R147" s="26" t="n">
        <f aca="false">ROUND($Q147*$N147/100,2)</f>
        <v>11.25</v>
      </c>
      <c r="S147" s="27" t="str">
        <f aca="false">IF($N147&gt;المرجع!$K$3,"متقدم",IF($N147&lt;=المرجع!$K$2,"أولي","جزئي"))</f>
        <v>متقدم</v>
      </c>
      <c r="T147" s="28" t="n">
        <f aca="false">ROUND($Q147*$O147/100,2)</f>
        <v>13.5</v>
      </c>
    </row>
    <row r="148" customFormat="false" ht="15" hidden="false" customHeight="true" outlineLevel="0" collapsed="false">
      <c r="A148" s="20" t="s">
        <v>1600</v>
      </c>
      <c r="B148" s="20" t="s">
        <v>170</v>
      </c>
      <c r="C148" s="19" t="str">
        <f aca="false">IFERROR(INDEX('قائمة الوحدات'!$B$2:$B$41,MATCH($B148,'قائمة الوحدات'!$A$2:$A$41,0)),"")</f>
        <v>EXE</v>
      </c>
      <c r="D148" s="18" t="str">
        <f aca="false">IFERROR(INDEX('قائمة الوحدات'!$C$2:$C$41,MATCH($B148,'قائمة الوحدات'!$A$2:$A$41,0)),"")</f>
        <v>الشؤون التنفيذية</v>
      </c>
      <c r="E148" s="18" t="str">
        <f aca="false">IFERROR(INDEX('قائمة الوحدات'!$D$2:$D$41,MATCH($B148,'قائمة الوحدات'!$A$2:$A$41,0)),"")</f>
        <v>وكالة الشؤون الفنية</v>
      </c>
      <c r="F148" s="18" t="str">
        <f aca="false">IFERROR(INDEX('قائمة الوحدات'!$F$2:$F$41,MATCH($B148,'قائمة الوحدات'!$A$2:$A$41,0)),"")</f>
        <v>الإدارة العامة للتشغيل والصيانة</v>
      </c>
      <c r="G148" s="20" t="s">
        <v>44</v>
      </c>
      <c r="H148" s="18" t="str">
        <f aca="false">IFERROR(INDEX(المرجع!$A$2:$A$19,MATCH($G148,المرجع!$B$2:$B$19,0)),"")</f>
        <v>التصميم</v>
      </c>
      <c r="I148" s="20" t="s">
        <v>52</v>
      </c>
      <c r="J148" s="18" t="str">
        <f aca="false">IFERROR(INDEX(المرجع!$D$2:$D$19,MATCH($I148,المرجع!$E$2:$E$19,0)),"")</f>
        <v>الحوكمة</v>
      </c>
      <c r="K148" s="19" t="n">
        <f aca="false">IFERROR(INDEX(المرجع!$F$2:$F$19,MATCH($I148,المرجع!$E$2:$E$19,0)),"")</f>
        <v>3</v>
      </c>
      <c r="L148" s="19" t="n">
        <f aca="false">SUMIFS(المرجع!$H$2:$H$19,المرجع!$B$2:$B$19,$G148,المرجع!$E$2:$E$19,$I148)</f>
        <v>1</v>
      </c>
      <c r="M148" s="19" t="n">
        <f aca="false">COUNTIFS('المرتبطة بسمو الوزير'!$B$2:$B$151,$B148,'المرتبطة بسمو الوزير'!$G$2:$G$151,$G148,'المرتبطة بسمو الوزير'!$I$2:$I$151,$I148,'المرتبطة بسمو الوزير'!$M$2:$M$151,"&lt;&gt;")+COUNTIFS('الشؤون التنفيذية'!$B$2:$B$421,$B148,'الشؤون التنفيذية'!$G$2:$G$421,$G148,'الشؤون التنفيذية'!$I$2:$I$421,$I148,'الشؤون التنفيذية'!$N$2:$N$421,"&lt;&gt;")+COUNTIFS('الجهاز العسكري'!$B$2:$B$631,$B148,'الجهاز العسكري'!$G$2:$G$631,$G148,'الجهاز العسكري'!$I$2:$I$631,$I148,'الجهاز العسكري'!$M$2:$M$631,"&lt;&gt;")</f>
        <v>1</v>
      </c>
      <c r="N148" s="24" t="n">
        <f aca="false">IF($L148=0,0,ROUND((SUMIFS('المرتبطة بسمو الوزير'!$M$2:$M$151,'المرتبطة بسمو الوزير'!$B$2:$B$151,$B148,'المرتبطة بسمو الوزير'!$G$2:$G$151,$G148,'المرتبطة بسمو الوزير'!$I$2:$I$151,$I148)+SUMIFS('الشؤون التنفيذية'!$N$2:$N$421,'الشؤون التنفيذية'!$B$2:$B$421,$B148,'الشؤون التنفيذية'!$G$2:$G$421,$G148,'الشؤون التنفيذية'!$I$2:$I$421,$I148)+SUMIFS('الجهاز العسكري'!$M$2:$M$631,'الجهاز العسكري'!$B$2:$B$631,$B148,'الجهاز العسكري'!$G$2:$G$631,$G148,'الجهاز العسكري'!$I$2:$I$631,$I148))/$L148,0))</f>
        <v>80</v>
      </c>
      <c r="O148" s="25" t="n">
        <f aca="false">IF($L148=0,0,ROUND((SUMIFS('المرتبطة بسمو الوزير'!$N$2:$N$151,'المرتبطة بسمو الوزير'!$B$2:$B$151,$B148,'المرتبطة بسمو الوزير'!$G$2:$G$151,$G148,'المرتبطة بسمو الوزير'!$I$2:$I$151,$I148)+SUMIFS('الشؤون التنفيذية'!$O$2:$O$421,'الشؤون التنفيذية'!$B$2:$B$421,$B148,'الشؤون التنفيذية'!$G$2:$G$421,$G148,'الشؤون التنفيذية'!$I$2:$I$421,$I148)+SUMIFS('الجهاز العسكري'!$N$2:$N$631,'الجهاز العسكري'!$B$2:$B$631,$B148,'الجهاز العسكري'!$G$2:$G$631,$G148,'الجهاز العسكري'!$I$2:$I$631,$I148))/$L148,0))</f>
        <v>80</v>
      </c>
      <c r="P148" s="22"/>
      <c r="Q148" s="19" t="n">
        <f aca="false">SUMIFS(المرجع!$G$2:$G$19,المرجع!$B$2:$B$19,$G148,المرجع!$E$2:$E$19,$I148)</f>
        <v>15</v>
      </c>
      <c r="R148" s="26" t="n">
        <f aca="false">ROUND($Q148*$N148/100,2)</f>
        <v>12</v>
      </c>
      <c r="S148" s="27" t="str">
        <f aca="false">IF($N148&gt;المرجع!$K$3,"متقدم",IF($N148&lt;=المرجع!$K$2,"أولي","جزئي"))</f>
        <v>متقدم</v>
      </c>
      <c r="T148" s="28" t="n">
        <f aca="false">ROUND($Q148*$O148/100,2)</f>
        <v>12</v>
      </c>
    </row>
    <row r="149" customFormat="false" ht="15" hidden="false" customHeight="true" outlineLevel="0" collapsed="false">
      <c r="A149" s="20" t="s">
        <v>1601</v>
      </c>
      <c r="B149" s="20" t="s">
        <v>170</v>
      </c>
      <c r="C149" s="19" t="str">
        <f aca="false">IFERROR(INDEX('قائمة الوحدات'!$B$2:$B$41,MATCH($B149,'قائمة الوحدات'!$A$2:$A$41,0)),"")</f>
        <v>EXE</v>
      </c>
      <c r="D149" s="18" t="str">
        <f aca="false">IFERROR(INDEX('قائمة الوحدات'!$C$2:$C$41,MATCH($B149,'قائمة الوحدات'!$A$2:$A$41,0)),"")</f>
        <v>الشؤون التنفيذية</v>
      </c>
      <c r="E149" s="18" t="str">
        <f aca="false">IFERROR(INDEX('قائمة الوحدات'!$D$2:$D$41,MATCH($B149,'قائمة الوحدات'!$A$2:$A$41,0)),"")</f>
        <v>وكالة الشؤون الفنية</v>
      </c>
      <c r="F149" s="18" t="str">
        <f aca="false">IFERROR(INDEX('قائمة الوحدات'!$F$2:$F$41,MATCH($B149,'قائمة الوحدات'!$A$2:$A$41,0)),"")</f>
        <v>الإدارة العامة للتشغيل والصيانة</v>
      </c>
      <c r="G149" s="20" t="s">
        <v>44</v>
      </c>
      <c r="H149" s="18" t="str">
        <f aca="false">IFERROR(INDEX(المرجع!$A$2:$A$19,MATCH($G149,المرجع!$B$2:$B$19,0)),"")</f>
        <v>التصميم</v>
      </c>
      <c r="I149" s="20" t="s">
        <v>55</v>
      </c>
      <c r="J149" s="18" t="str">
        <f aca="false">IFERROR(INDEX(المرجع!$D$2:$D$19,MATCH($I149,المرجع!$E$2:$E$19,0)),"")</f>
        <v>التنظيم</v>
      </c>
      <c r="K149" s="19" t="n">
        <f aca="false">IFERROR(INDEX(المرجع!$F$2:$F$19,MATCH($I149,المرجع!$E$2:$E$19,0)),"")</f>
        <v>4</v>
      </c>
      <c r="L149" s="19" t="n">
        <f aca="false">SUMIFS(المرجع!$H$2:$H$19,المرجع!$B$2:$B$19,$G149,المرجع!$E$2:$E$19,$I149)</f>
        <v>1</v>
      </c>
      <c r="M149" s="19" t="n">
        <f aca="false">COUNTIFS('المرتبطة بسمو الوزير'!$B$2:$B$151,$B149,'المرتبطة بسمو الوزير'!$G$2:$G$151,$G149,'المرتبطة بسمو الوزير'!$I$2:$I$151,$I149,'المرتبطة بسمو الوزير'!$M$2:$M$151,"&lt;&gt;")+COUNTIFS('الشؤون التنفيذية'!$B$2:$B$421,$B149,'الشؤون التنفيذية'!$G$2:$G$421,$G149,'الشؤون التنفيذية'!$I$2:$I$421,$I149,'الشؤون التنفيذية'!$N$2:$N$421,"&lt;&gt;")+COUNTIFS('الجهاز العسكري'!$B$2:$B$631,$B149,'الجهاز العسكري'!$G$2:$G$631,$G149,'الجهاز العسكري'!$I$2:$I$631,$I149,'الجهاز العسكري'!$M$2:$M$631,"&lt;&gt;")</f>
        <v>1</v>
      </c>
      <c r="N149" s="24" t="n">
        <f aca="false">IF($L149=0,0,ROUND((SUMIFS('المرتبطة بسمو الوزير'!$M$2:$M$151,'المرتبطة بسمو الوزير'!$B$2:$B$151,$B149,'المرتبطة بسمو الوزير'!$G$2:$G$151,$G149,'المرتبطة بسمو الوزير'!$I$2:$I$151,$I149)+SUMIFS('الشؤون التنفيذية'!$N$2:$N$421,'الشؤون التنفيذية'!$B$2:$B$421,$B149,'الشؤون التنفيذية'!$G$2:$G$421,$G149,'الشؤون التنفيذية'!$I$2:$I$421,$I149)+SUMIFS('الجهاز العسكري'!$M$2:$M$631,'الجهاز العسكري'!$B$2:$B$631,$B149,'الجهاز العسكري'!$G$2:$G$631,$G149,'الجهاز العسكري'!$I$2:$I$631,$I149))/$L149,0))</f>
        <v>93</v>
      </c>
      <c r="O149" s="25" t="n">
        <f aca="false">IF($L149=0,0,ROUND((SUMIFS('المرتبطة بسمو الوزير'!$N$2:$N$151,'المرتبطة بسمو الوزير'!$B$2:$B$151,$B149,'المرتبطة بسمو الوزير'!$G$2:$G$151,$G149,'المرتبطة بسمو الوزير'!$I$2:$I$151,$I149)+SUMIFS('الشؤون التنفيذية'!$O$2:$O$421,'الشؤون التنفيذية'!$B$2:$B$421,$B149,'الشؤون التنفيذية'!$G$2:$G$421,$G149,'الشؤون التنفيذية'!$I$2:$I$421,$I149)+SUMIFS('الجهاز العسكري'!$N$2:$N$631,'الجهاز العسكري'!$B$2:$B$631,$B149,'الجهاز العسكري'!$G$2:$G$631,$G149,'الجهاز العسكري'!$I$2:$I$631,$I149))/$L149,0))</f>
        <v>100</v>
      </c>
      <c r="P149" s="22"/>
      <c r="Q149" s="19" t="n">
        <f aca="false">SUMIFS(المرجع!$G$2:$G$19,المرجع!$B$2:$B$19,$G149,المرجع!$E$2:$E$19,$I149)</f>
        <v>20</v>
      </c>
      <c r="R149" s="26" t="n">
        <f aca="false">ROUND($Q149*$N149/100,2)</f>
        <v>18.6</v>
      </c>
      <c r="S149" s="27" t="str">
        <f aca="false">IF($N149&gt;المرجع!$K$3,"متقدم",IF($N149&lt;=المرجع!$K$2,"أولي","جزئي"))</f>
        <v>متقدم</v>
      </c>
      <c r="T149" s="28" t="n">
        <f aca="false">ROUND($Q149*$O149/100,2)</f>
        <v>20</v>
      </c>
    </row>
    <row r="150" customFormat="false" ht="15" hidden="false" customHeight="true" outlineLevel="0" collapsed="false">
      <c r="A150" s="20" t="s">
        <v>1602</v>
      </c>
      <c r="B150" s="20" t="s">
        <v>170</v>
      </c>
      <c r="C150" s="19" t="str">
        <f aca="false">IFERROR(INDEX('قائمة الوحدات'!$B$2:$B$41,MATCH($B150,'قائمة الوحدات'!$A$2:$A$41,0)),"")</f>
        <v>EXE</v>
      </c>
      <c r="D150" s="18" t="str">
        <f aca="false">IFERROR(INDEX('قائمة الوحدات'!$C$2:$C$41,MATCH($B150,'قائمة الوحدات'!$A$2:$A$41,0)),"")</f>
        <v>الشؤون التنفيذية</v>
      </c>
      <c r="E150" s="18" t="str">
        <f aca="false">IFERROR(INDEX('قائمة الوحدات'!$D$2:$D$41,MATCH($B150,'قائمة الوحدات'!$A$2:$A$41,0)),"")</f>
        <v>وكالة الشؤون الفنية</v>
      </c>
      <c r="F150" s="18" t="str">
        <f aca="false">IFERROR(INDEX('قائمة الوحدات'!$F$2:$F$41,MATCH($B150,'قائمة الوحدات'!$A$2:$A$41,0)),"")</f>
        <v>الإدارة العامة للتشغيل والصيانة</v>
      </c>
      <c r="G150" s="20" t="s">
        <v>44</v>
      </c>
      <c r="H150" s="18" t="str">
        <f aca="false">IFERROR(INDEX(المرجع!$A$2:$A$19,MATCH($G150,المرجع!$B$2:$B$19,0)),"")</f>
        <v>التصميم</v>
      </c>
      <c r="I150" s="20" t="s">
        <v>57</v>
      </c>
      <c r="J150" s="18" t="str">
        <f aca="false">IFERROR(INDEX(المرجع!$D$2:$D$19,MATCH($I150,المرجع!$E$2:$E$19,0)),"")</f>
        <v>الموارد</v>
      </c>
      <c r="K150" s="19" t="n">
        <f aca="false">IFERROR(INDEX(المرجع!$F$2:$F$19,MATCH($I150,المرجع!$E$2:$E$19,0)),"")</f>
        <v>5</v>
      </c>
      <c r="L150" s="19" t="n">
        <f aca="false">SUMIFS(المرجع!$H$2:$H$19,المرجع!$B$2:$B$19,$G150,المرجع!$E$2:$E$19,$I150)</f>
        <v>1</v>
      </c>
      <c r="M150" s="19" t="n">
        <f aca="false">COUNTIFS('المرتبطة بسمو الوزير'!$B$2:$B$151,$B150,'المرتبطة بسمو الوزير'!$G$2:$G$151,$G150,'المرتبطة بسمو الوزير'!$I$2:$I$151,$I150,'المرتبطة بسمو الوزير'!$M$2:$M$151,"&lt;&gt;")+COUNTIFS('الشؤون التنفيذية'!$B$2:$B$421,$B150,'الشؤون التنفيذية'!$G$2:$G$421,$G150,'الشؤون التنفيذية'!$I$2:$I$421,$I150,'الشؤون التنفيذية'!$N$2:$N$421,"&lt;&gt;")+COUNTIFS('الجهاز العسكري'!$B$2:$B$631,$B150,'الجهاز العسكري'!$G$2:$G$631,$G150,'الجهاز العسكري'!$I$2:$I$631,$I150,'الجهاز العسكري'!$M$2:$M$631,"&lt;&gt;")</f>
        <v>1</v>
      </c>
      <c r="N150" s="24" t="n">
        <f aca="false">IF($L150=0,0,ROUND((SUMIFS('المرتبطة بسمو الوزير'!$M$2:$M$151,'المرتبطة بسمو الوزير'!$B$2:$B$151,$B150,'المرتبطة بسمو الوزير'!$G$2:$G$151,$G150,'المرتبطة بسمو الوزير'!$I$2:$I$151,$I150)+SUMIFS('الشؤون التنفيذية'!$N$2:$N$421,'الشؤون التنفيذية'!$B$2:$B$421,$B150,'الشؤون التنفيذية'!$G$2:$G$421,$G150,'الشؤون التنفيذية'!$I$2:$I$421,$I150)+SUMIFS('الجهاز العسكري'!$M$2:$M$631,'الجهاز العسكري'!$B$2:$B$631,$B150,'الجهاز العسكري'!$G$2:$G$631,$G150,'الجهاز العسكري'!$I$2:$I$631,$I150))/$L150,0))</f>
        <v>68</v>
      </c>
      <c r="O150" s="25" t="n">
        <f aca="false">IF($L150=0,0,ROUND((SUMIFS('المرتبطة بسمو الوزير'!$N$2:$N$151,'المرتبطة بسمو الوزير'!$B$2:$B$151,$B150,'المرتبطة بسمو الوزير'!$G$2:$G$151,$G150,'المرتبطة بسمو الوزير'!$I$2:$I$151,$I150)+SUMIFS('الشؤون التنفيذية'!$O$2:$O$421,'الشؤون التنفيذية'!$B$2:$B$421,$B150,'الشؤون التنفيذية'!$G$2:$G$421,$G150,'الشؤون التنفيذية'!$I$2:$I$421,$I150)+SUMIFS('الجهاز العسكري'!$N$2:$N$631,'الجهاز العسكري'!$B$2:$B$631,$B150,'الجهاز العسكري'!$G$2:$G$631,$G150,'الجهاز العسكري'!$I$2:$I$631,$I150))/$L150,0))</f>
        <v>85</v>
      </c>
      <c r="P150" s="22"/>
      <c r="Q150" s="19" t="n">
        <f aca="false">SUMIFS(المرجع!$G$2:$G$19,المرجع!$B$2:$B$19,$G150,المرجع!$E$2:$E$19,$I150)</f>
        <v>20</v>
      </c>
      <c r="R150" s="26" t="n">
        <f aca="false">ROUND($Q150*$N150/100,2)</f>
        <v>13.6</v>
      </c>
      <c r="S150" s="27" t="str">
        <f aca="false">IF($N150&gt;المرجع!$K$3,"متقدم",IF($N150&lt;=المرجع!$K$2,"أولي","جزئي"))</f>
        <v>جزئي</v>
      </c>
      <c r="T150" s="28" t="n">
        <f aca="false">ROUND($Q150*$O150/100,2)</f>
        <v>17</v>
      </c>
    </row>
    <row r="151" customFormat="false" ht="15" hidden="false" customHeight="true" outlineLevel="0" collapsed="false">
      <c r="A151" s="20" t="s">
        <v>1603</v>
      </c>
      <c r="B151" s="20" t="s">
        <v>170</v>
      </c>
      <c r="C151" s="19" t="str">
        <f aca="false">IFERROR(INDEX('قائمة الوحدات'!$B$2:$B$41,MATCH($B151,'قائمة الوحدات'!$A$2:$A$41,0)),"")</f>
        <v>EXE</v>
      </c>
      <c r="D151" s="18" t="str">
        <f aca="false">IFERROR(INDEX('قائمة الوحدات'!$C$2:$C$41,MATCH($B151,'قائمة الوحدات'!$A$2:$A$41,0)),"")</f>
        <v>الشؤون التنفيذية</v>
      </c>
      <c r="E151" s="18" t="str">
        <f aca="false">IFERROR(INDEX('قائمة الوحدات'!$D$2:$D$41,MATCH($B151,'قائمة الوحدات'!$A$2:$A$41,0)),"")</f>
        <v>وكالة الشؤون الفنية</v>
      </c>
      <c r="F151" s="18" t="str">
        <f aca="false">IFERROR(INDEX('قائمة الوحدات'!$F$2:$F$41,MATCH($B151,'قائمة الوحدات'!$A$2:$A$41,0)),"")</f>
        <v>الإدارة العامة للتشغيل والصيانة</v>
      </c>
      <c r="G151" s="20" t="s">
        <v>44</v>
      </c>
      <c r="H151" s="18" t="str">
        <f aca="false">IFERROR(INDEX(المرجع!$A$2:$A$19,MATCH($G151,المرجع!$B$2:$B$19,0)),"")</f>
        <v>التصميم</v>
      </c>
      <c r="I151" s="20" t="s">
        <v>60</v>
      </c>
      <c r="J151" s="18" t="str">
        <f aca="false">IFERROR(INDEX(المرجع!$D$2:$D$19,MATCH($I151,المرجع!$E$2:$E$19,0)),"")</f>
        <v>الإجراءات</v>
      </c>
      <c r="K151" s="19" t="n">
        <f aca="false">IFERROR(INDEX(المرجع!$F$2:$F$19,MATCH($I151,المرجع!$E$2:$E$19,0)),"")</f>
        <v>6</v>
      </c>
      <c r="L151" s="19" t="n">
        <f aca="false">SUMIFS(المرجع!$H$2:$H$19,المرجع!$B$2:$B$19,$G151,المرجع!$E$2:$E$19,$I151)</f>
        <v>1</v>
      </c>
      <c r="M151" s="19" t="n">
        <f aca="false">COUNTIFS('المرتبطة بسمو الوزير'!$B$2:$B$151,$B151,'المرتبطة بسمو الوزير'!$G$2:$G$151,$G151,'المرتبطة بسمو الوزير'!$I$2:$I$151,$I151,'المرتبطة بسمو الوزير'!$M$2:$M$151,"&lt;&gt;")+COUNTIFS('الشؤون التنفيذية'!$B$2:$B$421,$B151,'الشؤون التنفيذية'!$G$2:$G$421,$G151,'الشؤون التنفيذية'!$I$2:$I$421,$I151,'الشؤون التنفيذية'!$N$2:$N$421,"&lt;&gt;")+COUNTIFS('الجهاز العسكري'!$B$2:$B$631,$B151,'الجهاز العسكري'!$G$2:$G$631,$G151,'الجهاز العسكري'!$I$2:$I$631,$I151,'الجهاز العسكري'!$M$2:$M$631,"&lt;&gt;")</f>
        <v>1</v>
      </c>
      <c r="N151" s="24" t="n">
        <f aca="false">IF($L151=0,0,ROUND((SUMIFS('المرتبطة بسمو الوزير'!$M$2:$M$151,'المرتبطة بسمو الوزير'!$B$2:$B$151,$B151,'المرتبطة بسمو الوزير'!$G$2:$G$151,$G151,'المرتبطة بسمو الوزير'!$I$2:$I$151,$I151)+SUMIFS('الشؤون التنفيذية'!$N$2:$N$421,'الشؤون التنفيذية'!$B$2:$B$421,$B151,'الشؤون التنفيذية'!$G$2:$G$421,$G151,'الشؤون التنفيذية'!$I$2:$I$421,$I151)+SUMIFS('الجهاز العسكري'!$M$2:$M$631,'الجهاز العسكري'!$B$2:$B$631,$B151,'الجهاز العسكري'!$G$2:$G$631,$G151,'الجهاز العسكري'!$I$2:$I$631,$I151))/$L151,0))</f>
        <v>95</v>
      </c>
      <c r="O151" s="25" t="n">
        <f aca="false">IF($L151=0,0,ROUND((SUMIFS('المرتبطة بسمو الوزير'!$N$2:$N$151,'المرتبطة بسمو الوزير'!$B$2:$B$151,$B151,'المرتبطة بسمو الوزير'!$G$2:$G$151,$G151,'المرتبطة بسمو الوزير'!$I$2:$I$151,$I151)+SUMIFS('الشؤون التنفيذية'!$O$2:$O$421,'الشؤون التنفيذية'!$B$2:$B$421,$B151,'الشؤون التنفيذية'!$G$2:$G$421,$G151,'الشؤون التنفيذية'!$I$2:$I$421,$I151)+SUMIFS('الجهاز العسكري'!$N$2:$N$631,'الجهاز العسكري'!$B$2:$B$631,$B151,'الجهاز العسكري'!$G$2:$G$631,$G151,'الجهاز العسكري'!$I$2:$I$631,$I151))/$L151,0))</f>
        <v>100</v>
      </c>
      <c r="P151" s="22"/>
      <c r="Q151" s="19" t="n">
        <f aca="false">SUMIFS(المرجع!$G$2:$G$19,المرجع!$B$2:$B$19,$G151,المرجع!$E$2:$E$19,$I151)</f>
        <v>5</v>
      </c>
      <c r="R151" s="26" t="n">
        <f aca="false">ROUND($Q151*$N151/100,2)</f>
        <v>4.75</v>
      </c>
      <c r="S151" s="27" t="str">
        <f aca="false">IF($N151&gt;المرجع!$K$3,"متقدم",IF($N151&lt;=المرجع!$K$2,"أولي","جزئي"))</f>
        <v>متقدم</v>
      </c>
      <c r="T151" s="28" t="n">
        <f aca="false">ROUND($Q151*$O151/100,2)</f>
        <v>5</v>
      </c>
    </row>
    <row r="152" customFormat="false" ht="15" hidden="false" customHeight="true" outlineLevel="0" collapsed="false">
      <c r="A152" s="20" t="s">
        <v>1604</v>
      </c>
      <c r="B152" s="20" t="s">
        <v>170</v>
      </c>
      <c r="C152" s="19" t="str">
        <f aca="false">IFERROR(INDEX('قائمة الوحدات'!$B$2:$B$41,MATCH($B152,'قائمة الوحدات'!$A$2:$A$41,0)),"")</f>
        <v>EXE</v>
      </c>
      <c r="D152" s="18" t="str">
        <f aca="false">IFERROR(INDEX('قائمة الوحدات'!$C$2:$C$41,MATCH($B152,'قائمة الوحدات'!$A$2:$A$41,0)),"")</f>
        <v>الشؤون التنفيذية</v>
      </c>
      <c r="E152" s="18" t="str">
        <f aca="false">IFERROR(INDEX('قائمة الوحدات'!$D$2:$D$41,MATCH($B152,'قائمة الوحدات'!$A$2:$A$41,0)),"")</f>
        <v>وكالة الشؤون الفنية</v>
      </c>
      <c r="F152" s="18" t="str">
        <f aca="false">IFERROR(INDEX('قائمة الوحدات'!$F$2:$F$41,MATCH($B152,'قائمة الوحدات'!$A$2:$A$41,0)),"")</f>
        <v>الإدارة العامة للتشغيل والصيانة</v>
      </c>
      <c r="G152" s="20" t="s">
        <v>62</v>
      </c>
      <c r="H152" s="18" t="str">
        <f aca="false">IFERROR(INDEX(المرجع!$A$2:$A$19,MATCH($G152,المرجع!$B$2:$B$19,0)),"")</f>
        <v>البناء المؤسسي</v>
      </c>
      <c r="I152" s="20" t="s">
        <v>46</v>
      </c>
      <c r="J152" s="18" t="str">
        <f aca="false">IFERROR(INDEX(المرجع!$D$2:$D$19,MATCH($I152,المرجع!$E$2:$E$19,0)),"")</f>
        <v>الدور</v>
      </c>
      <c r="K152" s="19" t="n">
        <f aca="false">IFERROR(INDEX(المرجع!$F$2:$F$19,MATCH($I152,المرجع!$E$2:$E$19,0)),"")</f>
        <v>1</v>
      </c>
      <c r="L152" s="19" t="n">
        <f aca="false">SUMIFS(المرجع!$H$2:$H$19,المرجع!$B$2:$B$19,$G152,المرجع!$E$2:$E$19,$I152)</f>
        <v>1</v>
      </c>
      <c r="M152" s="19" t="n">
        <f aca="false">COUNTIFS('المرتبطة بسمو الوزير'!$B$2:$B$151,$B152,'المرتبطة بسمو الوزير'!$G$2:$G$151,$G152,'المرتبطة بسمو الوزير'!$I$2:$I$151,$I152,'المرتبطة بسمو الوزير'!$M$2:$M$151,"&lt;&gt;")+COUNTIFS('الشؤون التنفيذية'!$B$2:$B$421,$B152,'الشؤون التنفيذية'!$G$2:$G$421,$G152,'الشؤون التنفيذية'!$I$2:$I$421,$I152,'الشؤون التنفيذية'!$N$2:$N$421,"&lt;&gt;")+COUNTIFS('الجهاز العسكري'!$B$2:$B$631,$B152,'الجهاز العسكري'!$G$2:$G$631,$G152,'الجهاز العسكري'!$I$2:$I$631,$I152,'الجهاز العسكري'!$M$2:$M$631,"&lt;&gt;")</f>
        <v>1</v>
      </c>
      <c r="N152" s="24" t="n">
        <f aca="false">IF($L152=0,0,ROUND((SUMIFS('المرتبطة بسمو الوزير'!$M$2:$M$151,'المرتبطة بسمو الوزير'!$B$2:$B$151,$B152,'المرتبطة بسمو الوزير'!$G$2:$G$151,$G152,'المرتبطة بسمو الوزير'!$I$2:$I$151,$I152)+SUMIFS('الشؤون التنفيذية'!$N$2:$N$421,'الشؤون التنفيذية'!$B$2:$B$421,$B152,'الشؤون التنفيذية'!$G$2:$G$421,$G152,'الشؤون التنفيذية'!$I$2:$I$421,$I152)+SUMIFS('الجهاز العسكري'!$M$2:$M$631,'الجهاز العسكري'!$B$2:$B$631,$B152,'الجهاز العسكري'!$G$2:$G$631,$G152,'الجهاز العسكري'!$I$2:$I$631,$I152))/$L152,0))</f>
        <v>60</v>
      </c>
      <c r="O152" s="25" t="n">
        <f aca="false">IF($L152=0,0,ROUND((SUMIFS('المرتبطة بسمو الوزير'!$N$2:$N$151,'المرتبطة بسمو الوزير'!$B$2:$B$151,$B152,'المرتبطة بسمو الوزير'!$G$2:$G$151,$G152,'المرتبطة بسمو الوزير'!$I$2:$I$151,$I152)+SUMIFS('الشؤون التنفيذية'!$O$2:$O$421,'الشؤون التنفيذية'!$B$2:$B$421,$B152,'الشؤون التنفيذية'!$G$2:$G$421,$G152,'الشؤون التنفيذية'!$I$2:$I$421,$I152)+SUMIFS('الجهاز العسكري'!$N$2:$N$631,'الجهاز العسكري'!$B$2:$B$631,$B152,'الجهاز العسكري'!$G$2:$G$631,$G152,'الجهاز العسكري'!$I$2:$I$631,$I152))/$L152,0))</f>
        <v>95</v>
      </c>
      <c r="P152" s="22"/>
      <c r="Q152" s="19" t="n">
        <f aca="false">SUMIFS(المرجع!$G$2:$G$19,المرجع!$B$2:$B$19,$G152,المرجع!$E$2:$E$19,$I152)</f>
        <v>15</v>
      </c>
      <c r="R152" s="26" t="n">
        <f aca="false">ROUND($Q152*$N152/100,2)</f>
        <v>9</v>
      </c>
      <c r="S152" s="27" t="str">
        <f aca="false">IF($N152&gt;المرجع!$K$3,"متقدم",IF($N152&lt;=المرجع!$K$2,"أولي","جزئي"))</f>
        <v>جزئي</v>
      </c>
      <c r="T152" s="28" t="n">
        <f aca="false">ROUND($Q152*$O152/100,2)</f>
        <v>14.25</v>
      </c>
    </row>
    <row r="153" customFormat="false" ht="15" hidden="false" customHeight="true" outlineLevel="0" collapsed="false">
      <c r="A153" s="20" t="s">
        <v>1605</v>
      </c>
      <c r="B153" s="20" t="s">
        <v>170</v>
      </c>
      <c r="C153" s="19" t="str">
        <f aca="false">IFERROR(INDEX('قائمة الوحدات'!$B$2:$B$41,MATCH($B153,'قائمة الوحدات'!$A$2:$A$41,0)),"")</f>
        <v>EXE</v>
      </c>
      <c r="D153" s="18" t="str">
        <f aca="false">IFERROR(INDEX('قائمة الوحدات'!$C$2:$C$41,MATCH($B153,'قائمة الوحدات'!$A$2:$A$41,0)),"")</f>
        <v>الشؤون التنفيذية</v>
      </c>
      <c r="E153" s="18" t="str">
        <f aca="false">IFERROR(INDEX('قائمة الوحدات'!$D$2:$D$41,MATCH($B153,'قائمة الوحدات'!$A$2:$A$41,0)),"")</f>
        <v>وكالة الشؤون الفنية</v>
      </c>
      <c r="F153" s="18" t="str">
        <f aca="false">IFERROR(INDEX('قائمة الوحدات'!$F$2:$F$41,MATCH($B153,'قائمة الوحدات'!$A$2:$A$41,0)),"")</f>
        <v>الإدارة العامة للتشغيل والصيانة</v>
      </c>
      <c r="G153" s="20" t="s">
        <v>62</v>
      </c>
      <c r="H153" s="18" t="str">
        <f aca="false">IFERROR(INDEX(المرجع!$A$2:$A$19,MATCH($G153,المرجع!$B$2:$B$19,0)),"")</f>
        <v>البناء المؤسسي</v>
      </c>
      <c r="I153" s="20" t="s">
        <v>49</v>
      </c>
      <c r="J153" s="18" t="str">
        <f aca="false">IFERROR(INDEX(المرجع!$D$2:$D$19,MATCH($I153,المرجع!$E$2:$E$19,0)),"")</f>
        <v>الأهداف ومؤشرات الأداء</v>
      </c>
      <c r="K153" s="19" t="n">
        <f aca="false">IFERROR(INDEX(المرجع!$F$2:$F$19,MATCH($I153,المرجع!$E$2:$E$19,0)),"")</f>
        <v>2</v>
      </c>
      <c r="L153" s="19" t="n">
        <f aca="false">SUMIFS(المرجع!$H$2:$H$19,المرجع!$B$2:$B$19,$G153,المرجع!$E$2:$E$19,$I153)</f>
        <v>2</v>
      </c>
      <c r="M153" s="19" t="n">
        <f aca="false">COUNTIFS('المرتبطة بسمو الوزير'!$B$2:$B$151,$B153,'المرتبطة بسمو الوزير'!$G$2:$G$151,$G153,'المرتبطة بسمو الوزير'!$I$2:$I$151,$I153,'المرتبطة بسمو الوزير'!$M$2:$M$151,"&lt;&gt;")+COUNTIFS('الشؤون التنفيذية'!$B$2:$B$421,$B153,'الشؤون التنفيذية'!$G$2:$G$421,$G153,'الشؤون التنفيذية'!$I$2:$I$421,$I153,'الشؤون التنفيذية'!$N$2:$N$421,"&lt;&gt;")+COUNTIFS('الجهاز العسكري'!$B$2:$B$631,$B153,'الجهاز العسكري'!$G$2:$G$631,$G153,'الجهاز العسكري'!$I$2:$I$631,$I153,'الجهاز العسكري'!$M$2:$M$631,"&lt;&gt;")</f>
        <v>2</v>
      </c>
      <c r="N153" s="24" t="n">
        <f aca="false">IF($L153=0,0,ROUND((SUMIFS('المرتبطة بسمو الوزير'!$M$2:$M$151,'المرتبطة بسمو الوزير'!$B$2:$B$151,$B153,'المرتبطة بسمو الوزير'!$G$2:$G$151,$G153,'المرتبطة بسمو الوزير'!$I$2:$I$151,$I153)+SUMIFS('الشؤون التنفيذية'!$N$2:$N$421,'الشؤون التنفيذية'!$B$2:$B$421,$B153,'الشؤون التنفيذية'!$G$2:$G$421,$G153,'الشؤون التنفيذية'!$I$2:$I$421,$I153)+SUMIFS('الجهاز العسكري'!$M$2:$M$631,'الجهاز العسكري'!$B$2:$B$631,$B153,'الجهاز العسكري'!$G$2:$G$631,$G153,'الجهاز العسكري'!$I$2:$I$631,$I153))/$L153,0))</f>
        <v>63</v>
      </c>
      <c r="O153" s="25" t="n">
        <f aca="false">IF($L153=0,0,ROUND((SUMIFS('المرتبطة بسمو الوزير'!$N$2:$N$151,'المرتبطة بسمو الوزير'!$B$2:$B$151,$B153,'المرتبطة بسمو الوزير'!$G$2:$G$151,$G153,'المرتبطة بسمو الوزير'!$I$2:$I$151,$I153)+SUMIFS('الشؤون التنفيذية'!$O$2:$O$421,'الشؤون التنفيذية'!$B$2:$B$421,$B153,'الشؤون التنفيذية'!$G$2:$G$421,$G153,'الشؤون التنفيذية'!$I$2:$I$421,$I153)+SUMIFS('الجهاز العسكري'!$N$2:$N$631,'الجهاز العسكري'!$B$2:$B$631,$B153,'الجهاز العسكري'!$G$2:$G$631,$G153,'الجهاز العسكري'!$I$2:$I$631,$I153))/$L153,0))</f>
        <v>93</v>
      </c>
      <c r="P153" s="22"/>
      <c r="Q153" s="19" t="n">
        <f aca="false">SUMIFS(المرجع!$G$2:$G$19,المرجع!$B$2:$B$19,$G153,المرجع!$E$2:$E$19,$I153)</f>
        <v>15</v>
      </c>
      <c r="R153" s="26" t="n">
        <f aca="false">ROUND($Q153*$N153/100,2)</f>
        <v>9.45</v>
      </c>
      <c r="S153" s="27" t="str">
        <f aca="false">IF($N153&gt;المرجع!$K$3,"متقدم",IF($N153&lt;=المرجع!$K$2,"أولي","جزئي"))</f>
        <v>جزئي</v>
      </c>
      <c r="T153" s="28" t="n">
        <f aca="false">ROUND($Q153*$O153/100,2)</f>
        <v>13.95</v>
      </c>
    </row>
    <row r="154" customFormat="false" ht="15" hidden="false" customHeight="true" outlineLevel="0" collapsed="false">
      <c r="A154" s="20" t="s">
        <v>1606</v>
      </c>
      <c r="B154" s="20" t="s">
        <v>170</v>
      </c>
      <c r="C154" s="19" t="str">
        <f aca="false">IFERROR(INDEX('قائمة الوحدات'!$B$2:$B$41,MATCH($B154,'قائمة الوحدات'!$A$2:$A$41,0)),"")</f>
        <v>EXE</v>
      </c>
      <c r="D154" s="18" t="str">
        <f aca="false">IFERROR(INDEX('قائمة الوحدات'!$C$2:$C$41,MATCH($B154,'قائمة الوحدات'!$A$2:$A$41,0)),"")</f>
        <v>الشؤون التنفيذية</v>
      </c>
      <c r="E154" s="18" t="str">
        <f aca="false">IFERROR(INDEX('قائمة الوحدات'!$D$2:$D$41,MATCH($B154,'قائمة الوحدات'!$A$2:$A$41,0)),"")</f>
        <v>وكالة الشؤون الفنية</v>
      </c>
      <c r="F154" s="18" t="str">
        <f aca="false">IFERROR(INDEX('قائمة الوحدات'!$F$2:$F$41,MATCH($B154,'قائمة الوحدات'!$A$2:$A$41,0)),"")</f>
        <v>الإدارة العامة للتشغيل والصيانة</v>
      </c>
      <c r="G154" s="20" t="s">
        <v>62</v>
      </c>
      <c r="H154" s="18" t="str">
        <f aca="false">IFERROR(INDEX(المرجع!$A$2:$A$19,MATCH($G154,المرجع!$B$2:$B$19,0)),"")</f>
        <v>البناء المؤسسي</v>
      </c>
      <c r="I154" s="20" t="s">
        <v>52</v>
      </c>
      <c r="J154" s="18" t="str">
        <f aca="false">IFERROR(INDEX(المرجع!$D$2:$D$19,MATCH($I154,المرجع!$E$2:$E$19,0)),"")</f>
        <v>الحوكمة</v>
      </c>
      <c r="K154" s="19" t="n">
        <f aca="false">IFERROR(INDEX(المرجع!$F$2:$F$19,MATCH($I154,المرجع!$E$2:$E$19,0)),"")</f>
        <v>3</v>
      </c>
      <c r="L154" s="19" t="n">
        <f aca="false">SUMIFS(المرجع!$H$2:$H$19,المرجع!$B$2:$B$19,$G154,المرجع!$E$2:$E$19,$I154)</f>
        <v>3</v>
      </c>
      <c r="M154" s="19" t="n">
        <f aca="false">COUNTIFS('المرتبطة بسمو الوزير'!$B$2:$B$151,$B154,'المرتبطة بسمو الوزير'!$G$2:$G$151,$G154,'المرتبطة بسمو الوزير'!$I$2:$I$151,$I154,'المرتبطة بسمو الوزير'!$M$2:$M$151,"&lt;&gt;")+COUNTIFS('الشؤون التنفيذية'!$B$2:$B$421,$B154,'الشؤون التنفيذية'!$G$2:$G$421,$G154,'الشؤون التنفيذية'!$I$2:$I$421,$I154,'الشؤون التنفيذية'!$N$2:$N$421,"&lt;&gt;")+COUNTIFS('الجهاز العسكري'!$B$2:$B$631,$B154,'الجهاز العسكري'!$G$2:$G$631,$G154,'الجهاز العسكري'!$I$2:$I$631,$I154,'الجهاز العسكري'!$M$2:$M$631,"&lt;&gt;")</f>
        <v>3</v>
      </c>
      <c r="N154" s="24" t="n">
        <f aca="false">IF($L154=0,0,ROUND((SUMIFS('المرتبطة بسمو الوزير'!$M$2:$M$151,'المرتبطة بسمو الوزير'!$B$2:$B$151,$B154,'المرتبطة بسمو الوزير'!$G$2:$G$151,$G154,'المرتبطة بسمو الوزير'!$I$2:$I$151,$I154)+SUMIFS('الشؤون التنفيذية'!$N$2:$N$421,'الشؤون التنفيذية'!$B$2:$B$421,$B154,'الشؤون التنفيذية'!$G$2:$G$421,$G154,'الشؤون التنفيذية'!$I$2:$I$421,$I154)+SUMIFS('الجهاز العسكري'!$M$2:$M$631,'الجهاز العسكري'!$B$2:$B$631,$B154,'الجهاز العسكري'!$G$2:$G$631,$G154,'الجهاز العسكري'!$I$2:$I$631,$I154))/$L154,0))</f>
        <v>52</v>
      </c>
      <c r="O154" s="25" t="n">
        <f aca="false">IF($L154=0,0,ROUND((SUMIFS('المرتبطة بسمو الوزير'!$N$2:$N$151,'المرتبطة بسمو الوزير'!$B$2:$B$151,$B154,'المرتبطة بسمو الوزير'!$G$2:$G$151,$G154,'المرتبطة بسمو الوزير'!$I$2:$I$151,$I154)+SUMIFS('الشؤون التنفيذية'!$O$2:$O$421,'الشؤون التنفيذية'!$B$2:$B$421,$B154,'الشؤون التنفيذية'!$G$2:$G$421,$G154,'الشؤون التنفيذية'!$I$2:$I$421,$I154)+SUMIFS('الجهاز العسكري'!$N$2:$N$631,'الجهاز العسكري'!$B$2:$B$631,$B154,'الجهاز العسكري'!$G$2:$G$631,$G154,'الجهاز العسكري'!$I$2:$I$631,$I154))/$L154,0))</f>
        <v>93</v>
      </c>
      <c r="P154" s="22"/>
      <c r="Q154" s="19" t="n">
        <f aca="false">SUMIFS(المرجع!$G$2:$G$19,المرجع!$B$2:$B$19,$G154,المرجع!$E$2:$E$19,$I154)</f>
        <v>15</v>
      </c>
      <c r="R154" s="26" t="n">
        <f aca="false">ROUND($Q154*$N154/100,2)</f>
        <v>7.8</v>
      </c>
      <c r="S154" s="27" t="str">
        <f aca="false">IF($N154&gt;المرجع!$K$3,"متقدم",IF($N154&lt;=المرجع!$K$2,"أولي","جزئي"))</f>
        <v>جزئي</v>
      </c>
      <c r="T154" s="28" t="n">
        <f aca="false">ROUND($Q154*$O154/100,2)</f>
        <v>13.95</v>
      </c>
    </row>
    <row r="155" customFormat="false" ht="15" hidden="false" customHeight="true" outlineLevel="0" collapsed="false">
      <c r="A155" s="20" t="s">
        <v>1607</v>
      </c>
      <c r="B155" s="20" t="s">
        <v>170</v>
      </c>
      <c r="C155" s="19" t="str">
        <f aca="false">IFERROR(INDEX('قائمة الوحدات'!$B$2:$B$41,MATCH($B155,'قائمة الوحدات'!$A$2:$A$41,0)),"")</f>
        <v>EXE</v>
      </c>
      <c r="D155" s="18" t="str">
        <f aca="false">IFERROR(INDEX('قائمة الوحدات'!$C$2:$C$41,MATCH($B155,'قائمة الوحدات'!$A$2:$A$41,0)),"")</f>
        <v>الشؤون التنفيذية</v>
      </c>
      <c r="E155" s="18" t="str">
        <f aca="false">IFERROR(INDEX('قائمة الوحدات'!$D$2:$D$41,MATCH($B155,'قائمة الوحدات'!$A$2:$A$41,0)),"")</f>
        <v>وكالة الشؤون الفنية</v>
      </c>
      <c r="F155" s="18" t="str">
        <f aca="false">IFERROR(INDEX('قائمة الوحدات'!$F$2:$F$41,MATCH($B155,'قائمة الوحدات'!$A$2:$A$41,0)),"")</f>
        <v>الإدارة العامة للتشغيل والصيانة</v>
      </c>
      <c r="G155" s="20" t="s">
        <v>62</v>
      </c>
      <c r="H155" s="18" t="str">
        <f aca="false">IFERROR(INDEX(المرجع!$A$2:$A$19,MATCH($G155,المرجع!$B$2:$B$19,0)),"")</f>
        <v>البناء المؤسسي</v>
      </c>
      <c r="I155" s="20" t="s">
        <v>55</v>
      </c>
      <c r="J155" s="18" t="str">
        <f aca="false">IFERROR(INDEX(المرجع!$D$2:$D$19,MATCH($I155,المرجع!$E$2:$E$19,0)),"")</f>
        <v>التنظيم</v>
      </c>
      <c r="K155" s="19" t="n">
        <f aca="false">IFERROR(INDEX(المرجع!$F$2:$F$19,MATCH($I155,المرجع!$E$2:$E$19,0)),"")</f>
        <v>4</v>
      </c>
      <c r="L155" s="19" t="n">
        <f aca="false">SUMIFS(المرجع!$H$2:$H$19,المرجع!$B$2:$B$19,$G155,المرجع!$E$2:$E$19,$I155)</f>
        <v>3</v>
      </c>
      <c r="M155" s="19" t="n">
        <f aca="false">COUNTIFS('المرتبطة بسمو الوزير'!$B$2:$B$151,$B155,'المرتبطة بسمو الوزير'!$G$2:$G$151,$G155,'المرتبطة بسمو الوزير'!$I$2:$I$151,$I155,'المرتبطة بسمو الوزير'!$M$2:$M$151,"&lt;&gt;")+COUNTIFS('الشؤون التنفيذية'!$B$2:$B$421,$B155,'الشؤون التنفيذية'!$G$2:$G$421,$G155,'الشؤون التنفيذية'!$I$2:$I$421,$I155,'الشؤون التنفيذية'!$N$2:$N$421,"&lt;&gt;")+COUNTIFS('الجهاز العسكري'!$B$2:$B$631,$B155,'الجهاز العسكري'!$G$2:$G$631,$G155,'الجهاز العسكري'!$I$2:$I$631,$I155,'الجهاز العسكري'!$M$2:$M$631,"&lt;&gt;")</f>
        <v>3</v>
      </c>
      <c r="N155" s="24" t="n">
        <f aca="false">IF($L155=0,0,ROUND((SUMIFS('المرتبطة بسمو الوزير'!$M$2:$M$151,'المرتبطة بسمو الوزير'!$B$2:$B$151,$B155,'المرتبطة بسمو الوزير'!$G$2:$G$151,$G155,'المرتبطة بسمو الوزير'!$I$2:$I$151,$I155)+SUMIFS('الشؤون التنفيذية'!$N$2:$N$421,'الشؤون التنفيذية'!$B$2:$B$421,$B155,'الشؤون التنفيذية'!$G$2:$G$421,$G155,'الشؤون التنفيذية'!$I$2:$I$421,$I155)+SUMIFS('الجهاز العسكري'!$M$2:$M$631,'الجهاز العسكري'!$B$2:$B$631,$B155,'الجهاز العسكري'!$G$2:$G$631,$G155,'الجهاز العسكري'!$I$2:$I$631,$I155))/$L155,0))</f>
        <v>87</v>
      </c>
      <c r="O155" s="25" t="n">
        <f aca="false">IF($L155=0,0,ROUND((SUMIFS('المرتبطة بسمو الوزير'!$N$2:$N$151,'المرتبطة بسمو الوزير'!$B$2:$B$151,$B155,'المرتبطة بسمو الوزير'!$G$2:$G$151,$G155,'المرتبطة بسمو الوزير'!$I$2:$I$151,$I155)+SUMIFS('الشؤون التنفيذية'!$O$2:$O$421,'الشؤون التنفيذية'!$B$2:$B$421,$B155,'الشؤون التنفيذية'!$G$2:$G$421,$G155,'الشؤون التنفيذية'!$I$2:$I$421,$I155)+SUMIFS('الجهاز العسكري'!$N$2:$N$631,'الجهاز العسكري'!$B$2:$B$631,$B155,'الجهاز العسكري'!$G$2:$G$631,$G155,'الجهاز العسكري'!$I$2:$I$631,$I155))/$L155,0))</f>
        <v>92</v>
      </c>
      <c r="P155" s="22"/>
      <c r="Q155" s="19" t="n">
        <f aca="false">SUMIFS(المرجع!$G$2:$G$19,المرجع!$B$2:$B$19,$G155,المرجع!$E$2:$E$19,$I155)</f>
        <v>20</v>
      </c>
      <c r="R155" s="26" t="n">
        <f aca="false">ROUND($Q155*$N155/100,2)</f>
        <v>17.4</v>
      </c>
      <c r="S155" s="27" t="str">
        <f aca="false">IF($N155&gt;المرجع!$K$3,"متقدم",IF($N155&lt;=المرجع!$K$2,"أولي","جزئي"))</f>
        <v>متقدم</v>
      </c>
      <c r="T155" s="28" t="n">
        <f aca="false">ROUND($Q155*$O155/100,2)</f>
        <v>18.4</v>
      </c>
    </row>
    <row r="156" customFormat="false" ht="15" hidden="false" customHeight="true" outlineLevel="0" collapsed="false">
      <c r="A156" s="20" t="s">
        <v>1608</v>
      </c>
      <c r="B156" s="20" t="s">
        <v>170</v>
      </c>
      <c r="C156" s="19" t="str">
        <f aca="false">IFERROR(INDEX('قائمة الوحدات'!$B$2:$B$41,MATCH($B156,'قائمة الوحدات'!$A$2:$A$41,0)),"")</f>
        <v>EXE</v>
      </c>
      <c r="D156" s="18" t="str">
        <f aca="false">IFERROR(INDEX('قائمة الوحدات'!$C$2:$C$41,MATCH($B156,'قائمة الوحدات'!$A$2:$A$41,0)),"")</f>
        <v>الشؤون التنفيذية</v>
      </c>
      <c r="E156" s="18" t="str">
        <f aca="false">IFERROR(INDEX('قائمة الوحدات'!$D$2:$D$41,MATCH($B156,'قائمة الوحدات'!$A$2:$A$41,0)),"")</f>
        <v>وكالة الشؤون الفنية</v>
      </c>
      <c r="F156" s="18" t="str">
        <f aca="false">IFERROR(INDEX('قائمة الوحدات'!$F$2:$F$41,MATCH($B156,'قائمة الوحدات'!$A$2:$A$41,0)),"")</f>
        <v>الإدارة العامة للتشغيل والصيانة</v>
      </c>
      <c r="G156" s="20" t="s">
        <v>62</v>
      </c>
      <c r="H156" s="18" t="str">
        <f aca="false">IFERROR(INDEX(المرجع!$A$2:$A$19,MATCH($G156,المرجع!$B$2:$B$19,0)),"")</f>
        <v>البناء المؤسسي</v>
      </c>
      <c r="I156" s="20" t="s">
        <v>57</v>
      </c>
      <c r="J156" s="18" t="str">
        <f aca="false">IFERROR(INDEX(المرجع!$D$2:$D$19,MATCH($I156,المرجع!$E$2:$E$19,0)),"")</f>
        <v>الموارد</v>
      </c>
      <c r="K156" s="19" t="n">
        <f aca="false">IFERROR(INDEX(المرجع!$F$2:$F$19,MATCH($I156,المرجع!$E$2:$E$19,0)),"")</f>
        <v>5</v>
      </c>
      <c r="L156" s="19" t="n">
        <f aca="false">SUMIFS(المرجع!$H$2:$H$19,المرجع!$B$2:$B$19,$G156,المرجع!$E$2:$E$19,$I156)</f>
        <v>4</v>
      </c>
      <c r="M156" s="19" t="n">
        <f aca="false">COUNTIFS('المرتبطة بسمو الوزير'!$B$2:$B$151,$B156,'المرتبطة بسمو الوزير'!$G$2:$G$151,$G156,'المرتبطة بسمو الوزير'!$I$2:$I$151,$I156,'المرتبطة بسمو الوزير'!$M$2:$M$151,"&lt;&gt;")+COUNTIFS('الشؤون التنفيذية'!$B$2:$B$421,$B156,'الشؤون التنفيذية'!$G$2:$G$421,$G156,'الشؤون التنفيذية'!$I$2:$I$421,$I156,'الشؤون التنفيذية'!$N$2:$N$421,"&lt;&gt;")+COUNTIFS('الجهاز العسكري'!$B$2:$B$631,$B156,'الجهاز العسكري'!$G$2:$G$631,$G156,'الجهاز العسكري'!$I$2:$I$631,$I156,'الجهاز العسكري'!$M$2:$M$631,"&lt;&gt;")</f>
        <v>4</v>
      </c>
      <c r="N156" s="24" t="n">
        <f aca="false">IF($L156=0,0,ROUND((SUMIFS('المرتبطة بسمو الوزير'!$M$2:$M$151,'المرتبطة بسمو الوزير'!$B$2:$B$151,$B156,'المرتبطة بسمو الوزير'!$G$2:$G$151,$G156,'المرتبطة بسمو الوزير'!$I$2:$I$151,$I156)+SUMIFS('الشؤون التنفيذية'!$N$2:$N$421,'الشؤون التنفيذية'!$B$2:$B$421,$B156,'الشؤون التنفيذية'!$G$2:$G$421,$G156,'الشؤون التنفيذية'!$I$2:$I$421,$I156)+SUMIFS('الجهاز العسكري'!$M$2:$M$631,'الجهاز العسكري'!$B$2:$B$631,$B156,'الجهاز العسكري'!$G$2:$G$631,$G156,'الجهاز العسكري'!$I$2:$I$631,$I156))/$L156,0))</f>
        <v>73</v>
      </c>
      <c r="O156" s="25" t="n">
        <f aca="false">IF($L156=0,0,ROUND((SUMIFS('المرتبطة بسمو الوزير'!$N$2:$N$151,'المرتبطة بسمو الوزير'!$B$2:$B$151,$B156,'المرتبطة بسمو الوزير'!$G$2:$G$151,$G156,'المرتبطة بسمو الوزير'!$I$2:$I$151,$I156)+SUMIFS('الشؤون التنفيذية'!$O$2:$O$421,'الشؤون التنفيذية'!$B$2:$B$421,$B156,'الشؤون التنفيذية'!$G$2:$G$421,$G156,'الشؤون التنفيذية'!$I$2:$I$421,$I156)+SUMIFS('الجهاز العسكري'!$N$2:$N$631,'الجهاز العسكري'!$B$2:$B$631,$B156,'الجهاز العسكري'!$G$2:$G$631,$G156,'الجهاز العسكري'!$I$2:$I$631,$I156))/$L156,0))</f>
        <v>93</v>
      </c>
      <c r="P156" s="22"/>
      <c r="Q156" s="19" t="n">
        <f aca="false">SUMIFS(المرجع!$G$2:$G$19,المرجع!$B$2:$B$19,$G156,المرجع!$E$2:$E$19,$I156)</f>
        <v>25</v>
      </c>
      <c r="R156" s="26" t="n">
        <f aca="false">ROUND($Q156*$N156/100,2)</f>
        <v>18.25</v>
      </c>
      <c r="S156" s="27" t="str">
        <f aca="false">IF($N156&gt;المرجع!$K$3,"متقدم",IF($N156&lt;=المرجع!$K$2,"أولي","جزئي"))</f>
        <v>متقدم</v>
      </c>
      <c r="T156" s="28" t="n">
        <f aca="false">ROUND($Q156*$O156/100,2)</f>
        <v>23.25</v>
      </c>
    </row>
    <row r="157" customFormat="false" ht="15" hidden="false" customHeight="true" outlineLevel="0" collapsed="false">
      <c r="A157" s="20" t="s">
        <v>1609</v>
      </c>
      <c r="B157" s="20" t="s">
        <v>170</v>
      </c>
      <c r="C157" s="19" t="str">
        <f aca="false">IFERROR(INDEX('قائمة الوحدات'!$B$2:$B$41,MATCH($B157,'قائمة الوحدات'!$A$2:$A$41,0)),"")</f>
        <v>EXE</v>
      </c>
      <c r="D157" s="18" t="str">
        <f aca="false">IFERROR(INDEX('قائمة الوحدات'!$C$2:$C$41,MATCH($B157,'قائمة الوحدات'!$A$2:$A$41,0)),"")</f>
        <v>الشؤون التنفيذية</v>
      </c>
      <c r="E157" s="18" t="str">
        <f aca="false">IFERROR(INDEX('قائمة الوحدات'!$D$2:$D$41,MATCH($B157,'قائمة الوحدات'!$A$2:$A$41,0)),"")</f>
        <v>وكالة الشؤون الفنية</v>
      </c>
      <c r="F157" s="18" t="str">
        <f aca="false">IFERROR(INDEX('قائمة الوحدات'!$F$2:$F$41,MATCH($B157,'قائمة الوحدات'!$A$2:$A$41,0)),"")</f>
        <v>الإدارة العامة للتشغيل والصيانة</v>
      </c>
      <c r="G157" s="20" t="s">
        <v>62</v>
      </c>
      <c r="H157" s="18" t="str">
        <f aca="false">IFERROR(INDEX(المرجع!$A$2:$A$19,MATCH($G157,المرجع!$B$2:$B$19,0)),"")</f>
        <v>البناء المؤسسي</v>
      </c>
      <c r="I157" s="20" t="s">
        <v>60</v>
      </c>
      <c r="J157" s="18" t="str">
        <f aca="false">IFERROR(INDEX(المرجع!$D$2:$D$19,MATCH($I157,المرجع!$E$2:$E$19,0)),"")</f>
        <v>الإجراءات</v>
      </c>
      <c r="K157" s="19" t="n">
        <f aca="false">IFERROR(INDEX(المرجع!$F$2:$F$19,MATCH($I157,المرجع!$E$2:$E$19,0)),"")</f>
        <v>6</v>
      </c>
      <c r="L157" s="19" t="n">
        <f aca="false">SUMIFS(المرجع!$H$2:$H$19,المرجع!$B$2:$B$19,$G157,المرجع!$E$2:$E$19,$I157)</f>
        <v>1</v>
      </c>
      <c r="M157" s="19" t="n">
        <f aca="false">COUNTIFS('المرتبطة بسمو الوزير'!$B$2:$B$151,$B157,'المرتبطة بسمو الوزير'!$G$2:$G$151,$G157,'المرتبطة بسمو الوزير'!$I$2:$I$151,$I157,'المرتبطة بسمو الوزير'!$M$2:$M$151,"&lt;&gt;")+COUNTIFS('الشؤون التنفيذية'!$B$2:$B$421,$B157,'الشؤون التنفيذية'!$G$2:$G$421,$G157,'الشؤون التنفيذية'!$I$2:$I$421,$I157,'الشؤون التنفيذية'!$N$2:$N$421,"&lt;&gt;")+COUNTIFS('الجهاز العسكري'!$B$2:$B$631,$B157,'الجهاز العسكري'!$G$2:$G$631,$G157,'الجهاز العسكري'!$I$2:$I$631,$I157,'الجهاز العسكري'!$M$2:$M$631,"&lt;&gt;")</f>
        <v>1</v>
      </c>
      <c r="N157" s="24" t="n">
        <f aca="false">IF($L157=0,0,ROUND((SUMIFS('المرتبطة بسمو الوزير'!$M$2:$M$151,'المرتبطة بسمو الوزير'!$B$2:$B$151,$B157,'المرتبطة بسمو الوزير'!$G$2:$G$151,$G157,'المرتبطة بسمو الوزير'!$I$2:$I$151,$I157)+SUMIFS('الشؤون التنفيذية'!$N$2:$N$421,'الشؤون التنفيذية'!$B$2:$B$421,$B157,'الشؤون التنفيذية'!$G$2:$G$421,$G157,'الشؤون التنفيذية'!$I$2:$I$421,$I157)+SUMIFS('الجهاز العسكري'!$M$2:$M$631,'الجهاز العسكري'!$B$2:$B$631,$B157,'الجهاز العسكري'!$G$2:$G$631,$G157,'الجهاز العسكري'!$I$2:$I$631,$I157))/$L157,0))</f>
        <v>87</v>
      </c>
      <c r="O157" s="25" t="n">
        <f aca="false">IF($L157=0,0,ROUND((SUMIFS('المرتبطة بسمو الوزير'!$N$2:$N$151,'المرتبطة بسمو الوزير'!$B$2:$B$151,$B157,'المرتبطة بسمو الوزير'!$G$2:$G$151,$G157,'المرتبطة بسمو الوزير'!$I$2:$I$151,$I157)+SUMIFS('الشؤون التنفيذية'!$O$2:$O$421,'الشؤون التنفيذية'!$B$2:$B$421,$B157,'الشؤون التنفيذية'!$G$2:$G$421,$G157,'الشؤون التنفيذية'!$I$2:$I$421,$I157)+SUMIFS('الجهاز العسكري'!$N$2:$N$631,'الجهاز العسكري'!$B$2:$B$631,$B157,'الجهاز العسكري'!$G$2:$G$631,$G157,'الجهاز العسكري'!$I$2:$I$631,$I157))/$L157,0))</f>
        <v>95</v>
      </c>
      <c r="P157" s="22"/>
      <c r="Q157" s="19" t="n">
        <f aca="false">SUMIFS(المرجع!$G$2:$G$19,المرجع!$B$2:$B$19,$G157,المرجع!$E$2:$E$19,$I157)</f>
        <v>5</v>
      </c>
      <c r="R157" s="26" t="n">
        <f aca="false">ROUND($Q157*$N157/100,2)</f>
        <v>4.35</v>
      </c>
      <c r="S157" s="27" t="str">
        <f aca="false">IF($N157&gt;المرجع!$K$3,"متقدم",IF($N157&lt;=المرجع!$K$2,"أولي","جزئي"))</f>
        <v>متقدم</v>
      </c>
      <c r="T157" s="28" t="n">
        <f aca="false">ROUND($Q157*$O157/100,2)</f>
        <v>4.75</v>
      </c>
    </row>
    <row r="158" customFormat="false" ht="15" hidden="false" customHeight="true" outlineLevel="0" collapsed="false">
      <c r="A158" s="20" t="s">
        <v>1610</v>
      </c>
      <c r="B158" s="20" t="s">
        <v>170</v>
      </c>
      <c r="C158" s="19" t="str">
        <f aca="false">IFERROR(INDEX('قائمة الوحدات'!$B$2:$B$41,MATCH($B158,'قائمة الوحدات'!$A$2:$A$41,0)),"")</f>
        <v>EXE</v>
      </c>
      <c r="D158" s="18" t="str">
        <f aca="false">IFERROR(INDEX('قائمة الوحدات'!$C$2:$C$41,MATCH($B158,'قائمة الوحدات'!$A$2:$A$41,0)),"")</f>
        <v>الشؤون التنفيذية</v>
      </c>
      <c r="E158" s="18" t="str">
        <f aca="false">IFERROR(INDEX('قائمة الوحدات'!$D$2:$D$41,MATCH($B158,'قائمة الوحدات'!$A$2:$A$41,0)),"")</f>
        <v>وكالة الشؤون الفنية</v>
      </c>
      <c r="F158" s="18" t="str">
        <f aca="false">IFERROR(INDEX('قائمة الوحدات'!$F$2:$F$41,MATCH($B158,'قائمة الوحدات'!$A$2:$A$41,0)),"")</f>
        <v>الإدارة العامة للتشغيل والصيانة</v>
      </c>
      <c r="G158" s="20" t="s">
        <v>62</v>
      </c>
      <c r="H158" s="18" t="str">
        <f aca="false">IFERROR(INDEX(المرجع!$A$2:$A$19,MATCH($G158,المرجع!$B$2:$B$19,0)),"")</f>
        <v>البناء المؤسسي</v>
      </c>
      <c r="I158" s="20" t="s">
        <v>69</v>
      </c>
      <c r="J158" s="18" t="str">
        <f aca="false">IFERROR(INDEX(المرجع!$D$2:$D$19,MATCH($I158,المرجع!$E$2:$E$19,0)),"")</f>
        <v>إنتاج المخرج الأول</v>
      </c>
      <c r="K158" s="19" t="n">
        <f aca="false">IFERROR(INDEX(المرجع!$F$2:$F$19,MATCH($I158,المرجع!$E$2:$E$19,0)),"")</f>
        <v>7</v>
      </c>
      <c r="L158" s="19" t="n">
        <f aca="false">SUMIFS(المرجع!$H$2:$H$19,المرجع!$B$2:$B$19,$G158,المرجع!$E$2:$E$19,$I158)</f>
        <v>1</v>
      </c>
      <c r="M158" s="19" t="n">
        <f aca="false">COUNTIFS('المرتبطة بسمو الوزير'!$B$2:$B$151,$B158,'المرتبطة بسمو الوزير'!$G$2:$G$151,$G158,'المرتبطة بسمو الوزير'!$I$2:$I$151,$I158,'المرتبطة بسمو الوزير'!$M$2:$M$151,"&lt;&gt;")+COUNTIFS('الشؤون التنفيذية'!$B$2:$B$421,$B158,'الشؤون التنفيذية'!$G$2:$G$421,$G158,'الشؤون التنفيذية'!$I$2:$I$421,$I158,'الشؤون التنفيذية'!$N$2:$N$421,"&lt;&gt;")+COUNTIFS('الجهاز العسكري'!$B$2:$B$631,$B158,'الجهاز العسكري'!$G$2:$G$631,$G158,'الجهاز العسكري'!$I$2:$I$631,$I158,'الجهاز العسكري'!$M$2:$M$631,"&lt;&gt;")</f>
        <v>1</v>
      </c>
      <c r="N158" s="24" t="n">
        <f aca="false">IF($L158=0,0,ROUND((SUMIFS('المرتبطة بسمو الوزير'!$M$2:$M$151,'المرتبطة بسمو الوزير'!$B$2:$B$151,$B158,'المرتبطة بسمو الوزير'!$G$2:$G$151,$G158,'المرتبطة بسمو الوزير'!$I$2:$I$151,$I158)+SUMIFS('الشؤون التنفيذية'!$N$2:$N$421,'الشؤون التنفيذية'!$B$2:$B$421,$B158,'الشؤون التنفيذية'!$G$2:$G$421,$G158,'الشؤون التنفيذية'!$I$2:$I$421,$I158)+SUMIFS('الجهاز العسكري'!$M$2:$M$631,'الجهاز العسكري'!$B$2:$B$631,$B158,'الجهاز العسكري'!$G$2:$G$631,$G158,'الجهاز العسكري'!$I$2:$I$631,$I158))/$L158,0))</f>
        <v>47</v>
      </c>
      <c r="O158" s="25" t="n">
        <f aca="false">IF($L158=0,0,ROUND((SUMIFS('المرتبطة بسمو الوزير'!$N$2:$N$151,'المرتبطة بسمو الوزير'!$B$2:$B$151,$B158,'المرتبطة بسمو الوزير'!$G$2:$G$151,$G158,'المرتبطة بسمو الوزير'!$I$2:$I$151,$I158)+SUMIFS('الشؤون التنفيذية'!$O$2:$O$421,'الشؤون التنفيذية'!$B$2:$B$421,$B158,'الشؤون التنفيذية'!$G$2:$G$421,$G158,'الشؤون التنفيذية'!$I$2:$I$421,$I158)+SUMIFS('الجهاز العسكري'!$N$2:$N$631,'الجهاز العسكري'!$B$2:$B$631,$B158,'الجهاز العسكري'!$G$2:$G$631,$G158,'الجهاز العسكري'!$I$2:$I$631,$I158))/$L158,0))</f>
        <v>95</v>
      </c>
      <c r="P158" s="22"/>
      <c r="Q158" s="19" t="n">
        <f aca="false">SUMIFS(المرجع!$G$2:$G$19,المرجع!$B$2:$B$19,$G158,المرجع!$E$2:$E$19,$I158)</f>
        <v>5</v>
      </c>
      <c r="R158" s="26" t="n">
        <f aca="false">ROUND($Q158*$N158/100,2)</f>
        <v>2.35</v>
      </c>
      <c r="S158" s="27" t="str">
        <f aca="false">IF($N158&gt;المرجع!$K$3,"متقدم",IF($N158&lt;=المرجع!$K$2,"أولي","جزئي"))</f>
        <v>جزئي</v>
      </c>
      <c r="T158" s="28" t="n">
        <f aca="false">ROUND($Q158*$O158/100,2)</f>
        <v>4.75</v>
      </c>
    </row>
    <row r="159" customFormat="false" ht="15" hidden="false" customHeight="true" outlineLevel="0" collapsed="false">
      <c r="A159" s="20" t="s">
        <v>1611</v>
      </c>
      <c r="B159" s="20" t="s">
        <v>170</v>
      </c>
      <c r="C159" s="19" t="str">
        <f aca="false">IFERROR(INDEX('قائمة الوحدات'!$B$2:$B$41,MATCH($B159,'قائمة الوحدات'!$A$2:$A$41,0)),"")</f>
        <v>EXE</v>
      </c>
      <c r="D159" s="18" t="str">
        <f aca="false">IFERROR(INDEX('قائمة الوحدات'!$C$2:$C$41,MATCH($B159,'قائمة الوحدات'!$A$2:$A$41,0)),"")</f>
        <v>الشؤون التنفيذية</v>
      </c>
      <c r="E159" s="18" t="str">
        <f aca="false">IFERROR(INDEX('قائمة الوحدات'!$D$2:$D$41,MATCH($B159,'قائمة الوحدات'!$A$2:$A$41,0)),"")</f>
        <v>وكالة الشؤون الفنية</v>
      </c>
      <c r="F159" s="18" t="str">
        <f aca="false">IFERROR(INDEX('قائمة الوحدات'!$F$2:$F$41,MATCH($B159,'قائمة الوحدات'!$A$2:$A$41,0)),"")</f>
        <v>الإدارة العامة للتشغيل والصيانة</v>
      </c>
      <c r="G159" s="20" t="s">
        <v>66</v>
      </c>
      <c r="H159" s="18" t="str">
        <f aca="false">IFERROR(INDEX(المرجع!$A$2:$A$19,MATCH($G159,المرجع!$B$2:$B$19,0)),"")</f>
        <v>التشغيل</v>
      </c>
      <c r="I159" s="20" t="s">
        <v>49</v>
      </c>
      <c r="J159" s="18" t="str">
        <f aca="false">IFERROR(INDEX(المرجع!$D$2:$D$19,MATCH($I159,المرجع!$E$2:$E$19,0)),"")</f>
        <v>الأهداف ومؤشرات الأداء</v>
      </c>
      <c r="K159" s="19" t="n">
        <f aca="false">IFERROR(INDEX(المرجع!$F$2:$F$19,MATCH($I159,المرجع!$E$2:$E$19,0)),"")</f>
        <v>2</v>
      </c>
      <c r="L159" s="19" t="n">
        <f aca="false">SUMIFS(المرجع!$H$2:$H$19,المرجع!$B$2:$B$19,$G159,المرجع!$E$2:$E$19,$I159)</f>
        <v>2</v>
      </c>
      <c r="M159" s="19" t="n">
        <f aca="false">COUNTIFS('المرتبطة بسمو الوزير'!$B$2:$B$151,$B159,'المرتبطة بسمو الوزير'!$G$2:$G$151,$G159,'المرتبطة بسمو الوزير'!$I$2:$I$151,$I159,'المرتبطة بسمو الوزير'!$M$2:$M$151,"&lt;&gt;")+COUNTIFS('الشؤون التنفيذية'!$B$2:$B$421,$B159,'الشؤون التنفيذية'!$G$2:$G$421,$G159,'الشؤون التنفيذية'!$I$2:$I$421,$I159,'الشؤون التنفيذية'!$N$2:$N$421,"&lt;&gt;")+COUNTIFS('الجهاز العسكري'!$B$2:$B$631,$B159,'الجهاز العسكري'!$G$2:$G$631,$G159,'الجهاز العسكري'!$I$2:$I$631,$I159,'الجهاز العسكري'!$M$2:$M$631,"&lt;&gt;")</f>
        <v>2</v>
      </c>
      <c r="N159" s="24" t="n">
        <f aca="false">IF($L159=0,0,ROUND((SUMIFS('المرتبطة بسمو الوزير'!$M$2:$M$151,'المرتبطة بسمو الوزير'!$B$2:$B$151,$B159,'المرتبطة بسمو الوزير'!$G$2:$G$151,$G159,'المرتبطة بسمو الوزير'!$I$2:$I$151,$I159)+SUMIFS('الشؤون التنفيذية'!$N$2:$N$421,'الشؤون التنفيذية'!$B$2:$B$421,$B159,'الشؤون التنفيذية'!$G$2:$G$421,$G159,'الشؤون التنفيذية'!$I$2:$I$421,$I159)+SUMIFS('الجهاز العسكري'!$M$2:$M$631,'الجهاز العسكري'!$B$2:$B$631,$B159,'الجهاز العسكري'!$G$2:$G$631,$G159,'الجهاز العسكري'!$I$2:$I$631,$I159))/$L159,0))</f>
        <v>30</v>
      </c>
      <c r="O159" s="25" t="n">
        <f aca="false">IF($L159=0,0,ROUND((SUMIFS('المرتبطة بسمو الوزير'!$N$2:$N$151,'المرتبطة بسمو الوزير'!$B$2:$B$151,$B159,'المرتبطة بسمو الوزير'!$G$2:$G$151,$G159,'المرتبطة بسمو الوزير'!$I$2:$I$151,$I159)+SUMIFS('الشؤون التنفيذية'!$O$2:$O$421,'الشؤون التنفيذية'!$B$2:$B$421,$B159,'الشؤون التنفيذية'!$G$2:$G$421,$G159,'الشؤون التنفيذية'!$I$2:$I$421,$I159)+SUMIFS('الجهاز العسكري'!$N$2:$N$631,'الجهاز العسكري'!$B$2:$B$631,$B159,'الجهاز العسكري'!$G$2:$G$631,$G159,'الجهاز العسكري'!$I$2:$I$631,$I159))/$L159,0))</f>
        <v>85</v>
      </c>
      <c r="P159" s="22"/>
      <c r="Q159" s="19" t="n">
        <f aca="false">SUMIFS(المرجع!$G$2:$G$19,المرجع!$B$2:$B$19,$G159,المرجع!$E$2:$E$19,$I159)</f>
        <v>25</v>
      </c>
      <c r="R159" s="26" t="n">
        <f aca="false">ROUND($Q159*$N159/100,2)</f>
        <v>7.5</v>
      </c>
      <c r="S159" s="27" t="str">
        <f aca="false">IF($N159&gt;المرجع!$K$3,"متقدم",IF($N159&lt;=المرجع!$K$2,"أولي","جزئي"))</f>
        <v>أولي</v>
      </c>
      <c r="T159" s="28" t="n">
        <f aca="false">ROUND($Q159*$O159/100,2)</f>
        <v>21.25</v>
      </c>
    </row>
    <row r="160" customFormat="false" ht="15" hidden="false" customHeight="true" outlineLevel="0" collapsed="false">
      <c r="A160" s="20" t="s">
        <v>1612</v>
      </c>
      <c r="B160" s="20" t="s">
        <v>170</v>
      </c>
      <c r="C160" s="19" t="str">
        <f aca="false">IFERROR(INDEX('قائمة الوحدات'!$B$2:$B$41,MATCH($B160,'قائمة الوحدات'!$A$2:$A$41,0)),"")</f>
        <v>EXE</v>
      </c>
      <c r="D160" s="18" t="str">
        <f aca="false">IFERROR(INDEX('قائمة الوحدات'!$C$2:$C$41,MATCH($B160,'قائمة الوحدات'!$A$2:$A$41,0)),"")</f>
        <v>الشؤون التنفيذية</v>
      </c>
      <c r="E160" s="18" t="str">
        <f aca="false">IFERROR(INDEX('قائمة الوحدات'!$D$2:$D$41,MATCH($B160,'قائمة الوحدات'!$A$2:$A$41,0)),"")</f>
        <v>وكالة الشؤون الفنية</v>
      </c>
      <c r="F160" s="18" t="str">
        <f aca="false">IFERROR(INDEX('قائمة الوحدات'!$F$2:$F$41,MATCH($B160,'قائمة الوحدات'!$A$2:$A$41,0)),"")</f>
        <v>الإدارة العامة للتشغيل والصيانة</v>
      </c>
      <c r="G160" s="20" t="s">
        <v>66</v>
      </c>
      <c r="H160" s="18" t="str">
        <f aca="false">IFERROR(INDEX(المرجع!$A$2:$A$19,MATCH($G160,المرجع!$B$2:$B$19,0)),"")</f>
        <v>التشغيل</v>
      </c>
      <c r="I160" s="20" t="s">
        <v>52</v>
      </c>
      <c r="J160" s="18" t="str">
        <f aca="false">IFERROR(INDEX(المرجع!$D$2:$D$19,MATCH($I160,المرجع!$E$2:$E$19,0)),"")</f>
        <v>الحوكمة</v>
      </c>
      <c r="K160" s="19" t="n">
        <f aca="false">IFERROR(INDEX(المرجع!$F$2:$F$19,MATCH($I160,المرجع!$E$2:$E$19,0)),"")</f>
        <v>3</v>
      </c>
      <c r="L160" s="19" t="n">
        <f aca="false">SUMIFS(المرجع!$H$2:$H$19,المرجع!$B$2:$B$19,$G160,المرجع!$E$2:$E$19,$I160)</f>
        <v>3</v>
      </c>
      <c r="M160" s="19" t="n">
        <f aca="false">COUNTIFS('المرتبطة بسمو الوزير'!$B$2:$B$151,$B160,'المرتبطة بسمو الوزير'!$G$2:$G$151,$G160,'المرتبطة بسمو الوزير'!$I$2:$I$151,$I160,'المرتبطة بسمو الوزير'!$M$2:$M$151,"&lt;&gt;")+COUNTIFS('الشؤون التنفيذية'!$B$2:$B$421,$B160,'الشؤون التنفيذية'!$G$2:$G$421,$G160,'الشؤون التنفيذية'!$I$2:$I$421,$I160,'الشؤون التنفيذية'!$N$2:$N$421,"&lt;&gt;")+COUNTIFS('الجهاز العسكري'!$B$2:$B$631,$B160,'الجهاز العسكري'!$G$2:$G$631,$G160,'الجهاز العسكري'!$I$2:$I$631,$I160,'الجهاز العسكري'!$M$2:$M$631,"&lt;&gt;")</f>
        <v>3</v>
      </c>
      <c r="N160" s="24" t="n">
        <f aca="false">IF($L160=0,0,ROUND((SUMIFS('المرتبطة بسمو الوزير'!$M$2:$M$151,'المرتبطة بسمو الوزير'!$B$2:$B$151,$B160,'المرتبطة بسمو الوزير'!$G$2:$G$151,$G160,'المرتبطة بسمو الوزير'!$I$2:$I$151,$I160)+SUMIFS('الشؤون التنفيذية'!$N$2:$N$421,'الشؤون التنفيذية'!$B$2:$B$421,$B160,'الشؤون التنفيذية'!$G$2:$G$421,$G160,'الشؤون التنفيذية'!$I$2:$I$421,$I160)+SUMIFS('الجهاز العسكري'!$M$2:$M$631,'الجهاز العسكري'!$B$2:$B$631,$B160,'الجهاز العسكري'!$G$2:$G$631,$G160,'الجهاز العسكري'!$I$2:$I$631,$I160))/$L160,0))</f>
        <v>27</v>
      </c>
      <c r="O160" s="25" t="n">
        <f aca="false">IF($L160=0,0,ROUND((SUMIFS('المرتبطة بسمو الوزير'!$N$2:$N$151,'المرتبطة بسمو الوزير'!$B$2:$B$151,$B160,'المرتبطة بسمو الوزير'!$G$2:$G$151,$G160,'المرتبطة بسمو الوزير'!$I$2:$I$151,$I160)+SUMIFS('الشؤون التنفيذية'!$O$2:$O$421,'الشؤون التنفيذية'!$B$2:$B$421,$B160,'الشؤون التنفيذية'!$G$2:$G$421,$G160,'الشؤون التنفيذية'!$I$2:$I$421,$I160)+SUMIFS('الجهاز العسكري'!$N$2:$N$631,'الجهاز العسكري'!$B$2:$B$631,$B160,'الجهاز العسكري'!$G$2:$G$631,$G160,'الجهاز العسكري'!$I$2:$I$631,$I160))/$L160,0))</f>
        <v>88</v>
      </c>
      <c r="P160" s="22"/>
      <c r="Q160" s="19" t="n">
        <f aca="false">SUMIFS(المرجع!$G$2:$G$19,المرجع!$B$2:$B$19,$G160,المرجع!$E$2:$E$19,$I160)</f>
        <v>15</v>
      </c>
      <c r="R160" s="26" t="n">
        <f aca="false">ROUND($Q160*$N160/100,2)</f>
        <v>4.05</v>
      </c>
      <c r="S160" s="27" t="str">
        <f aca="false">IF($N160&gt;المرجع!$K$3,"متقدم",IF($N160&lt;=المرجع!$K$2,"أولي","جزئي"))</f>
        <v>أولي</v>
      </c>
      <c r="T160" s="28" t="n">
        <f aca="false">ROUND($Q160*$O160/100,2)</f>
        <v>13.2</v>
      </c>
    </row>
    <row r="161" customFormat="false" ht="15" hidden="false" customHeight="true" outlineLevel="0" collapsed="false">
      <c r="A161" s="20" t="s">
        <v>1613</v>
      </c>
      <c r="B161" s="20" t="s">
        <v>170</v>
      </c>
      <c r="C161" s="19" t="str">
        <f aca="false">IFERROR(INDEX('قائمة الوحدات'!$B$2:$B$41,MATCH($B161,'قائمة الوحدات'!$A$2:$A$41,0)),"")</f>
        <v>EXE</v>
      </c>
      <c r="D161" s="18" t="str">
        <f aca="false">IFERROR(INDEX('قائمة الوحدات'!$C$2:$C$41,MATCH($B161,'قائمة الوحدات'!$A$2:$A$41,0)),"")</f>
        <v>الشؤون التنفيذية</v>
      </c>
      <c r="E161" s="18" t="str">
        <f aca="false">IFERROR(INDEX('قائمة الوحدات'!$D$2:$D$41,MATCH($B161,'قائمة الوحدات'!$A$2:$A$41,0)),"")</f>
        <v>وكالة الشؤون الفنية</v>
      </c>
      <c r="F161" s="18" t="str">
        <f aca="false">IFERROR(INDEX('قائمة الوحدات'!$F$2:$F$41,MATCH($B161,'قائمة الوحدات'!$A$2:$A$41,0)),"")</f>
        <v>الإدارة العامة للتشغيل والصيانة</v>
      </c>
      <c r="G161" s="20" t="s">
        <v>66</v>
      </c>
      <c r="H161" s="18" t="str">
        <f aca="false">IFERROR(INDEX(المرجع!$A$2:$A$19,MATCH($G161,المرجع!$B$2:$B$19,0)),"")</f>
        <v>التشغيل</v>
      </c>
      <c r="I161" s="20" t="s">
        <v>57</v>
      </c>
      <c r="J161" s="18" t="str">
        <f aca="false">IFERROR(INDEX(المرجع!$D$2:$D$19,MATCH($I161,المرجع!$E$2:$E$19,0)),"")</f>
        <v>الموارد</v>
      </c>
      <c r="K161" s="19" t="n">
        <f aca="false">IFERROR(INDEX(المرجع!$F$2:$F$19,MATCH($I161,المرجع!$E$2:$E$19,0)),"")</f>
        <v>5</v>
      </c>
      <c r="L161" s="19" t="n">
        <f aca="false">SUMIFS(المرجع!$H$2:$H$19,المرجع!$B$2:$B$19,$G161,المرجع!$E$2:$E$19,$I161)</f>
        <v>1</v>
      </c>
      <c r="M161" s="19" t="n">
        <f aca="false">COUNTIFS('المرتبطة بسمو الوزير'!$B$2:$B$151,$B161,'المرتبطة بسمو الوزير'!$G$2:$G$151,$G161,'المرتبطة بسمو الوزير'!$I$2:$I$151,$I161,'المرتبطة بسمو الوزير'!$M$2:$M$151,"&lt;&gt;")+COUNTIFS('الشؤون التنفيذية'!$B$2:$B$421,$B161,'الشؤون التنفيذية'!$G$2:$G$421,$G161,'الشؤون التنفيذية'!$I$2:$I$421,$I161,'الشؤون التنفيذية'!$N$2:$N$421,"&lt;&gt;")+COUNTIFS('الجهاز العسكري'!$B$2:$B$631,$B161,'الجهاز العسكري'!$G$2:$G$631,$G161,'الجهاز العسكري'!$I$2:$I$631,$I161,'الجهاز العسكري'!$M$2:$M$631,"&lt;&gt;")</f>
        <v>1</v>
      </c>
      <c r="N161" s="24" t="n">
        <f aca="false">IF($L161=0,0,ROUND((SUMIFS('المرتبطة بسمو الوزير'!$M$2:$M$151,'المرتبطة بسمو الوزير'!$B$2:$B$151,$B161,'المرتبطة بسمو الوزير'!$G$2:$G$151,$G161,'المرتبطة بسمو الوزير'!$I$2:$I$151,$I161)+SUMIFS('الشؤون التنفيذية'!$N$2:$N$421,'الشؤون التنفيذية'!$B$2:$B$421,$B161,'الشؤون التنفيذية'!$G$2:$G$421,$G161,'الشؤون التنفيذية'!$I$2:$I$421,$I161)+SUMIFS('الجهاز العسكري'!$M$2:$M$631,'الجهاز العسكري'!$B$2:$B$631,$B161,'الجهاز العسكري'!$G$2:$G$631,$G161,'الجهاز العسكري'!$I$2:$I$631,$I161))/$L161,0))</f>
        <v>35</v>
      </c>
      <c r="O161" s="25" t="n">
        <f aca="false">IF($L161=0,0,ROUND((SUMIFS('المرتبطة بسمو الوزير'!$N$2:$N$151,'المرتبطة بسمو الوزير'!$B$2:$B$151,$B161,'المرتبطة بسمو الوزير'!$G$2:$G$151,$G161,'المرتبطة بسمو الوزير'!$I$2:$I$151,$I161)+SUMIFS('الشؤون التنفيذية'!$O$2:$O$421,'الشؤون التنفيذية'!$B$2:$B$421,$B161,'الشؤون التنفيذية'!$G$2:$G$421,$G161,'الشؤون التنفيذية'!$I$2:$I$421,$I161)+SUMIFS('الجهاز العسكري'!$N$2:$N$631,'الجهاز العسكري'!$B$2:$B$631,$B161,'الجهاز العسكري'!$G$2:$G$631,$G161,'الجهاز العسكري'!$I$2:$I$631,$I161))/$L161,0))</f>
        <v>90</v>
      </c>
      <c r="P161" s="22"/>
      <c r="Q161" s="19" t="n">
        <f aca="false">SUMIFS(المرجع!$G$2:$G$19,المرجع!$B$2:$B$19,$G161,المرجع!$E$2:$E$19,$I161)</f>
        <v>15</v>
      </c>
      <c r="R161" s="26" t="n">
        <f aca="false">ROUND($Q161*$N161/100,2)</f>
        <v>5.25</v>
      </c>
      <c r="S161" s="27" t="str">
        <f aca="false">IF($N161&gt;المرجع!$K$3,"متقدم",IF($N161&lt;=المرجع!$K$2,"أولي","جزئي"))</f>
        <v>جزئي</v>
      </c>
      <c r="T161" s="28" t="n">
        <f aca="false">ROUND($Q161*$O161/100,2)</f>
        <v>13.5</v>
      </c>
    </row>
    <row r="162" customFormat="false" ht="15" hidden="false" customHeight="true" outlineLevel="0" collapsed="false">
      <c r="A162" s="20" t="s">
        <v>1614</v>
      </c>
      <c r="B162" s="20" t="s">
        <v>170</v>
      </c>
      <c r="C162" s="19" t="str">
        <f aca="false">IFERROR(INDEX('قائمة الوحدات'!$B$2:$B$41,MATCH($B162,'قائمة الوحدات'!$A$2:$A$41,0)),"")</f>
        <v>EXE</v>
      </c>
      <c r="D162" s="18" t="str">
        <f aca="false">IFERROR(INDEX('قائمة الوحدات'!$C$2:$C$41,MATCH($B162,'قائمة الوحدات'!$A$2:$A$41,0)),"")</f>
        <v>الشؤون التنفيذية</v>
      </c>
      <c r="E162" s="18" t="str">
        <f aca="false">IFERROR(INDEX('قائمة الوحدات'!$D$2:$D$41,MATCH($B162,'قائمة الوحدات'!$A$2:$A$41,0)),"")</f>
        <v>وكالة الشؤون الفنية</v>
      </c>
      <c r="F162" s="18" t="str">
        <f aca="false">IFERROR(INDEX('قائمة الوحدات'!$F$2:$F$41,MATCH($B162,'قائمة الوحدات'!$A$2:$A$41,0)),"")</f>
        <v>الإدارة العامة للتشغيل والصيانة</v>
      </c>
      <c r="G162" s="20" t="s">
        <v>66</v>
      </c>
      <c r="H162" s="18" t="str">
        <f aca="false">IFERROR(INDEX(المرجع!$A$2:$A$19,MATCH($G162,المرجع!$B$2:$B$19,0)),"")</f>
        <v>التشغيل</v>
      </c>
      <c r="I162" s="20" t="s">
        <v>60</v>
      </c>
      <c r="J162" s="18" t="str">
        <f aca="false">IFERROR(INDEX(المرجع!$D$2:$D$19,MATCH($I162,المرجع!$E$2:$E$19,0)),"")</f>
        <v>الإجراءات</v>
      </c>
      <c r="K162" s="19" t="n">
        <f aca="false">IFERROR(INDEX(المرجع!$F$2:$F$19,MATCH($I162,المرجع!$E$2:$E$19,0)),"")</f>
        <v>6</v>
      </c>
      <c r="L162" s="19" t="n">
        <f aca="false">SUMIFS(المرجع!$H$2:$H$19,المرجع!$B$2:$B$19,$G162,المرجع!$E$2:$E$19,$I162)</f>
        <v>1</v>
      </c>
      <c r="M162" s="19" t="n">
        <f aca="false">COUNTIFS('المرتبطة بسمو الوزير'!$B$2:$B$151,$B162,'المرتبطة بسمو الوزير'!$G$2:$G$151,$G162,'المرتبطة بسمو الوزير'!$I$2:$I$151,$I162,'المرتبطة بسمو الوزير'!$M$2:$M$151,"&lt;&gt;")+COUNTIFS('الشؤون التنفيذية'!$B$2:$B$421,$B162,'الشؤون التنفيذية'!$G$2:$G$421,$G162,'الشؤون التنفيذية'!$I$2:$I$421,$I162,'الشؤون التنفيذية'!$N$2:$N$421,"&lt;&gt;")+COUNTIFS('الجهاز العسكري'!$B$2:$B$631,$B162,'الجهاز العسكري'!$G$2:$G$631,$G162,'الجهاز العسكري'!$I$2:$I$631,$I162,'الجهاز العسكري'!$M$2:$M$631,"&lt;&gt;")</f>
        <v>1</v>
      </c>
      <c r="N162" s="24" t="n">
        <f aca="false">IF($L162=0,0,ROUND((SUMIFS('المرتبطة بسمو الوزير'!$M$2:$M$151,'المرتبطة بسمو الوزير'!$B$2:$B$151,$B162,'المرتبطة بسمو الوزير'!$G$2:$G$151,$G162,'المرتبطة بسمو الوزير'!$I$2:$I$151,$I162)+SUMIFS('الشؤون التنفيذية'!$N$2:$N$421,'الشؤون التنفيذية'!$B$2:$B$421,$B162,'الشؤون التنفيذية'!$G$2:$G$421,$G162,'الشؤون التنفيذية'!$I$2:$I$421,$I162)+SUMIFS('الجهاز العسكري'!$M$2:$M$631,'الجهاز العسكري'!$B$2:$B$631,$B162,'الجهاز العسكري'!$G$2:$G$631,$G162,'الجهاز العسكري'!$I$2:$I$631,$I162))/$L162,0))</f>
        <v>37</v>
      </c>
      <c r="O162" s="25" t="n">
        <f aca="false">IF($L162=0,0,ROUND((SUMIFS('المرتبطة بسمو الوزير'!$N$2:$N$151,'المرتبطة بسمو الوزير'!$B$2:$B$151,$B162,'المرتبطة بسمو الوزير'!$G$2:$G$151,$G162,'المرتبطة بسمو الوزير'!$I$2:$I$151,$I162)+SUMIFS('الشؤون التنفيذية'!$O$2:$O$421,'الشؤون التنفيذية'!$B$2:$B$421,$B162,'الشؤون التنفيذية'!$G$2:$G$421,$G162,'الشؤون التنفيذية'!$I$2:$I$421,$I162)+SUMIFS('الجهاز العسكري'!$N$2:$N$631,'الجهاز العسكري'!$B$2:$B$631,$B162,'الجهاز العسكري'!$G$2:$G$631,$G162,'الجهاز العسكري'!$I$2:$I$631,$I162))/$L162,0))</f>
        <v>100</v>
      </c>
      <c r="P162" s="22"/>
      <c r="Q162" s="19" t="n">
        <f aca="false">SUMIFS(المرجع!$G$2:$G$19,المرجع!$B$2:$B$19,$G162,المرجع!$E$2:$E$19,$I162)</f>
        <v>15</v>
      </c>
      <c r="R162" s="26" t="n">
        <f aca="false">ROUND($Q162*$N162/100,2)</f>
        <v>5.55</v>
      </c>
      <c r="S162" s="27" t="str">
        <f aca="false">IF($N162&gt;المرجع!$K$3,"متقدم",IF($N162&lt;=المرجع!$K$2,"أولي","جزئي"))</f>
        <v>جزئي</v>
      </c>
      <c r="T162" s="28" t="n">
        <f aca="false">ROUND($Q162*$O162/100,2)</f>
        <v>15</v>
      </c>
    </row>
    <row r="163" customFormat="false" ht="15" hidden="false" customHeight="true" outlineLevel="0" collapsed="false">
      <c r="A163" s="20" t="s">
        <v>1615</v>
      </c>
      <c r="B163" s="20" t="s">
        <v>170</v>
      </c>
      <c r="C163" s="19" t="str">
        <f aca="false">IFERROR(INDEX('قائمة الوحدات'!$B$2:$B$41,MATCH($B163,'قائمة الوحدات'!$A$2:$A$41,0)),"")</f>
        <v>EXE</v>
      </c>
      <c r="D163" s="18" t="str">
        <f aca="false">IFERROR(INDEX('قائمة الوحدات'!$C$2:$C$41,MATCH($B163,'قائمة الوحدات'!$A$2:$A$41,0)),"")</f>
        <v>الشؤون التنفيذية</v>
      </c>
      <c r="E163" s="18" t="str">
        <f aca="false">IFERROR(INDEX('قائمة الوحدات'!$D$2:$D$41,MATCH($B163,'قائمة الوحدات'!$A$2:$A$41,0)),"")</f>
        <v>وكالة الشؤون الفنية</v>
      </c>
      <c r="F163" s="18" t="str">
        <f aca="false">IFERROR(INDEX('قائمة الوحدات'!$F$2:$F$41,MATCH($B163,'قائمة الوحدات'!$A$2:$A$41,0)),"")</f>
        <v>الإدارة العامة للتشغيل والصيانة</v>
      </c>
      <c r="G163" s="20" t="s">
        <v>66</v>
      </c>
      <c r="H163" s="18" t="str">
        <f aca="false">IFERROR(INDEX(المرجع!$A$2:$A$19,MATCH($G163,المرجع!$B$2:$B$19,0)),"")</f>
        <v>التشغيل</v>
      </c>
      <c r="I163" s="20" t="s">
        <v>71</v>
      </c>
      <c r="J163" s="18" t="str">
        <f aca="false">IFERROR(INDEX(المرجع!$D$2:$D$19,MATCH($I163,المرجع!$E$2:$E$19,0)),"")</f>
        <v>اكتمال المخرجات المستهدفة</v>
      </c>
      <c r="K163" s="19" t="n">
        <f aca="false">IFERROR(INDEX(المرجع!$F$2:$F$19,MATCH($I163,المرجع!$E$2:$E$19,0)),"")</f>
        <v>8</v>
      </c>
      <c r="L163" s="19" t="n">
        <f aca="false">SUMIFS(المرجع!$H$2:$H$19,المرجع!$B$2:$B$19,$G163,المرجع!$E$2:$E$19,$I163)</f>
        <v>1</v>
      </c>
      <c r="M163" s="19" t="n">
        <f aca="false">COUNTIFS('المرتبطة بسمو الوزير'!$B$2:$B$151,$B163,'المرتبطة بسمو الوزير'!$G$2:$G$151,$G163,'المرتبطة بسمو الوزير'!$I$2:$I$151,$I163,'المرتبطة بسمو الوزير'!$M$2:$M$151,"&lt;&gt;")+COUNTIFS('الشؤون التنفيذية'!$B$2:$B$421,$B163,'الشؤون التنفيذية'!$G$2:$G$421,$G163,'الشؤون التنفيذية'!$I$2:$I$421,$I163,'الشؤون التنفيذية'!$N$2:$N$421,"&lt;&gt;")+COUNTIFS('الجهاز العسكري'!$B$2:$B$631,$B163,'الجهاز العسكري'!$G$2:$G$631,$G163,'الجهاز العسكري'!$I$2:$I$631,$I163,'الجهاز العسكري'!$M$2:$M$631,"&lt;&gt;")</f>
        <v>1</v>
      </c>
      <c r="N163" s="24" t="n">
        <f aca="false">IF($L163=0,0,ROUND((SUMIFS('المرتبطة بسمو الوزير'!$M$2:$M$151,'المرتبطة بسمو الوزير'!$B$2:$B$151,$B163,'المرتبطة بسمو الوزير'!$G$2:$G$151,$G163,'المرتبطة بسمو الوزير'!$I$2:$I$151,$I163)+SUMIFS('الشؤون التنفيذية'!$N$2:$N$421,'الشؤون التنفيذية'!$B$2:$B$421,$B163,'الشؤون التنفيذية'!$G$2:$G$421,$G163,'الشؤون التنفيذية'!$I$2:$I$421,$I163)+SUMIFS('الجهاز العسكري'!$M$2:$M$631,'الجهاز العسكري'!$B$2:$B$631,$B163,'الجهاز العسكري'!$G$2:$G$631,$G163,'الجهاز العسكري'!$I$2:$I$631,$I163))/$L163,0))</f>
        <v>62</v>
      </c>
      <c r="O163" s="25" t="n">
        <f aca="false">IF($L163=0,0,ROUND((SUMIFS('المرتبطة بسمو الوزير'!$N$2:$N$151,'المرتبطة بسمو الوزير'!$B$2:$B$151,$B163,'المرتبطة بسمو الوزير'!$G$2:$G$151,$G163,'المرتبطة بسمو الوزير'!$I$2:$I$151,$I163)+SUMIFS('الشؤون التنفيذية'!$O$2:$O$421,'الشؤون التنفيذية'!$B$2:$B$421,$B163,'الشؤون التنفيذية'!$G$2:$G$421,$G163,'الشؤون التنفيذية'!$I$2:$I$421,$I163)+SUMIFS('الجهاز العسكري'!$N$2:$N$631,'الجهاز العسكري'!$B$2:$B$631,$B163,'الجهاز العسكري'!$G$2:$G$631,$G163,'الجهاز العسكري'!$I$2:$I$631,$I163))/$L163,0))</f>
        <v>90</v>
      </c>
      <c r="P163" s="22"/>
      <c r="Q163" s="19" t="n">
        <f aca="false">SUMIFS(المرجع!$G$2:$G$19,المرجع!$B$2:$B$19,$G163,المرجع!$E$2:$E$19,$I163)</f>
        <v>30</v>
      </c>
      <c r="R163" s="26" t="n">
        <f aca="false">ROUND($Q163*$N163/100,2)</f>
        <v>18.6</v>
      </c>
      <c r="S163" s="27" t="str">
        <f aca="false">IF($N163&gt;المرجع!$K$3,"متقدم",IF($N163&lt;=المرجع!$K$2,"أولي","جزئي"))</f>
        <v>جزئي</v>
      </c>
      <c r="T163" s="28" t="n">
        <f aca="false">ROUND($Q163*$O163/100,2)</f>
        <v>27</v>
      </c>
    </row>
    <row r="164" customFormat="false" ht="15" hidden="false" customHeight="true" outlineLevel="0" collapsed="false">
      <c r="A164" s="20" t="s">
        <v>1616</v>
      </c>
      <c r="B164" s="20" t="s">
        <v>172</v>
      </c>
      <c r="C164" s="19" t="str">
        <f aca="false">IFERROR(INDEX('قائمة الوحدات'!$B$2:$B$41,MATCH($B164,'قائمة الوحدات'!$A$2:$A$41,0)),"")</f>
        <v>EXE</v>
      </c>
      <c r="D164" s="18" t="str">
        <f aca="false">IFERROR(INDEX('قائمة الوحدات'!$C$2:$C$41,MATCH($B164,'قائمة الوحدات'!$A$2:$A$41,0)),"")</f>
        <v>الشؤون التنفيذية</v>
      </c>
      <c r="E164" s="18" t="str">
        <f aca="false">IFERROR(INDEX('قائمة الوحدات'!$D$2:$D$41,MATCH($B164,'قائمة الوحدات'!$A$2:$A$41,0)),"")</f>
        <v>وكالة الشؤون الفنية</v>
      </c>
      <c r="F164" s="18" t="str">
        <f aca="false">IFERROR(INDEX('قائمة الوحدات'!$F$2:$F$41,MATCH($B164,'قائمة الوحدات'!$A$2:$A$41,0)),"")</f>
        <v>الإدارة العامة للسلامة والبيئة</v>
      </c>
      <c r="G164" s="20" t="s">
        <v>44</v>
      </c>
      <c r="H164" s="18" t="str">
        <f aca="false">IFERROR(INDEX(المرجع!$A$2:$A$19,MATCH($G164,المرجع!$B$2:$B$19,0)),"")</f>
        <v>التصميم</v>
      </c>
      <c r="I164" s="20" t="s">
        <v>46</v>
      </c>
      <c r="J164" s="18" t="str">
        <f aca="false">IFERROR(INDEX(المرجع!$D$2:$D$19,MATCH($I164,المرجع!$E$2:$E$19,0)),"")</f>
        <v>الدور</v>
      </c>
      <c r="K164" s="19" t="n">
        <f aca="false">IFERROR(INDEX(المرجع!$F$2:$F$19,MATCH($I164,المرجع!$E$2:$E$19,0)),"")</f>
        <v>1</v>
      </c>
      <c r="L164" s="19" t="n">
        <f aca="false">SUMIFS(المرجع!$H$2:$H$19,المرجع!$B$2:$B$19,$G164,المرجع!$E$2:$E$19,$I164)</f>
        <v>1</v>
      </c>
      <c r="M164" s="19" t="n">
        <f aca="false">COUNTIFS('المرتبطة بسمو الوزير'!$B$2:$B$151,$B164,'المرتبطة بسمو الوزير'!$G$2:$G$151,$G164,'المرتبطة بسمو الوزير'!$I$2:$I$151,$I164,'المرتبطة بسمو الوزير'!$M$2:$M$151,"&lt;&gt;")+COUNTIFS('الشؤون التنفيذية'!$B$2:$B$421,$B164,'الشؤون التنفيذية'!$G$2:$G$421,$G164,'الشؤون التنفيذية'!$I$2:$I$421,$I164,'الشؤون التنفيذية'!$N$2:$N$421,"&lt;&gt;")+COUNTIFS('الجهاز العسكري'!$B$2:$B$631,$B164,'الجهاز العسكري'!$G$2:$G$631,$G164,'الجهاز العسكري'!$I$2:$I$631,$I164,'الجهاز العسكري'!$M$2:$M$631,"&lt;&gt;")</f>
        <v>1</v>
      </c>
      <c r="N164" s="24" t="n">
        <f aca="false">IF($L164=0,0,ROUND((SUMIFS('المرتبطة بسمو الوزير'!$M$2:$M$151,'المرتبطة بسمو الوزير'!$B$2:$B$151,$B164,'المرتبطة بسمو الوزير'!$G$2:$G$151,$G164,'المرتبطة بسمو الوزير'!$I$2:$I$151,$I164)+SUMIFS('الشؤون التنفيذية'!$N$2:$N$421,'الشؤون التنفيذية'!$B$2:$B$421,$B164,'الشؤون التنفيذية'!$G$2:$G$421,$G164,'الشؤون التنفيذية'!$I$2:$I$421,$I164)+SUMIFS('الجهاز العسكري'!$M$2:$M$631,'الجهاز العسكري'!$B$2:$B$631,$B164,'الجهاز العسكري'!$G$2:$G$631,$G164,'الجهاز العسكري'!$I$2:$I$631,$I164))/$L164,0))</f>
        <v>96</v>
      </c>
      <c r="O164" s="25" t="n">
        <f aca="false">IF($L164=0,0,ROUND((SUMIFS('المرتبطة بسمو الوزير'!$N$2:$N$151,'المرتبطة بسمو الوزير'!$B$2:$B$151,$B164,'المرتبطة بسمو الوزير'!$G$2:$G$151,$G164,'المرتبطة بسمو الوزير'!$I$2:$I$151,$I164)+SUMIFS('الشؤون التنفيذية'!$O$2:$O$421,'الشؤون التنفيذية'!$B$2:$B$421,$B164,'الشؤون التنفيذية'!$G$2:$G$421,$G164,'الشؤون التنفيذية'!$I$2:$I$421,$I164)+SUMIFS('الجهاز العسكري'!$N$2:$N$631,'الجهاز العسكري'!$B$2:$B$631,$B164,'الجهاز العسكري'!$G$2:$G$631,$G164,'الجهاز العسكري'!$I$2:$I$631,$I164))/$L164,0))</f>
        <v>96</v>
      </c>
      <c r="P164" s="22"/>
      <c r="Q164" s="19" t="n">
        <f aca="false">SUMIFS(المرجع!$G$2:$G$19,المرجع!$B$2:$B$19,$G164,المرجع!$E$2:$E$19,$I164)</f>
        <v>25</v>
      </c>
      <c r="R164" s="26" t="n">
        <f aca="false">ROUND($Q164*$N164/100,2)</f>
        <v>24</v>
      </c>
      <c r="S164" s="27" t="str">
        <f aca="false">IF($N164&gt;المرجع!$K$3,"متقدم",IF($N164&lt;=المرجع!$K$2,"أولي","جزئي"))</f>
        <v>متقدم</v>
      </c>
      <c r="T164" s="28" t="n">
        <f aca="false">ROUND($Q164*$O164/100,2)</f>
        <v>24</v>
      </c>
    </row>
    <row r="165" customFormat="false" ht="15" hidden="false" customHeight="true" outlineLevel="0" collapsed="false">
      <c r="A165" s="20" t="s">
        <v>1617</v>
      </c>
      <c r="B165" s="20" t="s">
        <v>172</v>
      </c>
      <c r="C165" s="19" t="str">
        <f aca="false">IFERROR(INDEX('قائمة الوحدات'!$B$2:$B$41,MATCH($B165,'قائمة الوحدات'!$A$2:$A$41,0)),"")</f>
        <v>EXE</v>
      </c>
      <c r="D165" s="18" t="str">
        <f aca="false">IFERROR(INDEX('قائمة الوحدات'!$C$2:$C$41,MATCH($B165,'قائمة الوحدات'!$A$2:$A$41,0)),"")</f>
        <v>الشؤون التنفيذية</v>
      </c>
      <c r="E165" s="18" t="str">
        <f aca="false">IFERROR(INDEX('قائمة الوحدات'!$D$2:$D$41,MATCH($B165,'قائمة الوحدات'!$A$2:$A$41,0)),"")</f>
        <v>وكالة الشؤون الفنية</v>
      </c>
      <c r="F165" s="18" t="str">
        <f aca="false">IFERROR(INDEX('قائمة الوحدات'!$F$2:$F$41,MATCH($B165,'قائمة الوحدات'!$A$2:$A$41,0)),"")</f>
        <v>الإدارة العامة للسلامة والبيئة</v>
      </c>
      <c r="G165" s="20" t="s">
        <v>44</v>
      </c>
      <c r="H165" s="18" t="str">
        <f aca="false">IFERROR(INDEX(المرجع!$A$2:$A$19,MATCH($G165,المرجع!$B$2:$B$19,0)),"")</f>
        <v>التصميم</v>
      </c>
      <c r="I165" s="20" t="s">
        <v>49</v>
      </c>
      <c r="J165" s="18" t="str">
        <f aca="false">IFERROR(INDEX(المرجع!$D$2:$D$19,MATCH($I165,المرجع!$E$2:$E$19,0)),"")</f>
        <v>الأهداف ومؤشرات الأداء</v>
      </c>
      <c r="K165" s="19" t="n">
        <f aca="false">IFERROR(INDEX(المرجع!$F$2:$F$19,MATCH($I165,المرجع!$E$2:$E$19,0)),"")</f>
        <v>2</v>
      </c>
      <c r="L165" s="19" t="n">
        <f aca="false">SUMIFS(المرجع!$H$2:$H$19,المرجع!$B$2:$B$19,$G165,المرجع!$E$2:$E$19,$I165)</f>
        <v>2</v>
      </c>
      <c r="M165" s="19" t="n">
        <f aca="false">COUNTIFS('المرتبطة بسمو الوزير'!$B$2:$B$151,$B165,'المرتبطة بسمو الوزير'!$G$2:$G$151,$G165,'المرتبطة بسمو الوزير'!$I$2:$I$151,$I165,'المرتبطة بسمو الوزير'!$M$2:$M$151,"&lt;&gt;")+COUNTIFS('الشؤون التنفيذية'!$B$2:$B$421,$B165,'الشؤون التنفيذية'!$G$2:$G$421,$G165,'الشؤون التنفيذية'!$I$2:$I$421,$I165,'الشؤون التنفيذية'!$N$2:$N$421,"&lt;&gt;")+COUNTIFS('الجهاز العسكري'!$B$2:$B$631,$B165,'الجهاز العسكري'!$G$2:$G$631,$G165,'الجهاز العسكري'!$I$2:$I$631,$I165,'الجهاز العسكري'!$M$2:$M$631,"&lt;&gt;")</f>
        <v>2</v>
      </c>
      <c r="N165" s="24" t="n">
        <f aca="false">IF($L165=0,0,ROUND((SUMIFS('المرتبطة بسمو الوزير'!$M$2:$M$151,'المرتبطة بسمو الوزير'!$B$2:$B$151,$B165,'المرتبطة بسمو الوزير'!$G$2:$G$151,$G165,'المرتبطة بسمو الوزير'!$I$2:$I$151,$I165)+SUMIFS('الشؤون التنفيذية'!$N$2:$N$421,'الشؤون التنفيذية'!$B$2:$B$421,$B165,'الشؤون التنفيذية'!$G$2:$G$421,$G165,'الشؤون التنفيذية'!$I$2:$I$421,$I165)+SUMIFS('الجهاز العسكري'!$M$2:$M$631,'الجهاز العسكري'!$B$2:$B$631,$B165,'الجهاز العسكري'!$G$2:$G$631,$G165,'الجهاز العسكري'!$I$2:$I$631,$I165))/$L165,0))</f>
        <v>83</v>
      </c>
      <c r="O165" s="25" t="n">
        <f aca="false">IF($L165=0,0,ROUND((SUMIFS('المرتبطة بسمو الوزير'!$N$2:$N$151,'المرتبطة بسمو الوزير'!$B$2:$B$151,$B165,'المرتبطة بسمو الوزير'!$G$2:$G$151,$G165,'المرتبطة بسمو الوزير'!$I$2:$I$151,$I165)+SUMIFS('الشؤون التنفيذية'!$O$2:$O$421,'الشؤون التنفيذية'!$B$2:$B$421,$B165,'الشؤون التنفيذية'!$G$2:$G$421,$G165,'الشؤون التنفيذية'!$I$2:$I$421,$I165)+SUMIFS('الجهاز العسكري'!$N$2:$N$631,'الجهاز العسكري'!$B$2:$B$631,$B165,'الجهاز العسكري'!$G$2:$G$631,$G165,'الجهاز العسكري'!$I$2:$I$631,$I165))/$L165,0))</f>
        <v>100</v>
      </c>
      <c r="P165" s="22"/>
      <c r="Q165" s="19" t="n">
        <f aca="false">SUMIFS(المرجع!$G$2:$G$19,المرجع!$B$2:$B$19,$G165,المرجع!$E$2:$E$19,$I165)</f>
        <v>15</v>
      </c>
      <c r="R165" s="26" t="n">
        <f aca="false">ROUND($Q165*$N165/100,2)</f>
        <v>12.45</v>
      </c>
      <c r="S165" s="27" t="str">
        <f aca="false">IF($N165&gt;المرجع!$K$3,"متقدم",IF($N165&lt;=المرجع!$K$2,"أولي","جزئي"))</f>
        <v>متقدم</v>
      </c>
      <c r="T165" s="28" t="n">
        <f aca="false">ROUND($Q165*$O165/100,2)</f>
        <v>15</v>
      </c>
    </row>
    <row r="166" customFormat="false" ht="15" hidden="false" customHeight="true" outlineLevel="0" collapsed="false">
      <c r="A166" s="20" t="s">
        <v>1618</v>
      </c>
      <c r="B166" s="20" t="s">
        <v>172</v>
      </c>
      <c r="C166" s="19" t="str">
        <f aca="false">IFERROR(INDEX('قائمة الوحدات'!$B$2:$B$41,MATCH($B166,'قائمة الوحدات'!$A$2:$A$41,0)),"")</f>
        <v>EXE</v>
      </c>
      <c r="D166" s="18" t="str">
        <f aca="false">IFERROR(INDEX('قائمة الوحدات'!$C$2:$C$41,MATCH($B166,'قائمة الوحدات'!$A$2:$A$41,0)),"")</f>
        <v>الشؤون التنفيذية</v>
      </c>
      <c r="E166" s="18" t="str">
        <f aca="false">IFERROR(INDEX('قائمة الوحدات'!$D$2:$D$41,MATCH($B166,'قائمة الوحدات'!$A$2:$A$41,0)),"")</f>
        <v>وكالة الشؤون الفنية</v>
      </c>
      <c r="F166" s="18" t="str">
        <f aca="false">IFERROR(INDEX('قائمة الوحدات'!$F$2:$F$41,MATCH($B166,'قائمة الوحدات'!$A$2:$A$41,0)),"")</f>
        <v>الإدارة العامة للسلامة والبيئة</v>
      </c>
      <c r="G166" s="20" t="s">
        <v>44</v>
      </c>
      <c r="H166" s="18" t="str">
        <f aca="false">IFERROR(INDEX(المرجع!$A$2:$A$19,MATCH($G166,المرجع!$B$2:$B$19,0)),"")</f>
        <v>التصميم</v>
      </c>
      <c r="I166" s="20" t="s">
        <v>52</v>
      </c>
      <c r="J166" s="18" t="str">
        <f aca="false">IFERROR(INDEX(المرجع!$D$2:$D$19,MATCH($I166,المرجع!$E$2:$E$19,0)),"")</f>
        <v>الحوكمة</v>
      </c>
      <c r="K166" s="19" t="n">
        <f aca="false">IFERROR(INDEX(المرجع!$F$2:$F$19,MATCH($I166,المرجع!$E$2:$E$19,0)),"")</f>
        <v>3</v>
      </c>
      <c r="L166" s="19" t="n">
        <f aca="false">SUMIFS(المرجع!$H$2:$H$19,المرجع!$B$2:$B$19,$G166,المرجع!$E$2:$E$19,$I166)</f>
        <v>1</v>
      </c>
      <c r="M166" s="19" t="n">
        <f aca="false">COUNTIFS('المرتبطة بسمو الوزير'!$B$2:$B$151,$B166,'المرتبطة بسمو الوزير'!$G$2:$G$151,$G166,'المرتبطة بسمو الوزير'!$I$2:$I$151,$I166,'المرتبطة بسمو الوزير'!$M$2:$M$151,"&lt;&gt;")+COUNTIFS('الشؤون التنفيذية'!$B$2:$B$421,$B166,'الشؤون التنفيذية'!$G$2:$G$421,$G166,'الشؤون التنفيذية'!$I$2:$I$421,$I166,'الشؤون التنفيذية'!$N$2:$N$421,"&lt;&gt;")+COUNTIFS('الجهاز العسكري'!$B$2:$B$631,$B166,'الجهاز العسكري'!$G$2:$G$631,$G166,'الجهاز العسكري'!$I$2:$I$631,$I166,'الجهاز العسكري'!$M$2:$M$631,"&lt;&gt;")</f>
        <v>1</v>
      </c>
      <c r="N166" s="24" t="n">
        <f aca="false">IF($L166=0,0,ROUND((SUMIFS('المرتبطة بسمو الوزير'!$M$2:$M$151,'المرتبطة بسمو الوزير'!$B$2:$B$151,$B166,'المرتبطة بسمو الوزير'!$G$2:$G$151,$G166,'المرتبطة بسمو الوزير'!$I$2:$I$151,$I166)+SUMIFS('الشؤون التنفيذية'!$N$2:$N$421,'الشؤون التنفيذية'!$B$2:$B$421,$B166,'الشؤون التنفيذية'!$G$2:$G$421,$G166,'الشؤون التنفيذية'!$I$2:$I$421,$I166)+SUMIFS('الجهاز العسكري'!$M$2:$M$631,'الجهاز العسكري'!$B$2:$B$631,$B166,'الجهاز العسكري'!$G$2:$G$631,$G166,'الجهاز العسكري'!$I$2:$I$631,$I166))/$L166,0))</f>
        <v>98</v>
      </c>
      <c r="O166" s="25" t="n">
        <f aca="false">IF($L166=0,0,ROUND((SUMIFS('المرتبطة بسمو الوزير'!$N$2:$N$151,'المرتبطة بسمو الوزير'!$B$2:$B$151,$B166,'المرتبطة بسمو الوزير'!$G$2:$G$151,$G166,'المرتبطة بسمو الوزير'!$I$2:$I$151,$I166)+SUMIFS('الشؤون التنفيذية'!$O$2:$O$421,'الشؤون التنفيذية'!$B$2:$B$421,$B166,'الشؤون التنفيذية'!$G$2:$G$421,$G166,'الشؤون التنفيذية'!$I$2:$I$421,$I166)+SUMIFS('الجهاز العسكري'!$N$2:$N$631,'الجهاز العسكري'!$B$2:$B$631,$B166,'الجهاز العسكري'!$G$2:$G$631,$G166,'الجهاز العسكري'!$I$2:$I$631,$I166))/$L166,0))</f>
        <v>98</v>
      </c>
      <c r="P166" s="22"/>
      <c r="Q166" s="19" t="n">
        <f aca="false">SUMIFS(المرجع!$G$2:$G$19,المرجع!$B$2:$B$19,$G166,المرجع!$E$2:$E$19,$I166)</f>
        <v>15</v>
      </c>
      <c r="R166" s="26" t="n">
        <f aca="false">ROUND($Q166*$N166/100,2)</f>
        <v>14.7</v>
      </c>
      <c r="S166" s="27" t="str">
        <f aca="false">IF($N166&gt;المرجع!$K$3,"متقدم",IF($N166&lt;=المرجع!$K$2,"أولي","جزئي"))</f>
        <v>متقدم</v>
      </c>
      <c r="T166" s="28" t="n">
        <f aca="false">ROUND($Q166*$O166/100,2)</f>
        <v>14.7</v>
      </c>
    </row>
    <row r="167" customFormat="false" ht="15" hidden="false" customHeight="true" outlineLevel="0" collapsed="false">
      <c r="A167" s="20" t="s">
        <v>1619</v>
      </c>
      <c r="B167" s="20" t="s">
        <v>172</v>
      </c>
      <c r="C167" s="19" t="str">
        <f aca="false">IFERROR(INDEX('قائمة الوحدات'!$B$2:$B$41,MATCH($B167,'قائمة الوحدات'!$A$2:$A$41,0)),"")</f>
        <v>EXE</v>
      </c>
      <c r="D167" s="18" t="str">
        <f aca="false">IFERROR(INDEX('قائمة الوحدات'!$C$2:$C$41,MATCH($B167,'قائمة الوحدات'!$A$2:$A$41,0)),"")</f>
        <v>الشؤون التنفيذية</v>
      </c>
      <c r="E167" s="18" t="str">
        <f aca="false">IFERROR(INDEX('قائمة الوحدات'!$D$2:$D$41,MATCH($B167,'قائمة الوحدات'!$A$2:$A$41,0)),"")</f>
        <v>وكالة الشؤون الفنية</v>
      </c>
      <c r="F167" s="18" t="str">
        <f aca="false">IFERROR(INDEX('قائمة الوحدات'!$F$2:$F$41,MATCH($B167,'قائمة الوحدات'!$A$2:$A$41,0)),"")</f>
        <v>الإدارة العامة للسلامة والبيئة</v>
      </c>
      <c r="G167" s="20" t="s">
        <v>44</v>
      </c>
      <c r="H167" s="18" t="str">
        <f aca="false">IFERROR(INDEX(المرجع!$A$2:$A$19,MATCH($G167,المرجع!$B$2:$B$19,0)),"")</f>
        <v>التصميم</v>
      </c>
      <c r="I167" s="20" t="s">
        <v>55</v>
      </c>
      <c r="J167" s="18" t="str">
        <f aca="false">IFERROR(INDEX(المرجع!$D$2:$D$19,MATCH($I167,المرجع!$E$2:$E$19,0)),"")</f>
        <v>التنظيم</v>
      </c>
      <c r="K167" s="19" t="n">
        <f aca="false">IFERROR(INDEX(المرجع!$F$2:$F$19,MATCH($I167,المرجع!$E$2:$E$19,0)),"")</f>
        <v>4</v>
      </c>
      <c r="L167" s="19" t="n">
        <f aca="false">SUMIFS(المرجع!$H$2:$H$19,المرجع!$B$2:$B$19,$G167,المرجع!$E$2:$E$19,$I167)</f>
        <v>1</v>
      </c>
      <c r="M167" s="19" t="n">
        <f aca="false">COUNTIFS('المرتبطة بسمو الوزير'!$B$2:$B$151,$B167,'المرتبطة بسمو الوزير'!$G$2:$G$151,$G167,'المرتبطة بسمو الوزير'!$I$2:$I$151,$I167,'المرتبطة بسمو الوزير'!$M$2:$M$151,"&lt;&gt;")+COUNTIFS('الشؤون التنفيذية'!$B$2:$B$421,$B167,'الشؤون التنفيذية'!$G$2:$G$421,$G167,'الشؤون التنفيذية'!$I$2:$I$421,$I167,'الشؤون التنفيذية'!$N$2:$N$421,"&lt;&gt;")+COUNTIFS('الجهاز العسكري'!$B$2:$B$631,$B167,'الجهاز العسكري'!$G$2:$G$631,$G167,'الجهاز العسكري'!$I$2:$I$631,$I167,'الجهاز العسكري'!$M$2:$M$631,"&lt;&gt;")</f>
        <v>1</v>
      </c>
      <c r="N167" s="24" t="n">
        <f aca="false">IF($L167=0,0,ROUND((SUMIFS('المرتبطة بسمو الوزير'!$M$2:$M$151,'المرتبطة بسمو الوزير'!$B$2:$B$151,$B167,'المرتبطة بسمو الوزير'!$G$2:$G$151,$G167,'المرتبطة بسمو الوزير'!$I$2:$I$151,$I167)+SUMIFS('الشؤون التنفيذية'!$N$2:$N$421,'الشؤون التنفيذية'!$B$2:$B$421,$B167,'الشؤون التنفيذية'!$G$2:$G$421,$G167,'الشؤون التنفيذية'!$I$2:$I$421,$I167)+SUMIFS('الجهاز العسكري'!$M$2:$M$631,'الجهاز العسكري'!$B$2:$B$631,$B167,'الجهاز العسكري'!$G$2:$G$631,$G167,'الجهاز العسكري'!$I$2:$I$631,$I167))/$L167,0))</f>
        <v>89</v>
      </c>
      <c r="O167" s="25" t="n">
        <f aca="false">IF($L167=0,0,ROUND((SUMIFS('المرتبطة بسمو الوزير'!$N$2:$N$151,'المرتبطة بسمو الوزير'!$B$2:$B$151,$B167,'المرتبطة بسمو الوزير'!$G$2:$G$151,$G167,'المرتبطة بسمو الوزير'!$I$2:$I$151,$I167)+SUMIFS('الشؤون التنفيذية'!$O$2:$O$421,'الشؤون التنفيذية'!$B$2:$B$421,$B167,'الشؤون التنفيذية'!$G$2:$G$421,$G167,'الشؤون التنفيذية'!$I$2:$I$421,$I167)+SUMIFS('الجهاز العسكري'!$N$2:$N$631,'الجهاز العسكري'!$B$2:$B$631,$B167,'الجهاز العسكري'!$G$2:$G$631,$G167,'الجهاز العسكري'!$I$2:$I$631,$I167))/$L167,0))</f>
        <v>100</v>
      </c>
      <c r="P167" s="22"/>
      <c r="Q167" s="19" t="n">
        <f aca="false">SUMIFS(المرجع!$G$2:$G$19,المرجع!$B$2:$B$19,$G167,المرجع!$E$2:$E$19,$I167)</f>
        <v>20</v>
      </c>
      <c r="R167" s="26" t="n">
        <f aca="false">ROUND($Q167*$N167/100,2)</f>
        <v>17.8</v>
      </c>
      <c r="S167" s="27" t="str">
        <f aca="false">IF($N167&gt;المرجع!$K$3,"متقدم",IF($N167&lt;=المرجع!$K$2,"أولي","جزئي"))</f>
        <v>متقدم</v>
      </c>
      <c r="T167" s="28" t="n">
        <f aca="false">ROUND($Q167*$O167/100,2)</f>
        <v>20</v>
      </c>
    </row>
    <row r="168" customFormat="false" ht="15" hidden="false" customHeight="true" outlineLevel="0" collapsed="false">
      <c r="A168" s="20" t="s">
        <v>1620</v>
      </c>
      <c r="B168" s="20" t="s">
        <v>172</v>
      </c>
      <c r="C168" s="19" t="str">
        <f aca="false">IFERROR(INDEX('قائمة الوحدات'!$B$2:$B$41,MATCH($B168,'قائمة الوحدات'!$A$2:$A$41,0)),"")</f>
        <v>EXE</v>
      </c>
      <c r="D168" s="18" t="str">
        <f aca="false">IFERROR(INDEX('قائمة الوحدات'!$C$2:$C$41,MATCH($B168,'قائمة الوحدات'!$A$2:$A$41,0)),"")</f>
        <v>الشؤون التنفيذية</v>
      </c>
      <c r="E168" s="18" t="str">
        <f aca="false">IFERROR(INDEX('قائمة الوحدات'!$D$2:$D$41,MATCH($B168,'قائمة الوحدات'!$A$2:$A$41,0)),"")</f>
        <v>وكالة الشؤون الفنية</v>
      </c>
      <c r="F168" s="18" t="str">
        <f aca="false">IFERROR(INDEX('قائمة الوحدات'!$F$2:$F$41,MATCH($B168,'قائمة الوحدات'!$A$2:$A$41,0)),"")</f>
        <v>الإدارة العامة للسلامة والبيئة</v>
      </c>
      <c r="G168" s="20" t="s">
        <v>44</v>
      </c>
      <c r="H168" s="18" t="str">
        <f aca="false">IFERROR(INDEX(المرجع!$A$2:$A$19,MATCH($G168,المرجع!$B$2:$B$19,0)),"")</f>
        <v>التصميم</v>
      </c>
      <c r="I168" s="20" t="s">
        <v>57</v>
      </c>
      <c r="J168" s="18" t="str">
        <f aca="false">IFERROR(INDEX(المرجع!$D$2:$D$19,MATCH($I168,المرجع!$E$2:$E$19,0)),"")</f>
        <v>الموارد</v>
      </c>
      <c r="K168" s="19" t="n">
        <f aca="false">IFERROR(INDEX(المرجع!$F$2:$F$19,MATCH($I168,المرجع!$E$2:$E$19,0)),"")</f>
        <v>5</v>
      </c>
      <c r="L168" s="19" t="n">
        <f aca="false">SUMIFS(المرجع!$H$2:$H$19,المرجع!$B$2:$B$19,$G168,المرجع!$E$2:$E$19,$I168)</f>
        <v>1</v>
      </c>
      <c r="M168" s="19" t="n">
        <f aca="false">COUNTIFS('المرتبطة بسمو الوزير'!$B$2:$B$151,$B168,'المرتبطة بسمو الوزير'!$G$2:$G$151,$G168,'المرتبطة بسمو الوزير'!$I$2:$I$151,$I168,'المرتبطة بسمو الوزير'!$M$2:$M$151,"&lt;&gt;")+COUNTIFS('الشؤون التنفيذية'!$B$2:$B$421,$B168,'الشؤون التنفيذية'!$G$2:$G$421,$G168,'الشؤون التنفيذية'!$I$2:$I$421,$I168,'الشؤون التنفيذية'!$N$2:$N$421,"&lt;&gt;")+COUNTIFS('الجهاز العسكري'!$B$2:$B$631,$B168,'الجهاز العسكري'!$G$2:$G$631,$G168,'الجهاز العسكري'!$I$2:$I$631,$I168,'الجهاز العسكري'!$M$2:$M$631,"&lt;&gt;")</f>
        <v>1</v>
      </c>
      <c r="N168" s="24" t="n">
        <f aca="false">IF($L168=0,0,ROUND((SUMIFS('المرتبطة بسمو الوزير'!$M$2:$M$151,'المرتبطة بسمو الوزير'!$B$2:$B$151,$B168,'المرتبطة بسمو الوزير'!$G$2:$G$151,$G168,'المرتبطة بسمو الوزير'!$I$2:$I$151,$I168)+SUMIFS('الشؤون التنفيذية'!$N$2:$N$421,'الشؤون التنفيذية'!$B$2:$B$421,$B168,'الشؤون التنفيذية'!$G$2:$G$421,$G168,'الشؤون التنفيذية'!$I$2:$I$421,$I168)+SUMIFS('الجهاز العسكري'!$M$2:$M$631,'الجهاز العسكري'!$B$2:$B$631,$B168,'الجهاز العسكري'!$G$2:$G$631,$G168,'الجهاز العسكري'!$I$2:$I$631,$I168))/$L168,0))</f>
        <v>92</v>
      </c>
      <c r="O168" s="25" t="n">
        <f aca="false">IF($L168=0,0,ROUND((SUMIFS('المرتبطة بسمو الوزير'!$N$2:$N$151,'المرتبطة بسمو الوزير'!$B$2:$B$151,$B168,'المرتبطة بسمو الوزير'!$G$2:$G$151,$G168,'المرتبطة بسمو الوزير'!$I$2:$I$151,$I168)+SUMIFS('الشؤون التنفيذية'!$O$2:$O$421,'الشؤون التنفيذية'!$B$2:$B$421,$B168,'الشؤون التنفيذية'!$G$2:$G$421,$G168,'الشؤون التنفيذية'!$I$2:$I$421,$I168)+SUMIFS('الجهاز العسكري'!$N$2:$N$631,'الجهاز العسكري'!$B$2:$B$631,$B168,'الجهاز العسكري'!$G$2:$G$631,$G168,'الجهاز العسكري'!$I$2:$I$631,$I168))/$L168,0))</f>
        <v>92</v>
      </c>
      <c r="P168" s="22"/>
      <c r="Q168" s="19" t="n">
        <f aca="false">SUMIFS(المرجع!$G$2:$G$19,المرجع!$B$2:$B$19,$G168,المرجع!$E$2:$E$19,$I168)</f>
        <v>20</v>
      </c>
      <c r="R168" s="26" t="n">
        <f aca="false">ROUND($Q168*$N168/100,2)</f>
        <v>18.4</v>
      </c>
      <c r="S168" s="27" t="str">
        <f aca="false">IF($N168&gt;المرجع!$K$3,"متقدم",IF($N168&lt;=المرجع!$K$2,"أولي","جزئي"))</f>
        <v>متقدم</v>
      </c>
      <c r="T168" s="28" t="n">
        <f aca="false">ROUND($Q168*$O168/100,2)</f>
        <v>18.4</v>
      </c>
    </row>
    <row r="169" customFormat="false" ht="15" hidden="false" customHeight="true" outlineLevel="0" collapsed="false">
      <c r="A169" s="20" t="s">
        <v>1621</v>
      </c>
      <c r="B169" s="20" t="s">
        <v>172</v>
      </c>
      <c r="C169" s="19" t="str">
        <f aca="false">IFERROR(INDEX('قائمة الوحدات'!$B$2:$B$41,MATCH($B169,'قائمة الوحدات'!$A$2:$A$41,0)),"")</f>
        <v>EXE</v>
      </c>
      <c r="D169" s="18" t="str">
        <f aca="false">IFERROR(INDEX('قائمة الوحدات'!$C$2:$C$41,MATCH($B169,'قائمة الوحدات'!$A$2:$A$41,0)),"")</f>
        <v>الشؤون التنفيذية</v>
      </c>
      <c r="E169" s="18" t="str">
        <f aca="false">IFERROR(INDEX('قائمة الوحدات'!$D$2:$D$41,MATCH($B169,'قائمة الوحدات'!$A$2:$A$41,0)),"")</f>
        <v>وكالة الشؤون الفنية</v>
      </c>
      <c r="F169" s="18" t="str">
        <f aca="false">IFERROR(INDEX('قائمة الوحدات'!$F$2:$F$41,MATCH($B169,'قائمة الوحدات'!$A$2:$A$41,0)),"")</f>
        <v>الإدارة العامة للسلامة والبيئة</v>
      </c>
      <c r="G169" s="20" t="s">
        <v>44</v>
      </c>
      <c r="H169" s="18" t="str">
        <f aca="false">IFERROR(INDEX(المرجع!$A$2:$A$19,MATCH($G169,المرجع!$B$2:$B$19,0)),"")</f>
        <v>التصميم</v>
      </c>
      <c r="I169" s="20" t="s">
        <v>60</v>
      </c>
      <c r="J169" s="18" t="str">
        <f aca="false">IFERROR(INDEX(المرجع!$D$2:$D$19,MATCH($I169,المرجع!$E$2:$E$19,0)),"")</f>
        <v>الإجراءات</v>
      </c>
      <c r="K169" s="19" t="n">
        <f aca="false">IFERROR(INDEX(المرجع!$F$2:$F$19,MATCH($I169,المرجع!$E$2:$E$19,0)),"")</f>
        <v>6</v>
      </c>
      <c r="L169" s="19" t="n">
        <f aca="false">SUMIFS(المرجع!$H$2:$H$19,المرجع!$B$2:$B$19,$G169,المرجع!$E$2:$E$19,$I169)</f>
        <v>1</v>
      </c>
      <c r="M169" s="19" t="n">
        <f aca="false">COUNTIFS('المرتبطة بسمو الوزير'!$B$2:$B$151,$B169,'المرتبطة بسمو الوزير'!$G$2:$G$151,$G169,'المرتبطة بسمو الوزير'!$I$2:$I$151,$I169,'المرتبطة بسمو الوزير'!$M$2:$M$151,"&lt;&gt;")+COUNTIFS('الشؤون التنفيذية'!$B$2:$B$421,$B169,'الشؤون التنفيذية'!$G$2:$G$421,$G169,'الشؤون التنفيذية'!$I$2:$I$421,$I169,'الشؤون التنفيذية'!$N$2:$N$421,"&lt;&gt;")+COUNTIFS('الجهاز العسكري'!$B$2:$B$631,$B169,'الجهاز العسكري'!$G$2:$G$631,$G169,'الجهاز العسكري'!$I$2:$I$631,$I169,'الجهاز العسكري'!$M$2:$M$631,"&lt;&gt;")</f>
        <v>1</v>
      </c>
      <c r="N169" s="24" t="n">
        <f aca="false">IF($L169=0,0,ROUND((SUMIFS('المرتبطة بسمو الوزير'!$M$2:$M$151,'المرتبطة بسمو الوزير'!$B$2:$B$151,$B169,'المرتبطة بسمو الوزير'!$G$2:$G$151,$G169,'المرتبطة بسمو الوزير'!$I$2:$I$151,$I169)+SUMIFS('الشؤون التنفيذية'!$N$2:$N$421,'الشؤون التنفيذية'!$B$2:$B$421,$B169,'الشؤون التنفيذية'!$G$2:$G$421,$G169,'الشؤون التنفيذية'!$I$2:$I$421,$I169)+SUMIFS('الجهاز العسكري'!$M$2:$M$631,'الجهاز العسكري'!$B$2:$B$631,$B169,'الجهاز العسكري'!$G$2:$G$631,$G169,'الجهاز العسكري'!$I$2:$I$631,$I169))/$L169,0))</f>
        <v>79</v>
      </c>
      <c r="O169" s="25" t="n">
        <f aca="false">IF($L169=0,0,ROUND((SUMIFS('المرتبطة بسمو الوزير'!$N$2:$N$151,'المرتبطة بسمو الوزير'!$B$2:$B$151,$B169,'المرتبطة بسمو الوزير'!$G$2:$G$151,$G169,'المرتبطة بسمو الوزير'!$I$2:$I$151,$I169)+SUMIFS('الشؤون التنفيذية'!$O$2:$O$421,'الشؤون التنفيذية'!$B$2:$B$421,$B169,'الشؤون التنفيذية'!$G$2:$G$421,$G169,'الشؤون التنفيذية'!$I$2:$I$421,$I169)+SUMIFS('الجهاز العسكري'!$N$2:$N$631,'الجهاز العسكري'!$B$2:$B$631,$B169,'الجهاز العسكري'!$G$2:$G$631,$G169,'الجهاز العسكري'!$I$2:$I$631,$I169))/$L169,0))</f>
        <v>85</v>
      </c>
      <c r="P169" s="22"/>
      <c r="Q169" s="19" t="n">
        <f aca="false">SUMIFS(المرجع!$G$2:$G$19,المرجع!$B$2:$B$19,$G169,المرجع!$E$2:$E$19,$I169)</f>
        <v>5</v>
      </c>
      <c r="R169" s="26" t="n">
        <f aca="false">ROUND($Q169*$N169/100,2)</f>
        <v>3.95</v>
      </c>
      <c r="S169" s="27" t="str">
        <f aca="false">IF($N169&gt;المرجع!$K$3,"متقدم",IF($N169&lt;=المرجع!$K$2,"أولي","جزئي"))</f>
        <v>متقدم</v>
      </c>
      <c r="T169" s="28" t="n">
        <f aca="false">ROUND($Q169*$O169/100,2)</f>
        <v>4.25</v>
      </c>
    </row>
    <row r="170" customFormat="false" ht="15" hidden="false" customHeight="true" outlineLevel="0" collapsed="false">
      <c r="A170" s="20" t="s">
        <v>1622</v>
      </c>
      <c r="B170" s="20" t="s">
        <v>172</v>
      </c>
      <c r="C170" s="19" t="str">
        <f aca="false">IFERROR(INDEX('قائمة الوحدات'!$B$2:$B$41,MATCH($B170,'قائمة الوحدات'!$A$2:$A$41,0)),"")</f>
        <v>EXE</v>
      </c>
      <c r="D170" s="18" t="str">
        <f aca="false">IFERROR(INDEX('قائمة الوحدات'!$C$2:$C$41,MATCH($B170,'قائمة الوحدات'!$A$2:$A$41,0)),"")</f>
        <v>الشؤون التنفيذية</v>
      </c>
      <c r="E170" s="18" t="str">
        <f aca="false">IFERROR(INDEX('قائمة الوحدات'!$D$2:$D$41,MATCH($B170,'قائمة الوحدات'!$A$2:$A$41,0)),"")</f>
        <v>وكالة الشؤون الفنية</v>
      </c>
      <c r="F170" s="18" t="str">
        <f aca="false">IFERROR(INDEX('قائمة الوحدات'!$F$2:$F$41,MATCH($B170,'قائمة الوحدات'!$A$2:$A$41,0)),"")</f>
        <v>الإدارة العامة للسلامة والبيئة</v>
      </c>
      <c r="G170" s="20" t="s">
        <v>62</v>
      </c>
      <c r="H170" s="18" t="str">
        <f aca="false">IFERROR(INDEX(المرجع!$A$2:$A$19,MATCH($G170,المرجع!$B$2:$B$19,0)),"")</f>
        <v>البناء المؤسسي</v>
      </c>
      <c r="I170" s="20" t="s">
        <v>46</v>
      </c>
      <c r="J170" s="18" t="str">
        <f aca="false">IFERROR(INDEX(المرجع!$D$2:$D$19,MATCH($I170,المرجع!$E$2:$E$19,0)),"")</f>
        <v>الدور</v>
      </c>
      <c r="K170" s="19" t="n">
        <f aca="false">IFERROR(INDEX(المرجع!$F$2:$F$19,MATCH($I170,المرجع!$E$2:$E$19,0)),"")</f>
        <v>1</v>
      </c>
      <c r="L170" s="19" t="n">
        <f aca="false">SUMIFS(المرجع!$H$2:$H$19,المرجع!$B$2:$B$19,$G170,المرجع!$E$2:$E$19,$I170)</f>
        <v>1</v>
      </c>
      <c r="M170" s="19" t="n">
        <f aca="false">COUNTIFS('المرتبطة بسمو الوزير'!$B$2:$B$151,$B170,'المرتبطة بسمو الوزير'!$G$2:$G$151,$G170,'المرتبطة بسمو الوزير'!$I$2:$I$151,$I170,'المرتبطة بسمو الوزير'!$M$2:$M$151,"&lt;&gt;")+COUNTIFS('الشؤون التنفيذية'!$B$2:$B$421,$B170,'الشؤون التنفيذية'!$G$2:$G$421,$G170,'الشؤون التنفيذية'!$I$2:$I$421,$I170,'الشؤون التنفيذية'!$N$2:$N$421,"&lt;&gt;")+COUNTIFS('الجهاز العسكري'!$B$2:$B$631,$B170,'الجهاز العسكري'!$G$2:$G$631,$G170,'الجهاز العسكري'!$I$2:$I$631,$I170,'الجهاز العسكري'!$M$2:$M$631,"&lt;&gt;")</f>
        <v>1</v>
      </c>
      <c r="N170" s="24" t="n">
        <f aca="false">IF($L170=0,0,ROUND((SUMIFS('المرتبطة بسمو الوزير'!$M$2:$M$151,'المرتبطة بسمو الوزير'!$B$2:$B$151,$B170,'المرتبطة بسمو الوزير'!$G$2:$G$151,$G170,'المرتبطة بسمو الوزير'!$I$2:$I$151,$I170)+SUMIFS('الشؤون التنفيذية'!$N$2:$N$421,'الشؤون التنفيذية'!$B$2:$B$421,$B170,'الشؤون التنفيذية'!$G$2:$G$421,$G170,'الشؤون التنفيذية'!$I$2:$I$421,$I170)+SUMIFS('الجهاز العسكري'!$M$2:$M$631,'الجهاز العسكري'!$B$2:$B$631,$B170,'الجهاز العسكري'!$G$2:$G$631,$G170,'الجهاز العسكري'!$I$2:$I$631,$I170))/$L170,0))</f>
        <v>65</v>
      </c>
      <c r="O170" s="25" t="n">
        <f aca="false">IF($L170=0,0,ROUND((SUMIFS('المرتبطة بسمو الوزير'!$N$2:$N$151,'المرتبطة بسمو الوزير'!$B$2:$B$151,$B170,'المرتبطة بسمو الوزير'!$G$2:$G$151,$G170,'المرتبطة بسمو الوزير'!$I$2:$I$151,$I170)+SUMIFS('الشؤون التنفيذية'!$O$2:$O$421,'الشؤون التنفيذية'!$B$2:$B$421,$B170,'الشؤون التنفيذية'!$G$2:$G$421,$G170,'الشؤون التنفيذية'!$I$2:$I$421,$I170)+SUMIFS('الجهاز العسكري'!$N$2:$N$631,'الجهاز العسكري'!$B$2:$B$631,$B170,'الجهاز العسكري'!$G$2:$G$631,$G170,'الجهاز العسكري'!$I$2:$I$631,$I170))/$L170,0))</f>
        <v>100</v>
      </c>
      <c r="P170" s="22"/>
      <c r="Q170" s="19" t="n">
        <f aca="false">SUMIFS(المرجع!$G$2:$G$19,المرجع!$B$2:$B$19,$G170,المرجع!$E$2:$E$19,$I170)</f>
        <v>15</v>
      </c>
      <c r="R170" s="26" t="n">
        <f aca="false">ROUND($Q170*$N170/100,2)</f>
        <v>9.75</v>
      </c>
      <c r="S170" s="27" t="str">
        <f aca="false">IF($N170&gt;المرجع!$K$3,"متقدم",IF($N170&lt;=المرجع!$K$2,"أولي","جزئي"))</f>
        <v>جزئي</v>
      </c>
      <c r="T170" s="28" t="n">
        <f aca="false">ROUND($Q170*$O170/100,2)</f>
        <v>15</v>
      </c>
    </row>
    <row r="171" customFormat="false" ht="15" hidden="false" customHeight="true" outlineLevel="0" collapsed="false">
      <c r="A171" s="20" t="s">
        <v>1623</v>
      </c>
      <c r="B171" s="20" t="s">
        <v>172</v>
      </c>
      <c r="C171" s="19" t="str">
        <f aca="false">IFERROR(INDEX('قائمة الوحدات'!$B$2:$B$41,MATCH($B171,'قائمة الوحدات'!$A$2:$A$41,0)),"")</f>
        <v>EXE</v>
      </c>
      <c r="D171" s="18" t="str">
        <f aca="false">IFERROR(INDEX('قائمة الوحدات'!$C$2:$C$41,MATCH($B171,'قائمة الوحدات'!$A$2:$A$41,0)),"")</f>
        <v>الشؤون التنفيذية</v>
      </c>
      <c r="E171" s="18" t="str">
        <f aca="false">IFERROR(INDEX('قائمة الوحدات'!$D$2:$D$41,MATCH($B171,'قائمة الوحدات'!$A$2:$A$41,0)),"")</f>
        <v>وكالة الشؤون الفنية</v>
      </c>
      <c r="F171" s="18" t="str">
        <f aca="false">IFERROR(INDEX('قائمة الوحدات'!$F$2:$F$41,MATCH($B171,'قائمة الوحدات'!$A$2:$A$41,0)),"")</f>
        <v>الإدارة العامة للسلامة والبيئة</v>
      </c>
      <c r="G171" s="20" t="s">
        <v>62</v>
      </c>
      <c r="H171" s="18" t="str">
        <f aca="false">IFERROR(INDEX(المرجع!$A$2:$A$19,MATCH($G171,المرجع!$B$2:$B$19,0)),"")</f>
        <v>البناء المؤسسي</v>
      </c>
      <c r="I171" s="20" t="s">
        <v>49</v>
      </c>
      <c r="J171" s="18" t="str">
        <f aca="false">IFERROR(INDEX(المرجع!$D$2:$D$19,MATCH($I171,المرجع!$E$2:$E$19,0)),"")</f>
        <v>الأهداف ومؤشرات الأداء</v>
      </c>
      <c r="K171" s="19" t="n">
        <f aca="false">IFERROR(INDEX(المرجع!$F$2:$F$19,MATCH($I171,المرجع!$E$2:$E$19,0)),"")</f>
        <v>2</v>
      </c>
      <c r="L171" s="19" t="n">
        <f aca="false">SUMIFS(المرجع!$H$2:$H$19,المرجع!$B$2:$B$19,$G171,المرجع!$E$2:$E$19,$I171)</f>
        <v>2</v>
      </c>
      <c r="M171" s="19" t="n">
        <f aca="false">COUNTIFS('المرتبطة بسمو الوزير'!$B$2:$B$151,$B171,'المرتبطة بسمو الوزير'!$G$2:$G$151,$G171,'المرتبطة بسمو الوزير'!$I$2:$I$151,$I171,'المرتبطة بسمو الوزير'!$M$2:$M$151,"&lt;&gt;")+COUNTIFS('الشؤون التنفيذية'!$B$2:$B$421,$B171,'الشؤون التنفيذية'!$G$2:$G$421,$G171,'الشؤون التنفيذية'!$I$2:$I$421,$I171,'الشؤون التنفيذية'!$N$2:$N$421,"&lt;&gt;")+COUNTIFS('الجهاز العسكري'!$B$2:$B$631,$B171,'الجهاز العسكري'!$G$2:$G$631,$G171,'الجهاز العسكري'!$I$2:$I$631,$I171,'الجهاز العسكري'!$M$2:$M$631,"&lt;&gt;")</f>
        <v>2</v>
      </c>
      <c r="N171" s="24" t="n">
        <f aca="false">IF($L171=0,0,ROUND((SUMIFS('المرتبطة بسمو الوزير'!$M$2:$M$151,'المرتبطة بسمو الوزير'!$B$2:$B$151,$B171,'المرتبطة بسمو الوزير'!$G$2:$G$151,$G171,'المرتبطة بسمو الوزير'!$I$2:$I$151,$I171)+SUMIFS('الشؤون التنفيذية'!$N$2:$N$421,'الشؤون التنفيذية'!$B$2:$B$421,$B171,'الشؤون التنفيذية'!$G$2:$G$421,$G171,'الشؤون التنفيذية'!$I$2:$I$421,$I171)+SUMIFS('الجهاز العسكري'!$M$2:$M$631,'الجهاز العسكري'!$B$2:$B$631,$B171,'الجهاز العسكري'!$G$2:$G$631,$G171,'الجهاز العسكري'!$I$2:$I$631,$I171))/$L171,0))</f>
        <v>68</v>
      </c>
      <c r="O171" s="25" t="n">
        <f aca="false">IF($L171=0,0,ROUND((SUMIFS('المرتبطة بسمو الوزير'!$N$2:$N$151,'المرتبطة بسمو الوزير'!$B$2:$B$151,$B171,'المرتبطة بسمو الوزير'!$G$2:$G$151,$G171,'المرتبطة بسمو الوزير'!$I$2:$I$151,$I171)+SUMIFS('الشؤون التنفيذية'!$O$2:$O$421,'الشؤون التنفيذية'!$B$2:$B$421,$B171,'الشؤون التنفيذية'!$G$2:$G$421,$G171,'الشؤون التنفيذية'!$I$2:$I$421,$I171)+SUMIFS('الجهاز العسكري'!$N$2:$N$631,'الجهاز العسكري'!$B$2:$B$631,$B171,'الجهاز العسكري'!$G$2:$G$631,$G171,'الجهاز العسكري'!$I$2:$I$631,$I171))/$L171,0))</f>
        <v>88</v>
      </c>
      <c r="P171" s="22"/>
      <c r="Q171" s="19" t="n">
        <f aca="false">SUMIFS(المرجع!$G$2:$G$19,المرجع!$B$2:$B$19,$G171,المرجع!$E$2:$E$19,$I171)</f>
        <v>15</v>
      </c>
      <c r="R171" s="26" t="n">
        <f aca="false">ROUND($Q171*$N171/100,2)</f>
        <v>10.2</v>
      </c>
      <c r="S171" s="27" t="str">
        <f aca="false">IF($N171&gt;المرجع!$K$3,"متقدم",IF($N171&lt;=المرجع!$K$2,"أولي","جزئي"))</f>
        <v>جزئي</v>
      </c>
      <c r="T171" s="28" t="n">
        <f aca="false">ROUND($Q171*$O171/100,2)</f>
        <v>13.2</v>
      </c>
    </row>
    <row r="172" customFormat="false" ht="15" hidden="false" customHeight="true" outlineLevel="0" collapsed="false">
      <c r="A172" s="20" t="s">
        <v>1624</v>
      </c>
      <c r="B172" s="20" t="s">
        <v>172</v>
      </c>
      <c r="C172" s="19" t="str">
        <f aca="false">IFERROR(INDEX('قائمة الوحدات'!$B$2:$B$41,MATCH($B172,'قائمة الوحدات'!$A$2:$A$41,0)),"")</f>
        <v>EXE</v>
      </c>
      <c r="D172" s="18" t="str">
        <f aca="false">IFERROR(INDEX('قائمة الوحدات'!$C$2:$C$41,MATCH($B172,'قائمة الوحدات'!$A$2:$A$41,0)),"")</f>
        <v>الشؤون التنفيذية</v>
      </c>
      <c r="E172" s="18" t="str">
        <f aca="false">IFERROR(INDEX('قائمة الوحدات'!$D$2:$D$41,MATCH($B172,'قائمة الوحدات'!$A$2:$A$41,0)),"")</f>
        <v>وكالة الشؤون الفنية</v>
      </c>
      <c r="F172" s="18" t="str">
        <f aca="false">IFERROR(INDEX('قائمة الوحدات'!$F$2:$F$41,MATCH($B172,'قائمة الوحدات'!$A$2:$A$41,0)),"")</f>
        <v>الإدارة العامة للسلامة والبيئة</v>
      </c>
      <c r="G172" s="20" t="s">
        <v>62</v>
      </c>
      <c r="H172" s="18" t="str">
        <f aca="false">IFERROR(INDEX(المرجع!$A$2:$A$19,MATCH($G172,المرجع!$B$2:$B$19,0)),"")</f>
        <v>البناء المؤسسي</v>
      </c>
      <c r="I172" s="20" t="s">
        <v>52</v>
      </c>
      <c r="J172" s="18" t="str">
        <f aca="false">IFERROR(INDEX(المرجع!$D$2:$D$19,MATCH($I172,المرجع!$E$2:$E$19,0)),"")</f>
        <v>الحوكمة</v>
      </c>
      <c r="K172" s="19" t="n">
        <f aca="false">IFERROR(INDEX(المرجع!$F$2:$F$19,MATCH($I172,المرجع!$E$2:$E$19,0)),"")</f>
        <v>3</v>
      </c>
      <c r="L172" s="19" t="n">
        <f aca="false">SUMIFS(المرجع!$H$2:$H$19,المرجع!$B$2:$B$19,$G172,المرجع!$E$2:$E$19,$I172)</f>
        <v>3</v>
      </c>
      <c r="M172" s="19" t="n">
        <f aca="false">COUNTIFS('المرتبطة بسمو الوزير'!$B$2:$B$151,$B172,'المرتبطة بسمو الوزير'!$G$2:$G$151,$G172,'المرتبطة بسمو الوزير'!$I$2:$I$151,$I172,'المرتبطة بسمو الوزير'!$M$2:$M$151,"&lt;&gt;")+COUNTIFS('الشؤون التنفيذية'!$B$2:$B$421,$B172,'الشؤون التنفيذية'!$G$2:$G$421,$G172,'الشؤون التنفيذية'!$I$2:$I$421,$I172,'الشؤون التنفيذية'!$N$2:$N$421,"&lt;&gt;")+COUNTIFS('الجهاز العسكري'!$B$2:$B$631,$B172,'الجهاز العسكري'!$G$2:$G$631,$G172,'الجهاز العسكري'!$I$2:$I$631,$I172,'الجهاز العسكري'!$M$2:$M$631,"&lt;&gt;")</f>
        <v>3</v>
      </c>
      <c r="N172" s="24" t="n">
        <f aca="false">IF($L172=0,0,ROUND((SUMIFS('المرتبطة بسمو الوزير'!$M$2:$M$151,'المرتبطة بسمو الوزير'!$B$2:$B$151,$B172,'المرتبطة بسمو الوزير'!$G$2:$G$151,$G172,'المرتبطة بسمو الوزير'!$I$2:$I$151,$I172)+SUMIFS('الشؤون التنفيذية'!$N$2:$N$421,'الشؤون التنفيذية'!$B$2:$B$421,$B172,'الشؤون التنفيذية'!$G$2:$G$421,$G172,'الشؤون التنفيذية'!$I$2:$I$421,$I172)+SUMIFS('الجهاز العسكري'!$M$2:$M$631,'الجهاز العسكري'!$B$2:$B$631,$B172,'الجهاز العسكري'!$G$2:$G$631,$G172,'الجهاز العسكري'!$I$2:$I$631,$I172))/$L172,0))</f>
        <v>77</v>
      </c>
      <c r="O172" s="25" t="n">
        <f aca="false">IF($L172=0,0,ROUND((SUMIFS('المرتبطة بسمو الوزير'!$N$2:$N$151,'المرتبطة بسمو الوزير'!$B$2:$B$151,$B172,'المرتبطة بسمو الوزير'!$G$2:$G$151,$G172,'المرتبطة بسمو الوزير'!$I$2:$I$151,$I172)+SUMIFS('الشؤون التنفيذية'!$O$2:$O$421,'الشؤون التنفيذية'!$B$2:$B$421,$B172,'الشؤون التنفيذية'!$G$2:$G$421,$G172,'الشؤون التنفيذية'!$I$2:$I$421,$I172)+SUMIFS('الجهاز العسكري'!$N$2:$N$631,'الجهاز العسكري'!$B$2:$B$631,$B172,'الجهاز العسكري'!$G$2:$G$631,$G172,'الجهاز العسكري'!$I$2:$I$631,$I172))/$L172,0))</f>
        <v>93</v>
      </c>
      <c r="P172" s="22"/>
      <c r="Q172" s="19" t="n">
        <f aca="false">SUMIFS(المرجع!$G$2:$G$19,المرجع!$B$2:$B$19,$G172,المرجع!$E$2:$E$19,$I172)</f>
        <v>15</v>
      </c>
      <c r="R172" s="26" t="n">
        <f aca="false">ROUND($Q172*$N172/100,2)</f>
        <v>11.55</v>
      </c>
      <c r="S172" s="27" t="str">
        <f aca="false">IF($N172&gt;المرجع!$K$3,"متقدم",IF($N172&lt;=المرجع!$K$2,"أولي","جزئي"))</f>
        <v>متقدم</v>
      </c>
      <c r="T172" s="28" t="n">
        <f aca="false">ROUND($Q172*$O172/100,2)</f>
        <v>13.95</v>
      </c>
    </row>
    <row r="173" customFormat="false" ht="15" hidden="false" customHeight="true" outlineLevel="0" collapsed="false">
      <c r="A173" s="20" t="s">
        <v>1625</v>
      </c>
      <c r="B173" s="20" t="s">
        <v>172</v>
      </c>
      <c r="C173" s="19" t="str">
        <f aca="false">IFERROR(INDEX('قائمة الوحدات'!$B$2:$B$41,MATCH($B173,'قائمة الوحدات'!$A$2:$A$41,0)),"")</f>
        <v>EXE</v>
      </c>
      <c r="D173" s="18" t="str">
        <f aca="false">IFERROR(INDEX('قائمة الوحدات'!$C$2:$C$41,MATCH($B173,'قائمة الوحدات'!$A$2:$A$41,0)),"")</f>
        <v>الشؤون التنفيذية</v>
      </c>
      <c r="E173" s="18" t="str">
        <f aca="false">IFERROR(INDEX('قائمة الوحدات'!$D$2:$D$41,MATCH($B173,'قائمة الوحدات'!$A$2:$A$41,0)),"")</f>
        <v>وكالة الشؤون الفنية</v>
      </c>
      <c r="F173" s="18" t="str">
        <f aca="false">IFERROR(INDEX('قائمة الوحدات'!$F$2:$F$41,MATCH($B173,'قائمة الوحدات'!$A$2:$A$41,0)),"")</f>
        <v>الإدارة العامة للسلامة والبيئة</v>
      </c>
      <c r="G173" s="20" t="s">
        <v>62</v>
      </c>
      <c r="H173" s="18" t="str">
        <f aca="false">IFERROR(INDEX(المرجع!$A$2:$A$19,MATCH($G173,المرجع!$B$2:$B$19,0)),"")</f>
        <v>البناء المؤسسي</v>
      </c>
      <c r="I173" s="20" t="s">
        <v>55</v>
      </c>
      <c r="J173" s="18" t="str">
        <f aca="false">IFERROR(INDEX(المرجع!$D$2:$D$19,MATCH($I173,المرجع!$E$2:$E$19,0)),"")</f>
        <v>التنظيم</v>
      </c>
      <c r="K173" s="19" t="n">
        <f aca="false">IFERROR(INDEX(المرجع!$F$2:$F$19,MATCH($I173,المرجع!$E$2:$E$19,0)),"")</f>
        <v>4</v>
      </c>
      <c r="L173" s="19" t="n">
        <f aca="false">SUMIFS(المرجع!$H$2:$H$19,المرجع!$B$2:$B$19,$G173,المرجع!$E$2:$E$19,$I173)</f>
        <v>3</v>
      </c>
      <c r="M173" s="19" t="n">
        <f aca="false">COUNTIFS('المرتبطة بسمو الوزير'!$B$2:$B$151,$B173,'المرتبطة بسمو الوزير'!$G$2:$G$151,$G173,'المرتبطة بسمو الوزير'!$I$2:$I$151,$I173,'المرتبطة بسمو الوزير'!$M$2:$M$151,"&lt;&gt;")+COUNTIFS('الشؤون التنفيذية'!$B$2:$B$421,$B173,'الشؤون التنفيذية'!$G$2:$G$421,$G173,'الشؤون التنفيذية'!$I$2:$I$421,$I173,'الشؤون التنفيذية'!$N$2:$N$421,"&lt;&gt;")+COUNTIFS('الجهاز العسكري'!$B$2:$B$631,$B173,'الجهاز العسكري'!$G$2:$G$631,$G173,'الجهاز العسكري'!$I$2:$I$631,$I173,'الجهاز العسكري'!$M$2:$M$631,"&lt;&gt;")</f>
        <v>3</v>
      </c>
      <c r="N173" s="24" t="n">
        <f aca="false">IF($L173=0,0,ROUND((SUMIFS('المرتبطة بسمو الوزير'!$M$2:$M$151,'المرتبطة بسمو الوزير'!$B$2:$B$151,$B173,'المرتبطة بسمو الوزير'!$G$2:$G$151,$G173,'المرتبطة بسمو الوزير'!$I$2:$I$151,$I173)+SUMIFS('الشؤون التنفيذية'!$N$2:$N$421,'الشؤون التنفيذية'!$B$2:$B$421,$B173,'الشؤون التنفيذية'!$G$2:$G$421,$G173,'الشؤون التنفيذية'!$I$2:$I$421,$I173)+SUMIFS('الجهاز العسكري'!$M$2:$M$631,'الجهاز العسكري'!$B$2:$B$631,$B173,'الجهاز العسكري'!$G$2:$G$631,$G173,'الجهاز العسكري'!$I$2:$I$631,$I173))/$L173,0))</f>
        <v>77</v>
      </c>
      <c r="O173" s="25" t="n">
        <f aca="false">IF($L173=0,0,ROUND((SUMIFS('المرتبطة بسمو الوزير'!$N$2:$N$151,'المرتبطة بسمو الوزير'!$B$2:$B$151,$B173,'المرتبطة بسمو الوزير'!$G$2:$G$151,$G173,'المرتبطة بسمو الوزير'!$I$2:$I$151,$I173)+SUMIFS('الشؤون التنفيذية'!$O$2:$O$421,'الشؤون التنفيذية'!$B$2:$B$421,$B173,'الشؤون التنفيذية'!$G$2:$G$421,$G173,'الشؤون التنفيذية'!$I$2:$I$421,$I173)+SUMIFS('الجهاز العسكري'!$N$2:$N$631,'الجهاز العسكري'!$B$2:$B$631,$B173,'الجهاز العسكري'!$G$2:$G$631,$G173,'الجهاز العسكري'!$I$2:$I$631,$I173))/$L173,0))</f>
        <v>97</v>
      </c>
      <c r="P173" s="22"/>
      <c r="Q173" s="19" t="n">
        <f aca="false">SUMIFS(المرجع!$G$2:$G$19,المرجع!$B$2:$B$19,$G173,المرجع!$E$2:$E$19,$I173)</f>
        <v>20</v>
      </c>
      <c r="R173" s="26" t="n">
        <f aca="false">ROUND($Q173*$N173/100,2)</f>
        <v>15.4</v>
      </c>
      <c r="S173" s="27" t="str">
        <f aca="false">IF($N173&gt;المرجع!$K$3,"متقدم",IF($N173&lt;=المرجع!$K$2,"أولي","جزئي"))</f>
        <v>متقدم</v>
      </c>
      <c r="T173" s="28" t="n">
        <f aca="false">ROUND($Q173*$O173/100,2)</f>
        <v>19.4</v>
      </c>
    </row>
    <row r="174" customFormat="false" ht="15" hidden="false" customHeight="true" outlineLevel="0" collapsed="false">
      <c r="A174" s="20" t="s">
        <v>1626</v>
      </c>
      <c r="B174" s="20" t="s">
        <v>172</v>
      </c>
      <c r="C174" s="19" t="str">
        <f aca="false">IFERROR(INDEX('قائمة الوحدات'!$B$2:$B$41,MATCH($B174,'قائمة الوحدات'!$A$2:$A$41,0)),"")</f>
        <v>EXE</v>
      </c>
      <c r="D174" s="18" t="str">
        <f aca="false">IFERROR(INDEX('قائمة الوحدات'!$C$2:$C$41,MATCH($B174,'قائمة الوحدات'!$A$2:$A$41,0)),"")</f>
        <v>الشؤون التنفيذية</v>
      </c>
      <c r="E174" s="18" t="str">
        <f aca="false">IFERROR(INDEX('قائمة الوحدات'!$D$2:$D$41,MATCH($B174,'قائمة الوحدات'!$A$2:$A$41,0)),"")</f>
        <v>وكالة الشؤون الفنية</v>
      </c>
      <c r="F174" s="18" t="str">
        <f aca="false">IFERROR(INDEX('قائمة الوحدات'!$F$2:$F$41,MATCH($B174,'قائمة الوحدات'!$A$2:$A$41,0)),"")</f>
        <v>الإدارة العامة للسلامة والبيئة</v>
      </c>
      <c r="G174" s="20" t="s">
        <v>62</v>
      </c>
      <c r="H174" s="18" t="str">
        <f aca="false">IFERROR(INDEX(المرجع!$A$2:$A$19,MATCH($G174,المرجع!$B$2:$B$19,0)),"")</f>
        <v>البناء المؤسسي</v>
      </c>
      <c r="I174" s="20" t="s">
        <v>57</v>
      </c>
      <c r="J174" s="18" t="str">
        <f aca="false">IFERROR(INDEX(المرجع!$D$2:$D$19,MATCH($I174,المرجع!$E$2:$E$19,0)),"")</f>
        <v>الموارد</v>
      </c>
      <c r="K174" s="19" t="n">
        <f aca="false">IFERROR(INDEX(المرجع!$F$2:$F$19,MATCH($I174,المرجع!$E$2:$E$19,0)),"")</f>
        <v>5</v>
      </c>
      <c r="L174" s="19" t="n">
        <f aca="false">SUMIFS(المرجع!$H$2:$H$19,المرجع!$B$2:$B$19,$G174,المرجع!$E$2:$E$19,$I174)</f>
        <v>4</v>
      </c>
      <c r="M174" s="19" t="n">
        <f aca="false">COUNTIFS('المرتبطة بسمو الوزير'!$B$2:$B$151,$B174,'المرتبطة بسمو الوزير'!$G$2:$G$151,$G174,'المرتبطة بسمو الوزير'!$I$2:$I$151,$I174,'المرتبطة بسمو الوزير'!$M$2:$M$151,"&lt;&gt;")+COUNTIFS('الشؤون التنفيذية'!$B$2:$B$421,$B174,'الشؤون التنفيذية'!$G$2:$G$421,$G174,'الشؤون التنفيذية'!$I$2:$I$421,$I174,'الشؤون التنفيذية'!$N$2:$N$421,"&lt;&gt;")+COUNTIFS('الجهاز العسكري'!$B$2:$B$631,$B174,'الجهاز العسكري'!$G$2:$G$631,$G174,'الجهاز العسكري'!$I$2:$I$631,$I174,'الجهاز العسكري'!$M$2:$M$631,"&lt;&gt;")</f>
        <v>4</v>
      </c>
      <c r="N174" s="24" t="n">
        <f aca="false">IF($L174=0,0,ROUND((SUMIFS('المرتبطة بسمو الوزير'!$M$2:$M$151,'المرتبطة بسمو الوزير'!$B$2:$B$151,$B174,'المرتبطة بسمو الوزير'!$G$2:$G$151,$G174,'المرتبطة بسمو الوزير'!$I$2:$I$151,$I174)+SUMIFS('الشؤون التنفيذية'!$N$2:$N$421,'الشؤون التنفيذية'!$B$2:$B$421,$B174,'الشؤون التنفيذية'!$G$2:$G$421,$G174,'الشؤون التنفيذية'!$I$2:$I$421,$I174)+SUMIFS('الجهاز العسكري'!$M$2:$M$631,'الجهاز العسكري'!$B$2:$B$631,$B174,'الجهاز العسكري'!$G$2:$G$631,$G174,'الجهاز العسكري'!$I$2:$I$631,$I174))/$L174,0))</f>
        <v>45</v>
      </c>
      <c r="O174" s="25" t="n">
        <f aca="false">IF($L174=0,0,ROUND((SUMIFS('المرتبطة بسمو الوزير'!$N$2:$N$151,'المرتبطة بسمو الوزير'!$B$2:$B$151,$B174,'المرتبطة بسمو الوزير'!$G$2:$G$151,$G174,'المرتبطة بسمو الوزير'!$I$2:$I$151,$I174)+SUMIFS('الشؤون التنفيذية'!$O$2:$O$421,'الشؤون التنفيذية'!$B$2:$B$421,$B174,'الشؤون التنفيذية'!$G$2:$G$421,$G174,'الشؤون التنفيذية'!$I$2:$I$421,$I174)+SUMIFS('الجهاز العسكري'!$N$2:$N$631,'الجهاز العسكري'!$B$2:$B$631,$B174,'الجهاز العسكري'!$G$2:$G$631,$G174,'الجهاز العسكري'!$I$2:$I$631,$I174))/$L174,0))</f>
        <v>95</v>
      </c>
      <c r="P174" s="22"/>
      <c r="Q174" s="19" t="n">
        <f aca="false">SUMIFS(المرجع!$G$2:$G$19,المرجع!$B$2:$B$19,$G174,المرجع!$E$2:$E$19,$I174)</f>
        <v>25</v>
      </c>
      <c r="R174" s="26" t="n">
        <f aca="false">ROUND($Q174*$N174/100,2)</f>
        <v>11.25</v>
      </c>
      <c r="S174" s="27" t="str">
        <f aca="false">IF($N174&gt;المرجع!$K$3,"متقدم",IF($N174&lt;=المرجع!$K$2,"أولي","جزئي"))</f>
        <v>جزئي</v>
      </c>
      <c r="T174" s="28" t="n">
        <f aca="false">ROUND($Q174*$O174/100,2)</f>
        <v>23.75</v>
      </c>
    </row>
    <row r="175" customFormat="false" ht="15" hidden="false" customHeight="true" outlineLevel="0" collapsed="false">
      <c r="A175" s="20" t="s">
        <v>1627</v>
      </c>
      <c r="B175" s="20" t="s">
        <v>172</v>
      </c>
      <c r="C175" s="19" t="str">
        <f aca="false">IFERROR(INDEX('قائمة الوحدات'!$B$2:$B$41,MATCH($B175,'قائمة الوحدات'!$A$2:$A$41,0)),"")</f>
        <v>EXE</v>
      </c>
      <c r="D175" s="18" t="str">
        <f aca="false">IFERROR(INDEX('قائمة الوحدات'!$C$2:$C$41,MATCH($B175,'قائمة الوحدات'!$A$2:$A$41,0)),"")</f>
        <v>الشؤون التنفيذية</v>
      </c>
      <c r="E175" s="18" t="str">
        <f aca="false">IFERROR(INDEX('قائمة الوحدات'!$D$2:$D$41,MATCH($B175,'قائمة الوحدات'!$A$2:$A$41,0)),"")</f>
        <v>وكالة الشؤون الفنية</v>
      </c>
      <c r="F175" s="18" t="str">
        <f aca="false">IFERROR(INDEX('قائمة الوحدات'!$F$2:$F$41,MATCH($B175,'قائمة الوحدات'!$A$2:$A$41,0)),"")</f>
        <v>الإدارة العامة للسلامة والبيئة</v>
      </c>
      <c r="G175" s="20" t="s">
        <v>62</v>
      </c>
      <c r="H175" s="18" t="str">
        <f aca="false">IFERROR(INDEX(المرجع!$A$2:$A$19,MATCH($G175,المرجع!$B$2:$B$19,0)),"")</f>
        <v>البناء المؤسسي</v>
      </c>
      <c r="I175" s="20" t="s">
        <v>60</v>
      </c>
      <c r="J175" s="18" t="str">
        <f aca="false">IFERROR(INDEX(المرجع!$D$2:$D$19,MATCH($I175,المرجع!$E$2:$E$19,0)),"")</f>
        <v>الإجراءات</v>
      </c>
      <c r="K175" s="19" t="n">
        <f aca="false">IFERROR(INDEX(المرجع!$F$2:$F$19,MATCH($I175,المرجع!$E$2:$E$19,0)),"")</f>
        <v>6</v>
      </c>
      <c r="L175" s="19" t="n">
        <f aca="false">SUMIFS(المرجع!$H$2:$H$19,المرجع!$B$2:$B$19,$G175,المرجع!$E$2:$E$19,$I175)</f>
        <v>1</v>
      </c>
      <c r="M175" s="19" t="n">
        <f aca="false">COUNTIFS('المرتبطة بسمو الوزير'!$B$2:$B$151,$B175,'المرتبطة بسمو الوزير'!$G$2:$G$151,$G175,'المرتبطة بسمو الوزير'!$I$2:$I$151,$I175,'المرتبطة بسمو الوزير'!$M$2:$M$151,"&lt;&gt;")+COUNTIFS('الشؤون التنفيذية'!$B$2:$B$421,$B175,'الشؤون التنفيذية'!$G$2:$G$421,$G175,'الشؤون التنفيذية'!$I$2:$I$421,$I175,'الشؤون التنفيذية'!$N$2:$N$421,"&lt;&gt;")+COUNTIFS('الجهاز العسكري'!$B$2:$B$631,$B175,'الجهاز العسكري'!$G$2:$G$631,$G175,'الجهاز العسكري'!$I$2:$I$631,$I175,'الجهاز العسكري'!$M$2:$M$631,"&lt;&gt;")</f>
        <v>1</v>
      </c>
      <c r="N175" s="24" t="n">
        <f aca="false">IF($L175=0,0,ROUND((SUMIFS('المرتبطة بسمو الوزير'!$M$2:$M$151,'المرتبطة بسمو الوزير'!$B$2:$B$151,$B175,'المرتبطة بسمو الوزير'!$G$2:$G$151,$G175,'المرتبطة بسمو الوزير'!$I$2:$I$151,$I175)+SUMIFS('الشؤون التنفيذية'!$N$2:$N$421,'الشؤون التنفيذية'!$B$2:$B$421,$B175,'الشؤون التنفيذية'!$G$2:$G$421,$G175,'الشؤون التنفيذية'!$I$2:$I$421,$I175)+SUMIFS('الجهاز العسكري'!$M$2:$M$631,'الجهاز العسكري'!$B$2:$B$631,$B175,'الجهاز العسكري'!$G$2:$G$631,$G175,'الجهاز العسكري'!$I$2:$I$631,$I175))/$L175,0))</f>
        <v>57</v>
      </c>
      <c r="O175" s="25" t="n">
        <f aca="false">IF($L175=0,0,ROUND((SUMIFS('المرتبطة بسمو الوزير'!$N$2:$N$151,'المرتبطة بسمو الوزير'!$B$2:$B$151,$B175,'المرتبطة بسمو الوزير'!$G$2:$G$151,$G175,'المرتبطة بسمو الوزير'!$I$2:$I$151,$I175)+SUMIFS('الشؤون التنفيذية'!$O$2:$O$421,'الشؤون التنفيذية'!$B$2:$B$421,$B175,'الشؤون التنفيذية'!$G$2:$G$421,$G175,'الشؤون التنفيذية'!$I$2:$I$421,$I175)+SUMIFS('الجهاز العسكري'!$N$2:$N$631,'الجهاز العسكري'!$B$2:$B$631,$B175,'الجهاز العسكري'!$G$2:$G$631,$G175,'الجهاز العسكري'!$I$2:$I$631,$I175))/$L175,0))</f>
        <v>100</v>
      </c>
      <c r="P175" s="22"/>
      <c r="Q175" s="19" t="n">
        <f aca="false">SUMIFS(المرجع!$G$2:$G$19,المرجع!$B$2:$B$19,$G175,المرجع!$E$2:$E$19,$I175)</f>
        <v>5</v>
      </c>
      <c r="R175" s="26" t="n">
        <f aca="false">ROUND($Q175*$N175/100,2)</f>
        <v>2.85</v>
      </c>
      <c r="S175" s="27" t="str">
        <f aca="false">IF($N175&gt;المرجع!$K$3,"متقدم",IF($N175&lt;=المرجع!$K$2,"أولي","جزئي"))</f>
        <v>جزئي</v>
      </c>
      <c r="T175" s="28" t="n">
        <f aca="false">ROUND($Q175*$O175/100,2)</f>
        <v>5</v>
      </c>
    </row>
    <row r="176" customFormat="false" ht="15" hidden="false" customHeight="true" outlineLevel="0" collapsed="false">
      <c r="A176" s="20" t="s">
        <v>1628</v>
      </c>
      <c r="B176" s="20" t="s">
        <v>172</v>
      </c>
      <c r="C176" s="19" t="str">
        <f aca="false">IFERROR(INDEX('قائمة الوحدات'!$B$2:$B$41,MATCH($B176,'قائمة الوحدات'!$A$2:$A$41,0)),"")</f>
        <v>EXE</v>
      </c>
      <c r="D176" s="18" t="str">
        <f aca="false">IFERROR(INDEX('قائمة الوحدات'!$C$2:$C$41,MATCH($B176,'قائمة الوحدات'!$A$2:$A$41,0)),"")</f>
        <v>الشؤون التنفيذية</v>
      </c>
      <c r="E176" s="18" t="str">
        <f aca="false">IFERROR(INDEX('قائمة الوحدات'!$D$2:$D$41,MATCH($B176,'قائمة الوحدات'!$A$2:$A$41,0)),"")</f>
        <v>وكالة الشؤون الفنية</v>
      </c>
      <c r="F176" s="18" t="str">
        <f aca="false">IFERROR(INDEX('قائمة الوحدات'!$F$2:$F$41,MATCH($B176,'قائمة الوحدات'!$A$2:$A$41,0)),"")</f>
        <v>الإدارة العامة للسلامة والبيئة</v>
      </c>
      <c r="G176" s="20" t="s">
        <v>62</v>
      </c>
      <c r="H176" s="18" t="str">
        <f aca="false">IFERROR(INDEX(المرجع!$A$2:$A$19,MATCH($G176,المرجع!$B$2:$B$19,0)),"")</f>
        <v>البناء المؤسسي</v>
      </c>
      <c r="I176" s="20" t="s">
        <v>69</v>
      </c>
      <c r="J176" s="18" t="str">
        <f aca="false">IFERROR(INDEX(المرجع!$D$2:$D$19,MATCH($I176,المرجع!$E$2:$E$19,0)),"")</f>
        <v>إنتاج المخرج الأول</v>
      </c>
      <c r="K176" s="19" t="n">
        <f aca="false">IFERROR(INDEX(المرجع!$F$2:$F$19,MATCH($I176,المرجع!$E$2:$E$19,0)),"")</f>
        <v>7</v>
      </c>
      <c r="L176" s="19" t="n">
        <f aca="false">SUMIFS(المرجع!$H$2:$H$19,المرجع!$B$2:$B$19,$G176,المرجع!$E$2:$E$19,$I176)</f>
        <v>1</v>
      </c>
      <c r="M176" s="19" t="n">
        <f aca="false">COUNTIFS('المرتبطة بسمو الوزير'!$B$2:$B$151,$B176,'المرتبطة بسمو الوزير'!$G$2:$G$151,$G176,'المرتبطة بسمو الوزير'!$I$2:$I$151,$I176,'المرتبطة بسمو الوزير'!$M$2:$M$151,"&lt;&gt;")+COUNTIFS('الشؤون التنفيذية'!$B$2:$B$421,$B176,'الشؤون التنفيذية'!$G$2:$G$421,$G176,'الشؤون التنفيذية'!$I$2:$I$421,$I176,'الشؤون التنفيذية'!$N$2:$N$421,"&lt;&gt;")+COUNTIFS('الجهاز العسكري'!$B$2:$B$631,$B176,'الجهاز العسكري'!$G$2:$G$631,$G176,'الجهاز العسكري'!$I$2:$I$631,$I176,'الجهاز العسكري'!$M$2:$M$631,"&lt;&gt;")</f>
        <v>1</v>
      </c>
      <c r="N176" s="24" t="n">
        <f aca="false">IF($L176=0,0,ROUND((SUMIFS('المرتبطة بسمو الوزير'!$M$2:$M$151,'المرتبطة بسمو الوزير'!$B$2:$B$151,$B176,'المرتبطة بسمو الوزير'!$G$2:$G$151,$G176,'المرتبطة بسمو الوزير'!$I$2:$I$151,$I176)+SUMIFS('الشؤون التنفيذية'!$N$2:$N$421,'الشؤون التنفيذية'!$B$2:$B$421,$B176,'الشؤون التنفيذية'!$G$2:$G$421,$G176,'الشؤون التنفيذية'!$I$2:$I$421,$I176)+SUMIFS('الجهاز العسكري'!$M$2:$M$631,'الجهاز العسكري'!$B$2:$B$631,$B176,'الجهاز العسكري'!$G$2:$G$631,$G176,'الجهاز العسكري'!$I$2:$I$631,$I176))/$L176,0))</f>
        <v>46</v>
      </c>
      <c r="O176" s="25" t="n">
        <f aca="false">IF($L176=0,0,ROUND((SUMIFS('المرتبطة بسمو الوزير'!$N$2:$N$151,'المرتبطة بسمو الوزير'!$B$2:$B$151,$B176,'المرتبطة بسمو الوزير'!$G$2:$G$151,$G176,'المرتبطة بسمو الوزير'!$I$2:$I$151,$I176)+SUMIFS('الشؤون التنفيذية'!$O$2:$O$421,'الشؤون التنفيذية'!$B$2:$B$421,$B176,'الشؤون التنفيذية'!$G$2:$G$421,$G176,'الشؤون التنفيذية'!$I$2:$I$421,$I176)+SUMIFS('الجهاز العسكري'!$N$2:$N$631,'الجهاز العسكري'!$B$2:$B$631,$B176,'الجهاز العسكري'!$G$2:$G$631,$G176,'الجهاز العسكري'!$I$2:$I$631,$I176))/$L176,0))</f>
        <v>90</v>
      </c>
      <c r="P176" s="22"/>
      <c r="Q176" s="19" t="n">
        <f aca="false">SUMIFS(المرجع!$G$2:$G$19,المرجع!$B$2:$B$19,$G176,المرجع!$E$2:$E$19,$I176)</f>
        <v>5</v>
      </c>
      <c r="R176" s="26" t="n">
        <f aca="false">ROUND($Q176*$N176/100,2)</f>
        <v>2.3</v>
      </c>
      <c r="S176" s="27" t="str">
        <f aca="false">IF($N176&gt;المرجع!$K$3,"متقدم",IF($N176&lt;=المرجع!$K$2,"أولي","جزئي"))</f>
        <v>جزئي</v>
      </c>
      <c r="T176" s="28" t="n">
        <f aca="false">ROUND($Q176*$O176/100,2)</f>
        <v>4.5</v>
      </c>
    </row>
    <row r="177" customFormat="false" ht="15" hidden="false" customHeight="true" outlineLevel="0" collapsed="false">
      <c r="A177" s="20" t="s">
        <v>1629</v>
      </c>
      <c r="B177" s="20" t="s">
        <v>172</v>
      </c>
      <c r="C177" s="19" t="str">
        <f aca="false">IFERROR(INDEX('قائمة الوحدات'!$B$2:$B$41,MATCH($B177,'قائمة الوحدات'!$A$2:$A$41,0)),"")</f>
        <v>EXE</v>
      </c>
      <c r="D177" s="18" t="str">
        <f aca="false">IFERROR(INDEX('قائمة الوحدات'!$C$2:$C$41,MATCH($B177,'قائمة الوحدات'!$A$2:$A$41,0)),"")</f>
        <v>الشؤون التنفيذية</v>
      </c>
      <c r="E177" s="18" t="str">
        <f aca="false">IFERROR(INDEX('قائمة الوحدات'!$D$2:$D$41,MATCH($B177,'قائمة الوحدات'!$A$2:$A$41,0)),"")</f>
        <v>وكالة الشؤون الفنية</v>
      </c>
      <c r="F177" s="18" t="str">
        <f aca="false">IFERROR(INDEX('قائمة الوحدات'!$F$2:$F$41,MATCH($B177,'قائمة الوحدات'!$A$2:$A$41,0)),"")</f>
        <v>الإدارة العامة للسلامة والبيئة</v>
      </c>
      <c r="G177" s="20" t="s">
        <v>66</v>
      </c>
      <c r="H177" s="18" t="str">
        <f aca="false">IFERROR(INDEX(المرجع!$A$2:$A$19,MATCH($G177,المرجع!$B$2:$B$19,0)),"")</f>
        <v>التشغيل</v>
      </c>
      <c r="I177" s="20" t="s">
        <v>49</v>
      </c>
      <c r="J177" s="18" t="str">
        <f aca="false">IFERROR(INDEX(المرجع!$D$2:$D$19,MATCH($I177,المرجع!$E$2:$E$19,0)),"")</f>
        <v>الأهداف ومؤشرات الأداء</v>
      </c>
      <c r="K177" s="19" t="n">
        <f aca="false">IFERROR(INDEX(المرجع!$F$2:$F$19,MATCH($I177,المرجع!$E$2:$E$19,0)),"")</f>
        <v>2</v>
      </c>
      <c r="L177" s="19" t="n">
        <f aca="false">SUMIFS(المرجع!$H$2:$H$19,المرجع!$B$2:$B$19,$G177,المرجع!$E$2:$E$19,$I177)</f>
        <v>2</v>
      </c>
      <c r="M177" s="19" t="n">
        <f aca="false">COUNTIFS('المرتبطة بسمو الوزير'!$B$2:$B$151,$B177,'المرتبطة بسمو الوزير'!$G$2:$G$151,$G177,'المرتبطة بسمو الوزير'!$I$2:$I$151,$I177,'المرتبطة بسمو الوزير'!$M$2:$M$151,"&lt;&gt;")+COUNTIFS('الشؤون التنفيذية'!$B$2:$B$421,$B177,'الشؤون التنفيذية'!$G$2:$G$421,$G177,'الشؤون التنفيذية'!$I$2:$I$421,$I177,'الشؤون التنفيذية'!$N$2:$N$421,"&lt;&gt;")+COUNTIFS('الجهاز العسكري'!$B$2:$B$631,$B177,'الجهاز العسكري'!$G$2:$G$631,$G177,'الجهاز العسكري'!$I$2:$I$631,$I177,'الجهاز العسكري'!$M$2:$M$631,"&lt;&gt;")</f>
        <v>2</v>
      </c>
      <c r="N177" s="24" t="n">
        <f aca="false">IF($L177=0,0,ROUND((SUMIFS('المرتبطة بسمو الوزير'!$M$2:$M$151,'المرتبطة بسمو الوزير'!$B$2:$B$151,$B177,'المرتبطة بسمو الوزير'!$G$2:$G$151,$G177,'المرتبطة بسمو الوزير'!$I$2:$I$151,$I177)+SUMIFS('الشؤون التنفيذية'!$N$2:$N$421,'الشؤون التنفيذية'!$B$2:$B$421,$B177,'الشؤون التنفيذية'!$G$2:$G$421,$G177,'الشؤون التنفيذية'!$I$2:$I$421,$I177)+SUMIFS('الجهاز العسكري'!$M$2:$M$631,'الجهاز العسكري'!$B$2:$B$631,$B177,'الجهاز العسكري'!$G$2:$G$631,$G177,'الجهاز العسكري'!$I$2:$I$631,$I177))/$L177,0))</f>
        <v>40</v>
      </c>
      <c r="O177" s="25" t="n">
        <f aca="false">IF($L177=0,0,ROUND((SUMIFS('المرتبطة بسمو الوزير'!$N$2:$N$151,'المرتبطة بسمو الوزير'!$B$2:$B$151,$B177,'المرتبطة بسمو الوزير'!$G$2:$G$151,$G177,'المرتبطة بسمو الوزير'!$I$2:$I$151,$I177)+SUMIFS('الشؤون التنفيذية'!$O$2:$O$421,'الشؤون التنفيذية'!$B$2:$B$421,$B177,'الشؤون التنفيذية'!$G$2:$G$421,$G177,'الشؤون التنفيذية'!$I$2:$I$421,$I177)+SUMIFS('الجهاز العسكري'!$N$2:$N$631,'الجهاز العسكري'!$B$2:$B$631,$B177,'الجهاز العسكري'!$G$2:$G$631,$G177,'الجهاز العسكري'!$I$2:$I$631,$I177))/$L177,0))</f>
        <v>95</v>
      </c>
      <c r="P177" s="22"/>
      <c r="Q177" s="19" t="n">
        <f aca="false">SUMIFS(المرجع!$G$2:$G$19,المرجع!$B$2:$B$19,$G177,المرجع!$E$2:$E$19,$I177)</f>
        <v>25</v>
      </c>
      <c r="R177" s="26" t="n">
        <f aca="false">ROUND($Q177*$N177/100,2)</f>
        <v>10</v>
      </c>
      <c r="S177" s="27" t="str">
        <f aca="false">IF($N177&gt;المرجع!$K$3,"متقدم",IF($N177&lt;=المرجع!$K$2,"أولي","جزئي"))</f>
        <v>جزئي</v>
      </c>
      <c r="T177" s="28" t="n">
        <f aca="false">ROUND($Q177*$O177/100,2)</f>
        <v>23.75</v>
      </c>
    </row>
    <row r="178" customFormat="false" ht="15" hidden="false" customHeight="true" outlineLevel="0" collapsed="false">
      <c r="A178" s="20" t="s">
        <v>1630</v>
      </c>
      <c r="B178" s="20" t="s">
        <v>172</v>
      </c>
      <c r="C178" s="19" t="str">
        <f aca="false">IFERROR(INDEX('قائمة الوحدات'!$B$2:$B$41,MATCH($B178,'قائمة الوحدات'!$A$2:$A$41,0)),"")</f>
        <v>EXE</v>
      </c>
      <c r="D178" s="18" t="str">
        <f aca="false">IFERROR(INDEX('قائمة الوحدات'!$C$2:$C$41,MATCH($B178,'قائمة الوحدات'!$A$2:$A$41,0)),"")</f>
        <v>الشؤون التنفيذية</v>
      </c>
      <c r="E178" s="18" t="str">
        <f aca="false">IFERROR(INDEX('قائمة الوحدات'!$D$2:$D$41,MATCH($B178,'قائمة الوحدات'!$A$2:$A$41,0)),"")</f>
        <v>وكالة الشؤون الفنية</v>
      </c>
      <c r="F178" s="18" t="str">
        <f aca="false">IFERROR(INDEX('قائمة الوحدات'!$F$2:$F$41,MATCH($B178,'قائمة الوحدات'!$A$2:$A$41,0)),"")</f>
        <v>الإدارة العامة للسلامة والبيئة</v>
      </c>
      <c r="G178" s="20" t="s">
        <v>66</v>
      </c>
      <c r="H178" s="18" t="str">
        <f aca="false">IFERROR(INDEX(المرجع!$A$2:$A$19,MATCH($G178,المرجع!$B$2:$B$19,0)),"")</f>
        <v>التشغيل</v>
      </c>
      <c r="I178" s="20" t="s">
        <v>52</v>
      </c>
      <c r="J178" s="18" t="str">
        <f aca="false">IFERROR(INDEX(المرجع!$D$2:$D$19,MATCH($I178,المرجع!$E$2:$E$19,0)),"")</f>
        <v>الحوكمة</v>
      </c>
      <c r="K178" s="19" t="n">
        <f aca="false">IFERROR(INDEX(المرجع!$F$2:$F$19,MATCH($I178,المرجع!$E$2:$E$19,0)),"")</f>
        <v>3</v>
      </c>
      <c r="L178" s="19" t="n">
        <f aca="false">SUMIFS(المرجع!$H$2:$H$19,المرجع!$B$2:$B$19,$G178,المرجع!$E$2:$E$19,$I178)</f>
        <v>3</v>
      </c>
      <c r="M178" s="19" t="n">
        <f aca="false">COUNTIFS('المرتبطة بسمو الوزير'!$B$2:$B$151,$B178,'المرتبطة بسمو الوزير'!$G$2:$G$151,$G178,'المرتبطة بسمو الوزير'!$I$2:$I$151,$I178,'المرتبطة بسمو الوزير'!$M$2:$M$151,"&lt;&gt;")+COUNTIFS('الشؤون التنفيذية'!$B$2:$B$421,$B178,'الشؤون التنفيذية'!$G$2:$G$421,$G178,'الشؤون التنفيذية'!$I$2:$I$421,$I178,'الشؤون التنفيذية'!$N$2:$N$421,"&lt;&gt;")+COUNTIFS('الجهاز العسكري'!$B$2:$B$631,$B178,'الجهاز العسكري'!$G$2:$G$631,$G178,'الجهاز العسكري'!$I$2:$I$631,$I178,'الجهاز العسكري'!$M$2:$M$631,"&lt;&gt;")</f>
        <v>3</v>
      </c>
      <c r="N178" s="24" t="n">
        <f aca="false">IF($L178=0,0,ROUND((SUMIFS('المرتبطة بسمو الوزير'!$M$2:$M$151,'المرتبطة بسمو الوزير'!$B$2:$B$151,$B178,'المرتبطة بسمو الوزير'!$G$2:$G$151,$G178,'المرتبطة بسمو الوزير'!$I$2:$I$151,$I178)+SUMIFS('الشؤون التنفيذية'!$N$2:$N$421,'الشؤون التنفيذية'!$B$2:$B$421,$B178,'الشؤون التنفيذية'!$G$2:$G$421,$G178,'الشؤون التنفيذية'!$I$2:$I$421,$I178)+SUMIFS('الجهاز العسكري'!$M$2:$M$631,'الجهاز العسكري'!$B$2:$B$631,$B178,'الجهاز العسكري'!$G$2:$G$631,$G178,'الجهاز العسكري'!$I$2:$I$631,$I178))/$L178,0))</f>
        <v>33</v>
      </c>
      <c r="O178" s="25" t="n">
        <f aca="false">IF($L178=0,0,ROUND((SUMIFS('المرتبطة بسمو الوزير'!$N$2:$N$151,'المرتبطة بسمو الوزير'!$B$2:$B$151,$B178,'المرتبطة بسمو الوزير'!$G$2:$G$151,$G178,'المرتبطة بسمو الوزير'!$I$2:$I$151,$I178)+SUMIFS('الشؤون التنفيذية'!$O$2:$O$421,'الشؤون التنفيذية'!$B$2:$B$421,$B178,'الشؤون التنفيذية'!$G$2:$G$421,$G178,'الشؤون التنفيذية'!$I$2:$I$421,$I178)+SUMIFS('الجهاز العسكري'!$N$2:$N$631,'الجهاز العسكري'!$B$2:$B$631,$B178,'الجهاز العسكري'!$G$2:$G$631,$G178,'الجهاز العسكري'!$I$2:$I$631,$I178))/$L178,0))</f>
        <v>92</v>
      </c>
      <c r="P178" s="22"/>
      <c r="Q178" s="19" t="n">
        <f aca="false">SUMIFS(المرجع!$G$2:$G$19,المرجع!$B$2:$B$19,$G178,المرجع!$E$2:$E$19,$I178)</f>
        <v>15</v>
      </c>
      <c r="R178" s="26" t="n">
        <f aca="false">ROUND($Q178*$N178/100,2)</f>
        <v>4.95</v>
      </c>
      <c r="S178" s="27" t="str">
        <f aca="false">IF($N178&gt;المرجع!$K$3,"متقدم",IF($N178&lt;=المرجع!$K$2,"أولي","جزئي"))</f>
        <v>جزئي</v>
      </c>
      <c r="T178" s="28" t="n">
        <f aca="false">ROUND($Q178*$O178/100,2)</f>
        <v>13.8</v>
      </c>
    </row>
    <row r="179" customFormat="false" ht="15" hidden="false" customHeight="true" outlineLevel="0" collapsed="false">
      <c r="A179" s="20" t="s">
        <v>1631</v>
      </c>
      <c r="B179" s="20" t="s">
        <v>172</v>
      </c>
      <c r="C179" s="19" t="str">
        <f aca="false">IFERROR(INDEX('قائمة الوحدات'!$B$2:$B$41,MATCH($B179,'قائمة الوحدات'!$A$2:$A$41,0)),"")</f>
        <v>EXE</v>
      </c>
      <c r="D179" s="18" t="str">
        <f aca="false">IFERROR(INDEX('قائمة الوحدات'!$C$2:$C$41,MATCH($B179,'قائمة الوحدات'!$A$2:$A$41,0)),"")</f>
        <v>الشؤون التنفيذية</v>
      </c>
      <c r="E179" s="18" t="str">
        <f aca="false">IFERROR(INDEX('قائمة الوحدات'!$D$2:$D$41,MATCH($B179,'قائمة الوحدات'!$A$2:$A$41,0)),"")</f>
        <v>وكالة الشؤون الفنية</v>
      </c>
      <c r="F179" s="18" t="str">
        <f aca="false">IFERROR(INDEX('قائمة الوحدات'!$F$2:$F$41,MATCH($B179,'قائمة الوحدات'!$A$2:$A$41,0)),"")</f>
        <v>الإدارة العامة للسلامة والبيئة</v>
      </c>
      <c r="G179" s="20" t="s">
        <v>66</v>
      </c>
      <c r="H179" s="18" t="str">
        <f aca="false">IFERROR(INDEX(المرجع!$A$2:$A$19,MATCH($G179,المرجع!$B$2:$B$19,0)),"")</f>
        <v>التشغيل</v>
      </c>
      <c r="I179" s="20" t="s">
        <v>57</v>
      </c>
      <c r="J179" s="18" t="str">
        <f aca="false">IFERROR(INDEX(المرجع!$D$2:$D$19,MATCH($I179,المرجع!$E$2:$E$19,0)),"")</f>
        <v>الموارد</v>
      </c>
      <c r="K179" s="19" t="n">
        <f aca="false">IFERROR(INDEX(المرجع!$F$2:$F$19,MATCH($I179,المرجع!$E$2:$E$19,0)),"")</f>
        <v>5</v>
      </c>
      <c r="L179" s="19" t="n">
        <f aca="false">SUMIFS(المرجع!$H$2:$H$19,المرجع!$B$2:$B$19,$G179,المرجع!$E$2:$E$19,$I179)</f>
        <v>1</v>
      </c>
      <c r="M179" s="19" t="n">
        <f aca="false">COUNTIFS('المرتبطة بسمو الوزير'!$B$2:$B$151,$B179,'المرتبطة بسمو الوزير'!$G$2:$G$151,$G179,'المرتبطة بسمو الوزير'!$I$2:$I$151,$I179,'المرتبطة بسمو الوزير'!$M$2:$M$151,"&lt;&gt;")+COUNTIFS('الشؤون التنفيذية'!$B$2:$B$421,$B179,'الشؤون التنفيذية'!$G$2:$G$421,$G179,'الشؤون التنفيذية'!$I$2:$I$421,$I179,'الشؤون التنفيذية'!$N$2:$N$421,"&lt;&gt;")+COUNTIFS('الجهاز العسكري'!$B$2:$B$631,$B179,'الجهاز العسكري'!$G$2:$G$631,$G179,'الجهاز العسكري'!$I$2:$I$631,$I179,'الجهاز العسكري'!$M$2:$M$631,"&lt;&gt;")</f>
        <v>1</v>
      </c>
      <c r="N179" s="24" t="n">
        <f aca="false">IF($L179=0,0,ROUND((SUMIFS('المرتبطة بسمو الوزير'!$M$2:$M$151,'المرتبطة بسمو الوزير'!$B$2:$B$151,$B179,'المرتبطة بسمو الوزير'!$G$2:$G$151,$G179,'المرتبطة بسمو الوزير'!$I$2:$I$151,$I179)+SUMIFS('الشؤون التنفيذية'!$N$2:$N$421,'الشؤون التنفيذية'!$B$2:$B$421,$B179,'الشؤون التنفيذية'!$G$2:$G$421,$G179,'الشؤون التنفيذية'!$I$2:$I$421,$I179)+SUMIFS('الجهاز العسكري'!$M$2:$M$631,'الجهاز العسكري'!$B$2:$B$631,$B179,'الجهاز العسكري'!$G$2:$G$631,$G179,'الجهاز العسكري'!$I$2:$I$631,$I179))/$L179,0))</f>
        <v>31</v>
      </c>
      <c r="O179" s="25" t="n">
        <f aca="false">IF($L179=0,0,ROUND((SUMIFS('المرتبطة بسمو الوزير'!$N$2:$N$151,'المرتبطة بسمو الوزير'!$B$2:$B$151,$B179,'المرتبطة بسمو الوزير'!$G$2:$G$151,$G179,'المرتبطة بسمو الوزير'!$I$2:$I$151,$I179)+SUMIFS('الشؤون التنفيذية'!$O$2:$O$421,'الشؤون التنفيذية'!$B$2:$B$421,$B179,'الشؤون التنفيذية'!$G$2:$G$421,$G179,'الشؤون التنفيذية'!$I$2:$I$421,$I179)+SUMIFS('الجهاز العسكري'!$N$2:$N$631,'الجهاز العسكري'!$B$2:$B$631,$B179,'الجهاز العسكري'!$G$2:$G$631,$G179,'الجهاز العسكري'!$I$2:$I$631,$I179))/$L179,0))</f>
        <v>85</v>
      </c>
      <c r="P179" s="22"/>
      <c r="Q179" s="19" t="n">
        <f aca="false">SUMIFS(المرجع!$G$2:$G$19,المرجع!$B$2:$B$19,$G179,المرجع!$E$2:$E$19,$I179)</f>
        <v>15</v>
      </c>
      <c r="R179" s="26" t="n">
        <f aca="false">ROUND($Q179*$N179/100,2)</f>
        <v>4.65</v>
      </c>
      <c r="S179" s="27" t="str">
        <f aca="false">IF($N179&gt;المرجع!$K$3,"متقدم",IF($N179&lt;=المرجع!$K$2,"أولي","جزئي"))</f>
        <v>جزئي</v>
      </c>
      <c r="T179" s="28" t="n">
        <f aca="false">ROUND($Q179*$O179/100,2)</f>
        <v>12.75</v>
      </c>
    </row>
    <row r="180" customFormat="false" ht="15" hidden="false" customHeight="true" outlineLevel="0" collapsed="false">
      <c r="A180" s="20" t="s">
        <v>1632</v>
      </c>
      <c r="B180" s="20" t="s">
        <v>172</v>
      </c>
      <c r="C180" s="19" t="str">
        <f aca="false">IFERROR(INDEX('قائمة الوحدات'!$B$2:$B$41,MATCH($B180,'قائمة الوحدات'!$A$2:$A$41,0)),"")</f>
        <v>EXE</v>
      </c>
      <c r="D180" s="18" t="str">
        <f aca="false">IFERROR(INDEX('قائمة الوحدات'!$C$2:$C$41,MATCH($B180,'قائمة الوحدات'!$A$2:$A$41,0)),"")</f>
        <v>الشؤون التنفيذية</v>
      </c>
      <c r="E180" s="18" t="str">
        <f aca="false">IFERROR(INDEX('قائمة الوحدات'!$D$2:$D$41,MATCH($B180,'قائمة الوحدات'!$A$2:$A$41,0)),"")</f>
        <v>وكالة الشؤون الفنية</v>
      </c>
      <c r="F180" s="18" t="str">
        <f aca="false">IFERROR(INDEX('قائمة الوحدات'!$F$2:$F$41,MATCH($B180,'قائمة الوحدات'!$A$2:$A$41,0)),"")</f>
        <v>الإدارة العامة للسلامة والبيئة</v>
      </c>
      <c r="G180" s="20" t="s">
        <v>66</v>
      </c>
      <c r="H180" s="18" t="str">
        <f aca="false">IFERROR(INDEX(المرجع!$A$2:$A$19,MATCH($G180,المرجع!$B$2:$B$19,0)),"")</f>
        <v>التشغيل</v>
      </c>
      <c r="I180" s="20" t="s">
        <v>60</v>
      </c>
      <c r="J180" s="18" t="str">
        <f aca="false">IFERROR(INDEX(المرجع!$D$2:$D$19,MATCH($I180,المرجع!$E$2:$E$19,0)),"")</f>
        <v>الإجراءات</v>
      </c>
      <c r="K180" s="19" t="n">
        <f aca="false">IFERROR(INDEX(المرجع!$F$2:$F$19,MATCH($I180,المرجع!$E$2:$E$19,0)),"")</f>
        <v>6</v>
      </c>
      <c r="L180" s="19" t="n">
        <f aca="false">SUMIFS(المرجع!$H$2:$H$19,المرجع!$B$2:$B$19,$G180,المرجع!$E$2:$E$19,$I180)</f>
        <v>1</v>
      </c>
      <c r="M180" s="19" t="n">
        <f aca="false">COUNTIFS('المرتبطة بسمو الوزير'!$B$2:$B$151,$B180,'المرتبطة بسمو الوزير'!$G$2:$G$151,$G180,'المرتبطة بسمو الوزير'!$I$2:$I$151,$I180,'المرتبطة بسمو الوزير'!$M$2:$M$151,"&lt;&gt;")+COUNTIFS('الشؤون التنفيذية'!$B$2:$B$421,$B180,'الشؤون التنفيذية'!$G$2:$G$421,$G180,'الشؤون التنفيذية'!$I$2:$I$421,$I180,'الشؤون التنفيذية'!$N$2:$N$421,"&lt;&gt;")+COUNTIFS('الجهاز العسكري'!$B$2:$B$631,$B180,'الجهاز العسكري'!$G$2:$G$631,$G180,'الجهاز العسكري'!$I$2:$I$631,$I180,'الجهاز العسكري'!$M$2:$M$631,"&lt;&gt;")</f>
        <v>1</v>
      </c>
      <c r="N180" s="24" t="n">
        <f aca="false">IF($L180=0,0,ROUND((SUMIFS('المرتبطة بسمو الوزير'!$M$2:$M$151,'المرتبطة بسمو الوزير'!$B$2:$B$151,$B180,'المرتبطة بسمو الوزير'!$G$2:$G$151,$G180,'المرتبطة بسمو الوزير'!$I$2:$I$151,$I180)+SUMIFS('الشؤون التنفيذية'!$N$2:$N$421,'الشؤون التنفيذية'!$B$2:$B$421,$B180,'الشؤون التنفيذية'!$G$2:$G$421,$G180,'الشؤون التنفيذية'!$I$2:$I$421,$I180)+SUMIFS('الجهاز العسكري'!$M$2:$M$631,'الجهاز العسكري'!$B$2:$B$631,$B180,'الجهاز العسكري'!$G$2:$G$631,$G180,'الجهاز العسكري'!$I$2:$I$631,$I180))/$L180,0))</f>
        <v>57</v>
      </c>
      <c r="O180" s="25" t="n">
        <f aca="false">IF($L180=0,0,ROUND((SUMIFS('المرتبطة بسمو الوزير'!$N$2:$N$151,'المرتبطة بسمو الوزير'!$B$2:$B$151,$B180,'المرتبطة بسمو الوزير'!$G$2:$G$151,$G180,'المرتبطة بسمو الوزير'!$I$2:$I$151,$I180)+SUMIFS('الشؤون التنفيذية'!$O$2:$O$421,'الشؤون التنفيذية'!$B$2:$B$421,$B180,'الشؤون التنفيذية'!$G$2:$G$421,$G180,'الشؤون التنفيذية'!$I$2:$I$421,$I180)+SUMIFS('الجهاز العسكري'!$N$2:$N$631,'الجهاز العسكري'!$B$2:$B$631,$B180,'الجهاز العسكري'!$G$2:$G$631,$G180,'الجهاز العسكري'!$I$2:$I$631,$I180))/$L180,0))</f>
        <v>100</v>
      </c>
      <c r="P180" s="22"/>
      <c r="Q180" s="19" t="n">
        <f aca="false">SUMIFS(المرجع!$G$2:$G$19,المرجع!$B$2:$B$19,$G180,المرجع!$E$2:$E$19,$I180)</f>
        <v>15</v>
      </c>
      <c r="R180" s="26" t="n">
        <f aca="false">ROUND($Q180*$N180/100,2)</f>
        <v>8.55</v>
      </c>
      <c r="S180" s="27" t="str">
        <f aca="false">IF($N180&gt;المرجع!$K$3,"متقدم",IF($N180&lt;=المرجع!$K$2,"أولي","جزئي"))</f>
        <v>جزئي</v>
      </c>
      <c r="T180" s="28" t="n">
        <f aca="false">ROUND($Q180*$O180/100,2)</f>
        <v>15</v>
      </c>
    </row>
    <row r="181" customFormat="false" ht="15" hidden="false" customHeight="true" outlineLevel="0" collapsed="false">
      <c r="A181" s="20" t="s">
        <v>1633</v>
      </c>
      <c r="B181" s="20" t="s">
        <v>172</v>
      </c>
      <c r="C181" s="19" t="str">
        <f aca="false">IFERROR(INDEX('قائمة الوحدات'!$B$2:$B$41,MATCH($B181,'قائمة الوحدات'!$A$2:$A$41,0)),"")</f>
        <v>EXE</v>
      </c>
      <c r="D181" s="18" t="str">
        <f aca="false">IFERROR(INDEX('قائمة الوحدات'!$C$2:$C$41,MATCH($B181,'قائمة الوحدات'!$A$2:$A$41,0)),"")</f>
        <v>الشؤون التنفيذية</v>
      </c>
      <c r="E181" s="18" t="str">
        <f aca="false">IFERROR(INDEX('قائمة الوحدات'!$D$2:$D$41,MATCH($B181,'قائمة الوحدات'!$A$2:$A$41,0)),"")</f>
        <v>وكالة الشؤون الفنية</v>
      </c>
      <c r="F181" s="18" t="str">
        <f aca="false">IFERROR(INDEX('قائمة الوحدات'!$F$2:$F$41,MATCH($B181,'قائمة الوحدات'!$A$2:$A$41,0)),"")</f>
        <v>الإدارة العامة للسلامة والبيئة</v>
      </c>
      <c r="G181" s="20" t="s">
        <v>66</v>
      </c>
      <c r="H181" s="18" t="str">
        <f aca="false">IFERROR(INDEX(المرجع!$A$2:$A$19,MATCH($G181,المرجع!$B$2:$B$19,0)),"")</f>
        <v>التشغيل</v>
      </c>
      <c r="I181" s="20" t="s">
        <v>71</v>
      </c>
      <c r="J181" s="18" t="str">
        <f aca="false">IFERROR(INDEX(المرجع!$D$2:$D$19,MATCH($I181,المرجع!$E$2:$E$19,0)),"")</f>
        <v>اكتمال المخرجات المستهدفة</v>
      </c>
      <c r="K181" s="19" t="n">
        <f aca="false">IFERROR(INDEX(المرجع!$F$2:$F$19,MATCH($I181,المرجع!$E$2:$E$19,0)),"")</f>
        <v>8</v>
      </c>
      <c r="L181" s="19" t="n">
        <f aca="false">SUMIFS(المرجع!$H$2:$H$19,المرجع!$B$2:$B$19,$G181,المرجع!$E$2:$E$19,$I181)</f>
        <v>1</v>
      </c>
      <c r="M181" s="19" t="n">
        <f aca="false">COUNTIFS('المرتبطة بسمو الوزير'!$B$2:$B$151,$B181,'المرتبطة بسمو الوزير'!$G$2:$G$151,$G181,'المرتبطة بسمو الوزير'!$I$2:$I$151,$I181,'المرتبطة بسمو الوزير'!$M$2:$M$151,"&lt;&gt;")+COUNTIFS('الشؤون التنفيذية'!$B$2:$B$421,$B181,'الشؤون التنفيذية'!$G$2:$G$421,$G181,'الشؤون التنفيذية'!$I$2:$I$421,$I181,'الشؤون التنفيذية'!$N$2:$N$421,"&lt;&gt;")+COUNTIFS('الجهاز العسكري'!$B$2:$B$631,$B181,'الجهاز العسكري'!$G$2:$G$631,$G181,'الجهاز العسكري'!$I$2:$I$631,$I181,'الجهاز العسكري'!$M$2:$M$631,"&lt;&gt;")</f>
        <v>1</v>
      </c>
      <c r="N181" s="24" t="n">
        <f aca="false">IF($L181=0,0,ROUND((SUMIFS('المرتبطة بسمو الوزير'!$M$2:$M$151,'المرتبطة بسمو الوزير'!$B$2:$B$151,$B181,'المرتبطة بسمو الوزير'!$G$2:$G$151,$G181,'المرتبطة بسمو الوزير'!$I$2:$I$151,$I181)+SUMIFS('الشؤون التنفيذية'!$N$2:$N$421,'الشؤون التنفيذية'!$B$2:$B$421,$B181,'الشؤون التنفيذية'!$G$2:$G$421,$G181,'الشؤون التنفيذية'!$I$2:$I$421,$I181)+SUMIFS('الجهاز العسكري'!$M$2:$M$631,'الجهاز العسكري'!$B$2:$B$631,$B181,'الجهاز العسكري'!$G$2:$G$631,$G181,'الجهاز العسكري'!$I$2:$I$631,$I181))/$L181,0))</f>
        <v>31</v>
      </c>
      <c r="O181" s="25" t="n">
        <f aca="false">IF($L181=0,0,ROUND((SUMIFS('المرتبطة بسمو الوزير'!$N$2:$N$151,'المرتبطة بسمو الوزير'!$B$2:$B$151,$B181,'المرتبطة بسمو الوزير'!$G$2:$G$151,$G181,'المرتبطة بسمو الوزير'!$I$2:$I$151,$I181)+SUMIFS('الشؤون التنفيذية'!$O$2:$O$421,'الشؤون التنفيذية'!$B$2:$B$421,$B181,'الشؤون التنفيذية'!$G$2:$G$421,$G181,'الشؤون التنفيذية'!$I$2:$I$421,$I181)+SUMIFS('الجهاز العسكري'!$N$2:$N$631,'الجهاز العسكري'!$B$2:$B$631,$B181,'الجهاز العسكري'!$G$2:$G$631,$G181,'الجهاز العسكري'!$I$2:$I$631,$I181))/$L181,0))</f>
        <v>100</v>
      </c>
      <c r="P181" s="22"/>
      <c r="Q181" s="19" t="n">
        <f aca="false">SUMIFS(المرجع!$G$2:$G$19,المرجع!$B$2:$B$19,$G181,المرجع!$E$2:$E$19,$I181)</f>
        <v>30</v>
      </c>
      <c r="R181" s="26" t="n">
        <f aca="false">ROUND($Q181*$N181/100,2)</f>
        <v>9.3</v>
      </c>
      <c r="S181" s="27" t="str">
        <f aca="false">IF($N181&gt;المرجع!$K$3,"متقدم",IF($N181&lt;=المرجع!$K$2,"أولي","جزئي"))</f>
        <v>جزئي</v>
      </c>
      <c r="T181" s="28" t="n">
        <f aca="false">ROUND($Q181*$O181/100,2)</f>
        <v>30</v>
      </c>
    </row>
    <row r="182" customFormat="false" ht="15" hidden="false" customHeight="true" outlineLevel="0" collapsed="false">
      <c r="A182" s="20" t="s">
        <v>1634</v>
      </c>
      <c r="B182" s="20" t="s">
        <v>174</v>
      </c>
      <c r="C182" s="19" t="str">
        <f aca="false">IFERROR(INDEX('قائمة الوحدات'!$B$2:$B$41,MATCH($B182,'قائمة الوحدات'!$A$2:$A$41,0)),"")</f>
        <v>EXE</v>
      </c>
      <c r="D182" s="18" t="str">
        <f aca="false">IFERROR(INDEX('قائمة الوحدات'!$C$2:$C$41,MATCH($B182,'قائمة الوحدات'!$A$2:$A$41,0)),"")</f>
        <v>الشؤون التنفيذية</v>
      </c>
      <c r="E182" s="18" t="str">
        <f aca="false">IFERROR(INDEX('قائمة الوحدات'!$D$2:$D$41,MATCH($B182,'قائمة الوحدات'!$A$2:$A$41,0)),"")</f>
        <v>وكالة الشؤون الفنية</v>
      </c>
      <c r="F182" s="18" t="str">
        <f aca="false">IFERROR(INDEX('قائمة الوحدات'!$F$2:$F$41,MATCH($B182,'قائمة الوحدات'!$A$2:$A$41,0)),"")</f>
        <v>الإدارة العامة للأصول والمرافق</v>
      </c>
      <c r="G182" s="20" t="s">
        <v>44</v>
      </c>
      <c r="H182" s="18" t="str">
        <f aca="false">IFERROR(INDEX(المرجع!$A$2:$A$19,MATCH($G182,المرجع!$B$2:$B$19,0)),"")</f>
        <v>التصميم</v>
      </c>
      <c r="I182" s="20" t="s">
        <v>46</v>
      </c>
      <c r="J182" s="18" t="str">
        <f aca="false">IFERROR(INDEX(المرجع!$D$2:$D$19,MATCH($I182,المرجع!$E$2:$E$19,0)),"")</f>
        <v>الدور</v>
      </c>
      <c r="K182" s="19" t="n">
        <f aca="false">IFERROR(INDEX(المرجع!$F$2:$F$19,MATCH($I182,المرجع!$E$2:$E$19,0)),"")</f>
        <v>1</v>
      </c>
      <c r="L182" s="19" t="n">
        <f aca="false">SUMIFS(المرجع!$H$2:$H$19,المرجع!$B$2:$B$19,$G182,المرجع!$E$2:$E$19,$I182)</f>
        <v>1</v>
      </c>
      <c r="M182" s="19" t="n">
        <f aca="false">COUNTIFS('المرتبطة بسمو الوزير'!$B$2:$B$151,$B182,'المرتبطة بسمو الوزير'!$G$2:$G$151,$G182,'المرتبطة بسمو الوزير'!$I$2:$I$151,$I182,'المرتبطة بسمو الوزير'!$M$2:$M$151,"&lt;&gt;")+COUNTIFS('الشؤون التنفيذية'!$B$2:$B$421,$B182,'الشؤون التنفيذية'!$G$2:$G$421,$G182,'الشؤون التنفيذية'!$I$2:$I$421,$I182,'الشؤون التنفيذية'!$N$2:$N$421,"&lt;&gt;")+COUNTIFS('الجهاز العسكري'!$B$2:$B$631,$B182,'الجهاز العسكري'!$G$2:$G$631,$G182,'الجهاز العسكري'!$I$2:$I$631,$I182,'الجهاز العسكري'!$M$2:$M$631,"&lt;&gt;")</f>
        <v>1</v>
      </c>
      <c r="N182" s="24" t="n">
        <f aca="false">IF($L182=0,0,ROUND((SUMIFS('المرتبطة بسمو الوزير'!$M$2:$M$151,'المرتبطة بسمو الوزير'!$B$2:$B$151,$B182,'المرتبطة بسمو الوزير'!$G$2:$G$151,$G182,'المرتبطة بسمو الوزير'!$I$2:$I$151,$I182)+SUMIFS('الشؤون التنفيذية'!$N$2:$N$421,'الشؤون التنفيذية'!$B$2:$B$421,$B182,'الشؤون التنفيذية'!$G$2:$G$421,$G182,'الشؤون التنفيذية'!$I$2:$I$421,$I182)+SUMIFS('الجهاز العسكري'!$M$2:$M$631,'الجهاز العسكري'!$B$2:$B$631,$B182,'الجهاز العسكري'!$G$2:$G$631,$G182,'الجهاز العسكري'!$I$2:$I$631,$I182))/$L182,0))</f>
        <v>91</v>
      </c>
      <c r="O182" s="25" t="n">
        <f aca="false">IF($L182=0,0,ROUND((SUMIFS('المرتبطة بسمو الوزير'!$N$2:$N$151,'المرتبطة بسمو الوزير'!$B$2:$B$151,$B182,'المرتبطة بسمو الوزير'!$G$2:$G$151,$G182,'المرتبطة بسمو الوزير'!$I$2:$I$151,$I182)+SUMIFS('الشؤون التنفيذية'!$O$2:$O$421,'الشؤون التنفيذية'!$B$2:$B$421,$B182,'الشؤون التنفيذية'!$G$2:$G$421,$G182,'الشؤون التنفيذية'!$I$2:$I$421,$I182)+SUMIFS('الجهاز العسكري'!$N$2:$N$631,'الجهاز العسكري'!$B$2:$B$631,$B182,'الجهاز العسكري'!$G$2:$G$631,$G182,'الجهاز العسكري'!$I$2:$I$631,$I182))/$L182,0))</f>
        <v>100</v>
      </c>
      <c r="P182" s="22"/>
      <c r="Q182" s="19" t="n">
        <f aca="false">SUMIFS(المرجع!$G$2:$G$19,المرجع!$B$2:$B$19,$G182,المرجع!$E$2:$E$19,$I182)</f>
        <v>25</v>
      </c>
      <c r="R182" s="26" t="n">
        <f aca="false">ROUND($Q182*$N182/100,2)</f>
        <v>22.75</v>
      </c>
      <c r="S182" s="27" t="str">
        <f aca="false">IF($N182&gt;المرجع!$K$3,"متقدم",IF($N182&lt;=المرجع!$K$2,"أولي","جزئي"))</f>
        <v>متقدم</v>
      </c>
      <c r="T182" s="28" t="n">
        <f aca="false">ROUND($Q182*$O182/100,2)</f>
        <v>25</v>
      </c>
    </row>
    <row r="183" customFormat="false" ht="15" hidden="false" customHeight="true" outlineLevel="0" collapsed="false">
      <c r="A183" s="20" t="s">
        <v>1635</v>
      </c>
      <c r="B183" s="20" t="s">
        <v>174</v>
      </c>
      <c r="C183" s="19" t="str">
        <f aca="false">IFERROR(INDEX('قائمة الوحدات'!$B$2:$B$41,MATCH($B183,'قائمة الوحدات'!$A$2:$A$41,0)),"")</f>
        <v>EXE</v>
      </c>
      <c r="D183" s="18" t="str">
        <f aca="false">IFERROR(INDEX('قائمة الوحدات'!$C$2:$C$41,MATCH($B183,'قائمة الوحدات'!$A$2:$A$41,0)),"")</f>
        <v>الشؤون التنفيذية</v>
      </c>
      <c r="E183" s="18" t="str">
        <f aca="false">IFERROR(INDEX('قائمة الوحدات'!$D$2:$D$41,MATCH($B183,'قائمة الوحدات'!$A$2:$A$41,0)),"")</f>
        <v>وكالة الشؤون الفنية</v>
      </c>
      <c r="F183" s="18" t="str">
        <f aca="false">IFERROR(INDEX('قائمة الوحدات'!$F$2:$F$41,MATCH($B183,'قائمة الوحدات'!$A$2:$A$41,0)),"")</f>
        <v>الإدارة العامة للأصول والمرافق</v>
      </c>
      <c r="G183" s="20" t="s">
        <v>44</v>
      </c>
      <c r="H183" s="18" t="str">
        <f aca="false">IFERROR(INDEX(المرجع!$A$2:$A$19,MATCH($G183,المرجع!$B$2:$B$19,0)),"")</f>
        <v>التصميم</v>
      </c>
      <c r="I183" s="20" t="s">
        <v>49</v>
      </c>
      <c r="J183" s="18" t="str">
        <f aca="false">IFERROR(INDEX(المرجع!$D$2:$D$19,MATCH($I183,المرجع!$E$2:$E$19,0)),"")</f>
        <v>الأهداف ومؤشرات الأداء</v>
      </c>
      <c r="K183" s="19" t="n">
        <f aca="false">IFERROR(INDEX(المرجع!$F$2:$F$19,MATCH($I183,المرجع!$E$2:$E$19,0)),"")</f>
        <v>2</v>
      </c>
      <c r="L183" s="19" t="n">
        <f aca="false">SUMIFS(المرجع!$H$2:$H$19,المرجع!$B$2:$B$19,$G183,المرجع!$E$2:$E$19,$I183)</f>
        <v>2</v>
      </c>
      <c r="M183" s="19" t="n">
        <f aca="false">COUNTIFS('المرتبطة بسمو الوزير'!$B$2:$B$151,$B183,'المرتبطة بسمو الوزير'!$G$2:$G$151,$G183,'المرتبطة بسمو الوزير'!$I$2:$I$151,$I183,'المرتبطة بسمو الوزير'!$M$2:$M$151,"&lt;&gt;")+COUNTIFS('الشؤون التنفيذية'!$B$2:$B$421,$B183,'الشؤون التنفيذية'!$G$2:$G$421,$G183,'الشؤون التنفيذية'!$I$2:$I$421,$I183,'الشؤون التنفيذية'!$N$2:$N$421,"&lt;&gt;")+COUNTIFS('الجهاز العسكري'!$B$2:$B$631,$B183,'الجهاز العسكري'!$G$2:$G$631,$G183,'الجهاز العسكري'!$I$2:$I$631,$I183,'الجهاز العسكري'!$M$2:$M$631,"&lt;&gt;")</f>
        <v>2</v>
      </c>
      <c r="N183" s="24" t="n">
        <f aca="false">IF($L183=0,0,ROUND((SUMIFS('المرتبطة بسمو الوزير'!$M$2:$M$151,'المرتبطة بسمو الوزير'!$B$2:$B$151,$B183,'المرتبطة بسمو الوزير'!$G$2:$G$151,$G183,'المرتبطة بسمو الوزير'!$I$2:$I$151,$I183)+SUMIFS('الشؤون التنفيذية'!$N$2:$N$421,'الشؤون التنفيذية'!$B$2:$B$421,$B183,'الشؤون التنفيذية'!$G$2:$G$421,$G183,'الشؤون التنفيذية'!$I$2:$I$421,$I183)+SUMIFS('الجهاز العسكري'!$M$2:$M$631,'الجهاز العسكري'!$B$2:$B$631,$B183,'الجهاز العسكري'!$G$2:$G$631,$G183,'الجهاز العسكري'!$I$2:$I$631,$I183))/$L183,0))</f>
        <v>73</v>
      </c>
      <c r="O183" s="25" t="n">
        <f aca="false">IF($L183=0,0,ROUND((SUMIFS('المرتبطة بسمو الوزير'!$N$2:$N$151,'المرتبطة بسمو الوزير'!$B$2:$B$151,$B183,'المرتبطة بسمو الوزير'!$G$2:$G$151,$G183,'المرتبطة بسمو الوزير'!$I$2:$I$151,$I183)+SUMIFS('الشؤون التنفيذية'!$O$2:$O$421,'الشؤون التنفيذية'!$B$2:$B$421,$B183,'الشؤون التنفيذية'!$G$2:$G$421,$G183,'الشؤون التنفيذية'!$I$2:$I$421,$I183)+SUMIFS('الجهاز العسكري'!$N$2:$N$631,'الجهاز العسكري'!$B$2:$B$631,$B183,'الجهاز العسكري'!$G$2:$G$631,$G183,'الجهاز العسكري'!$I$2:$I$631,$I183))/$L183,0))</f>
        <v>95</v>
      </c>
      <c r="P183" s="22"/>
      <c r="Q183" s="19" t="n">
        <f aca="false">SUMIFS(المرجع!$G$2:$G$19,المرجع!$B$2:$B$19,$G183,المرجع!$E$2:$E$19,$I183)</f>
        <v>15</v>
      </c>
      <c r="R183" s="26" t="n">
        <f aca="false">ROUND($Q183*$N183/100,2)</f>
        <v>10.95</v>
      </c>
      <c r="S183" s="27" t="str">
        <f aca="false">IF($N183&gt;المرجع!$K$3,"متقدم",IF($N183&lt;=المرجع!$K$2,"أولي","جزئي"))</f>
        <v>متقدم</v>
      </c>
      <c r="T183" s="28" t="n">
        <f aca="false">ROUND($Q183*$O183/100,2)</f>
        <v>14.25</v>
      </c>
    </row>
    <row r="184" customFormat="false" ht="15" hidden="false" customHeight="true" outlineLevel="0" collapsed="false">
      <c r="A184" s="20" t="s">
        <v>1636</v>
      </c>
      <c r="B184" s="20" t="s">
        <v>174</v>
      </c>
      <c r="C184" s="19" t="str">
        <f aca="false">IFERROR(INDEX('قائمة الوحدات'!$B$2:$B$41,MATCH($B184,'قائمة الوحدات'!$A$2:$A$41,0)),"")</f>
        <v>EXE</v>
      </c>
      <c r="D184" s="18" t="str">
        <f aca="false">IFERROR(INDEX('قائمة الوحدات'!$C$2:$C$41,MATCH($B184,'قائمة الوحدات'!$A$2:$A$41,0)),"")</f>
        <v>الشؤون التنفيذية</v>
      </c>
      <c r="E184" s="18" t="str">
        <f aca="false">IFERROR(INDEX('قائمة الوحدات'!$D$2:$D$41,MATCH($B184,'قائمة الوحدات'!$A$2:$A$41,0)),"")</f>
        <v>وكالة الشؤون الفنية</v>
      </c>
      <c r="F184" s="18" t="str">
        <f aca="false">IFERROR(INDEX('قائمة الوحدات'!$F$2:$F$41,MATCH($B184,'قائمة الوحدات'!$A$2:$A$41,0)),"")</f>
        <v>الإدارة العامة للأصول والمرافق</v>
      </c>
      <c r="G184" s="20" t="s">
        <v>44</v>
      </c>
      <c r="H184" s="18" t="str">
        <f aca="false">IFERROR(INDEX(المرجع!$A$2:$A$19,MATCH($G184,المرجع!$B$2:$B$19,0)),"")</f>
        <v>التصميم</v>
      </c>
      <c r="I184" s="20" t="s">
        <v>52</v>
      </c>
      <c r="J184" s="18" t="str">
        <f aca="false">IFERROR(INDEX(المرجع!$D$2:$D$19,MATCH($I184,المرجع!$E$2:$E$19,0)),"")</f>
        <v>الحوكمة</v>
      </c>
      <c r="K184" s="19" t="n">
        <f aca="false">IFERROR(INDEX(المرجع!$F$2:$F$19,MATCH($I184,المرجع!$E$2:$E$19,0)),"")</f>
        <v>3</v>
      </c>
      <c r="L184" s="19" t="n">
        <f aca="false">SUMIFS(المرجع!$H$2:$H$19,المرجع!$B$2:$B$19,$G184,المرجع!$E$2:$E$19,$I184)</f>
        <v>1</v>
      </c>
      <c r="M184" s="19" t="n">
        <f aca="false">COUNTIFS('المرتبطة بسمو الوزير'!$B$2:$B$151,$B184,'المرتبطة بسمو الوزير'!$G$2:$G$151,$G184,'المرتبطة بسمو الوزير'!$I$2:$I$151,$I184,'المرتبطة بسمو الوزير'!$M$2:$M$151,"&lt;&gt;")+COUNTIFS('الشؤون التنفيذية'!$B$2:$B$421,$B184,'الشؤون التنفيذية'!$G$2:$G$421,$G184,'الشؤون التنفيذية'!$I$2:$I$421,$I184,'الشؤون التنفيذية'!$N$2:$N$421,"&lt;&gt;")+COUNTIFS('الجهاز العسكري'!$B$2:$B$631,$B184,'الجهاز العسكري'!$G$2:$G$631,$G184,'الجهاز العسكري'!$I$2:$I$631,$I184,'الجهاز العسكري'!$M$2:$M$631,"&lt;&gt;")</f>
        <v>1</v>
      </c>
      <c r="N184" s="24" t="n">
        <f aca="false">IF($L184=0,0,ROUND((SUMIFS('المرتبطة بسمو الوزير'!$M$2:$M$151,'المرتبطة بسمو الوزير'!$B$2:$B$151,$B184,'المرتبطة بسمو الوزير'!$G$2:$G$151,$G184,'المرتبطة بسمو الوزير'!$I$2:$I$151,$I184)+SUMIFS('الشؤون التنفيذية'!$N$2:$N$421,'الشؤون التنفيذية'!$B$2:$B$421,$B184,'الشؤون التنفيذية'!$G$2:$G$421,$G184,'الشؤون التنفيذية'!$I$2:$I$421,$I184)+SUMIFS('الجهاز العسكري'!$M$2:$M$631,'الجهاز العسكري'!$B$2:$B$631,$B184,'الجهاز العسكري'!$G$2:$G$631,$G184,'الجهاز العسكري'!$I$2:$I$631,$I184))/$L184,0))</f>
        <v>71</v>
      </c>
      <c r="O184" s="25" t="n">
        <f aca="false">IF($L184=0,0,ROUND((SUMIFS('المرتبطة بسمو الوزير'!$N$2:$N$151,'المرتبطة بسمو الوزير'!$B$2:$B$151,$B184,'المرتبطة بسمو الوزير'!$G$2:$G$151,$G184,'المرتبطة بسمو الوزير'!$I$2:$I$151,$I184)+SUMIFS('الشؤون التنفيذية'!$O$2:$O$421,'الشؤون التنفيذية'!$B$2:$B$421,$B184,'الشؤون التنفيذية'!$G$2:$G$421,$G184,'الشؤون التنفيذية'!$I$2:$I$421,$I184)+SUMIFS('الجهاز العسكري'!$N$2:$N$631,'الجهاز العسكري'!$B$2:$B$631,$B184,'الجهاز العسكري'!$G$2:$G$631,$G184,'الجهاز العسكري'!$I$2:$I$631,$I184))/$L184,0))</f>
        <v>100</v>
      </c>
      <c r="P184" s="22"/>
      <c r="Q184" s="19" t="n">
        <f aca="false">SUMIFS(المرجع!$G$2:$G$19,المرجع!$B$2:$B$19,$G184,المرجع!$E$2:$E$19,$I184)</f>
        <v>15</v>
      </c>
      <c r="R184" s="26" t="n">
        <f aca="false">ROUND($Q184*$N184/100,2)</f>
        <v>10.65</v>
      </c>
      <c r="S184" s="27" t="str">
        <f aca="false">IF($N184&gt;المرجع!$K$3,"متقدم",IF($N184&lt;=المرجع!$K$2,"أولي","جزئي"))</f>
        <v>متقدم</v>
      </c>
      <c r="T184" s="28" t="n">
        <f aca="false">ROUND($Q184*$O184/100,2)</f>
        <v>15</v>
      </c>
    </row>
    <row r="185" customFormat="false" ht="15" hidden="false" customHeight="true" outlineLevel="0" collapsed="false">
      <c r="A185" s="20" t="s">
        <v>1637</v>
      </c>
      <c r="B185" s="20" t="s">
        <v>174</v>
      </c>
      <c r="C185" s="19" t="str">
        <f aca="false">IFERROR(INDEX('قائمة الوحدات'!$B$2:$B$41,MATCH($B185,'قائمة الوحدات'!$A$2:$A$41,0)),"")</f>
        <v>EXE</v>
      </c>
      <c r="D185" s="18" t="str">
        <f aca="false">IFERROR(INDEX('قائمة الوحدات'!$C$2:$C$41,MATCH($B185,'قائمة الوحدات'!$A$2:$A$41,0)),"")</f>
        <v>الشؤون التنفيذية</v>
      </c>
      <c r="E185" s="18" t="str">
        <f aca="false">IFERROR(INDEX('قائمة الوحدات'!$D$2:$D$41,MATCH($B185,'قائمة الوحدات'!$A$2:$A$41,0)),"")</f>
        <v>وكالة الشؤون الفنية</v>
      </c>
      <c r="F185" s="18" t="str">
        <f aca="false">IFERROR(INDEX('قائمة الوحدات'!$F$2:$F$41,MATCH($B185,'قائمة الوحدات'!$A$2:$A$41,0)),"")</f>
        <v>الإدارة العامة للأصول والمرافق</v>
      </c>
      <c r="G185" s="20" t="s">
        <v>44</v>
      </c>
      <c r="H185" s="18" t="str">
        <f aca="false">IFERROR(INDEX(المرجع!$A$2:$A$19,MATCH($G185,المرجع!$B$2:$B$19,0)),"")</f>
        <v>التصميم</v>
      </c>
      <c r="I185" s="20" t="s">
        <v>55</v>
      </c>
      <c r="J185" s="18" t="str">
        <f aca="false">IFERROR(INDEX(المرجع!$D$2:$D$19,MATCH($I185,المرجع!$E$2:$E$19,0)),"")</f>
        <v>التنظيم</v>
      </c>
      <c r="K185" s="19" t="n">
        <f aca="false">IFERROR(INDEX(المرجع!$F$2:$F$19,MATCH($I185,المرجع!$E$2:$E$19,0)),"")</f>
        <v>4</v>
      </c>
      <c r="L185" s="19" t="n">
        <f aca="false">SUMIFS(المرجع!$H$2:$H$19,المرجع!$B$2:$B$19,$G185,المرجع!$E$2:$E$19,$I185)</f>
        <v>1</v>
      </c>
      <c r="M185" s="19" t="n">
        <f aca="false">COUNTIFS('المرتبطة بسمو الوزير'!$B$2:$B$151,$B185,'المرتبطة بسمو الوزير'!$G$2:$G$151,$G185,'المرتبطة بسمو الوزير'!$I$2:$I$151,$I185,'المرتبطة بسمو الوزير'!$M$2:$M$151,"&lt;&gt;")+COUNTIFS('الشؤون التنفيذية'!$B$2:$B$421,$B185,'الشؤون التنفيذية'!$G$2:$G$421,$G185,'الشؤون التنفيذية'!$I$2:$I$421,$I185,'الشؤون التنفيذية'!$N$2:$N$421,"&lt;&gt;")+COUNTIFS('الجهاز العسكري'!$B$2:$B$631,$B185,'الجهاز العسكري'!$G$2:$G$631,$G185,'الجهاز العسكري'!$I$2:$I$631,$I185,'الجهاز العسكري'!$M$2:$M$631,"&lt;&gt;")</f>
        <v>1</v>
      </c>
      <c r="N185" s="24" t="n">
        <f aca="false">IF($L185=0,0,ROUND((SUMIFS('المرتبطة بسمو الوزير'!$M$2:$M$151,'المرتبطة بسمو الوزير'!$B$2:$B$151,$B185,'المرتبطة بسمو الوزير'!$G$2:$G$151,$G185,'المرتبطة بسمو الوزير'!$I$2:$I$151,$I185)+SUMIFS('الشؤون التنفيذية'!$N$2:$N$421,'الشؤون التنفيذية'!$B$2:$B$421,$B185,'الشؤون التنفيذية'!$G$2:$G$421,$G185,'الشؤون التنفيذية'!$I$2:$I$421,$I185)+SUMIFS('الجهاز العسكري'!$M$2:$M$631,'الجهاز العسكري'!$B$2:$B$631,$B185,'الجهاز العسكري'!$G$2:$G$631,$G185,'الجهاز العسكري'!$I$2:$I$631,$I185))/$L185,0))</f>
        <v>68</v>
      </c>
      <c r="O185" s="25" t="n">
        <f aca="false">IF($L185=0,0,ROUND((SUMIFS('المرتبطة بسمو الوزير'!$N$2:$N$151,'المرتبطة بسمو الوزير'!$B$2:$B$151,$B185,'المرتبطة بسمو الوزير'!$G$2:$G$151,$G185,'المرتبطة بسمو الوزير'!$I$2:$I$151,$I185)+SUMIFS('الشؤون التنفيذية'!$O$2:$O$421,'الشؤون التنفيذية'!$B$2:$B$421,$B185,'الشؤون التنفيذية'!$G$2:$G$421,$G185,'الشؤون التنفيذية'!$I$2:$I$421,$I185)+SUMIFS('الجهاز العسكري'!$N$2:$N$631,'الجهاز العسكري'!$B$2:$B$631,$B185,'الجهاز العسكري'!$G$2:$G$631,$G185,'الجهاز العسكري'!$I$2:$I$631,$I185))/$L185,0))</f>
        <v>85</v>
      </c>
      <c r="P185" s="22"/>
      <c r="Q185" s="19" t="n">
        <f aca="false">SUMIFS(المرجع!$G$2:$G$19,المرجع!$B$2:$B$19,$G185,المرجع!$E$2:$E$19,$I185)</f>
        <v>20</v>
      </c>
      <c r="R185" s="26" t="n">
        <f aca="false">ROUND($Q185*$N185/100,2)</f>
        <v>13.6</v>
      </c>
      <c r="S185" s="27" t="str">
        <f aca="false">IF($N185&gt;المرجع!$K$3,"متقدم",IF($N185&lt;=المرجع!$K$2,"أولي","جزئي"))</f>
        <v>جزئي</v>
      </c>
      <c r="T185" s="28" t="n">
        <f aca="false">ROUND($Q185*$O185/100,2)</f>
        <v>17</v>
      </c>
    </row>
    <row r="186" customFormat="false" ht="15" hidden="false" customHeight="true" outlineLevel="0" collapsed="false">
      <c r="A186" s="20" t="s">
        <v>1638</v>
      </c>
      <c r="B186" s="20" t="s">
        <v>174</v>
      </c>
      <c r="C186" s="19" t="str">
        <f aca="false">IFERROR(INDEX('قائمة الوحدات'!$B$2:$B$41,MATCH($B186,'قائمة الوحدات'!$A$2:$A$41,0)),"")</f>
        <v>EXE</v>
      </c>
      <c r="D186" s="18" t="str">
        <f aca="false">IFERROR(INDEX('قائمة الوحدات'!$C$2:$C$41,MATCH($B186,'قائمة الوحدات'!$A$2:$A$41,0)),"")</f>
        <v>الشؤون التنفيذية</v>
      </c>
      <c r="E186" s="18" t="str">
        <f aca="false">IFERROR(INDEX('قائمة الوحدات'!$D$2:$D$41,MATCH($B186,'قائمة الوحدات'!$A$2:$A$41,0)),"")</f>
        <v>وكالة الشؤون الفنية</v>
      </c>
      <c r="F186" s="18" t="str">
        <f aca="false">IFERROR(INDEX('قائمة الوحدات'!$F$2:$F$41,MATCH($B186,'قائمة الوحدات'!$A$2:$A$41,0)),"")</f>
        <v>الإدارة العامة للأصول والمرافق</v>
      </c>
      <c r="G186" s="20" t="s">
        <v>44</v>
      </c>
      <c r="H186" s="18" t="str">
        <f aca="false">IFERROR(INDEX(المرجع!$A$2:$A$19,MATCH($G186,المرجع!$B$2:$B$19,0)),"")</f>
        <v>التصميم</v>
      </c>
      <c r="I186" s="20" t="s">
        <v>57</v>
      </c>
      <c r="J186" s="18" t="str">
        <f aca="false">IFERROR(INDEX(المرجع!$D$2:$D$19,MATCH($I186,المرجع!$E$2:$E$19,0)),"")</f>
        <v>الموارد</v>
      </c>
      <c r="K186" s="19" t="n">
        <f aca="false">IFERROR(INDEX(المرجع!$F$2:$F$19,MATCH($I186,المرجع!$E$2:$E$19,0)),"")</f>
        <v>5</v>
      </c>
      <c r="L186" s="19" t="n">
        <f aca="false">SUMIFS(المرجع!$H$2:$H$19,المرجع!$B$2:$B$19,$G186,المرجع!$E$2:$E$19,$I186)</f>
        <v>1</v>
      </c>
      <c r="M186" s="19" t="n">
        <f aca="false">COUNTIFS('المرتبطة بسمو الوزير'!$B$2:$B$151,$B186,'المرتبطة بسمو الوزير'!$G$2:$G$151,$G186,'المرتبطة بسمو الوزير'!$I$2:$I$151,$I186,'المرتبطة بسمو الوزير'!$M$2:$M$151,"&lt;&gt;")+COUNTIFS('الشؤون التنفيذية'!$B$2:$B$421,$B186,'الشؤون التنفيذية'!$G$2:$G$421,$G186,'الشؤون التنفيذية'!$I$2:$I$421,$I186,'الشؤون التنفيذية'!$N$2:$N$421,"&lt;&gt;")+COUNTIFS('الجهاز العسكري'!$B$2:$B$631,$B186,'الجهاز العسكري'!$G$2:$G$631,$G186,'الجهاز العسكري'!$I$2:$I$631,$I186,'الجهاز العسكري'!$M$2:$M$631,"&lt;&gt;")</f>
        <v>1</v>
      </c>
      <c r="N186" s="24" t="n">
        <f aca="false">IF($L186=0,0,ROUND((SUMIFS('المرتبطة بسمو الوزير'!$M$2:$M$151,'المرتبطة بسمو الوزير'!$B$2:$B$151,$B186,'المرتبطة بسمو الوزير'!$G$2:$G$151,$G186,'المرتبطة بسمو الوزير'!$I$2:$I$151,$I186)+SUMIFS('الشؤون التنفيذية'!$N$2:$N$421,'الشؤون التنفيذية'!$B$2:$B$421,$B186,'الشؤون التنفيذية'!$G$2:$G$421,$G186,'الشؤون التنفيذية'!$I$2:$I$421,$I186)+SUMIFS('الجهاز العسكري'!$M$2:$M$631,'الجهاز العسكري'!$B$2:$B$631,$B186,'الجهاز العسكري'!$G$2:$G$631,$G186,'الجهاز العسكري'!$I$2:$I$631,$I186))/$L186,0))</f>
        <v>83</v>
      </c>
      <c r="O186" s="25" t="n">
        <f aca="false">IF($L186=0,0,ROUND((SUMIFS('المرتبطة بسمو الوزير'!$N$2:$N$151,'المرتبطة بسمو الوزير'!$B$2:$B$151,$B186,'المرتبطة بسمو الوزير'!$G$2:$G$151,$G186,'المرتبطة بسمو الوزير'!$I$2:$I$151,$I186)+SUMIFS('الشؤون التنفيذية'!$O$2:$O$421,'الشؤون التنفيذية'!$B$2:$B$421,$B186,'الشؤون التنفيذية'!$G$2:$G$421,$G186,'الشؤون التنفيذية'!$I$2:$I$421,$I186)+SUMIFS('الجهاز العسكري'!$N$2:$N$631,'الجهاز العسكري'!$B$2:$B$631,$B186,'الجهاز العسكري'!$G$2:$G$631,$G186,'الجهاز العسكري'!$I$2:$I$631,$I186))/$L186,0))</f>
        <v>100</v>
      </c>
      <c r="P186" s="22"/>
      <c r="Q186" s="19" t="n">
        <f aca="false">SUMIFS(المرجع!$G$2:$G$19,المرجع!$B$2:$B$19,$G186,المرجع!$E$2:$E$19,$I186)</f>
        <v>20</v>
      </c>
      <c r="R186" s="26" t="n">
        <f aca="false">ROUND($Q186*$N186/100,2)</f>
        <v>16.6</v>
      </c>
      <c r="S186" s="27" t="str">
        <f aca="false">IF($N186&gt;المرجع!$K$3,"متقدم",IF($N186&lt;=المرجع!$K$2,"أولي","جزئي"))</f>
        <v>متقدم</v>
      </c>
      <c r="T186" s="28" t="n">
        <f aca="false">ROUND($Q186*$O186/100,2)</f>
        <v>20</v>
      </c>
    </row>
    <row r="187" customFormat="false" ht="15" hidden="false" customHeight="true" outlineLevel="0" collapsed="false">
      <c r="A187" s="20" t="s">
        <v>1639</v>
      </c>
      <c r="B187" s="20" t="s">
        <v>174</v>
      </c>
      <c r="C187" s="19" t="str">
        <f aca="false">IFERROR(INDEX('قائمة الوحدات'!$B$2:$B$41,MATCH($B187,'قائمة الوحدات'!$A$2:$A$41,0)),"")</f>
        <v>EXE</v>
      </c>
      <c r="D187" s="18" t="str">
        <f aca="false">IFERROR(INDEX('قائمة الوحدات'!$C$2:$C$41,MATCH($B187,'قائمة الوحدات'!$A$2:$A$41,0)),"")</f>
        <v>الشؤون التنفيذية</v>
      </c>
      <c r="E187" s="18" t="str">
        <f aca="false">IFERROR(INDEX('قائمة الوحدات'!$D$2:$D$41,MATCH($B187,'قائمة الوحدات'!$A$2:$A$41,0)),"")</f>
        <v>وكالة الشؤون الفنية</v>
      </c>
      <c r="F187" s="18" t="str">
        <f aca="false">IFERROR(INDEX('قائمة الوحدات'!$F$2:$F$41,MATCH($B187,'قائمة الوحدات'!$A$2:$A$41,0)),"")</f>
        <v>الإدارة العامة للأصول والمرافق</v>
      </c>
      <c r="G187" s="20" t="s">
        <v>44</v>
      </c>
      <c r="H187" s="18" t="str">
        <f aca="false">IFERROR(INDEX(المرجع!$A$2:$A$19,MATCH($G187,المرجع!$B$2:$B$19,0)),"")</f>
        <v>التصميم</v>
      </c>
      <c r="I187" s="20" t="s">
        <v>60</v>
      </c>
      <c r="J187" s="18" t="str">
        <f aca="false">IFERROR(INDEX(المرجع!$D$2:$D$19,MATCH($I187,المرجع!$E$2:$E$19,0)),"")</f>
        <v>الإجراءات</v>
      </c>
      <c r="K187" s="19" t="n">
        <f aca="false">IFERROR(INDEX(المرجع!$F$2:$F$19,MATCH($I187,المرجع!$E$2:$E$19,0)),"")</f>
        <v>6</v>
      </c>
      <c r="L187" s="19" t="n">
        <f aca="false">SUMIFS(المرجع!$H$2:$H$19,المرجع!$B$2:$B$19,$G187,المرجع!$E$2:$E$19,$I187)</f>
        <v>1</v>
      </c>
      <c r="M187" s="19" t="n">
        <f aca="false">COUNTIFS('المرتبطة بسمو الوزير'!$B$2:$B$151,$B187,'المرتبطة بسمو الوزير'!$G$2:$G$151,$G187,'المرتبطة بسمو الوزير'!$I$2:$I$151,$I187,'المرتبطة بسمو الوزير'!$M$2:$M$151,"&lt;&gt;")+COUNTIFS('الشؤون التنفيذية'!$B$2:$B$421,$B187,'الشؤون التنفيذية'!$G$2:$G$421,$G187,'الشؤون التنفيذية'!$I$2:$I$421,$I187,'الشؤون التنفيذية'!$N$2:$N$421,"&lt;&gt;")+COUNTIFS('الجهاز العسكري'!$B$2:$B$631,$B187,'الجهاز العسكري'!$G$2:$G$631,$G187,'الجهاز العسكري'!$I$2:$I$631,$I187,'الجهاز العسكري'!$M$2:$M$631,"&lt;&gt;")</f>
        <v>1</v>
      </c>
      <c r="N187" s="24" t="n">
        <f aca="false">IF($L187=0,0,ROUND((SUMIFS('المرتبطة بسمو الوزير'!$M$2:$M$151,'المرتبطة بسمو الوزير'!$B$2:$B$151,$B187,'المرتبطة بسمو الوزير'!$G$2:$G$151,$G187,'المرتبطة بسمو الوزير'!$I$2:$I$151,$I187)+SUMIFS('الشؤون التنفيذية'!$N$2:$N$421,'الشؤون التنفيذية'!$B$2:$B$421,$B187,'الشؤون التنفيذية'!$G$2:$G$421,$G187,'الشؤون التنفيذية'!$I$2:$I$421,$I187)+SUMIFS('الجهاز العسكري'!$M$2:$M$631,'الجهاز العسكري'!$B$2:$B$631,$B187,'الجهاز العسكري'!$G$2:$G$631,$G187,'الجهاز العسكري'!$I$2:$I$631,$I187))/$L187,0))</f>
        <v>79</v>
      </c>
      <c r="O187" s="25" t="n">
        <f aca="false">IF($L187=0,0,ROUND((SUMIFS('المرتبطة بسمو الوزير'!$N$2:$N$151,'المرتبطة بسمو الوزير'!$B$2:$B$151,$B187,'المرتبطة بسمو الوزير'!$G$2:$G$151,$G187,'المرتبطة بسمو الوزير'!$I$2:$I$151,$I187)+SUMIFS('الشؤون التنفيذية'!$O$2:$O$421,'الشؤون التنفيذية'!$B$2:$B$421,$B187,'الشؤون التنفيذية'!$G$2:$G$421,$G187,'الشؤون التنفيذية'!$I$2:$I$421,$I187)+SUMIFS('الجهاز العسكري'!$N$2:$N$631,'الجهاز العسكري'!$B$2:$B$631,$B187,'الجهاز العسكري'!$G$2:$G$631,$G187,'الجهاز العسكري'!$I$2:$I$631,$I187))/$L187,0))</f>
        <v>100</v>
      </c>
      <c r="P187" s="22"/>
      <c r="Q187" s="19" t="n">
        <f aca="false">SUMIFS(المرجع!$G$2:$G$19,المرجع!$B$2:$B$19,$G187,المرجع!$E$2:$E$19,$I187)</f>
        <v>5</v>
      </c>
      <c r="R187" s="26" t="n">
        <f aca="false">ROUND($Q187*$N187/100,2)</f>
        <v>3.95</v>
      </c>
      <c r="S187" s="27" t="str">
        <f aca="false">IF($N187&gt;المرجع!$K$3,"متقدم",IF($N187&lt;=المرجع!$K$2,"أولي","جزئي"))</f>
        <v>متقدم</v>
      </c>
      <c r="T187" s="28" t="n">
        <f aca="false">ROUND($Q187*$O187/100,2)</f>
        <v>5</v>
      </c>
    </row>
    <row r="188" customFormat="false" ht="15" hidden="false" customHeight="true" outlineLevel="0" collapsed="false">
      <c r="A188" s="20" t="s">
        <v>1640</v>
      </c>
      <c r="B188" s="20" t="s">
        <v>174</v>
      </c>
      <c r="C188" s="19" t="str">
        <f aca="false">IFERROR(INDEX('قائمة الوحدات'!$B$2:$B$41,MATCH($B188,'قائمة الوحدات'!$A$2:$A$41,0)),"")</f>
        <v>EXE</v>
      </c>
      <c r="D188" s="18" t="str">
        <f aca="false">IFERROR(INDEX('قائمة الوحدات'!$C$2:$C$41,MATCH($B188,'قائمة الوحدات'!$A$2:$A$41,0)),"")</f>
        <v>الشؤون التنفيذية</v>
      </c>
      <c r="E188" s="18" t="str">
        <f aca="false">IFERROR(INDEX('قائمة الوحدات'!$D$2:$D$41,MATCH($B188,'قائمة الوحدات'!$A$2:$A$41,0)),"")</f>
        <v>وكالة الشؤون الفنية</v>
      </c>
      <c r="F188" s="18" t="str">
        <f aca="false">IFERROR(INDEX('قائمة الوحدات'!$F$2:$F$41,MATCH($B188,'قائمة الوحدات'!$A$2:$A$41,0)),"")</f>
        <v>الإدارة العامة للأصول والمرافق</v>
      </c>
      <c r="G188" s="20" t="s">
        <v>62</v>
      </c>
      <c r="H188" s="18" t="str">
        <f aca="false">IFERROR(INDEX(المرجع!$A$2:$A$19,MATCH($G188,المرجع!$B$2:$B$19,0)),"")</f>
        <v>البناء المؤسسي</v>
      </c>
      <c r="I188" s="20" t="s">
        <v>46</v>
      </c>
      <c r="J188" s="18" t="str">
        <f aca="false">IFERROR(INDEX(المرجع!$D$2:$D$19,MATCH($I188,المرجع!$E$2:$E$19,0)),"")</f>
        <v>الدور</v>
      </c>
      <c r="K188" s="19" t="n">
        <f aca="false">IFERROR(INDEX(المرجع!$F$2:$F$19,MATCH($I188,المرجع!$E$2:$E$19,0)),"")</f>
        <v>1</v>
      </c>
      <c r="L188" s="19" t="n">
        <f aca="false">SUMIFS(المرجع!$H$2:$H$19,المرجع!$B$2:$B$19,$G188,المرجع!$E$2:$E$19,$I188)</f>
        <v>1</v>
      </c>
      <c r="M188" s="19" t="n">
        <f aca="false">COUNTIFS('المرتبطة بسمو الوزير'!$B$2:$B$151,$B188,'المرتبطة بسمو الوزير'!$G$2:$G$151,$G188,'المرتبطة بسمو الوزير'!$I$2:$I$151,$I188,'المرتبطة بسمو الوزير'!$M$2:$M$151,"&lt;&gt;")+COUNTIFS('الشؤون التنفيذية'!$B$2:$B$421,$B188,'الشؤون التنفيذية'!$G$2:$G$421,$G188,'الشؤون التنفيذية'!$I$2:$I$421,$I188,'الشؤون التنفيذية'!$N$2:$N$421,"&lt;&gt;")+COUNTIFS('الجهاز العسكري'!$B$2:$B$631,$B188,'الجهاز العسكري'!$G$2:$G$631,$G188,'الجهاز العسكري'!$I$2:$I$631,$I188,'الجهاز العسكري'!$M$2:$M$631,"&lt;&gt;")</f>
        <v>1</v>
      </c>
      <c r="N188" s="24" t="n">
        <f aca="false">IF($L188=0,0,ROUND((SUMIFS('المرتبطة بسمو الوزير'!$M$2:$M$151,'المرتبطة بسمو الوزير'!$B$2:$B$151,$B188,'المرتبطة بسمو الوزير'!$G$2:$G$151,$G188,'المرتبطة بسمو الوزير'!$I$2:$I$151,$I188)+SUMIFS('الشؤون التنفيذية'!$N$2:$N$421,'الشؤون التنفيذية'!$B$2:$B$421,$B188,'الشؤون التنفيذية'!$G$2:$G$421,$G188,'الشؤون التنفيذية'!$I$2:$I$421,$I188)+SUMIFS('الجهاز العسكري'!$M$2:$M$631,'الجهاز العسكري'!$B$2:$B$631,$B188,'الجهاز العسكري'!$G$2:$G$631,$G188,'الجهاز العسكري'!$I$2:$I$631,$I188))/$L188,0))</f>
        <v>53</v>
      </c>
      <c r="O188" s="25" t="n">
        <f aca="false">IF($L188=0,0,ROUND((SUMIFS('المرتبطة بسمو الوزير'!$N$2:$N$151,'المرتبطة بسمو الوزير'!$B$2:$B$151,$B188,'المرتبطة بسمو الوزير'!$G$2:$G$151,$G188,'المرتبطة بسمو الوزير'!$I$2:$I$151,$I188)+SUMIFS('الشؤون التنفيذية'!$O$2:$O$421,'الشؤون التنفيذية'!$B$2:$B$421,$B188,'الشؤون التنفيذية'!$G$2:$G$421,$G188,'الشؤون التنفيذية'!$I$2:$I$421,$I188)+SUMIFS('الجهاز العسكري'!$N$2:$N$631,'الجهاز العسكري'!$B$2:$B$631,$B188,'الجهاز العسكري'!$G$2:$G$631,$G188,'الجهاز العسكري'!$I$2:$I$631,$I188))/$L188,0))</f>
        <v>100</v>
      </c>
      <c r="P188" s="22"/>
      <c r="Q188" s="19" t="n">
        <f aca="false">SUMIFS(المرجع!$G$2:$G$19,المرجع!$B$2:$B$19,$G188,المرجع!$E$2:$E$19,$I188)</f>
        <v>15</v>
      </c>
      <c r="R188" s="26" t="n">
        <f aca="false">ROUND($Q188*$N188/100,2)</f>
        <v>7.95</v>
      </c>
      <c r="S188" s="27" t="str">
        <f aca="false">IF($N188&gt;المرجع!$K$3,"متقدم",IF($N188&lt;=المرجع!$K$2,"أولي","جزئي"))</f>
        <v>جزئي</v>
      </c>
      <c r="T188" s="28" t="n">
        <f aca="false">ROUND($Q188*$O188/100,2)</f>
        <v>15</v>
      </c>
    </row>
    <row r="189" customFormat="false" ht="15" hidden="false" customHeight="true" outlineLevel="0" collapsed="false">
      <c r="A189" s="20" t="s">
        <v>1641</v>
      </c>
      <c r="B189" s="20" t="s">
        <v>174</v>
      </c>
      <c r="C189" s="19" t="str">
        <f aca="false">IFERROR(INDEX('قائمة الوحدات'!$B$2:$B$41,MATCH($B189,'قائمة الوحدات'!$A$2:$A$41,0)),"")</f>
        <v>EXE</v>
      </c>
      <c r="D189" s="18" t="str">
        <f aca="false">IFERROR(INDEX('قائمة الوحدات'!$C$2:$C$41,MATCH($B189,'قائمة الوحدات'!$A$2:$A$41,0)),"")</f>
        <v>الشؤون التنفيذية</v>
      </c>
      <c r="E189" s="18" t="str">
        <f aca="false">IFERROR(INDEX('قائمة الوحدات'!$D$2:$D$41,MATCH($B189,'قائمة الوحدات'!$A$2:$A$41,0)),"")</f>
        <v>وكالة الشؤون الفنية</v>
      </c>
      <c r="F189" s="18" t="str">
        <f aca="false">IFERROR(INDEX('قائمة الوحدات'!$F$2:$F$41,MATCH($B189,'قائمة الوحدات'!$A$2:$A$41,0)),"")</f>
        <v>الإدارة العامة للأصول والمرافق</v>
      </c>
      <c r="G189" s="20" t="s">
        <v>62</v>
      </c>
      <c r="H189" s="18" t="str">
        <f aca="false">IFERROR(INDEX(المرجع!$A$2:$A$19,MATCH($G189,المرجع!$B$2:$B$19,0)),"")</f>
        <v>البناء المؤسسي</v>
      </c>
      <c r="I189" s="20" t="s">
        <v>49</v>
      </c>
      <c r="J189" s="18" t="str">
        <f aca="false">IFERROR(INDEX(المرجع!$D$2:$D$19,MATCH($I189,المرجع!$E$2:$E$19,0)),"")</f>
        <v>الأهداف ومؤشرات الأداء</v>
      </c>
      <c r="K189" s="19" t="n">
        <f aca="false">IFERROR(INDEX(المرجع!$F$2:$F$19,MATCH($I189,المرجع!$E$2:$E$19,0)),"")</f>
        <v>2</v>
      </c>
      <c r="L189" s="19" t="n">
        <f aca="false">SUMIFS(المرجع!$H$2:$H$19,المرجع!$B$2:$B$19,$G189,المرجع!$E$2:$E$19,$I189)</f>
        <v>2</v>
      </c>
      <c r="M189" s="19" t="n">
        <f aca="false">COUNTIFS('المرتبطة بسمو الوزير'!$B$2:$B$151,$B189,'المرتبطة بسمو الوزير'!$G$2:$G$151,$G189,'المرتبطة بسمو الوزير'!$I$2:$I$151,$I189,'المرتبطة بسمو الوزير'!$M$2:$M$151,"&lt;&gt;")+COUNTIFS('الشؤون التنفيذية'!$B$2:$B$421,$B189,'الشؤون التنفيذية'!$G$2:$G$421,$G189,'الشؤون التنفيذية'!$I$2:$I$421,$I189,'الشؤون التنفيذية'!$N$2:$N$421,"&lt;&gt;")+COUNTIFS('الجهاز العسكري'!$B$2:$B$631,$B189,'الجهاز العسكري'!$G$2:$G$631,$G189,'الجهاز العسكري'!$I$2:$I$631,$I189,'الجهاز العسكري'!$M$2:$M$631,"&lt;&gt;")</f>
        <v>2</v>
      </c>
      <c r="N189" s="24" t="n">
        <f aca="false">IF($L189=0,0,ROUND((SUMIFS('المرتبطة بسمو الوزير'!$M$2:$M$151,'المرتبطة بسمو الوزير'!$B$2:$B$151,$B189,'المرتبطة بسمو الوزير'!$G$2:$G$151,$G189,'المرتبطة بسمو الوزير'!$I$2:$I$151,$I189)+SUMIFS('الشؤون التنفيذية'!$N$2:$N$421,'الشؤون التنفيذية'!$B$2:$B$421,$B189,'الشؤون التنفيذية'!$G$2:$G$421,$G189,'الشؤون التنفيذية'!$I$2:$I$421,$I189)+SUMIFS('الجهاز العسكري'!$M$2:$M$631,'الجهاز العسكري'!$B$2:$B$631,$B189,'الجهاز العسكري'!$G$2:$G$631,$G189,'الجهاز العسكري'!$I$2:$I$631,$I189))/$L189,0))</f>
        <v>88</v>
      </c>
      <c r="O189" s="25" t="n">
        <f aca="false">IF($L189=0,0,ROUND((SUMIFS('المرتبطة بسمو الوزير'!$N$2:$N$151,'المرتبطة بسمو الوزير'!$B$2:$B$151,$B189,'المرتبطة بسمو الوزير'!$G$2:$G$151,$G189,'المرتبطة بسمو الوزير'!$I$2:$I$151,$I189)+SUMIFS('الشؤون التنفيذية'!$O$2:$O$421,'الشؤون التنفيذية'!$B$2:$B$421,$B189,'الشؤون التنفيذية'!$G$2:$G$421,$G189,'الشؤون التنفيذية'!$I$2:$I$421,$I189)+SUMIFS('الجهاز العسكري'!$N$2:$N$631,'الجهاز العسكري'!$B$2:$B$631,$B189,'الجهاز العسكري'!$G$2:$G$631,$G189,'الجهاز العسكري'!$I$2:$I$631,$I189))/$L189,0))</f>
        <v>100</v>
      </c>
      <c r="P189" s="22"/>
      <c r="Q189" s="19" t="n">
        <f aca="false">SUMIFS(المرجع!$G$2:$G$19,المرجع!$B$2:$B$19,$G189,المرجع!$E$2:$E$19,$I189)</f>
        <v>15</v>
      </c>
      <c r="R189" s="26" t="n">
        <f aca="false">ROUND($Q189*$N189/100,2)</f>
        <v>13.2</v>
      </c>
      <c r="S189" s="27" t="str">
        <f aca="false">IF($N189&gt;المرجع!$K$3,"متقدم",IF($N189&lt;=المرجع!$K$2,"أولي","جزئي"))</f>
        <v>متقدم</v>
      </c>
      <c r="T189" s="28" t="n">
        <f aca="false">ROUND($Q189*$O189/100,2)</f>
        <v>15</v>
      </c>
    </row>
    <row r="190" customFormat="false" ht="15" hidden="false" customHeight="true" outlineLevel="0" collapsed="false">
      <c r="A190" s="20" t="s">
        <v>1642</v>
      </c>
      <c r="B190" s="20" t="s">
        <v>174</v>
      </c>
      <c r="C190" s="19" t="str">
        <f aca="false">IFERROR(INDEX('قائمة الوحدات'!$B$2:$B$41,MATCH($B190,'قائمة الوحدات'!$A$2:$A$41,0)),"")</f>
        <v>EXE</v>
      </c>
      <c r="D190" s="18" t="str">
        <f aca="false">IFERROR(INDEX('قائمة الوحدات'!$C$2:$C$41,MATCH($B190,'قائمة الوحدات'!$A$2:$A$41,0)),"")</f>
        <v>الشؤون التنفيذية</v>
      </c>
      <c r="E190" s="18" t="str">
        <f aca="false">IFERROR(INDEX('قائمة الوحدات'!$D$2:$D$41,MATCH($B190,'قائمة الوحدات'!$A$2:$A$41,0)),"")</f>
        <v>وكالة الشؤون الفنية</v>
      </c>
      <c r="F190" s="18" t="str">
        <f aca="false">IFERROR(INDEX('قائمة الوحدات'!$F$2:$F$41,MATCH($B190,'قائمة الوحدات'!$A$2:$A$41,0)),"")</f>
        <v>الإدارة العامة للأصول والمرافق</v>
      </c>
      <c r="G190" s="20" t="s">
        <v>62</v>
      </c>
      <c r="H190" s="18" t="str">
        <f aca="false">IFERROR(INDEX(المرجع!$A$2:$A$19,MATCH($G190,المرجع!$B$2:$B$19,0)),"")</f>
        <v>البناء المؤسسي</v>
      </c>
      <c r="I190" s="20" t="s">
        <v>52</v>
      </c>
      <c r="J190" s="18" t="str">
        <f aca="false">IFERROR(INDEX(المرجع!$D$2:$D$19,MATCH($I190,المرجع!$E$2:$E$19,0)),"")</f>
        <v>الحوكمة</v>
      </c>
      <c r="K190" s="19" t="n">
        <f aca="false">IFERROR(INDEX(المرجع!$F$2:$F$19,MATCH($I190,المرجع!$E$2:$E$19,0)),"")</f>
        <v>3</v>
      </c>
      <c r="L190" s="19" t="n">
        <f aca="false">SUMIFS(المرجع!$H$2:$H$19,المرجع!$B$2:$B$19,$G190,المرجع!$E$2:$E$19,$I190)</f>
        <v>3</v>
      </c>
      <c r="M190" s="19" t="n">
        <f aca="false">COUNTIFS('المرتبطة بسمو الوزير'!$B$2:$B$151,$B190,'المرتبطة بسمو الوزير'!$G$2:$G$151,$G190,'المرتبطة بسمو الوزير'!$I$2:$I$151,$I190,'المرتبطة بسمو الوزير'!$M$2:$M$151,"&lt;&gt;")+COUNTIFS('الشؤون التنفيذية'!$B$2:$B$421,$B190,'الشؤون التنفيذية'!$G$2:$G$421,$G190,'الشؤون التنفيذية'!$I$2:$I$421,$I190,'الشؤون التنفيذية'!$N$2:$N$421,"&lt;&gt;")+COUNTIFS('الجهاز العسكري'!$B$2:$B$631,$B190,'الجهاز العسكري'!$G$2:$G$631,$G190,'الجهاز العسكري'!$I$2:$I$631,$I190,'الجهاز العسكري'!$M$2:$M$631,"&lt;&gt;")</f>
        <v>3</v>
      </c>
      <c r="N190" s="24" t="n">
        <f aca="false">IF($L190=0,0,ROUND((SUMIFS('المرتبطة بسمو الوزير'!$M$2:$M$151,'المرتبطة بسمو الوزير'!$B$2:$B$151,$B190,'المرتبطة بسمو الوزير'!$G$2:$G$151,$G190,'المرتبطة بسمو الوزير'!$I$2:$I$151,$I190)+SUMIFS('الشؤون التنفيذية'!$N$2:$N$421,'الشؤون التنفيذية'!$B$2:$B$421,$B190,'الشؤون التنفيذية'!$G$2:$G$421,$G190,'الشؤون التنفيذية'!$I$2:$I$421,$I190)+SUMIFS('الجهاز العسكري'!$M$2:$M$631,'الجهاز العسكري'!$B$2:$B$631,$B190,'الجهاز العسكري'!$G$2:$G$631,$G190,'الجهاز العسكري'!$I$2:$I$631,$I190))/$L190,0))</f>
        <v>55</v>
      </c>
      <c r="O190" s="25" t="n">
        <f aca="false">IF($L190=0,0,ROUND((SUMIFS('المرتبطة بسمو الوزير'!$N$2:$N$151,'المرتبطة بسمو الوزير'!$B$2:$B$151,$B190,'المرتبطة بسمو الوزير'!$G$2:$G$151,$G190,'المرتبطة بسمو الوزير'!$I$2:$I$151,$I190)+SUMIFS('الشؤون التنفيذية'!$O$2:$O$421,'الشؤون التنفيذية'!$B$2:$B$421,$B190,'الشؤون التنفيذية'!$G$2:$G$421,$G190,'الشؤون التنفيذية'!$I$2:$I$421,$I190)+SUMIFS('الجهاز العسكري'!$N$2:$N$631,'الجهاز العسكري'!$B$2:$B$631,$B190,'الجهاز العسكري'!$G$2:$G$631,$G190,'الجهاز العسكري'!$I$2:$I$631,$I190))/$L190,0))</f>
        <v>90</v>
      </c>
      <c r="P190" s="22"/>
      <c r="Q190" s="19" t="n">
        <f aca="false">SUMIFS(المرجع!$G$2:$G$19,المرجع!$B$2:$B$19,$G190,المرجع!$E$2:$E$19,$I190)</f>
        <v>15</v>
      </c>
      <c r="R190" s="26" t="n">
        <f aca="false">ROUND($Q190*$N190/100,2)</f>
        <v>8.25</v>
      </c>
      <c r="S190" s="27" t="str">
        <f aca="false">IF($N190&gt;المرجع!$K$3,"متقدم",IF($N190&lt;=المرجع!$K$2,"أولي","جزئي"))</f>
        <v>جزئي</v>
      </c>
      <c r="T190" s="28" t="n">
        <f aca="false">ROUND($Q190*$O190/100,2)</f>
        <v>13.5</v>
      </c>
    </row>
    <row r="191" customFormat="false" ht="15" hidden="false" customHeight="true" outlineLevel="0" collapsed="false">
      <c r="A191" s="20" t="s">
        <v>1643</v>
      </c>
      <c r="B191" s="20" t="s">
        <v>174</v>
      </c>
      <c r="C191" s="19" t="str">
        <f aca="false">IFERROR(INDEX('قائمة الوحدات'!$B$2:$B$41,MATCH($B191,'قائمة الوحدات'!$A$2:$A$41,0)),"")</f>
        <v>EXE</v>
      </c>
      <c r="D191" s="18" t="str">
        <f aca="false">IFERROR(INDEX('قائمة الوحدات'!$C$2:$C$41,MATCH($B191,'قائمة الوحدات'!$A$2:$A$41,0)),"")</f>
        <v>الشؤون التنفيذية</v>
      </c>
      <c r="E191" s="18" t="str">
        <f aca="false">IFERROR(INDEX('قائمة الوحدات'!$D$2:$D$41,MATCH($B191,'قائمة الوحدات'!$A$2:$A$41,0)),"")</f>
        <v>وكالة الشؤون الفنية</v>
      </c>
      <c r="F191" s="18" t="str">
        <f aca="false">IFERROR(INDEX('قائمة الوحدات'!$F$2:$F$41,MATCH($B191,'قائمة الوحدات'!$A$2:$A$41,0)),"")</f>
        <v>الإدارة العامة للأصول والمرافق</v>
      </c>
      <c r="G191" s="20" t="s">
        <v>62</v>
      </c>
      <c r="H191" s="18" t="str">
        <f aca="false">IFERROR(INDEX(المرجع!$A$2:$A$19,MATCH($G191,المرجع!$B$2:$B$19,0)),"")</f>
        <v>البناء المؤسسي</v>
      </c>
      <c r="I191" s="20" t="s">
        <v>55</v>
      </c>
      <c r="J191" s="18" t="str">
        <f aca="false">IFERROR(INDEX(المرجع!$D$2:$D$19,MATCH($I191,المرجع!$E$2:$E$19,0)),"")</f>
        <v>التنظيم</v>
      </c>
      <c r="K191" s="19" t="n">
        <f aca="false">IFERROR(INDEX(المرجع!$F$2:$F$19,MATCH($I191,المرجع!$E$2:$E$19,0)),"")</f>
        <v>4</v>
      </c>
      <c r="L191" s="19" t="n">
        <f aca="false">SUMIFS(المرجع!$H$2:$H$19,المرجع!$B$2:$B$19,$G191,المرجع!$E$2:$E$19,$I191)</f>
        <v>3</v>
      </c>
      <c r="M191" s="19" t="n">
        <f aca="false">COUNTIFS('المرتبطة بسمو الوزير'!$B$2:$B$151,$B191,'المرتبطة بسمو الوزير'!$G$2:$G$151,$G191,'المرتبطة بسمو الوزير'!$I$2:$I$151,$I191,'المرتبطة بسمو الوزير'!$M$2:$M$151,"&lt;&gt;")+COUNTIFS('الشؤون التنفيذية'!$B$2:$B$421,$B191,'الشؤون التنفيذية'!$G$2:$G$421,$G191,'الشؤون التنفيذية'!$I$2:$I$421,$I191,'الشؤون التنفيذية'!$N$2:$N$421,"&lt;&gt;")+COUNTIFS('الجهاز العسكري'!$B$2:$B$631,$B191,'الجهاز العسكري'!$G$2:$G$631,$G191,'الجهاز العسكري'!$I$2:$I$631,$I191,'الجهاز العسكري'!$M$2:$M$631,"&lt;&gt;")</f>
        <v>3</v>
      </c>
      <c r="N191" s="24" t="n">
        <f aca="false">IF($L191=0,0,ROUND((SUMIFS('المرتبطة بسمو الوزير'!$M$2:$M$151,'المرتبطة بسمو الوزير'!$B$2:$B$151,$B191,'المرتبطة بسمو الوزير'!$G$2:$G$151,$G191,'المرتبطة بسمو الوزير'!$I$2:$I$151,$I191)+SUMIFS('الشؤون التنفيذية'!$N$2:$N$421,'الشؤون التنفيذية'!$B$2:$B$421,$B191,'الشؤون التنفيذية'!$G$2:$G$421,$G191,'الشؤون التنفيذية'!$I$2:$I$421,$I191)+SUMIFS('الجهاز العسكري'!$M$2:$M$631,'الجهاز العسكري'!$B$2:$B$631,$B191,'الجهاز العسكري'!$G$2:$G$631,$G191,'الجهاز العسكري'!$I$2:$I$631,$I191))/$L191,0))</f>
        <v>38</v>
      </c>
      <c r="O191" s="25" t="n">
        <f aca="false">IF($L191=0,0,ROUND((SUMIFS('المرتبطة بسمو الوزير'!$N$2:$N$151,'المرتبطة بسمو الوزير'!$B$2:$B$151,$B191,'المرتبطة بسمو الوزير'!$G$2:$G$151,$G191,'المرتبطة بسمو الوزير'!$I$2:$I$151,$I191)+SUMIFS('الشؤون التنفيذية'!$O$2:$O$421,'الشؤون التنفيذية'!$B$2:$B$421,$B191,'الشؤون التنفيذية'!$G$2:$G$421,$G191,'الشؤون التنفيذية'!$I$2:$I$421,$I191)+SUMIFS('الجهاز العسكري'!$N$2:$N$631,'الجهاز العسكري'!$B$2:$B$631,$B191,'الجهاز العسكري'!$G$2:$G$631,$G191,'الجهاز العسكري'!$I$2:$I$631,$I191))/$L191,0))</f>
        <v>98</v>
      </c>
      <c r="P191" s="22"/>
      <c r="Q191" s="19" t="n">
        <f aca="false">SUMIFS(المرجع!$G$2:$G$19,المرجع!$B$2:$B$19,$G191,المرجع!$E$2:$E$19,$I191)</f>
        <v>20</v>
      </c>
      <c r="R191" s="26" t="n">
        <f aca="false">ROUND($Q191*$N191/100,2)</f>
        <v>7.6</v>
      </c>
      <c r="S191" s="27" t="str">
        <f aca="false">IF($N191&gt;المرجع!$K$3,"متقدم",IF($N191&lt;=المرجع!$K$2,"أولي","جزئي"))</f>
        <v>جزئي</v>
      </c>
      <c r="T191" s="28" t="n">
        <f aca="false">ROUND($Q191*$O191/100,2)</f>
        <v>19.6</v>
      </c>
    </row>
    <row r="192" customFormat="false" ht="15" hidden="false" customHeight="true" outlineLevel="0" collapsed="false">
      <c r="A192" s="20" t="s">
        <v>1644</v>
      </c>
      <c r="B192" s="20" t="s">
        <v>174</v>
      </c>
      <c r="C192" s="19" t="str">
        <f aca="false">IFERROR(INDEX('قائمة الوحدات'!$B$2:$B$41,MATCH($B192,'قائمة الوحدات'!$A$2:$A$41,0)),"")</f>
        <v>EXE</v>
      </c>
      <c r="D192" s="18" t="str">
        <f aca="false">IFERROR(INDEX('قائمة الوحدات'!$C$2:$C$41,MATCH($B192,'قائمة الوحدات'!$A$2:$A$41,0)),"")</f>
        <v>الشؤون التنفيذية</v>
      </c>
      <c r="E192" s="18" t="str">
        <f aca="false">IFERROR(INDEX('قائمة الوحدات'!$D$2:$D$41,MATCH($B192,'قائمة الوحدات'!$A$2:$A$41,0)),"")</f>
        <v>وكالة الشؤون الفنية</v>
      </c>
      <c r="F192" s="18" t="str">
        <f aca="false">IFERROR(INDEX('قائمة الوحدات'!$F$2:$F$41,MATCH($B192,'قائمة الوحدات'!$A$2:$A$41,0)),"")</f>
        <v>الإدارة العامة للأصول والمرافق</v>
      </c>
      <c r="G192" s="20" t="s">
        <v>62</v>
      </c>
      <c r="H192" s="18" t="str">
        <f aca="false">IFERROR(INDEX(المرجع!$A$2:$A$19,MATCH($G192,المرجع!$B$2:$B$19,0)),"")</f>
        <v>البناء المؤسسي</v>
      </c>
      <c r="I192" s="20" t="s">
        <v>57</v>
      </c>
      <c r="J192" s="18" t="str">
        <f aca="false">IFERROR(INDEX(المرجع!$D$2:$D$19,MATCH($I192,المرجع!$E$2:$E$19,0)),"")</f>
        <v>الموارد</v>
      </c>
      <c r="K192" s="19" t="n">
        <f aca="false">IFERROR(INDEX(المرجع!$F$2:$F$19,MATCH($I192,المرجع!$E$2:$E$19,0)),"")</f>
        <v>5</v>
      </c>
      <c r="L192" s="19" t="n">
        <f aca="false">SUMIFS(المرجع!$H$2:$H$19,المرجع!$B$2:$B$19,$G192,المرجع!$E$2:$E$19,$I192)</f>
        <v>4</v>
      </c>
      <c r="M192" s="19" t="n">
        <f aca="false">COUNTIFS('المرتبطة بسمو الوزير'!$B$2:$B$151,$B192,'المرتبطة بسمو الوزير'!$G$2:$G$151,$G192,'المرتبطة بسمو الوزير'!$I$2:$I$151,$I192,'المرتبطة بسمو الوزير'!$M$2:$M$151,"&lt;&gt;")+COUNTIFS('الشؤون التنفيذية'!$B$2:$B$421,$B192,'الشؤون التنفيذية'!$G$2:$G$421,$G192,'الشؤون التنفيذية'!$I$2:$I$421,$I192,'الشؤون التنفيذية'!$N$2:$N$421,"&lt;&gt;")+COUNTIFS('الجهاز العسكري'!$B$2:$B$631,$B192,'الجهاز العسكري'!$G$2:$G$631,$G192,'الجهاز العسكري'!$I$2:$I$631,$I192,'الجهاز العسكري'!$M$2:$M$631,"&lt;&gt;")</f>
        <v>4</v>
      </c>
      <c r="N192" s="24" t="n">
        <f aca="false">IF($L192=0,0,ROUND((SUMIFS('المرتبطة بسمو الوزير'!$M$2:$M$151,'المرتبطة بسمو الوزير'!$B$2:$B$151,$B192,'المرتبطة بسمو الوزير'!$G$2:$G$151,$G192,'المرتبطة بسمو الوزير'!$I$2:$I$151,$I192)+SUMIFS('الشؤون التنفيذية'!$N$2:$N$421,'الشؤون التنفيذية'!$B$2:$B$421,$B192,'الشؤون التنفيذية'!$G$2:$G$421,$G192,'الشؤون التنفيذية'!$I$2:$I$421,$I192)+SUMIFS('الجهاز العسكري'!$M$2:$M$631,'الجهاز العسكري'!$B$2:$B$631,$B192,'الجهاز العسكري'!$G$2:$G$631,$G192,'الجهاز العسكري'!$I$2:$I$631,$I192))/$L192,0))</f>
        <v>58</v>
      </c>
      <c r="O192" s="25" t="n">
        <f aca="false">IF($L192=0,0,ROUND((SUMIFS('المرتبطة بسمو الوزير'!$N$2:$N$151,'المرتبطة بسمو الوزير'!$B$2:$B$151,$B192,'المرتبطة بسمو الوزير'!$G$2:$G$151,$G192,'المرتبطة بسمو الوزير'!$I$2:$I$151,$I192)+SUMIFS('الشؤون التنفيذية'!$O$2:$O$421,'الشؤون التنفيذية'!$B$2:$B$421,$B192,'الشؤون التنفيذية'!$G$2:$G$421,$G192,'الشؤون التنفيذية'!$I$2:$I$421,$I192)+SUMIFS('الجهاز العسكري'!$N$2:$N$631,'الجهاز العسكري'!$B$2:$B$631,$B192,'الجهاز العسكري'!$G$2:$G$631,$G192,'الجهاز العسكري'!$I$2:$I$631,$I192))/$L192,0))</f>
        <v>93</v>
      </c>
      <c r="P192" s="22"/>
      <c r="Q192" s="19" t="n">
        <f aca="false">SUMIFS(المرجع!$G$2:$G$19,المرجع!$B$2:$B$19,$G192,المرجع!$E$2:$E$19,$I192)</f>
        <v>25</v>
      </c>
      <c r="R192" s="26" t="n">
        <f aca="false">ROUND($Q192*$N192/100,2)</f>
        <v>14.5</v>
      </c>
      <c r="S192" s="27" t="str">
        <f aca="false">IF($N192&gt;المرجع!$K$3,"متقدم",IF($N192&lt;=المرجع!$K$2,"أولي","جزئي"))</f>
        <v>جزئي</v>
      </c>
      <c r="T192" s="28" t="n">
        <f aca="false">ROUND($Q192*$O192/100,2)</f>
        <v>23.25</v>
      </c>
    </row>
    <row r="193" customFormat="false" ht="15" hidden="false" customHeight="true" outlineLevel="0" collapsed="false">
      <c r="A193" s="20" t="s">
        <v>1645</v>
      </c>
      <c r="B193" s="20" t="s">
        <v>174</v>
      </c>
      <c r="C193" s="19" t="str">
        <f aca="false">IFERROR(INDEX('قائمة الوحدات'!$B$2:$B$41,MATCH($B193,'قائمة الوحدات'!$A$2:$A$41,0)),"")</f>
        <v>EXE</v>
      </c>
      <c r="D193" s="18" t="str">
        <f aca="false">IFERROR(INDEX('قائمة الوحدات'!$C$2:$C$41,MATCH($B193,'قائمة الوحدات'!$A$2:$A$41,0)),"")</f>
        <v>الشؤون التنفيذية</v>
      </c>
      <c r="E193" s="18" t="str">
        <f aca="false">IFERROR(INDEX('قائمة الوحدات'!$D$2:$D$41,MATCH($B193,'قائمة الوحدات'!$A$2:$A$41,0)),"")</f>
        <v>وكالة الشؤون الفنية</v>
      </c>
      <c r="F193" s="18" t="str">
        <f aca="false">IFERROR(INDEX('قائمة الوحدات'!$F$2:$F$41,MATCH($B193,'قائمة الوحدات'!$A$2:$A$41,0)),"")</f>
        <v>الإدارة العامة للأصول والمرافق</v>
      </c>
      <c r="G193" s="20" t="s">
        <v>62</v>
      </c>
      <c r="H193" s="18" t="str">
        <f aca="false">IFERROR(INDEX(المرجع!$A$2:$A$19,MATCH($G193,المرجع!$B$2:$B$19,0)),"")</f>
        <v>البناء المؤسسي</v>
      </c>
      <c r="I193" s="20" t="s">
        <v>60</v>
      </c>
      <c r="J193" s="18" t="str">
        <f aca="false">IFERROR(INDEX(المرجع!$D$2:$D$19,MATCH($I193,المرجع!$E$2:$E$19,0)),"")</f>
        <v>الإجراءات</v>
      </c>
      <c r="K193" s="19" t="n">
        <f aca="false">IFERROR(INDEX(المرجع!$F$2:$F$19,MATCH($I193,المرجع!$E$2:$E$19,0)),"")</f>
        <v>6</v>
      </c>
      <c r="L193" s="19" t="n">
        <f aca="false">SUMIFS(المرجع!$H$2:$H$19,المرجع!$B$2:$B$19,$G193,المرجع!$E$2:$E$19,$I193)</f>
        <v>1</v>
      </c>
      <c r="M193" s="19" t="n">
        <f aca="false">COUNTIFS('المرتبطة بسمو الوزير'!$B$2:$B$151,$B193,'المرتبطة بسمو الوزير'!$G$2:$G$151,$G193,'المرتبطة بسمو الوزير'!$I$2:$I$151,$I193,'المرتبطة بسمو الوزير'!$M$2:$M$151,"&lt;&gt;")+COUNTIFS('الشؤون التنفيذية'!$B$2:$B$421,$B193,'الشؤون التنفيذية'!$G$2:$G$421,$G193,'الشؤون التنفيذية'!$I$2:$I$421,$I193,'الشؤون التنفيذية'!$N$2:$N$421,"&lt;&gt;")+COUNTIFS('الجهاز العسكري'!$B$2:$B$631,$B193,'الجهاز العسكري'!$G$2:$G$631,$G193,'الجهاز العسكري'!$I$2:$I$631,$I193,'الجهاز العسكري'!$M$2:$M$631,"&lt;&gt;")</f>
        <v>1</v>
      </c>
      <c r="N193" s="24" t="n">
        <f aca="false">IF($L193=0,0,ROUND((SUMIFS('المرتبطة بسمو الوزير'!$M$2:$M$151,'المرتبطة بسمو الوزير'!$B$2:$B$151,$B193,'المرتبطة بسمو الوزير'!$G$2:$G$151,$G193,'المرتبطة بسمو الوزير'!$I$2:$I$151,$I193)+SUMIFS('الشؤون التنفيذية'!$N$2:$N$421,'الشؤون التنفيذية'!$B$2:$B$421,$B193,'الشؤون التنفيذية'!$G$2:$G$421,$G193,'الشؤون التنفيذية'!$I$2:$I$421,$I193)+SUMIFS('الجهاز العسكري'!$M$2:$M$631,'الجهاز العسكري'!$B$2:$B$631,$B193,'الجهاز العسكري'!$G$2:$G$631,$G193,'الجهاز العسكري'!$I$2:$I$631,$I193))/$L193,0))</f>
        <v>74</v>
      </c>
      <c r="O193" s="25" t="n">
        <f aca="false">IF($L193=0,0,ROUND((SUMIFS('المرتبطة بسمو الوزير'!$N$2:$N$151,'المرتبطة بسمو الوزير'!$B$2:$B$151,$B193,'المرتبطة بسمو الوزير'!$G$2:$G$151,$G193,'المرتبطة بسمو الوزير'!$I$2:$I$151,$I193)+SUMIFS('الشؤون التنفيذية'!$O$2:$O$421,'الشؤون التنفيذية'!$B$2:$B$421,$B193,'الشؤون التنفيذية'!$G$2:$G$421,$G193,'الشؤون التنفيذية'!$I$2:$I$421,$I193)+SUMIFS('الجهاز العسكري'!$N$2:$N$631,'الجهاز العسكري'!$B$2:$B$631,$B193,'الجهاز العسكري'!$G$2:$G$631,$G193,'الجهاز العسكري'!$I$2:$I$631,$I193))/$L193,0))</f>
        <v>95</v>
      </c>
      <c r="P193" s="22"/>
      <c r="Q193" s="19" t="n">
        <f aca="false">SUMIFS(المرجع!$G$2:$G$19,المرجع!$B$2:$B$19,$G193,المرجع!$E$2:$E$19,$I193)</f>
        <v>5</v>
      </c>
      <c r="R193" s="26" t="n">
        <f aca="false">ROUND($Q193*$N193/100,2)</f>
        <v>3.7</v>
      </c>
      <c r="S193" s="27" t="str">
        <f aca="false">IF($N193&gt;المرجع!$K$3,"متقدم",IF($N193&lt;=المرجع!$K$2,"أولي","جزئي"))</f>
        <v>متقدم</v>
      </c>
      <c r="T193" s="28" t="n">
        <f aca="false">ROUND($Q193*$O193/100,2)</f>
        <v>4.75</v>
      </c>
    </row>
    <row r="194" customFormat="false" ht="15" hidden="false" customHeight="true" outlineLevel="0" collapsed="false">
      <c r="A194" s="20" t="s">
        <v>1646</v>
      </c>
      <c r="B194" s="20" t="s">
        <v>174</v>
      </c>
      <c r="C194" s="19" t="str">
        <f aca="false">IFERROR(INDEX('قائمة الوحدات'!$B$2:$B$41,MATCH($B194,'قائمة الوحدات'!$A$2:$A$41,0)),"")</f>
        <v>EXE</v>
      </c>
      <c r="D194" s="18" t="str">
        <f aca="false">IFERROR(INDEX('قائمة الوحدات'!$C$2:$C$41,MATCH($B194,'قائمة الوحدات'!$A$2:$A$41,0)),"")</f>
        <v>الشؤون التنفيذية</v>
      </c>
      <c r="E194" s="18" t="str">
        <f aca="false">IFERROR(INDEX('قائمة الوحدات'!$D$2:$D$41,MATCH($B194,'قائمة الوحدات'!$A$2:$A$41,0)),"")</f>
        <v>وكالة الشؤون الفنية</v>
      </c>
      <c r="F194" s="18" t="str">
        <f aca="false">IFERROR(INDEX('قائمة الوحدات'!$F$2:$F$41,MATCH($B194,'قائمة الوحدات'!$A$2:$A$41,0)),"")</f>
        <v>الإدارة العامة للأصول والمرافق</v>
      </c>
      <c r="G194" s="20" t="s">
        <v>62</v>
      </c>
      <c r="H194" s="18" t="str">
        <f aca="false">IFERROR(INDEX(المرجع!$A$2:$A$19,MATCH($G194,المرجع!$B$2:$B$19,0)),"")</f>
        <v>البناء المؤسسي</v>
      </c>
      <c r="I194" s="20" t="s">
        <v>69</v>
      </c>
      <c r="J194" s="18" t="str">
        <f aca="false">IFERROR(INDEX(المرجع!$D$2:$D$19,MATCH($I194,المرجع!$E$2:$E$19,0)),"")</f>
        <v>إنتاج المخرج الأول</v>
      </c>
      <c r="K194" s="19" t="n">
        <f aca="false">IFERROR(INDEX(المرجع!$F$2:$F$19,MATCH($I194,المرجع!$E$2:$E$19,0)),"")</f>
        <v>7</v>
      </c>
      <c r="L194" s="19" t="n">
        <f aca="false">SUMIFS(المرجع!$H$2:$H$19,المرجع!$B$2:$B$19,$G194,المرجع!$E$2:$E$19,$I194)</f>
        <v>1</v>
      </c>
      <c r="M194" s="19" t="n">
        <f aca="false">COUNTIFS('المرتبطة بسمو الوزير'!$B$2:$B$151,$B194,'المرتبطة بسمو الوزير'!$G$2:$G$151,$G194,'المرتبطة بسمو الوزير'!$I$2:$I$151,$I194,'المرتبطة بسمو الوزير'!$M$2:$M$151,"&lt;&gt;")+COUNTIFS('الشؤون التنفيذية'!$B$2:$B$421,$B194,'الشؤون التنفيذية'!$G$2:$G$421,$G194,'الشؤون التنفيذية'!$I$2:$I$421,$I194,'الشؤون التنفيذية'!$N$2:$N$421,"&lt;&gt;")+COUNTIFS('الجهاز العسكري'!$B$2:$B$631,$B194,'الجهاز العسكري'!$G$2:$G$631,$G194,'الجهاز العسكري'!$I$2:$I$631,$I194,'الجهاز العسكري'!$M$2:$M$631,"&lt;&gt;")</f>
        <v>1</v>
      </c>
      <c r="N194" s="24" t="n">
        <f aca="false">IF($L194=0,0,ROUND((SUMIFS('المرتبطة بسمو الوزير'!$M$2:$M$151,'المرتبطة بسمو الوزير'!$B$2:$B$151,$B194,'المرتبطة بسمو الوزير'!$G$2:$G$151,$G194,'المرتبطة بسمو الوزير'!$I$2:$I$151,$I194)+SUMIFS('الشؤون التنفيذية'!$N$2:$N$421,'الشؤون التنفيذية'!$B$2:$B$421,$B194,'الشؤون التنفيذية'!$G$2:$G$421,$G194,'الشؤون التنفيذية'!$I$2:$I$421,$I194)+SUMIFS('الجهاز العسكري'!$M$2:$M$631,'الجهاز العسكري'!$B$2:$B$631,$B194,'الجهاز العسكري'!$G$2:$G$631,$G194,'الجهاز العسكري'!$I$2:$I$631,$I194))/$L194,0))</f>
        <v>42</v>
      </c>
      <c r="O194" s="25" t="n">
        <f aca="false">IF($L194=0,0,ROUND((SUMIFS('المرتبطة بسمو الوزير'!$N$2:$N$151,'المرتبطة بسمو الوزير'!$B$2:$B$151,$B194,'المرتبطة بسمو الوزير'!$G$2:$G$151,$G194,'المرتبطة بسمو الوزير'!$I$2:$I$151,$I194)+SUMIFS('الشؤون التنفيذية'!$O$2:$O$421,'الشؤون التنفيذية'!$B$2:$B$421,$B194,'الشؤون التنفيذية'!$G$2:$G$421,$G194,'الشؤون التنفيذية'!$I$2:$I$421,$I194)+SUMIFS('الجهاز العسكري'!$N$2:$N$631,'الجهاز العسكري'!$B$2:$B$631,$B194,'الجهاز العسكري'!$G$2:$G$631,$G194,'الجهاز العسكري'!$I$2:$I$631,$I194))/$L194,0))</f>
        <v>90</v>
      </c>
      <c r="P194" s="22"/>
      <c r="Q194" s="19" t="n">
        <f aca="false">SUMIFS(المرجع!$G$2:$G$19,المرجع!$B$2:$B$19,$G194,المرجع!$E$2:$E$19,$I194)</f>
        <v>5</v>
      </c>
      <c r="R194" s="26" t="n">
        <f aca="false">ROUND($Q194*$N194/100,2)</f>
        <v>2.1</v>
      </c>
      <c r="S194" s="27" t="str">
        <f aca="false">IF($N194&gt;المرجع!$K$3,"متقدم",IF($N194&lt;=المرجع!$K$2,"أولي","جزئي"))</f>
        <v>جزئي</v>
      </c>
      <c r="T194" s="28" t="n">
        <f aca="false">ROUND($Q194*$O194/100,2)</f>
        <v>4.5</v>
      </c>
    </row>
    <row r="195" customFormat="false" ht="15" hidden="false" customHeight="true" outlineLevel="0" collapsed="false">
      <c r="A195" s="20" t="s">
        <v>1647</v>
      </c>
      <c r="B195" s="20" t="s">
        <v>174</v>
      </c>
      <c r="C195" s="19" t="str">
        <f aca="false">IFERROR(INDEX('قائمة الوحدات'!$B$2:$B$41,MATCH($B195,'قائمة الوحدات'!$A$2:$A$41,0)),"")</f>
        <v>EXE</v>
      </c>
      <c r="D195" s="18" t="str">
        <f aca="false">IFERROR(INDEX('قائمة الوحدات'!$C$2:$C$41,MATCH($B195,'قائمة الوحدات'!$A$2:$A$41,0)),"")</f>
        <v>الشؤون التنفيذية</v>
      </c>
      <c r="E195" s="18" t="str">
        <f aca="false">IFERROR(INDEX('قائمة الوحدات'!$D$2:$D$41,MATCH($B195,'قائمة الوحدات'!$A$2:$A$41,0)),"")</f>
        <v>وكالة الشؤون الفنية</v>
      </c>
      <c r="F195" s="18" t="str">
        <f aca="false">IFERROR(INDEX('قائمة الوحدات'!$F$2:$F$41,MATCH($B195,'قائمة الوحدات'!$A$2:$A$41,0)),"")</f>
        <v>الإدارة العامة للأصول والمرافق</v>
      </c>
      <c r="G195" s="20" t="s">
        <v>66</v>
      </c>
      <c r="H195" s="18" t="str">
        <f aca="false">IFERROR(INDEX(المرجع!$A$2:$A$19,MATCH($G195,المرجع!$B$2:$B$19,0)),"")</f>
        <v>التشغيل</v>
      </c>
      <c r="I195" s="20" t="s">
        <v>49</v>
      </c>
      <c r="J195" s="18" t="str">
        <f aca="false">IFERROR(INDEX(المرجع!$D$2:$D$19,MATCH($I195,المرجع!$E$2:$E$19,0)),"")</f>
        <v>الأهداف ومؤشرات الأداء</v>
      </c>
      <c r="K195" s="19" t="n">
        <f aca="false">IFERROR(INDEX(المرجع!$F$2:$F$19,MATCH($I195,المرجع!$E$2:$E$19,0)),"")</f>
        <v>2</v>
      </c>
      <c r="L195" s="19" t="n">
        <f aca="false">SUMIFS(المرجع!$H$2:$H$19,المرجع!$B$2:$B$19,$G195,المرجع!$E$2:$E$19,$I195)</f>
        <v>2</v>
      </c>
      <c r="M195" s="19" t="n">
        <f aca="false">COUNTIFS('المرتبطة بسمو الوزير'!$B$2:$B$151,$B195,'المرتبطة بسمو الوزير'!$G$2:$G$151,$G195,'المرتبطة بسمو الوزير'!$I$2:$I$151,$I195,'المرتبطة بسمو الوزير'!$M$2:$M$151,"&lt;&gt;")+COUNTIFS('الشؤون التنفيذية'!$B$2:$B$421,$B195,'الشؤون التنفيذية'!$G$2:$G$421,$G195,'الشؤون التنفيذية'!$I$2:$I$421,$I195,'الشؤون التنفيذية'!$N$2:$N$421,"&lt;&gt;")+COUNTIFS('الجهاز العسكري'!$B$2:$B$631,$B195,'الجهاز العسكري'!$G$2:$G$631,$G195,'الجهاز العسكري'!$I$2:$I$631,$I195,'الجهاز العسكري'!$M$2:$M$631,"&lt;&gt;")</f>
        <v>2</v>
      </c>
      <c r="N195" s="24" t="n">
        <f aca="false">IF($L195=0,0,ROUND((SUMIFS('المرتبطة بسمو الوزير'!$M$2:$M$151,'المرتبطة بسمو الوزير'!$B$2:$B$151,$B195,'المرتبطة بسمو الوزير'!$G$2:$G$151,$G195,'المرتبطة بسمو الوزير'!$I$2:$I$151,$I195)+SUMIFS('الشؤون التنفيذية'!$N$2:$N$421,'الشؤون التنفيذية'!$B$2:$B$421,$B195,'الشؤون التنفيذية'!$G$2:$G$421,$G195,'الشؤون التنفيذية'!$I$2:$I$421,$I195)+SUMIFS('الجهاز العسكري'!$M$2:$M$631,'الجهاز العسكري'!$B$2:$B$631,$B195,'الجهاز العسكري'!$G$2:$G$631,$G195,'الجهاز العسكري'!$I$2:$I$631,$I195))/$L195,0))</f>
        <v>60</v>
      </c>
      <c r="O195" s="25" t="n">
        <f aca="false">IF($L195=0,0,ROUND((SUMIFS('المرتبطة بسمو الوزير'!$N$2:$N$151,'المرتبطة بسمو الوزير'!$B$2:$B$151,$B195,'المرتبطة بسمو الوزير'!$G$2:$G$151,$G195,'المرتبطة بسمو الوزير'!$I$2:$I$151,$I195)+SUMIFS('الشؤون التنفيذية'!$O$2:$O$421,'الشؤون التنفيذية'!$B$2:$B$421,$B195,'الشؤون التنفيذية'!$G$2:$G$421,$G195,'الشؤون التنفيذية'!$I$2:$I$421,$I195)+SUMIFS('الجهاز العسكري'!$N$2:$N$631,'الجهاز العسكري'!$B$2:$B$631,$B195,'الجهاز العسكري'!$G$2:$G$631,$G195,'الجهاز العسكري'!$I$2:$I$631,$I195))/$L195,0))</f>
        <v>90</v>
      </c>
      <c r="P195" s="22"/>
      <c r="Q195" s="19" t="n">
        <f aca="false">SUMIFS(المرجع!$G$2:$G$19,المرجع!$B$2:$B$19,$G195,المرجع!$E$2:$E$19,$I195)</f>
        <v>25</v>
      </c>
      <c r="R195" s="26" t="n">
        <f aca="false">ROUND($Q195*$N195/100,2)</f>
        <v>15</v>
      </c>
      <c r="S195" s="27" t="str">
        <f aca="false">IF($N195&gt;المرجع!$K$3,"متقدم",IF($N195&lt;=المرجع!$K$2,"أولي","جزئي"))</f>
        <v>جزئي</v>
      </c>
      <c r="T195" s="28" t="n">
        <f aca="false">ROUND($Q195*$O195/100,2)</f>
        <v>22.5</v>
      </c>
    </row>
    <row r="196" customFormat="false" ht="15" hidden="false" customHeight="true" outlineLevel="0" collapsed="false">
      <c r="A196" s="20" t="s">
        <v>1648</v>
      </c>
      <c r="B196" s="20" t="s">
        <v>174</v>
      </c>
      <c r="C196" s="19" t="str">
        <f aca="false">IFERROR(INDEX('قائمة الوحدات'!$B$2:$B$41,MATCH($B196,'قائمة الوحدات'!$A$2:$A$41,0)),"")</f>
        <v>EXE</v>
      </c>
      <c r="D196" s="18" t="str">
        <f aca="false">IFERROR(INDEX('قائمة الوحدات'!$C$2:$C$41,MATCH($B196,'قائمة الوحدات'!$A$2:$A$41,0)),"")</f>
        <v>الشؤون التنفيذية</v>
      </c>
      <c r="E196" s="18" t="str">
        <f aca="false">IFERROR(INDEX('قائمة الوحدات'!$D$2:$D$41,MATCH($B196,'قائمة الوحدات'!$A$2:$A$41,0)),"")</f>
        <v>وكالة الشؤون الفنية</v>
      </c>
      <c r="F196" s="18" t="str">
        <f aca="false">IFERROR(INDEX('قائمة الوحدات'!$F$2:$F$41,MATCH($B196,'قائمة الوحدات'!$A$2:$A$41,0)),"")</f>
        <v>الإدارة العامة للأصول والمرافق</v>
      </c>
      <c r="G196" s="20" t="s">
        <v>66</v>
      </c>
      <c r="H196" s="18" t="str">
        <f aca="false">IFERROR(INDEX(المرجع!$A$2:$A$19,MATCH($G196,المرجع!$B$2:$B$19,0)),"")</f>
        <v>التشغيل</v>
      </c>
      <c r="I196" s="20" t="s">
        <v>52</v>
      </c>
      <c r="J196" s="18" t="str">
        <f aca="false">IFERROR(INDEX(المرجع!$D$2:$D$19,MATCH($I196,المرجع!$E$2:$E$19,0)),"")</f>
        <v>الحوكمة</v>
      </c>
      <c r="K196" s="19" t="n">
        <f aca="false">IFERROR(INDEX(المرجع!$F$2:$F$19,MATCH($I196,المرجع!$E$2:$E$19,0)),"")</f>
        <v>3</v>
      </c>
      <c r="L196" s="19" t="n">
        <f aca="false">SUMIFS(المرجع!$H$2:$H$19,المرجع!$B$2:$B$19,$G196,المرجع!$E$2:$E$19,$I196)</f>
        <v>3</v>
      </c>
      <c r="M196" s="19" t="n">
        <f aca="false">COUNTIFS('المرتبطة بسمو الوزير'!$B$2:$B$151,$B196,'المرتبطة بسمو الوزير'!$G$2:$G$151,$G196,'المرتبطة بسمو الوزير'!$I$2:$I$151,$I196,'المرتبطة بسمو الوزير'!$M$2:$M$151,"&lt;&gt;")+COUNTIFS('الشؤون التنفيذية'!$B$2:$B$421,$B196,'الشؤون التنفيذية'!$G$2:$G$421,$G196,'الشؤون التنفيذية'!$I$2:$I$421,$I196,'الشؤون التنفيذية'!$N$2:$N$421,"&lt;&gt;")+COUNTIFS('الجهاز العسكري'!$B$2:$B$631,$B196,'الجهاز العسكري'!$G$2:$G$631,$G196,'الجهاز العسكري'!$I$2:$I$631,$I196,'الجهاز العسكري'!$M$2:$M$631,"&lt;&gt;")</f>
        <v>3</v>
      </c>
      <c r="N196" s="24" t="n">
        <f aca="false">IF($L196=0,0,ROUND((SUMIFS('المرتبطة بسمو الوزير'!$M$2:$M$151,'المرتبطة بسمو الوزير'!$B$2:$B$151,$B196,'المرتبطة بسمو الوزير'!$G$2:$G$151,$G196,'المرتبطة بسمو الوزير'!$I$2:$I$151,$I196)+SUMIFS('الشؤون التنفيذية'!$N$2:$N$421,'الشؤون التنفيذية'!$B$2:$B$421,$B196,'الشؤون التنفيذية'!$G$2:$G$421,$G196,'الشؤون التنفيذية'!$I$2:$I$421,$I196)+SUMIFS('الجهاز العسكري'!$M$2:$M$631,'الجهاز العسكري'!$B$2:$B$631,$B196,'الجهاز العسكري'!$G$2:$G$631,$G196,'الجهاز العسكري'!$I$2:$I$631,$I196))/$L196,0))</f>
        <v>57</v>
      </c>
      <c r="O196" s="25" t="n">
        <f aca="false">IF($L196=0,0,ROUND((SUMIFS('المرتبطة بسمو الوزير'!$N$2:$N$151,'المرتبطة بسمو الوزير'!$B$2:$B$151,$B196,'المرتبطة بسمو الوزير'!$G$2:$G$151,$G196,'المرتبطة بسمو الوزير'!$I$2:$I$151,$I196)+SUMIFS('الشؤون التنفيذية'!$O$2:$O$421,'الشؤون التنفيذية'!$B$2:$B$421,$B196,'الشؤون التنفيذية'!$G$2:$G$421,$G196,'الشؤون التنفيذية'!$I$2:$I$421,$I196)+SUMIFS('الجهاز العسكري'!$N$2:$N$631,'الجهاز العسكري'!$B$2:$B$631,$B196,'الجهاز العسكري'!$G$2:$G$631,$G196,'الجهاز العسكري'!$I$2:$I$631,$I196))/$L196,0))</f>
        <v>90</v>
      </c>
      <c r="P196" s="22"/>
      <c r="Q196" s="19" t="n">
        <f aca="false">SUMIFS(المرجع!$G$2:$G$19,المرجع!$B$2:$B$19,$G196,المرجع!$E$2:$E$19,$I196)</f>
        <v>15</v>
      </c>
      <c r="R196" s="26" t="n">
        <f aca="false">ROUND($Q196*$N196/100,2)</f>
        <v>8.55</v>
      </c>
      <c r="S196" s="27" t="str">
        <f aca="false">IF($N196&gt;المرجع!$K$3,"متقدم",IF($N196&lt;=المرجع!$K$2,"أولي","جزئي"))</f>
        <v>جزئي</v>
      </c>
      <c r="T196" s="28" t="n">
        <f aca="false">ROUND($Q196*$O196/100,2)</f>
        <v>13.5</v>
      </c>
    </row>
    <row r="197" customFormat="false" ht="15" hidden="false" customHeight="true" outlineLevel="0" collapsed="false">
      <c r="A197" s="20" t="s">
        <v>1649</v>
      </c>
      <c r="B197" s="20" t="s">
        <v>174</v>
      </c>
      <c r="C197" s="19" t="str">
        <f aca="false">IFERROR(INDEX('قائمة الوحدات'!$B$2:$B$41,MATCH($B197,'قائمة الوحدات'!$A$2:$A$41,0)),"")</f>
        <v>EXE</v>
      </c>
      <c r="D197" s="18" t="str">
        <f aca="false">IFERROR(INDEX('قائمة الوحدات'!$C$2:$C$41,MATCH($B197,'قائمة الوحدات'!$A$2:$A$41,0)),"")</f>
        <v>الشؤون التنفيذية</v>
      </c>
      <c r="E197" s="18" t="str">
        <f aca="false">IFERROR(INDEX('قائمة الوحدات'!$D$2:$D$41,MATCH($B197,'قائمة الوحدات'!$A$2:$A$41,0)),"")</f>
        <v>وكالة الشؤون الفنية</v>
      </c>
      <c r="F197" s="18" t="str">
        <f aca="false">IFERROR(INDEX('قائمة الوحدات'!$F$2:$F$41,MATCH($B197,'قائمة الوحدات'!$A$2:$A$41,0)),"")</f>
        <v>الإدارة العامة للأصول والمرافق</v>
      </c>
      <c r="G197" s="20" t="s">
        <v>66</v>
      </c>
      <c r="H197" s="18" t="str">
        <f aca="false">IFERROR(INDEX(المرجع!$A$2:$A$19,MATCH($G197,المرجع!$B$2:$B$19,0)),"")</f>
        <v>التشغيل</v>
      </c>
      <c r="I197" s="20" t="s">
        <v>57</v>
      </c>
      <c r="J197" s="18" t="str">
        <f aca="false">IFERROR(INDEX(المرجع!$D$2:$D$19,MATCH($I197,المرجع!$E$2:$E$19,0)),"")</f>
        <v>الموارد</v>
      </c>
      <c r="K197" s="19" t="n">
        <f aca="false">IFERROR(INDEX(المرجع!$F$2:$F$19,MATCH($I197,المرجع!$E$2:$E$19,0)),"")</f>
        <v>5</v>
      </c>
      <c r="L197" s="19" t="n">
        <f aca="false">SUMIFS(المرجع!$H$2:$H$19,المرجع!$B$2:$B$19,$G197,المرجع!$E$2:$E$19,$I197)</f>
        <v>1</v>
      </c>
      <c r="M197" s="19" t="n">
        <f aca="false">COUNTIFS('المرتبطة بسمو الوزير'!$B$2:$B$151,$B197,'المرتبطة بسمو الوزير'!$G$2:$G$151,$G197,'المرتبطة بسمو الوزير'!$I$2:$I$151,$I197,'المرتبطة بسمو الوزير'!$M$2:$M$151,"&lt;&gt;")+COUNTIFS('الشؤون التنفيذية'!$B$2:$B$421,$B197,'الشؤون التنفيذية'!$G$2:$G$421,$G197,'الشؤون التنفيذية'!$I$2:$I$421,$I197,'الشؤون التنفيذية'!$N$2:$N$421,"&lt;&gt;")+COUNTIFS('الجهاز العسكري'!$B$2:$B$631,$B197,'الجهاز العسكري'!$G$2:$G$631,$G197,'الجهاز العسكري'!$I$2:$I$631,$I197,'الجهاز العسكري'!$M$2:$M$631,"&lt;&gt;")</f>
        <v>1</v>
      </c>
      <c r="N197" s="24" t="n">
        <f aca="false">IF($L197=0,0,ROUND((SUMIFS('المرتبطة بسمو الوزير'!$M$2:$M$151,'المرتبطة بسمو الوزير'!$B$2:$B$151,$B197,'المرتبطة بسمو الوزير'!$G$2:$G$151,$G197,'المرتبطة بسمو الوزير'!$I$2:$I$151,$I197)+SUMIFS('الشؤون التنفيذية'!$N$2:$N$421,'الشؤون التنفيذية'!$B$2:$B$421,$B197,'الشؤون التنفيذية'!$G$2:$G$421,$G197,'الشؤون التنفيذية'!$I$2:$I$421,$I197)+SUMIFS('الجهاز العسكري'!$M$2:$M$631,'الجهاز العسكري'!$B$2:$B$631,$B197,'الجهاز العسكري'!$G$2:$G$631,$G197,'الجهاز العسكري'!$I$2:$I$631,$I197))/$L197,0))</f>
        <v>62</v>
      </c>
      <c r="O197" s="25" t="n">
        <f aca="false">IF($L197=0,0,ROUND((SUMIFS('المرتبطة بسمو الوزير'!$N$2:$N$151,'المرتبطة بسمو الوزير'!$B$2:$B$151,$B197,'المرتبطة بسمو الوزير'!$G$2:$G$151,$G197,'المرتبطة بسمو الوزير'!$I$2:$I$151,$I197)+SUMIFS('الشؤون التنفيذية'!$O$2:$O$421,'الشؤون التنفيذية'!$B$2:$B$421,$B197,'الشؤون التنفيذية'!$G$2:$G$421,$G197,'الشؤون التنفيذية'!$I$2:$I$421,$I197)+SUMIFS('الجهاز العسكري'!$N$2:$N$631,'الجهاز العسكري'!$B$2:$B$631,$B197,'الجهاز العسكري'!$G$2:$G$631,$G197,'الجهاز العسكري'!$I$2:$I$631,$I197))/$L197,0))</f>
        <v>95</v>
      </c>
      <c r="P197" s="22"/>
      <c r="Q197" s="19" t="n">
        <f aca="false">SUMIFS(المرجع!$G$2:$G$19,المرجع!$B$2:$B$19,$G197,المرجع!$E$2:$E$19,$I197)</f>
        <v>15</v>
      </c>
      <c r="R197" s="26" t="n">
        <f aca="false">ROUND($Q197*$N197/100,2)</f>
        <v>9.3</v>
      </c>
      <c r="S197" s="27" t="str">
        <f aca="false">IF($N197&gt;المرجع!$K$3,"متقدم",IF($N197&lt;=المرجع!$K$2,"أولي","جزئي"))</f>
        <v>جزئي</v>
      </c>
      <c r="T197" s="28" t="n">
        <f aca="false">ROUND($Q197*$O197/100,2)</f>
        <v>14.25</v>
      </c>
    </row>
    <row r="198" customFormat="false" ht="15" hidden="false" customHeight="true" outlineLevel="0" collapsed="false">
      <c r="A198" s="20" t="s">
        <v>1650</v>
      </c>
      <c r="B198" s="20" t="s">
        <v>174</v>
      </c>
      <c r="C198" s="19" t="str">
        <f aca="false">IFERROR(INDEX('قائمة الوحدات'!$B$2:$B$41,MATCH($B198,'قائمة الوحدات'!$A$2:$A$41,0)),"")</f>
        <v>EXE</v>
      </c>
      <c r="D198" s="18" t="str">
        <f aca="false">IFERROR(INDEX('قائمة الوحدات'!$C$2:$C$41,MATCH($B198,'قائمة الوحدات'!$A$2:$A$41,0)),"")</f>
        <v>الشؤون التنفيذية</v>
      </c>
      <c r="E198" s="18" t="str">
        <f aca="false">IFERROR(INDEX('قائمة الوحدات'!$D$2:$D$41,MATCH($B198,'قائمة الوحدات'!$A$2:$A$41,0)),"")</f>
        <v>وكالة الشؤون الفنية</v>
      </c>
      <c r="F198" s="18" t="str">
        <f aca="false">IFERROR(INDEX('قائمة الوحدات'!$F$2:$F$41,MATCH($B198,'قائمة الوحدات'!$A$2:$A$41,0)),"")</f>
        <v>الإدارة العامة للأصول والمرافق</v>
      </c>
      <c r="G198" s="20" t="s">
        <v>66</v>
      </c>
      <c r="H198" s="18" t="str">
        <f aca="false">IFERROR(INDEX(المرجع!$A$2:$A$19,MATCH($G198,المرجع!$B$2:$B$19,0)),"")</f>
        <v>التشغيل</v>
      </c>
      <c r="I198" s="20" t="s">
        <v>60</v>
      </c>
      <c r="J198" s="18" t="str">
        <f aca="false">IFERROR(INDEX(المرجع!$D$2:$D$19,MATCH($I198,المرجع!$E$2:$E$19,0)),"")</f>
        <v>الإجراءات</v>
      </c>
      <c r="K198" s="19" t="n">
        <f aca="false">IFERROR(INDEX(المرجع!$F$2:$F$19,MATCH($I198,المرجع!$E$2:$E$19,0)),"")</f>
        <v>6</v>
      </c>
      <c r="L198" s="19" t="n">
        <f aca="false">SUMIFS(المرجع!$H$2:$H$19,المرجع!$B$2:$B$19,$G198,المرجع!$E$2:$E$19,$I198)</f>
        <v>1</v>
      </c>
      <c r="M198" s="19" t="n">
        <f aca="false">COUNTIFS('المرتبطة بسمو الوزير'!$B$2:$B$151,$B198,'المرتبطة بسمو الوزير'!$G$2:$G$151,$G198,'المرتبطة بسمو الوزير'!$I$2:$I$151,$I198,'المرتبطة بسمو الوزير'!$M$2:$M$151,"&lt;&gt;")+COUNTIFS('الشؤون التنفيذية'!$B$2:$B$421,$B198,'الشؤون التنفيذية'!$G$2:$G$421,$G198,'الشؤون التنفيذية'!$I$2:$I$421,$I198,'الشؤون التنفيذية'!$N$2:$N$421,"&lt;&gt;")+COUNTIFS('الجهاز العسكري'!$B$2:$B$631,$B198,'الجهاز العسكري'!$G$2:$G$631,$G198,'الجهاز العسكري'!$I$2:$I$631,$I198,'الجهاز العسكري'!$M$2:$M$631,"&lt;&gt;")</f>
        <v>1</v>
      </c>
      <c r="N198" s="24" t="n">
        <f aca="false">IF($L198=0,0,ROUND((SUMIFS('المرتبطة بسمو الوزير'!$M$2:$M$151,'المرتبطة بسمو الوزير'!$B$2:$B$151,$B198,'المرتبطة بسمو الوزير'!$G$2:$G$151,$G198,'المرتبطة بسمو الوزير'!$I$2:$I$151,$I198)+SUMIFS('الشؤون التنفيذية'!$N$2:$N$421,'الشؤون التنفيذية'!$B$2:$B$421,$B198,'الشؤون التنفيذية'!$G$2:$G$421,$G198,'الشؤون التنفيذية'!$I$2:$I$421,$I198)+SUMIFS('الجهاز العسكري'!$M$2:$M$631,'الجهاز العسكري'!$B$2:$B$631,$B198,'الجهاز العسكري'!$G$2:$G$631,$G198,'الجهاز العسكري'!$I$2:$I$631,$I198))/$L198,0))</f>
        <v>33</v>
      </c>
      <c r="O198" s="25" t="n">
        <f aca="false">IF($L198=0,0,ROUND((SUMIFS('المرتبطة بسمو الوزير'!$N$2:$N$151,'المرتبطة بسمو الوزير'!$B$2:$B$151,$B198,'المرتبطة بسمو الوزير'!$G$2:$G$151,$G198,'المرتبطة بسمو الوزير'!$I$2:$I$151,$I198)+SUMIFS('الشؤون التنفيذية'!$O$2:$O$421,'الشؤون التنفيذية'!$B$2:$B$421,$B198,'الشؤون التنفيذية'!$G$2:$G$421,$G198,'الشؤون التنفيذية'!$I$2:$I$421,$I198)+SUMIFS('الجهاز العسكري'!$N$2:$N$631,'الجهاز العسكري'!$B$2:$B$631,$B198,'الجهاز العسكري'!$G$2:$G$631,$G198,'الجهاز العسكري'!$I$2:$I$631,$I198))/$L198,0))</f>
        <v>90</v>
      </c>
      <c r="P198" s="22"/>
      <c r="Q198" s="19" t="n">
        <f aca="false">SUMIFS(المرجع!$G$2:$G$19,المرجع!$B$2:$B$19,$G198,المرجع!$E$2:$E$19,$I198)</f>
        <v>15</v>
      </c>
      <c r="R198" s="26" t="n">
        <f aca="false">ROUND($Q198*$N198/100,2)</f>
        <v>4.95</v>
      </c>
      <c r="S198" s="27" t="str">
        <f aca="false">IF($N198&gt;المرجع!$K$3,"متقدم",IF($N198&lt;=المرجع!$K$2,"أولي","جزئي"))</f>
        <v>جزئي</v>
      </c>
      <c r="T198" s="28" t="n">
        <f aca="false">ROUND($Q198*$O198/100,2)</f>
        <v>13.5</v>
      </c>
    </row>
    <row r="199" customFormat="false" ht="15" hidden="false" customHeight="true" outlineLevel="0" collapsed="false">
      <c r="A199" s="20" t="s">
        <v>1651</v>
      </c>
      <c r="B199" s="20" t="s">
        <v>174</v>
      </c>
      <c r="C199" s="19" t="str">
        <f aca="false">IFERROR(INDEX('قائمة الوحدات'!$B$2:$B$41,MATCH($B199,'قائمة الوحدات'!$A$2:$A$41,0)),"")</f>
        <v>EXE</v>
      </c>
      <c r="D199" s="18" t="str">
        <f aca="false">IFERROR(INDEX('قائمة الوحدات'!$C$2:$C$41,MATCH($B199,'قائمة الوحدات'!$A$2:$A$41,0)),"")</f>
        <v>الشؤون التنفيذية</v>
      </c>
      <c r="E199" s="18" t="str">
        <f aca="false">IFERROR(INDEX('قائمة الوحدات'!$D$2:$D$41,MATCH($B199,'قائمة الوحدات'!$A$2:$A$41,0)),"")</f>
        <v>وكالة الشؤون الفنية</v>
      </c>
      <c r="F199" s="18" t="str">
        <f aca="false">IFERROR(INDEX('قائمة الوحدات'!$F$2:$F$41,MATCH($B199,'قائمة الوحدات'!$A$2:$A$41,0)),"")</f>
        <v>الإدارة العامة للأصول والمرافق</v>
      </c>
      <c r="G199" s="20" t="s">
        <v>66</v>
      </c>
      <c r="H199" s="18" t="str">
        <f aca="false">IFERROR(INDEX(المرجع!$A$2:$A$19,MATCH($G199,المرجع!$B$2:$B$19,0)),"")</f>
        <v>التشغيل</v>
      </c>
      <c r="I199" s="20" t="s">
        <v>71</v>
      </c>
      <c r="J199" s="18" t="str">
        <f aca="false">IFERROR(INDEX(المرجع!$D$2:$D$19,MATCH($I199,المرجع!$E$2:$E$19,0)),"")</f>
        <v>اكتمال المخرجات المستهدفة</v>
      </c>
      <c r="K199" s="19" t="n">
        <f aca="false">IFERROR(INDEX(المرجع!$F$2:$F$19,MATCH($I199,المرجع!$E$2:$E$19,0)),"")</f>
        <v>8</v>
      </c>
      <c r="L199" s="19" t="n">
        <f aca="false">SUMIFS(المرجع!$H$2:$H$19,المرجع!$B$2:$B$19,$G199,المرجع!$E$2:$E$19,$I199)</f>
        <v>1</v>
      </c>
      <c r="M199" s="19" t="n">
        <f aca="false">COUNTIFS('المرتبطة بسمو الوزير'!$B$2:$B$151,$B199,'المرتبطة بسمو الوزير'!$G$2:$G$151,$G199,'المرتبطة بسمو الوزير'!$I$2:$I$151,$I199,'المرتبطة بسمو الوزير'!$M$2:$M$151,"&lt;&gt;")+COUNTIFS('الشؤون التنفيذية'!$B$2:$B$421,$B199,'الشؤون التنفيذية'!$G$2:$G$421,$G199,'الشؤون التنفيذية'!$I$2:$I$421,$I199,'الشؤون التنفيذية'!$N$2:$N$421,"&lt;&gt;")+COUNTIFS('الجهاز العسكري'!$B$2:$B$631,$B199,'الجهاز العسكري'!$G$2:$G$631,$G199,'الجهاز العسكري'!$I$2:$I$631,$I199,'الجهاز العسكري'!$M$2:$M$631,"&lt;&gt;")</f>
        <v>1</v>
      </c>
      <c r="N199" s="24" t="n">
        <f aca="false">IF($L199=0,0,ROUND((SUMIFS('المرتبطة بسمو الوزير'!$M$2:$M$151,'المرتبطة بسمو الوزير'!$B$2:$B$151,$B199,'المرتبطة بسمو الوزير'!$G$2:$G$151,$G199,'المرتبطة بسمو الوزير'!$I$2:$I$151,$I199)+SUMIFS('الشؤون التنفيذية'!$N$2:$N$421,'الشؤون التنفيذية'!$B$2:$B$421,$B199,'الشؤون التنفيذية'!$G$2:$G$421,$G199,'الشؤون التنفيذية'!$I$2:$I$421,$I199)+SUMIFS('الجهاز العسكري'!$M$2:$M$631,'الجهاز العسكري'!$B$2:$B$631,$B199,'الجهاز العسكري'!$G$2:$G$631,$G199,'الجهاز العسكري'!$I$2:$I$631,$I199))/$L199,0))</f>
        <v>41</v>
      </c>
      <c r="O199" s="25" t="n">
        <f aca="false">IF($L199=0,0,ROUND((SUMIFS('المرتبطة بسمو الوزير'!$N$2:$N$151,'المرتبطة بسمو الوزير'!$B$2:$B$151,$B199,'المرتبطة بسمو الوزير'!$G$2:$G$151,$G199,'المرتبطة بسمو الوزير'!$I$2:$I$151,$I199)+SUMIFS('الشؤون التنفيذية'!$O$2:$O$421,'الشؤون التنفيذية'!$B$2:$B$421,$B199,'الشؤون التنفيذية'!$G$2:$G$421,$G199,'الشؤون التنفيذية'!$I$2:$I$421,$I199)+SUMIFS('الجهاز العسكري'!$N$2:$N$631,'الجهاز العسكري'!$B$2:$B$631,$B199,'الجهاز العسكري'!$G$2:$G$631,$G199,'الجهاز العسكري'!$I$2:$I$631,$I199))/$L199,0))</f>
        <v>85</v>
      </c>
      <c r="P199" s="22"/>
      <c r="Q199" s="19" t="n">
        <f aca="false">SUMIFS(المرجع!$G$2:$G$19,المرجع!$B$2:$B$19,$G199,المرجع!$E$2:$E$19,$I199)</f>
        <v>30</v>
      </c>
      <c r="R199" s="26" t="n">
        <f aca="false">ROUND($Q199*$N199/100,2)</f>
        <v>12.3</v>
      </c>
      <c r="S199" s="27" t="str">
        <f aca="false">IF($N199&gt;المرجع!$K$3,"متقدم",IF($N199&lt;=المرجع!$K$2,"أولي","جزئي"))</f>
        <v>جزئي</v>
      </c>
      <c r="T199" s="28" t="n">
        <f aca="false">ROUND($Q199*$O199/100,2)</f>
        <v>25.5</v>
      </c>
    </row>
    <row r="200" customFormat="false" ht="15" hidden="false" customHeight="true" outlineLevel="0" collapsed="false">
      <c r="A200" s="20" t="s">
        <v>1652</v>
      </c>
      <c r="B200" s="20" t="s">
        <v>176</v>
      </c>
      <c r="C200" s="19" t="str">
        <f aca="false">IFERROR(INDEX('قائمة الوحدات'!$B$2:$B$41,MATCH($B200,'قائمة الوحدات'!$A$2:$A$41,0)),"")</f>
        <v>EXE</v>
      </c>
      <c r="D200" s="18" t="str">
        <f aca="false">IFERROR(INDEX('قائمة الوحدات'!$C$2:$C$41,MATCH($B200,'قائمة الوحدات'!$A$2:$A$41,0)),"")</f>
        <v>الشؤون التنفيذية</v>
      </c>
      <c r="E200" s="18" t="str">
        <f aca="false">IFERROR(INDEX('قائمة الوحدات'!$D$2:$D$41,MATCH($B200,'قائمة الوحدات'!$A$2:$A$41,0)),"")</f>
        <v>وكالة الشؤون الفنية</v>
      </c>
      <c r="F200" s="18" t="str">
        <f aca="false">IFERROR(INDEX('قائمة الوحدات'!$F$2:$F$41,MATCH($B200,'قائمة الوحدات'!$A$2:$A$41,0)),"")</f>
        <v>الإدارة العامة للأمن والحماية</v>
      </c>
      <c r="G200" s="20" t="s">
        <v>44</v>
      </c>
      <c r="H200" s="18" t="str">
        <f aca="false">IFERROR(INDEX(المرجع!$A$2:$A$19,MATCH($G200,المرجع!$B$2:$B$19,0)),"")</f>
        <v>التصميم</v>
      </c>
      <c r="I200" s="20" t="s">
        <v>46</v>
      </c>
      <c r="J200" s="18" t="str">
        <f aca="false">IFERROR(INDEX(المرجع!$D$2:$D$19,MATCH($I200,المرجع!$E$2:$E$19,0)),"")</f>
        <v>الدور</v>
      </c>
      <c r="K200" s="19" t="n">
        <f aca="false">IFERROR(INDEX(المرجع!$F$2:$F$19,MATCH($I200,المرجع!$E$2:$E$19,0)),"")</f>
        <v>1</v>
      </c>
      <c r="L200" s="19" t="n">
        <f aca="false">SUMIFS(المرجع!$H$2:$H$19,المرجع!$B$2:$B$19,$G200,المرجع!$E$2:$E$19,$I200)</f>
        <v>1</v>
      </c>
      <c r="M200" s="19" t="n">
        <f aca="false">COUNTIFS('المرتبطة بسمو الوزير'!$B$2:$B$151,$B200,'المرتبطة بسمو الوزير'!$G$2:$G$151,$G200,'المرتبطة بسمو الوزير'!$I$2:$I$151,$I200,'المرتبطة بسمو الوزير'!$M$2:$M$151,"&lt;&gt;")+COUNTIFS('الشؤون التنفيذية'!$B$2:$B$421,$B200,'الشؤون التنفيذية'!$G$2:$G$421,$G200,'الشؤون التنفيذية'!$I$2:$I$421,$I200,'الشؤون التنفيذية'!$N$2:$N$421,"&lt;&gt;")+COUNTIFS('الجهاز العسكري'!$B$2:$B$631,$B200,'الجهاز العسكري'!$G$2:$G$631,$G200,'الجهاز العسكري'!$I$2:$I$631,$I200,'الجهاز العسكري'!$M$2:$M$631,"&lt;&gt;")</f>
        <v>1</v>
      </c>
      <c r="N200" s="24" t="n">
        <f aca="false">IF($L200=0,0,ROUND((SUMIFS('المرتبطة بسمو الوزير'!$M$2:$M$151,'المرتبطة بسمو الوزير'!$B$2:$B$151,$B200,'المرتبطة بسمو الوزير'!$G$2:$G$151,$G200,'المرتبطة بسمو الوزير'!$I$2:$I$151,$I200)+SUMIFS('الشؤون التنفيذية'!$N$2:$N$421,'الشؤون التنفيذية'!$B$2:$B$421,$B200,'الشؤون التنفيذية'!$G$2:$G$421,$G200,'الشؤون التنفيذية'!$I$2:$I$421,$I200)+SUMIFS('الجهاز العسكري'!$M$2:$M$631,'الجهاز العسكري'!$B$2:$B$631,$B200,'الجهاز العسكري'!$G$2:$G$631,$G200,'الجهاز العسكري'!$I$2:$I$631,$I200))/$L200,0))</f>
        <v>78</v>
      </c>
      <c r="O200" s="25" t="n">
        <f aca="false">IF($L200=0,0,ROUND((SUMIFS('المرتبطة بسمو الوزير'!$N$2:$N$151,'المرتبطة بسمو الوزير'!$B$2:$B$151,$B200,'المرتبطة بسمو الوزير'!$G$2:$G$151,$G200,'المرتبطة بسمو الوزير'!$I$2:$I$151,$I200)+SUMIFS('الشؤون التنفيذية'!$O$2:$O$421,'الشؤون التنفيذية'!$B$2:$B$421,$B200,'الشؤون التنفيذية'!$G$2:$G$421,$G200,'الشؤون التنفيذية'!$I$2:$I$421,$I200)+SUMIFS('الجهاز العسكري'!$N$2:$N$631,'الجهاز العسكري'!$B$2:$B$631,$B200,'الجهاز العسكري'!$G$2:$G$631,$G200,'الجهاز العسكري'!$I$2:$I$631,$I200))/$L200,0))</f>
        <v>100</v>
      </c>
      <c r="P200" s="22"/>
      <c r="Q200" s="19" t="n">
        <f aca="false">SUMIFS(المرجع!$G$2:$G$19,المرجع!$B$2:$B$19,$G200,المرجع!$E$2:$E$19,$I200)</f>
        <v>25</v>
      </c>
      <c r="R200" s="26" t="n">
        <f aca="false">ROUND($Q200*$N200/100,2)</f>
        <v>19.5</v>
      </c>
      <c r="S200" s="27" t="str">
        <f aca="false">IF($N200&gt;المرجع!$K$3,"متقدم",IF($N200&lt;=المرجع!$K$2,"أولي","جزئي"))</f>
        <v>متقدم</v>
      </c>
      <c r="T200" s="28" t="n">
        <f aca="false">ROUND($Q200*$O200/100,2)</f>
        <v>25</v>
      </c>
    </row>
    <row r="201" customFormat="false" ht="15" hidden="false" customHeight="true" outlineLevel="0" collapsed="false">
      <c r="A201" s="20" t="s">
        <v>1653</v>
      </c>
      <c r="B201" s="20" t="s">
        <v>176</v>
      </c>
      <c r="C201" s="19" t="str">
        <f aca="false">IFERROR(INDEX('قائمة الوحدات'!$B$2:$B$41,MATCH($B201,'قائمة الوحدات'!$A$2:$A$41,0)),"")</f>
        <v>EXE</v>
      </c>
      <c r="D201" s="18" t="str">
        <f aca="false">IFERROR(INDEX('قائمة الوحدات'!$C$2:$C$41,MATCH($B201,'قائمة الوحدات'!$A$2:$A$41,0)),"")</f>
        <v>الشؤون التنفيذية</v>
      </c>
      <c r="E201" s="18" t="str">
        <f aca="false">IFERROR(INDEX('قائمة الوحدات'!$D$2:$D$41,MATCH($B201,'قائمة الوحدات'!$A$2:$A$41,0)),"")</f>
        <v>وكالة الشؤون الفنية</v>
      </c>
      <c r="F201" s="18" t="str">
        <f aca="false">IFERROR(INDEX('قائمة الوحدات'!$F$2:$F$41,MATCH($B201,'قائمة الوحدات'!$A$2:$A$41,0)),"")</f>
        <v>الإدارة العامة للأمن والحماية</v>
      </c>
      <c r="G201" s="20" t="s">
        <v>44</v>
      </c>
      <c r="H201" s="18" t="str">
        <f aca="false">IFERROR(INDEX(المرجع!$A$2:$A$19,MATCH($G201,المرجع!$B$2:$B$19,0)),"")</f>
        <v>التصميم</v>
      </c>
      <c r="I201" s="20" t="s">
        <v>49</v>
      </c>
      <c r="J201" s="18" t="str">
        <f aca="false">IFERROR(INDEX(المرجع!$D$2:$D$19,MATCH($I201,المرجع!$E$2:$E$19,0)),"")</f>
        <v>الأهداف ومؤشرات الأداء</v>
      </c>
      <c r="K201" s="19" t="n">
        <f aca="false">IFERROR(INDEX(المرجع!$F$2:$F$19,MATCH($I201,المرجع!$E$2:$E$19,0)),"")</f>
        <v>2</v>
      </c>
      <c r="L201" s="19" t="n">
        <f aca="false">SUMIFS(المرجع!$H$2:$H$19,المرجع!$B$2:$B$19,$G201,المرجع!$E$2:$E$19,$I201)</f>
        <v>2</v>
      </c>
      <c r="M201" s="19" t="n">
        <f aca="false">COUNTIFS('المرتبطة بسمو الوزير'!$B$2:$B$151,$B201,'المرتبطة بسمو الوزير'!$G$2:$G$151,$G201,'المرتبطة بسمو الوزير'!$I$2:$I$151,$I201,'المرتبطة بسمو الوزير'!$M$2:$M$151,"&lt;&gt;")+COUNTIFS('الشؤون التنفيذية'!$B$2:$B$421,$B201,'الشؤون التنفيذية'!$G$2:$G$421,$G201,'الشؤون التنفيذية'!$I$2:$I$421,$I201,'الشؤون التنفيذية'!$N$2:$N$421,"&lt;&gt;")+COUNTIFS('الجهاز العسكري'!$B$2:$B$631,$B201,'الجهاز العسكري'!$G$2:$G$631,$G201,'الجهاز العسكري'!$I$2:$I$631,$I201,'الجهاز العسكري'!$M$2:$M$631,"&lt;&gt;")</f>
        <v>2</v>
      </c>
      <c r="N201" s="24" t="n">
        <f aca="false">IF($L201=0,0,ROUND((SUMIFS('المرتبطة بسمو الوزير'!$M$2:$M$151,'المرتبطة بسمو الوزير'!$B$2:$B$151,$B201,'المرتبطة بسمو الوزير'!$G$2:$G$151,$G201,'المرتبطة بسمو الوزير'!$I$2:$I$151,$I201)+SUMIFS('الشؤون التنفيذية'!$N$2:$N$421,'الشؤون التنفيذية'!$B$2:$B$421,$B201,'الشؤون التنفيذية'!$G$2:$G$421,$G201,'الشؤون التنفيذية'!$I$2:$I$421,$I201)+SUMIFS('الجهاز العسكري'!$M$2:$M$631,'الجهاز العسكري'!$B$2:$B$631,$B201,'الجهاز العسكري'!$G$2:$G$631,$G201,'الجهاز العسكري'!$I$2:$I$631,$I201))/$L201,0))</f>
        <v>85</v>
      </c>
      <c r="O201" s="25" t="n">
        <f aca="false">IF($L201=0,0,ROUND((SUMIFS('المرتبطة بسمو الوزير'!$N$2:$N$151,'المرتبطة بسمو الوزير'!$B$2:$B$151,$B201,'المرتبطة بسمو الوزير'!$G$2:$G$151,$G201,'المرتبطة بسمو الوزير'!$I$2:$I$151,$I201)+SUMIFS('الشؤون التنفيذية'!$O$2:$O$421,'الشؤون التنفيذية'!$B$2:$B$421,$B201,'الشؤون التنفيذية'!$G$2:$G$421,$G201,'الشؤون التنفيذية'!$I$2:$I$421,$I201)+SUMIFS('الجهاز العسكري'!$N$2:$N$631,'الجهاز العسكري'!$B$2:$B$631,$B201,'الجهاز العسكري'!$G$2:$G$631,$G201,'الجهاز العسكري'!$I$2:$I$631,$I201))/$L201,0))</f>
        <v>95</v>
      </c>
      <c r="P201" s="22"/>
      <c r="Q201" s="19" t="n">
        <f aca="false">SUMIFS(المرجع!$G$2:$G$19,المرجع!$B$2:$B$19,$G201,المرجع!$E$2:$E$19,$I201)</f>
        <v>15</v>
      </c>
      <c r="R201" s="26" t="n">
        <f aca="false">ROUND($Q201*$N201/100,2)</f>
        <v>12.75</v>
      </c>
      <c r="S201" s="27" t="str">
        <f aca="false">IF($N201&gt;المرجع!$K$3,"متقدم",IF($N201&lt;=المرجع!$K$2,"أولي","جزئي"))</f>
        <v>متقدم</v>
      </c>
      <c r="T201" s="28" t="n">
        <f aca="false">ROUND($Q201*$O201/100,2)</f>
        <v>14.25</v>
      </c>
    </row>
    <row r="202" customFormat="false" ht="15" hidden="false" customHeight="true" outlineLevel="0" collapsed="false">
      <c r="A202" s="20" t="s">
        <v>1654</v>
      </c>
      <c r="B202" s="20" t="s">
        <v>176</v>
      </c>
      <c r="C202" s="19" t="str">
        <f aca="false">IFERROR(INDEX('قائمة الوحدات'!$B$2:$B$41,MATCH($B202,'قائمة الوحدات'!$A$2:$A$41,0)),"")</f>
        <v>EXE</v>
      </c>
      <c r="D202" s="18" t="str">
        <f aca="false">IFERROR(INDEX('قائمة الوحدات'!$C$2:$C$41,MATCH($B202,'قائمة الوحدات'!$A$2:$A$41,0)),"")</f>
        <v>الشؤون التنفيذية</v>
      </c>
      <c r="E202" s="18" t="str">
        <f aca="false">IFERROR(INDEX('قائمة الوحدات'!$D$2:$D$41,MATCH($B202,'قائمة الوحدات'!$A$2:$A$41,0)),"")</f>
        <v>وكالة الشؤون الفنية</v>
      </c>
      <c r="F202" s="18" t="str">
        <f aca="false">IFERROR(INDEX('قائمة الوحدات'!$F$2:$F$41,MATCH($B202,'قائمة الوحدات'!$A$2:$A$41,0)),"")</f>
        <v>الإدارة العامة للأمن والحماية</v>
      </c>
      <c r="G202" s="20" t="s">
        <v>44</v>
      </c>
      <c r="H202" s="18" t="str">
        <f aca="false">IFERROR(INDEX(المرجع!$A$2:$A$19,MATCH($G202,المرجع!$B$2:$B$19,0)),"")</f>
        <v>التصميم</v>
      </c>
      <c r="I202" s="20" t="s">
        <v>52</v>
      </c>
      <c r="J202" s="18" t="str">
        <f aca="false">IFERROR(INDEX(المرجع!$D$2:$D$19,MATCH($I202,المرجع!$E$2:$E$19,0)),"")</f>
        <v>الحوكمة</v>
      </c>
      <c r="K202" s="19" t="n">
        <f aca="false">IFERROR(INDEX(المرجع!$F$2:$F$19,MATCH($I202,المرجع!$E$2:$E$19,0)),"")</f>
        <v>3</v>
      </c>
      <c r="L202" s="19" t="n">
        <f aca="false">SUMIFS(المرجع!$H$2:$H$19,المرجع!$B$2:$B$19,$G202,المرجع!$E$2:$E$19,$I202)</f>
        <v>1</v>
      </c>
      <c r="M202" s="19" t="n">
        <f aca="false">COUNTIFS('المرتبطة بسمو الوزير'!$B$2:$B$151,$B202,'المرتبطة بسمو الوزير'!$G$2:$G$151,$G202,'المرتبطة بسمو الوزير'!$I$2:$I$151,$I202,'المرتبطة بسمو الوزير'!$M$2:$M$151,"&lt;&gt;")+COUNTIFS('الشؤون التنفيذية'!$B$2:$B$421,$B202,'الشؤون التنفيذية'!$G$2:$G$421,$G202,'الشؤون التنفيذية'!$I$2:$I$421,$I202,'الشؤون التنفيذية'!$N$2:$N$421,"&lt;&gt;")+COUNTIFS('الجهاز العسكري'!$B$2:$B$631,$B202,'الجهاز العسكري'!$G$2:$G$631,$G202,'الجهاز العسكري'!$I$2:$I$631,$I202,'الجهاز العسكري'!$M$2:$M$631,"&lt;&gt;")</f>
        <v>1</v>
      </c>
      <c r="N202" s="24" t="n">
        <f aca="false">IF($L202=0,0,ROUND((SUMIFS('المرتبطة بسمو الوزير'!$M$2:$M$151,'المرتبطة بسمو الوزير'!$B$2:$B$151,$B202,'المرتبطة بسمو الوزير'!$G$2:$G$151,$G202,'المرتبطة بسمو الوزير'!$I$2:$I$151,$I202)+SUMIFS('الشؤون التنفيذية'!$N$2:$N$421,'الشؤون التنفيذية'!$B$2:$B$421,$B202,'الشؤون التنفيذية'!$G$2:$G$421,$G202,'الشؤون التنفيذية'!$I$2:$I$421,$I202)+SUMIFS('الجهاز العسكري'!$M$2:$M$631,'الجهاز العسكري'!$B$2:$B$631,$B202,'الجهاز العسكري'!$G$2:$G$631,$G202,'الجهاز العسكري'!$I$2:$I$631,$I202))/$L202,0))</f>
        <v>74</v>
      </c>
      <c r="O202" s="25" t="n">
        <f aca="false">IF($L202=0,0,ROUND((SUMIFS('المرتبطة بسمو الوزير'!$N$2:$N$151,'المرتبطة بسمو الوزير'!$B$2:$B$151,$B202,'المرتبطة بسمو الوزير'!$G$2:$G$151,$G202,'المرتبطة بسمو الوزير'!$I$2:$I$151,$I202)+SUMIFS('الشؤون التنفيذية'!$O$2:$O$421,'الشؤون التنفيذية'!$B$2:$B$421,$B202,'الشؤون التنفيذية'!$G$2:$G$421,$G202,'الشؤون التنفيذية'!$I$2:$I$421,$I202)+SUMIFS('الجهاز العسكري'!$N$2:$N$631,'الجهاز العسكري'!$B$2:$B$631,$B202,'الجهاز العسكري'!$G$2:$G$631,$G202,'الجهاز العسكري'!$I$2:$I$631,$I202))/$L202,0))</f>
        <v>95</v>
      </c>
      <c r="P202" s="22"/>
      <c r="Q202" s="19" t="n">
        <f aca="false">SUMIFS(المرجع!$G$2:$G$19,المرجع!$B$2:$B$19,$G202,المرجع!$E$2:$E$19,$I202)</f>
        <v>15</v>
      </c>
      <c r="R202" s="26" t="n">
        <f aca="false">ROUND($Q202*$N202/100,2)</f>
        <v>11.1</v>
      </c>
      <c r="S202" s="27" t="str">
        <f aca="false">IF($N202&gt;المرجع!$K$3,"متقدم",IF($N202&lt;=المرجع!$K$2,"أولي","جزئي"))</f>
        <v>متقدم</v>
      </c>
      <c r="T202" s="28" t="n">
        <f aca="false">ROUND($Q202*$O202/100,2)</f>
        <v>14.25</v>
      </c>
    </row>
    <row r="203" customFormat="false" ht="15" hidden="false" customHeight="true" outlineLevel="0" collapsed="false">
      <c r="A203" s="20" t="s">
        <v>1655</v>
      </c>
      <c r="B203" s="20" t="s">
        <v>176</v>
      </c>
      <c r="C203" s="19" t="str">
        <f aca="false">IFERROR(INDEX('قائمة الوحدات'!$B$2:$B$41,MATCH($B203,'قائمة الوحدات'!$A$2:$A$41,0)),"")</f>
        <v>EXE</v>
      </c>
      <c r="D203" s="18" t="str">
        <f aca="false">IFERROR(INDEX('قائمة الوحدات'!$C$2:$C$41,MATCH($B203,'قائمة الوحدات'!$A$2:$A$41,0)),"")</f>
        <v>الشؤون التنفيذية</v>
      </c>
      <c r="E203" s="18" t="str">
        <f aca="false">IFERROR(INDEX('قائمة الوحدات'!$D$2:$D$41,MATCH($B203,'قائمة الوحدات'!$A$2:$A$41,0)),"")</f>
        <v>وكالة الشؤون الفنية</v>
      </c>
      <c r="F203" s="18" t="str">
        <f aca="false">IFERROR(INDEX('قائمة الوحدات'!$F$2:$F$41,MATCH($B203,'قائمة الوحدات'!$A$2:$A$41,0)),"")</f>
        <v>الإدارة العامة للأمن والحماية</v>
      </c>
      <c r="G203" s="20" t="s">
        <v>44</v>
      </c>
      <c r="H203" s="18" t="str">
        <f aca="false">IFERROR(INDEX(المرجع!$A$2:$A$19,MATCH($G203,المرجع!$B$2:$B$19,0)),"")</f>
        <v>التصميم</v>
      </c>
      <c r="I203" s="20" t="s">
        <v>55</v>
      </c>
      <c r="J203" s="18" t="str">
        <f aca="false">IFERROR(INDEX(المرجع!$D$2:$D$19,MATCH($I203,المرجع!$E$2:$E$19,0)),"")</f>
        <v>التنظيم</v>
      </c>
      <c r="K203" s="19" t="n">
        <f aca="false">IFERROR(INDEX(المرجع!$F$2:$F$19,MATCH($I203,المرجع!$E$2:$E$19,0)),"")</f>
        <v>4</v>
      </c>
      <c r="L203" s="19" t="n">
        <f aca="false">SUMIFS(المرجع!$H$2:$H$19,المرجع!$B$2:$B$19,$G203,المرجع!$E$2:$E$19,$I203)</f>
        <v>1</v>
      </c>
      <c r="M203" s="19" t="n">
        <f aca="false">COUNTIFS('المرتبطة بسمو الوزير'!$B$2:$B$151,$B203,'المرتبطة بسمو الوزير'!$G$2:$G$151,$G203,'المرتبطة بسمو الوزير'!$I$2:$I$151,$I203,'المرتبطة بسمو الوزير'!$M$2:$M$151,"&lt;&gt;")+COUNTIFS('الشؤون التنفيذية'!$B$2:$B$421,$B203,'الشؤون التنفيذية'!$G$2:$G$421,$G203,'الشؤون التنفيذية'!$I$2:$I$421,$I203,'الشؤون التنفيذية'!$N$2:$N$421,"&lt;&gt;")+COUNTIFS('الجهاز العسكري'!$B$2:$B$631,$B203,'الجهاز العسكري'!$G$2:$G$631,$G203,'الجهاز العسكري'!$I$2:$I$631,$I203,'الجهاز العسكري'!$M$2:$M$631,"&lt;&gt;")</f>
        <v>1</v>
      </c>
      <c r="N203" s="24" t="n">
        <f aca="false">IF($L203=0,0,ROUND((SUMIFS('المرتبطة بسمو الوزير'!$M$2:$M$151,'المرتبطة بسمو الوزير'!$B$2:$B$151,$B203,'المرتبطة بسمو الوزير'!$G$2:$G$151,$G203,'المرتبطة بسمو الوزير'!$I$2:$I$151,$I203)+SUMIFS('الشؤون التنفيذية'!$N$2:$N$421,'الشؤون التنفيذية'!$B$2:$B$421,$B203,'الشؤون التنفيذية'!$G$2:$G$421,$G203,'الشؤون التنفيذية'!$I$2:$I$421,$I203)+SUMIFS('الجهاز العسكري'!$M$2:$M$631,'الجهاز العسكري'!$B$2:$B$631,$B203,'الجهاز العسكري'!$G$2:$G$631,$G203,'الجهاز العسكري'!$I$2:$I$631,$I203))/$L203,0))</f>
        <v>94</v>
      </c>
      <c r="O203" s="25" t="n">
        <f aca="false">IF($L203=0,0,ROUND((SUMIFS('المرتبطة بسمو الوزير'!$N$2:$N$151,'المرتبطة بسمو الوزير'!$B$2:$B$151,$B203,'المرتبطة بسمو الوزير'!$G$2:$G$151,$G203,'المرتبطة بسمو الوزير'!$I$2:$I$151,$I203)+SUMIFS('الشؤون التنفيذية'!$O$2:$O$421,'الشؤون التنفيذية'!$B$2:$B$421,$B203,'الشؤون التنفيذية'!$G$2:$G$421,$G203,'الشؤون التنفيذية'!$I$2:$I$421,$I203)+SUMIFS('الجهاز العسكري'!$N$2:$N$631,'الجهاز العسكري'!$B$2:$B$631,$B203,'الجهاز العسكري'!$G$2:$G$631,$G203,'الجهاز العسكري'!$I$2:$I$631,$I203))/$L203,0))</f>
        <v>100</v>
      </c>
      <c r="P203" s="22"/>
      <c r="Q203" s="19" t="n">
        <f aca="false">SUMIFS(المرجع!$G$2:$G$19,المرجع!$B$2:$B$19,$G203,المرجع!$E$2:$E$19,$I203)</f>
        <v>20</v>
      </c>
      <c r="R203" s="26" t="n">
        <f aca="false">ROUND($Q203*$N203/100,2)</f>
        <v>18.8</v>
      </c>
      <c r="S203" s="27" t="str">
        <f aca="false">IF($N203&gt;المرجع!$K$3,"متقدم",IF($N203&lt;=المرجع!$K$2,"أولي","جزئي"))</f>
        <v>متقدم</v>
      </c>
      <c r="T203" s="28" t="n">
        <f aca="false">ROUND($Q203*$O203/100,2)</f>
        <v>20</v>
      </c>
    </row>
    <row r="204" customFormat="false" ht="15" hidden="false" customHeight="true" outlineLevel="0" collapsed="false">
      <c r="A204" s="20" t="s">
        <v>1656</v>
      </c>
      <c r="B204" s="20" t="s">
        <v>176</v>
      </c>
      <c r="C204" s="19" t="str">
        <f aca="false">IFERROR(INDEX('قائمة الوحدات'!$B$2:$B$41,MATCH($B204,'قائمة الوحدات'!$A$2:$A$41,0)),"")</f>
        <v>EXE</v>
      </c>
      <c r="D204" s="18" t="str">
        <f aca="false">IFERROR(INDEX('قائمة الوحدات'!$C$2:$C$41,MATCH($B204,'قائمة الوحدات'!$A$2:$A$41,0)),"")</f>
        <v>الشؤون التنفيذية</v>
      </c>
      <c r="E204" s="18" t="str">
        <f aca="false">IFERROR(INDEX('قائمة الوحدات'!$D$2:$D$41,MATCH($B204,'قائمة الوحدات'!$A$2:$A$41,0)),"")</f>
        <v>وكالة الشؤون الفنية</v>
      </c>
      <c r="F204" s="18" t="str">
        <f aca="false">IFERROR(INDEX('قائمة الوحدات'!$F$2:$F$41,MATCH($B204,'قائمة الوحدات'!$A$2:$A$41,0)),"")</f>
        <v>الإدارة العامة للأمن والحماية</v>
      </c>
      <c r="G204" s="20" t="s">
        <v>44</v>
      </c>
      <c r="H204" s="18" t="str">
        <f aca="false">IFERROR(INDEX(المرجع!$A$2:$A$19,MATCH($G204,المرجع!$B$2:$B$19,0)),"")</f>
        <v>التصميم</v>
      </c>
      <c r="I204" s="20" t="s">
        <v>57</v>
      </c>
      <c r="J204" s="18" t="str">
        <f aca="false">IFERROR(INDEX(المرجع!$D$2:$D$19,MATCH($I204,المرجع!$E$2:$E$19,0)),"")</f>
        <v>الموارد</v>
      </c>
      <c r="K204" s="19" t="n">
        <f aca="false">IFERROR(INDEX(المرجع!$F$2:$F$19,MATCH($I204,المرجع!$E$2:$E$19,0)),"")</f>
        <v>5</v>
      </c>
      <c r="L204" s="19" t="n">
        <f aca="false">SUMIFS(المرجع!$H$2:$H$19,المرجع!$B$2:$B$19,$G204,المرجع!$E$2:$E$19,$I204)</f>
        <v>1</v>
      </c>
      <c r="M204" s="19" t="n">
        <f aca="false">COUNTIFS('المرتبطة بسمو الوزير'!$B$2:$B$151,$B204,'المرتبطة بسمو الوزير'!$G$2:$G$151,$G204,'المرتبطة بسمو الوزير'!$I$2:$I$151,$I204,'المرتبطة بسمو الوزير'!$M$2:$M$151,"&lt;&gt;")+COUNTIFS('الشؤون التنفيذية'!$B$2:$B$421,$B204,'الشؤون التنفيذية'!$G$2:$G$421,$G204,'الشؤون التنفيذية'!$I$2:$I$421,$I204,'الشؤون التنفيذية'!$N$2:$N$421,"&lt;&gt;")+COUNTIFS('الجهاز العسكري'!$B$2:$B$631,$B204,'الجهاز العسكري'!$G$2:$G$631,$G204,'الجهاز العسكري'!$I$2:$I$631,$I204,'الجهاز العسكري'!$M$2:$M$631,"&lt;&gt;")</f>
        <v>1</v>
      </c>
      <c r="N204" s="24" t="n">
        <f aca="false">IF($L204=0,0,ROUND((SUMIFS('المرتبطة بسمو الوزير'!$M$2:$M$151,'المرتبطة بسمو الوزير'!$B$2:$B$151,$B204,'المرتبطة بسمو الوزير'!$G$2:$G$151,$G204,'المرتبطة بسمو الوزير'!$I$2:$I$151,$I204)+SUMIFS('الشؤون التنفيذية'!$N$2:$N$421,'الشؤون التنفيذية'!$B$2:$B$421,$B204,'الشؤون التنفيذية'!$G$2:$G$421,$G204,'الشؤون التنفيذية'!$I$2:$I$421,$I204)+SUMIFS('الجهاز العسكري'!$M$2:$M$631,'الجهاز العسكري'!$B$2:$B$631,$B204,'الجهاز العسكري'!$G$2:$G$631,$G204,'الجهاز العسكري'!$I$2:$I$631,$I204))/$L204,0))</f>
        <v>75</v>
      </c>
      <c r="O204" s="25" t="n">
        <f aca="false">IF($L204=0,0,ROUND((SUMIFS('المرتبطة بسمو الوزير'!$N$2:$N$151,'المرتبطة بسمو الوزير'!$B$2:$B$151,$B204,'المرتبطة بسمو الوزير'!$G$2:$G$151,$G204,'المرتبطة بسمو الوزير'!$I$2:$I$151,$I204)+SUMIFS('الشؤون التنفيذية'!$O$2:$O$421,'الشؤون التنفيذية'!$B$2:$B$421,$B204,'الشؤون التنفيذية'!$G$2:$G$421,$G204,'الشؤون التنفيذية'!$I$2:$I$421,$I204)+SUMIFS('الجهاز العسكري'!$N$2:$N$631,'الجهاز العسكري'!$B$2:$B$631,$B204,'الجهاز العسكري'!$G$2:$G$631,$G204,'الجهاز العسكري'!$I$2:$I$631,$I204))/$L204,0))</f>
        <v>100</v>
      </c>
      <c r="P204" s="22"/>
      <c r="Q204" s="19" t="n">
        <f aca="false">SUMIFS(المرجع!$G$2:$G$19,المرجع!$B$2:$B$19,$G204,المرجع!$E$2:$E$19,$I204)</f>
        <v>20</v>
      </c>
      <c r="R204" s="26" t="n">
        <f aca="false">ROUND($Q204*$N204/100,2)</f>
        <v>15</v>
      </c>
      <c r="S204" s="27" t="str">
        <f aca="false">IF($N204&gt;المرجع!$K$3,"متقدم",IF($N204&lt;=المرجع!$K$2,"أولي","جزئي"))</f>
        <v>متقدم</v>
      </c>
      <c r="T204" s="28" t="n">
        <f aca="false">ROUND($Q204*$O204/100,2)</f>
        <v>20</v>
      </c>
    </row>
    <row r="205" customFormat="false" ht="15" hidden="false" customHeight="true" outlineLevel="0" collapsed="false">
      <c r="A205" s="20" t="s">
        <v>1657</v>
      </c>
      <c r="B205" s="20" t="s">
        <v>176</v>
      </c>
      <c r="C205" s="19" t="str">
        <f aca="false">IFERROR(INDEX('قائمة الوحدات'!$B$2:$B$41,MATCH($B205,'قائمة الوحدات'!$A$2:$A$41,0)),"")</f>
        <v>EXE</v>
      </c>
      <c r="D205" s="18" t="str">
        <f aca="false">IFERROR(INDEX('قائمة الوحدات'!$C$2:$C$41,MATCH($B205,'قائمة الوحدات'!$A$2:$A$41,0)),"")</f>
        <v>الشؤون التنفيذية</v>
      </c>
      <c r="E205" s="18" t="str">
        <f aca="false">IFERROR(INDEX('قائمة الوحدات'!$D$2:$D$41,MATCH($B205,'قائمة الوحدات'!$A$2:$A$41,0)),"")</f>
        <v>وكالة الشؤون الفنية</v>
      </c>
      <c r="F205" s="18" t="str">
        <f aca="false">IFERROR(INDEX('قائمة الوحدات'!$F$2:$F$41,MATCH($B205,'قائمة الوحدات'!$A$2:$A$41,0)),"")</f>
        <v>الإدارة العامة للأمن والحماية</v>
      </c>
      <c r="G205" s="20" t="s">
        <v>44</v>
      </c>
      <c r="H205" s="18" t="str">
        <f aca="false">IFERROR(INDEX(المرجع!$A$2:$A$19,MATCH($G205,المرجع!$B$2:$B$19,0)),"")</f>
        <v>التصميم</v>
      </c>
      <c r="I205" s="20" t="s">
        <v>60</v>
      </c>
      <c r="J205" s="18" t="str">
        <f aca="false">IFERROR(INDEX(المرجع!$D$2:$D$19,MATCH($I205,المرجع!$E$2:$E$19,0)),"")</f>
        <v>الإجراءات</v>
      </c>
      <c r="K205" s="19" t="n">
        <f aca="false">IFERROR(INDEX(المرجع!$F$2:$F$19,MATCH($I205,المرجع!$E$2:$E$19,0)),"")</f>
        <v>6</v>
      </c>
      <c r="L205" s="19" t="n">
        <f aca="false">SUMIFS(المرجع!$H$2:$H$19,المرجع!$B$2:$B$19,$G205,المرجع!$E$2:$E$19,$I205)</f>
        <v>1</v>
      </c>
      <c r="M205" s="19" t="n">
        <f aca="false">COUNTIFS('المرتبطة بسمو الوزير'!$B$2:$B$151,$B205,'المرتبطة بسمو الوزير'!$G$2:$G$151,$G205,'المرتبطة بسمو الوزير'!$I$2:$I$151,$I205,'المرتبطة بسمو الوزير'!$M$2:$M$151,"&lt;&gt;")+COUNTIFS('الشؤون التنفيذية'!$B$2:$B$421,$B205,'الشؤون التنفيذية'!$G$2:$G$421,$G205,'الشؤون التنفيذية'!$I$2:$I$421,$I205,'الشؤون التنفيذية'!$N$2:$N$421,"&lt;&gt;")+COUNTIFS('الجهاز العسكري'!$B$2:$B$631,$B205,'الجهاز العسكري'!$G$2:$G$631,$G205,'الجهاز العسكري'!$I$2:$I$631,$I205,'الجهاز العسكري'!$M$2:$M$631,"&lt;&gt;")</f>
        <v>1</v>
      </c>
      <c r="N205" s="24" t="n">
        <f aca="false">IF($L205=0,0,ROUND((SUMIFS('المرتبطة بسمو الوزير'!$M$2:$M$151,'المرتبطة بسمو الوزير'!$B$2:$B$151,$B205,'المرتبطة بسمو الوزير'!$G$2:$G$151,$G205,'المرتبطة بسمو الوزير'!$I$2:$I$151,$I205)+SUMIFS('الشؤون التنفيذية'!$N$2:$N$421,'الشؤون التنفيذية'!$B$2:$B$421,$B205,'الشؤون التنفيذية'!$G$2:$G$421,$G205,'الشؤون التنفيذية'!$I$2:$I$421,$I205)+SUMIFS('الجهاز العسكري'!$M$2:$M$631,'الجهاز العسكري'!$B$2:$B$631,$B205,'الجهاز العسكري'!$G$2:$G$631,$G205,'الجهاز العسكري'!$I$2:$I$631,$I205))/$L205,0))</f>
        <v>86</v>
      </c>
      <c r="O205" s="25" t="n">
        <f aca="false">IF($L205=0,0,ROUND((SUMIFS('المرتبطة بسمو الوزير'!$N$2:$N$151,'المرتبطة بسمو الوزير'!$B$2:$B$151,$B205,'المرتبطة بسمو الوزير'!$G$2:$G$151,$G205,'المرتبطة بسمو الوزير'!$I$2:$I$151,$I205)+SUMIFS('الشؤون التنفيذية'!$O$2:$O$421,'الشؤون التنفيذية'!$B$2:$B$421,$B205,'الشؤون التنفيذية'!$G$2:$G$421,$G205,'الشؤون التنفيذية'!$I$2:$I$421,$I205)+SUMIFS('الجهاز العسكري'!$N$2:$N$631,'الجهاز العسكري'!$B$2:$B$631,$B205,'الجهاز العسكري'!$G$2:$G$631,$G205,'الجهاز العسكري'!$I$2:$I$631,$I205))/$L205,0))</f>
        <v>90</v>
      </c>
      <c r="P205" s="22"/>
      <c r="Q205" s="19" t="n">
        <f aca="false">SUMIFS(المرجع!$G$2:$G$19,المرجع!$B$2:$B$19,$G205,المرجع!$E$2:$E$19,$I205)</f>
        <v>5</v>
      </c>
      <c r="R205" s="26" t="n">
        <f aca="false">ROUND($Q205*$N205/100,2)</f>
        <v>4.3</v>
      </c>
      <c r="S205" s="27" t="str">
        <f aca="false">IF($N205&gt;المرجع!$K$3,"متقدم",IF($N205&lt;=المرجع!$K$2,"أولي","جزئي"))</f>
        <v>متقدم</v>
      </c>
      <c r="T205" s="28" t="n">
        <f aca="false">ROUND($Q205*$O205/100,2)</f>
        <v>4.5</v>
      </c>
    </row>
    <row r="206" customFormat="false" ht="15" hidden="false" customHeight="true" outlineLevel="0" collapsed="false">
      <c r="A206" s="20" t="s">
        <v>1658</v>
      </c>
      <c r="B206" s="20" t="s">
        <v>176</v>
      </c>
      <c r="C206" s="19" t="str">
        <f aca="false">IFERROR(INDEX('قائمة الوحدات'!$B$2:$B$41,MATCH($B206,'قائمة الوحدات'!$A$2:$A$41,0)),"")</f>
        <v>EXE</v>
      </c>
      <c r="D206" s="18" t="str">
        <f aca="false">IFERROR(INDEX('قائمة الوحدات'!$C$2:$C$41,MATCH($B206,'قائمة الوحدات'!$A$2:$A$41,0)),"")</f>
        <v>الشؤون التنفيذية</v>
      </c>
      <c r="E206" s="18" t="str">
        <f aca="false">IFERROR(INDEX('قائمة الوحدات'!$D$2:$D$41,MATCH($B206,'قائمة الوحدات'!$A$2:$A$41,0)),"")</f>
        <v>وكالة الشؤون الفنية</v>
      </c>
      <c r="F206" s="18" t="str">
        <f aca="false">IFERROR(INDEX('قائمة الوحدات'!$F$2:$F$41,MATCH($B206,'قائمة الوحدات'!$A$2:$A$41,0)),"")</f>
        <v>الإدارة العامة للأمن والحماية</v>
      </c>
      <c r="G206" s="20" t="s">
        <v>62</v>
      </c>
      <c r="H206" s="18" t="str">
        <f aca="false">IFERROR(INDEX(المرجع!$A$2:$A$19,MATCH($G206,المرجع!$B$2:$B$19,0)),"")</f>
        <v>البناء المؤسسي</v>
      </c>
      <c r="I206" s="20" t="s">
        <v>46</v>
      </c>
      <c r="J206" s="18" t="str">
        <f aca="false">IFERROR(INDEX(المرجع!$D$2:$D$19,MATCH($I206,المرجع!$E$2:$E$19,0)),"")</f>
        <v>الدور</v>
      </c>
      <c r="K206" s="19" t="n">
        <f aca="false">IFERROR(INDEX(المرجع!$F$2:$F$19,MATCH($I206,المرجع!$E$2:$E$19,0)),"")</f>
        <v>1</v>
      </c>
      <c r="L206" s="19" t="n">
        <f aca="false">SUMIFS(المرجع!$H$2:$H$19,المرجع!$B$2:$B$19,$G206,المرجع!$E$2:$E$19,$I206)</f>
        <v>1</v>
      </c>
      <c r="M206" s="19" t="n">
        <f aca="false">COUNTIFS('المرتبطة بسمو الوزير'!$B$2:$B$151,$B206,'المرتبطة بسمو الوزير'!$G$2:$G$151,$G206,'المرتبطة بسمو الوزير'!$I$2:$I$151,$I206,'المرتبطة بسمو الوزير'!$M$2:$M$151,"&lt;&gt;")+COUNTIFS('الشؤون التنفيذية'!$B$2:$B$421,$B206,'الشؤون التنفيذية'!$G$2:$G$421,$G206,'الشؤون التنفيذية'!$I$2:$I$421,$I206,'الشؤون التنفيذية'!$N$2:$N$421,"&lt;&gt;")+COUNTIFS('الجهاز العسكري'!$B$2:$B$631,$B206,'الجهاز العسكري'!$G$2:$G$631,$G206,'الجهاز العسكري'!$I$2:$I$631,$I206,'الجهاز العسكري'!$M$2:$M$631,"&lt;&gt;")</f>
        <v>1</v>
      </c>
      <c r="N206" s="24" t="n">
        <f aca="false">IF($L206=0,0,ROUND((SUMIFS('المرتبطة بسمو الوزير'!$M$2:$M$151,'المرتبطة بسمو الوزير'!$B$2:$B$151,$B206,'المرتبطة بسمو الوزير'!$G$2:$G$151,$G206,'المرتبطة بسمو الوزير'!$I$2:$I$151,$I206)+SUMIFS('الشؤون التنفيذية'!$N$2:$N$421,'الشؤون التنفيذية'!$B$2:$B$421,$B206,'الشؤون التنفيذية'!$G$2:$G$421,$G206,'الشؤون التنفيذية'!$I$2:$I$421,$I206)+SUMIFS('الجهاز العسكري'!$M$2:$M$631,'الجهاز العسكري'!$B$2:$B$631,$B206,'الجهاز العسكري'!$G$2:$G$631,$G206,'الجهاز العسكري'!$I$2:$I$631,$I206))/$L206,0))</f>
        <v>54</v>
      </c>
      <c r="O206" s="25" t="n">
        <f aca="false">IF($L206=0,0,ROUND((SUMIFS('المرتبطة بسمو الوزير'!$N$2:$N$151,'المرتبطة بسمو الوزير'!$B$2:$B$151,$B206,'المرتبطة بسمو الوزير'!$G$2:$G$151,$G206,'المرتبطة بسمو الوزير'!$I$2:$I$151,$I206)+SUMIFS('الشؤون التنفيذية'!$O$2:$O$421,'الشؤون التنفيذية'!$B$2:$B$421,$B206,'الشؤون التنفيذية'!$G$2:$G$421,$G206,'الشؤون التنفيذية'!$I$2:$I$421,$I206)+SUMIFS('الجهاز العسكري'!$N$2:$N$631,'الجهاز العسكري'!$B$2:$B$631,$B206,'الجهاز العسكري'!$G$2:$G$631,$G206,'الجهاز العسكري'!$I$2:$I$631,$I206))/$L206,0))</f>
        <v>90</v>
      </c>
      <c r="P206" s="22"/>
      <c r="Q206" s="19" t="n">
        <f aca="false">SUMIFS(المرجع!$G$2:$G$19,المرجع!$B$2:$B$19,$G206,المرجع!$E$2:$E$19,$I206)</f>
        <v>15</v>
      </c>
      <c r="R206" s="26" t="n">
        <f aca="false">ROUND($Q206*$N206/100,2)</f>
        <v>8.1</v>
      </c>
      <c r="S206" s="27" t="str">
        <f aca="false">IF($N206&gt;المرجع!$K$3,"متقدم",IF($N206&lt;=المرجع!$K$2,"أولي","جزئي"))</f>
        <v>جزئي</v>
      </c>
      <c r="T206" s="28" t="n">
        <f aca="false">ROUND($Q206*$O206/100,2)</f>
        <v>13.5</v>
      </c>
    </row>
    <row r="207" customFormat="false" ht="15" hidden="false" customHeight="true" outlineLevel="0" collapsed="false">
      <c r="A207" s="20" t="s">
        <v>1659</v>
      </c>
      <c r="B207" s="20" t="s">
        <v>176</v>
      </c>
      <c r="C207" s="19" t="str">
        <f aca="false">IFERROR(INDEX('قائمة الوحدات'!$B$2:$B$41,MATCH($B207,'قائمة الوحدات'!$A$2:$A$41,0)),"")</f>
        <v>EXE</v>
      </c>
      <c r="D207" s="18" t="str">
        <f aca="false">IFERROR(INDEX('قائمة الوحدات'!$C$2:$C$41,MATCH($B207,'قائمة الوحدات'!$A$2:$A$41,0)),"")</f>
        <v>الشؤون التنفيذية</v>
      </c>
      <c r="E207" s="18" t="str">
        <f aca="false">IFERROR(INDEX('قائمة الوحدات'!$D$2:$D$41,MATCH($B207,'قائمة الوحدات'!$A$2:$A$41,0)),"")</f>
        <v>وكالة الشؤون الفنية</v>
      </c>
      <c r="F207" s="18" t="str">
        <f aca="false">IFERROR(INDEX('قائمة الوحدات'!$F$2:$F$41,MATCH($B207,'قائمة الوحدات'!$A$2:$A$41,0)),"")</f>
        <v>الإدارة العامة للأمن والحماية</v>
      </c>
      <c r="G207" s="20" t="s">
        <v>62</v>
      </c>
      <c r="H207" s="18" t="str">
        <f aca="false">IFERROR(INDEX(المرجع!$A$2:$A$19,MATCH($G207,المرجع!$B$2:$B$19,0)),"")</f>
        <v>البناء المؤسسي</v>
      </c>
      <c r="I207" s="20" t="s">
        <v>49</v>
      </c>
      <c r="J207" s="18" t="str">
        <f aca="false">IFERROR(INDEX(المرجع!$D$2:$D$19,MATCH($I207,المرجع!$E$2:$E$19,0)),"")</f>
        <v>الأهداف ومؤشرات الأداء</v>
      </c>
      <c r="K207" s="19" t="n">
        <f aca="false">IFERROR(INDEX(المرجع!$F$2:$F$19,MATCH($I207,المرجع!$E$2:$E$19,0)),"")</f>
        <v>2</v>
      </c>
      <c r="L207" s="19" t="n">
        <f aca="false">SUMIFS(المرجع!$H$2:$H$19,المرجع!$B$2:$B$19,$G207,المرجع!$E$2:$E$19,$I207)</f>
        <v>2</v>
      </c>
      <c r="M207" s="19" t="n">
        <f aca="false">COUNTIFS('المرتبطة بسمو الوزير'!$B$2:$B$151,$B207,'المرتبطة بسمو الوزير'!$G$2:$G$151,$G207,'المرتبطة بسمو الوزير'!$I$2:$I$151,$I207,'المرتبطة بسمو الوزير'!$M$2:$M$151,"&lt;&gt;")+COUNTIFS('الشؤون التنفيذية'!$B$2:$B$421,$B207,'الشؤون التنفيذية'!$G$2:$G$421,$G207,'الشؤون التنفيذية'!$I$2:$I$421,$I207,'الشؤون التنفيذية'!$N$2:$N$421,"&lt;&gt;")+COUNTIFS('الجهاز العسكري'!$B$2:$B$631,$B207,'الجهاز العسكري'!$G$2:$G$631,$G207,'الجهاز العسكري'!$I$2:$I$631,$I207,'الجهاز العسكري'!$M$2:$M$631,"&lt;&gt;")</f>
        <v>2</v>
      </c>
      <c r="N207" s="24" t="n">
        <f aca="false">IF($L207=0,0,ROUND((SUMIFS('المرتبطة بسمو الوزير'!$M$2:$M$151,'المرتبطة بسمو الوزير'!$B$2:$B$151,$B207,'المرتبطة بسمو الوزير'!$G$2:$G$151,$G207,'المرتبطة بسمو الوزير'!$I$2:$I$151,$I207)+SUMIFS('الشؤون التنفيذية'!$N$2:$N$421,'الشؤون التنفيذية'!$B$2:$B$421,$B207,'الشؤون التنفيذية'!$G$2:$G$421,$G207,'الشؤون التنفيذية'!$I$2:$I$421,$I207)+SUMIFS('الجهاز العسكري'!$M$2:$M$631,'الجهاز العسكري'!$B$2:$B$631,$B207,'الجهاز العسكري'!$G$2:$G$631,$G207,'الجهاز العسكري'!$I$2:$I$631,$I207))/$L207,0))</f>
        <v>100</v>
      </c>
      <c r="O207" s="25" t="n">
        <f aca="false">IF($L207=0,0,ROUND((SUMIFS('المرتبطة بسمو الوزير'!$N$2:$N$151,'المرتبطة بسمو الوزير'!$B$2:$B$151,$B207,'المرتبطة بسمو الوزير'!$G$2:$G$151,$G207,'المرتبطة بسمو الوزير'!$I$2:$I$151,$I207)+SUMIFS('الشؤون التنفيذية'!$O$2:$O$421,'الشؤون التنفيذية'!$B$2:$B$421,$B207,'الشؤون التنفيذية'!$G$2:$G$421,$G207,'الشؤون التنفيذية'!$I$2:$I$421,$I207)+SUMIFS('الجهاز العسكري'!$N$2:$N$631,'الجهاز العسكري'!$B$2:$B$631,$B207,'الجهاز العسكري'!$G$2:$G$631,$G207,'الجهاز العسكري'!$I$2:$I$631,$I207))/$L207,0))</f>
        <v>100</v>
      </c>
      <c r="P207" s="22"/>
      <c r="Q207" s="19" t="n">
        <f aca="false">SUMIFS(المرجع!$G$2:$G$19,المرجع!$B$2:$B$19,$G207,المرجع!$E$2:$E$19,$I207)</f>
        <v>15</v>
      </c>
      <c r="R207" s="26" t="n">
        <f aca="false">ROUND($Q207*$N207/100,2)</f>
        <v>15</v>
      </c>
      <c r="S207" s="27" t="str">
        <f aca="false">IF($N207&gt;المرجع!$K$3,"متقدم",IF($N207&lt;=المرجع!$K$2,"أولي","جزئي"))</f>
        <v>متقدم</v>
      </c>
      <c r="T207" s="28" t="n">
        <f aca="false">ROUND($Q207*$O207/100,2)</f>
        <v>15</v>
      </c>
    </row>
    <row r="208" customFormat="false" ht="15" hidden="false" customHeight="true" outlineLevel="0" collapsed="false">
      <c r="A208" s="20" t="s">
        <v>1660</v>
      </c>
      <c r="B208" s="20" t="s">
        <v>176</v>
      </c>
      <c r="C208" s="19" t="str">
        <f aca="false">IFERROR(INDEX('قائمة الوحدات'!$B$2:$B$41,MATCH($B208,'قائمة الوحدات'!$A$2:$A$41,0)),"")</f>
        <v>EXE</v>
      </c>
      <c r="D208" s="18" t="str">
        <f aca="false">IFERROR(INDEX('قائمة الوحدات'!$C$2:$C$41,MATCH($B208,'قائمة الوحدات'!$A$2:$A$41,0)),"")</f>
        <v>الشؤون التنفيذية</v>
      </c>
      <c r="E208" s="18" t="str">
        <f aca="false">IFERROR(INDEX('قائمة الوحدات'!$D$2:$D$41,MATCH($B208,'قائمة الوحدات'!$A$2:$A$41,0)),"")</f>
        <v>وكالة الشؤون الفنية</v>
      </c>
      <c r="F208" s="18" t="str">
        <f aca="false">IFERROR(INDEX('قائمة الوحدات'!$F$2:$F$41,MATCH($B208,'قائمة الوحدات'!$A$2:$A$41,0)),"")</f>
        <v>الإدارة العامة للأمن والحماية</v>
      </c>
      <c r="G208" s="20" t="s">
        <v>62</v>
      </c>
      <c r="H208" s="18" t="str">
        <f aca="false">IFERROR(INDEX(المرجع!$A$2:$A$19,MATCH($G208,المرجع!$B$2:$B$19,0)),"")</f>
        <v>البناء المؤسسي</v>
      </c>
      <c r="I208" s="20" t="s">
        <v>52</v>
      </c>
      <c r="J208" s="18" t="str">
        <f aca="false">IFERROR(INDEX(المرجع!$D$2:$D$19,MATCH($I208,المرجع!$E$2:$E$19,0)),"")</f>
        <v>الحوكمة</v>
      </c>
      <c r="K208" s="19" t="n">
        <f aca="false">IFERROR(INDEX(المرجع!$F$2:$F$19,MATCH($I208,المرجع!$E$2:$E$19,0)),"")</f>
        <v>3</v>
      </c>
      <c r="L208" s="19" t="n">
        <f aca="false">SUMIFS(المرجع!$H$2:$H$19,المرجع!$B$2:$B$19,$G208,المرجع!$E$2:$E$19,$I208)</f>
        <v>3</v>
      </c>
      <c r="M208" s="19" t="n">
        <f aca="false">COUNTIFS('المرتبطة بسمو الوزير'!$B$2:$B$151,$B208,'المرتبطة بسمو الوزير'!$G$2:$G$151,$G208,'المرتبطة بسمو الوزير'!$I$2:$I$151,$I208,'المرتبطة بسمو الوزير'!$M$2:$M$151,"&lt;&gt;")+COUNTIFS('الشؤون التنفيذية'!$B$2:$B$421,$B208,'الشؤون التنفيذية'!$G$2:$G$421,$G208,'الشؤون التنفيذية'!$I$2:$I$421,$I208,'الشؤون التنفيذية'!$N$2:$N$421,"&lt;&gt;")+COUNTIFS('الجهاز العسكري'!$B$2:$B$631,$B208,'الجهاز العسكري'!$G$2:$G$631,$G208,'الجهاز العسكري'!$I$2:$I$631,$I208,'الجهاز العسكري'!$M$2:$M$631,"&lt;&gt;")</f>
        <v>3</v>
      </c>
      <c r="N208" s="24" t="n">
        <f aca="false">IF($L208=0,0,ROUND((SUMIFS('المرتبطة بسمو الوزير'!$M$2:$M$151,'المرتبطة بسمو الوزير'!$B$2:$B$151,$B208,'المرتبطة بسمو الوزير'!$G$2:$G$151,$G208,'المرتبطة بسمو الوزير'!$I$2:$I$151,$I208)+SUMIFS('الشؤون التنفيذية'!$N$2:$N$421,'الشؤون التنفيذية'!$B$2:$B$421,$B208,'الشؤون التنفيذية'!$G$2:$G$421,$G208,'الشؤون التنفيذية'!$I$2:$I$421,$I208)+SUMIFS('الجهاز العسكري'!$M$2:$M$631,'الجهاز العسكري'!$B$2:$B$631,$B208,'الجهاز العسكري'!$G$2:$G$631,$G208,'الجهاز العسكري'!$I$2:$I$631,$I208))/$L208,0))</f>
        <v>55</v>
      </c>
      <c r="O208" s="25" t="n">
        <f aca="false">IF($L208=0,0,ROUND((SUMIFS('المرتبطة بسمو الوزير'!$N$2:$N$151,'المرتبطة بسمو الوزير'!$B$2:$B$151,$B208,'المرتبطة بسمو الوزير'!$G$2:$G$151,$G208,'المرتبطة بسمو الوزير'!$I$2:$I$151,$I208)+SUMIFS('الشؤون التنفيذية'!$O$2:$O$421,'الشؤون التنفيذية'!$B$2:$B$421,$B208,'الشؤون التنفيذية'!$G$2:$G$421,$G208,'الشؤون التنفيذية'!$I$2:$I$421,$I208)+SUMIFS('الجهاز العسكري'!$N$2:$N$631,'الجهاز العسكري'!$B$2:$B$631,$B208,'الجهاز العسكري'!$G$2:$G$631,$G208,'الجهاز العسكري'!$I$2:$I$631,$I208))/$L208,0))</f>
        <v>87</v>
      </c>
      <c r="P208" s="22"/>
      <c r="Q208" s="19" t="n">
        <f aca="false">SUMIFS(المرجع!$G$2:$G$19,المرجع!$B$2:$B$19,$G208,المرجع!$E$2:$E$19,$I208)</f>
        <v>15</v>
      </c>
      <c r="R208" s="26" t="n">
        <f aca="false">ROUND($Q208*$N208/100,2)</f>
        <v>8.25</v>
      </c>
      <c r="S208" s="27" t="str">
        <f aca="false">IF($N208&gt;المرجع!$K$3,"متقدم",IF($N208&lt;=المرجع!$K$2,"أولي","جزئي"))</f>
        <v>جزئي</v>
      </c>
      <c r="T208" s="28" t="n">
        <f aca="false">ROUND($Q208*$O208/100,2)</f>
        <v>13.05</v>
      </c>
    </row>
    <row r="209" customFormat="false" ht="15" hidden="false" customHeight="true" outlineLevel="0" collapsed="false">
      <c r="A209" s="20" t="s">
        <v>1661</v>
      </c>
      <c r="B209" s="20" t="s">
        <v>176</v>
      </c>
      <c r="C209" s="19" t="str">
        <f aca="false">IFERROR(INDEX('قائمة الوحدات'!$B$2:$B$41,MATCH($B209,'قائمة الوحدات'!$A$2:$A$41,0)),"")</f>
        <v>EXE</v>
      </c>
      <c r="D209" s="18" t="str">
        <f aca="false">IFERROR(INDEX('قائمة الوحدات'!$C$2:$C$41,MATCH($B209,'قائمة الوحدات'!$A$2:$A$41,0)),"")</f>
        <v>الشؤون التنفيذية</v>
      </c>
      <c r="E209" s="18" t="str">
        <f aca="false">IFERROR(INDEX('قائمة الوحدات'!$D$2:$D$41,MATCH($B209,'قائمة الوحدات'!$A$2:$A$41,0)),"")</f>
        <v>وكالة الشؤون الفنية</v>
      </c>
      <c r="F209" s="18" t="str">
        <f aca="false">IFERROR(INDEX('قائمة الوحدات'!$F$2:$F$41,MATCH($B209,'قائمة الوحدات'!$A$2:$A$41,0)),"")</f>
        <v>الإدارة العامة للأمن والحماية</v>
      </c>
      <c r="G209" s="20" t="s">
        <v>62</v>
      </c>
      <c r="H209" s="18" t="str">
        <f aca="false">IFERROR(INDEX(المرجع!$A$2:$A$19,MATCH($G209,المرجع!$B$2:$B$19,0)),"")</f>
        <v>البناء المؤسسي</v>
      </c>
      <c r="I209" s="20" t="s">
        <v>55</v>
      </c>
      <c r="J209" s="18" t="str">
        <f aca="false">IFERROR(INDEX(المرجع!$D$2:$D$19,MATCH($I209,المرجع!$E$2:$E$19,0)),"")</f>
        <v>التنظيم</v>
      </c>
      <c r="K209" s="19" t="n">
        <f aca="false">IFERROR(INDEX(المرجع!$F$2:$F$19,MATCH($I209,المرجع!$E$2:$E$19,0)),"")</f>
        <v>4</v>
      </c>
      <c r="L209" s="19" t="n">
        <f aca="false">SUMIFS(المرجع!$H$2:$H$19,المرجع!$B$2:$B$19,$G209,المرجع!$E$2:$E$19,$I209)</f>
        <v>3</v>
      </c>
      <c r="M209" s="19" t="n">
        <f aca="false">COUNTIFS('المرتبطة بسمو الوزير'!$B$2:$B$151,$B209,'المرتبطة بسمو الوزير'!$G$2:$G$151,$G209,'المرتبطة بسمو الوزير'!$I$2:$I$151,$I209,'المرتبطة بسمو الوزير'!$M$2:$M$151,"&lt;&gt;")+COUNTIFS('الشؤون التنفيذية'!$B$2:$B$421,$B209,'الشؤون التنفيذية'!$G$2:$G$421,$G209,'الشؤون التنفيذية'!$I$2:$I$421,$I209,'الشؤون التنفيذية'!$N$2:$N$421,"&lt;&gt;")+COUNTIFS('الجهاز العسكري'!$B$2:$B$631,$B209,'الجهاز العسكري'!$G$2:$G$631,$G209,'الجهاز العسكري'!$I$2:$I$631,$I209,'الجهاز العسكري'!$M$2:$M$631,"&lt;&gt;")</f>
        <v>3</v>
      </c>
      <c r="N209" s="24" t="n">
        <f aca="false">IF($L209=0,0,ROUND((SUMIFS('المرتبطة بسمو الوزير'!$M$2:$M$151,'المرتبطة بسمو الوزير'!$B$2:$B$151,$B209,'المرتبطة بسمو الوزير'!$G$2:$G$151,$G209,'المرتبطة بسمو الوزير'!$I$2:$I$151,$I209)+SUMIFS('الشؤون التنفيذية'!$N$2:$N$421,'الشؤون التنفيذية'!$B$2:$B$421,$B209,'الشؤون التنفيذية'!$G$2:$G$421,$G209,'الشؤون التنفيذية'!$I$2:$I$421,$I209)+SUMIFS('الجهاز العسكري'!$M$2:$M$631,'الجهاز العسكري'!$B$2:$B$631,$B209,'الجهاز العسكري'!$G$2:$G$631,$G209,'الجهاز العسكري'!$I$2:$I$631,$I209))/$L209,0))</f>
        <v>77</v>
      </c>
      <c r="O209" s="25" t="n">
        <f aca="false">IF($L209=0,0,ROUND((SUMIFS('المرتبطة بسمو الوزير'!$N$2:$N$151,'المرتبطة بسمو الوزير'!$B$2:$B$151,$B209,'المرتبطة بسمو الوزير'!$G$2:$G$151,$G209,'المرتبطة بسمو الوزير'!$I$2:$I$151,$I209)+SUMIFS('الشؤون التنفيذية'!$O$2:$O$421,'الشؤون التنفيذية'!$B$2:$B$421,$B209,'الشؤون التنفيذية'!$G$2:$G$421,$G209,'الشؤون التنفيذية'!$I$2:$I$421,$I209)+SUMIFS('الجهاز العسكري'!$N$2:$N$631,'الجهاز العسكري'!$B$2:$B$631,$B209,'الجهاز العسكري'!$G$2:$G$631,$G209,'الجهاز العسكري'!$I$2:$I$631,$I209))/$L209,0))</f>
        <v>87</v>
      </c>
      <c r="P209" s="22"/>
      <c r="Q209" s="19" t="n">
        <f aca="false">SUMIFS(المرجع!$G$2:$G$19,المرجع!$B$2:$B$19,$G209,المرجع!$E$2:$E$19,$I209)</f>
        <v>20</v>
      </c>
      <c r="R209" s="26" t="n">
        <f aca="false">ROUND($Q209*$N209/100,2)</f>
        <v>15.4</v>
      </c>
      <c r="S209" s="27" t="str">
        <f aca="false">IF($N209&gt;المرجع!$K$3,"متقدم",IF($N209&lt;=المرجع!$K$2,"أولي","جزئي"))</f>
        <v>متقدم</v>
      </c>
      <c r="T209" s="28" t="n">
        <f aca="false">ROUND($Q209*$O209/100,2)</f>
        <v>17.4</v>
      </c>
    </row>
    <row r="210" customFormat="false" ht="15" hidden="false" customHeight="true" outlineLevel="0" collapsed="false">
      <c r="A210" s="20" t="s">
        <v>1662</v>
      </c>
      <c r="B210" s="20" t="s">
        <v>176</v>
      </c>
      <c r="C210" s="19" t="str">
        <f aca="false">IFERROR(INDEX('قائمة الوحدات'!$B$2:$B$41,MATCH($B210,'قائمة الوحدات'!$A$2:$A$41,0)),"")</f>
        <v>EXE</v>
      </c>
      <c r="D210" s="18" t="str">
        <f aca="false">IFERROR(INDEX('قائمة الوحدات'!$C$2:$C$41,MATCH($B210,'قائمة الوحدات'!$A$2:$A$41,0)),"")</f>
        <v>الشؤون التنفيذية</v>
      </c>
      <c r="E210" s="18" t="str">
        <f aca="false">IFERROR(INDEX('قائمة الوحدات'!$D$2:$D$41,MATCH($B210,'قائمة الوحدات'!$A$2:$A$41,0)),"")</f>
        <v>وكالة الشؤون الفنية</v>
      </c>
      <c r="F210" s="18" t="str">
        <f aca="false">IFERROR(INDEX('قائمة الوحدات'!$F$2:$F$41,MATCH($B210,'قائمة الوحدات'!$A$2:$A$41,0)),"")</f>
        <v>الإدارة العامة للأمن والحماية</v>
      </c>
      <c r="G210" s="20" t="s">
        <v>62</v>
      </c>
      <c r="H210" s="18" t="str">
        <f aca="false">IFERROR(INDEX(المرجع!$A$2:$A$19,MATCH($G210,المرجع!$B$2:$B$19,0)),"")</f>
        <v>البناء المؤسسي</v>
      </c>
      <c r="I210" s="20" t="s">
        <v>57</v>
      </c>
      <c r="J210" s="18" t="str">
        <f aca="false">IFERROR(INDEX(المرجع!$D$2:$D$19,MATCH($I210,المرجع!$E$2:$E$19,0)),"")</f>
        <v>الموارد</v>
      </c>
      <c r="K210" s="19" t="n">
        <f aca="false">IFERROR(INDEX(المرجع!$F$2:$F$19,MATCH($I210,المرجع!$E$2:$E$19,0)),"")</f>
        <v>5</v>
      </c>
      <c r="L210" s="19" t="n">
        <f aca="false">SUMIFS(المرجع!$H$2:$H$19,المرجع!$B$2:$B$19,$G210,المرجع!$E$2:$E$19,$I210)</f>
        <v>4</v>
      </c>
      <c r="M210" s="19" t="n">
        <f aca="false">COUNTIFS('المرتبطة بسمو الوزير'!$B$2:$B$151,$B210,'المرتبطة بسمو الوزير'!$G$2:$G$151,$G210,'المرتبطة بسمو الوزير'!$I$2:$I$151,$I210,'المرتبطة بسمو الوزير'!$M$2:$M$151,"&lt;&gt;")+COUNTIFS('الشؤون التنفيذية'!$B$2:$B$421,$B210,'الشؤون التنفيذية'!$G$2:$G$421,$G210,'الشؤون التنفيذية'!$I$2:$I$421,$I210,'الشؤون التنفيذية'!$N$2:$N$421,"&lt;&gt;")+COUNTIFS('الجهاز العسكري'!$B$2:$B$631,$B210,'الجهاز العسكري'!$G$2:$G$631,$G210,'الجهاز العسكري'!$I$2:$I$631,$I210,'الجهاز العسكري'!$M$2:$M$631,"&lt;&gt;")</f>
        <v>4</v>
      </c>
      <c r="N210" s="24" t="n">
        <f aca="false">IF($L210=0,0,ROUND((SUMIFS('المرتبطة بسمو الوزير'!$M$2:$M$151,'المرتبطة بسمو الوزير'!$B$2:$B$151,$B210,'المرتبطة بسمو الوزير'!$G$2:$G$151,$G210,'المرتبطة بسمو الوزير'!$I$2:$I$151,$I210)+SUMIFS('الشؤون التنفيذية'!$N$2:$N$421,'الشؤون التنفيذية'!$B$2:$B$421,$B210,'الشؤون التنفيذية'!$G$2:$G$421,$G210,'الشؤون التنفيذية'!$I$2:$I$421,$I210)+SUMIFS('الجهاز العسكري'!$M$2:$M$631,'الجهاز العسكري'!$B$2:$B$631,$B210,'الجهاز العسكري'!$G$2:$G$631,$G210,'الجهاز العسكري'!$I$2:$I$631,$I210))/$L210,0))</f>
        <v>74</v>
      </c>
      <c r="O210" s="25" t="n">
        <f aca="false">IF($L210=0,0,ROUND((SUMIFS('المرتبطة بسمو الوزير'!$N$2:$N$151,'المرتبطة بسمو الوزير'!$B$2:$B$151,$B210,'المرتبطة بسمو الوزير'!$G$2:$G$151,$G210,'المرتبطة بسمو الوزير'!$I$2:$I$151,$I210)+SUMIFS('الشؤون التنفيذية'!$O$2:$O$421,'الشؤون التنفيذية'!$B$2:$B$421,$B210,'الشؤون التنفيذية'!$G$2:$G$421,$G210,'الشؤون التنفيذية'!$I$2:$I$421,$I210)+SUMIFS('الجهاز العسكري'!$N$2:$N$631,'الجهاز العسكري'!$B$2:$B$631,$B210,'الجهاز العسكري'!$G$2:$G$631,$G210,'الجهاز العسكري'!$I$2:$I$631,$I210))/$L210,0))</f>
        <v>99</v>
      </c>
      <c r="P210" s="22"/>
      <c r="Q210" s="19" t="n">
        <f aca="false">SUMIFS(المرجع!$G$2:$G$19,المرجع!$B$2:$B$19,$G210,المرجع!$E$2:$E$19,$I210)</f>
        <v>25</v>
      </c>
      <c r="R210" s="26" t="n">
        <f aca="false">ROUND($Q210*$N210/100,2)</f>
        <v>18.5</v>
      </c>
      <c r="S210" s="27" t="str">
        <f aca="false">IF($N210&gt;المرجع!$K$3,"متقدم",IF($N210&lt;=المرجع!$K$2,"أولي","جزئي"))</f>
        <v>متقدم</v>
      </c>
      <c r="T210" s="28" t="n">
        <f aca="false">ROUND($Q210*$O210/100,2)</f>
        <v>24.75</v>
      </c>
    </row>
    <row r="211" customFormat="false" ht="15" hidden="false" customHeight="true" outlineLevel="0" collapsed="false">
      <c r="A211" s="20" t="s">
        <v>1663</v>
      </c>
      <c r="B211" s="20" t="s">
        <v>176</v>
      </c>
      <c r="C211" s="19" t="str">
        <f aca="false">IFERROR(INDEX('قائمة الوحدات'!$B$2:$B$41,MATCH($B211,'قائمة الوحدات'!$A$2:$A$41,0)),"")</f>
        <v>EXE</v>
      </c>
      <c r="D211" s="18" t="str">
        <f aca="false">IFERROR(INDEX('قائمة الوحدات'!$C$2:$C$41,MATCH($B211,'قائمة الوحدات'!$A$2:$A$41,0)),"")</f>
        <v>الشؤون التنفيذية</v>
      </c>
      <c r="E211" s="18" t="str">
        <f aca="false">IFERROR(INDEX('قائمة الوحدات'!$D$2:$D$41,MATCH($B211,'قائمة الوحدات'!$A$2:$A$41,0)),"")</f>
        <v>وكالة الشؤون الفنية</v>
      </c>
      <c r="F211" s="18" t="str">
        <f aca="false">IFERROR(INDEX('قائمة الوحدات'!$F$2:$F$41,MATCH($B211,'قائمة الوحدات'!$A$2:$A$41,0)),"")</f>
        <v>الإدارة العامة للأمن والحماية</v>
      </c>
      <c r="G211" s="20" t="s">
        <v>62</v>
      </c>
      <c r="H211" s="18" t="str">
        <f aca="false">IFERROR(INDEX(المرجع!$A$2:$A$19,MATCH($G211,المرجع!$B$2:$B$19,0)),"")</f>
        <v>البناء المؤسسي</v>
      </c>
      <c r="I211" s="20" t="s">
        <v>60</v>
      </c>
      <c r="J211" s="18" t="str">
        <f aca="false">IFERROR(INDEX(المرجع!$D$2:$D$19,MATCH($I211,المرجع!$E$2:$E$19,0)),"")</f>
        <v>الإجراءات</v>
      </c>
      <c r="K211" s="19" t="n">
        <f aca="false">IFERROR(INDEX(المرجع!$F$2:$F$19,MATCH($I211,المرجع!$E$2:$E$19,0)),"")</f>
        <v>6</v>
      </c>
      <c r="L211" s="19" t="n">
        <f aca="false">SUMIFS(المرجع!$H$2:$H$19,المرجع!$B$2:$B$19,$G211,المرجع!$E$2:$E$19,$I211)</f>
        <v>1</v>
      </c>
      <c r="M211" s="19" t="n">
        <f aca="false">COUNTIFS('المرتبطة بسمو الوزير'!$B$2:$B$151,$B211,'المرتبطة بسمو الوزير'!$G$2:$G$151,$G211,'المرتبطة بسمو الوزير'!$I$2:$I$151,$I211,'المرتبطة بسمو الوزير'!$M$2:$M$151,"&lt;&gt;")+COUNTIFS('الشؤون التنفيذية'!$B$2:$B$421,$B211,'الشؤون التنفيذية'!$G$2:$G$421,$G211,'الشؤون التنفيذية'!$I$2:$I$421,$I211,'الشؤون التنفيذية'!$N$2:$N$421,"&lt;&gt;")+COUNTIFS('الجهاز العسكري'!$B$2:$B$631,$B211,'الجهاز العسكري'!$G$2:$G$631,$G211,'الجهاز العسكري'!$I$2:$I$631,$I211,'الجهاز العسكري'!$M$2:$M$631,"&lt;&gt;")</f>
        <v>1</v>
      </c>
      <c r="N211" s="24" t="n">
        <f aca="false">IF($L211=0,0,ROUND((SUMIFS('المرتبطة بسمو الوزير'!$M$2:$M$151,'المرتبطة بسمو الوزير'!$B$2:$B$151,$B211,'المرتبطة بسمو الوزير'!$G$2:$G$151,$G211,'المرتبطة بسمو الوزير'!$I$2:$I$151,$I211)+SUMIFS('الشؤون التنفيذية'!$N$2:$N$421,'الشؤون التنفيذية'!$B$2:$B$421,$B211,'الشؤون التنفيذية'!$G$2:$G$421,$G211,'الشؤون التنفيذية'!$I$2:$I$421,$I211)+SUMIFS('الجهاز العسكري'!$M$2:$M$631,'الجهاز العسكري'!$B$2:$B$631,$B211,'الجهاز العسكري'!$G$2:$G$631,$G211,'الجهاز العسكري'!$I$2:$I$631,$I211))/$L211,0))</f>
        <v>57</v>
      </c>
      <c r="O211" s="25" t="n">
        <f aca="false">IF($L211=0,0,ROUND((SUMIFS('المرتبطة بسمو الوزير'!$N$2:$N$151,'المرتبطة بسمو الوزير'!$B$2:$B$151,$B211,'المرتبطة بسمو الوزير'!$G$2:$G$151,$G211,'المرتبطة بسمو الوزير'!$I$2:$I$151,$I211)+SUMIFS('الشؤون التنفيذية'!$O$2:$O$421,'الشؤون التنفيذية'!$B$2:$B$421,$B211,'الشؤون التنفيذية'!$G$2:$G$421,$G211,'الشؤون التنفيذية'!$I$2:$I$421,$I211)+SUMIFS('الجهاز العسكري'!$N$2:$N$631,'الجهاز العسكري'!$B$2:$B$631,$B211,'الجهاز العسكري'!$G$2:$G$631,$G211,'الجهاز العسكري'!$I$2:$I$631,$I211))/$L211,0))</f>
        <v>80</v>
      </c>
      <c r="P211" s="22"/>
      <c r="Q211" s="19" t="n">
        <f aca="false">SUMIFS(المرجع!$G$2:$G$19,المرجع!$B$2:$B$19,$G211,المرجع!$E$2:$E$19,$I211)</f>
        <v>5</v>
      </c>
      <c r="R211" s="26" t="n">
        <f aca="false">ROUND($Q211*$N211/100,2)</f>
        <v>2.85</v>
      </c>
      <c r="S211" s="27" t="str">
        <f aca="false">IF($N211&gt;المرجع!$K$3,"متقدم",IF($N211&lt;=المرجع!$K$2,"أولي","جزئي"))</f>
        <v>جزئي</v>
      </c>
      <c r="T211" s="28" t="n">
        <f aca="false">ROUND($Q211*$O211/100,2)</f>
        <v>4</v>
      </c>
    </row>
    <row r="212" customFormat="false" ht="15" hidden="false" customHeight="true" outlineLevel="0" collapsed="false">
      <c r="A212" s="20" t="s">
        <v>1664</v>
      </c>
      <c r="B212" s="20" t="s">
        <v>176</v>
      </c>
      <c r="C212" s="19" t="str">
        <f aca="false">IFERROR(INDEX('قائمة الوحدات'!$B$2:$B$41,MATCH($B212,'قائمة الوحدات'!$A$2:$A$41,0)),"")</f>
        <v>EXE</v>
      </c>
      <c r="D212" s="18" t="str">
        <f aca="false">IFERROR(INDEX('قائمة الوحدات'!$C$2:$C$41,MATCH($B212,'قائمة الوحدات'!$A$2:$A$41,0)),"")</f>
        <v>الشؤون التنفيذية</v>
      </c>
      <c r="E212" s="18" t="str">
        <f aca="false">IFERROR(INDEX('قائمة الوحدات'!$D$2:$D$41,MATCH($B212,'قائمة الوحدات'!$A$2:$A$41,0)),"")</f>
        <v>وكالة الشؤون الفنية</v>
      </c>
      <c r="F212" s="18" t="str">
        <f aca="false">IFERROR(INDEX('قائمة الوحدات'!$F$2:$F$41,MATCH($B212,'قائمة الوحدات'!$A$2:$A$41,0)),"")</f>
        <v>الإدارة العامة للأمن والحماية</v>
      </c>
      <c r="G212" s="20" t="s">
        <v>62</v>
      </c>
      <c r="H212" s="18" t="str">
        <f aca="false">IFERROR(INDEX(المرجع!$A$2:$A$19,MATCH($G212,المرجع!$B$2:$B$19,0)),"")</f>
        <v>البناء المؤسسي</v>
      </c>
      <c r="I212" s="20" t="s">
        <v>69</v>
      </c>
      <c r="J212" s="18" t="str">
        <f aca="false">IFERROR(INDEX(المرجع!$D$2:$D$19,MATCH($I212,المرجع!$E$2:$E$19,0)),"")</f>
        <v>إنتاج المخرج الأول</v>
      </c>
      <c r="K212" s="19" t="n">
        <f aca="false">IFERROR(INDEX(المرجع!$F$2:$F$19,MATCH($I212,المرجع!$E$2:$E$19,0)),"")</f>
        <v>7</v>
      </c>
      <c r="L212" s="19" t="n">
        <f aca="false">SUMIFS(المرجع!$H$2:$H$19,المرجع!$B$2:$B$19,$G212,المرجع!$E$2:$E$19,$I212)</f>
        <v>1</v>
      </c>
      <c r="M212" s="19" t="n">
        <f aca="false">COUNTIFS('المرتبطة بسمو الوزير'!$B$2:$B$151,$B212,'المرتبطة بسمو الوزير'!$G$2:$G$151,$G212,'المرتبطة بسمو الوزير'!$I$2:$I$151,$I212,'المرتبطة بسمو الوزير'!$M$2:$M$151,"&lt;&gt;")+COUNTIFS('الشؤون التنفيذية'!$B$2:$B$421,$B212,'الشؤون التنفيذية'!$G$2:$G$421,$G212,'الشؤون التنفيذية'!$I$2:$I$421,$I212,'الشؤون التنفيذية'!$N$2:$N$421,"&lt;&gt;")+COUNTIFS('الجهاز العسكري'!$B$2:$B$631,$B212,'الجهاز العسكري'!$G$2:$G$631,$G212,'الجهاز العسكري'!$I$2:$I$631,$I212,'الجهاز العسكري'!$M$2:$M$631,"&lt;&gt;")</f>
        <v>1</v>
      </c>
      <c r="N212" s="24" t="n">
        <f aca="false">IF($L212=0,0,ROUND((SUMIFS('المرتبطة بسمو الوزير'!$M$2:$M$151,'المرتبطة بسمو الوزير'!$B$2:$B$151,$B212,'المرتبطة بسمو الوزير'!$G$2:$G$151,$G212,'المرتبطة بسمو الوزير'!$I$2:$I$151,$I212)+SUMIFS('الشؤون التنفيذية'!$N$2:$N$421,'الشؤون التنفيذية'!$B$2:$B$421,$B212,'الشؤون التنفيذية'!$G$2:$G$421,$G212,'الشؤون التنفيذية'!$I$2:$I$421,$I212)+SUMIFS('الجهاز العسكري'!$M$2:$M$631,'الجهاز العسكري'!$B$2:$B$631,$B212,'الجهاز العسكري'!$G$2:$G$631,$G212,'الجهاز العسكري'!$I$2:$I$631,$I212))/$L212,0))</f>
        <v>68</v>
      </c>
      <c r="O212" s="25" t="n">
        <f aca="false">IF($L212=0,0,ROUND((SUMIFS('المرتبطة بسمو الوزير'!$N$2:$N$151,'المرتبطة بسمو الوزير'!$B$2:$B$151,$B212,'المرتبطة بسمو الوزير'!$G$2:$G$151,$G212,'المرتبطة بسمو الوزير'!$I$2:$I$151,$I212)+SUMIFS('الشؤون التنفيذية'!$O$2:$O$421,'الشؤون التنفيذية'!$B$2:$B$421,$B212,'الشؤون التنفيذية'!$G$2:$G$421,$G212,'الشؤون التنفيذية'!$I$2:$I$421,$I212)+SUMIFS('الجهاز العسكري'!$N$2:$N$631,'الجهاز العسكري'!$B$2:$B$631,$B212,'الجهاز العسكري'!$G$2:$G$631,$G212,'الجهاز العسكري'!$I$2:$I$631,$I212))/$L212,0))</f>
        <v>95</v>
      </c>
      <c r="P212" s="22"/>
      <c r="Q212" s="19" t="n">
        <f aca="false">SUMIFS(المرجع!$G$2:$G$19,المرجع!$B$2:$B$19,$G212,المرجع!$E$2:$E$19,$I212)</f>
        <v>5</v>
      </c>
      <c r="R212" s="26" t="n">
        <f aca="false">ROUND($Q212*$N212/100,2)</f>
        <v>3.4</v>
      </c>
      <c r="S212" s="27" t="str">
        <f aca="false">IF($N212&gt;المرجع!$K$3,"متقدم",IF($N212&lt;=المرجع!$K$2,"أولي","جزئي"))</f>
        <v>جزئي</v>
      </c>
      <c r="T212" s="28" t="n">
        <f aca="false">ROUND($Q212*$O212/100,2)</f>
        <v>4.75</v>
      </c>
    </row>
    <row r="213" customFormat="false" ht="15" hidden="false" customHeight="true" outlineLevel="0" collapsed="false">
      <c r="A213" s="20" t="s">
        <v>1665</v>
      </c>
      <c r="B213" s="20" t="s">
        <v>176</v>
      </c>
      <c r="C213" s="19" t="str">
        <f aca="false">IFERROR(INDEX('قائمة الوحدات'!$B$2:$B$41,MATCH($B213,'قائمة الوحدات'!$A$2:$A$41,0)),"")</f>
        <v>EXE</v>
      </c>
      <c r="D213" s="18" t="str">
        <f aca="false">IFERROR(INDEX('قائمة الوحدات'!$C$2:$C$41,MATCH($B213,'قائمة الوحدات'!$A$2:$A$41,0)),"")</f>
        <v>الشؤون التنفيذية</v>
      </c>
      <c r="E213" s="18" t="str">
        <f aca="false">IFERROR(INDEX('قائمة الوحدات'!$D$2:$D$41,MATCH($B213,'قائمة الوحدات'!$A$2:$A$41,0)),"")</f>
        <v>وكالة الشؤون الفنية</v>
      </c>
      <c r="F213" s="18" t="str">
        <f aca="false">IFERROR(INDEX('قائمة الوحدات'!$F$2:$F$41,MATCH($B213,'قائمة الوحدات'!$A$2:$A$41,0)),"")</f>
        <v>الإدارة العامة للأمن والحماية</v>
      </c>
      <c r="G213" s="20" t="s">
        <v>66</v>
      </c>
      <c r="H213" s="18" t="str">
        <f aca="false">IFERROR(INDEX(المرجع!$A$2:$A$19,MATCH($G213,المرجع!$B$2:$B$19,0)),"")</f>
        <v>التشغيل</v>
      </c>
      <c r="I213" s="20" t="s">
        <v>49</v>
      </c>
      <c r="J213" s="18" t="str">
        <f aca="false">IFERROR(INDEX(المرجع!$D$2:$D$19,MATCH($I213,المرجع!$E$2:$E$19,0)),"")</f>
        <v>الأهداف ومؤشرات الأداء</v>
      </c>
      <c r="K213" s="19" t="n">
        <f aca="false">IFERROR(INDEX(المرجع!$F$2:$F$19,MATCH($I213,المرجع!$E$2:$E$19,0)),"")</f>
        <v>2</v>
      </c>
      <c r="L213" s="19" t="n">
        <f aca="false">SUMIFS(المرجع!$H$2:$H$19,المرجع!$B$2:$B$19,$G213,المرجع!$E$2:$E$19,$I213)</f>
        <v>2</v>
      </c>
      <c r="M213" s="19" t="n">
        <f aca="false">COUNTIFS('المرتبطة بسمو الوزير'!$B$2:$B$151,$B213,'المرتبطة بسمو الوزير'!$G$2:$G$151,$G213,'المرتبطة بسمو الوزير'!$I$2:$I$151,$I213,'المرتبطة بسمو الوزير'!$M$2:$M$151,"&lt;&gt;")+COUNTIFS('الشؤون التنفيذية'!$B$2:$B$421,$B213,'الشؤون التنفيذية'!$G$2:$G$421,$G213,'الشؤون التنفيذية'!$I$2:$I$421,$I213,'الشؤون التنفيذية'!$N$2:$N$421,"&lt;&gt;")+COUNTIFS('الجهاز العسكري'!$B$2:$B$631,$B213,'الجهاز العسكري'!$G$2:$G$631,$G213,'الجهاز العسكري'!$I$2:$I$631,$I213,'الجهاز العسكري'!$M$2:$M$631,"&lt;&gt;")</f>
        <v>2</v>
      </c>
      <c r="N213" s="24" t="n">
        <f aca="false">IF($L213=0,0,ROUND((SUMIFS('المرتبطة بسمو الوزير'!$M$2:$M$151,'المرتبطة بسمو الوزير'!$B$2:$B$151,$B213,'المرتبطة بسمو الوزير'!$G$2:$G$151,$G213,'المرتبطة بسمو الوزير'!$I$2:$I$151,$I213)+SUMIFS('الشؤون التنفيذية'!$N$2:$N$421,'الشؤون التنفيذية'!$B$2:$B$421,$B213,'الشؤون التنفيذية'!$G$2:$G$421,$G213,'الشؤون التنفيذية'!$I$2:$I$421,$I213)+SUMIFS('الجهاز العسكري'!$M$2:$M$631,'الجهاز العسكري'!$B$2:$B$631,$B213,'الجهاز العسكري'!$G$2:$G$631,$G213,'الجهاز العسكري'!$I$2:$I$631,$I213))/$L213,0))</f>
        <v>40</v>
      </c>
      <c r="O213" s="25" t="n">
        <f aca="false">IF($L213=0,0,ROUND((SUMIFS('المرتبطة بسمو الوزير'!$N$2:$N$151,'المرتبطة بسمو الوزير'!$B$2:$B$151,$B213,'المرتبطة بسمو الوزير'!$G$2:$G$151,$G213,'المرتبطة بسمو الوزير'!$I$2:$I$151,$I213)+SUMIFS('الشؤون التنفيذية'!$O$2:$O$421,'الشؤون التنفيذية'!$B$2:$B$421,$B213,'الشؤون التنفيذية'!$G$2:$G$421,$G213,'الشؤون التنفيذية'!$I$2:$I$421,$I213)+SUMIFS('الجهاز العسكري'!$N$2:$N$631,'الجهاز العسكري'!$B$2:$B$631,$B213,'الجهاز العسكري'!$G$2:$G$631,$G213,'الجهاز العسكري'!$I$2:$I$631,$I213))/$L213,0))</f>
        <v>95</v>
      </c>
      <c r="P213" s="22"/>
      <c r="Q213" s="19" t="n">
        <f aca="false">SUMIFS(المرجع!$G$2:$G$19,المرجع!$B$2:$B$19,$G213,المرجع!$E$2:$E$19,$I213)</f>
        <v>25</v>
      </c>
      <c r="R213" s="26" t="n">
        <f aca="false">ROUND($Q213*$N213/100,2)</f>
        <v>10</v>
      </c>
      <c r="S213" s="27" t="str">
        <f aca="false">IF($N213&gt;المرجع!$K$3,"متقدم",IF($N213&lt;=المرجع!$K$2,"أولي","جزئي"))</f>
        <v>جزئي</v>
      </c>
      <c r="T213" s="28" t="n">
        <f aca="false">ROUND($Q213*$O213/100,2)</f>
        <v>23.75</v>
      </c>
    </row>
    <row r="214" customFormat="false" ht="15" hidden="false" customHeight="true" outlineLevel="0" collapsed="false">
      <c r="A214" s="20" t="s">
        <v>1666</v>
      </c>
      <c r="B214" s="20" t="s">
        <v>176</v>
      </c>
      <c r="C214" s="19" t="str">
        <f aca="false">IFERROR(INDEX('قائمة الوحدات'!$B$2:$B$41,MATCH($B214,'قائمة الوحدات'!$A$2:$A$41,0)),"")</f>
        <v>EXE</v>
      </c>
      <c r="D214" s="18" t="str">
        <f aca="false">IFERROR(INDEX('قائمة الوحدات'!$C$2:$C$41,MATCH($B214,'قائمة الوحدات'!$A$2:$A$41,0)),"")</f>
        <v>الشؤون التنفيذية</v>
      </c>
      <c r="E214" s="18" t="str">
        <f aca="false">IFERROR(INDEX('قائمة الوحدات'!$D$2:$D$41,MATCH($B214,'قائمة الوحدات'!$A$2:$A$41,0)),"")</f>
        <v>وكالة الشؤون الفنية</v>
      </c>
      <c r="F214" s="18" t="str">
        <f aca="false">IFERROR(INDEX('قائمة الوحدات'!$F$2:$F$41,MATCH($B214,'قائمة الوحدات'!$A$2:$A$41,0)),"")</f>
        <v>الإدارة العامة للأمن والحماية</v>
      </c>
      <c r="G214" s="20" t="s">
        <v>66</v>
      </c>
      <c r="H214" s="18" t="str">
        <f aca="false">IFERROR(INDEX(المرجع!$A$2:$A$19,MATCH($G214,المرجع!$B$2:$B$19,0)),"")</f>
        <v>التشغيل</v>
      </c>
      <c r="I214" s="20" t="s">
        <v>52</v>
      </c>
      <c r="J214" s="18" t="str">
        <f aca="false">IFERROR(INDEX(المرجع!$D$2:$D$19,MATCH($I214,المرجع!$E$2:$E$19,0)),"")</f>
        <v>الحوكمة</v>
      </c>
      <c r="K214" s="19" t="n">
        <f aca="false">IFERROR(INDEX(المرجع!$F$2:$F$19,MATCH($I214,المرجع!$E$2:$E$19,0)),"")</f>
        <v>3</v>
      </c>
      <c r="L214" s="19" t="n">
        <f aca="false">SUMIFS(المرجع!$H$2:$H$19,المرجع!$B$2:$B$19,$G214,المرجع!$E$2:$E$19,$I214)</f>
        <v>3</v>
      </c>
      <c r="M214" s="19" t="n">
        <f aca="false">COUNTIFS('المرتبطة بسمو الوزير'!$B$2:$B$151,$B214,'المرتبطة بسمو الوزير'!$G$2:$G$151,$G214,'المرتبطة بسمو الوزير'!$I$2:$I$151,$I214,'المرتبطة بسمو الوزير'!$M$2:$M$151,"&lt;&gt;")+COUNTIFS('الشؤون التنفيذية'!$B$2:$B$421,$B214,'الشؤون التنفيذية'!$G$2:$G$421,$G214,'الشؤون التنفيذية'!$I$2:$I$421,$I214,'الشؤون التنفيذية'!$N$2:$N$421,"&lt;&gt;")+COUNTIFS('الجهاز العسكري'!$B$2:$B$631,$B214,'الجهاز العسكري'!$G$2:$G$631,$G214,'الجهاز العسكري'!$I$2:$I$631,$I214,'الجهاز العسكري'!$M$2:$M$631,"&lt;&gt;")</f>
        <v>3</v>
      </c>
      <c r="N214" s="24" t="n">
        <f aca="false">IF($L214=0,0,ROUND((SUMIFS('المرتبطة بسمو الوزير'!$M$2:$M$151,'المرتبطة بسمو الوزير'!$B$2:$B$151,$B214,'المرتبطة بسمو الوزير'!$G$2:$G$151,$G214,'المرتبطة بسمو الوزير'!$I$2:$I$151,$I214)+SUMIFS('الشؤون التنفيذية'!$N$2:$N$421,'الشؤون التنفيذية'!$B$2:$B$421,$B214,'الشؤون التنفيذية'!$G$2:$G$421,$G214,'الشؤون التنفيذية'!$I$2:$I$421,$I214)+SUMIFS('الجهاز العسكري'!$M$2:$M$631,'الجهاز العسكري'!$B$2:$B$631,$B214,'الجهاز العسكري'!$G$2:$G$631,$G214,'الجهاز العسكري'!$I$2:$I$631,$I214))/$L214,0))</f>
        <v>25</v>
      </c>
      <c r="O214" s="25" t="n">
        <f aca="false">IF($L214=0,0,ROUND((SUMIFS('المرتبطة بسمو الوزير'!$N$2:$N$151,'المرتبطة بسمو الوزير'!$B$2:$B$151,$B214,'المرتبطة بسمو الوزير'!$G$2:$G$151,$G214,'المرتبطة بسمو الوزير'!$I$2:$I$151,$I214)+SUMIFS('الشؤون التنفيذية'!$O$2:$O$421,'الشؤون التنفيذية'!$B$2:$B$421,$B214,'الشؤون التنفيذية'!$G$2:$G$421,$G214,'الشؤون التنفيذية'!$I$2:$I$421,$I214)+SUMIFS('الجهاز العسكري'!$N$2:$N$631,'الجهاز العسكري'!$B$2:$B$631,$B214,'الجهاز العسكري'!$G$2:$G$631,$G214,'الجهاز العسكري'!$I$2:$I$631,$I214))/$L214,0))</f>
        <v>93</v>
      </c>
      <c r="P214" s="22"/>
      <c r="Q214" s="19" t="n">
        <f aca="false">SUMIFS(المرجع!$G$2:$G$19,المرجع!$B$2:$B$19,$G214,المرجع!$E$2:$E$19,$I214)</f>
        <v>15</v>
      </c>
      <c r="R214" s="26" t="n">
        <f aca="false">ROUND($Q214*$N214/100,2)</f>
        <v>3.75</v>
      </c>
      <c r="S214" s="27" t="str">
        <f aca="false">IF($N214&gt;المرجع!$K$3,"متقدم",IF($N214&lt;=المرجع!$K$2,"أولي","جزئي"))</f>
        <v>أولي</v>
      </c>
      <c r="T214" s="28" t="n">
        <f aca="false">ROUND($Q214*$O214/100,2)</f>
        <v>13.95</v>
      </c>
    </row>
    <row r="215" customFormat="false" ht="15" hidden="false" customHeight="true" outlineLevel="0" collapsed="false">
      <c r="A215" s="20" t="s">
        <v>1667</v>
      </c>
      <c r="B215" s="20" t="s">
        <v>176</v>
      </c>
      <c r="C215" s="19" t="str">
        <f aca="false">IFERROR(INDEX('قائمة الوحدات'!$B$2:$B$41,MATCH($B215,'قائمة الوحدات'!$A$2:$A$41,0)),"")</f>
        <v>EXE</v>
      </c>
      <c r="D215" s="18" t="str">
        <f aca="false">IFERROR(INDEX('قائمة الوحدات'!$C$2:$C$41,MATCH($B215,'قائمة الوحدات'!$A$2:$A$41,0)),"")</f>
        <v>الشؤون التنفيذية</v>
      </c>
      <c r="E215" s="18" t="str">
        <f aca="false">IFERROR(INDEX('قائمة الوحدات'!$D$2:$D$41,MATCH($B215,'قائمة الوحدات'!$A$2:$A$41,0)),"")</f>
        <v>وكالة الشؤون الفنية</v>
      </c>
      <c r="F215" s="18" t="str">
        <f aca="false">IFERROR(INDEX('قائمة الوحدات'!$F$2:$F$41,MATCH($B215,'قائمة الوحدات'!$A$2:$A$41,0)),"")</f>
        <v>الإدارة العامة للأمن والحماية</v>
      </c>
      <c r="G215" s="20" t="s">
        <v>66</v>
      </c>
      <c r="H215" s="18" t="str">
        <f aca="false">IFERROR(INDEX(المرجع!$A$2:$A$19,MATCH($G215,المرجع!$B$2:$B$19,0)),"")</f>
        <v>التشغيل</v>
      </c>
      <c r="I215" s="20" t="s">
        <v>57</v>
      </c>
      <c r="J215" s="18" t="str">
        <f aca="false">IFERROR(INDEX(المرجع!$D$2:$D$19,MATCH($I215,المرجع!$E$2:$E$19,0)),"")</f>
        <v>الموارد</v>
      </c>
      <c r="K215" s="19" t="n">
        <f aca="false">IFERROR(INDEX(المرجع!$F$2:$F$19,MATCH($I215,المرجع!$E$2:$E$19,0)),"")</f>
        <v>5</v>
      </c>
      <c r="L215" s="19" t="n">
        <f aca="false">SUMIFS(المرجع!$H$2:$H$19,المرجع!$B$2:$B$19,$G215,المرجع!$E$2:$E$19,$I215)</f>
        <v>1</v>
      </c>
      <c r="M215" s="19" t="n">
        <f aca="false">COUNTIFS('المرتبطة بسمو الوزير'!$B$2:$B$151,$B215,'المرتبطة بسمو الوزير'!$G$2:$G$151,$G215,'المرتبطة بسمو الوزير'!$I$2:$I$151,$I215,'المرتبطة بسمو الوزير'!$M$2:$M$151,"&lt;&gt;")+COUNTIFS('الشؤون التنفيذية'!$B$2:$B$421,$B215,'الشؤون التنفيذية'!$G$2:$G$421,$G215,'الشؤون التنفيذية'!$I$2:$I$421,$I215,'الشؤون التنفيذية'!$N$2:$N$421,"&lt;&gt;")+COUNTIFS('الجهاز العسكري'!$B$2:$B$631,$B215,'الجهاز العسكري'!$G$2:$G$631,$G215,'الجهاز العسكري'!$I$2:$I$631,$I215,'الجهاز العسكري'!$M$2:$M$631,"&lt;&gt;")</f>
        <v>1</v>
      </c>
      <c r="N215" s="24" t="n">
        <f aca="false">IF($L215=0,0,ROUND((SUMIFS('المرتبطة بسمو الوزير'!$M$2:$M$151,'المرتبطة بسمو الوزير'!$B$2:$B$151,$B215,'المرتبطة بسمو الوزير'!$G$2:$G$151,$G215,'المرتبطة بسمو الوزير'!$I$2:$I$151,$I215)+SUMIFS('الشؤون التنفيذية'!$N$2:$N$421,'الشؤون التنفيذية'!$B$2:$B$421,$B215,'الشؤون التنفيذية'!$G$2:$G$421,$G215,'الشؤون التنفيذية'!$I$2:$I$421,$I215)+SUMIFS('الجهاز العسكري'!$M$2:$M$631,'الجهاز العسكري'!$B$2:$B$631,$B215,'الجهاز العسكري'!$G$2:$G$631,$G215,'الجهاز العسكري'!$I$2:$I$631,$I215))/$L215,0))</f>
        <v>44</v>
      </c>
      <c r="O215" s="25" t="n">
        <f aca="false">IF($L215=0,0,ROUND((SUMIFS('المرتبطة بسمو الوزير'!$N$2:$N$151,'المرتبطة بسمو الوزير'!$B$2:$B$151,$B215,'المرتبطة بسمو الوزير'!$G$2:$G$151,$G215,'المرتبطة بسمو الوزير'!$I$2:$I$151,$I215)+SUMIFS('الشؤون التنفيذية'!$O$2:$O$421,'الشؤون التنفيذية'!$B$2:$B$421,$B215,'الشؤون التنفيذية'!$G$2:$G$421,$G215,'الشؤون التنفيذية'!$I$2:$I$421,$I215)+SUMIFS('الجهاز العسكري'!$N$2:$N$631,'الجهاز العسكري'!$B$2:$B$631,$B215,'الجهاز العسكري'!$G$2:$G$631,$G215,'الجهاز العسكري'!$I$2:$I$631,$I215))/$L215,0))</f>
        <v>100</v>
      </c>
      <c r="P215" s="22"/>
      <c r="Q215" s="19" t="n">
        <f aca="false">SUMIFS(المرجع!$G$2:$G$19,المرجع!$B$2:$B$19,$G215,المرجع!$E$2:$E$19,$I215)</f>
        <v>15</v>
      </c>
      <c r="R215" s="26" t="n">
        <f aca="false">ROUND($Q215*$N215/100,2)</f>
        <v>6.6</v>
      </c>
      <c r="S215" s="27" t="str">
        <f aca="false">IF($N215&gt;المرجع!$K$3,"متقدم",IF($N215&lt;=المرجع!$K$2,"أولي","جزئي"))</f>
        <v>جزئي</v>
      </c>
      <c r="T215" s="28" t="n">
        <f aca="false">ROUND($Q215*$O215/100,2)</f>
        <v>15</v>
      </c>
    </row>
    <row r="216" customFormat="false" ht="15" hidden="false" customHeight="true" outlineLevel="0" collapsed="false">
      <c r="A216" s="20" t="s">
        <v>1668</v>
      </c>
      <c r="B216" s="20" t="s">
        <v>176</v>
      </c>
      <c r="C216" s="19" t="str">
        <f aca="false">IFERROR(INDEX('قائمة الوحدات'!$B$2:$B$41,MATCH($B216,'قائمة الوحدات'!$A$2:$A$41,0)),"")</f>
        <v>EXE</v>
      </c>
      <c r="D216" s="18" t="str">
        <f aca="false">IFERROR(INDEX('قائمة الوحدات'!$C$2:$C$41,MATCH($B216,'قائمة الوحدات'!$A$2:$A$41,0)),"")</f>
        <v>الشؤون التنفيذية</v>
      </c>
      <c r="E216" s="18" t="str">
        <f aca="false">IFERROR(INDEX('قائمة الوحدات'!$D$2:$D$41,MATCH($B216,'قائمة الوحدات'!$A$2:$A$41,0)),"")</f>
        <v>وكالة الشؤون الفنية</v>
      </c>
      <c r="F216" s="18" t="str">
        <f aca="false">IFERROR(INDEX('قائمة الوحدات'!$F$2:$F$41,MATCH($B216,'قائمة الوحدات'!$A$2:$A$41,0)),"")</f>
        <v>الإدارة العامة للأمن والحماية</v>
      </c>
      <c r="G216" s="20" t="s">
        <v>66</v>
      </c>
      <c r="H216" s="18" t="str">
        <f aca="false">IFERROR(INDEX(المرجع!$A$2:$A$19,MATCH($G216,المرجع!$B$2:$B$19,0)),"")</f>
        <v>التشغيل</v>
      </c>
      <c r="I216" s="20" t="s">
        <v>60</v>
      </c>
      <c r="J216" s="18" t="str">
        <f aca="false">IFERROR(INDEX(المرجع!$D$2:$D$19,MATCH($I216,المرجع!$E$2:$E$19,0)),"")</f>
        <v>الإجراءات</v>
      </c>
      <c r="K216" s="19" t="n">
        <f aca="false">IFERROR(INDEX(المرجع!$F$2:$F$19,MATCH($I216,المرجع!$E$2:$E$19,0)),"")</f>
        <v>6</v>
      </c>
      <c r="L216" s="19" t="n">
        <f aca="false">SUMIFS(المرجع!$H$2:$H$19,المرجع!$B$2:$B$19,$G216,المرجع!$E$2:$E$19,$I216)</f>
        <v>1</v>
      </c>
      <c r="M216" s="19" t="n">
        <f aca="false">COUNTIFS('المرتبطة بسمو الوزير'!$B$2:$B$151,$B216,'المرتبطة بسمو الوزير'!$G$2:$G$151,$G216,'المرتبطة بسمو الوزير'!$I$2:$I$151,$I216,'المرتبطة بسمو الوزير'!$M$2:$M$151,"&lt;&gt;")+COUNTIFS('الشؤون التنفيذية'!$B$2:$B$421,$B216,'الشؤون التنفيذية'!$G$2:$G$421,$G216,'الشؤون التنفيذية'!$I$2:$I$421,$I216,'الشؤون التنفيذية'!$N$2:$N$421,"&lt;&gt;")+COUNTIFS('الجهاز العسكري'!$B$2:$B$631,$B216,'الجهاز العسكري'!$G$2:$G$631,$G216,'الجهاز العسكري'!$I$2:$I$631,$I216,'الجهاز العسكري'!$M$2:$M$631,"&lt;&gt;")</f>
        <v>1</v>
      </c>
      <c r="N216" s="24" t="n">
        <f aca="false">IF($L216=0,0,ROUND((SUMIFS('المرتبطة بسمو الوزير'!$M$2:$M$151,'المرتبطة بسمو الوزير'!$B$2:$B$151,$B216,'المرتبطة بسمو الوزير'!$G$2:$G$151,$G216,'المرتبطة بسمو الوزير'!$I$2:$I$151,$I216)+SUMIFS('الشؤون التنفيذية'!$N$2:$N$421,'الشؤون التنفيذية'!$B$2:$B$421,$B216,'الشؤون التنفيذية'!$G$2:$G$421,$G216,'الشؤون التنفيذية'!$I$2:$I$421,$I216)+SUMIFS('الجهاز العسكري'!$M$2:$M$631,'الجهاز العسكري'!$B$2:$B$631,$B216,'الجهاز العسكري'!$G$2:$G$631,$G216,'الجهاز العسكري'!$I$2:$I$631,$I216))/$L216,0))</f>
        <v>29</v>
      </c>
      <c r="O216" s="25" t="n">
        <f aca="false">IF($L216=0,0,ROUND((SUMIFS('المرتبطة بسمو الوزير'!$N$2:$N$151,'المرتبطة بسمو الوزير'!$B$2:$B$151,$B216,'المرتبطة بسمو الوزير'!$G$2:$G$151,$G216,'المرتبطة بسمو الوزير'!$I$2:$I$151,$I216)+SUMIFS('الشؤون التنفيذية'!$O$2:$O$421,'الشؤون التنفيذية'!$B$2:$B$421,$B216,'الشؤون التنفيذية'!$G$2:$G$421,$G216,'الشؤون التنفيذية'!$I$2:$I$421,$I216)+SUMIFS('الجهاز العسكري'!$N$2:$N$631,'الجهاز العسكري'!$B$2:$B$631,$B216,'الجهاز العسكري'!$G$2:$G$631,$G216,'الجهاز العسكري'!$I$2:$I$631,$I216))/$L216,0))</f>
        <v>100</v>
      </c>
      <c r="P216" s="22"/>
      <c r="Q216" s="19" t="n">
        <f aca="false">SUMIFS(المرجع!$G$2:$G$19,المرجع!$B$2:$B$19,$G216,المرجع!$E$2:$E$19,$I216)</f>
        <v>15</v>
      </c>
      <c r="R216" s="26" t="n">
        <f aca="false">ROUND($Q216*$N216/100,2)</f>
        <v>4.35</v>
      </c>
      <c r="S216" s="27" t="str">
        <f aca="false">IF($N216&gt;المرجع!$K$3,"متقدم",IF($N216&lt;=المرجع!$K$2,"أولي","جزئي"))</f>
        <v>أولي</v>
      </c>
      <c r="T216" s="28" t="n">
        <f aca="false">ROUND($Q216*$O216/100,2)</f>
        <v>15</v>
      </c>
    </row>
    <row r="217" customFormat="false" ht="15" hidden="false" customHeight="true" outlineLevel="0" collapsed="false">
      <c r="A217" s="20" t="s">
        <v>1669</v>
      </c>
      <c r="B217" s="20" t="s">
        <v>176</v>
      </c>
      <c r="C217" s="19" t="str">
        <f aca="false">IFERROR(INDEX('قائمة الوحدات'!$B$2:$B$41,MATCH($B217,'قائمة الوحدات'!$A$2:$A$41,0)),"")</f>
        <v>EXE</v>
      </c>
      <c r="D217" s="18" t="str">
        <f aca="false">IFERROR(INDEX('قائمة الوحدات'!$C$2:$C$41,MATCH($B217,'قائمة الوحدات'!$A$2:$A$41,0)),"")</f>
        <v>الشؤون التنفيذية</v>
      </c>
      <c r="E217" s="18" t="str">
        <f aca="false">IFERROR(INDEX('قائمة الوحدات'!$D$2:$D$41,MATCH($B217,'قائمة الوحدات'!$A$2:$A$41,0)),"")</f>
        <v>وكالة الشؤون الفنية</v>
      </c>
      <c r="F217" s="18" t="str">
        <f aca="false">IFERROR(INDEX('قائمة الوحدات'!$F$2:$F$41,MATCH($B217,'قائمة الوحدات'!$A$2:$A$41,0)),"")</f>
        <v>الإدارة العامة للأمن والحماية</v>
      </c>
      <c r="G217" s="20" t="s">
        <v>66</v>
      </c>
      <c r="H217" s="18" t="str">
        <f aca="false">IFERROR(INDEX(المرجع!$A$2:$A$19,MATCH($G217,المرجع!$B$2:$B$19,0)),"")</f>
        <v>التشغيل</v>
      </c>
      <c r="I217" s="20" t="s">
        <v>71</v>
      </c>
      <c r="J217" s="18" t="str">
        <f aca="false">IFERROR(INDEX(المرجع!$D$2:$D$19,MATCH($I217,المرجع!$E$2:$E$19,0)),"")</f>
        <v>اكتمال المخرجات المستهدفة</v>
      </c>
      <c r="K217" s="19" t="n">
        <f aca="false">IFERROR(INDEX(المرجع!$F$2:$F$19,MATCH($I217,المرجع!$E$2:$E$19,0)),"")</f>
        <v>8</v>
      </c>
      <c r="L217" s="19" t="n">
        <f aca="false">SUMIFS(المرجع!$H$2:$H$19,المرجع!$B$2:$B$19,$G217,المرجع!$E$2:$E$19,$I217)</f>
        <v>1</v>
      </c>
      <c r="M217" s="19" t="n">
        <f aca="false">COUNTIFS('المرتبطة بسمو الوزير'!$B$2:$B$151,$B217,'المرتبطة بسمو الوزير'!$G$2:$G$151,$G217,'المرتبطة بسمو الوزير'!$I$2:$I$151,$I217,'المرتبطة بسمو الوزير'!$M$2:$M$151,"&lt;&gt;")+COUNTIFS('الشؤون التنفيذية'!$B$2:$B$421,$B217,'الشؤون التنفيذية'!$G$2:$G$421,$G217,'الشؤون التنفيذية'!$I$2:$I$421,$I217,'الشؤون التنفيذية'!$N$2:$N$421,"&lt;&gt;")+COUNTIFS('الجهاز العسكري'!$B$2:$B$631,$B217,'الجهاز العسكري'!$G$2:$G$631,$G217,'الجهاز العسكري'!$I$2:$I$631,$I217,'الجهاز العسكري'!$M$2:$M$631,"&lt;&gt;")</f>
        <v>1</v>
      </c>
      <c r="N217" s="24" t="n">
        <f aca="false">IF($L217=0,0,ROUND((SUMIFS('المرتبطة بسمو الوزير'!$M$2:$M$151,'المرتبطة بسمو الوزير'!$B$2:$B$151,$B217,'المرتبطة بسمو الوزير'!$G$2:$G$151,$G217,'المرتبطة بسمو الوزير'!$I$2:$I$151,$I217)+SUMIFS('الشؤون التنفيذية'!$N$2:$N$421,'الشؤون التنفيذية'!$B$2:$B$421,$B217,'الشؤون التنفيذية'!$G$2:$G$421,$G217,'الشؤون التنفيذية'!$I$2:$I$421,$I217)+SUMIFS('الجهاز العسكري'!$M$2:$M$631,'الجهاز العسكري'!$B$2:$B$631,$B217,'الجهاز العسكري'!$G$2:$G$631,$G217,'الجهاز العسكري'!$I$2:$I$631,$I217))/$L217,0))</f>
        <v>45</v>
      </c>
      <c r="O217" s="25" t="n">
        <f aca="false">IF($L217=0,0,ROUND((SUMIFS('المرتبطة بسمو الوزير'!$N$2:$N$151,'المرتبطة بسمو الوزير'!$B$2:$B$151,$B217,'المرتبطة بسمو الوزير'!$G$2:$G$151,$G217,'المرتبطة بسمو الوزير'!$I$2:$I$151,$I217)+SUMIFS('الشؤون التنفيذية'!$O$2:$O$421,'الشؤون التنفيذية'!$B$2:$B$421,$B217,'الشؤون التنفيذية'!$G$2:$G$421,$G217,'الشؤون التنفيذية'!$I$2:$I$421,$I217)+SUMIFS('الجهاز العسكري'!$N$2:$N$631,'الجهاز العسكري'!$B$2:$B$631,$B217,'الجهاز العسكري'!$G$2:$G$631,$G217,'الجهاز العسكري'!$I$2:$I$631,$I217))/$L217,0))</f>
        <v>80</v>
      </c>
      <c r="P217" s="22"/>
      <c r="Q217" s="19" t="n">
        <f aca="false">SUMIFS(المرجع!$G$2:$G$19,المرجع!$B$2:$B$19,$G217,المرجع!$E$2:$E$19,$I217)</f>
        <v>30</v>
      </c>
      <c r="R217" s="26" t="n">
        <f aca="false">ROUND($Q217*$N217/100,2)</f>
        <v>13.5</v>
      </c>
      <c r="S217" s="27" t="str">
        <f aca="false">IF($N217&gt;المرجع!$K$3,"متقدم",IF($N217&lt;=المرجع!$K$2,"أولي","جزئي"))</f>
        <v>جزئي</v>
      </c>
      <c r="T217" s="28" t="n">
        <f aca="false">ROUND($Q217*$O217/100,2)</f>
        <v>24</v>
      </c>
    </row>
    <row r="218" customFormat="false" ht="15" hidden="false" customHeight="true" outlineLevel="0" collapsed="false">
      <c r="A218" s="20" t="s">
        <v>1670</v>
      </c>
      <c r="B218" s="20" t="s">
        <v>178</v>
      </c>
      <c r="C218" s="19" t="str">
        <f aca="false">IFERROR(INDEX('قائمة الوحدات'!$B$2:$B$41,MATCH($B218,'قائمة الوحدات'!$A$2:$A$41,0)),"")</f>
        <v>EXE</v>
      </c>
      <c r="D218" s="18" t="str">
        <f aca="false">IFERROR(INDEX('قائمة الوحدات'!$C$2:$C$41,MATCH($B218,'قائمة الوحدات'!$A$2:$A$41,0)),"")</f>
        <v>الشؤون التنفيذية</v>
      </c>
      <c r="E218" s="18" t="str">
        <f aca="false">IFERROR(INDEX('قائمة الوحدات'!$D$2:$D$41,MATCH($B218,'قائمة الوحدات'!$A$2:$A$41,0)),"")</f>
        <v>وكالة الخدمات المساندة</v>
      </c>
      <c r="F218" s="18" t="str">
        <f aca="false">IFERROR(INDEX('قائمة الوحدات'!$F$2:$F$41,MATCH($B218,'قائمة الوحدات'!$A$2:$A$41,0)),"")</f>
        <v>الإدارة العامة للموارد البشرية</v>
      </c>
      <c r="G218" s="20" t="s">
        <v>44</v>
      </c>
      <c r="H218" s="18" t="str">
        <f aca="false">IFERROR(INDEX(المرجع!$A$2:$A$19,MATCH($G218,المرجع!$B$2:$B$19,0)),"")</f>
        <v>التصميم</v>
      </c>
      <c r="I218" s="20" t="s">
        <v>46</v>
      </c>
      <c r="J218" s="18" t="str">
        <f aca="false">IFERROR(INDEX(المرجع!$D$2:$D$19,MATCH($I218,المرجع!$E$2:$E$19,0)),"")</f>
        <v>الدور</v>
      </c>
      <c r="K218" s="19" t="n">
        <f aca="false">IFERROR(INDEX(المرجع!$F$2:$F$19,MATCH($I218,المرجع!$E$2:$E$19,0)),"")</f>
        <v>1</v>
      </c>
      <c r="L218" s="19" t="n">
        <f aca="false">SUMIFS(المرجع!$H$2:$H$19,المرجع!$B$2:$B$19,$G218,المرجع!$E$2:$E$19,$I218)</f>
        <v>1</v>
      </c>
      <c r="M218" s="19" t="n">
        <f aca="false">COUNTIFS('المرتبطة بسمو الوزير'!$B$2:$B$151,$B218,'المرتبطة بسمو الوزير'!$G$2:$G$151,$G218,'المرتبطة بسمو الوزير'!$I$2:$I$151,$I218,'المرتبطة بسمو الوزير'!$M$2:$M$151,"&lt;&gt;")+COUNTIFS('الشؤون التنفيذية'!$B$2:$B$421,$B218,'الشؤون التنفيذية'!$G$2:$G$421,$G218,'الشؤون التنفيذية'!$I$2:$I$421,$I218,'الشؤون التنفيذية'!$N$2:$N$421,"&lt;&gt;")+COUNTIFS('الجهاز العسكري'!$B$2:$B$631,$B218,'الجهاز العسكري'!$G$2:$G$631,$G218,'الجهاز العسكري'!$I$2:$I$631,$I218,'الجهاز العسكري'!$M$2:$M$631,"&lt;&gt;")</f>
        <v>1</v>
      </c>
      <c r="N218" s="24" t="n">
        <f aca="false">IF($L218=0,0,ROUND((SUMIFS('المرتبطة بسمو الوزير'!$M$2:$M$151,'المرتبطة بسمو الوزير'!$B$2:$B$151,$B218,'المرتبطة بسمو الوزير'!$G$2:$G$151,$G218,'المرتبطة بسمو الوزير'!$I$2:$I$151,$I218)+SUMIFS('الشؤون التنفيذية'!$N$2:$N$421,'الشؤون التنفيذية'!$B$2:$B$421,$B218,'الشؤون التنفيذية'!$G$2:$G$421,$G218,'الشؤون التنفيذية'!$I$2:$I$421,$I218)+SUMIFS('الجهاز العسكري'!$M$2:$M$631,'الجهاز العسكري'!$B$2:$B$631,$B218,'الجهاز العسكري'!$G$2:$G$631,$G218,'الجهاز العسكري'!$I$2:$I$631,$I218))/$L218,0))</f>
        <v>89</v>
      </c>
      <c r="O218" s="25" t="n">
        <f aca="false">IF($L218=0,0,ROUND((SUMIFS('المرتبطة بسمو الوزير'!$N$2:$N$151,'المرتبطة بسمو الوزير'!$B$2:$B$151,$B218,'المرتبطة بسمو الوزير'!$G$2:$G$151,$G218,'المرتبطة بسمو الوزير'!$I$2:$I$151,$I218)+SUMIFS('الشؤون التنفيذية'!$O$2:$O$421,'الشؤون التنفيذية'!$B$2:$B$421,$B218,'الشؤون التنفيذية'!$G$2:$G$421,$G218,'الشؤون التنفيذية'!$I$2:$I$421,$I218)+SUMIFS('الجهاز العسكري'!$N$2:$N$631,'الجهاز العسكري'!$B$2:$B$631,$B218,'الجهاز العسكري'!$G$2:$G$631,$G218,'الجهاز العسكري'!$I$2:$I$631,$I218))/$L218,0))</f>
        <v>95</v>
      </c>
      <c r="P218" s="22"/>
      <c r="Q218" s="19" t="n">
        <f aca="false">SUMIFS(المرجع!$G$2:$G$19,المرجع!$B$2:$B$19,$G218,المرجع!$E$2:$E$19,$I218)</f>
        <v>25</v>
      </c>
      <c r="R218" s="26" t="n">
        <f aca="false">ROUND($Q218*$N218/100,2)</f>
        <v>22.25</v>
      </c>
      <c r="S218" s="27" t="str">
        <f aca="false">IF($N218&gt;المرجع!$K$3,"متقدم",IF($N218&lt;=المرجع!$K$2,"أولي","جزئي"))</f>
        <v>متقدم</v>
      </c>
      <c r="T218" s="28" t="n">
        <f aca="false">ROUND($Q218*$O218/100,2)</f>
        <v>23.75</v>
      </c>
    </row>
    <row r="219" customFormat="false" ht="15" hidden="false" customHeight="true" outlineLevel="0" collapsed="false">
      <c r="A219" s="20" t="s">
        <v>1671</v>
      </c>
      <c r="B219" s="20" t="s">
        <v>178</v>
      </c>
      <c r="C219" s="19" t="str">
        <f aca="false">IFERROR(INDEX('قائمة الوحدات'!$B$2:$B$41,MATCH($B219,'قائمة الوحدات'!$A$2:$A$41,0)),"")</f>
        <v>EXE</v>
      </c>
      <c r="D219" s="18" t="str">
        <f aca="false">IFERROR(INDEX('قائمة الوحدات'!$C$2:$C$41,MATCH($B219,'قائمة الوحدات'!$A$2:$A$41,0)),"")</f>
        <v>الشؤون التنفيذية</v>
      </c>
      <c r="E219" s="18" t="str">
        <f aca="false">IFERROR(INDEX('قائمة الوحدات'!$D$2:$D$41,MATCH($B219,'قائمة الوحدات'!$A$2:$A$41,0)),"")</f>
        <v>وكالة الخدمات المساندة</v>
      </c>
      <c r="F219" s="18" t="str">
        <f aca="false">IFERROR(INDEX('قائمة الوحدات'!$F$2:$F$41,MATCH($B219,'قائمة الوحدات'!$A$2:$A$41,0)),"")</f>
        <v>الإدارة العامة للموارد البشرية</v>
      </c>
      <c r="G219" s="20" t="s">
        <v>44</v>
      </c>
      <c r="H219" s="18" t="str">
        <f aca="false">IFERROR(INDEX(المرجع!$A$2:$A$19,MATCH($G219,المرجع!$B$2:$B$19,0)),"")</f>
        <v>التصميم</v>
      </c>
      <c r="I219" s="20" t="s">
        <v>49</v>
      </c>
      <c r="J219" s="18" t="str">
        <f aca="false">IFERROR(INDEX(المرجع!$D$2:$D$19,MATCH($I219,المرجع!$E$2:$E$19,0)),"")</f>
        <v>الأهداف ومؤشرات الأداء</v>
      </c>
      <c r="K219" s="19" t="n">
        <f aca="false">IFERROR(INDEX(المرجع!$F$2:$F$19,MATCH($I219,المرجع!$E$2:$E$19,0)),"")</f>
        <v>2</v>
      </c>
      <c r="L219" s="19" t="n">
        <f aca="false">SUMIFS(المرجع!$H$2:$H$19,المرجع!$B$2:$B$19,$G219,المرجع!$E$2:$E$19,$I219)</f>
        <v>2</v>
      </c>
      <c r="M219" s="19" t="n">
        <f aca="false">COUNTIFS('المرتبطة بسمو الوزير'!$B$2:$B$151,$B219,'المرتبطة بسمو الوزير'!$G$2:$G$151,$G219,'المرتبطة بسمو الوزير'!$I$2:$I$151,$I219,'المرتبطة بسمو الوزير'!$M$2:$M$151,"&lt;&gt;")+COUNTIFS('الشؤون التنفيذية'!$B$2:$B$421,$B219,'الشؤون التنفيذية'!$G$2:$G$421,$G219,'الشؤون التنفيذية'!$I$2:$I$421,$I219,'الشؤون التنفيذية'!$N$2:$N$421,"&lt;&gt;")+COUNTIFS('الجهاز العسكري'!$B$2:$B$631,$B219,'الجهاز العسكري'!$G$2:$G$631,$G219,'الجهاز العسكري'!$I$2:$I$631,$I219,'الجهاز العسكري'!$M$2:$M$631,"&lt;&gt;")</f>
        <v>2</v>
      </c>
      <c r="N219" s="24" t="n">
        <f aca="false">IF($L219=0,0,ROUND((SUMIFS('المرتبطة بسمو الوزير'!$M$2:$M$151,'المرتبطة بسمو الوزير'!$B$2:$B$151,$B219,'المرتبطة بسمو الوزير'!$G$2:$G$151,$G219,'المرتبطة بسمو الوزير'!$I$2:$I$151,$I219)+SUMIFS('الشؤون التنفيذية'!$N$2:$N$421,'الشؤون التنفيذية'!$B$2:$B$421,$B219,'الشؤون التنفيذية'!$G$2:$G$421,$G219,'الشؤون التنفيذية'!$I$2:$I$421,$I219)+SUMIFS('الجهاز العسكري'!$M$2:$M$631,'الجهاز العسكري'!$B$2:$B$631,$B219,'الجهاز العسكري'!$G$2:$G$631,$G219,'الجهاز العسكري'!$I$2:$I$631,$I219))/$L219,0))</f>
        <v>65</v>
      </c>
      <c r="O219" s="25" t="n">
        <f aca="false">IF($L219=0,0,ROUND((SUMIFS('المرتبطة بسمو الوزير'!$N$2:$N$151,'المرتبطة بسمو الوزير'!$B$2:$B$151,$B219,'المرتبطة بسمو الوزير'!$G$2:$G$151,$G219,'المرتبطة بسمو الوزير'!$I$2:$I$151,$I219)+SUMIFS('الشؤون التنفيذية'!$O$2:$O$421,'الشؤون التنفيذية'!$B$2:$B$421,$B219,'الشؤون التنفيذية'!$G$2:$G$421,$G219,'الشؤون التنفيذية'!$I$2:$I$421,$I219)+SUMIFS('الجهاز العسكري'!$N$2:$N$631,'الجهاز العسكري'!$B$2:$B$631,$B219,'الجهاز العسكري'!$G$2:$G$631,$G219,'الجهاز العسكري'!$I$2:$I$631,$I219))/$L219,0))</f>
        <v>100</v>
      </c>
      <c r="P219" s="22"/>
      <c r="Q219" s="19" t="n">
        <f aca="false">SUMIFS(المرجع!$G$2:$G$19,المرجع!$B$2:$B$19,$G219,المرجع!$E$2:$E$19,$I219)</f>
        <v>15</v>
      </c>
      <c r="R219" s="26" t="n">
        <f aca="false">ROUND($Q219*$N219/100,2)</f>
        <v>9.75</v>
      </c>
      <c r="S219" s="27" t="str">
        <f aca="false">IF($N219&gt;المرجع!$K$3,"متقدم",IF($N219&lt;=المرجع!$K$2,"أولي","جزئي"))</f>
        <v>جزئي</v>
      </c>
      <c r="T219" s="28" t="n">
        <f aca="false">ROUND($Q219*$O219/100,2)</f>
        <v>15</v>
      </c>
    </row>
    <row r="220" customFormat="false" ht="15" hidden="false" customHeight="true" outlineLevel="0" collapsed="false">
      <c r="A220" s="20" t="s">
        <v>1672</v>
      </c>
      <c r="B220" s="20" t="s">
        <v>178</v>
      </c>
      <c r="C220" s="19" t="str">
        <f aca="false">IFERROR(INDEX('قائمة الوحدات'!$B$2:$B$41,MATCH($B220,'قائمة الوحدات'!$A$2:$A$41,0)),"")</f>
        <v>EXE</v>
      </c>
      <c r="D220" s="18" t="str">
        <f aca="false">IFERROR(INDEX('قائمة الوحدات'!$C$2:$C$41,MATCH($B220,'قائمة الوحدات'!$A$2:$A$41,0)),"")</f>
        <v>الشؤون التنفيذية</v>
      </c>
      <c r="E220" s="18" t="str">
        <f aca="false">IFERROR(INDEX('قائمة الوحدات'!$D$2:$D$41,MATCH($B220,'قائمة الوحدات'!$A$2:$A$41,0)),"")</f>
        <v>وكالة الخدمات المساندة</v>
      </c>
      <c r="F220" s="18" t="str">
        <f aca="false">IFERROR(INDEX('قائمة الوحدات'!$F$2:$F$41,MATCH($B220,'قائمة الوحدات'!$A$2:$A$41,0)),"")</f>
        <v>الإدارة العامة للموارد البشرية</v>
      </c>
      <c r="G220" s="20" t="s">
        <v>44</v>
      </c>
      <c r="H220" s="18" t="str">
        <f aca="false">IFERROR(INDEX(المرجع!$A$2:$A$19,MATCH($G220,المرجع!$B$2:$B$19,0)),"")</f>
        <v>التصميم</v>
      </c>
      <c r="I220" s="20" t="s">
        <v>52</v>
      </c>
      <c r="J220" s="18" t="str">
        <f aca="false">IFERROR(INDEX(المرجع!$D$2:$D$19,MATCH($I220,المرجع!$E$2:$E$19,0)),"")</f>
        <v>الحوكمة</v>
      </c>
      <c r="K220" s="19" t="n">
        <f aca="false">IFERROR(INDEX(المرجع!$F$2:$F$19,MATCH($I220,المرجع!$E$2:$E$19,0)),"")</f>
        <v>3</v>
      </c>
      <c r="L220" s="19" t="n">
        <f aca="false">SUMIFS(المرجع!$H$2:$H$19,المرجع!$B$2:$B$19,$G220,المرجع!$E$2:$E$19,$I220)</f>
        <v>1</v>
      </c>
      <c r="M220" s="19" t="n">
        <f aca="false">COUNTIFS('المرتبطة بسمو الوزير'!$B$2:$B$151,$B220,'المرتبطة بسمو الوزير'!$G$2:$G$151,$G220,'المرتبطة بسمو الوزير'!$I$2:$I$151,$I220,'المرتبطة بسمو الوزير'!$M$2:$M$151,"&lt;&gt;")+COUNTIFS('الشؤون التنفيذية'!$B$2:$B$421,$B220,'الشؤون التنفيذية'!$G$2:$G$421,$G220,'الشؤون التنفيذية'!$I$2:$I$421,$I220,'الشؤون التنفيذية'!$N$2:$N$421,"&lt;&gt;")+COUNTIFS('الجهاز العسكري'!$B$2:$B$631,$B220,'الجهاز العسكري'!$G$2:$G$631,$G220,'الجهاز العسكري'!$I$2:$I$631,$I220,'الجهاز العسكري'!$M$2:$M$631,"&lt;&gt;")</f>
        <v>1</v>
      </c>
      <c r="N220" s="24" t="n">
        <f aca="false">IF($L220=0,0,ROUND((SUMIFS('المرتبطة بسمو الوزير'!$M$2:$M$151,'المرتبطة بسمو الوزير'!$B$2:$B$151,$B220,'المرتبطة بسمو الوزير'!$G$2:$G$151,$G220,'المرتبطة بسمو الوزير'!$I$2:$I$151,$I220)+SUMIFS('الشؤون التنفيذية'!$N$2:$N$421,'الشؤون التنفيذية'!$B$2:$B$421,$B220,'الشؤون التنفيذية'!$G$2:$G$421,$G220,'الشؤون التنفيذية'!$I$2:$I$421,$I220)+SUMIFS('الجهاز العسكري'!$M$2:$M$631,'الجهاز العسكري'!$B$2:$B$631,$B220,'الجهاز العسكري'!$G$2:$G$631,$G220,'الجهاز العسكري'!$I$2:$I$631,$I220))/$L220,0))</f>
        <v>71</v>
      </c>
      <c r="O220" s="25" t="n">
        <f aca="false">IF($L220=0,0,ROUND((SUMIFS('المرتبطة بسمو الوزير'!$N$2:$N$151,'المرتبطة بسمو الوزير'!$B$2:$B$151,$B220,'المرتبطة بسمو الوزير'!$G$2:$G$151,$G220,'المرتبطة بسمو الوزير'!$I$2:$I$151,$I220)+SUMIFS('الشؤون التنفيذية'!$O$2:$O$421,'الشؤون التنفيذية'!$B$2:$B$421,$B220,'الشؤون التنفيذية'!$G$2:$G$421,$G220,'الشؤون التنفيذية'!$I$2:$I$421,$I220)+SUMIFS('الجهاز العسكري'!$N$2:$N$631,'الجهاز العسكري'!$B$2:$B$631,$B220,'الجهاز العسكري'!$G$2:$G$631,$G220,'الجهاز العسكري'!$I$2:$I$631,$I220))/$L220,0))</f>
        <v>100</v>
      </c>
      <c r="P220" s="22"/>
      <c r="Q220" s="19" t="n">
        <f aca="false">SUMIFS(المرجع!$G$2:$G$19,المرجع!$B$2:$B$19,$G220,المرجع!$E$2:$E$19,$I220)</f>
        <v>15</v>
      </c>
      <c r="R220" s="26" t="n">
        <f aca="false">ROUND($Q220*$N220/100,2)</f>
        <v>10.65</v>
      </c>
      <c r="S220" s="27" t="str">
        <f aca="false">IF($N220&gt;المرجع!$K$3,"متقدم",IF($N220&lt;=المرجع!$K$2,"أولي","جزئي"))</f>
        <v>متقدم</v>
      </c>
      <c r="T220" s="28" t="n">
        <f aca="false">ROUND($Q220*$O220/100,2)</f>
        <v>15</v>
      </c>
    </row>
    <row r="221" customFormat="false" ht="15" hidden="false" customHeight="true" outlineLevel="0" collapsed="false">
      <c r="A221" s="20" t="s">
        <v>1673</v>
      </c>
      <c r="B221" s="20" t="s">
        <v>178</v>
      </c>
      <c r="C221" s="19" t="str">
        <f aca="false">IFERROR(INDEX('قائمة الوحدات'!$B$2:$B$41,MATCH($B221,'قائمة الوحدات'!$A$2:$A$41,0)),"")</f>
        <v>EXE</v>
      </c>
      <c r="D221" s="18" t="str">
        <f aca="false">IFERROR(INDEX('قائمة الوحدات'!$C$2:$C$41,MATCH($B221,'قائمة الوحدات'!$A$2:$A$41,0)),"")</f>
        <v>الشؤون التنفيذية</v>
      </c>
      <c r="E221" s="18" t="str">
        <f aca="false">IFERROR(INDEX('قائمة الوحدات'!$D$2:$D$41,MATCH($B221,'قائمة الوحدات'!$A$2:$A$41,0)),"")</f>
        <v>وكالة الخدمات المساندة</v>
      </c>
      <c r="F221" s="18" t="str">
        <f aca="false">IFERROR(INDEX('قائمة الوحدات'!$F$2:$F$41,MATCH($B221,'قائمة الوحدات'!$A$2:$A$41,0)),"")</f>
        <v>الإدارة العامة للموارد البشرية</v>
      </c>
      <c r="G221" s="20" t="s">
        <v>44</v>
      </c>
      <c r="H221" s="18" t="str">
        <f aca="false">IFERROR(INDEX(المرجع!$A$2:$A$19,MATCH($G221,المرجع!$B$2:$B$19,0)),"")</f>
        <v>التصميم</v>
      </c>
      <c r="I221" s="20" t="s">
        <v>55</v>
      </c>
      <c r="J221" s="18" t="str">
        <f aca="false">IFERROR(INDEX(المرجع!$D$2:$D$19,MATCH($I221,المرجع!$E$2:$E$19,0)),"")</f>
        <v>التنظيم</v>
      </c>
      <c r="K221" s="19" t="n">
        <f aca="false">IFERROR(INDEX(المرجع!$F$2:$F$19,MATCH($I221,المرجع!$E$2:$E$19,0)),"")</f>
        <v>4</v>
      </c>
      <c r="L221" s="19" t="n">
        <f aca="false">SUMIFS(المرجع!$H$2:$H$19,المرجع!$B$2:$B$19,$G221,المرجع!$E$2:$E$19,$I221)</f>
        <v>1</v>
      </c>
      <c r="M221" s="19" t="n">
        <f aca="false">COUNTIFS('المرتبطة بسمو الوزير'!$B$2:$B$151,$B221,'المرتبطة بسمو الوزير'!$G$2:$G$151,$G221,'المرتبطة بسمو الوزير'!$I$2:$I$151,$I221,'المرتبطة بسمو الوزير'!$M$2:$M$151,"&lt;&gt;")+COUNTIFS('الشؤون التنفيذية'!$B$2:$B$421,$B221,'الشؤون التنفيذية'!$G$2:$G$421,$G221,'الشؤون التنفيذية'!$I$2:$I$421,$I221,'الشؤون التنفيذية'!$N$2:$N$421,"&lt;&gt;")+COUNTIFS('الجهاز العسكري'!$B$2:$B$631,$B221,'الجهاز العسكري'!$G$2:$G$631,$G221,'الجهاز العسكري'!$I$2:$I$631,$I221,'الجهاز العسكري'!$M$2:$M$631,"&lt;&gt;")</f>
        <v>1</v>
      </c>
      <c r="N221" s="24" t="n">
        <f aca="false">IF($L221=0,0,ROUND((SUMIFS('المرتبطة بسمو الوزير'!$M$2:$M$151,'المرتبطة بسمو الوزير'!$B$2:$B$151,$B221,'المرتبطة بسمو الوزير'!$G$2:$G$151,$G221,'المرتبطة بسمو الوزير'!$I$2:$I$151,$I221)+SUMIFS('الشؤون التنفيذية'!$N$2:$N$421,'الشؤون التنفيذية'!$B$2:$B$421,$B221,'الشؤون التنفيذية'!$G$2:$G$421,$G221,'الشؤون التنفيذية'!$I$2:$I$421,$I221)+SUMIFS('الجهاز العسكري'!$M$2:$M$631,'الجهاز العسكري'!$B$2:$B$631,$B221,'الجهاز العسكري'!$G$2:$G$631,$G221,'الجهاز العسكري'!$I$2:$I$631,$I221))/$L221,0))</f>
        <v>95</v>
      </c>
      <c r="O221" s="25" t="n">
        <f aca="false">IF($L221=0,0,ROUND((SUMIFS('المرتبطة بسمو الوزير'!$N$2:$N$151,'المرتبطة بسمو الوزير'!$B$2:$B$151,$B221,'المرتبطة بسمو الوزير'!$G$2:$G$151,$G221,'المرتبطة بسمو الوزير'!$I$2:$I$151,$I221)+SUMIFS('الشؤون التنفيذية'!$O$2:$O$421,'الشؤون التنفيذية'!$B$2:$B$421,$B221,'الشؤون التنفيذية'!$G$2:$G$421,$G221,'الشؤون التنفيذية'!$I$2:$I$421,$I221)+SUMIFS('الجهاز العسكري'!$N$2:$N$631,'الجهاز العسكري'!$B$2:$B$631,$B221,'الجهاز العسكري'!$G$2:$G$631,$G221,'الجهاز العسكري'!$I$2:$I$631,$I221))/$L221,0))</f>
        <v>95</v>
      </c>
      <c r="P221" s="22"/>
      <c r="Q221" s="19" t="n">
        <f aca="false">SUMIFS(المرجع!$G$2:$G$19,المرجع!$B$2:$B$19,$G221,المرجع!$E$2:$E$19,$I221)</f>
        <v>20</v>
      </c>
      <c r="R221" s="26" t="n">
        <f aca="false">ROUND($Q221*$N221/100,2)</f>
        <v>19</v>
      </c>
      <c r="S221" s="27" t="str">
        <f aca="false">IF($N221&gt;المرجع!$K$3,"متقدم",IF($N221&lt;=المرجع!$K$2,"أولي","جزئي"))</f>
        <v>متقدم</v>
      </c>
      <c r="T221" s="28" t="n">
        <f aca="false">ROUND($Q221*$O221/100,2)</f>
        <v>19</v>
      </c>
    </row>
    <row r="222" customFormat="false" ht="15" hidden="false" customHeight="true" outlineLevel="0" collapsed="false">
      <c r="A222" s="20" t="s">
        <v>1674</v>
      </c>
      <c r="B222" s="20" t="s">
        <v>178</v>
      </c>
      <c r="C222" s="19" t="str">
        <f aca="false">IFERROR(INDEX('قائمة الوحدات'!$B$2:$B$41,MATCH($B222,'قائمة الوحدات'!$A$2:$A$41,0)),"")</f>
        <v>EXE</v>
      </c>
      <c r="D222" s="18" t="str">
        <f aca="false">IFERROR(INDEX('قائمة الوحدات'!$C$2:$C$41,MATCH($B222,'قائمة الوحدات'!$A$2:$A$41,0)),"")</f>
        <v>الشؤون التنفيذية</v>
      </c>
      <c r="E222" s="18" t="str">
        <f aca="false">IFERROR(INDEX('قائمة الوحدات'!$D$2:$D$41,MATCH($B222,'قائمة الوحدات'!$A$2:$A$41,0)),"")</f>
        <v>وكالة الخدمات المساندة</v>
      </c>
      <c r="F222" s="18" t="str">
        <f aca="false">IFERROR(INDEX('قائمة الوحدات'!$F$2:$F$41,MATCH($B222,'قائمة الوحدات'!$A$2:$A$41,0)),"")</f>
        <v>الإدارة العامة للموارد البشرية</v>
      </c>
      <c r="G222" s="20" t="s">
        <v>44</v>
      </c>
      <c r="H222" s="18" t="str">
        <f aca="false">IFERROR(INDEX(المرجع!$A$2:$A$19,MATCH($G222,المرجع!$B$2:$B$19,0)),"")</f>
        <v>التصميم</v>
      </c>
      <c r="I222" s="20" t="s">
        <v>57</v>
      </c>
      <c r="J222" s="18" t="str">
        <f aca="false">IFERROR(INDEX(المرجع!$D$2:$D$19,MATCH($I222,المرجع!$E$2:$E$19,0)),"")</f>
        <v>الموارد</v>
      </c>
      <c r="K222" s="19" t="n">
        <f aca="false">IFERROR(INDEX(المرجع!$F$2:$F$19,MATCH($I222,المرجع!$E$2:$E$19,0)),"")</f>
        <v>5</v>
      </c>
      <c r="L222" s="19" t="n">
        <f aca="false">SUMIFS(المرجع!$H$2:$H$19,المرجع!$B$2:$B$19,$G222,المرجع!$E$2:$E$19,$I222)</f>
        <v>1</v>
      </c>
      <c r="M222" s="19" t="n">
        <f aca="false">COUNTIFS('المرتبطة بسمو الوزير'!$B$2:$B$151,$B222,'المرتبطة بسمو الوزير'!$G$2:$G$151,$G222,'المرتبطة بسمو الوزير'!$I$2:$I$151,$I222,'المرتبطة بسمو الوزير'!$M$2:$M$151,"&lt;&gt;")+COUNTIFS('الشؤون التنفيذية'!$B$2:$B$421,$B222,'الشؤون التنفيذية'!$G$2:$G$421,$G222,'الشؤون التنفيذية'!$I$2:$I$421,$I222,'الشؤون التنفيذية'!$N$2:$N$421,"&lt;&gt;")+COUNTIFS('الجهاز العسكري'!$B$2:$B$631,$B222,'الجهاز العسكري'!$G$2:$G$631,$G222,'الجهاز العسكري'!$I$2:$I$631,$I222,'الجهاز العسكري'!$M$2:$M$631,"&lt;&gt;")</f>
        <v>1</v>
      </c>
      <c r="N222" s="24" t="n">
        <f aca="false">IF($L222=0,0,ROUND((SUMIFS('المرتبطة بسمو الوزير'!$M$2:$M$151,'المرتبطة بسمو الوزير'!$B$2:$B$151,$B222,'المرتبطة بسمو الوزير'!$G$2:$G$151,$G222,'المرتبطة بسمو الوزير'!$I$2:$I$151,$I222)+SUMIFS('الشؤون التنفيذية'!$N$2:$N$421,'الشؤون التنفيذية'!$B$2:$B$421,$B222,'الشؤون التنفيذية'!$G$2:$G$421,$G222,'الشؤون التنفيذية'!$I$2:$I$421,$I222)+SUMIFS('الجهاز العسكري'!$M$2:$M$631,'الجهاز العسكري'!$B$2:$B$631,$B222,'الجهاز العسكري'!$G$2:$G$631,$G222,'الجهاز العسكري'!$I$2:$I$631,$I222))/$L222,0))</f>
        <v>85</v>
      </c>
      <c r="O222" s="25" t="n">
        <f aca="false">IF($L222=0,0,ROUND((SUMIFS('المرتبطة بسمو الوزير'!$N$2:$N$151,'المرتبطة بسمو الوزير'!$B$2:$B$151,$B222,'المرتبطة بسمو الوزير'!$G$2:$G$151,$G222,'المرتبطة بسمو الوزير'!$I$2:$I$151,$I222)+SUMIFS('الشؤون التنفيذية'!$O$2:$O$421,'الشؤون التنفيذية'!$B$2:$B$421,$B222,'الشؤون التنفيذية'!$G$2:$G$421,$G222,'الشؤون التنفيذية'!$I$2:$I$421,$I222)+SUMIFS('الجهاز العسكري'!$N$2:$N$631,'الجهاز العسكري'!$B$2:$B$631,$B222,'الجهاز العسكري'!$G$2:$G$631,$G222,'الجهاز العسكري'!$I$2:$I$631,$I222))/$L222,0))</f>
        <v>95</v>
      </c>
      <c r="P222" s="22"/>
      <c r="Q222" s="19" t="n">
        <f aca="false">SUMIFS(المرجع!$G$2:$G$19,المرجع!$B$2:$B$19,$G222,المرجع!$E$2:$E$19,$I222)</f>
        <v>20</v>
      </c>
      <c r="R222" s="26" t="n">
        <f aca="false">ROUND($Q222*$N222/100,2)</f>
        <v>17</v>
      </c>
      <c r="S222" s="27" t="str">
        <f aca="false">IF($N222&gt;المرجع!$K$3,"متقدم",IF($N222&lt;=المرجع!$K$2,"أولي","جزئي"))</f>
        <v>متقدم</v>
      </c>
      <c r="T222" s="28" t="n">
        <f aca="false">ROUND($Q222*$O222/100,2)</f>
        <v>19</v>
      </c>
    </row>
    <row r="223" customFormat="false" ht="15" hidden="false" customHeight="true" outlineLevel="0" collapsed="false">
      <c r="A223" s="20" t="s">
        <v>1675</v>
      </c>
      <c r="B223" s="20" t="s">
        <v>178</v>
      </c>
      <c r="C223" s="19" t="str">
        <f aca="false">IFERROR(INDEX('قائمة الوحدات'!$B$2:$B$41,MATCH($B223,'قائمة الوحدات'!$A$2:$A$41,0)),"")</f>
        <v>EXE</v>
      </c>
      <c r="D223" s="18" t="str">
        <f aca="false">IFERROR(INDEX('قائمة الوحدات'!$C$2:$C$41,MATCH($B223,'قائمة الوحدات'!$A$2:$A$41,0)),"")</f>
        <v>الشؤون التنفيذية</v>
      </c>
      <c r="E223" s="18" t="str">
        <f aca="false">IFERROR(INDEX('قائمة الوحدات'!$D$2:$D$41,MATCH($B223,'قائمة الوحدات'!$A$2:$A$41,0)),"")</f>
        <v>وكالة الخدمات المساندة</v>
      </c>
      <c r="F223" s="18" t="str">
        <f aca="false">IFERROR(INDEX('قائمة الوحدات'!$F$2:$F$41,MATCH($B223,'قائمة الوحدات'!$A$2:$A$41,0)),"")</f>
        <v>الإدارة العامة للموارد البشرية</v>
      </c>
      <c r="G223" s="20" t="s">
        <v>44</v>
      </c>
      <c r="H223" s="18" t="str">
        <f aca="false">IFERROR(INDEX(المرجع!$A$2:$A$19,MATCH($G223,المرجع!$B$2:$B$19,0)),"")</f>
        <v>التصميم</v>
      </c>
      <c r="I223" s="20" t="s">
        <v>60</v>
      </c>
      <c r="J223" s="18" t="str">
        <f aca="false">IFERROR(INDEX(المرجع!$D$2:$D$19,MATCH($I223,المرجع!$E$2:$E$19,0)),"")</f>
        <v>الإجراءات</v>
      </c>
      <c r="K223" s="19" t="n">
        <f aca="false">IFERROR(INDEX(المرجع!$F$2:$F$19,MATCH($I223,المرجع!$E$2:$E$19,0)),"")</f>
        <v>6</v>
      </c>
      <c r="L223" s="19" t="n">
        <f aca="false">SUMIFS(المرجع!$H$2:$H$19,المرجع!$B$2:$B$19,$G223,المرجع!$E$2:$E$19,$I223)</f>
        <v>1</v>
      </c>
      <c r="M223" s="19" t="n">
        <f aca="false">COUNTIFS('المرتبطة بسمو الوزير'!$B$2:$B$151,$B223,'المرتبطة بسمو الوزير'!$G$2:$G$151,$G223,'المرتبطة بسمو الوزير'!$I$2:$I$151,$I223,'المرتبطة بسمو الوزير'!$M$2:$M$151,"&lt;&gt;")+COUNTIFS('الشؤون التنفيذية'!$B$2:$B$421,$B223,'الشؤون التنفيذية'!$G$2:$G$421,$G223,'الشؤون التنفيذية'!$I$2:$I$421,$I223,'الشؤون التنفيذية'!$N$2:$N$421,"&lt;&gt;")+COUNTIFS('الجهاز العسكري'!$B$2:$B$631,$B223,'الجهاز العسكري'!$G$2:$G$631,$G223,'الجهاز العسكري'!$I$2:$I$631,$I223,'الجهاز العسكري'!$M$2:$M$631,"&lt;&gt;")</f>
        <v>1</v>
      </c>
      <c r="N223" s="24" t="n">
        <f aca="false">IF($L223=0,0,ROUND((SUMIFS('المرتبطة بسمو الوزير'!$M$2:$M$151,'المرتبطة بسمو الوزير'!$B$2:$B$151,$B223,'المرتبطة بسمو الوزير'!$G$2:$G$151,$G223,'المرتبطة بسمو الوزير'!$I$2:$I$151,$I223)+SUMIFS('الشؤون التنفيذية'!$N$2:$N$421,'الشؤون التنفيذية'!$B$2:$B$421,$B223,'الشؤون التنفيذية'!$G$2:$G$421,$G223,'الشؤون التنفيذية'!$I$2:$I$421,$I223)+SUMIFS('الجهاز العسكري'!$M$2:$M$631,'الجهاز العسكري'!$B$2:$B$631,$B223,'الجهاز العسكري'!$G$2:$G$631,$G223,'الجهاز العسكري'!$I$2:$I$631,$I223))/$L223,0))</f>
        <v>77</v>
      </c>
      <c r="O223" s="25" t="n">
        <f aca="false">IF($L223=0,0,ROUND((SUMIFS('المرتبطة بسمو الوزير'!$N$2:$N$151,'المرتبطة بسمو الوزير'!$B$2:$B$151,$B223,'المرتبطة بسمو الوزير'!$G$2:$G$151,$G223,'المرتبطة بسمو الوزير'!$I$2:$I$151,$I223)+SUMIFS('الشؤون التنفيذية'!$O$2:$O$421,'الشؤون التنفيذية'!$B$2:$B$421,$B223,'الشؤون التنفيذية'!$G$2:$G$421,$G223,'الشؤون التنفيذية'!$I$2:$I$421,$I223)+SUMIFS('الجهاز العسكري'!$N$2:$N$631,'الجهاز العسكري'!$B$2:$B$631,$B223,'الجهاز العسكري'!$G$2:$G$631,$G223,'الجهاز العسكري'!$I$2:$I$631,$I223))/$L223,0))</f>
        <v>85</v>
      </c>
      <c r="P223" s="22"/>
      <c r="Q223" s="19" t="n">
        <f aca="false">SUMIFS(المرجع!$G$2:$G$19,المرجع!$B$2:$B$19,$G223,المرجع!$E$2:$E$19,$I223)</f>
        <v>5</v>
      </c>
      <c r="R223" s="26" t="n">
        <f aca="false">ROUND($Q223*$N223/100,2)</f>
        <v>3.85</v>
      </c>
      <c r="S223" s="27" t="str">
        <f aca="false">IF($N223&gt;المرجع!$K$3,"متقدم",IF($N223&lt;=المرجع!$K$2,"أولي","جزئي"))</f>
        <v>متقدم</v>
      </c>
      <c r="T223" s="28" t="n">
        <f aca="false">ROUND($Q223*$O223/100,2)</f>
        <v>4.25</v>
      </c>
    </row>
    <row r="224" customFormat="false" ht="15" hidden="false" customHeight="true" outlineLevel="0" collapsed="false">
      <c r="A224" s="20" t="s">
        <v>1676</v>
      </c>
      <c r="B224" s="20" t="s">
        <v>178</v>
      </c>
      <c r="C224" s="19" t="str">
        <f aca="false">IFERROR(INDEX('قائمة الوحدات'!$B$2:$B$41,MATCH($B224,'قائمة الوحدات'!$A$2:$A$41,0)),"")</f>
        <v>EXE</v>
      </c>
      <c r="D224" s="18" t="str">
        <f aca="false">IFERROR(INDEX('قائمة الوحدات'!$C$2:$C$41,MATCH($B224,'قائمة الوحدات'!$A$2:$A$41,0)),"")</f>
        <v>الشؤون التنفيذية</v>
      </c>
      <c r="E224" s="18" t="str">
        <f aca="false">IFERROR(INDEX('قائمة الوحدات'!$D$2:$D$41,MATCH($B224,'قائمة الوحدات'!$A$2:$A$41,0)),"")</f>
        <v>وكالة الخدمات المساندة</v>
      </c>
      <c r="F224" s="18" t="str">
        <f aca="false">IFERROR(INDEX('قائمة الوحدات'!$F$2:$F$41,MATCH($B224,'قائمة الوحدات'!$A$2:$A$41,0)),"")</f>
        <v>الإدارة العامة للموارد البشرية</v>
      </c>
      <c r="G224" s="20" t="s">
        <v>62</v>
      </c>
      <c r="H224" s="18" t="str">
        <f aca="false">IFERROR(INDEX(المرجع!$A$2:$A$19,MATCH($G224,المرجع!$B$2:$B$19,0)),"")</f>
        <v>البناء المؤسسي</v>
      </c>
      <c r="I224" s="20" t="s">
        <v>46</v>
      </c>
      <c r="J224" s="18" t="str">
        <f aca="false">IFERROR(INDEX(المرجع!$D$2:$D$19,MATCH($I224,المرجع!$E$2:$E$19,0)),"")</f>
        <v>الدور</v>
      </c>
      <c r="K224" s="19" t="n">
        <f aca="false">IFERROR(INDEX(المرجع!$F$2:$F$19,MATCH($I224,المرجع!$E$2:$E$19,0)),"")</f>
        <v>1</v>
      </c>
      <c r="L224" s="19" t="n">
        <f aca="false">SUMIFS(المرجع!$H$2:$H$19,المرجع!$B$2:$B$19,$G224,المرجع!$E$2:$E$19,$I224)</f>
        <v>1</v>
      </c>
      <c r="M224" s="19" t="n">
        <f aca="false">COUNTIFS('المرتبطة بسمو الوزير'!$B$2:$B$151,$B224,'المرتبطة بسمو الوزير'!$G$2:$G$151,$G224,'المرتبطة بسمو الوزير'!$I$2:$I$151,$I224,'المرتبطة بسمو الوزير'!$M$2:$M$151,"&lt;&gt;")+COUNTIFS('الشؤون التنفيذية'!$B$2:$B$421,$B224,'الشؤون التنفيذية'!$G$2:$G$421,$G224,'الشؤون التنفيذية'!$I$2:$I$421,$I224,'الشؤون التنفيذية'!$N$2:$N$421,"&lt;&gt;")+COUNTIFS('الجهاز العسكري'!$B$2:$B$631,$B224,'الجهاز العسكري'!$G$2:$G$631,$G224,'الجهاز العسكري'!$I$2:$I$631,$I224,'الجهاز العسكري'!$M$2:$M$631,"&lt;&gt;")</f>
        <v>1</v>
      </c>
      <c r="N224" s="24" t="n">
        <f aca="false">IF($L224=0,0,ROUND((SUMIFS('المرتبطة بسمو الوزير'!$M$2:$M$151,'المرتبطة بسمو الوزير'!$B$2:$B$151,$B224,'المرتبطة بسمو الوزير'!$G$2:$G$151,$G224,'المرتبطة بسمو الوزير'!$I$2:$I$151,$I224)+SUMIFS('الشؤون التنفيذية'!$N$2:$N$421,'الشؤون التنفيذية'!$B$2:$B$421,$B224,'الشؤون التنفيذية'!$G$2:$G$421,$G224,'الشؤون التنفيذية'!$I$2:$I$421,$I224)+SUMIFS('الجهاز العسكري'!$M$2:$M$631,'الجهاز العسكري'!$B$2:$B$631,$B224,'الجهاز العسكري'!$G$2:$G$631,$G224,'الجهاز العسكري'!$I$2:$I$631,$I224))/$L224,0))</f>
        <v>61</v>
      </c>
      <c r="O224" s="25" t="n">
        <f aca="false">IF($L224=0,0,ROUND((SUMIFS('المرتبطة بسمو الوزير'!$N$2:$N$151,'المرتبطة بسمو الوزير'!$B$2:$B$151,$B224,'المرتبطة بسمو الوزير'!$G$2:$G$151,$G224,'المرتبطة بسمو الوزير'!$I$2:$I$151,$I224)+SUMIFS('الشؤون التنفيذية'!$O$2:$O$421,'الشؤون التنفيذية'!$B$2:$B$421,$B224,'الشؤون التنفيذية'!$G$2:$G$421,$G224,'الشؤون التنفيذية'!$I$2:$I$421,$I224)+SUMIFS('الجهاز العسكري'!$N$2:$N$631,'الجهاز العسكري'!$B$2:$B$631,$B224,'الجهاز العسكري'!$G$2:$G$631,$G224,'الجهاز العسكري'!$I$2:$I$631,$I224))/$L224,0))</f>
        <v>95</v>
      </c>
      <c r="P224" s="22"/>
      <c r="Q224" s="19" t="n">
        <f aca="false">SUMIFS(المرجع!$G$2:$G$19,المرجع!$B$2:$B$19,$G224,المرجع!$E$2:$E$19,$I224)</f>
        <v>15</v>
      </c>
      <c r="R224" s="26" t="n">
        <f aca="false">ROUND($Q224*$N224/100,2)</f>
        <v>9.15</v>
      </c>
      <c r="S224" s="27" t="str">
        <f aca="false">IF($N224&gt;المرجع!$K$3,"متقدم",IF($N224&lt;=المرجع!$K$2,"أولي","جزئي"))</f>
        <v>جزئي</v>
      </c>
      <c r="T224" s="28" t="n">
        <f aca="false">ROUND($Q224*$O224/100,2)</f>
        <v>14.25</v>
      </c>
    </row>
    <row r="225" customFormat="false" ht="15" hidden="false" customHeight="true" outlineLevel="0" collapsed="false">
      <c r="A225" s="20" t="s">
        <v>1677</v>
      </c>
      <c r="B225" s="20" t="s">
        <v>178</v>
      </c>
      <c r="C225" s="19" t="str">
        <f aca="false">IFERROR(INDEX('قائمة الوحدات'!$B$2:$B$41,MATCH($B225,'قائمة الوحدات'!$A$2:$A$41,0)),"")</f>
        <v>EXE</v>
      </c>
      <c r="D225" s="18" t="str">
        <f aca="false">IFERROR(INDEX('قائمة الوحدات'!$C$2:$C$41,MATCH($B225,'قائمة الوحدات'!$A$2:$A$41,0)),"")</f>
        <v>الشؤون التنفيذية</v>
      </c>
      <c r="E225" s="18" t="str">
        <f aca="false">IFERROR(INDEX('قائمة الوحدات'!$D$2:$D$41,MATCH($B225,'قائمة الوحدات'!$A$2:$A$41,0)),"")</f>
        <v>وكالة الخدمات المساندة</v>
      </c>
      <c r="F225" s="18" t="str">
        <f aca="false">IFERROR(INDEX('قائمة الوحدات'!$F$2:$F$41,MATCH($B225,'قائمة الوحدات'!$A$2:$A$41,0)),"")</f>
        <v>الإدارة العامة للموارد البشرية</v>
      </c>
      <c r="G225" s="20" t="s">
        <v>62</v>
      </c>
      <c r="H225" s="18" t="str">
        <f aca="false">IFERROR(INDEX(المرجع!$A$2:$A$19,MATCH($G225,المرجع!$B$2:$B$19,0)),"")</f>
        <v>البناء المؤسسي</v>
      </c>
      <c r="I225" s="20" t="s">
        <v>49</v>
      </c>
      <c r="J225" s="18" t="str">
        <f aca="false">IFERROR(INDEX(المرجع!$D$2:$D$19,MATCH($I225,المرجع!$E$2:$E$19,0)),"")</f>
        <v>الأهداف ومؤشرات الأداء</v>
      </c>
      <c r="K225" s="19" t="n">
        <f aca="false">IFERROR(INDEX(المرجع!$F$2:$F$19,MATCH($I225,المرجع!$E$2:$E$19,0)),"")</f>
        <v>2</v>
      </c>
      <c r="L225" s="19" t="n">
        <f aca="false">SUMIFS(المرجع!$H$2:$H$19,المرجع!$B$2:$B$19,$G225,المرجع!$E$2:$E$19,$I225)</f>
        <v>2</v>
      </c>
      <c r="M225" s="19" t="n">
        <f aca="false">COUNTIFS('المرتبطة بسمو الوزير'!$B$2:$B$151,$B225,'المرتبطة بسمو الوزير'!$G$2:$G$151,$G225,'المرتبطة بسمو الوزير'!$I$2:$I$151,$I225,'المرتبطة بسمو الوزير'!$M$2:$M$151,"&lt;&gt;")+COUNTIFS('الشؤون التنفيذية'!$B$2:$B$421,$B225,'الشؤون التنفيذية'!$G$2:$G$421,$G225,'الشؤون التنفيذية'!$I$2:$I$421,$I225,'الشؤون التنفيذية'!$N$2:$N$421,"&lt;&gt;")+COUNTIFS('الجهاز العسكري'!$B$2:$B$631,$B225,'الجهاز العسكري'!$G$2:$G$631,$G225,'الجهاز العسكري'!$I$2:$I$631,$I225,'الجهاز العسكري'!$M$2:$M$631,"&lt;&gt;")</f>
        <v>2</v>
      </c>
      <c r="N225" s="24" t="n">
        <f aca="false">IF($L225=0,0,ROUND((SUMIFS('المرتبطة بسمو الوزير'!$M$2:$M$151,'المرتبطة بسمو الوزير'!$B$2:$B$151,$B225,'المرتبطة بسمو الوزير'!$G$2:$G$151,$G225,'المرتبطة بسمو الوزير'!$I$2:$I$151,$I225)+SUMIFS('الشؤون التنفيذية'!$N$2:$N$421,'الشؤون التنفيذية'!$B$2:$B$421,$B225,'الشؤون التنفيذية'!$G$2:$G$421,$G225,'الشؤون التنفيذية'!$I$2:$I$421,$I225)+SUMIFS('الجهاز العسكري'!$M$2:$M$631,'الجهاز العسكري'!$B$2:$B$631,$B225,'الجهاز العسكري'!$G$2:$G$631,$G225,'الجهاز العسكري'!$I$2:$I$631,$I225))/$L225,0))</f>
        <v>58</v>
      </c>
      <c r="O225" s="25" t="n">
        <f aca="false">IF($L225=0,0,ROUND((SUMIFS('المرتبطة بسمو الوزير'!$N$2:$N$151,'المرتبطة بسمو الوزير'!$B$2:$B$151,$B225,'المرتبطة بسمو الوزير'!$G$2:$G$151,$G225,'المرتبطة بسمو الوزير'!$I$2:$I$151,$I225)+SUMIFS('الشؤون التنفيذية'!$O$2:$O$421,'الشؤون التنفيذية'!$B$2:$B$421,$B225,'الشؤون التنفيذية'!$G$2:$G$421,$G225,'الشؤون التنفيذية'!$I$2:$I$421,$I225)+SUMIFS('الجهاز العسكري'!$N$2:$N$631,'الجهاز العسكري'!$B$2:$B$631,$B225,'الجهاز العسكري'!$G$2:$G$631,$G225,'الجهاز العسكري'!$I$2:$I$631,$I225))/$L225,0))</f>
        <v>100</v>
      </c>
      <c r="P225" s="22"/>
      <c r="Q225" s="19" t="n">
        <f aca="false">SUMIFS(المرجع!$G$2:$G$19,المرجع!$B$2:$B$19,$G225,المرجع!$E$2:$E$19,$I225)</f>
        <v>15</v>
      </c>
      <c r="R225" s="26" t="n">
        <f aca="false">ROUND($Q225*$N225/100,2)</f>
        <v>8.7</v>
      </c>
      <c r="S225" s="27" t="str">
        <f aca="false">IF($N225&gt;المرجع!$K$3,"متقدم",IF($N225&lt;=المرجع!$K$2,"أولي","جزئي"))</f>
        <v>جزئي</v>
      </c>
      <c r="T225" s="28" t="n">
        <f aca="false">ROUND($Q225*$O225/100,2)</f>
        <v>15</v>
      </c>
    </row>
    <row r="226" customFormat="false" ht="15" hidden="false" customHeight="true" outlineLevel="0" collapsed="false">
      <c r="A226" s="20" t="s">
        <v>1678</v>
      </c>
      <c r="B226" s="20" t="s">
        <v>178</v>
      </c>
      <c r="C226" s="19" t="str">
        <f aca="false">IFERROR(INDEX('قائمة الوحدات'!$B$2:$B$41,MATCH($B226,'قائمة الوحدات'!$A$2:$A$41,0)),"")</f>
        <v>EXE</v>
      </c>
      <c r="D226" s="18" t="str">
        <f aca="false">IFERROR(INDEX('قائمة الوحدات'!$C$2:$C$41,MATCH($B226,'قائمة الوحدات'!$A$2:$A$41,0)),"")</f>
        <v>الشؤون التنفيذية</v>
      </c>
      <c r="E226" s="18" t="str">
        <f aca="false">IFERROR(INDEX('قائمة الوحدات'!$D$2:$D$41,MATCH($B226,'قائمة الوحدات'!$A$2:$A$41,0)),"")</f>
        <v>وكالة الخدمات المساندة</v>
      </c>
      <c r="F226" s="18" t="str">
        <f aca="false">IFERROR(INDEX('قائمة الوحدات'!$F$2:$F$41,MATCH($B226,'قائمة الوحدات'!$A$2:$A$41,0)),"")</f>
        <v>الإدارة العامة للموارد البشرية</v>
      </c>
      <c r="G226" s="20" t="s">
        <v>62</v>
      </c>
      <c r="H226" s="18" t="str">
        <f aca="false">IFERROR(INDEX(المرجع!$A$2:$A$19,MATCH($G226,المرجع!$B$2:$B$19,0)),"")</f>
        <v>البناء المؤسسي</v>
      </c>
      <c r="I226" s="20" t="s">
        <v>52</v>
      </c>
      <c r="J226" s="18" t="str">
        <f aca="false">IFERROR(INDEX(المرجع!$D$2:$D$19,MATCH($I226,المرجع!$E$2:$E$19,0)),"")</f>
        <v>الحوكمة</v>
      </c>
      <c r="K226" s="19" t="n">
        <f aca="false">IFERROR(INDEX(المرجع!$F$2:$F$19,MATCH($I226,المرجع!$E$2:$E$19,0)),"")</f>
        <v>3</v>
      </c>
      <c r="L226" s="19" t="n">
        <f aca="false">SUMIFS(المرجع!$H$2:$H$19,المرجع!$B$2:$B$19,$G226,المرجع!$E$2:$E$19,$I226)</f>
        <v>3</v>
      </c>
      <c r="M226" s="19" t="n">
        <f aca="false">COUNTIFS('المرتبطة بسمو الوزير'!$B$2:$B$151,$B226,'المرتبطة بسمو الوزير'!$G$2:$G$151,$G226,'المرتبطة بسمو الوزير'!$I$2:$I$151,$I226,'المرتبطة بسمو الوزير'!$M$2:$M$151,"&lt;&gt;")+COUNTIFS('الشؤون التنفيذية'!$B$2:$B$421,$B226,'الشؤون التنفيذية'!$G$2:$G$421,$G226,'الشؤون التنفيذية'!$I$2:$I$421,$I226,'الشؤون التنفيذية'!$N$2:$N$421,"&lt;&gt;")+COUNTIFS('الجهاز العسكري'!$B$2:$B$631,$B226,'الجهاز العسكري'!$G$2:$G$631,$G226,'الجهاز العسكري'!$I$2:$I$631,$I226,'الجهاز العسكري'!$M$2:$M$631,"&lt;&gt;")</f>
        <v>3</v>
      </c>
      <c r="N226" s="24" t="n">
        <f aca="false">IF($L226=0,0,ROUND((SUMIFS('المرتبطة بسمو الوزير'!$M$2:$M$151,'المرتبطة بسمو الوزير'!$B$2:$B$151,$B226,'المرتبطة بسمو الوزير'!$G$2:$G$151,$G226,'المرتبطة بسمو الوزير'!$I$2:$I$151,$I226)+SUMIFS('الشؤون التنفيذية'!$N$2:$N$421,'الشؤون التنفيذية'!$B$2:$B$421,$B226,'الشؤون التنفيذية'!$G$2:$G$421,$G226,'الشؤون التنفيذية'!$I$2:$I$421,$I226)+SUMIFS('الجهاز العسكري'!$M$2:$M$631,'الجهاز العسكري'!$B$2:$B$631,$B226,'الجهاز العسكري'!$G$2:$G$631,$G226,'الجهاز العسكري'!$I$2:$I$631,$I226))/$L226,0))</f>
        <v>72</v>
      </c>
      <c r="O226" s="25" t="n">
        <f aca="false">IF($L226=0,0,ROUND((SUMIFS('المرتبطة بسمو الوزير'!$N$2:$N$151,'المرتبطة بسمو الوزير'!$B$2:$B$151,$B226,'المرتبطة بسمو الوزير'!$G$2:$G$151,$G226,'المرتبطة بسمو الوزير'!$I$2:$I$151,$I226)+SUMIFS('الشؤون التنفيذية'!$O$2:$O$421,'الشؤون التنفيذية'!$B$2:$B$421,$B226,'الشؤون التنفيذية'!$G$2:$G$421,$G226,'الشؤون التنفيذية'!$I$2:$I$421,$I226)+SUMIFS('الجهاز العسكري'!$N$2:$N$631,'الجهاز العسكري'!$B$2:$B$631,$B226,'الجهاز العسكري'!$G$2:$G$631,$G226,'الجهاز العسكري'!$I$2:$I$631,$I226))/$L226,0))</f>
        <v>90</v>
      </c>
      <c r="P226" s="22"/>
      <c r="Q226" s="19" t="n">
        <f aca="false">SUMIFS(المرجع!$G$2:$G$19,المرجع!$B$2:$B$19,$G226,المرجع!$E$2:$E$19,$I226)</f>
        <v>15</v>
      </c>
      <c r="R226" s="26" t="n">
        <f aca="false">ROUND($Q226*$N226/100,2)</f>
        <v>10.8</v>
      </c>
      <c r="S226" s="27" t="str">
        <f aca="false">IF($N226&gt;المرجع!$K$3,"متقدم",IF($N226&lt;=المرجع!$K$2,"أولي","جزئي"))</f>
        <v>متقدم</v>
      </c>
      <c r="T226" s="28" t="n">
        <f aca="false">ROUND($Q226*$O226/100,2)</f>
        <v>13.5</v>
      </c>
    </row>
    <row r="227" customFormat="false" ht="15" hidden="false" customHeight="true" outlineLevel="0" collapsed="false">
      <c r="A227" s="20" t="s">
        <v>1679</v>
      </c>
      <c r="B227" s="20" t="s">
        <v>178</v>
      </c>
      <c r="C227" s="19" t="str">
        <f aca="false">IFERROR(INDEX('قائمة الوحدات'!$B$2:$B$41,MATCH($B227,'قائمة الوحدات'!$A$2:$A$41,0)),"")</f>
        <v>EXE</v>
      </c>
      <c r="D227" s="18" t="str">
        <f aca="false">IFERROR(INDEX('قائمة الوحدات'!$C$2:$C$41,MATCH($B227,'قائمة الوحدات'!$A$2:$A$41,0)),"")</f>
        <v>الشؤون التنفيذية</v>
      </c>
      <c r="E227" s="18" t="str">
        <f aca="false">IFERROR(INDEX('قائمة الوحدات'!$D$2:$D$41,MATCH($B227,'قائمة الوحدات'!$A$2:$A$41,0)),"")</f>
        <v>وكالة الخدمات المساندة</v>
      </c>
      <c r="F227" s="18" t="str">
        <f aca="false">IFERROR(INDEX('قائمة الوحدات'!$F$2:$F$41,MATCH($B227,'قائمة الوحدات'!$A$2:$A$41,0)),"")</f>
        <v>الإدارة العامة للموارد البشرية</v>
      </c>
      <c r="G227" s="20" t="s">
        <v>62</v>
      </c>
      <c r="H227" s="18" t="str">
        <f aca="false">IFERROR(INDEX(المرجع!$A$2:$A$19,MATCH($G227,المرجع!$B$2:$B$19,0)),"")</f>
        <v>البناء المؤسسي</v>
      </c>
      <c r="I227" s="20" t="s">
        <v>55</v>
      </c>
      <c r="J227" s="18" t="str">
        <f aca="false">IFERROR(INDEX(المرجع!$D$2:$D$19,MATCH($I227,المرجع!$E$2:$E$19,0)),"")</f>
        <v>التنظيم</v>
      </c>
      <c r="K227" s="19" t="n">
        <f aca="false">IFERROR(INDEX(المرجع!$F$2:$F$19,MATCH($I227,المرجع!$E$2:$E$19,0)),"")</f>
        <v>4</v>
      </c>
      <c r="L227" s="19" t="n">
        <f aca="false">SUMIFS(المرجع!$H$2:$H$19,المرجع!$B$2:$B$19,$G227,المرجع!$E$2:$E$19,$I227)</f>
        <v>3</v>
      </c>
      <c r="M227" s="19" t="n">
        <f aca="false">COUNTIFS('المرتبطة بسمو الوزير'!$B$2:$B$151,$B227,'المرتبطة بسمو الوزير'!$G$2:$G$151,$G227,'المرتبطة بسمو الوزير'!$I$2:$I$151,$I227,'المرتبطة بسمو الوزير'!$M$2:$M$151,"&lt;&gt;")+COUNTIFS('الشؤون التنفيذية'!$B$2:$B$421,$B227,'الشؤون التنفيذية'!$G$2:$G$421,$G227,'الشؤون التنفيذية'!$I$2:$I$421,$I227,'الشؤون التنفيذية'!$N$2:$N$421,"&lt;&gt;")+COUNTIFS('الجهاز العسكري'!$B$2:$B$631,$B227,'الجهاز العسكري'!$G$2:$G$631,$G227,'الجهاز العسكري'!$I$2:$I$631,$I227,'الجهاز العسكري'!$M$2:$M$631,"&lt;&gt;")</f>
        <v>3</v>
      </c>
      <c r="N227" s="24" t="n">
        <f aca="false">IF($L227=0,0,ROUND((SUMIFS('المرتبطة بسمو الوزير'!$M$2:$M$151,'المرتبطة بسمو الوزير'!$B$2:$B$151,$B227,'المرتبطة بسمو الوزير'!$G$2:$G$151,$G227,'المرتبطة بسمو الوزير'!$I$2:$I$151,$I227)+SUMIFS('الشؤون التنفيذية'!$N$2:$N$421,'الشؤون التنفيذية'!$B$2:$B$421,$B227,'الشؤون التنفيذية'!$G$2:$G$421,$G227,'الشؤون التنفيذية'!$I$2:$I$421,$I227)+SUMIFS('الجهاز العسكري'!$M$2:$M$631,'الجهاز العسكري'!$B$2:$B$631,$B227,'الجهاز العسكري'!$G$2:$G$631,$G227,'الجهاز العسكري'!$I$2:$I$631,$I227))/$L227,0))</f>
        <v>77</v>
      </c>
      <c r="O227" s="25" t="n">
        <f aca="false">IF($L227=0,0,ROUND((SUMIFS('المرتبطة بسمو الوزير'!$N$2:$N$151,'المرتبطة بسمو الوزير'!$B$2:$B$151,$B227,'المرتبطة بسمو الوزير'!$G$2:$G$151,$G227,'المرتبطة بسمو الوزير'!$I$2:$I$151,$I227)+SUMIFS('الشؤون التنفيذية'!$O$2:$O$421,'الشؤون التنفيذية'!$B$2:$B$421,$B227,'الشؤون التنفيذية'!$G$2:$G$421,$G227,'الشؤون التنفيذية'!$I$2:$I$421,$I227)+SUMIFS('الجهاز العسكري'!$N$2:$N$631,'الجهاز العسكري'!$B$2:$B$631,$B227,'الجهاز العسكري'!$G$2:$G$631,$G227,'الجهاز العسكري'!$I$2:$I$631,$I227))/$L227,0))</f>
        <v>97</v>
      </c>
      <c r="P227" s="22"/>
      <c r="Q227" s="19" t="n">
        <f aca="false">SUMIFS(المرجع!$G$2:$G$19,المرجع!$B$2:$B$19,$G227,المرجع!$E$2:$E$19,$I227)</f>
        <v>20</v>
      </c>
      <c r="R227" s="26" t="n">
        <f aca="false">ROUND($Q227*$N227/100,2)</f>
        <v>15.4</v>
      </c>
      <c r="S227" s="27" t="str">
        <f aca="false">IF($N227&gt;المرجع!$K$3,"متقدم",IF($N227&lt;=المرجع!$K$2,"أولي","جزئي"))</f>
        <v>متقدم</v>
      </c>
      <c r="T227" s="28" t="n">
        <f aca="false">ROUND($Q227*$O227/100,2)</f>
        <v>19.4</v>
      </c>
    </row>
    <row r="228" customFormat="false" ht="15" hidden="false" customHeight="true" outlineLevel="0" collapsed="false">
      <c r="A228" s="20" t="s">
        <v>1680</v>
      </c>
      <c r="B228" s="20" t="s">
        <v>178</v>
      </c>
      <c r="C228" s="19" t="str">
        <f aca="false">IFERROR(INDEX('قائمة الوحدات'!$B$2:$B$41,MATCH($B228,'قائمة الوحدات'!$A$2:$A$41,0)),"")</f>
        <v>EXE</v>
      </c>
      <c r="D228" s="18" t="str">
        <f aca="false">IFERROR(INDEX('قائمة الوحدات'!$C$2:$C$41,MATCH($B228,'قائمة الوحدات'!$A$2:$A$41,0)),"")</f>
        <v>الشؤون التنفيذية</v>
      </c>
      <c r="E228" s="18" t="str">
        <f aca="false">IFERROR(INDEX('قائمة الوحدات'!$D$2:$D$41,MATCH($B228,'قائمة الوحدات'!$A$2:$A$41,0)),"")</f>
        <v>وكالة الخدمات المساندة</v>
      </c>
      <c r="F228" s="18" t="str">
        <f aca="false">IFERROR(INDEX('قائمة الوحدات'!$F$2:$F$41,MATCH($B228,'قائمة الوحدات'!$A$2:$A$41,0)),"")</f>
        <v>الإدارة العامة للموارد البشرية</v>
      </c>
      <c r="G228" s="20" t="s">
        <v>62</v>
      </c>
      <c r="H228" s="18" t="str">
        <f aca="false">IFERROR(INDEX(المرجع!$A$2:$A$19,MATCH($G228,المرجع!$B$2:$B$19,0)),"")</f>
        <v>البناء المؤسسي</v>
      </c>
      <c r="I228" s="20" t="s">
        <v>57</v>
      </c>
      <c r="J228" s="18" t="str">
        <f aca="false">IFERROR(INDEX(المرجع!$D$2:$D$19,MATCH($I228,المرجع!$E$2:$E$19,0)),"")</f>
        <v>الموارد</v>
      </c>
      <c r="K228" s="19" t="n">
        <f aca="false">IFERROR(INDEX(المرجع!$F$2:$F$19,MATCH($I228,المرجع!$E$2:$E$19,0)),"")</f>
        <v>5</v>
      </c>
      <c r="L228" s="19" t="n">
        <f aca="false">SUMIFS(المرجع!$H$2:$H$19,المرجع!$B$2:$B$19,$G228,المرجع!$E$2:$E$19,$I228)</f>
        <v>4</v>
      </c>
      <c r="M228" s="19" t="n">
        <f aca="false">COUNTIFS('المرتبطة بسمو الوزير'!$B$2:$B$151,$B228,'المرتبطة بسمو الوزير'!$G$2:$G$151,$G228,'المرتبطة بسمو الوزير'!$I$2:$I$151,$I228,'المرتبطة بسمو الوزير'!$M$2:$M$151,"&lt;&gt;")+COUNTIFS('الشؤون التنفيذية'!$B$2:$B$421,$B228,'الشؤون التنفيذية'!$G$2:$G$421,$G228,'الشؤون التنفيذية'!$I$2:$I$421,$I228,'الشؤون التنفيذية'!$N$2:$N$421,"&lt;&gt;")+COUNTIFS('الجهاز العسكري'!$B$2:$B$631,$B228,'الجهاز العسكري'!$G$2:$G$631,$G228,'الجهاز العسكري'!$I$2:$I$631,$I228,'الجهاز العسكري'!$M$2:$M$631,"&lt;&gt;")</f>
        <v>4</v>
      </c>
      <c r="N228" s="24" t="n">
        <f aca="false">IF($L228=0,0,ROUND((SUMIFS('المرتبطة بسمو الوزير'!$M$2:$M$151,'المرتبطة بسمو الوزير'!$B$2:$B$151,$B228,'المرتبطة بسمو الوزير'!$G$2:$G$151,$G228,'المرتبطة بسمو الوزير'!$I$2:$I$151,$I228)+SUMIFS('الشؤون التنفيذية'!$N$2:$N$421,'الشؤون التنفيذية'!$B$2:$B$421,$B228,'الشؤون التنفيذية'!$G$2:$G$421,$G228,'الشؤون التنفيذية'!$I$2:$I$421,$I228)+SUMIFS('الجهاز العسكري'!$M$2:$M$631,'الجهاز العسكري'!$B$2:$B$631,$B228,'الجهاز العسكري'!$G$2:$G$631,$G228,'الجهاز العسكري'!$I$2:$I$631,$I228))/$L228,0))</f>
        <v>68</v>
      </c>
      <c r="O228" s="25" t="n">
        <f aca="false">IF($L228=0,0,ROUND((SUMIFS('المرتبطة بسمو الوزير'!$N$2:$N$151,'المرتبطة بسمو الوزير'!$B$2:$B$151,$B228,'المرتبطة بسمو الوزير'!$G$2:$G$151,$G228,'المرتبطة بسمو الوزير'!$I$2:$I$151,$I228)+SUMIFS('الشؤون التنفيذية'!$O$2:$O$421,'الشؤون التنفيذية'!$B$2:$B$421,$B228,'الشؤون التنفيذية'!$G$2:$G$421,$G228,'الشؤون التنفيذية'!$I$2:$I$421,$I228)+SUMIFS('الجهاز العسكري'!$N$2:$N$631,'الجهاز العسكري'!$B$2:$B$631,$B228,'الجهاز العسكري'!$G$2:$G$631,$G228,'الجهاز العسكري'!$I$2:$I$631,$I228))/$L228,0))</f>
        <v>94</v>
      </c>
      <c r="P228" s="22"/>
      <c r="Q228" s="19" t="n">
        <f aca="false">SUMIFS(المرجع!$G$2:$G$19,المرجع!$B$2:$B$19,$G228,المرجع!$E$2:$E$19,$I228)</f>
        <v>25</v>
      </c>
      <c r="R228" s="26" t="n">
        <f aca="false">ROUND($Q228*$N228/100,2)</f>
        <v>17</v>
      </c>
      <c r="S228" s="27" t="str">
        <f aca="false">IF($N228&gt;المرجع!$K$3,"متقدم",IF($N228&lt;=المرجع!$K$2,"أولي","جزئي"))</f>
        <v>جزئي</v>
      </c>
      <c r="T228" s="28" t="n">
        <f aca="false">ROUND($Q228*$O228/100,2)</f>
        <v>23.5</v>
      </c>
    </row>
    <row r="229" customFormat="false" ht="15" hidden="false" customHeight="true" outlineLevel="0" collapsed="false">
      <c r="A229" s="20" t="s">
        <v>1681</v>
      </c>
      <c r="B229" s="20" t="s">
        <v>178</v>
      </c>
      <c r="C229" s="19" t="str">
        <f aca="false">IFERROR(INDEX('قائمة الوحدات'!$B$2:$B$41,MATCH($B229,'قائمة الوحدات'!$A$2:$A$41,0)),"")</f>
        <v>EXE</v>
      </c>
      <c r="D229" s="18" t="str">
        <f aca="false">IFERROR(INDEX('قائمة الوحدات'!$C$2:$C$41,MATCH($B229,'قائمة الوحدات'!$A$2:$A$41,0)),"")</f>
        <v>الشؤون التنفيذية</v>
      </c>
      <c r="E229" s="18" t="str">
        <f aca="false">IFERROR(INDEX('قائمة الوحدات'!$D$2:$D$41,MATCH($B229,'قائمة الوحدات'!$A$2:$A$41,0)),"")</f>
        <v>وكالة الخدمات المساندة</v>
      </c>
      <c r="F229" s="18" t="str">
        <f aca="false">IFERROR(INDEX('قائمة الوحدات'!$F$2:$F$41,MATCH($B229,'قائمة الوحدات'!$A$2:$A$41,0)),"")</f>
        <v>الإدارة العامة للموارد البشرية</v>
      </c>
      <c r="G229" s="20" t="s">
        <v>62</v>
      </c>
      <c r="H229" s="18" t="str">
        <f aca="false">IFERROR(INDEX(المرجع!$A$2:$A$19,MATCH($G229,المرجع!$B$2:$B$19,0)),"")</f>
        <v>البناء المؤسسي</v>
      </c>
      <c r="I229" s="20" t="s">
        <v>60</v>
      </c>
      <c r="J229" s="18" t="str">
        <f aca="false">IFERROR(INDEX(المرجع!$D$2:$D$19,MATCH($I229,المرجع!$E$2:$E$19,0)),"")</f>
        <v>الإجراءات</v>
      </c>
      <c r="K229" s="19" t="n">
        <f aca="false">IFERROR(INDEX(المرجع!$F$2:$F$19,MATCH($I229,المرجع!$E$2:$E$19,0)),"")</f>
        <v>6</v>
      </c>
      <c r="L229" s="19" t="n">
        <f aca="false">SUMIFS(المرجع!$H$2:$H$19,المرجع!$B$2:$B$19,$G229,المرجع!$E$2:$E$19,$I229)</f>
        <v>1</v>
      </c>
      <c r="M229" s="19" t="n">
        <f aca="false">COUNTIFS('المرتبطة بسمو الوزير'!$B$2:$B$151,$B229,'المرتبطة بسمو الوزير'!$G$2:$G$151,$G229,'المرتبطة بسمو الوزير'!$I$2:$I$151,$I229,'المرتبطة بسمو الوزير'!$M$2:$M$151,"&lt;&gt;")+COUNTIFS('الشؤون التنفيذية'!$B$2:$B$421,$B229,'الشؤون التنفيذية'!$G$2:$G$421,$G229,'الشؤون التنفيذية'!$I$2:$I$421,$I229,'الشؤون التنفيذية'!$N$2:$N$421,"&lt;&gt;")+COUNTIFS('الجهاز العسكري'!$B$2:$B$631,$B229,'الجهاز العسكري'!$G$2:$G$631,$G229,'الجهاز العسكري'!$I$2:$I$631,$I229,'الجهاز العسكري'!$M$2:$M$631,"&lt;&gt;")</f>
        <v>1</v>
      </c>
      <c r="N229" s="24" t="n">
        <f aca="false">IF($L229=0,0,ROUND((SUMIFS('المرتبطة بسمو الوزير'!$M$2:$M$151,'المرتبطة بسمو الوزير'!$B$2:$B$151,$B229,'المرتبطة بسمو الوزير'!$G$2:$G$151,$G229,'المرتبطة بسمو الوزير'!$I$2:$I$151,$I229)+SUMIFS('الشؤون التنفيذية'!$N$2:$N$421,'الشؤون التنفيذية'!$B$2:$B$421,$B229,'الشؤون التنفيذية'!$G$2:$G$421,$G229,'الشؤون التنفيذية'!$I$2:$I$421,$I229)+SUMIFS('الجهاز العسكري'!$M$2:$M$631,'الجهاز العسكري'!$B$2:$B$631,$B229,'الجهاز العسكري'!$G$2:$G$631,$G229,'الجهاز العسكري'!$I$2:$I$631,$I229))/$L229,0))</f>
        <v>46</v>
      </c>
      <c r="O229" s="25" t="n">
        <f aca="false">IF($L229=0,0,ROUND((SUMIFS('المرتبطة بسمو الوزير'!$N$2:$N$151,'المرتبطة بسمو الوزير'!$B$2:$B$151,$B229,'المرتبطة بسمو الوزير'!$G$2:$G$151,$G229,'المرتبطة بسمو الوزير'!$I$2:$I$151,$I229)+SUMIFS('الشؤون التنفيذية'!$O$2:$O$421,'الشؤون التنفيذية'!$B$2:$B$421,$B229,'الشؤون التنفيذية'!$G$2:$G$421,$G229,'الشؤون التنفيذية'!$I$2:$I$421,$I229)+SUMIFS('الجهاز العسكري'!$N$2:$N$631,'الجهاز العسكري'!$B$2:$B$631,$B229,'الجهاز العسكري'!$G$2:$G$631,$G229,'الجهاز العسكري'!$I$2:$I$631,$I229))/$L229,0))</f>
        <v>85</v>
      </c>
      <c r="P229" s="22"/>
      <c r="Q229" s="19" t="n">
        <f aca="false">SUMIFS(المرجع!$G$2:$G$19,المرجع!$B$2:$B$19,$G229,المرجع!$E$2:$E$19,$I229)</f>
        <v>5</v>
      </c>
      <c r="R229" s="26" t="n">
        <f aca="false">ROUND($Q229*$N229/100,2)</f>
        <v>2.3</v>
      </c>
      <c r="S229" s="27" t="str">
        <f aca="false">IF($N229&gt;المرجع!$K$3,"متقدم",IF($N229&lt;=المرجع!$K$2,"أولي","جزئي"))</f>
        <v>جزئي</v>
      </c>
      <c r="T229" s="28" t="n">
        <f aca="false">ROUND($Q229*$O229/100,2)</f>
        <v>4.25</v>
      </c>
    </row>
    <row r="230" customFormat="false" ht="15" hidden="false" customHeight="true" outlineLevel="0" collapsed="false">
      <c r="A230" s="20" t="s">
        <v>1682</v>
      </c>
      <c r="B230" s="20" t="s">
        <v>178</v>
      </c>
      <c r="C230" s="19" t="str">
        <f aca="false">IFERROR(INDEX('قائمة الوحدات'!$B$2:$B$41,MATCH($B230,'قائمة الوحدات'!$A$2:$A$41,0)),"")</f>
        <v>EXE</v>
      </c>
      <c r="D230" s="18" t="str">
        <f aca="false">IFERROR(INDEX('قائمة الوحدات'!$C$2:$C$41,MATCH($B230,'قائمة الوحدات'!$A$2:$A$41,0)),"")</f>
        <v>الشؤون التنفيذية</v>
      </c>
      <c r="E230" s="18" t="str">
        <f aca="false">IFERROR(INDEX('قائمة الوحدات'!$D$2:$D$41,MATCH($B230,'قائمة الوحدات'!$A$2:$A$41,0)),"")</f>
        <v>وكالة الخدمات المساندة</v>
      </c>
      <c r="F230" s="18" t="str">
        <f aca="false">IFERROR(INDEX('قائمة الوحدات'!$F$2:$F$41,MATCH($B230,'قائمة الوحدات'!$A$2:$A$41,0)),"")</f>
        <v>الإدارة العامة للموارد البشرية</v>
      </c>
      <c r="G230" s="20" t="s">
        <v>62</v>
      </c>
      <c r="H230" s="18" t="str">
        <f aca="false">IFERROR(INDEX(المرجع!$A$2:$A$19,MATCH($G230,المرجع!$B$2:$B$19,0)),"")</f>
        <v>البناء المؤسسي</v>
      </c>
      <c r="I230" s="20" t="s">
        <v>69</v>
      </c>
      <c r="J230" s="18" t="str">
        <f aca="false">IFERROR(INDEX(المرجع!$D$2:$D$19,MATCH($I230,المرجع!$E$2:$E$19,0)),"")</f>
        <v>إنتاج المخرج الأول</v>
      </c>
      <c r="K230" s="19" t="n">
        <f aca="false">IFERROR(INDEX(المرجع!$F$2:$F$19,MATCH($I230,المرجع!$E$2:$E$19,0)),"")</f>
        <v>7</v>
      </c>
      <c r="L230" s="19" t="n">
        <f aca="false">SUMIFS(المرجع!$H$2:$H$19,المرجع!$B$2:$B$19,$G230,المرجع!$E$2:$E$19,$I230)</f>
        <v>1</v>
      </c>
      <c r="M230" s="19" t="n">
        <f aca="false">COUNTIFS('المرتبطة بسمو الوزير'!$B$2:$B$151,$B230,'المرتبطة بسمو الوزير'!$G$2:$G$151,$G230,'المرتبطة بسمو الوزير'!$I$2:$I$151,$I230,'المرتبطة بسمو الوزير'!$M$2:$M$151,"&lt;&gt;")+COUNTIFS('الشؤون التنفيذية'!$B$2:$B$421,$B230,'الشؤون التنفيذية'!$G$2:$G$421,$G230,'الشؤون التنفيذية'!$I$2:$I$421,$I230,'الشؤون التنفيذية'!$N$2:$N$421,"&lt;&gt;")+COUNTIFS('الجهاز العسكري'!$B$2:$B$631,$B230,'الجهاز العسكري'!$G$2:$G$631,$G230,'الجهاز العسكري'!$I$2:$I$631,$I230,'الجهاز العسكري'!$M$2:$M$631,"&lt;&gt;")</f>
        <v>1</v>
      </c>
      <c r="N230" s="24" t="n">
        <f aca="false">IF($L230=0,0,ROUND((SUMIFS('المرتبطة بسمو الوزير'!$M$2:$M$151,'المرتبطة بسمو الوزير'!$B$2:$B$151,$B230,'المرتبطة بسمو الوزير'!$G$2:$G$151,$G230,'المرتبطة بسمو الوزير'!$I$2:$I$151,$I230)+SUMIFS('الشؤون التنفيذية'!$N$2:$N$421,'الشؤون التنفيذية'!$B$2:$B$421,$B230,'الشؤون التنفيذية'!$G$2:$G$421,$G230,'الشؤون التنفيذية'!$I$2:$I$421,$I230)+SUMIFS('الجهاز العسكري'!$M$2:$M$631,'الجهاز العسكري'!$B$2:$B$631,$B230,'الجهاز العسكري'!$G$2:$G$631,$G230,'الجهاز العسكري'!$I$2:$I$631,$I230))/$L230,0))</f>
        <v>64</v>
      </c>
      <c r="O230" s="25" t="n">
        <f aca="false">IF($L230=0,0,ROUND((SUMIFS('المرتبطة بسمو الوزير'!$N$2:$N$151,'المرتبطة بسمو الوزير'!$B$2:$B$151,$B230,'المرتبطة بسمو الوزير'!$G$2:$G$151,$G230,'المرتبطة بسمو الوزير'!$I$2:$I$151,$I230)+SUMIFS('الشؤون التنفيذية'!$O$2:$O$421,'الشؤون التنفيذية'!$B$2:$B$421,$B230,'الشؤون التنفيذية'!$G$2:$G$421,$G230,'الشؤون التنفيذية'!$I$2:$I$421,$I230)+SUMIFS('الجهاز العسكري'!$N$2:$N$631,'الجهاز العسكري'!$B$2:$B$631,$B230,'الجهاز العسكري'!$G$2:$G$631,$G230,'الجهاز العسكري'!$I$2:$I$631,$I230))/$L230,0))</f>
        <v>85</v>
      </c>
      <c r="P230" s="22"/>
      <c r="Q230" s="19" t="n">
        <f aca="false">SUMIFS(المرجع!$G$2:$G$19,المرجع!$B$2:$B$19,$G230,المرجع!$E$2:$E$19,$I230)</f>
        <v>5</v>
      </c>
      <c r="R230" s="26" t="n">
        <f aca="false">ROUND($Q230*$N230/100,2)</f>
        <v>3.2</v>
      </c>
      <c r="S230" s="27" t="str">
        <f aca="false">IF($N230&gt;المرجع!$K$3,"متقدم",IF($N230&lt;=المرجع!$K$2,"أولي","جزئي"))</f>
        <v>جزئي</v>
      </c>
      <c r="T230" s="28" t="n">
        <f aca="false">ROUND($Q230*$O230/100,2)</f>
        <v>4.25</v>
      </c>
    </row>
    <row r="231" customFormat="false" ht="15" hidden="false" customHeight="true" outlineLevel="0" collapsed="false">
      <c r="A231" s="20" t="s">
        <v>1683</v>
      </c>
      <c r="B231" s="20" t="s">
        <v>178</v>
      </c>
      <c r="C231" s="19" t="str">
        <f aca="false">IFERROR(INDEX('قائمة الوحدات'!$B$2:$B$41,MATCH($B231,'قائمة الوحدات'!$A$2:$A$41,0)),"")</f>
        <v>EXE</v>
      </c>
      <c r="D231" s="18" t="str">
        <f aca="false">IFERROR(INDEX('قائمة الوحدات'!$C$2:$C$41,MATCH($B231,'قائمة الوحدات'!$A$2:$A$41,0)),"")</f>
        <v>الشؤون التنفيذية</v>
      </c>
      <c r="E231" s="18" t="str">
        <f aca="false">IFERROR(INDEX('قائمة الوحدات'!$D$2:$D$41,MATCH($B231,'قائمة الوحدات'!$A$2:$A$41,0)),"")</f>
        <v>وكالة الخدمات المساندة</v>
      </c>
      <c r="F231" s="18" t="str">
        <f aca="false">IFERROR(INDEX('قائمة الوحدات'!$F$2:$F$41,MATCH($B231,'قائمة الوحدات'!$A$2:$A$41,0)),"")</f>
        <v>الإدارة العامة للموارد البشرية</v>
      </c>
      <c r="G231" s="20" t="s">
        <v>66</v>
      </c>
      <c r="H231" s="18" t="str">
        <f aca="false">IFERROR(INDEX(المرجع!$A$2:$A$19,MATCH($G231,المرجع!$B$2:$B$19,0)),"")</f>
        <v>التشغيل</v>
      </c>
      <c r="I231" s="20" t="s">
        <v>49</v>
      </c>
      <c r="J231" s="18" t="str">
        <f aca="false">IFERROR(INDEX(المرجع!$D$2:$D$19,MATCH($I231,المرجع!$E$2:$E$19,0)),"")</f>
        <v>الأهداف ومؤشرات الأداء</v>
      </c>
      <c r="K231" s="19" t="n">
        <f aca="false">IFERROR(INDEX(المرجع!$F$2:$F$19,MATCH($I231,المرجع!$E$2:$E$19,0)),"")</f>
        <v>2</v>
      </c>
      <c r="L231" s="19" t="n">
        <f aca="false">SUMIFS(المرجع!$H$2:$H$19,المرجع!$B$2:$B$19,$G231,المرجع!$E$2:$E$19,$I231)</f>
        <v>2</v>
      </c>
      <c r="M231" s="19" t="n">
        <f aca="false">COUNTIFS('المرتبطة بسمو الوزير'!$B$2:$B$151,$B231,'المرتبطة بسمو الوزير'!$G$2:$G$151,$G231,'المرتبطة بسمو الوزير'!$I$2:$I$151,$I231,'المرتبطة بسمو الوزير'!$M$2:$M$151,"&lt;&gt;")+COUNTIFS('الشؤون التنفيذية'!$B$2:$B$421,$B231,'الشؤون التنفيذية'!$G$2:$G$421,$G231,'الشؤون التنفيذية'!$I$2:$I$421,$I231,'الشؤون التنفيذية'!$N$2:$N$421,"&lt;&gt;")+COUNTIFS('الجهاز العسكري'!$B$2:$B$631,$B231,'الجهاز العسكري'!$G$2:$G$631,$G231,'الجهاز العسكري'!$I$2:$I$631,$I231,'الجهاز العسكري'!$M$2:$M$631,"&lt;&gt;")</f>
        <v>2</v>
      </c>
      <c r="N231" s="24" t="n">
        <f aca="false">IF($L231=0,0,ROUND((SUMIFS('المرتبطة بسمو الوزير'!$M$2:$M$151,'المرتبطة بسمو الوزير'!$B$2:$B$151,$B231,'المرتبطة بسمو الوزير'!$G$2:$G$151,$G231,'المرتبطة بسمو الوزير'!$I$2:$I$151,$I231)+SUMIFS('الشؤون التنفيذية'!$N$2:$N$421,'الشؤون التنفيذية'!$B$2:$B$421,$B231,'الشؤون التنفيذية'!$G$2:$G$421,$G231,'الشؤون التنفيذية'!$I$2:$I$421,$I231)+SUMIFS('الجهاز العسكري'!$M$2:$M$631,'الجهاز العسكري'!$B$2:$B$631,$B231,'الجهاز العسكري'!$G$2:$G$631,$G231,'الجهاز العسكري'!$I$2:$I$631,$I231))/$L231,0))</f>
        <v>35</v>
      </c>
      <c r="O231" s="25" t="n">
        <f aca="false">IF($L231=0,0,ROUND((SUMIFS('المرتبطة بسمو الوزير'!$N$2:$N$151,'المرتبطة بسمو الوزير'!$B$2:$B$151,$B231,'المرتبطة بسمو الوزير'!$G$2:$G$151,$G231,'المرتبطة بسمو الوزير'!$I$2:$I$151,$I231)+SUMIFS('الشؤون التنفيذية'!$O$2:$O$421,'الشؤون التنفيذية'!$B$2:$B$421,$B231,'الشؤون التنفيذية'!$G$2:$G$421,$G231,'الشؤون التنفيذية'!$I$2:$I$421,$I231)+SUMIFS('الجهاز العسكري'!$N$2:$N$631,'الجهاز العسكري'!$B$2:$B$631,$B231,'الجهاز العسكري'!$G$2:$G$631,$G231,'الجهاز العسكري'!$I$2:$I$631,$I231))/$L231,0))</f>
        <v>83</v>
      </c>
      <c r="P231" s="22"/>
      <c r="Q231" s="19" t="n">
        <f aca="false">SUMIFS(المرجع!$G$2:$G$19,المرجع!$B$2:$B$19,$G231,المرجع!$E$2:$E$19,$I231)</f>
        <v>25</v>
      </c>
      <c r="R231" s="26" t="n">
        <f aca="false">ROUND($Q231*$N231/100,2)</f>
        <v>8.75</v>
      </c>
      <c r="S231" s="27" t="str">
        <f aca="false">IF($N231&gt;المرجع!$K$3,"متقدم",IF($N231&lt;=المرجع!$K$2,"أولي","جزئي"))</f>
        <v>جزئي</v>
      </c>
      <c r="T231" s="28" t="n">
        <f aca="false">ROUND($Q231*$O231/100,2)</f>
        <v>20.75</v>
      </c>
    </row>
    <row r="232" customFormat="false" ht="15" hidden="false" customHeight="true" outlineLevel="0" collapsed="false">
      <c r="A232" s="20" t="s">
        <v>1684</v>
      </c>
      <c r="B232" s="20" t="s">
        <v>178</v>
      </c>
      <c r="C232" s="19" t="str">
        <f aca="false">IFERROR(INDEX('قائمة الوحدات'!$B$2:$B$41,MATCH($B232,'قائمة الوحدات'!$A$2:$A$41,0)),"")</f>
        <v>EXE</v>
      </c>
      <c r="D232" s="18" t="str">
        <f aca="false">IFERROR(INDEX('قائمة الوحدات'!$C$2:$C$41,MATCH($B232,'قائمة الوحدات'!$A$2:$A$41,0)),"")</f>
        <v>الشؤون التنفيذية</v>
      </c>
      <c r="E232" s="18" t="str">
        <f aca="false">IFERROR(INDEX('قائمة الوحدات'!$D$2:$D$41,MATCH($B232,'قائمة الوحدات'!$A$2:$A$41,0)),"")</f>
        <v>وكالة الخدمات المساندة</v>
      </c>
      <c r="F232" s="18" t="str">
        <f aca="false">IFERROR(INDEX('قائمة الوحدات'!$F$2:$F$41,MATCH($B232,'قائمة الوحدات'!$A$2:$A$41,0)),"")</f>
        <v>الإدارة العامة للموارد البشرية</v>
      </c>
      <c r="G232" s="20" t="s">
        <v>66</v>
      </c>
      <c r="H232" s="18" t="str">
        <f aca="false">IFERROR(INDEX(المرجع!$A$2:$A$19,MATCH($G232,المرجع!$B$2:$B$19,0)),"")</f>
        <v>التشغيل</v>
      </c>
      <c r="I232" s="20" t="s">
        <v>52</v>
      </c>
      <c r="J232" s="18" t="str">
        <f aca="false">IFERROR(INDEX(المرجع!$D$2:$D$19,MATCH($I232,المرجع!$E$2:$E$19,0)),"")</f>
        <v>الحوكمة</v>
      </c>
      <c r="K232" s="19" t="n">
        <f aca="false">IFERROR(INDEX(المرجع!$F$2:$F$19,MATCH($I232,المرجع!$E$2:$E$19,0)),"")</f>
        <v>3</v>
      </c>
      <c r="L232" s="19" t="n">
        <f aca="false">SUMIFS(المرجع!$H$2:$H$19,المرجع!$B$2:$B$19,$G232,المرجع!$E$2:$E$19,$I232)</f>
        <v>3</v>
      </c>
      <c r="M232" s="19" t="n">
        <f aca="false">COUNTIFS('المرتبطة بسمو الوزير'!$B$2:$B$151,$B232,'المرتبطة بسمو الوزير'!$G$2:$G$151,$G232,'المرتبطة بسمو الوزير'!$I$2:$I$151,$I232,'المرتبطة بسمو الوزير'!$M$2:$M$151,"&lt;&gt;")+COUNTIFS('الشؤون التنفيذية'!$B$2:$B$421,$B232,'الشؤون التنفيذية'!$G$2:$G$421,$G232,'الشؤون التنفيذية'!$I$2:$I$421,$I232,'الشؤون التنفيذية'!$N$2:$N$421,"&lt;&gt;")+COUNTIFS('الجهاز العسكري'!$B$2:$B$631,$B232,'الجهاز العسكري'!$G$2:$G$631,$G232,'الجهاز العسكري'!$I$2:$I$631,$I232,'الجهاز العسكري'!$M$2:$M$631,"&lt;&gt;")</f>
        <v>3</v>
      </c>
      <c r="N232" s="24" t="n">
        <f aca="false">IF($L232=0,0,ROUND((SUMIFS('المرتبطة بسمو الوزير'!$M$2:$M$151,'المرتبطة بسمو الوزير'!$B$2:$B$151,$B232,'المرتبطة بسمو الوزير'!$G$2:$G$151,$G232,'المرتبطة بسمو الوزير'!$I$2:$I$151,$I232)+SUMIFS('الشؤون التنفيذية'!$N$2:$N$421,'الشؤون التنفيذية'!$B$2:$B$421,$B232,'الشؤون التنفيذية'!$G$2:$G$421,$G232,'الشؤون التنفيذية'!$I$2:$I$421,$I232)+SUMIFS('الجهاز العسكري'!$M$2:$M$631,'الجهاز العسكري'!$B$2:$B$631,$B232,'الجهاز العسكري'!$G$2:$G$631,$G232,'الجهاز العسكري'!$I$2:$I$631,$I232))/$L232,0))</f>
        <v>37</v>
      </c>
      <c r="O232" s="25" t="n">
        <f aca="false">IF($L232=0,0,ROUND((SUMIFS('المرتبطة بسمو الوزير'!$N$2:$N$151,'المرتبطة بسمو الوزير'!$B$2:$B$151,$B232,'المرتبطة بسمو الوزير'!$G$2:$G$151,$G232,'المرتبطة بسمو الوزير'!$I$2:$I$151,$I232)+SUMIFS('الشؤون التنفيذية'!$O$2:$O$421,'الشؤون التنفيذية'!$B$2:$B$421,$B232,'الشؤون التنفيذية'!$G$2:$G$421,$G232,'الشؤون التنفيذية'!$I$2:$I$421,$I232)+SUMIFS('الجهاز العسكري'!$N$2:$N$631,'الجهاز العسكري'!$B$2:$B$631,$B232,'الجهاز العسكري'!$G$2:$G$631,$G232,'الجهاز العسكري'!$I$2:$I$631,$I232))/$L232,0))</f>
        <v>93</v>
      </c>
      <c r="P232" s="22"/>
      <c r="Q232" s="19" t="n">
        <f aca="false">SUMIFS(المرجع!$G$2:$G$19,المرجع!$B$2:$B$19,$G232,المرجع!$E$2:$E$19,$I232)</f>
        <v>15</v>
      </c>
      <c r="R232" s="26" t="n">
        <f aca="false">ROUND($Q232*$N232/100,2)</f>
        <v>5.55</v>
      </c>
      <c r="S232" s="27" t="str">
        <f aca="false">IF($N232&gt;المرجع!$K$3,"متقدم",IF($N232&lt;=المرجع!$K$2,"أولي","جزئي"))</f>
        <v>جزئي</v>
      </c>
      <c r="T232" s="28" t="n">
        <f aca="false">ROUND($Q232*$O232/100,2)</f>
        <v>13.95</v>
      </c>
    </row>
    <row r="233" customFormat="false" ht="15" hidden="false" customHeight="true" outlineLevel="0" collapsed="false">
      <c r="A233" s="20" t="s">
        <v>1685</v>
      </c>
      <c r="B233" s="20" t="s">
        <v>178</v>
      </c>
      <c r="C233" s="19" t="str">
        <f aca="false">IFERROR(INDEX('قائمة الوحدات'!$B$2:$B$41,MATCH($B233,'قائمة الوحدات'!$A$2:$A$41,0)),"")</f>
        <v>EXE</v>
      </c>
      <c r="D233" s="18" t="str">
        <f aca="false">IFERROR(INDEX('قائمة الوحدات'!$C$2:$C$41,MATCH($B233,'قائمة الوحدات'!$A$2:$A$41,0)),"")</f>
        <v>الشؤون التنفيذية</v>
      </c>
      <c r="E233" s="18" t="str">
        <f aca="false">IFERROR(INDEX('قائمة الوحدات'!$D$2:$D$41,MATCH($B233,'قائمة الوحدات'!$A$2:$A$41,0)),"")</f>
        <v>وكالة الخدمات المساندة</v>
      </c>
      <c r="F233" s="18" t="str">
        <f aca="false">IFERROR(INDEX('قائمة الوحدات'!$F$2:$F$41,MATCH($B233,'قائمة الوحدات'!$A$2:$A$41,0)),"")</f>
        <v>الإدارة العامة للموارد البشرية</v>
      </c>
      <c r="G233" s="20" t="s">
        <v>66</v>
      </c>
      <c r="H233" s="18" t="str">
        <f aca="false">IFERROR(INDEX(المرجع!$A$2:$A$19,MATCH($G233,المرجع!$B$2:$B$19,0)),"")</f>
        <v>التشغيل</v>
      </c>
      <c r="I233" s="20" t="s">
        <v>57</v>
      </c>
      <c r="J233" s="18" t="str">
        <f aca="false">IFERROR(INDEX(المرجع!$D$2:$D$19,MATCH($I233,المرجع!$E$2:$E$19,0)),"")</f>
        <v>الموارد</v>
      </c>
      <c r="K233" s="19" t="n">
        <f aca="false">IFERROR(INDEX(المرجع!$F$2:$F$19,MATCH($I233,المرجع!$E$2:$E$19,0)),"")</f>
        <v>5</v>
      </c>
      <c r="L233" s="19" t="n">
        <f aca="false">SUMIFS(المرجع!$H$2:$H$19,المرجع!$B$2:$B$19,$G233,المرجع!$E$2:$E$19,$I233)</f>
        <v>1</v>
      </c>
      <c r="M233" s="19" t="n">
        <f aca="false">COUNTIFS('المرتبطة بسمو الوزير'!$B$2:$B$151,$B233,'المرتبطة بسمو الوزير'!$G$2:$G$151,$G233,'المرتبطة بسمو الوزير'!$I$2:$I$151,$I233,'المرتبطة بسمو الوزير'!$M$2:$M$151,"&lt;&gt;")+COUNTIFS('الشؤون التنفيذية'!$B$2:$B$421,$B233,'الشؤون التنفيذية'!$G$2:$G$421,$G233,'الشؤون التنفيذية'!$I$2:$I$421,$I233,'الشؤون التنفيذية'!$N$2:$N$421,"&lt;&gt;")+COUNTIFS('الجهاز العسكري'!$B$2:$B$631,$B233,'الجهاز العسكري'!$G$2:$G$631,$G233,'الجهاز العسكري'!$I$2:$I$631,$I233,'الجهاز العسكري'!$M$2:$M$631,"&lt;&gt;")</f>
        <v>1</v>
      </c>
      <c r="N233" s="24" t="n">
        <f aca="false">IF($L233=0,0,ROUND((SUMIFS('المرتبطة بسمو الوزير'!$M$2:$M$151,'المرتبطة بسمو الوزير'!$B$2:$B$151,$B233,'المرتبطة بسمو الوزير'!$G$2:$G$151,$G233,'المرتبطة بسمو الوزير'!$I$2:$I$151,$I233)+SUMIFS('الشؤون التنفيذية'!$N$2:$N$421,'الشؤون التنفيذية'!$B$2:$B$421,$B233,'الشؤون التنفيذية'!$G$2:$G$421,$G233,'الشؤون التنفيذية'!$I$2:$I$421,$I233)+SUMIFS('الجهاز العسكري'!$M$2:$M$631,'الجهاز العسكري'!$B$2:$B$631,$B233,'الجهاز العسكري'!$G$2:$G$631,$G233,'الجهاز العسكري'!$I$2:$I$631,$I233))/$L233,0))</f>
        <v>50</v>
      </c>
      <c r="O233" s="25" t="n">
        <f aca="false">IF($L233=0,0,ROUND((SUMIFS('المرتبطة بسمو الوزير'!$N$2:$N$151,'المرتبطة بسمو الوزير'!$B$2:$B$151,$B233,'المرتبطة بسمو الوزير'!$G$2:$G$151,$G233,'المرتبطة بسمو الوزير'!$I$2:$I$151,$I233)+SUMIFS('الشؤون التنفيذية'!$O$2:$O$421,'الشؤون التنفيذية'!$B$2:$B$421,$B233,'الشؤون التنفيذية'!$G$2:$G$421,$G233,'الشؤون التنفيذية'!$I$2:$I$421,$I233)+SUMIFS('الجهاز العسكري'!$N$2:$N$631,'الجهاز العسكري'!$B$2:$B$631,$B233,'الجهاز العسكري'!$G$2:$G$631,$G233,'الجهاز العسكري'!$I$2:$I$631,$I233))/$L233,0))</f>
        <v>100</v>
      </c>
      <c r="P233" s="22"/>
      <c r="Q233" s="19" t="n">
        <f aca="false">SUMIFS(المرجع!$G$2:$G$19,المرجع!$B$2:$B$19,$G233,المرجع!$E$2:$E$19,$I233)</f>
        <v>15</v>
      </c>
      <c r="R233" s="26" t="n">
        <f aca="false">ROUND($Q233*$N233/100,2)</f>
        <v>7.5</v>
      </c>
      <c r="S233" s="27" t="str">
        <f aca="false">IF($N233&gt;المرجع!$K$3,"متقدم",IF($N233&lt;=المرجع!$K$2,"أولي","جزئي"))</f>
        <v>جزئي</v>
      </c>
      <c r="T233" s="28" t="n">
        <f aca="false">ROUND($Q233*$O233/100,2)</f>
        <v>15</v>
      </c>
    </row>
    <row r="234" customFormat="false" ht="15" hidden="false" customHeight="true" outlineLevel="0" collapsed="false">
      <c r="A234" s="20" t="s">
        <v>1686</v>
      </c>
      <c r="B234" s="20" t="s">
        <v>178</v>
      </c>
      <c r="C234" s="19" t="str">
        <f aca="false">IFERROR(INDEX('قائمة الوحدات'!$B$2:$B$41,MATCH($B234,'قائمة الوحدات'!$A$2:$A$41,0)),"")</f>
        <v>EXE</v>
      </c>
      <c r="D234" s="18" t="str">
        <f aca="false">IFERROR(INDEX('قائمة الوحدات'!$C$2:$C$41,MATCH($B234,'قائمة الوحدات'!$A$2:$A$41,0)),"")</f>
        <v>الشؤون التنفيذية</v>
      </c>
      <c r="E234" s="18" t="str">
        <f aca="false">IFERROR(INDEX('قائمة الوحدات'!$D$2:$D$41,MATCH($B234,'قائمة الوحدات'!$A$2:$A$41,0)),"")</f>
        <v>وكالة الخدمات المساندة</v>
      </c>
      <c r="F234" s="18" t="str">
        <f aca="false">IFERROR(INDEX('قائمة الوحدات'!$F$2:$F$41,MATCH($B234,'قائمة الوحدات'!$A$2:$A$41,0)),"")</f>
        <v>الإدارة العامة للموارد البشرية</v>
      </c>
      <c r="G234" s="20" t="s">
        <v>66</v>
      </c>
      <c r="H234" s="18" t="str">
        <f aca="false">IFERROR(INDEX(المرجع!$A$2:$A$19,MATCH($G234,المرجع!$B$2:$B$19,0)),"")</f>
        <v>التشغيل</v>
      </c>
      <c r="I234" s="20" t="s">
        <v>60</v>
      </c>
      <c r="J234" s="18" t="str">
        <f aca="false">IFERROR(INDEX(المرجع!$D$2:$D$19,MATCH($I234,المرجع!$E$2:$E$19,0)),"")</f>
        <v>الإجراءات</v>
      </c>
      <c r="K234" s="19" t="n">
        <f aca="false">IFERROR(INDEX(المرجع!$F$2:$F$19,MATCH($I234,المرجع!$E$2:$E$19,0)),"")</f>
        <v>6</v>
      </c>
      <c r="L234" s="19" t="n">
        <f aca="false">SUMIFS(المرجع!$H$2:$H$19,المرجع!$B$2:$B$19,$G234,المرجع!$E$2:$E$19,$I234)</f>
        <v>1</v>
      </c>
      <c r="M234" s="19" t="n">
        <f aca="false">COUNTIFS('المرتبطة بسمو الوزير'!$B$2:$B$151,$B234,'المرتبطة بسمو الوزير'!$G$2:$G$151,$G234,'المرتبطة بسمو الوزير'!$I$2:$I$151,$I234,'المرتبطة بسمو الوزير'!$M$2:$M$151,"&lt;&gt;")+COUNTIFS('الشؤون التنفيذية'!$B$2:$B$421,$B234,'الشؤون التنفيذية'!$G$2:$G$421,$G234,'الشؤون التنفيذية'!$I$2:$I$421,$I234,'الشؤون التنفيذية'!$N$2:$N$421,"&lt;&gt;")+COUNTIFS('الجهاز العسكري'!$B$2:$B$631,$B234,'الجهاز العسكري'!$G$2:$G$631,$G234,'الجهاز العسكري'!$I$2:$I$631,$I234,'الجهاز العسكري'!$M$2:$M$631,"&lt;&gt;")</f>
        <v>1</v>
      </c>
      <c r="N234" s="24" t="n">
        <f aca="false">IF($L234=0,0,ROUND((SUMIFS('المرتبطة بسمو الوزير'!$M$2:$M$151,'المرتبطة بسمو الوزير'!$B$2:$B$151,$B234,'المرتبطة بسمو الوزير'!$G$2:$G$151,$G234,'المرتبطة بسمو الوزير'!$I$2:$I$151,$I234)+SUMIFS('الشؤون التنفيذية'!$N$2:$N$421,'الشؤون التنفيذية'!$B$2:$B$421,$B234,'الشؤون التنفيذية'!$G$2:$G$421,$G234,'الشؤون التنفيذية'!$I$2:$I$421,$I234)+SUMIFS('الجهاز العسكري'!$M$2:$M$631,'الجهاز العسكري'!$B$2:$B$631,$B234,'الجهاز العسكري'!$G$2:$G$631,$G234,'الجهاز العسكري'!$I$2:$I$631,$I234))/$L234,0))</f>
        <v>60</v>
      </c>
      <c r="O234" s="25" t="n">
        <f aca="false">IF($L234=0,0,ROUND((SUMIFS('المرتبطة بسمو الوزير'!$N$2:$N$151,'المرتبطة بسمو الوزير'!$B$2:$B$151,$B234,'المرتبطة بسمو الوزير'!$G$2:$G$151,$G234,'المرتبطة بسمو الوزير'!$I$2:$I$151,$I234)+SUMIFS('الشؤون التنفيذية'!$O$2:$O$421,'الشؤون التنفيذية'!$B$2:$B$421,$B234,'الشؤون التنفيذية'!$G$2:$G$421,$G234,'الشؤون التنفيذية'!$I$2:$I$421,$I234)+SUMIFS('الجهاز العسكري'!$N$2:$N$631,'الجهاز العسكري'!$B$2:$B$631,$B234,'الجهاز العسكري'!$G$2:$G$631,$G234,'الجهاز العسكري'!$I$2:$I$631,$I234))/$L234,0))</f>
        <v>100</v>
      </c>
      <c r="P234" s="22"/>
      <c r="Q234" s="19" t="n">
        <f aca="false">SUMIFS(المرجع!$G$2:$G$19,المرجع!$B$2:$B$19,$G234,المرجع!$E$2:$E$19,$I234)</f>
        <v>15</v>
      </c>
      <c r="R234" s="26" t="n">
        <f aca="false">ROUND($Q234*$N234/100,2)</f>
        <v>9</v>
      </c>
      <c r="S234" s="27" t="str">
        <f aca="false">IF($N234&gt;المرجع!$K$3,"متقدم",IF($N234&lt;=المرجع!$K$2,"أولي","جزئي"))</f>
        <v>جزئي</v>
      </c>
      <c r="T234" s="28" t="n">
        <f aca="false">ROUND($Q234*$O234/100,2)</f>
        <v>15</v>
      </c>
    </row>
    <row r="235" customFormat="false" ht="15" hidden="false" customHeight="true" outlineLevel="0" collapsed="false">
      <c r="A235" s="20" t="s">
        <v>1687</v>
      </c>
      <c r="B235" s="20" t="s">
        <v>178</v>
      </c>
      <c r="C235" s="19" t="str">
        <f aca="false">IFERROR(INDEX('قائمة الوحدات'!$B$2:$B$41,MATCH($B235,'قائمة الوحدات'!$A$2:$A$41,0)),"")</f>
        <v>EXE</v>
      </c>
      <c r="D235" s="18" t="str">
        <f aca="false">IFERROR(INDEX('قائمة الوحدات'!$C$2:$C$41,MATCH($B235,'قائمة الوحدات'!$A$2:$A$41,0)),"")</f>
        <v>الشؤون التنفيذية</v>
      </c>
      <c r="E235" s="18" t="str">
        <f aca="false">IFERROR(INDEX('قائمة الوحدات'!$D$2:$D$41,MATCH($B235,'قائمة الوحدات'!$A$2:$A$41,0)),"")</f>
        <v>وكالة الخدمات المساندة</v>
      </c>
      <c r="F235" s="18" t="str">
        <f aca="false">IFERROR(INDEX('قائمة الوحدات'!$F$2:$F$41,MATCH($B235,'قائمة الوحدات'!$A$2:$A$41,0)),"")</f>
        <v>الإدارة العامة للموارد البشرية</v>
      </c>
      <c r="G235" s="20" t="s">
        <v>66</v>
      </c>
      <c r="H235" s="18" t="str">
        <f aca="false">IFERROR(INDEX(المرجع!$A$2:$A$19,MATCH($G235,المرجع!$B$2:$B$19,0)),"")</f>
        <v>التشغيل</v>
      </c>
      <c r="I235" s="20" t="s">
        <v>71</v>
      </c>
      <c r="J235" s="18" t="str">
        <f aca="false">IFERROR(INDEX(المرجع!$D$2:$D$19,MATCH($I235,المرجع!$E$2:$E$19,0)),"")</f>
        <v>اكتمال المخرجات المستهدفة</v>
      </c>
      <c r="K235" s="19" t="n">
        <f aca="false">IFERROR(INDEX(المرجع!$F$2:$F$19,MATCH($I235,المرجع!$E$2:$E$19,0)),"")</f>
        <v>8</v>
      </c>
      <c r="L235" s="19" t="n">
        <f aca="false">SUMIFS(المرجع!$H$2:$H$19,المرجع!$B$2:$B$19,$G235,المرجع!$E$2:$E$19,$I235)</f>
        <v>1</v>
      </c>
      <c r="M235" s="19" t="n">
        <f aca="false">COUNTIFS('المرتبطة بسمو الوزير'!$B$2:$B$151,$B235,'المرتبطة بسمو الوزير'!$G$2:$G$151,$G235,'المرتبطة بسمو الوزير'!$I$2:$I$151,$I235,'المرتبطة بسمو الوزير'!$M$2:$M$151,"&lt;&gt;")+COUNTIFS('الشؤون التنفيذية'!$B$2:$B$421,$B235,'الشؤون التنفيذية'!$G$2:$G$421,$G235,'الشؤون التنفيذية'!$I$2:$I$421,$I235,'الشؤون التنفيذية'!$N$2:$N$421,"&lt;&gt;")+COUNTIFS('الجهاز العسكري'!$B$2:$B$631,$B235,'الجهاز العسكري'!$G$2:$G$631,$G235,'الجهاز العسكري'!$I$2:$I$631,$I235,'الجهاز العسكري'!$M$2:$M$631,"&lt;&gt;")</f>
        <v>1</v>
      </c>
      <c r="N235" s="24" t="n">
        <f aca="false">IF($L235=0,0,ROUND((SUMIFS('المرتبطة بسمو الوزير'!$M$2:$M$151,'المرتبطة بسمو الوزير'!$B$2:$B$151,$B235,'المرتبطة بسمو الوزير'!$G$2:$G$151,$G235,'المرتبطة بسمو الوزير'!$I$2:$I$151,$I235)+SUMIFS('الشؤون التنفيذية'!$N$2:$N$421,'الشؤون التنفيذية'!$B$2:$B$421,$B235,'الشؤون التنفيذية'!$G$2:$G$421,$G235,'الشؤون التنفيذية'!$I$2:$I$421,$I235)+SUMIFS('الجهاز العسكري'!$M$2:$M$631,'الجهاز العسكري'!$B$2:$B$631,$B235,'الجهاز العسكري'!$G$2:$G$631,$G235,'الجهاز العسكري'!$I$2:$I$631,$I235))/$L235,0))</f>
        <v>31</v>
      </c>
      <c r="O235" s="25" t="n">
        <f aca="false">IF($L235=0,0,ROUND((SUMIFS('المرتبطة بسمو الوزير'!$N$2:$N$151,'المرتبطة بسمو الوزير'!$B$2:$B$151,$B235,'المرتبطة بسمو الوزير'!$G$2:$G$151,$G235,'المرتبطة بسمو الوزير'!$I$2:$I$151,$I235)+SUMIFS('الشؤون التنفيذية'!$O$2:$O$421,'الشؤون التنفيذية'!$B$2:$B$421,$B235,'الشؤون التنفيذية'!$G$2:$G$421,$G235,'الشؤون التنفيذية'!$I$2:$I$421,$I235)+SUMIFS('الجهاز العسكري'!$N$2:$N$631,'الجهاز العسكري'!$B$2:$B$631,$B235,'الجهاز العسكري'!$G$2:$G$631,$G235,'الجهاز العسكري'!$I$2:$I$631,$I235))/$L235,0))</f>
        <v>85</v>
      </c>
      <c r="P235" s="22"/>
      <c r="Q235" s="19" t="n">
        <f aca="false">SUMIFS(المرجع!$G$2:$G$19,المرجع!$B$2:$B$19,$G235,المرجع!$E$2:$E$19,$I235)</f>
        <v>30</v>
      </c>
      <c r="R235" s="26" t="n">
        <f aca="false">ROUND($Q235*$N235/100,2)</f>
        <v>9.3</v>
      </c>
      <c r="S235" s="27" t="str">
        <f aca="false">IF($N235&gt;المرجع!$K$3,"متقدم",IF($N235&lt;=المرجع!$K$2,"أولي","جزئي"))</f>
        <v>جزئي</v>
      </c>
      <c r="T235" s="28" t="n">
        <f aca="false">ROUND($Q235*$O235/100,2)</f>
        <v>25.5</v>
      </c>
    </row>
    <row r="236" customFormat="false" ht="15" hidden="false" customHeight="true" outlineLevel="0" collapsed="false">
      <c r="A236" s="20" t="s">
        <v>1688</v>
      </c>
      <c r="B236" s="20" t="s">
        <v>181</v>
      </c>
      <c r="C236" s="19" t="str">
        <f aca="false">IFERROR(INDEX('قائمة الوحدات'!$B$2:$B$41,MATCH($B236,'قائمة الوحدات'!$A$2:$A$41,0)),"")</f>
        <v>EXE</v>
      </c>
      <c r="D236" s="18" t="str">
        <f aca="false">IFERROR(INDEX('قائمة الوحدات'!$C$2:$C$41,MATCH($B236,'قائمة الوحدات'!$A$2:$A$41,0)),"")</f>
        <v>الشؤون التنفيذية</v>
      </c>
      <c r="E236" s="18" t="str">
        <f aca="false">IFERROR(INDEX('قائمة الوحدات'!$D$2:$D$41,MATCH($B236,'قائمة الوحدات'!$A$2:$A$41,0)),"")</f>
        <v>وكالة الخدمات المساندة</v>
      </c>
      <c r="F236" s="18" t="str">
        <f aca="false">IFERROR(INDEX('قائمة الوحدات'!$F$2:$F$41,MATCH($B236,'قائمة الوحدات'!$A$2:$A$41,0)),"")</f>
        <v>الإدارة العامة للشؤون المالية</v>
      </c>
      <c r="G236" s="20" t="s">
        <v>44</v>
      </c>
      <c r="H236" s="18" t="str">
        <f aca="false">IFERROR(INDEX(المرجع!$A$2:$A$19,MATCH($G236,المرجع!$B$2:$B$19,0)),"")</f>
        <v>التصميم</v>
      </c>
      <c r="I236" s="20" t="s">
        <v>46</v>
      </c>
      <c r="J236" s="18" t="str">
        <f aca="false">IFERROR(INDEX(المرجع!$D$2:$D$19,MATCH($I236,المرجع!$E$2:$E$19,0)),"")</f>
        <v>الدور</v>
      </c>
      <c r="K236" s="19" t="n">
        <f aca="false">IFERROR(INDEX(المرجع!$F$2:$F$19,MATCH($I236,المرجع!$E$2:$E$19,0)),"")</f>
        <v>1</v>
      </c>
      <c r="L236" s="19" t="n">
        <f aca="false">SUMIFS(المرجع!$H$2:$H$19,المرجع!$B$2:$B$19,$G236,المرجع!$E$2:$E$19,$I236)</f>
        <v>1</v>
      </c>
      <c r="M236" s="19" t="n">
        <f aca="false">COUNTIFS('المرتبطة بسمو الوزير'!$B$2:$B$151,$B236,'المرتبطة بسمو الوزير'!$G$2:$G$151,$G236,'المرتبطة بسمو الوزير'!$I$2:$I$151,$I236,'المرتبطة بسمو الوزير'!$M$2:$M$151,"&lt;&gt;")+COUNTIFS('الشؤون التنفيذية'!$B$2:$B$421,$B236,'الشؤون التنفيذية'!$G$2:$G$421,$G236,'الشؤون التنفيذية'!$I$2:$I$421,$I236,'الشؤون التنفيذية'!$N$2:$N$421,"&lt;&gt;")+COUNTIFS('الجهاز العسكري'!$B$2:$B$631,$B236,'الجهاز العسكري'!$G$2:$G$631,$G236,'الجهاز العسكري'!$I$2:$I$631,$I236,'الجهاز العسكري'!$M$2:$M$631,"&lt;&gt;")</f>
        <v>1</v>
      </c>
      <c r="N236" s="24" t="n">
        <f aca="false">IF($L236=0,0,ROUND((SUMIFS('المرتبطة بسمو الوزير'!$M$2:$M$151,'المرتبطة بسمو الوزير'!$B$2:$B$151,$B236,'المرتبطة بسمو الوزير'!$G$2:$G$151,$G236,'المرتبطة بسمو الوزير'!$I$2:$I$151,$I236)+SUMIFS('الشؤون التنفيذية'!$N$2:$N$421,'الشؤون التنفيذية'!$B$2:$B$421,$B236,'الشؤون التنفيذية'!$G$2:$G$421,$G236,'الشؤون التنفيذية'!$I$2:$I$421,$I236)+SUMIFS('الجهاز العسكري'!$M$2:$M$631,'الجهاز العسكري'!$B$2:$B$631,$B236,'الجهاز العسكري'!$G$2:$G$631,$G236,'الجهاز العسكري'!$I$2:$I$631,$I236))/$L236,0))</f>
        <v>70</v>
      </c>
      <c r="O236" s="25" t="n">
        <f aca="false">IF($L236=0,0,ROUND((SUMIFS('المرتبطة بسمو الوزير'!$N$2:$N$151,'المرتبطة بسمو الوزير'!$B$2:$B$151,$B236,'المرتبطة بسمو الوزير'!$G$2:$G$151,$G236,'المرتبطة بسمو الوزير'!$I$2:$I$151,$I236)+SUMIFS('الشؤون التنفيذية'!$O$2:$O$421,'الشؤون التنفيذية'!$B$2:$B$421,$B236,'الشؤون التنفيذية'!$G$2:$G$421,$G236,'الشؤون التنفيذية'!$I$2:$I$421,$I236)+SUMIFS('الجهاز العسكري'!$N$2:$N$631,'الجهاز العسكري'!$B$2:$B$631,$B236,'الجهاز العسكري'!$G$2:$G$631,$G236,'الجهاز العسكري'!$I$2:$I$631,$I236))/$L236,0))</f>
        <v>100</v>
      </c>
      <c r="P236" s="22"/>
      <c r="Q236" s="19" t="n">
        <f aca="false">SUMIFS(المرجع!$G$2:$G$19,المرجع!$B$2:$B$19,$G236,المرجع!$E$2:$E$19,$I236)</f>
        <v>25</v>
      </c>
      <c r="R236" s="26" t="n">
        <f aca="false">ROUND($Q236*$N236/100,2)</f>
        <v>17.5</v>
      </c>
      <c r="S236" s="27" t="str">
        <f aca="false">IF($N236&gt;المرجع!$K$3,"متقدم",IF($N236&lt;=المرجع!$K$2,"أولي","جزئي"))</f>
        <v>جزئي</v>
      </c>
      <c r="T236" s="28" t="n">
        <f aca="false">ROUND($Q236*$O236/100,2)</f>
        <v>25</v>
      </c>
    </row>
    <row r="237" customFormat="false" ht="15" hidden="false" customHeight="true" outlineLevel="0" collapsed="false">
      <c r="A237" s="20" t="s">
        <v>1689</v>
      </c>
      <c r="B237" s="20" t="s">
        <v>181</v>
      </c>
      <c r="C237" s="19" t="str">
        <f aca="false">IFERROR(INDEX('قائمة الوحدات'!$B$2:$B$41,MATCH($B237,'قائمة الوحدات'!$A$2:$A$41,0)),"")</f>
        <v>EXE</v>
      </c>
      <c r="D237" s="18" t="str">
        <f aca="false">IFERROR(INDEX('قائمة الوحدات'!$C$2:$C$41,MATCH($B237,'قائمة الوحدات'!$A$2:$A$41,0)),"")</f>
        <v>الشؤون التنفيذية</v>
      </c>
      <c r="E237" s="18" t="str">
        <f aca="false">IFERROR(INDEX('قائمة الوحدات'!$D$2:$D$41,MATCH($B237,'قائمة الوحدات'!$A$2:$A$41,0)),"")</f>
        <v>وكالة الخدمات المساندة</v>
      </c>
      <c r="F237" s="18" t="str">
        <f aca="false">IFERROR(INDEX('قائمة الوحدات'!$F$2:$F$41,MATCH($B237,'قائمة الوحدات'!$A$2:$A$41,0)),"")</f>
        <v>الإدارة العامة للشؤون المالية</v>
      </c>
      <c r="G237" s="20" t="s">
        <v>44</v>
      </c>
      <c r="H237" s="18" t="str">
        <f aca="false">IFERROR(INDEX(المرجع!$A$2:$A$19,MATCH($G237,المرجع!$B$2:$B$19,0)),"")</f>
        <v>التصميم</v>
      </c>
      <c r="I237" s="20" t="s">
        <v>49</v>
      </c>
      <c r="J237" s="18" t="str">
        <f aca="false">IFERROR(INDEX(المرجع!$D$2:$D$19,MATCH($I237,المرجع!$E$2:$E$19,0)),"")</f>
        <v>الأهداف ومؤشرات الأداء</v>
      </c>
      <c r="K237" s="19" t="n">
        <f aca="false">IFERROR(INDEX(المرجع!$F$2:$F$19,MATCH($I237,المرجع!$E$2:$E$19,0)),"")</f>
        <v>2</v>
      </c>
      <c r="L237" s="19" t="n">
        <f aca="false">SUMIFS(المرجع!$H$2:$H$19,المرجع!$B$2:$B$19,$G237,المرجع!$E$2:$E$19,$I237)</f>
        <v>2</v>
      </c>
      <c r="M237" s="19" t="n">
        <f aca="false">COUNTIFS('المرتبطة بسمو الوزير'!$B$2:$B$151,$B237,'المرتبطة بسمو الوزير'!$G$2:$G$151,$G237,'المرتبطة بسمو الوزير'!$I$2:$I$151,$I237,'المرتبطة بسمو الوزير'!$M$2:$M$151,"&lt;&gt;")+COUNTIFS('الشؤون التنفيذية'!$B$2:$B$421,$B237,'الشؤون التنفيذية'!$G$2:$G$421,$G237,'الشؤون التنفيذية'!$I$2:$I$421,$I237,'الشؤون التنفيذية'!$N$2:$N$421,"&lt;&gt;")+COUNTIFS('الجهاز العسكري'!$B$2:$B$631,$B237,'الجهاز العسكري'!$G$2:$G$631,$G237,'الجهاز العسكري'!$I$2:$I$631,$I237,'الجهاز العسكري'!$M$2:$M$631,"&lt;&gt;")</f>
        <v>2</v>
      </c>
      <c r="N237" s="24" t="n">
        <f aca="false">IF($L237=0,0,ROUND((SUMIFS('المرتبطة بسمو الوزير'!$M$2:$M$151,'المرتبطة بسمو الوزير'!$B$2:$B$151,$B237,'المرتبطة بسمو الوزير'!$G$2:$G$151,$G237,'المرتبطة بسمو الوزير'!$I$2:$I$151,$I237)+SUMIFS('الشؤون التنفيذية'!$N$2:$N$421,'الشؤون التنفيذية'!$B$2:$B$421,$B237,'الشؤون التنفيذية'!$G$2:$G$421,$G237,'الشؤون التنفيذية'!$I$2:$I$421,$I237)+SUMIFS('الجهاز العسكري'!$M$2:$M$631,'الجهاز العسكري'!$B$2:$B$631,$B237,'الجهاز العسكري'!$G$2:$G$631,$G237,'الجهاز العسكري'!$I$2:$I$631,$I237))/$L237,0))</f>
        <v>83</v>
      </c>
      <c r="O237" s="25" t="n">
        <f aca="false">IF($L237=0,0,ROUND((SUMIFS('المرتبطة بسمو الوزير'!$N$2:$N$151,'المرتبطة بسمو الوزير'!$B$2:$B$151,$B237,'المرتبطة بسمو الوزير'!$G$2:$G$151,$G237,'المرتبطة بسمو الوزير'!$I$2:$I$151,$I237)+SUMIFS('الشؤون التنفيذية'!$O$2:$O$421,'الشؤون التنفيذية'!$B$2:$B$421,$B237,'الشؤون التنفيذية'!$G$2:$G$421,$G237,'الشؤون التنفيذية'!$I$2:$I$421,$I237)+SUMIFS('الجهاز العسكري'!$N$2:$N$631,'الجهاز العسكري'!$B$2:$B$631,$B237,'الجهاز العسكري'!$G$2:$G$631,$G237,'الجهاز العسكري'!$I$2:$I$631,$I237))/$L237,0))</f>
        <v>100</v>
      </c>
      <c r="P237" s="22"/>
      <c r="Q237" s="19" t="n">
        <f aca="false">SUMIFS(المرجع!$G$2:$G$19,المرجع!$B$2:$B$19,$G237,المرجع!$E$2:$E$19,$I237)</f>
        <v>15</v>
      </c>
      <c r="R237" s="26" t="n">
        <f aca="false">ROUND($Q237*$N237/100,2)</f>
        <v>12.45</v>
      </c>
      <c r="S237" s="27" t="str">
        <f aca="false">IF($N237&gt;المرجع!$K$3,"متقدم",IF($N237&lt;=المرجع!$K$2,"أولي","جزئي"))</f>
        <v>متقدم</v>
      </c>
      <c r="T237" s="28" t="n">
        <f aca="false">ROUND($Q237*$O237/100,2)</f>
        <v>15</v>
      </c>
    </row>
    <row r="238" customFormat="false" ht="15" hidden="false" customHeight="true" outlineLevel="0" collapsed="false">
      <c r="A238" s="20" t="s">
        <v>1690</v>
      </c>
      <c r="B238" s="20" t="s">
        <v>181</v>
      </c>
      <c r="C238" s="19" t="str">
        <f aca="false">IFERROR(INDEX('قائمة الوحدات'!$B$2:$B$41,MATCH($B238,'قائمة الوحدات'!$A$2:$A$41,0)),"")</f>
        <v>EXE</v>
      </c>
      <c r="D238" s="18" t="str">
        <f aca="false">IFERROR(INDEX('قائمة الوحدات'!$C$2:$C$41,MATCH($B238,'قائمة الوحدات'!$A$2:$A$41,0)),"")</f>
        <v>الشؤون التنفيذية</v>
      </c>
      <c r="E238" s="18" t="str">
        <f aca="false">IFERROR(INDEX('قائمة الوحدات'!$D$2:$D$41,MATCH($B238,'قائمة الوحدات'!$A$2:$A$41,0)),"")</f>
        <v>وكالة الخدمات المساندة</v>
      </c>
      <c r="F238" s="18" t="str">
        <f aca="false">IFERROR(INDEX('قائمة الوحدات'!$F$2:$F$41,MATCH($B238,'قائمة الوحدات'!$A$2:$A$41,0)),"")</f>
        <v>الإدارة العامة للشؤون المالية</v>
      </c>
      <c r="G238" s="20" t="s">
        <v>44</v>
      </c>
      <c r="H238" s="18" t="str">
        <f aca="false">IFERROR(INDEX(المرجع!$A$2:$A$19,MATCH($G238,المرجع!$B$2:$B$19,0)),"")</f>
        <v>التصميم</v>
      </c>
      <c r="I238" s="20" t="s">
        <v>52</v>
      </c>
      <c r="J238" s="18" t="str">
        <f aca="false">IFERROR(INDEX(المرجع!$D$2:$D$19,MATCH($I238,المرجع!$E$2:$E$19,0)),"")</f>
        <v>الحوكمة</v>
      </c>
      <c r="K238" s="19" t="n">
        <f aca="false">IFERROR(INDEX(المرجع!$F$2:$F$19,MATCH($I238,المرجع!$E$2:$E$19,0)),"")</f>
        <v>3</v>
      </c>
      <c r="L238" s="19" t="n">
        <f aca="false">SUMIFS(المرجع!$H$2:$H$19,المرجع!$B$2:$B$19,$G238,المرجع!$E$2:$E$19,$I238)</f>
        <v>1</v>
      </c>
      <c r="M238" s="19" t="n">
        <f aca="false">COUNTIFS('المرتبطة بسمو الوزير'!$B$2:$B$151,$B238,'المرتبطة بسمو الوزير'!$G$2:$G$151,$G238,'المرتبطة بسمو الوزير'!$I$2:$I$151,$I238,'المرتبطة بسمو الوزير'!$M$2:$M$151,"&lt;&gt;")+COUNTIFS('الشؤون التنفيذية'!$B$2:$B$421,$B238,'الشؤون التنفيذية'!$G$2:$G$421,$G238,'الشؤون التنفيذية'!$I$2:$I$421,$I238,'الشؤون التنفيذية'!$N$2:$N$421,"&lt;&gt;")+COUNTIFS('الجهاز العسكري'!$B$2:$B$631,$B238,'الجهاز العسكري'!$G$2:$G$631,$G238,'الجهاز العسكري'!$I$2:$I$631,$I238,'الجهاز العسكري'!$M$2:$M$631,"&lt;&gt;")</f>
        <v>1</v>
      </c>
      <c r="N238" s="24" t="n">
        <f aca="false">IF($L238=0,0,ROUND((SUMIFS('المرتبطة بسمو الوزير'!$M$2:$M$151,'المرتبطة بسمو الوزير'!$B$2:$B$151,$B238,'المرتبطة بسمو الوزير'!$G$2:$G$151,$G238,'المرتبطة بسمو الوزير'!$I$2:$I$151,$I238)+SUMIFS('الشؤون التنفيذية'!$N$2:$N$421,'الشؤون التنفيذية'!$B$2:$B$421,$B238,'الشؤون التنفيذية'!$G$2:$G$421,$G238,'الشؤون التنفيذية'!$I$2:$I$421,$I238)+SUMIFS('الجهاز العسكري'!$M$2:$M$631,'الجهاز العسكري'!$B$2:$B$631,$B238,'الجهاز العسكري'!$G$2:$G$631,$G238,'الجهاز العسكري'!$I$2:$I$631,$I238))/$L238,0))</f>
        <v>71</v>
      </c>
      <c r="O238" s="25" t="n">
        <f aca="false">IF($L238=0,0,ROUND((SUMIFS('المرتبطة بسمو الوزير'!$N$2:$N$151,'المرتبطة بسمو الوزير'!$B$2:$B$151,$B238,'المرتبطة بسمو الوزير'!$G$2:$G$151,$G238,'المرتبطة بسمو الوزير'!$I$2:$I$151,$I238)+SUMIFS('الشؤون التنفيذية'!$O$2:$O$421,'الشؤون التنفيذية'!$B$2:$B$421,$B238,'الشؤون التنفيذية'!$G$2:$G$421,$G238,'الشؤون التنفيذية'!$I$2:$I$421,$I238)+SUMIFS('الجهاز العسكري'!$N$2:$N$631,'الجهاز العسكري'!$B$2:$B$631,$B238,'الجهاز العسكري'!$G$2:$G$631,$G238,'الجهاز العسكري'!$I$2:$I$631,$I238))/$L238,0))</f>
        <v>95</v>
      </c>
      <c r="P238" s="22"/>
      <c r="Q238" s="19" t="n">
        <f aca="false">SUMIFS(المرجع!$G$2:$G$19,المرجع!$B$2:$B$19,$G238,المرجع!$E$2:$E$19,$I238)</f>
        <v>15</v>
      </c>
      <c r="R238" s="26" t="n">
        <f aca="false">ROUND($Q238*$N238/100,2)</f>
        <v>10.65</v>
      </c>
      <c r="S238" s="27" t="str">
        <f aca="false">IF($N238&gt;المرجع!$K$3,"متقدم",IF($N238&lt;=المرجع!$K$2,"أولي","جزئي"))</f>
        <v>متقدم</v>
      </c>
      <c r="T238" s="28" t="n">
        <f aca="false">ROUND($Q238*$O238/100,2)</f>
        <v>14.25</v>
      </c>
    </row>
    <row r="239" customFormat="false" ht="15" hidden="false" customHeight="true" outlineLevel="0" collapsed="false">
      <c r="A239" s="20" t="s">
        <v>1691</v>
      </c>
      <c r="B239" s="20" t="s">
        <v>181</v>
      </c>
      <c r="C239" s="19" t="str">
        <f aca="false">IFERROR(INDEX('قائمة الوحدات'!$B$2:$B$41,MATCH($B239,'قائمة الوحدات'!$A$2:$A$41,0)),"")</f>
        <v>EXE</v>
      </c>
      <c r="D239" s="18" t="str">
        <f aca="false">IFERROR(INDEX('قائمة الوحدات'!$C$2:$C$41,MATCH($B239,'قائمة الوحدات'!$A$2:$A$41,0)),"")</f>
        <v>الشؤون التنفيذية</v>
      </c>
      <c r="E239" s="18" t="str">
        <f aca="false">IFERROR(INDEX('قائمة الوحدات'!$D$2:$D$41,MATCH($B239,'قائمة الوحدات'!$A$2:$A$41,0)),"")</f>
        <v>وكالة الخدمات المساندة</v>
      </c>
      <c r="F239" s="18" t="str">
        <f aca="false">IFERROR(INDEX('قائمة الوحدات'!$F$2:$F$41,MATCH($B239,'قائمة الوحدات'!$A$2:$A$41,0)),"")</f>
        <v>الإدارة العامة للشؤون المالية</v>
      </c>
      <c r="G239" s="20" t="s">
        <v>44</v>
      </c>
      <c r="H239" s="18" t="str">
        <f aca="false">IFERROR(INDEX(المرجع!$A$2:$A$19,MATCH($G239,المرجع!$B$2:$B$19,0)),"")</f>
        <v>التصميم</v>
      </c>
      <c r="I239" s="20" t="s">
        <v>55</v>
      </c>
      <c r="J239" s="18" t="str">
        <f aca="false">IFERROR(INDEX(المرجع!$D$2:$D$19,MATCH($I239,المرجع!$E$2:$E$19,0)),"")</f>
        <v>التنظيم</v>
      </c>
      <c r="K239" s="19" t="n">
        <f aca="false">IFERROR(INDEX(المرجع!$F$2:$F$19,MATCH($I239,المرجع!$E$2:$E$19,0)),"")</f>
        <v>4</v>
      </c>
      <c r="L239" s="19" t="n">
        <f aca="false">SUMIFS(المرجع!$H$2:$H$19,المرجع!$B$2:$B$19,$G239,المرجع!$E$2:$E$19,$I239)</f>
        <v>1</v>
      </c>
      <c r="M239" s="19" t="n">
        <f aca="false">COUNTIFS('المرتبطة بسمو الوزير'!$B$2:$B$151,$B239,'المرتبطة بسمو الوزير'!$G$2:$G$151,$G239,'المرتبطة بسمو الوزير'!$I$2:$I$151,$I239,'المرتبطة بسمو الوزير'!$M$2:$M$151,"&lt;&gt;")+COUNTIFS('الشؤون التنفيذية'!$B$2:$B$421,$B239,'الشؤون التنفيذية'!$G$2:$G$421,$G239,'الشؤون التنفيذية'!$I$2:$I$421,$I239,'الشؤون التنفيذية'!$N$2:$N$421,"&lt;&gt;")+COUNTIFS('الجهاز العسكري'!$B$2:$B$631,$B239,'الجهاز العسكري'!$G$2:$G$631,$G239,'الجهاز العسكري'!$I$2:$I$631,$I239,'الجهاز العسكري'!$M$2:$M$631,"&lt;&gt;")</f>
        <v>1</v>
      </c>
      <c r="N239" s="24" t="n">
        <f aca="false">IF($L239=0,0,ROUND((SUMIFS('المرتبطة بسمو الوزير'!$M$2:$M$151,'المرتبطة بسمو الوزير'!$B$2:$B$151,$B239,'المرتبطة بسمو الوزير'!$G$2:$G$151,$G239,'المرتبطة بسمو الوزير'!$I$2:$I$151,$I239)+SUMIFS('الشؤون التنفيذية'!$N$2:$N$421,'الشؤون التنفيذية'!$B$2:$B$421,$B239,'الشؤون التنفيذية'!$G$2:$G$421,$G239,'الشؤون التنفيذية'!$I$2:$I$421,$I239)+SUMIFS('الجهاز العسكري'!$M$2:$M$631,'الجهاز العسكري'!$B$2:$B$631,$B239,'الجهاز العسكري'!$G$2:$G$631,$G239,'الجهاز العسكري'!$I$2:$I$631,$I239))/$L239,0))</f>
        <v>80</v>
      </c>
      <c r="O239" s="25" t="n">
        <f aca="false">IF($L239=0,0,ROUND((SUMIFS('المرتبطة بسمو الوزير'!$N$2:$N$151,'المرتبطة بسمو الوزير'!$B$2:$B$151,$B239,'المرتبطة بسمو الوزير'!$G$2:$G$151,$G239,'المرتبطة بسمو الوزير'!$I$2:$I$151,$I239)+SUMIFS('الشؤون التنفيذية'!$O$2:$O$421,'الشؤون التنفيذية'!$B$2:$B$421,$B239,'الشؤون التنفيذية'!$G$2:$G$421,$G239,'الشؤون التنفيذية'!$I$2:$I$421,$I239)+SUMIFS('الجهاز العسكري'!$N$2:$N$631,'الجهاز العسكري'!$B$2:$B$631,$B239,'الجهاز العسكري'!$G$2:$G$631,$G239,'الجهاز العسكري'!$I$2:$I$631,$I239))/$L239,0))</f>
        <v>100</v>
      </c>
      <c r="P239" s="22"/>
      <c r="Q239" s="19" t="n">
        <f aca="false">SUMIFS(المرجع!$G$2:$G$19,المرجع!$B$2:$B$19,$G239,المرجع!$E$2:$E$19,$I239)</f>
        <v>20</v>
      </c>
      <c r="R239" s="26" t="n">
        <f aca="false">ROUND($Q239*$N239/100,2)</f>
        <v>16</v>
      </c>
      <c r="S239" s="27" t="str">
        <f aca="false">IF($N239&gt;المرجع!$K$3,"متقدم",IF($N239&lt;=المرجع!$K$2,"أولي","جزئي"))</f>
        <v>متقدم</v>
      </c>
      <c r="T239" s="28" t="n">
        <f aca="false">ROUND($Q239*$O239/100,2)</f>
        <v>20</v>
      </c>
    </row>
    <row r="240" customFormat="false" ht="15" hidden="false" customHeight="true" outlineLevel="0" collapsed="false">
      <c r="A240" s="20" t="s">
        <v>1692</v>
      </c>
      <c r="B240" s="20" t="s">
        <v>181</v>
      </c>
      <c r="C240" s="19" t="str">
        <f aca="false">IFERROR(INDEX('قائمة الوحدات'!$B$2:$B$41,MATCH($B240,'قائمة الوحدات'!$A$2:$A$41,0)),"")</f>
        <v>EXE</v>
      </c>
      <c r="D240" s="18" t="str">
        <f aca="false">IFERROR(INDEX('قائمة الوحدات'!$C$2:$C$41,MATCH($B240,'قائمة الوحدات'!$A$2:$A$41,0)),"")</f>
        <v>الشؤون التنفيذية</v>
      </c>
      <c r="E240" s="18" t="str">
        <f aca="false">IFERROR(INDEX('قائمة الوحدات'!$D$2:$D$41,MATCH($B240,'قائمة الوحدات'!$A$2:$A$41,0)),"")</f>
        <v>وكالة الخدمات المساندة</v>
      </c>
      <c r="F240" s="18" t="str">
        <f aca="false">IFERROR(INDEX('قائمة الوحدات'!$F$2:$F$41,MATCH($B240,'قائمة الوحدات'!$A$2:$A$41,0)),"")</f>
        <v>الإدارة العامة للشؤون المالية</v>
      </c>
      <c r="G240" s="20" t="s">
        <v>44</v>
      </c>
      <c r="H240" s="18" t="str">
        <f aca="false">IFERROR(INDEX(المرجع!$A$2:$A$19,MATCH($G240,المرجع!$B$2:$B$19,0)),"")</f>
        <v>التصميم</v>
      </c>
      <c r="I240" s="20" t="s">
        <v>57</v>
      </c>
      <c r="J240" s="18" t="str">
        <f aca="false">IFERROR(INDEX(المرجع!$D$2:$D$19,MATCH($I240,المرجع!$E$2:$E$19,0)),"")</f>
        <v>الموارد</v>
      </c>
      <c r="K240" s="19" t="n">
        <f aca="false">IFERROR(INDEX(المرجع!$F$2:$F$19,MATCH($I240,المرجع!$E$2:$E$19,0)),"")</f>
        <v>5</v>
      </c>
      <c r="L240" s="19" t="n">
        <f aca="false">SUMIFS(المرجع!$H$2:$H$19,المرجع!$B$2:$B$19,$G240,المرجع!$E$2:$E$19,$I240)</f>
        <v>1</v>
      </c>
      <c r="M240" s="19" t="n">
        <f aca="false">COUNTIFS('المرتبطة بسمو الوزير'!$B$2:$B$151,$B240,'المرتبطة بسمو الوزير'!$G$2:$G$151,$G240,'المرتبطة بسمو الوزير'!$I$2:$I$151,$I240,'المرتبطة بسمو الوزير'!$M$2:$M$151,"&lt;&gt;")+COUNTIFS('الشؤون التنفيذية'!$B$2:$B$421,$B240,'الشؤون التنفيذية'!$G$2:$G$421,$G240,'الشؤون التنفيذية'!$I$2:$I$421,$I240,'الشؤون التنفيذية'!$N$2:$N$421,"&lt;&gt;")+COUNTIFS('الجهاز العسكري'!$B$2:$B$631,$B240,'الجهاز العسكري'!$G$2:$G$631,$G240,'الجهاز العسكري'!$I$2:$I$631,$I240,'الجهاز العسكري'!$M$2:$M$631,"&lt;&gt;")</f>
        <v>1</v>
      </c>
      <c r="N240" s="24" t="n">
        <f aca="false">IF($L240=0,0,ROUND((SUMIFS('المرتبطة بسمو الوزير'!$M$2:$M$151,'المرتبطة بسمو الوزير'!$B$2:$B$151,$B240,'المرتبطة بسمو الوزير'!$G$2:$G$151,$G240,'المرتبطة بسمو الوزير'!$I$2:$I$151,$I240)+SUMIFS('الشؤون التنفيذية'!$N$2:$N$421,'الشؤون التنفيذية'!$B$2:$B$421,$B240,'الشؤون التنفيذية'!$G$2:$G$421,$G240,'الشؤون التنفيذية'!$I$2:$I$421,$I240)+SUMIFS('الجهاز العسكري'!$M$2:$M$631,'الجهاز العسكري'!$B$2:$B$631,$B240,'الجهاز العسكري'!$G$2:$G$631,$G240,'الجهاز العسكري'!$I$2:$I$631,$I240))/$L240,0))</f>
        <v>89</v>
      </c>
      <c r="O240" s="25" t="n">
        <f aca="false">IF($L240=0,0,ROUND((SUMIFS('المرتبطة بسمو الوزير'!$N$2:$N$151,'المرتبطة بسمو الوزير'!$B$2:$B$151,$B240,'المرتبطة بسمو الوزير'!$G$2:$G$151,$G240,'المرتبطة بسمو الوزير'!$I$2:$I$151,$I240)+SUMIFS('الشؤون التنفيذية'!$O$2:$O$421,'الشؤون التنفيذية'!$B$2:$B$421,$B240,'الشؤون التنفيذية'!$G$2:$G$421,$G240,'الشؤون التنفيذية'!$I$2:$I$421,$I240)+SUMIFS('الجهاز العسكري'!$N$2:$N$631,'الجهاز العسكري'!$B$2:$B$631,$B240,'الجهاز العسكري'!$G$2:$G$631,$G240,'الجهاز العسكري'!$I$2:$I$631,$I240))/$L240,0))</f>
        <v>90</v>
      </c>
      <c r="P240" s="22"/>
      <c r="Q240" s="19" t="n">
        <f aca="false">SUMIFS(المرجع!$G$2:$G$19,المرجع!$B$2:$B$19,$G240,المرجع!$E$2:$E$19,$I240)</f>
        <v>20</v>
      </c>
      <c r="R240" s="26" t="n">
        <f aca="false">ROUND($Q240*$N240/100,2)</f>
        <v>17.8</v>
      </c>
      <c r="S240" s="27" t="str">
        <f aca="false">IF($N240&gt;المرجع!$K$3,"متقدم",IF($N240&lt;=المرجع!$K$2,"أولي","جزئي"))</f>
        <v>متقدم</v>
      </c>
      <c r="T240" s="28" t="n">
        <f aca="false">ROUND($Q240*$O240/100,2)</f>
        <v>18</v>
      </c>
    </row>
    <row r="241" customFormat="false" ht="15" hidden="false" customHeight="true" outlineLevel="0" collapsed="false">
      <c r="A241" s="20" t="s">
        <v>1693</v>
      </c>
      <c r="B241" s="20" t="s">
        <v>181</v>
      </c>
      <c r="C241" s="19" t="str">
        <f aca="false">IFERROR(INDEX('قائمة الوحدات'!$B$2:$B$41,MATCH($B241,'قائمة الوحدات'!$A$2:$A$41,0)),"")</f>
        <v>EXE</v>
      </c>
      <c r="D241" s="18" t="str">
        <f aca="false">IFERROR(INDEX('قائمة الوحدات'!$C$2:$C$41,MATCH($B241,'قائمة الوحدات'!$A$2:$A$41,0)),"")</f>
        <v>الشؤون التنفيذية</v>
      </c>
      <c r="E241" s="18" t="str">
        <f aca="false">IFERROR(INDEX('قائمة الوحدات'!$D$2:$D$41,MATCH($B241,'قائمة الوحدات'!$A$2:$A$41,0)),"")</f>
        <v>وكالة الخدمات المساندة</v>
      </c>
      <c r="F241" s="18" t="str">
        <f aca="false">IFERROR(INDEX('قائمة الوحدات'!$F$2:$F$41,MATCH($B241,'قائمة الوحدات'!$A$2:$A$41,0)),"")</f>
        <v>الإدارة العامة للشؤون المالية</v>
      </c>
      <c r="G241" s="20" t="s">
        <v>44</v>
      </c>
      <c r="H241" s="18" t="str">
        <f aca="false">IFERROR(INDEX(المرجع!$A$2:$A$19,MATCH($G241,المرجع!$B$2:$B$19,0)),"")</f>
        <v>التصميم</v>
      </c>
      <c r="I241" s="20" t="s">
        <v>60</v>
      </c>
      <c r="J241" s="18" t="str">
        <f aca="false">IFERROR(INDEX(المرجع!$D$2:$D$19,MATCH($I241,المرجع!$E$2:$E$19,0)),"")</f>
        <v>الإجراءات</v>
      </c>
      <c r="K241" s="19" t="n">
        <f aca="false">IFERROR(INDEX(المرجع!$F$2:$F$19,MATCH($I241,المرجع!$E$2:$E$19,0)),"")</f>
        <v>6</v>
      </c>
      <c r="L241" s="19" t="n">
        <f aca="false">SUMIFS(المرجع!$H$2:$H$19,المرجع!$B$2:$B$19,$G241,المرجع!$E$2:$E$19,$I241)</f>
        <v>1</v>
      </c>
      <c r="M241" s="19" t="n">
        <f aca="false">COUNTIFS('المرتبطة بسمو الوزير'!$B$2:$B$151,$B241,'المرتبطة بسمو الوزير'!$G$2:$G$151,$G241,'المرتبطة بسمو الوزير'!$I$2:$I$151,$I241,'المرتبطة بسمو الوزير'!$M$2:$M$151,"&lt;&gt;")+COUNTIFS('الشؤون التنفيذية'!$B$2:$B$421,$B241,'الشؤون التنفيذية'!$G$2:$G$421,$G241,'الشؤون التنفيذية'!$I$2:$I$421,$I241,'الشؤون التنفيذية'!$N$2:$N$421,"&lt;&gt;")+COUNTIFS('الجهاز العسكري'!$B$2:$B$631,$B241,'الجهاز العسكري'!$G$2:$G$631,$G241,'الجهاز العسكري'!$I$2:$I$631,$I241,'الجهاز العسكري'!$M$2:$M$631,"&lt;&gt;")</f>
        <v>1</v>
      </c>
      <c r="N241" s="24" t="n">
        <f aca="false">IF($L241=0,0,ROUND((SUMIFS('المرتبطة بسمو الوزير'!$M$2:$M$151,'المرتبطة بسمو الوزير'!$B$2:$B$151,$B241,'المرتبطة بسمو الوزير'!$G$2:$G$151,$G241,'المرتبطة بسمو الوزير'!$I$2:$I$151,$I241)+SUMIFS('الشؤون التنفيذية'!$N$2:$N$421,'الشؤون التنفيذية'!$B$2:$B$421,$B241,'الشؤون التنفيذية'!$G$2:$G$421,$G241,'الشؤون التنفيذية'!$I$2:$I$421,$I241)+SUMIFS('الجهاز العسكري'!$M$2:$M$631,'الجهاز العسكري'!$B$2:$B$631,$B241,'الجهاز العسكري'!$G$2:$G$631,$G241,'الجهاز العسكري'!$I$2:$I$631,$I241))/$L241,0))</f>
        <v>81</v>
      </c>
      <c r="O241" s="25" t="n">
        <f aca="false">IF($L241=0,0,ROUND((SUMIFS('المرتبطة بسمو الوزير'!$N$2:$N$151,'المرتبطة بسمو الوزير'!$B$2:$B$151,$B241,'المرتبطة بسمو الوزير'!$G$2:$G$151,$G241,'المرتبطة بسمو الوزير'!$I$2:$I$151,$I241)+SUMIFS('الشؤون التنفيذية'!$O$2:$O$421,'الشؤون التنفيذية'!$B$2:$B$421,$B241,'الشؤون التنفيذية'!$G$2:$G$421,$G241,'الشؤون التنفيذية'!$I$2:$I$421,$I241)+SUMIFS('الجهاز العسكري'!$N$2:$N$631,'الجهاز العسكري'!$B$2:$B$631,$B241,'الجهاز العسكري'!$G$2:$G$631,$G241,'الجهاز العسكري'!$I$2:$I$631,$I241))/$L241,0))</f>
        <v>85</v>
      </c>
      <c r="P241" s="22"/>
      <c r="Q241" s="19" t="n">
        <f aca="false">SUMIFS(المرجع!$G$2:$G$19,المرجع!$B$2:$B$19,$G241,المرجع!$E$2:$E$19,$I241)</f>
        <v>5</v>
      </c>
      <c r="R241" s="26" t="n">
        <f aca="false">ROUND($Q241*$N241/100,2)</f>
        <v>4.05</v>
      </c>
      <c r="S241" s="27" t="str">
        <f aca="false">IF($N241&gt;المرجع!$K$3,"متقدم",IF($N241&lt;=المرجع!$K$2,"أولي","جزئي"))</f>
        <v>متقدم</v>
      </c>
      <c r="T241" s="28" t="n">
        <f aca="false">ROUND($Q241*$O241/100,2)</f>
        <v>4.25</v>
      </c>
    </row>
    <row r="242" customFormat="false" ht="15" hidden="false" customHeight="true" outlineLevel="0" collapsed="false">
      <c r="A242" s="20" t="s">
        <v>1694</v>
      </c>
      <c r="B242" s="20" t="s">
        <v>181</v>
      </c>
      <c r="C242" s="19" t="str">
        <f aca="false">IFERROR(INDEX('قائمة الوحدات'!$B$2:$B$41,MATCH($B242,'قائمة الوحدات'!$A$2:$A$41,0)),"")</f>
        <v>EXE</v>
      </c>
      <c r="D242" s="18" t="str">
        <f aca="false">IFERROR(INDEX('قائمة الوحدات'!$C$2:$C$41,MATCH($B242,'قائمة الوحدات'!$A$2:$A$41,0)),"")</f>
        <v>الشؤون التنفيذية</v>
      </c>
      <c r="E242" s="18" t="str">
        <f aca="false">IFERROR(INDEX('قائمة الوحدات'!$D$2:$D$41,MATCH($B242,'قائمة الوحدات'!$A$2:$A$41,0)),"")</f>
        <v>وكالة الخدمات المساندة</v>
      </c>
      <c r="F242" s="18" t="str">
        <f aca="false">IFERROR(INDEX('قائمة الوحدات'!$F$2:$F$41,MATCH($B242,'قائمة الوحدات'!$A$2:$A$41,0)),"")</f>
        <v>الإدارة العامة للشؤون المالية</v>
      </c>
      <c r="G242" s="20" t="s">
        <v>62</v>
      </c>
      <c r="H242" s="18" t="str">
        <f aca="false">IFERROR(INDEX(المرجع!$A$2:$A$19,MATCH($G242,المرجع!$B$2:$B$19,0)),"")</f>
        <v>البناء المؤسسي</v>
      </c>
      <c r="I242" s="20" t="s">
        <v>46</v>
      </c>
      <c r="J242" s="18" t="str">
        <f aca="false">IFERROR(INDEX(المرجع!$D$2:$D$19,MATCH($I242,المرجع!$E$2:$E$19,0)),"")</f>
        <v>الدور</v>
      </c>
      <c r="K242" s="19" t="n">
        <f aca="false">IFERROR(INDEX(المرجع!$F$2:$F$19,MATCH($I242,المرجع!$E$2:$E$19,0)),"")</f>
        <v>1</v>
      </c>
      <c r="L242" s="19" t="n">
        <f aca="false">SUMIFS(المرجع!$H$2:$H$19,المرجع!$B$2:$B$19,$G242,المرجع!$E$2:$E$19,$I242)</f>
        <v>1</v>
      </c>
      <c r="M242" s="19" t="n">
        <f aca="false">COUNTIFS('المرتبطة بسمو الوزير'!$B$2:$B$151,$B242,'المرتبطة بسمو الوزير'!$G$2:$G$151,$G242,'المرتبطة بسمو الوزير'!$I$2:$I$151,$I242,'المرتبطة بسمو الوزير'!$M$2:$M$151,"&lt;&gt;")+COUNTIFS('الشؤون التنفيذية'!$B$2:$B$421,$B242,'الشؤون التنفيذية'!$G$2:$G$421,$G242,'الشؤون التنفيذية'!$I$2:$I$421,$I242,'الشؤون التنفيذية'!$N$2:$N$421,"&lt;&gt;")+COUNTIFS('الجهاز العسكري'!$B$2:$B$631,$B242,'الجهاز العسكري'!$G$2:$G$631,$G242,'الجهاز العسكري'!$I$2:$I$631,$I242,'الجهاز العسكري'!$M$2:$M$631,"&lt;&gt;")</f>
        <v>1</v>
      </c>
      <c r="N242" s="24" t="n">
        <f aca="false">IF($L242=0,0,ROUND((SUMIFS('المرتبطة بسمو الوزير'!$M$2:$M$151,'المرتبطة بسمو الوزير'!$B$2:$B$151,$B242,'المرتبطة بسمو الوزير'!$G$2:$G$151,$G242,'المرتبطة بسمو الوزير'!$I$2:$I$151,$I242)+SUMIFS('الشؤون التنفيذية'!$N$2:$N$421,'الشؤون التنفيذية'!$B$2:$B$421,$B242,'الشؤون التنفيذية'!$G$2:$G$421,$G242,'الشؤون التنفيذية'!$I$2:$I$421,$I242)+SUMIFS('الجهاز العسكري'!$M$2:$M$631,'الجهاز العسكري'!$B$2:$B$631,$B242,'الجهاز العسكري'!$G$2:$G$631,$G242,'الجهاز العسكري'!$I$2:$I$631,$I242))/$L242,0))</f>
        <v>53</v>
      </c>
      <c r="O242" s="25" t="n">
        <f aca="false">IF($L242=0,0,ROUND((SUMIFS('المرتبطة بسمو الوزير'!$N$2:$N$151,'المرتبطة بسمو الوزير'!$B$2:$B$151,$B242,'المرتبطة بسمو الوزير'!$G$2:$G$151,$G242,'المرتبطة بسمو الوزير'!$I$2:$I$151,$I242)+SUMIFS('الشؤون التنفيذية'!$O$2:$O$421,'الشؤون التنفيذية'!$B$2:$B$421,$B242,'الشؤون التنفيذية'!$G$2:$G$421,$G242,'الشؤون التنفيذية'!$I$2:$I$421,$I242)+SUMIFS('الجهاز العسكري'!$N$2:$N$631,'الجهاز العسكري'!$B$2:$B$631,$B242,'الجهاز العسكري'!$G$2:$G$631,$G242,'الجهاز العسكري'!$I$2:$I$631,$I242))/$L242,0))</f>
        <v>100</v>
      </c>
      <c r="P242" s="22"/>
      <c r="Q242" s="19" t="n">
        <f aca="false">SUMIFS(المرجع!$G$2:$G$19,المرجع!$B$2:$B$19,$G242,المرجع!$E$2:$E$19,$I242)</f>
        <v>15</v>
      </c>
      <c r="R242" s="26" t="n">
        <f aca="false">ROUND($Q242*$N242/100,2)</f>
        <v>7.95</v>
      </c>
      <c r="S242" s="27" t="str">
        <f aca="false">IF($N242&gt;المرجع!$K$3,"متقدم",IF($N242&lt;=المرجع!$K$2,"أولي","جزئي"))</f>
        <v>جزئي</v>
      </c>
      <c r="T242" s="28" t="n">
        <f aca="false">ROUND($Q242*$O242/100,2)</f>
        <v>15</v>
      </c>
    </row>
    <row r="243" customFormat="false" ht="15" hidden="false" customHeight="true" outlineLevel="0" collapsed="false">
      <c r="A243" s="20" t="s">
        <v>1695</v>
      </c>
      <c r="B243" s="20" t="s">
        <v>181</v>
      </c>
      <c r="C243" s="19" t="str">
        <f aca="false">IFERROR(INDEX('قائمة الوحدات'!$B$2:$B$41,MATCH($B243,'قائمة الوحدات'!$A$2:$A$41,0)),"")</f>
        <v>EXE</v>
      </c>
      <c r="D243" s="18" t="str">
        <f aca="false">IFERROR(INDEX('قائمة الوحدات'!$C$2:$C$41,MATCH($B243,'قائمة الوحدات'!$A$2:$A$41,0)),"")</f>
        <v>الشؤون التنفيذية</v>
      </c>
      <c r="E243" s="18" t="str">
        <f aca="false">IFERROR(INDEX('قائمة الوحدات'!$D$2:$D$41,MATCH($B243,'قائمة الوحدات'!$A$2:$A$41,0)),"")</f>
        <v>وكالة الخدمات المساندة</v>
      </c>
      <c r="F243" s="18" t="str">
        <f aca="false">IFERROR(INDEX('قائمة الوحدات'!$F$2:$F$41,MATCH($B243,'قائمة الوحدات'!$A$2:$A$41,0)),"")</f>
        <v>الإدارة العامة للشؤون المالية</v>
      </c>
      <c r="G243" s="20" t="s">
        <v>62</v>
      </c>
      <c r="H243" s="18" t="str">
        <f aca="false">IFERROR(INDEX(المرجع!$A$2:$A$19,MATCH($G243,المرجع!$B$2:$B$19,0)),"")</f>
        <v>البناء المؤسسي</v>
      </c>
      <c r="I243" s="20" t="s">
        <v>49</v>
      </c>
      <c r="J243" s="18" t="str">
        <f aca="false">IFERROR(INDEX(المرجع!$D$2:$D$19,MATCH($I243,المرجع!$E$2:$E$19,0)),"")</f>
        <v>الأهداف ومؤشرات الأداء</v>
      </c>
      <c r="K243" s="19" t="n">
        <f aca="false">IFERROR(INDEX(المرجع!$F$2:$F$19,MATCH($I243,المرجع!$E$2:$E$19,0)),"")</f>
        <v>2</v>
      </c>
      <c r="L243" s="19" t="n">
        <f aca="false">SUMIFS(المرجع!$H$2:$H$19,المرجع!$B$2:$B$19,$G243,المرجع!$E$2:$E$19,$I243)</f>
        <v>2</v>
      </c>
      <c r="M243" s="19" t="n">
        <f aca="false">COUNTIFS('المرتبطة بسمو الوزير'!$B$2:$B$151,$B243,'المرتبطة بسمو الوزير'!$G$2:$G$151,$G243,'المرتبطة بسمو الوزير'!$I$2:$I$151,$I243,'المرتبطة بسمو الوزير'!$M$2:$M$151,"&lt;&gt;")+COUNTIFS('الشؤون التنفيذية'!$B$2:$B$421,$B243,'الشؤون التنفيذية'!$G$2:$G$421,$G243,'الشؤون التنفيذية'!$I$2:$I$421,$I243,'الشؤون التنفيذية'!$N$2:$N$421,"&lt;&gt;")+COUNTIFS('الجهاز العسكري'!$B$2:$B$631,$B243,'الجهاز العسكري'!$G$2:$G$631,$G243,'الجهاز العسكري'!$I$2:$I$631,$I243,'الجهاز العسكري'!$M$2:$M$631,"&lt;&gt;")</f>
        <v>2</v>
      </c>
      <c r="N243" s="24" t="n">
        <f aca="false">IF($L243=0,0,ROUND((SUMIFS('المرتبطة بسمو الوزير'!$M$2:$M$151,'المرتبطة بسمو الوزير'!$B$2:$B$151,$B243,'المرتبطة بسمو الوزير'!$G$2:$G$151,$G243,'المرتبطة بسمو الوزير'!$I$2:$I$151,$I243)+SUMIFS('الشؤون التنفيذية'!$N$2:$N$421,'الشؤون التنفيذية'!$B$2:$B$421,$B243,'الشؤون التنفيذية'!$G$2:$G$421,$G243,'الشؤون التنفيذية'!$I$2:$I$421,$I243)+SUMIFS('الجهاز العسكري'!$M$2:$M$631,'الجهاز العسكري'!$B$2:$B$631,$B243,'الجهاز العسكري'!$G$2:$G$631,$G243,'الجهاز العسكري'!$I$2:$I$631,$I243))/$L243,0))</f>
        <v>83</v>
      </c>
      <c r="O243" s="25" t="n">
        <f aca="false">IF($L243=0,0,ROUND((SUMIFS('المرتبطة بسمو الوزير'!$N$2:$N$151,'المرتبطة بسمو الوزير'!$B$2:$B$151,$B243,'المرتبطة بسمو الوزير'!$G$2:$G$151,$G243,'المرتبطة بسمو الوزير'!$I$2:$I$151,$I243)+SUMIFS('الشؤون التنفيذية'!$O$2:$O$421,'الشؤون التنفيذية'!$B$2:$B$421,$B243,'الشؤون التنفيذية'!$G$2:$G$421,$G243,'الشؤون التنفيذية'!$I$2:$I$421,$I243)+SUMIFS('الجهاز العسكري'!$N$2:$N$631,'الجهاز العسكري'!$B$2:$B$631,$B243,'الجهاز العسكري'!$G$2:$G$631,$G243,'الجهاز العسكري'!$I$2:$I$631,$I243))/$L243,0))</f>
        <v>93</v>
      </c>
      <c r="P243" s="22"/>
      <c r="Q243" s="19" t="n">
        <f aca="false">SUMIFS(المرجع!$G$2:$G$19,المرجع!$B$2:$B$19,$G243,المرجع!$E$2:$E$19,$I243)</f>
        <v>15</v>
      </c>
      <c r="R243" s="26" t="n">
        <f aca="false">ROUND($Q243*$N243/100,2)</f>
        <v>12.45</v>
      </c>
      <c r="S243" s="27" t="str">
        <f aca="false">IF($N243&gt;المرجع!$K$3,"متقدم",IF($N243&lt;=المرجع!$K$2,"أولي","جزئي"))</f>
        <v>متقدم</v>
      </c>
      <c r="T243" s="28" t="n">
        <f aca="false">ROUND($Q243*$O243/100,2)</f>
        <v>13.95</v>
      </c>
    </row>
    <row r="244" customFormat="false" ht="15" hidden="false" customHeight="true" outlineLevel="0" collapsed="false">
      <c r="A244" s="20" t="s">
        <v>1696</v>
      </c>
      <c r="B244" s="20" t="s">
        <v>181</v>
      </c>
      <c r="C244" s="19" t="str">
        <f aca="false">IFERROR(INDEX('قائمة الوحدات'!$B$2:$B$41,MATCH($B244,'قائمة الوحدات'!$A$2:$A$41,0)),"")</f>
        <v>EXE</v>
      </c>
      <c r="D244" s="18" t="str">
        <f aca="false">IFERROR(INDEX('قائمة الوحدات'!$C$2:$C$41,MATCH($B244,'قائمة الوحدات'!$A$2:$A$41,0)),"")</f>
        <v>الشؤون التنفيذية</v>
      </c>
      <c r="E244" s="18" t="str">
        <f aca="false">IFERROR(INDEX('قائمة الوحدات'!$D$2:$D$41,MATCH($B244,'قائمة الوحدات'!$A$2:$A$41,0)),"")</f>
        <v>وكالة الخدمات المساندة</v>
      </c>
      <c r="F244" s="18" t="str">
        <f aca="false">IFERROR(INDEX('قائمة الوحدات'!$F$2:$F$41,MATCH($B244,'قائمة الوحدات'!$A$2:$A$41,0)),"")</f>
        <v>الإدارة العامة للشؤون المالية</v>
      </c>
      <c r="G244" s="20" t="s">
        <v>62</v>
      </c>
      <c r="H244" s="18" t="str">
        <f aca="false">IFERROR(INDEX(المرجع!$A$2:$A$19,MATCH($G244,المرجع!$B$2:$B$19,0)),"")</f>
        <v>البناء المؤسسي</v>
      </c>
      <c r="I244" s="20" t="s">
        <v>52</v>
      </c>
      <c r="J244" s="18" t="str">
        <f aca="false">IFERROR(INDEX(المرجع!$D$2:$D$19,MATCH($I244,المرجع!$E$2:$E$19,0)),"")</f>
        <v>الحوكمة</v>
      </c>
      <c r="K244" s="19" t="n">
        <f aca="false">IFERROR(INDEX(المرجع!$F$2:$F$19,MATCH($I244,المرجع!$E$2:$E$19,0)),"")</f>
        <v>3</v>
      </c>
      <c r="L244" s="19" t="n">
        <f aca="false">SUMIFS(المرجع!$H$2:$H$19,المرجع!$B$2:$B$19,$G244,المرجع!$E$2:$E$19,$I244)</f>
        <v>3</v>
      </c>
      <c r="M244" s="19" t="n">
        <f aca="false">COUNTIFS('المرتبطة بسمو الوزير'!$B$2:$B$151,$B244,'المرتبطة بسمو الوزير'!$G$2:$G$151,$G244,'المرتبطة بسمو الوزير'!$I$2:$I$151,$I244,'المرتبطة بسمو الوزير'!$M$2:$M$151,"&lt;&gt;")+COUNTIFS('الشؤون التنفيذية'!$B$2:$B$421,$B244,'الشؤون التنفيذية'!$G$2:$G$421,$G244,'الشؤون التنفيذية'!$I$2:$I$421,$I244,'الشؤون التنفيذية'!$N$2:$N$421,"&lt;&gt;")+COUNTIFS('الجهاز العسكري'!$B$2:$B$631,$B244,'الجهاز العسكري'!$G$2:$G$631,$G244,'الجهاز العسكري'!$I$2:$I$631,$I244,'الجهاز العسكري'!$M$2:$M$631,"&lt;&gt;")</f>
        <v>3</v>
      </c>
      <c r="N244" s="24" t="n">
        <f aca="false">IF($L244=0,0,ROUND((SUMIFS('المرتبطة بسمو الوزير'!$M$2:$M$151,'المرتبطة بسمو الوزير'!$B$2:$B$151,$B244,'المرتبطة بسمو الوزير'!$G$2:$G$151,$G244,'المرتبطة بسمو الوزير'!$I$2:$I$151,$I244)+SUMIFS('الشؤون التنفيذية'!$N$2:$N$421,'الشؤون التنفيذية'!$B$2:$B$421,$B244,'الشؤون التنفيذية'!$G$2:$G$421,$G244,'الشؤون التنفيذية'!$I$2:$I$421,$I244)+SUMIFS('الجهاز العسكري'!$M$2:$M$631,'الجهاز العسكري'!$B$2:$B$631,$B244,'الجهاز العسكري'!$G$2:$G$631,$G244,'الجهاز العسكري'!$I$2:$I$631,$I244))/$L244,0))</f>
        <v>93</v>
      </c>
      <c r="O244" s="25" t="n">
        <f aca="false">IF($L244=0,0,ROUND((SUMIFS('المرتبطة بسمو الوزير'!$N$2:$N$151,'المرتبطة بسمو الوزير'!$B$2:$B$151,$B244,'المرتبطة بسمو الوزير'!$G$2:$G$151,$G244,'المرتبطة بسمو الوزير'!$I$2:$I$151,$I244)+SUMIFS('الشؤون التنفيذية'!$O$2:$O$421,'الشؤون التنفيذية'!$B$2:$B$421,$B244,'الشؤون التنفيذية'!$G$2:$G$421,$G244,'الشؤون التنفيذية'!$I$2:$I$421,$I244)+SUMIFS('الجهاز العسكري'!$N$2:$N$631,'الجهاز العسكري'!$B$2:$B$631,$B244,'الجهاز العسكري'!$G$2:$G$631,$G244,'الجهاز العسكري'!$I$2:$I$631,$I244))/$L244,0))</f>
        <v>95</v>
      </c>
      <c r="P244" s="22"/>
      <c r="Q244" s="19" t="n">
        <f aca="false">SUMIFS(المرجع!$G$2:$G$19,المرجع!$B$2:$B$19,$G244,المرجع!$E$2:$E$19,$I244)</f>
        <v>15</v>
      </c>
      <c r="R244" s="26" t="n">
        <f aca="false">ROUND($Q244*$N244/100,2)</f>
        <v>13.95</v>
      </c>
      <c r="S244" s="27" t="str">
        <f aca="false">IF($N244&gt;المرجع!$K$3,"متقدم",IF($N244&lt;=المرجع!$K$2,"أولي","جزئي"))</f>
        <v>متقدم</v>
      </c>
      <c r="T244" s="28" t="n">
        <f aca="false">ROUND($Q244*$O244/100,2)</f>
        <v>14.25</v>
      </c>
    </row>
    <row r="245" customFormat="false" ht="15" hidden="false" customHeight="true" outlineLevel="0" collapsed="false">
      <c r="A245" s="20" t="s">
        <v>1697</v>
      </c>
      <c r="B245" s="20" t="s">
        <v>181</v>
      </c>
      <c r="C245" s="19" t="str">
        <f aca="false">IFERROR(INDEX('قائمة الوحدات'!$B$2:$B$41,MATCH($B245,'قائمة الوحدات'!$A$2:$A$41,0)),"")</f>
        <v>EXE</v>
      </c>
      <c r="D245" s="18" t="str">
        <f aca="false">IFERROR(INDEX('قائمة الوحدات'!$C$2:$C$41,MATCH($B245,'قائمة الوحدات'!$A$2:$A$41,0)),"")</f>
        <v>الشؤون التنفيذية</v>
      </c>
      <c r="E245" s="18" t="str">
        <f aca="false">IFERROR(INDEX('قائمة الوحدات'!$D$2:$D$41,MATCH($B245,'قائمة الوحدات'!$A$2:$A$41,0)),"")</f>
        <v>وكالة الخدمات المساندة</v>
      </c>
      <c r="F245" s="18" t="str">
        <f aca="false">IFERROR(INDEX('قائمة الوحدات'!$F$2:$F$41,MATCH($B245,'قائمة الوحدات'!$A$2:$A$41,0)),"")</f>
        <v>الإدارة العامة للشؤون المالية</v>
      </c>
      <c r="G245" s="20" t="s">
        <v>62</v>
      </c>
      <c r="H245" s="18" t="str">
        <f aca="false">IFERROR(INDEX(المرجع!$A$2:$A$19,MATCH($G245,المرجع!$B$2:$B$19,0)),"")</f>
        <v>البناء المؤسسي</v>
      </c>
      <c r="I245" s="20" t="s">
        <v>55</v>
      </c>
      <c r="J245" s="18" t="str">
        <f aca="false">IFERROR(INDEX(المرجع!$D$2:$D$19,MATCH($I245,المرجع!$E$2:$E$19,0)),"")</f>
        <v>التنظيم</v>
      </c>
      <c r="K245" s="19" t="n">
        <f aca="false">IFERROR(INDEX(المرجع!$F$2:$F$19,MATCH($I245,المرجع!$E$2:$E$19,0)),"")</f>
        <v>4</v>
      </c>
      <c r="L245" s="19" t="n">
        <f aca="false">SUMIFS(المرجع!$H$2:$H$19,المرجع!$B$2:$B$19,$G245,المرجع!$E$2:$E$19,$I245)</f>
        <v>3</v>
      </c>
      <c r="M245" s="19" t="n">
        <f aca="false">COUNTIFS('المرتبطة بسمو الوزير'!$B$2:$B$151,$B245,'المرتبطة بسمو الوزير'!$G$2:$G$151,$G245,'المرتبطة بسمو الوزير'!$I$2:$I$151,$I245,'المرتبطة بسمو الوزير'!$M$2:$M$151,"&lt;&gt;")+COUNTIFS('الشؤون التنفيذية'!$B$2:$B$421,$B245,'الشؤون التنفيذية'!$G$2:$G$421,$G245,'الشؤون التنفيذية'!$I$2:$I$421,$I245,'الشؤون التنفيذية'!$N$2:$N$421,"&lt;&gt;")+COUNTIFS('الجهاز العسكري'!$B$2:$B$631,$B245,'الجهاز العسكري'!$G$2:$G$631,$G245,'الجهاز العسكري'!$I$2:$I$631,$I245,'الجهاز العسكري'!$M$2:$M$631,"&lt;&gt;")</f>
        <v>3</v>
      </c>
      <c r="N245" s="24" t="n">
        <f aca="false">IF($L245=0,0,ROUND((SUMIFS('المرتبطة بسمو الوزير'!$M$2:$M$151,'المرتبطة بسمو الوزير'!$B$2:$B$151,$B245,'المرتبطة بسمو الوزير'!$G$2:$G$151,$G245,'المرتبطة بسمو الوزير'!$I$2:$I$151,$I245)+SUMIFS('الشؤون التنفيذية'!$N$2:$N$421,'الشؤون التنفيذية'!$B$2:$B$421,$B245,'الشؤون التنفيذية'!$G$2:$G$421,$G245,'الشؤون التنفيذية'!$I$2:$I$421,$I245)+SUMIFS('الجهاز العسكري'!$M$2:$M$631,'الجهاز العسكري'!$B$2:$B$631,$B245,'الجهاز العسكري'!$G$2:$G$631,$G245,'الجهاز العسكري'!$I$2:$I$631,$I245))/$L245,0))</f>
        <v>57</v>
      </c>
      <c r="O245" s="25" t="n">
        <f aca="false">IF($L245=0,0,ROUND((SUMIFS('المرتبطة بسمو الوزير'!$N$2:$N$151,'المرتبطة بسمو الوزير'!$B$2:$B$151,$B245,'المرتبطة بسمو الوزير'!$G$2:$G$151,$G245,'المرتبطة بسمو الوزير'!$I$2:$I$151,$I245)+SUMIFS('الشؤون التنفيذية'!$O$2:$O$421,'الشؤون التنفيذية'!$B$2:$B$421,$B245,'الشؤون التنفيذية'!$G$2:$G$421,$G245,'الشؤون التنفيذية'!$I$2:$I$421,$I245)+SUMIFS('الجهاز العسكري'!$N$2:$N$631,'الجهاز العسكري'!$B$2:$B$631,$B245,'الجهاز العسكري'!$G$2:$G$631,$G245,'الجهاز العسكري'!$I$2:$I$631,$I245))/$L245,0))</f>
        <v>93</v>
      </c>
      <c r="P245" s="22"/>
      <c r="Q245" s="19" t="n">
        <f aca="false">SUMIFS(المرجع!$G$2:$G$19,المرجع!$B$2:$B$19,$G245,المرجع!$E$2:$E$19,$I245)</f>
        <v>20</v>
      </c>
      <c r="R245" s="26" t="n">
        <f aca="false">ROUND($Q245*$N245/100,2)</f>
        <v>11.4</v>
      </c>
      <c r="S245" s="27" t="str">
        <f aca="false">IF($N245&gt;المرجع!$K$3,"متقدم",IF($N245&lt;=المرجع!$K$2,"أولي","جزئي"))</f>
        <v>جزئي</v>
      </c>
      <c r="T245" s="28" t="n">
        <f aca="false">ROUND($Q245*$O245/100,2)</f>
        <v>18.6</v>
      </c>
    </row>
    <row r="246" customFormat="false" ht="15" hidden="false" customHeight="true" outlineLevel="0" collapsed="false">
      <c r="A246" s="20" t="s">
        <v>1698</v>
      </c>
      <c r="B246" s="20" t="s">
        <v>181</v>
      </c>
      <c r="C246" s="19" t="str">
        <f aca="false">IFERROR(INDEX('قائمة الوحدات'!$B$2:$B$41,MATCH($B246,'قائمة الوحدات'!$A$2:$A$41,0)),"")</f>
        <v>EXE</v>
      </c>
      <c r="D246" s="18" t="str">
        <f aca="false">IFERROR(INDEX('قائمة الوحدات'!$C$2:$C$41,MATCH($B246,'قائمة الوحدات'!$A$2:$A$41,0)),"")</f>
        <v>الشؤون التنفيذية</v>
      </c>
      <c r="E246" s="18" t="str">
        <f aca="false">IFERROR(INDEX('قائمة الوحدات'!$D$2:$D$41,MATCH($B246,'قائمة الوحدات'!$A$2:$A$41,0)),"")</f>
        <v>وكالة الخدمات المساندة</v>
      </c>
      <c r="F246" s="18" t="str">
        <f aca="false">IFERROR(INDEX('قائمة الوحدات'!$F$2:$F$41,MATCH($B246,'قائمة الوحدات'!$A$2:$A$41,0)),"")</f>
        <v>الإدارة العامة للشؤون المالية</v>
      </c>
      <c r="G246" s="20" t="s">
        <v>62</v>
      </c>
      <c r="H246" s="18" t="str">
        <f aca="false">IFERROR(INDEX(المرجع!$A$2:$A$19,MATCH($G246,المرجع!$B$2:$B$19,0)),"")</f>
        <v>البناء المؤسسي</v>
      </c>
      <c r="I246" s="20" t="s">
        <v>57</v>
      </c>
      <c r="J246" s="18" t="str">
        <f aca="false">IFERROR(INDEX(المرجع!$D$2:$D$19,MATCH($I246,المرجع!$E$2:$E$19,0)),"")</f>
        <v>الموارد</v>
      </c>
      <c r="K246" s="19" t="n">
        <f aca="false">IFERROR(INDEX(المرجع!$F$2:$F$19,MATCH($I246,المرجع!$E$2:$E$19,0)),"")</f>
        <v>5</v>
      </c>
      <c r="L246" s="19" t="n">
        <f aca="false">SUMIFS(المرجع!$H$2:$H$19,المرجع!$B$2:$B$19,$G246,المرجع!$E$2:$E$19,$I246)</f>
        <v>4</v>
      </c>
      <c r="M246" s="19" t="n">
        <f aca="false">COUNTIFS('المرتبطة بسمو الوزير'!$B$2:$B$151,$B246,'المرتبطة بسمو الوزير'!$G$2:$G$151,$G246,'المرتبطة بسمو الوزير'!$I$2:$I$151,$I246,'المرتبطة بسمو الوزير'!$M$2:$M$151,"&lt;&gt;")+COUNTIFS('الشؤون التنفيذية'!$B$2:$B$421,$B246,'الشؤون التنفيذية'!$G$2:$G$421,$G246,'الشؤون التنفيذية'!$I$2:$I$421,$I246,'الشؤون التنفيذية'!$N$2:$N$421,"&lt;&gt;")+COUNTIFS('الجهاز العسكري'!$B$2:$B$631,$B246,'الجهاز العسكري'!$G$2:$G$631,$G246,'الجهاز العسكري'!$I$2:$I$631,$I246,'الجهاز العسكري'!$M$2:$M$631,"&lt;&gt;")</f>
        <v>4</v>
      </c>
      <c r="N246" s="24" t="n">
        <f aca="false">IF($L246=0,0,ROUND((SUMIFS('المرتبطة بسمو الوزير'!$M$2:$M$151,'المرتبطة بسمو الوزير'!$B$2:$B$151,$B246,'المرتبطة بسمو الوزير'!$G$2:$G$151,$G246,'المرتبطة بسمو الوزير'!$I$2:$I$151,$I246)+SUMIFS('الشؤون التنفيذية'!$N$2:$N$421,'الشؤون التنفيذية'!$B$2:$B$421,$B246,'الشؤون التنفيذية'!$G$2:$G$421,$G246,'الشؤون التنفيذية'!$I$2:$I$421,$I246)+SUMIFS('الجهاز العسكري'!$M$2:$M$631,'الجهاز العسكري'!$B$2:$B$631,$B246,'الجهاز العسكري'!$G$2:$G$631,$G246,'الجهاز العسكري'!$I$2:$I$631,$I246))/$L246,0))</f>
        <v>56</v>
      </c>
      <c r="O246" s="25" t="n">
        <f aca="false">IF($L246=0,0,ROUND((SUMIFS('المرتبطة بسمو الوزير'!$N$2:$N$151,'المرتبطة بسمو الوزير'!$B$2:$B$151,$B246,'المرتبطة بسمو الوزير'!$G$2:$G$151,$G246,'المرتبطة بسمو الوزير'!$I$2:$I$151,$I246)+SUMIFS('الشؤون التنفيذية'!$O$2:$O$421,'الشؤون التنفيذية'!$B$2:$B$421,$B246,'الشؤون التنفيذية'!$G$2:$G$421,$G246,'الشؤون التنفيذية'!$I$2:$I$421,$I246)+SUMIFS('الجهاز العسكري'!$N$2:$N$631,'الجهاز العسكري'!$B$2:$B$631,$B246,'الجهاز العسكري'!$G$2:$G$631,$G246,'الجهاز العسكري'!$I$2:$I$631,$I246))/$L246,0))</f>
        <v>95</v>
      </c>
      <c r="P246" s="22"/>
      <c r="Q246" s="19" t="n">
        <f aca="false">SUMIFS(المرجع!$G$2:$G$19,المرجع!$B$2:$B$19,$G246,المرجع!$E$2:$E$19,$I246)</f>
        <v>25</v>
      </c>
      <c r="R246" s="26" t="n">
        <f aca="false">ROUND($Q246*$N246/100,2)</f>
        <v>14</v>
      </c>
      <c r="S246" s="27" t="str">
        <f aca="false">IF($N246&gt;المرجع!$K$3,"متقدم",IF($N246&lt;=المرجع!$K$2,"أولي","جزئي"))</f>
        <v>جزئي</v>
      </c>
      <c r="T246" s="28" t="n">
        <f aca="false">ROUND($Q246*$O246/100,2)</f>
        <v>23.75</v>
      </c>
    </row>
    <row r="247" customFormat="false" ht="15" hidden="false" customHeight="true" outlineLevel="0" collapsed="false">
      <c r="A247" s="20" t="s">
        <v>1699</v>
      </c>
      <c r="B247" s="20" t="s">
        <v>181</v>
      </c>
      <c r="C247" s="19" t="str">
        <f aca="false">IFERROR(INDEX('قائمة الوحدات'!$B$2:$B$41,MATCH($B247,'قائمة الوحدات'!$A$2:$A$41,0)),"")</f>
        <v>EXE</v>
      </c>
      <c r="D247" s="18" t="str">
        <f aca="false">IFERROR(INDEX('قائمة الوحدات'!$C$2:$C$41,MATCH($B247,'قائمة الوحدات'!$A$2:$A$41,0)),"")</f>
        <v>الشؤون التنفيذية</v>
      </c>
      <c r="E247" s="18" t="str">
        <f aca="false">IFERROR(INDEX('قائمة الوحدات'!$D$2:$D$41,MATCH($B247,'قائمة الوحدات'!$A$2:$A$41,0)),"")</f>
        <v>وكالة الخدمات المساندة</v>
      </c>
      <c r="F247" s="18" t="str">
        <f aca="false">IFERROR(INDEX('قائمة الوحدات'!$F$2:$F$41,MATCH($B247,'قائمة الوحدات'!$A$2:$A$41,0)),"")</f>
        <v>الإدارة العامة للشؤون المالية</v>
      </c>
      <c r="G247" s="20" t="s">
        <v>62</v>
      </c>
      <c r="H247" s="18" t="str">
        <f aca="false">IFERROR(INDEX(المرجع!$A$2:$A$19,MATCH($G247,المرجع!$B$2:$B$19,0)),"")</f>
        <v>البناء المؤسسي</v>
      </c>
      <c r="I247" s="20" t="s">
        <v>60</v>
      </c>
      <c r="J247" s="18" t="str">
        <f aca="false">IFERROR(INDEX(المرجع!$D$2:$D$19,MATCH($I247,المرجع!$E$2:$E$19,0)),"")</f>
        <v>الإجراءات</v>
      </c>
      <c r="K247" s="19" t="n">
        <f aca="false">IFERROR(INDEX(المرجع!$F$2:$F$19,MATCH($I247,المرجع!$E$2:$E$19,0)),"")</f>
        <v>6</v>
      </c>
      <c r="L247" s="19" t="n">
        <f aca="false">SUMIFS(المرجع!$H$2:$H$19,المرجع!$B$2:$B$19,$G247,المرجع!$E$2:$E$19,$I247)</f>
        <v>1</v>
      </c>
      <c r="M247" s="19" t="n">
        <f aca="false">COUNTIFS('المرتبطة بسمو الوزير'!$B$2:$B$151,$B247,'المرتبطة بسمو الوزير'!$G$2:$G$151,$G247,'المرتبطة بسمو الوزير'!$I$2:$I$151,$I247,'المرتبطة بسمو الوزير'!$M$2:$M$151,"&lt;&gt;")+COUNTIFS('الشؤون التنفيذية'!$B$2:$B$421,$B247,'الشؤون التنفيذية'!$G$2:$G$421,$G247,'الشؤون التنفيذية'!$I$2:$I$421,$I247,'الشؤون التنفيذية'!$N$2:$N$421,"&lt;&gt;")+COUNTIFS('الجهاز العسكري'!$B$2:$B$631,$B247,'الجهاز العسكري'!$G$2:$G$631,$G247,'الجهاز العسكري'!$I$2:$I$631,$I247,'الجهاز العسكري'!$M$2:$M$631,"&lt;&gt;")</f>
        <v>1</v>
      </c>
      <c r="N247" s="24" t="n">
        <f aca="false">IF($L247=0,0,ROUND((SUMIFS('المرتبطة بسمو الوزير'!$M$2:$M$151,'المرتبطة بسمو الوزير'!$B$2:$B$151,$B247,'المرتبطة بسمو الوزير'!$G$2:$G$151,$G247,'المرتبطة بسمو الوزير'!$I$2:$I$151,$I247)+SUMIFS('الشؤون التنفيذية'!$N$2:$N$421,'الشؤون التنفيذية'!$B$2:$B$421,$B247,'الشؤون التنفيذية'!$G$2:$G$421,$G247,'الشؤون التنفيذية'!$I$2:$I$421,$I247)+SUMIFS('الجهاز العسكري'!$M$2:$M$631,'الجهاز العسكري'!$B$2:$B$631,$B247,'الجهاز العسكري'!$G$2:$G$631,$G247,'الجهاز العسكري'!$I$2:$I$631,$I247))/$L247,0))</f>
        <v>66</v>
      </c>
      <c r="O247" s="25" t="n">
        <f aca="false">IF($L247=0,0,ROUND((SUMIFS('المرتبطة بسمو الوزير'!$N$2:$N$151,'المرتبطة بسمو الوزير'!$B$2:$B$151,$B247,'المرتبطة بسمو الوزير'!$G$2:$G$151,$G247,'المرتبطة بسمو الوزير'!$I$2:$I$151,$I247)+SUMIFS('الشؤون التنفيذية'!$O$2:$O$421,'الشؤون التنفيذية'!$B$2:$B$421,$B247,'الشؤون التنفيذية'!$G$2:$G$421,$G247,'الشؤون التنفيذية'!$I$2:$I$421,$I247)+SUMIFS('الجهاز العسكري'!$N$2:$N$631,'الجهاز العسكري'!$B$2:$B$631,$B247,'الجهاز العسكري'!$G$2:$G$631,$G247,'الجهاز العسكري'!$I$2:$I$631,$I247))/$L247,0))</f>
        <v>100</v>
      </c>
      <c r="P247" s="22"/>
      <c r="Q247" s="19" t="n">
        <f aca="false">SUMIFS(المرجع!$G$2:$G$19,المرجع!$B$2:$B$19,$G247,المرجع!$E$2:$E$19,$I247)</f>
        <v>5</v>
      </c>
      <c r="R247" s="26" t="n">
        <f aca="false">ROUND($Q247*$N247/100,2)</f>
        <v>3.3</v>
      </c>
      <c r="S247" s="27" t="str">
        <f aca="false">IF($N247&gt;المرجع!$K$3,"متقدم",IF($N247&lt;=المرجع!$K$2,"أولي","جزئي"))</f>
        <v>جزئي</v>
      </c>
      <c r="T247" s="28" t="n">
        <f aca="false">ROUND($Q247*$O247/100,2)</f>
        <v>5</v>
      </c>
    </row>
    <row r="248" customFormat="false" ht="15" hidden="false" customHeight="true" outlineLevel="0" collapsed="false">
      <c r="A248" s="20" t="s">
        <v>1700</v>
      </c>
      <c r="B248" s="20" t="s">
        <v>181</v>
      </c>
      <c r="C248" s="19" t="str">
        <f aca="false">IFERROR(INDEX('قائمة الوحدات'!$B$2:$B$41,MATCH($B248,'قائمة الوحدات'!$A$2:$A$41,0)),"")</f>
        <v>EXE</v>
      </c>
      <c r="D248" s="18" t="str">
        <f aca="false">IFERROR(INDEX('قائمة الوحدات'!$C$2:$C$41,MATCH($B248,'قائمة الوحدات'!$A$2:$A$41,0)),"")</f>
        <v>الشؤون التنفيذية</v>
      </c>
      <c r="E248" s="18" t="str">
        <f aca="false">IFERROR(INDEX('قائمة الوحدات'!$D$2:$D$41,MATCH($B248,'قائمة الوحدات'!$A$2:$A$41,0)),"")</f>
        <v>وكالة الخدمات المساندة</v>
      </c>
      <c r="F248" s="18" t="str">
        <f aca="false">IFERROR(INDEX('قائمة الوحدات'!$F$2:$F$41,MATCH($B248,'قائمة الوحدات'!$A$2:$A$41,0)),"")</f>
        <v>الإدارة العامة للشؤون المالية</v>
      </c>
      <c r="G248" s="20" t="s">
        <v>62</v>
      </c>
      <c r="H248" s="18" t="str">
        <f aca="false">IFERROR(INDEX(المرجع!$A$2:$A$19,MATCH($G248,المرجع!$B$2:$B$19,0)),"")</f>
        <v>البناء المؤسسي</v>
      </c>
      <c r="I248" s="20" t="s">
        <v>69</v>
      </c>
      <c r="J248" s="18" t="str">
        <f aca="false">IFERROR(INDEX(المرجع!$D$2:$D$19,MATCH($I248,المرجع!$E$2:$E$19,0)),"")</f>
        <v>إنتاج المخرج الأول</v>
      </c>
      <c r="K248" s="19" t="n">
        <f aca="false">IFERROR(INDEX(المرجع!$F$2:$F$19,MATCH($I248,المرجع!$E$2:$E$19,0)),"")</f>
        <v>7</v>
      </c>
      <c r="L248" s="19" t="n">
        <f aca="false">SUMIFS(المرجع!$H$2:$H$19,المرجع!$B$2:$B$19,$G248,المرجع!$E$2:$E$19,$I248)</f>
        <v>1</v>
      </c>
      <c r="M248" s="19" t="n">
        <f aca="false">COUNTIFS('المرتبطة بسمو الوزير'!$B$2:$B$151,$B248,'المرتبطة بسمو الوزير'!$G$2:$G$151,$G248,'المرتبطة بسمو الوزير'!$I$2:$I$151,$I248,'المرتبطة بسمو الوزير'!$M$2:$M$151,"&lt;&gt;")+COUNTIFS('الشؤون التنفيذية'!$B$2:$B$421,$B248,'الشؤون التنفيذية'!$G$2:$G$421,$G248,'الشؤون التنفيذية'!$I$2:$I$421,$I248,'الشؤون التنفيذية'!$N$2:$N$421,"&lt;&gt;")+COUNTIFS('الجهاز العسكري'!$B$2:$B$631,$B248,'الجهاز العسكري'!$G$2:$G$631,$G248,'الجهاز العسكري'!$I$2:$I$631,$I248,'الجهاز العسكري'!$M$2:$M$631,"&lt;&gt;")</f>
        <v>1</v>
      </c>
      <c r="N248" s="24" t="n">
        <f aca="false">IF($L248=0,0,ROUND((SUMIFS('المرتبطة بسمو الوزير'!$M$2:$M$151,'المرتبطة بسمو الوزير'!$B$2:$B$151,$B248,'المرتبطة بسمو الوزير'!$G$2:$G$151,$G248,'المرتبطة بسمو الوزير'!$I$2:$I$151,$I248)+SUMIFS('الشؤون التنفيذية'!$N$2:$N$421,'الشؤون التنفيذية'!$B$2:$B$421,$B248,'الشؤون التنفيذية'!$G$2:$G$421,$G248,'الشؤون التنفيذية'!$I$2:$I$421,$I248)+SUMIFS('الجهاز العسكري'!$M$2:$M$631,'الجهاز العسكري'!$B$2:$B$631,$B248,'الجهاز العسكري'!$G$2:$G$631,$G248,'الجهاز العسكري'!$I$2:$I$631,$I248))/$L248,0))</f>
        <v>43</v>
      </c>
      <c r="O248" s="25" t="n">
        <f aca="false">IF($L248=0,0,ROUND((SUMIFS('المرتبطة بسمو الوزير'!$N$2:$N$151,'المرتبطة بسمو الوزير'!$B$2:$B$151,$B248,'المرتبطة بسمو الوزير'!$G$2:$G$151,$G248,'المرتبطة بسمو الوزير'!$I$2:$I$151,$I248)+SUMIFS('الشؤون التنفيذية'!$O$2:$O$421,'الشؤون التنفيذية'!$B$2:$B$421,$B248,'الشؤون التنفيذية'!$G$2:$G$421,$G248,'الشؤون التنفيذية'!$I$2:$I$421,$I248)+SUMIFS('الجهاز العسكري'!$N$2:$N$631,'الجهاز العسكري'!$B$2:$B$631,$B248,'الجهاز العسكري'!$G$2:$G$631,$G248,'الجهاز العسكري'!$I$2:$I$631,$I248))/$L248,0))</f>
        <v>85</v>
      </c>
      <c r="P248" s="22"/>
      <c r="Q248" s="19" t="n">
        <f aca="false">SUMIFS(المرجع!$G$2:$G$19,المرجع!$B$2:$B$19,$G248,المرجع!$E$2:$E$19,$I248)</f>
        <v>5</v>
      </c>
      <c r="R248" s="26" t="n">
        <f aca="false">ROUND($Q248*$N248/100,2)</f>
        <v>2.15</v>
      </c>
      <c r="S248" s="27" t="str">
        <f aca="false">IF($N248&gt;المرجع!$K$3,"متقدم",IF($N248&lt;=المرجع!$K$2,"أولي","جزئي"))</f>
        <v>جزئي</v>
      </c>
      <c r="T248" s="28" t="n">
        <f aca="false">ROUND($Q248*$O248/100,2)</f>
        <v>4.25</v>
      </c>
    </row>
    <row r="249" customFormat="false" ht="15" hidden="false" customHeight="true" outlineLevel="0" collapsed="false">
      <c r="A249" s="20" t="s">
        <v>1701</v>
      </c>
      <c r="B249" s="20" t="s">
        <v>181</v>
      </c>
      <c r="C249" s="19" t="str">
        <f aca="false">IFERROR(INDEX('قائمة الوحدات'!$B$2:$B$41,MATCH($B249,'قائمة الوحدات'!$A$2:$A$41,0)),"")</f>
        <v>EXE</v>
      </c>
      <c r="D249" s="18" t="str">
        <f aca="false">IFERROR(INDEX('قائمة الوحدات'!$C$2:$C$41,MATCH($B249,'قائمة الوحدات'!$A$2:$A$41,0)),"")</f>
        <v>الشؤون التنفيذية</v>
      </c>
      <c r="E249" s="18" t="str">
        <f aca="false">IFERROR(INDEX('قائمة الوحدات'!$D$2:$D$41,MATCH($B249,'قائمة الوحدات'!$A$2:$A$41,0)),"")</f>
        <v>وكالة الخدمات المساندة</v>
      </c>
      <c r="F249" s="18" t="str">
        <f aca="false">IFERROR(INDEX('قائمة الوحدات'!$F$2:$F$41,MATCH($B249,'قائمة الوحدات'!$A$2:$A$41,0)),"")</f>
        <v>الإدارة العامة للشؤون المالية</v>
      </c>
      <c r="G249" s="20" t="s">
        <v>66</v>
      </c>
      <c r="H249" s="18" t="str">
        <f aca="false">IFERROR(INDEX(المرجع!$A$2:$A$19,MATCH($G249,المرجع!$B$2:$B$19,0)),"")</f>
        <v>التشغيل</v>
      </c>
      <c r="I249" s="20" t="s">
        <v>49</v>
      </c>
      <c r="J249" s="18" t="str">
        <f aca="false">IFERROR(INDEX(المرجع!$D$2:$D$19,MATCH($I249,المرجع!$E$2:$E$19,0)),"")</f>
        <v>الأهداف ومؤشرات الأداء</v>
      </c>
      <c r="K249" s="19" t="n">
        <f aca="false">IFERROR(INDEX(المرجع!$F$2:$F$19,MATCH($I249,المرجع!$E$2:$E$19,0)),"")</f>
        <v>2</v>
      </c>
      <c r="L249" s="19" t="n">
        <f aca="false">SUMIFS(المرجع!$H$2:$H$19,المرجع!$B$2:$B$19,$G249,المرجع!$E$2:$E$19,$I249)</f>
        <v>2</v>
      </c>
      <c r="M249" s="19" t="n">
        <f aca="false">COUNTIFS('المرتبطة بسمو الوزير'!$B$2:$B$151,$B249,'المرتبطة بسمو الوزير'!$G$2:$G$151,$G249,'المرتبطة بسمو الوزير'!$I$2:$I$151,$I249,'المرتبطة بسمو الوزير'!$M$2:$M$151,"&lt;&gt;")+COUNTIFS('الشؤون التنفيذية'!$B$2:$B$421,$B249,'الشؤون التنفيذية'!$G$2:$G$421,$G249,'الشؤون التنفيذية'!$I$2:$I$421,$I249,'الشؤون التنفيذية'!$N$2:$N$421,"&lt;&gt;")+COUNTIFS('الجهاز العسكري'!$B$2:$B$631,$B249,'الجهاز العسكري'!$G$2:$G$631,$G249,'الجهاز العسكري'!$I$2:$I$631,$I249,'الجهاز العسكري'!$M$2:$M$631,"&lt;&gt;")</f>
        <v>2</v>
      </c>
      <c r="N249" s="24" t="n">
        <f aca="false">IF($L249=0,0,ROUND((SUMIFS('المرتبطة بسمو الوزير'!$M$2:$M$151,'المرتبطة بسمو الوزير'!$B$2:$B$151,$B249,'المرتبطة بسمو الوزير'!$G$2:$G$151,$G249,'المرتبطة بسمو الوزير'!$I$2:$I$151,$I249)+SUMIFS('الشؤون التنفيذية'!$N$2:$N$421,'الشؤون التنفيذية'!$B$2:$B$421,$B249,'الشؤون التنفيذية'!$G$2:$G$421,$G249,'الشؤون التنفيذية'!$I$2:$I$421,$I249)+SUMIFS('الجهاز العسكري'!$M$2:$M$631,'الجهاز العسكري'!$B$2:$B$631,$B249,'الجهاز العسكري'!$G$2:$G$631,$G249,'الجهاز العسكري'!$I$2:$I$631,$I249))/$L249,0))</f>
        <v>25</v>
      </c>
      <c r="O249" s="25" t="n">
        <f aca="false">IF($L249=0,0,ROUND((SUMIFS('المرتبطة بسمو الوزير'!$N$2:$N$151,'المرتبطة بسمو الوزير'!$B$2:$B$151,$B249,'المرتبطة بسمو الوزير'!$G$2:$G$151,$G249,'المرتبطة بسمو الوزير'!$I$2:$I$151,$I249)+SUMIFS('الشؤون التنفيذية'!$O$2:$O$421,'الشؤون التنفيذية'!$B$2:$B$421,$B249,'الشؤون التنفيذية'!$G$2:$G$421,$G249,'الشؤون التنفيذية'!$I$2:$I$421,$I249)+SUMIFS('الجهاز العسكري'!$N$2:$N$631,'الجهاز العسكري'!$B$2:$B$631,$B249,'الجهاز العسكري'!$G$2:$G$631,$G249,'الجهاز العسكري'!$I$2:$I$631,$I249))/$L249,0))</f>
        <v>100</v>
      </c>
      <c r="P249" s="22"/>
      <c r="Q249" s="19" t="n">
        <f aca="false">SUMIFS(المرجع!$G$2:$G$19,المرجع!$B$2:$B$19,$G249,المرجع!$E$2:$E$19,$I249)</f>
        <v>25</v>
      </c>
      <c r="R249" s="26" t="n">
        <f aca="false">ROUND($Q249*$N249/100,2)</f>
        <v>6.25</v>
      </c>
      <c r="S249" s="27" t="str">
        <f aca="false">IF($N249&gt;المرجع!$K$3,"متقدم",IF($N249&lt;=المرجع!$K$2,"أولي","جزئي"))</f>
        <v>أولي</v>
      </c>
      <c r="T249" s="28" t="n">
        <f aca="false">ROUND($Q249*$O249/100,2)</f>
        <v>25</v>
      </c>
    </row>
    <row r="250" customFormat="false" ht="15" hidden="false" customHeight="true" outlineLevel="0" collapsed="false">
      <c r="A250" s="20" t="s">
        <v>1702</v>
      </c>
      <c r="B250" s="20" t="s">
        <v>181</v>
      </c>
      <c r="C250" s="19" t="str">
        <f aca="false">IFERROR(INDEX('قائمة الوحدات'!$B$2:$B$41,MATCH($B250,'قائمة الوحدات'!$A$2:$A$41,0)),"")</f>
        <v>EXE</v>
      </c>
      <c r="D250" s="18" t="str">
        <f aca="false">IFERROR(INDEX('قائمة الوحدات'!$C$2:$C$41,MATCH($B250,'قائمة الوحدات'!$A$2:$A$41,0)),"")</f>
        <v>الشؤون التنفيذية</v>
      </c>
      <c r="E250" s="18" t="str">
        <f aca="false">IFERROR(INDEX('قائمة الوحدات'!$D$2:$D$41,MATCH($B250,'قائمة الوحدات'!$A$2:$A$41,0)),"")</f>
        <v>وكالة الخدمات المساندة</v>
      </c>
      <c r="F250" s="18" t="str">
        <f aca="false">IFERROR(INDEX('قائمة الوحدات'!$F$2:$F$41,MATCH($B250,'قائمة الوحدات'!$A$2:$A$41,0)),"")</f>
        <v>الإدارة العامة للشؤون المالية</v>
      </c>
      <c r="G250" s="20" t="s">
        <v>66</v>
      </c>
      <c r="H250" s="18" t="str">
        <f aca="false">IFERROR(INDEX(المرجع!$A$2:$A$19,MATCH($G250,المرجع!$B$2:$B$19,0)),"")</f>
        <v>التشغيل</v>
      </c>
      <c r="I250" s="20" t="s">
        <v>52</v>
      </c>
      <c r="J250" s="18" t="str">
        <f aca="false">IFERROR(INDEX(المرجع!$D$2:$D$19,MATCH($I250,المرجع!$E$2:$E$19,0)),"")</f>
        <v>الحوكمة</v>
      </c>
      <c r="K250" s="19" t="n">
        <f aca="false">IFERROR(INDEX(المرجع!$F$2:$F$19,MATCH($I250,المرجع!$E$2:$E$19,0)),"")</f>
        <v>3</v>
      </c>
      <c r="L250" s="19" t="n">
        <f aca="false">SUMIFS(المرجع!$H$2:$H$19,المرجع!$B$2:$B$19,$G250,المرجع!$E$2:$E$19,$I250)</f>
        <v>3</v>
      </c>
      <c r="M250" s="19" t="n">
        <f aca="false">COUNTIFS('المرتبطة بسمو الوزير'!$B$2:$B$151,$B250,'المرتبطة بسمو الوزير'!$G$2:$G$151,$G250,'المرتبطة بسمو الوزير'!$I$2:$I$151,$I250,'المرتبطة بسمو الوزير'!$M$2:$M$151,"&lt;&gt;")+COUNTIFS('الشؤون التنفيذية'!$B$2:$B$421,$B250,'الشؤون التنفيذية'!$G$2:$G$421,$G250,'الشؤون التنفيذية'!$I$2:$I$421,$I250,'الشؤون التنفيذية'!$N$2:$N$421,"&lt;&gt;")+COUNTIFS('الجهاز العسكري'!$B$2:$B$631,$B250,'الجهاز العسكري'!$G$2:$G$631,$G250,'الجهاز العسكري'!$I$2:$I$631,$I250,'الجهاز العسكري'!$M$2:$M$631,"&lt;&gt;")</f>
        <v>3</v>
      </c>
      <c r="N250" s="24" t="n">
        <f aca="false">IF($L250=0,0,ROUND((SUMIFS('المرتبطة بسمو الوزير'!$M$2:$M$151,'المرتبطة بسمو الوزير'!$B$2:$B$151,$B250,'المرتبطة بسمو الوزير'!$G$2:$G$151,$G250,'المرتبطة بسمو الوزير'!$I$2:$I$151,$I250)+SUMIFS('الشؤون التنفيذية'!$N$2:$N$421,'الشؤون التنفيذية'!$B$2:$B$421,$B250,'الشؤون التنفيذية'!$G$2:$G$421,$G250,'الشؤون التنفيذية'!$I$2:$I$421,$I250)+SUMIFS('الجهاز العسكري'!$M$2:$M$631,'الجهاز العسكري'!$B$2:$B$631,$B250,'الجهاز العسكري'!$G$2:$G$631,$G250,'الجهاز العسكري'!$I$2:$I$631,$I250))/$L250,0))</f>
        <v>28</v>
      </c>
      <c r="O250" s="25" t="n">
        <f aca="false">IF($L250=0,0,ROUND((SUMIFS('المرتبطة بسمو الوزير'!$N$2:$N$151,'المرتبطة بسمو الوزير'!$B$2:$B$151,$B250,'المرتبطة بسمو الوزير'!$G$2:$G$151,$G250,'المرتبطة بسمو الوزير'!$I$2:$I$151,$I250)+SUMIFS('الشؤون التنفيذية'!$O$2:$O$421,'الشؤون التنفيذية'!$B$2:$B$421,$B250,'الشؤون التنفيذية'!$G$2:$G$421,$G250,'الشؤون التنفيذية'!$I$2:$I$421,$I250)+SUMIFS('الجهاز العسكري'!$N$2:$N$631,'الجهاز العسكري'!$B$2:$B$631,$B250,'الجهاز العسكري'!$G$2:$G$631,$G250,'الجهاز العسكري'!$I$2:$I$631,$I250))/$L250,0))</f>
        <v>85</v>
      </c>
      <c r="P250" s="22"/>
      <c r="Q250" s="19" t="n">
        <f aca="false">SUMIFS(المرجع!$G$2:$G$19,المرجع!$B$2:$B$19,$G250,المرجع!$E$2:$E$19,$I250)</f>
        <v>15</v>
      </c>
      <c r="R250" s="26" t="n">
        <f aca="false">ROUND($Q250*$N250/100,2)</f>
        <v>4.2</v>
      </c>
      <c r="S250" s="27" t="str">
        <f aca="false">IF($N250&gt;المرجع!$K$3,"متقدم",IF($N250&lt;=المرجع!$K$2,"أولي","جزئي"))</f>
        <v>أولي</v>
      </c>
      <c r="T250" s="28" t="n">
        <f aca="false">ROUND($Q250*$O250/100,2)</f>
        <v>12.75</v>
      </c>
    </row>
    <row r="251" customFormat="false" ht="15" hidden="false" customHeight="true" outlineLevel="0" collapsed="false">
      <c r="A251" s="20" t="s">
        <v>1703</v>
      </c>
      <c r="B251" s="20" t="s">
        <v>181</v>
      </c>
      <c r="C251" s="19" t="str">
        <f aca="false">IFERROR(INDEX('قائمة الوحدات'!$B$2:$B$41,MATCH($B251,'قائمة الوحدات'!$A$2:$A$41,0)),"")</f>
        <v>EXE</v>
      </c>
      <c r="D251" s="18" t="str">
        <f aca="false">IFERROR(INDEX('قائمة الوحدات'!$C$2:$C$41,MATCH($B251,'قائمة الوحدات'!$A$2:$A$41,0)),"")</f>
        <v>الشؤون التنفيذية</v>
      </c>
      <c r="E251" s="18" t="str">
        <f aca="false">IFERROR(INDEX('قائمة الوحدات'!$D$2:$D$41,MATCH($B251,'قائمة الوحدات'!$A$2:$A$41,0)),"")</f>
        <v>وكالة الخدمات المساندة</v>
      </c>
      <c r="F251" s="18" t="str">
        <f aca="false">IFERROR(INDEX('قائمة الوحدات'!$F$2:$F$41,MATCH($B251,'قائمة الوحدات'!$A$2:$A$41,0)),"")</f>
        <v>الإدارة العامة للشؤون المالية</v>
      </c>
      <c r="G251" s="20" t="s">
        <v>66</v>
      </c>
      <c r="H251" s="18" t="str">
        <f aca="false">IFERROR(INDEX(المرجع!$A$2:$A$19,MATCH($G251,المرجع!$B$2:$B$19,0)),"")</f>
        <v>التشغيل</v>
      </c>
      <c r="I251" s="20" t="s">
        <v>57</v>
      </c>
      <c r="J251" s="18" t="str">
        <f aca="false">IFERROR(INDEX(المرجع!$D$2:$D$19,MATCH($I251,المرجع!$E$2:$E$19,0)),"")</f>
        <v>الموارد</v>
      </c>
      <c r="K251" s="19" t="n">
        <f aca="false">IFERROR(INDEX(المرجع!$F$2:$F$19,MATCH($I251,المرجع!$E$2:$E$19,0)),"")</f>
        <v>5</v>
      </c>
      <c r="L251" s="19" t="n">
        <f aca="false">SUMIFS(المرجع!$H$2:$H$19,المرجع!$B$2:$B$19,$G251,المرجع!$E$2:$E$19,$I251)</f>
        <v>1</v>
      </c>
      <c r="M251" s="19" t="n">
        <f aca="false">COUNTIFS('المرتبطة بسمو الوزير'!$B$2:$B$151,$B251,'المرتبطة بسمو الوزير'!$G$2:$G$151,$G251,'المرتبطة بسمو الوزير'!$I$2:$I$151,$I251,'المرتبطة بسمو الوزير'!$M$2:$M$151,"&lt;&gt;")+COUNTIFS('الشؤون التنفيذية'!$B$2:$B$421,$B251,'الشؤون التنفيذية'!$G$2:$G$421,$G251,'الشؤون التنفيذية'!$I$2:$I$421,$I251,'الشؤون التنفيذية'!$N$2:$N$421,"&lt;&gt;")+COUNTIFS('الجهاز العسكري'!$B$2:$B$631,$B251,'الجهاز العسكري'!$G$2:$G$631,$G251,'الجهاز العسكري'!$I$2:$I$631,$I251,'الجهاز العسكري'!$M$2:$M$631,"&lt;&gt;")</f>
        <v>1</v>
      </c>
      <c r="N251" s="24" t="n">
        <f aca="false">IF($L251=0,0,ROUND((SUMIFS('المرتبطة بسمو الوزير'!$M$2:$M$151,'المرتبطة بسمو الوزير'!$B$2:$B$151,$B251,'المرتبطة بسمو الوزير'!$G$2:$G$151,$G251,'المرتبطة بسمو الوزير'!$I$2:$I$151,$I251)+SUMIFS('الشؤون التنفيذية'!$N$2:$N$421,'الشؤون التنفيذية'!$B$2:$B$421,$B251,'الشؤون التنفيذية'!$G$2:$G$421,$G251,'الشؤون التنفيذية'!$I$2:$I$421,$I251)+SUMIFS('الجهاز العسكري'!$M$2:$M$631,'الجهاز العسكري'!$B$2:$B$631,$B251,'الجهاز العسكري'!$G$2:$G$631,$G251,'الجهاز العسكري'!$I$2:$I$631,$I251))/$L251,0))</f>
        <v>36</v>
      </c>
      <c r="O251" s="25" t="n">
        <f aca="false">IF($L251=0,0,ROUND((SUMIFS('المرتبطة بسمو الوزير'!$N$2:$N$151,'المرتبطة بسمو الوزير'!$B$2:$B$151,$B251,'المرتبطة بسمو الوزير'!$G$2:$G$151,$G251,'المرتبطة بسمو الوزير'!$I$2:$I$151,$I251)+SUMIFS('الشؤون التنفيذية'!$O$2:$O$421,'الشؤون التنفيذية'!$B$2:$B$421,$B251,'الشؤون التنفيذية'!$G$2:$G$421,$G251,'الشؤون التنفيذية'!$I$2:$I$421,$I251)+SUMIFS('الجهاز العسكري'!$N$2:$N$631,'الجهاز العسكري'!$B$2:$B$631,$B251,'الجهاز العسكري'!$G$2:$G$631,$G251,'الجهاز العسكري'!$I$2:$I$631,$I251))/$L251,0))</f>
        <v>85</v>
      </c>
      <c r="P251" s="22"/>
      <c r="Q251" s="19" t="n">
        <f aca="false">SUMIFS(المرجع!$G$2:$G$19,المرجع!$B$2:$B$19,$G251,المرجع!$E$2:$E$19,$I251)</f>
        <v>15</v>
      </c>
      <c r="R251" s="26" t="n">
        <f aca="false">ROUND($Q251*$N251/100,2)</f>
        <v>5.4</v>
      </c>
      <c r="S251" s="27" t="str">
        <f aca="false">IF($N251&gt;المرجع!$K$3,"متقدم",IF($N251&lt;=المرجع!$K$2,"أولي","جزئي"))</f>
        <v>جزئي</v>
      </c>
      <c r="T251" s="28" t="n">
        <f aca="false">ROUND($Q251*$O251/100,2)</f>
        <v>12.75</v>
      </c>
    </row>
    <row r="252" customFormat="false" ht="15" hidden="false" customHeight="true" outlineLevel="0" collapsed="false">
      <c r="A252" s="20" t="s">
        <v>1704</v>
      </c>
      <c r="B252" s="20" t="s">
        <v>181</v>
      </c>
      <c r="C252" s="19" t="str">
        <f aca="false">IFERROR(INDEX('قائمة الوحدات'!$B$2:$B$41,MATCH($B252,'قائمة الوحدات'!$A$2:$A$41,0)),"")</f>
        <v>EXE</v>
      </c>
      <c r="D252" s="18" t="str">
        <f aca="false">IFERROR(INDEX('قائمة الوحدات'!$C$2:$C$41,MATCH($B252,'قائمة الوحدات'!$A$2:$A$41,0)),"")</f>
        <v>الشؤون التنفيذية</v>
      </c>
      <c r="E252" s="18" t="str">
        <f aca="false">IFERROR(INDEX('قائمة الوحدات'!$D$2:$D$41,MATCH($B252,'قائمة الوحدات'!$A$2:$A$41,0)),"")</f>
        <v>وكالة الخدمات المساندة</v>
      </c>
      <c r="F252" s="18" t="str">
        <f aca="false">IFERROR(INDEX('قائمة الوحدات'!$F$2:$F$41,MATCH($B252,'قائمة الوحدات'!$A$2:$A$41,0)),"")</f>
        <v>الإدارة العامة للشؤون المالية</v>
      </c>
      <c r="G252" s="20" t="s">
        <v>66</v>
      </c>
      <c r="H252" s="18" t="str">
        <f aca="false">IFERROR(INDEX(المرجع!$A$2:$A$19,MATCH($G252,المرجع!$B$2:$B$19,0)),"")</f>
        <v>التشغيل</v>
      </c>
      <c r="I252" s="20" t="s">
        <v>60</v>
      </c>
      <c r="J252" s="18" t="str">
        <f aca="false">IFERROR(INDEX(المرجع!$D$2:$D$19,MATCH($I252,المرجع!$E$2:$E$19,0)),"")</f>
        <v>الإجراءات</v>
      </c>
      <c r="K252" s="19" t="n">
        <f aca="false">IFERROR(INDEX(المرجع!$F$2:$F$19,MATCH($I252,المرجع!$E$2:$E$19,0)),"")</f>
        <v>6</v>
      </c>
      <c r="L252" s="19" t="n">
        <f aca="false">SUMIFS(المرجع!$H$2:$H$19,المرجع!$B$2:$B$19,$G252,المرجع!$E$2:$E$19,$I252)</f>
        <v>1</v>
      </c>
      <c r="M252" s="19" t="n">
        <f aca="false">COUNTIFS('المرتبطة بسمو الوزير'!$B$2:$B$151,$B252,'المرتبطة بسمو الوزير'!$G$2:$G$151,$G252,'المرتبطة بسمو الوزير'!$I$2:$I$151,$I252,'المرتبطة بسمو الوزير'!$M$2:$M$151,"&lt;&gt;")+COUNTIFS('الشؤون التنفيذية'!$B$2:$B$421,$B252,'الشؤون التنفيذية'!$G$2:$G$421,$G252,'الشؤون التنفيذية'!$I$2:$I$421,$I252,'الشؤون التنفيذية'!$N$2:$N$421,"&lt;&gt;")+COUNTIFS('الجهاز العسكري'!$B$2:$B$631,$B252,'الجهاز العسكري'!$G$2:$G$631,$G252,'الجهاز العسكري'!$I$2:$I$631,$I252,'الجهاز العسكري'!$M$2:$M$631,"&lt;&gt;")</f>
        <v>1</v>
      </c>
      <c r="N252" s="24" t="n">
        <f aca="false">IF($L252=0,0,ROUND((SUMIFS('المرتبطة بسمو الوزير'!$M$2:$M$151,'المرتبطة بسمو الوزير'!$B$2:$B$151,$B252,'المرتبطة بسمو الوزير'!$G$2:$G$151,$G252,'المرتبطة بسمو الوزير'!$I$2:$I$151,$I252)+SUMIFS('الشؤون التنفيذية'!$N$2:$N$421,'الشؤون التنفيذية'!$B$2:$B$421,$B252,'الشؤون التنفيذية'!$G$2:$G$421,$G252,'الشؤون التنفيذية'!$I$2:$I$421,$I252)+SUMIFS('الجهاز العسكري'!$M$2:$M$631,'الجهاز العسكري'!$B$2:$B$631,$B252,'الجهاز العسكري'!$G$2:$G$631,$G252,'الجهاز العسكري'!$I$2:$I$631,$I252))/$L252,0))</f>
        <v>32</v>
      </c>
      <c r="O252" s="25" t="n">
        <f aca="false">IF($L252=0,0,ROUND((SUMIFS('المرتبطة بسمو الوزير'!$N$2:$N$151,'المرتبطة بسمو الوزير'!$B$2:$B$151,$B252,'المرتبطة بسمو الوزير'!$G$2:$G$151,$G252,'المرتبطة بسمو الوزير'!$I$2:$I$151,$I252)+SUMIFS('الشؤون التنفيذية'!$O$2:$O$421,'الشؤون التنفيذية'!$B$2:$B$421,$B252,'الشؤون التنفيذية'!$G$2:$G$421,$G252,'الشؤون التنفيذية'!$I$2:$I$421,$I252)+SUMIFS('الجهاز العسكري'!$N$2:$N$631,'الجهاز العسكري'!$B$2:$B$631,$B252,'الجهاز العسكري'!$G$2:$G$631,$G252,'الجهاز العسكري'!$I$2:$I$631,$I252))/$L252,0))</f>
        <v>90</v>
      </c>
      <c r="P252" s="22"/>
      <c r="Q252" s="19" t="n">
        <f aca="false">SUMIFS(المرجع!$G$2:$G$19,المرجع!$B$2:$B$19,$G252,المرجع!$E$2:$E$19,$I252)</f>
        <v>15</v>
      </c>
      <c r="R252" s="26" t="n">
        <f aca="false">ROUND($Q252*$N252/100,2)</f>
        <v>4.8</v>
      </c>
      <c r="S252" s="27" t="str">
        <f aca="false">IF($N252&gt;المرجع!$K$3,"متقدم",IF($N252&lt;=المرجع!$K$2,"أولي","جزئي"))</f>
        <v>جزئي</v>
      </c>
      <c r="T252" s="28" t="n">
        <f aca="false">ROUND($Q252*$O252/100,2)</f>
        <v>13.5</v>
      </c>
    </row>
    <row r="253" customFormat="false" ht="15" hidden="false" customHeight="true" outlineLevel="0" collapsed="false">
      <c r="A253" s="20" t="s">
        <v>1705</v>
      </c>
      <c r="B253" s="20" t="s">
        <v>181</v>
      </c>
      <c r="C253" s="19" t="str">
        <f aca="false">IFERROR(INDEX('قائمة الوحدات'!$B$2:$B$41,MATCH($B253,'قائمة الوحدات'!$A$2:$A$41,0)),"")</f>
        <v>EXE</v>
      </c>
      <c r="D253" s="18" t="str">
        <f aca="false">IFERROR(INDEX('قائمة الوحدات'!$C$2:$C$41,MATCH($B253,'قائمة الوحدات'!$A$2:$A$41,0)),"")</f>
        <v>الشؤون التنفيذية</v>
      </c>
      <c r="E253" s="18" t="str">
        <f aca="false">IFERROR(INDEX('قائمة الوحدات'!$D$2:$D$41,MATCH($B253,'قائمة الوحدات'!$A$2:$A$41,0)),"")</f>
        <v>وكالة الخدمات المساندة</v>
      </c>
      <c r="F253" s="18" t="str">
        <f aca="false">IFERROR(INDEX('قائمة الوحدات'!$F$2:$F$41,MATCH($B253,'قائمة الوحدات'!$A$2:$A$41,0)),"")</f>
        <v>الإدارة العامة للشؤون المالية</v>
      </c>
      <c r="G253" s="20" t="s">
        <v>66</v>
      </c>
      <c r="H253" s="18" t="str">
        <f aca="false">IFERROR(INDEX(المرجع!$A$2:$A$19,MATCH($G253,المرجع!$B$2:$B$19,0)),"")</f>
        <v>التشغيل</v>
      </c>
      <c r="I253" s="20" t="s">
        <v>71</v>
      </c>
      <c r="J253" s="18" t="str">
        <f aca="false">IFERROR(INDEX(المرجع!$D$2:$D$19,MATCH($I253,المرجع!$E$2:$E$19,0)),"")</f>
        <v>اكتمال المخرجات المستهدفة</v>
      </c>
      <c r="K253" s="19" t="n">
        <f aca="false">IFERROR(INDEX(المرجع!$F$2:$F$19,MATCH($I253,المرجع!$E$2:$E$19,0)),"")</f>
        <v>8</v>
      </c>
      <c r="L253" s="19" t="n">
        <f aca="false">SUMIFS(المرجع!$H$2:$H$19,المرجع!$B$2:$B$19,$G253,المرجع!$E$2:$E$19,$I253)</f>
        <v>1</v>
      </c>
      <c r="M253" s="19" t="n">
        <f aca="false">COUNTIFS('المرتبطة بسمو الوزير'!$B$2:$B$151,$B253,'المرتبطة بسمو الوزير'!$G$2:$G$151,$G253,'المرتبطة بسمو الوزير'!$I$2:$I$151,$I253,'المرتبطة بسمو الوزير'!$M$2:$M$151,"&lt;&gt;")+COUNTIFS('الشؤون التنفيذية'!$B$2:$B$421,$B253,'الشؤون التنفيذية'!$G$2:$G$421,$G253,'الشؤون التنفيذية'!$I$2:$I$421,$I253,'الشؤون التنفيذية'!$N$2:$N$421,"&lt;&gt;")+COUNTIFS('الجهاز العسكري'!$B$2:$B$631,$B253,'الجهاز العسكري'!$G$2:$G$631,$G253,'الجهاز العسكري'!$I$2:$I$631,$I253,'الجهاز العسكري'!$M$2:$M$631,"&lt;&gt;")</f>
        <v>1</v>
      </c>
      <c r="N253" s="24" t="n">
        <f aca="false">IF($L253=0,0,ROUND((SUMIFS('المرتبطة بسمو الوزير'!$M$2:$M$151,'المرتبطة بسمو الوزير'!$B$2:$B$151,$B253,'المرتبطة بسمو الوزير'!$G$2:$G$151,$G253,'المرتبطة بسمو الوزير'!$I$2:$I$151,$I253)+SUMIFS('الشؤون التنفيذية'!$N$2:$N$421,'الشؤون التنفيذية'!$B$2:$B$421,$B253,'الشؤون التنفيذية'!$G$2:$G$421,$G253,'الشؤون التنفيذية'!$I$2:$I$421,$I253)+SUMIFS('الجهاز العسكري'!$M$2:$M$631,'الجهاز العسكري'!$B$2:$B$631,$B253,'الجهاز العسكري'!$G$2:$G$631,$G253,'الجهاز العسكري'!$I$2:$I$631,$I253))/$L253,0))</f>
        <v>57</v>
      </c>
      <c r="O253" s="25" t="n">
        <f aca="false">IF($L253=0,0,ROUND((SUMIFS('المرتبطة بسمو الوزير'!$N$2:$N$151,'المرتبطة بسمو الوزير'!$B$2:$B$151,$B253,'المرتبطة بسمو الوزير'!$G$2:$G$151,$G253,'المرتبطة بسمو الوزير'!$I$2:$I$151,$I253)+SUMIFS('الشؤون التنفيذية'!$O$2:$O$421,'الشؤون التنفيذية'!$B$2:$B$421,$B253,'الشؤون التنفيذية'!$G$2:$G$421,$G253,'الشؤون التنفيذية'!$I$2:$I$421,$I253)+SUMIFS('الجهاز العسكري'!$N$2:$N$631,'الجهاز العسكري'!$B$2:$B$631,$B253,'الجهاز العسكري'!$G$2:$G$631,$G253,'الجهاز العسكري'!$I$2:$I$631,$I253))/$L253,0))</f>
        <v>100</v>
      </c>
      <c r="P253" s="22"/>
      <c r="Q253" s="19" t="n">
        <f aca="false">SUMIFS(المرجع!$G$2:$G$19,المرجع!$B$2:$B$19,$G253,المرجع!$E$2:$E$19,$I253)</f>
        <v>30</v>
      </c>
      <c r="R253" s="26" t="n">
        <f aca="false">ROUND($Q253*$N253/100,2)</f>
        <v>17.1</v>
      </c>
      <c r="S253" s="27" t="str">
        <f aca="false">IF($N253&gt;المرجع!$K$3,"متقدم",IF($N253&lt;=المرجع!$K$2,"أولي","جزئي"))</f>
        <v>جزئي</v>
      </c>
      <c r="T253" s="28" t="n">
        <f aca="false">ROUND($Q253*$O253/100,2)</f>
        <v>30</v>
      </c>
    </row>
    <row r="254" customFormat="false" ht="15" hidden="false" customHeight="true" outlineLevel="0" collapsed="false">
      <c r="A254" s="20" t="s">
        <v>1706</v>
      </c>
      <c r="B254" s="20" t="s">
        <v>183</v>
      </c>
      <c r="C254" s="19" t="str">
        <f aca="false">IFERROR(INDEX('قائمة الوحدات'!$B$2:$B$41,MATCH($B254,'قائمة الوحدات'!$A$2:$A$41,0)),"")</f>
        <v>EXE</v>
      </c>
      <c r="D254" s="18" t="str">
        <f aca="false">IFERROR(INDEX('قائمة الوحدات'!$C$2:$C$41,MATCH($B254,'قائمة الوحدات'!$A$2:$A$41,0)),"")</f>
        <v>الشؤون التنفيذية</v>
      </c>
      <c r="E254" s="18" t="str">
        <f aca="false">IFERROR(INDEX('قائمة الوحدات'!$D$2:$D$41,MATCH($B254,'قائمة الوحدات'!$A$2:$A$41,0)),"")</f>
        <v>وكالة الخدمات المساندة</v>
      </c>
      <c r="F254" s="18" t="str">
        <f aca="false">IFERROR(INDEX('قائمة الوحدات'!$F$2:$F$41,MATCH($B254,'قائمة الوحدات'!$A$2:$A$41,0)),"")</f>
        <v>الإدارة العامة لتقنية المعلومات</v>
      </c>
      <c r="G254" s="20" t="s">
        <v>44</v>
      </c>
      <c r="H254" s="18" t="str">
        <f aca="false">IFERROR(INDEX(المرجع!$A$2:$A$19,MATCH($G254,المرجع!$B$2:$B$19,0)),"")</f>
        <v>التصميم</v>
      </c>
      <c r="I254" s="20" t="s">
        <v>46</v>
      </c>
      <c r="J254" s="18" t="str">
        <f aca="false">IFERROR(INDEX(المرجع!$D$2:$D$19,MATCH($I254,المرجع!$E$2:$E$19,0)),"")</f>
        <v>الدور</v>
      </c>
      <c r="K254" s="19" t="n">
        <f aca="false">IFERROR(INDEX(المرجع!$F$2:$F$19,MATCH($I254,المرجع!$E$2:$E$19,0)),"")</f>
        <v>1</v>
      </c>
      <c r="L254" s="19" t="n">
        <f aca="false">SUMIFS(المرجع!$H$2:$H$19,المرجع!$B$2:$B$19,$G254,المرجع!$E$2:$E$19,$I254)</f>
        <v>1</v>
      </c>
      <c r="M254" s="19" t="n">
        <f aca="false">COUNTIFS('المرتبطة بسمو الوزير'!$B$2:$B$151,$B254,'المرتبطة بسمو الوزير'!$G$2:$G$151,$G254,'المرتبطة بسمو الوزير'!$I$2:$I$151,$I254,'المرتبطة بسمو الوزير'!$M$2:$M$151,"&lt;&gt;")+COUNTIFS('الشؤون التنفيذية'!$B$2:$B$421,$B254,'الشؤون التنفيذية'!$G$2:$G$421,$G254,'الشؤون التنفيذية'!$I$2:$I$421,$I254,'الشؤون التنفيذية'!$N$2:$N$421,"&lt;&gt;")+COUNTIFS('الجهاز العسكري'!$B$2:$B$631,$B254,'الجهاز العسكري'!$G$2:$G$631,$G254,'الجهاز العسكري'!$I$2:$I$631,$I254,'الجهاز العسكري'!$M$2:$M$631,"&lt;&gt;")</f>
        <v>1</v>
      </c>
      <c r="N254" s="24" t="n">
        <f aca="false">IF($L254=0,0,ROUND((SUMIFS('المرتبطة بسمو الوزير'!$M$2:$M$151,'المرتبطة بسمو الوزير'!$B$2:$B$151,$B254,'المرتبطة بسمو الوزير'!$G$2:$G$151,$G254,'المرتبطة بسمو الوزير'!$I$2:$I$151,$I254)+SUMIFS('الشؤون التنفيذية'!$N$2:$N$421,'الشؤون التنفيذية'!$B$2:$B$421,$B254,'الشؤون التنفيذية'!$G$2:$G$421,$G254,'الشؤون التنفيذية'!$I$2:$I$421,$I254)+SUMIFS('الجهاز العسكري'!$M$2:$M$631,'الجهاز العسكري'!$B$2:$B$631,$B254,'الجهاز العسكري'!$G$2:$G$631,$G254,'الجهاز العسكري'!$I$2:$I$631,$I254))/$L254,0))</f>
        <v>85</v>
      </c>
      <c r="O254" s="25" t="n">
        <f aca="false">IF($L254=0,0,ROUND((SUMIFS('المرتبطة بسمو الوزير'!$N$2:$N$151,'المرتبطة بسمو الوزير'!$B$2:$B$151,$B254,'المرتبطة بسمو الوزير'!$G$2:$G$151,$G254,'المرتبطة بسمو الوزير'!$I$2:$I$151,$I254)+SUMIFS('الشؤون التنفيذية'!$O$2:$O$421,'الشؤون التنفيذية'!$B$2:$B$421,$B254,'الشؤون التنفيذية'!$G$2:$G$421,$G254,'الشؤون التنفيذية'!$I$2:$I$421,$I254)+SUMIFS('الجهاز العسكري'!$N$2:$N$631,'الجهاز العسكري'!$B$2:$B$631,$B254,'الجهاز العسكري'!$G$2:$G$631,$G254,'الجهاز العسكري'!$I$2:$I$631,$I254))/$L254,0))</f>
        <v>85</v>
      </c>
      <c r="P254" s="22"/>
      <c r="Q254" s="19" t="n">
        <f aca="false">SUMIFS(المرجع!$G$2:$G$19,المرجع!$B$2:$B$19,$G254,المرجع!$E$2:$E$19,$I254)</f>
        <v>25</v>
      </c>
      <c r="R254" s="26" t="n">
        <f aca="false">ROUND($Q254*$N254/100,2)</f>
        <v>21.25</v>
      </c>
      <c r="S254" s="27" t="str">
        <f aca="false">IF($N254&gt;المرجع!$K$3,"متقدم",IF($N254&lt;=المرجع!$K$2,"أولي","جزئي"))</f>
        <v>متقدم</v>
      </c>
      <c r="T254" s="28" t="n">
        <f aca="false">ROUND($Q254*$O254/100,2)</f>
        <v>21.25</v>
      </c>
    </row>
    <row r="255" customFormat="false" ht="15" hidden="false" customHeight="true" outlineLevel="0" collapsed="false">
      <c r="A255" s="20" t="s">
        <v>1707</v>
      </c>
      <c r="B255" s="20" t="s">
        <v>183</v>
      </c>
      <c r="C255" s="19" t="str">
        <f aca="false">IFERROR(INDEX('قائمة الوحدات'!$B$2:$B$41,MATCH($B255,'قائمة الوحدات'!$A$2:$A$41,0)),"")</f>
        <v>EXE</v>
      </c>
      <c r="D255" s="18" t="str">
        <f aca="false">IFERROR(INDEX('قائمة الوحدات'!$C$2:$C$41,MATCH($B255,'قائمة الوحدات'!$A$2:$A$41,0)),"")</f>
        <v>الشؤون التنفيذية</v>
      </c>
      <c r="E255" s="18" t="str">
        <f aca="false">IFERROR(INDEX('قائمة الوحدات'!$D$2:$D$41,MATCH($B255,'قائمة الوحدات'!$A$2:$A$41,0)),"")</f>
        <v>وكالة الخدمات المساندة</v>
      </c>
      <c r="F255" s="18" t="str">
        <f aca="false">IFERROR(INDEX('قائمة الوحدات'!$F$2:$F$41,MATCH($B255,'قائمة الوحدات'!$A$2:$A$41,0)),"")</f>
        <v>الإدارة العامة لتقنية المعلومات</v>
      </c>
      <c r="G255" s="20" t="s">
        <v>44</v>
      </c>
      <c r="H255" s="18" t="str">
        <f aca="false">IFERROR(INDEX(المرجع!$A$2:$A$19,MATCH($G255,المرجع!$B$2:$B$19,0)),"")</f>
        <v>التصميم</v>
      </c>
      <c r="I255" s="20" t="s">
        <v>49</v>
      </c>
      <c r="J255" s="18" t="str">
        <f aca="false">IFERROR(INDEX(المرجع!$D$2:$D$19,MATCH($I255,المرجع!$E$2:$E$19,0)),"")</f>
        <v>الأهداف ومؤشرات الأداء</v>
      </c>
      <c r="K255" s="19" t="n">
        <f aca="false">IFERROR(INDEX(المرجع!$F$2:$F$19,MATCH($I255,المرجع!$E$2:$E$19,0)),"")</f>
        <v>2</v>
      </c>
      <c r="L255" s="19" t="n">
        <f aca="false">SUMIFS(المرجع!$H$2:$H$19,المرجع!$B$2:$B$19,$G255,المرجع!$E$2:$E$19,$I255)</f>
        <v>2</v>
      </c>
      <c r="M255" s="19" t="n">
        <f aca="false">COUNTIFS('المرتبطة بسمو الوزير'!$B$2:$B$151,$B255,'المرتبطة بسمو الوزير'!$G$2:$G$151,$G255,'المرتبطة بسمو الوزير'!$I$2:$I$151,$I255,'المرتبطة بسمو الوزير'!$M$2:$M$151,"&lt;&gt;")+COUNTIFS('الشؤون التنفيذية'!$B$2:$B$421,$B255,'الشؤون التنفيذية'!$G$2:$G$421,$G255,'الشؤون التنفيذية'!$I$2:$I$421,$I255,'الشؤون التنفيذية'!$N$2:$N$421,"&lt;&gt;")+COUNTIFS('الجهاز العسكري'!$B$2:$B$631,$B255,'الجهاز العسكري'!$G$2:$G$631,$G255,'الجهاز العسكري'!$I$2:$I$631,$I255,'الجهاز العسكري'!$M$2:$M$631,"&lt;&gt;")</f>
        <v>2</v>
      </c>
      <c r="N255" s="24" t="n">
        <f aca="false">IF($L255=0,0,ROUND((SUMIFS('المرتبطة بسمو الوزير'!$M$2:$M$151,'المرتبطة بسمو الوزير'!$B$2:$B$151,$B255,'المرتبطة بسمو الوزير'!$G$2:$G$151,$G255,'المرتبطة بسمو الوزير'!$I$2:$I$151,$I255)+SUMIFS('الشؤون التنفيذية'!$N$2:$N$421,'الشؤون التنفيذية'!$B$2:$B$421,$B255,'الشؤون التنفيذية'!$G$2:$G$421,$G255,'الشؤون التنفيذية'!$I$2:$I$421,$I255)+SUMIFS('الجهاز العسكري'!$M$2:$M$631,'الجهاز العسكري'!$B$2:$B$631,$B255,'الجهاز العسكري'!$G$2:$G$631,$G255,'الجهاز العسكري'!$I$2:$I$631,$I255))/$L255,0))</f>
        <v>68</v>
      </c>
      <c r="O255" s="25" t="n">
        <f aca="false">IF($L255=0,0,ROUND((SUMIFS('المرتبطة بسمو الوزير'!$N$2:$N$151,'المرتبطة بسمو الوزير'!$B$2:$B$151,$B255,'المرتبطة بسمو الوزير'!$G$2:$G$151,$G255,'المرتبطة بسمو الوزير'!$I$2:$I$151,$I255)+SUMIFS('الشؤون التنفيذية'!$O$2:$O$421,'الشؤون التنفيذية'!$B$2:$B$421,$B255,'الشؤون التنفيذية'!$G$2:$G$421,$G255,'الشؤون التنفيذية'!$I$2:$I$421,$I255)+SUMIFS('الجهاز العسكري'!$N$2:$N$631,'الجهاز العسكري'!$B$2:$B$631,$B255,'الجهاز العسكري'!$G$2:$G$631,$G255,'الجهاز العسكري'!$I$2:$I$631,$I255))/$L255,0))</f>
        <v>100</v>
      </c>
      <c r="P255" s="22"/>
      <c r="Q255" s="19" t="n">
        <f aca="false">SUMIFS(المرجع!$G$2:$G$19,المرجع!$B$2:$B$19,$G255,المرجع!$E$2:$E$19,$I255)</f>
        <v>15</v>
      </c>
      <c r="R255" s="26" t="n">
        <f aca="false">ROUND($Q255*$N255/100,2)</f>
        <v>10.2</v>
      </c>
      <c r="S255" s="27" t="str">
        <f aca="false">IF($N255&gt;المرجع!$K$3,"متقدم",IF($N255&lt;=المرجع!$K$2,"أولي","جزئي"))</f>
        <v>جزئي</v>
      </c>
      <c r="T255" s="28" t="n">
        <f aca="false">ROUND($Q255*$O255/100,2)</f>
        <v>15</v>
      </c>
    </row>
    <row r="256" customFormat="false" ht="15" hidden="false" customHeight="true" outlineLevel="0" collapsed="false">
      <c r="A256" s="20" t="s">
        <v>1708</v>
      </c>
      <c r="B256" s="20" t="s">
        <v>183</v>
      </c>
      <c r="C256" s="19" t="str">
        <f aca="false">IFERROR(INDEX('قائمة الوحدات'!$B$2:$B$41,MATCH($B256,'قائمة الوحدات'!$A$2:$A$41,0)),"")</f>
        <v>EXE</v>
      </c>
      <c r="D256" s="18" t="str">
        <f aca="false">IFERROR(INDEX('قائمة الوحدات'!$C$2:$C$41,MATCH($B256,'قائمة الوحدات'!$A$2:$A$41,0)),"")</f>
        <v>الشؤون التنفيذية</v>
      </c>
      <c r="E256" s="18" t="str">
        <f aca="false">IFERROR(INDEX('قائمة الوحدات'!$D$2:$D$41,MATCH($B256,'قائمة الوحدات'!$A$2:$A$41,0)),"")</f>
        <v>وكالة الخدمات المساندة</v>
      </c>
      <c r="F256" s="18" t="str">
        <f aca="false">IFERROR(INDEX('قائمة الوحدات'!$F$2:$F$41,MATCH($B256,'قائمة الوحدات'!$A$2:$A$41,0)),"")</f>
        <v>الإدارة العامة لتقنية المعلومات</v>
      </c>
      <c r="G256" s="20" t="s">
        <v>44</v>
      </c>
      <c r="H256" s="18" t="str">
        <f aca="false">IFERROR(INDEX(المرجع!$A$2:$A$19,MATCH($G256,المرجع!$B$2:$B$19,0)),"")</f>
        <v>التصميم</v>
      </c>
      <c r="I256" s="20" t="s">
        <v>52</v>
      </c>
      <c r="J256" s="18" t="str">
        <f aca="false">IFERROR(INDEX(المرجع!$D$2:$D$19,MATCH($I256,المرجع!$E$2:$E$19,0)),"")</f>
        <v>الحوكمة</v>
      </c>
      <c r="K256" s="19" t="n">
        <f aca="false">IFERROR(INDEX(المرجع!$F$2:$F$19,MATCH($I256,المرجع!$E$2:$E$19,0)),"")</f>
        <v>3</v>
      </c>
      <c r="L256" s="19" t="n">
        <f aca="false">SUMIFS(المرجع!$H$2:$H$19,المرجع!$B$2:$B$19,$G256,المرجع!$E$2:$E$19,$I256)</f>
        <v>1</v>
      </c>
      <c r="M256" s="19" t="n">
        <f aca="false">COUNTIFS('المرتبطة بسمو الوزير'!$B$2:$B$151,$B256,'المرتبطة بسمو الوزير'!$G$2:$G$151,$G256,'المرتبطة بسمو الوزير'!$I$2:$I$151,$I256,'المرتبطة بسمو الوزير'!$M$2:$M$151,"&lt;&gt;")+COUNTIFS('الشؤون التنفيذية'!$B$2:$B$421,$B256,'الشؤون التنفيذية'!$G$2:$G$421,$G256,'الشؤون التنفيذية'!$I$2:$I$421,$I256,'الشؤون التنفيذية'!$N$2:$N$421,"&lt;&gt;")+COUNTIFS('الجهاز العسكري'!$B$2:$B$631,$B256,'الجهاز العسكري'!$G$2:$G$631,$G256,'الجهاز العسكري'!$I$2:$I$631,$I256,'الجهاز العسكري'!$M$2:$M$631,"&lt;&gt;")</f>
        <v>1</v>
      </c>
      <c r="N256" s="24" t="n">
        <f aca="false">IF($L256=0,0,ROUND((SUMIFS('المرتبطة بسمو الوزير'!$M$2:$M$151,'المرتبطة بسمو الوزير'!$B$2:$B$151,$B256,'المرتبطة بسمو الوزير'!$G$2:$G$151,$G256,'المرتبطة بسمو الوزير'!$I$2:$I$151,$I256)+SUMIFS('الشؤون التنفيذية'!$N$2:$N$421,'الشؤون التنفيذية'!$B$2:$B$421,$B256,'الشؤون التنفيذية'!$G$2:$G$421,$G256,'الشؤون التنفيذية'!$I$2:$I$421,$I256)+SUMIFS('الجهاز العسكري'!$M$2:$M$631,'الجهاز العسكري'!$B$2:$B$631,$B256,'الجهاز العسكري'!$G$2:$G$631,$G256,'الجهاز العسكري'!$I$2:$I$631,$I256))/$L256,0))</f>
        <v>69</v>
      </c>
      <c r="O256" s="25" t="n">
        <f aca="false">IF($L256=0,0,ROUND((SUMIFS('المرتبطة بسمو الوزير'!$N$2:$N$151,'المرتبطة بسمو الوزير'!$B$2:$B$151,$B256,'المرتبطة بسمو الوزير'!$G$2:$G$151,$G256,'المرتبطة بسمو الوزير'!$I$2:$I$151,$I256)+SUMIFS('الشؤون التنفيذية'!$O$2:$O$421,'الشؤون التنفيذية'!$B$2:$B$421,$B256,'الشؤون التنفيذية'!$G$2:$G$421,$G256,'الشؤون التنفيذية'!$I$2:$I$421,$I256)+SUMIFS('الجهاز العسكري'!$N$2:$N$631,'الجهاز العسكري'!$B$2:$B$631,$B256,'الجهاز العسكري'!$G$2:$G$631,$G256,'الجهاز العسكري'!$I$2:$I$631,$I256))/$L256,0))</f>
        <v>90</v>
      </c>
      <c r="P256" s="22"/>
      <c r="Q256" s="19" t="n">
        <f aca="false">SUMIFS(المرجع!$G$2:$G$19,المرجع!$B$2:$B$19,$G256,المرجع!$E$2:$E$19,$I256)</f>
        <v>15</v>
      </c>
      <c r="R256" s="26" t="n">
        <f aca="false">ROUND($Q256*$N256/100,2)</f>
        <v>10.35</v>
      </c>
      <c r="S256" s="27" t="str">
        <f aca="false">IF($N256&gt;المرجع!$K$3,"متقدم",IF($N256&lt;=المرجع!$K$2,"أولي","جزئي"))</f>
        <v>جزئي</v>
      </c>
      <c r="T256" s="28" t="n">
        <f aca="false">ROUND($Q256*$O256/100,2)</f>
        <v>13.5</v>
      </c>
    </row>
    <row r="257" customFormat="false" ht="15" hidden="false" customHeight="true" outlineLevel="0" collapsed="false">
      <c r="A257" s="20" t="s">
        <v>1709</v>
      </c>
      <c r="B257" s="20" t="s">
        <v>183</v>
      </c>
      <c r="C257" s="19" t="str">
        <f aca="false">IFERROR(INDEX('قائمة الوحدات'!$B$2:$B$41,MATCH($B257,'قائمة الوحدات'!$A$2:$A$41,0)),"")</f>
        <v>EXE</v>
      </c>
      <c r="D257" s="18" t="str">
        <f aca="false">IFERROR(INDEX('قائمة الوحدات'!$C$2:$C$41,MATCH($B257,'قائمة الوحدات'!$A$2:$A$41,0)),"")</f>
        <v>الشؤون التنفيذية</v>
      </c>
      <c r="E257" s="18" t="str">
        <f aca="false">IFERROR(INDEX('قائمة الوحدات'!$D$2:$D$41,MATCH($B257,'قائمة الوحدات'!$A$2:$A$41,0)),"")</f>
        <v>وكالة الخدمات المساندة</v>
      </c>
      <c r="F257" s="18" t="str">
        <f aca="false">IFERROR(INDEX('قائمة الوحدات'!$F$2:$F$41,MATCH($B257,'قائمة الوحدات'!$A$2:$A$41,0)),"")</f>
        <v>الإدارة العامة لتقنية المعلومات</v>
      </c>
      <c r="G257" s="20" t="s">
        <v>44</v>
      </c>
      <c r="H257" s="18" t="str">
        <f aca="false">IFERROR(INDEX(المرجع!$A$2:$A$19,MATCH($G257,المرجع!$B$2:$B$19,0)),"")</f>
        <v>التصميم</v>
      </c>
      <c r="I257" s="20" t="s">
        <v>55</v>
      </c>
      <c r="J257" s="18" t="str">
        <f aca="false">IFERROR(INDEX(المرجع!$D$2:$D$19,MATCH($I257,المرجع!$E$2:$E$19,0)),"")</f>
        <v>التنظيم</v>
      </c>
      <c r="K257" s="19" t="n">
        <f aca="false">IFERROR(INDEX(المرجع!$F$2:$F$19,MATCH($I257,المرجع!$E$2:$E$19,0)),"")</f>
        <v>4</v>
      </c>
      <c r="L257" s="19" t="n">
        <f aca="false">SUMIFS(المرجع!$H$2:$H$19,المرجع!$B$2:$B$19,$G257,المرجع!$E$2:$E$19,$I257)</f>
        <v>1</v>
      </c>
      <c r="M257" s="19" t="n">
        <f aca="false">COUNTIFS('المرتبطة بسمو الوزير'!$B$2:$B$151,$B257,'المرتبطة بسمو الوزير'!$G$2:$G$151,$G257,'المرتبطة بسمو الوزير'!$I$2:$I$151,$I257,'المرتبطة بسمو الوزير'!$M$2:$M$151,"&lt;&gt;")+COUNTIFS('الشؤون التنفيذية'!$B$2:$B$421,$B257,'الشؤون التنفيذية'!$G$2:$G$421,$G257,'الشؤون التنفيذية'!$I$2:$I$421,$I257,'الشؤون التنفيذية'!$N$2:$N$421,"&lt;&gt;")+COUNTIFS('الجهاز العسكري'!$B$2:$B$631,$B257,'الجهاز العسكري'!$G$2:$G$631,$G257,'الجهاز العسكري'!$I$2:$I$631,$I257,'الجهاز العسكري'!$M$2:$M$631,"&lt;&gt;")</f>
        <v>1</v>
      </c>
      <c r="N257" s="24" t="n">
        <f aca="false">IF($L257=0,0,ROUND((SUMIFS('المرتبطة بسمو الوزير'!$M$2:$M$151,'المرتبطة بسمو الوزير'!$B$2:$B$151,$B257,'المرتبطة بسمو الوزير'!$G$2:$G$151,$G257,'المرتبطة بسمو الوزير'!$I$2:$I$151,$I257)+SUMIFS('الشؤون التنفيذية'!$N$2:$N$421,'الشؤون التنفيذية'!$B$2:$B$421,$B257,'الشؤون التنفيذية'!$G$2:$G$421,$G257,'الشؤون التنفيذية'!$I$2:$I$421,$I257)+SUMIFS('الجهاز العسكري'!$M$2:$M$631,'الجهاز العسكري'!$B$2:$B$631,$B257,'الجهاز العسكري'!$G$2:$G$631,$G257,'الجهاز العسكري'!$I$2:$I$631,$I257))/$L257,0))</f>
        <v>71</v>
      </c>
      <c r="O257" s="25" t="n">
        <f aca="false">IF($L257=0,0,ROUND((SUMIFS('المرتبطة بسمو الوزير'!$N$2:$N$151,'المرتبطة بسمو الوزير'!$B$2:$B$151,$B257,'المرتبطة بسمو الوزير'!$G$2:$G$151,$G257,'المرتبطة بسمو الوزير'!$I$2:$I$151,$I257)+SUMIFS('الشؤون التنفيذية'!$O$2:$O$421,'الشؤون التنفيذية'!$B$2:$B$421,$B257,'الشؤون التنفيذية'!$G$2:$G$421,$G257,'الشؤون التنفيذية'!$I$2:$I$421,$I257)+SUMIFS('الجهاز العسكري'!$N$2:$N$631,'الجهاز العسكري'!$B$2:$B$631,$B257,'الجهاز العسكري'!$G$2:$G$631,$G257,'الجهاز العسكري'!$I$2:$I$631,$I257))/$L257,0))</f>
        <v>90</v>
      </c>
      <c r="P257" s="22"/>
      <c r="Q257" s="19" t="n">
        <f aca="false">SUMIFS(المرجع!$G$2:$G$19,المرجع!$B$2:$B$19,$G257,المرجع!$E$2:$E$19,$I257)</f>
        <v>20</v>
      </c>
      <c r="R257" s="26" t="n">
        <f aca="false">ROUND($Q257*$N257/100,2)</f>
        <v>14.2</v>
      </c>
      <c r="S257" s="27" t="str">
        <f aca="false">IF($N257&gt;المرجع!$K$3,"متقدم",IF($N257&lt;=المرجع!$K$2,"أولي","جزئي"))</f>
        <v>متقدم</v>
      </c>
      <c r="T257" s="28" t="n">
        <f aca="false">ROUND($Q257*$O257/100,2)</f>
        <v>18</v>
      </c>
    </row>
    <row r="258" customFormat="false" ht="15" hidden="false" customHeight="true" outlineLevel="0" collapsed="false">
      <c r="A258" s="20" t="s">
        <v>1710</v>
      </c>
      <c r="B258" s="20" t="s">
        <v>183</v>
      </c>
      <c r="C258" s="19" t="str">
        <f aca="false">IFERROR(INDEX('قائمة الوحدات'!$B$2:$B$41,MATCH($B258,'قائمة الوحدات'!$A$2:$A$41,0)),"")</f>
        <v>EXE</v>
      </c>
      <c r="D258" s="18" t="str">
        <f aca="false">IFERROR(INDEX('قائمة الوحدات'!$C$2:$C$41,MATCH($B258,'قائمة الوحدات'!$A$2:$A$41,0)),"")</f>
        <v>الشؤون التنفيذية</v>
      </c>
      <c r="E258" s="18" t="str">
        <f aca="false">IFERROR(INDEX('قائمة الوحدات'!$D$2:$D$41,MATCH($B258,'قائمة الوحدات'!$A$2:$A$41,0)),"")</f>
        <v>وكالة الخدمات المساندة</v>
      </c>
      <c r="F258" s="18" t="str">
        <f aca="false">IFERROR(INDEX('قائمة الوحدات'!$F$2:$F$41,MATCH($B258,'قائمة الوحدات'!$A$2:$A$41,0)),"")</f>
        <v>الإدارة العامة لتقنية المعلومات</v>
      </c>
      <c r="G258" s="20" t="s">
        <v>44</v>
      </c>
      <c r="H258" s="18" t="str">
        <f aca="false">IFERROR(INDEX(المرجع!$A$2:$A$19,MATCH($G258,المرجع!$B$2:$B$19,0)),"")</f>
        <v>التصميم</v>
      </c>
      <c r="I258" s="20" t="s">
        <v>57</v>
      </c>
      <c r="J258" s="18" t="str">
        <f aca="false">IFERROR(INDEX(المرجع!$D$2:$D$19,MATCH($I258,المرجع!$E$2:$E$19,0)),"")</f>
        <v>الموارد</v>
      </c>
      <c r="K258" s="19" t="n">
        <f aca="false">IFERROR(INDEX(المرجع!$F$2:$F$19,MATCH($I258,المرجع!$E$2:$E$19,0)),"")</f>
        <v>5</v>
      </c>
      <c r="L258" s="19" t="n">
        <f aca="false">SUMIFS(المرجع!$H$2:$H$19,المرجع!$B$2:$B$19,$G258,المرجع!$E$2:$E$19,$I258)</f>
        <v>1</v>
      </c>
      <c r="M258" s="19" t="n">
        <f aca="false">COUNTIFS('المرتبطة بسمو الوزير'!$B$2:$B$151,$B258,'المرتبطة بسمو الوزير'!$G$2:$G$151,$G258,'المرتبطة بسمو الوزير'!$I$2:$I$151,$I258,'المرتبطة بسمو الوزير'!$M$2:$M$151,"&lt;&gt;")+COUNTIFS('الشؤون التنفيذية'!$B$2:$B$421,$B258,'الشؤون التنفيذية'!$G$2:$G$421,$G258,'الشؤون التنفيذية'!$I$2:$I$421,$I258,'الشؤون التنفيذية'!$N$2:$N$421,"&lt;&gt;")+COUNTIFS('الجهاز العسكري'!$B$2:$B$631,$B258,'الجهاز العسكري'!$G$2:$G$631,$G258,'الجهاز العسكري'!$I$2:$I$631,$I258,'الجهاز العسكري'!$M$2:$M$631,"&lt;&gt;")</f>
        <v>1</v>
      </c>
      <c r="N258" s="24" t="n">
        <f aca="false">IF($L258=0,0,ROUND((SUMIFS('المرتبطة بسمو الوزير'!$M$2:$M$151,'المرتبطة بسمو الوزير'!$B$2:$B$151,$B258,'المرتبطة بسمو الوزير'!$G$2:$G$151,$G258,'المرتبطة بسمو الوزير'!$I$2:$I$151,$I258)+SUMIFS('الشؤون التنفيذية'!$N$2:$N$421,'الشؤون التنفيذية'!$B$2:$B$421,$B258,'الشؤون التنفيذية'!$G$2:$G$421,$G258,'الشؤون التنفيذية'!$I$2:$I$421,$I258)+SUMIFS('الجهاز العسكري'!$M$2:$M$631,'الجهاز العسكري'!$B$2:$B$631,$B258,'الجهاز العسكري'!$G$2:$G$631,$G258,'الجهاز العسكري'!$I$2:$I$631,$I258))/$L258,0))</f>
        <v>68</v>
      </c>
      <c r="O258" s="25" t="n">
        <f aca="false">IF($L258=0,0,ROUND((SUMIFS('المرتبطة بسمو الوزير'!$N$2:$N$151,'المرتبطة بسمو الوزير'!$B$2:$B$151,$B258,'المرتبطة بسمو الوزير'!$G$2:$G$151,$G258,'المرتبطة بسمو الوزير'!$I$2:$I$151,$I258)+SUMIFS('الشؤون التنفيذية'!$O$2:$O$421,'الشؤون التنفيذية'!$B$2:$B$421,$B258,'الشؤون التنفيذية'!$G$2:$G$421,$G258,'الشؤون التنفيذية'!$I$2:$I$421,$I258)+SUMIFS('الجهاز العسكري'!$N$2:$N$631,'الجهاز العسكري'!$B$2:$B$631,$B258,'الجهاز العسكري'!$G$2:$G$631,$G258,'الجهاز العسكري'!$I$2:$I$631,$I258))/$L258,0))</f>
        <v>100</v>
      </c>
      <c r="P258" s="22"/>
      <c r="Q258" s="19" t="n">
        <f aca="false">SUMIFS(المرجع!$G$2:$G$19,المرجع!$B$2:$B$19,$G258,المرجع!$E$2:$E$19,$I258)</f>
        <v>20</v>
      </c>
      <c r="R258" s="26" t="n">
        <f aca="false">ROUND($Q258*$N258/100,2)</f>
        <v>13.6</v>
      </c>
      <c r="S258" s="27" t="str">
        <f aca="false">IF($N258&gt;المرجع!$K$3,"متقدم",IF($N258&lt;=المرجع!$K$2,"أولي","جزئي"))</f>
        <v>جزئي</v>
      </c>
      <c r="T258" s="28" t="n">
        <f aca="false">ROUND($Q258*$O258/100,2)</f>
        <v>20</v>
      </c>
    </row>
    <row r="259" customFormat="false" ht="15" hidden="false" customHeight="true" outlineLevel="0" collapsed="false">
      <c r="A259" s="20" t="s">
        <v>1711</v>
      </c>
      <c r="B259" s="20" t="s">
        <v>183</v>
      </c>
      <c r="C259" s="19" t="str">
        <f aca="false">IFERROR(INDEX('قائمة الوحدات'!$B$2:$B$41,MATCH($B259,'قائمة الوحدات'!$A$2:$A$41,0)),"")</f>
        <v>EXE</v>
      </c>
      <c r="D259" s="18" t="str">
        <f aca="false">IFERROR(INDEX('قائمة الوحدات'!$C$2:$C$41,MATCH($B259,'قائمة الوحدات'!$A$2:$A$41,0)),"")</f>
        <v>الشؤون التنفيذية</v>
      </c>
      <c r="E259" s="18" t="str">
        <f aca="false">IFERROR(INDEX('قائمة الوحدات'!$D$2:$D$41,MATCH($B259,'قائمة الوحدات'!$A$2:$A$41,0)),"")</f>
        <v>وكالة الخدمات المساندة</v>
      </c>
      <c r="F259" s="18" t="str">
        <f aca="false">IFERROR(INDEX('قائمة الوحدات'!$F$2:$F$41,MATCH($B259,'قائمة الوحدات'!$A$2:$A$41,0)),"")</f>
        <v>الإدارة العامة لتقنية المعلومات</v>
      </c>
      <c r="G259" s="20" t="s">
        <v>44</v>
      </c>
      <c r="H259" s="18" t="str">
        <f aca="false">IFERROR(INDEX(المرجع!$A$2:$A$19,MATCH($G259,المرجع!$B$2:$B$19,0)),"")</f>
        <v>التصميم</v>
      </c>
      <c r="I259" s="20" t="s">
        <v>60</v>
      </c>
      <c r="J259" s="18" t="str">
        <f aca="false">IFERROR(INDEX(المرجع!$D$2:$D$19,MATCH($I259,المرجع!$E$2:$E$19,0)),"")</f>
        <v>الإجراءات</v>
      </c>
      <c r="K259" s="19" t="n">
        <f aca="false">IFERROR(INDEX(المرجع!$F$2:$F$19,MATCH($I259,المرجع!$E$2:$E$19,0)),"")</f>
        <v>6</v>
      </c>
      <c r="L259" s="19" t="n">
        <f aca="false">SUMIFS(المرجع!$H$2:$H$19,المرجع!$B$2:$B$19,$G259,المرجع!$E$2:$E$19,$I259)</f>
        <v>1</v>
      </c>
      <c r="M259" s="19" t="n">
        <f aca="false">COUNTIFS('المرتبطة بسمو الوزير'!$B$2:$B$151,$B259,'المرتبطة بسمو الوزير'!$G$2:$G$151,$G259,'المرتبطة بسمو الوزير'!$I$2:$I$151,$I259,'المرتبطة بسمو الوزير'!$M$2:$M$151,"&lt;&gt;")+COUNTIFS('الشؤون التنفيذية'!$B$2:$B$421,$B259,'الشؤون التنفيذية'!$G$2:$G$421,$G259,'الشؤون التنفيذية'!$I$2:$I$421,$I259,'الشؤون التنفيذية'!$N$2:$N$421,"&lt;&gt;")+COUNTIFS('الجهاز العسكري'!$B$2:$B$631,$B259,'الجهاز العسكري'!$G$2:$G$631,$G259,'الجهاز العسكري'!$I$2:$I$631,$I259,'الجهاز العسكري'!$M$2:$M$631,"&lt;&gt;")</f>
        <v>1</v>
      </c>
      <c r="N259" s="24" t="n">
        <f aca="false">IF($L259=0,0,ROUND((SUMIFS('المرتبطة بسمو الوزير'!$M$2:$M$151,'المرتبطة بسمو الوزير'!$B$2:$B$151,$B259,'المرتبطة بسمو الوزير'!$G$2:$G$151,$G259,'المرتبطة بسمو الوزير'!$I$2:$I$151,$I259)+SUMIFS('الشؤون التنفيذية'!$N$2:$N$421,'الشؤون التنفيذية'!$B$2:$B$421,$B259,'الشؤون التنفيذية'!$G$2:$G$421,$G259,'الشؤون التنفيذية'!$I$2:$I$421,$I259)+SUMIFS('الجهاز العسكري'!$M$2:$M$631,'الجهاز العسكري'!$B$2:$B$631,$B259,'الجهاز العسكري'!$G$2:$G$631,$G259,'الجهاز العسكري'!$I$2:$I$631,$I259))/$L259,0))</f>
        <v>77</v>
      </c>
      <c r="O259" s="25" t="n">
        <f aca="false">IF($L259=0,0,ROUND((SUMIFS('المرتبطة بسمو الوزير'!$N$2:$N$151,'المرتبطة بسمو الوزير'!$B$2:$B$151,$B259,'المرتبطة بسمو الوزير'!$G$2:$G$151,$G259,'المرتبطة بسمو الوزير'!$I$2:$I$151,$I259)+SUMIFS('الشؤون التنفيذية'!$O$2:$O$421,'الشؤون التنفيذية'!$B$2:$B$421,$B259,'الشؤون التنفيذية'!$G$2:$G$421,$G259,'الشؤون التنفيذية'!$I$2:$I$421,$I259)+SUMIFS('الجهاز العسكري'!$N$2:$N$631,'الجهاز العسكري'!$B$2:$B$631,$B259,'الجهاز العسكري'!$G$2:$G$631,$G259,'الجهاز العسكري'!$I$2:$I$631,$I259))/$L259,0))</f>
        <v>95</v>
      </c>
      <c r="P259" s="22"/>
      <c r="Q259" s="19" t="n">
        <f aca="false">SUMIFS(المرجع!$G$2:$G$19,المرجع!$B$2:$B$19,$G259,المرجع!$E$2:$E$19,$I259)</f>
        <v>5</v>
      </c>
      <c r="R259" s="26" t="n">
        <f aca="false">ROUND($Q259*$N259/100,2)</f>
        <v>3.85</v>
      </c>
      <c r="S259" s="27" t="str">
        <f aca="false">IF($N259&gt;المرجع!$K$3,"متقدم",IF($N259&lt;=المرجع!$K$2,"أولي","جزئي"))</f>
        <v>متقدم</v>
      </c>
      <c r="T259" s="28" t="n">
        <f aca="false">ROUND($Q259*$O259/100,2)</f>
        <v>4.75</v>
      </c>
    </row>
    <row r="260" customFormat="false" ht="15" hidden="false" customHeight="true" outlineLevel="0" collapsed="false">
      <c r="A260" s="20" t="s">
        <v>1712</v>
      </c>
      <c r="B260" s="20" t="s">
        <v>183</v>
      </c>
      <c r="C260" s="19" t="str">
        <f aca="false">IFERROR(INDEX('قائمة الوحدات'!$B$2:$B$41,MATCH($B260,'قائمة الوحدات'!$A$2:$A$41,0)),"")</f>
        <v>EXE</v>
      </c>
      <c r="D260" s="18" t="str">
        <f aca="false">IFERROR(INDEX('قائمة الوحدات'!$C$2:$C$41,MATCH($B260,'قائمة الوحدات'!$A$2:$A$41,0)),"")</f>
        <v>الشؤون التنفيذية</v>
      </c>
      <c r="E260" s="18" t="str">
        <f aca="false">IFERROR(INDEX('قائمة الوحدات'!$D$2:$D$41,MATCH($B260,'قائمة الوحدات'!$A$2:$A$41,0)),"")</f>
        <v>وكالة الخدمات المساندة</v>
      </c>
      <c r="F260" s="18" t="str">
        <f aca="false">IFERROR(INDEX('قائمة الوحدات'!$F$2:$F$41,MATCH($B260,'قائمة الوحدات'!$A$2:$A$41,0)),"")</f>
        <v>الإدارة العامة لتقنية المعلومات</v>
      </c>
      <c r="G260" s="20" t="s">
        <v>62</v>
      </c>
      <c r="H260" s="18" t="str">
        <f aca="false">IFERROR(INDEX(المرجع!$A$2:$A$19,MATCH($G260,المرجع!$B$2:$B$19,0)),"")</f>
        <v>البناء المؤسسي</v>
      </c>
      <c r="I260" s="20" t="s">
        <v>46</v>
      </c>
      <c r="J260" s="18" t="str">
        <f aca="false">IFERROR(INDEX(المرجع!$D$2:$D$19,MATCH($I260,المرجع!$E$2:$E$19,0)),"")</f>
        <v>الدور</v>
      </c>
      <c r="K260" s="19" t="n">
        <f aca="false">IFERROR(INDEX(المرجع!$F$2:$F$19,MATCH($I260,المرجع!$E$2:$E$19,0)),"")</f>
        <v>1</v>
      </c>
      <c r="L260" s="19" t="n">
        <f aca="false">SUMIFS(المرجع!$H$2:$H$19,المرجع!$B$2:$B$19,$G260,المرجع!$E$2:$E$19,$I260)</f>
        <v>1</v>
      </c>
      <c r="M260" s="19" t="n">
        <f aca="false">COUNTIFS('المرتبطة بسمو الوزير'!$B$2:$B$151,$B260,'المرتبطة بسمو الوزير'!$G$2:$G$151,$G260,'المرتبطة بسمو الوزير'!$I$2:$I$151,$I260,'المرتبطة بسمو الوزير'!$M$2:$M$151,"&lt;&gt;")+COUNTIFS('الشؤون التنفيذية'!$B$2:$B$421,$B260,'الشؤون التنفيذية'!$G$2:$G$421,$G260,'الشؤون التنفيذية'!$I$2:$I$421,$I260,'الشؤون التنفيذية'!$N$2:$N$421,"&lt;&gt;")+COUNTIFS('الجهاز العسكري'!$B$2:$B$631,$B260,'الجهاز العسكري'!$G$2:$G$631,$G260,'الجهاز العسكري'!$I$2:$I$631,$I260,'الجهاز العسكري'!$M$2:$M$631,"&lt;&gt;")</f>
        <v>1</v>
      </c>
      <c r="N260" s="24" t="n">
        <f aca="false">IF($L260=0,0,ROUND((SUMIFS('المرتبطة بسمو الوزير'!$M$2:$M$151,'المرتبطة بسمو الوزير'!$B$2:$B$151,$B260,'المرتبطة بسمو الوزير'!$G$2:$G$151,$G260,'المرتبطة بسمو الوزير'!$I$2:$I$151,$I260)+SUMIFS('الشؤون التنفيذية'!$N$2:$N$421,'الشؤون التنفيذية'!$B$2:$B$421,$B260,'الشؤون التنفيذية'!$G$2:$G$421,$G260,'الشؤون التنفيذية'!$I$2:$I$421,$I260)+SUMIFS('الجهاز العسكري'!$M$2:$M$631,'الجهاز العسكري'!$B$2:$B$631,$B260,'الجهاز العسكري'!$G$2:$G$631,$G260,'الجهاز العسكري'!$I$2:$I$631,$I260))/$L260,0))</f>
        <v>58</v>
      </c>
      <c r="O260" s="25" t="n">
        <f aca="false">IF($L260=0,0,ROUND((SUMIFS('المرتبطة بسمو الوزير'!$N$2:$N$151,'المرتبطة بسمو الوزير'!$B$2:$B$151,$B260,'المرتبطة بسمو الوزير'!$G$2:$G$151,$G260,'المرتبطة بسمو الوزير'!$I$2:$I$151,$I260)+SUMIFS('الشؤون التنفيذية'!$O$2:$O$421,'الشؤون التنفيذية'!$B$2:$B$421,$B260,'الشؤون التنفيذية'!$G$2:$G$421,$G260,'الشؤون التنفيذية'!$I$2:$I$421,$I260)+SUMIFS('الجهاز العسكري'!$N$2:$N$631,'الجهاز العسكري'!$B$2:$B$631,$B260,'الجهاز العسكري'!$G$2:$G$631,$G260,'الجهاز العسكري'!$I$2:$I$631,$I260))/$L260,0))</f>
        <v>100</v>
      </c>
      <c r="P260" s="22"/>
      <c r="Q260" s="19" t="n">
        <f aca="false">SUMIFS(المرجع!$G$2:$G$19,المرجع!$B$2:$B$19,$G260,المرجع!$E$2:$E$19,$I260)</f>
        <v>15</v>
      </c>
      <c r="R260" s="26" t="n">
        <f aca="false">ROUND($Q260*$N260/100,2)</f>
        <v>8.7</v>
      </c>
      <c r="S260" s="27" t="str">
        <f aca="false">IF($N260&gt;المرجع!$K$3,"متقدم",IF($N260&lt;=المرجع!$K$2,"أولي","جزئي"))</f>
        <v>جزئي</v>
      </c>
      <c r="T260" s="28" t="n">
        <f aca="false">ROUND($Q260*$O260/100,2)</f>
        <v>15</v>
      </c>
    </row>
    <row r="261" customFormat="false" ht="15" hidden="false" customHeight="true" outlineLevel="0" collapsed="false">
      <c r="A261" s="20" t="s">
        <v>1713</v>
      </c>
      <c r="B261" s="20" t="s">
        <v>183</v>
      </c>
      <c r="C261" s="19" t="str">
        <f aca="false">IFERROR(INDEX('قائمة الوحدات'!$B$2:$B$41,MATCH($B261,'قائمة الوحدات'!$A$2:$A$41,0)),"")</f>
        <v>EXE</v>
      </c>
      <c r="D261" s="18" t="str">
        <f aca="false">IFERROR(INDEX('قائمة الوحدات'!$C$2:$C$41,MATCH($B261,'قائمة الوحدات'!$A$2:$A$41,0)),"")</f>
        <v>الشؤون التنفيذية</v>
      </c>
      <c r="E261" s="18" t="str">
        <f aca="false">IFERROR(INDEX('قائمة الوحدات'!$D$2:$D$41,MATCH($B261,'قائمة الوحدات'!$A$2:$A$41,0)),"")</f>
        <v>وكالة الخدمات المساندة</v>
      </c>
      <c r="F261" s="18" t="str">
        <f aca="false">IFERROR(INDEX('قائمة الوحدات'!$F$2:$F$41,MATCH($B261,'قائمة الوحدات'!$A$2:$A$41,0)),"")</f>
        <v>الإدارة العامة لتقنية المعلومات</v>
      </c>
      <c r="G261" s="20" t="s">
        <v>62</v>
      </c>
      <c r="H261" s="18" t="str">
        <f aca="false">IFERROR(INDEX(المرجع!$A$2:$A$19,MATCH($G261,المرجع!$B$2:$B$19,0)),"")</f>
        <v>البناء المؤسسي</v>
      </c>
      <c r="I261" s="20" t="s">
        <v>49</v>
      </c>
      <c r="J261" s="18" t="str">
        <f aca="false">IFERROR(INDEX(المرجع!$D$2:$D$19,MATCH($I261,المرجع!$E$2:$E$19,0)),"")</f>
        <v>الأهداف ومؤشرات الأداء</v>
      </c>
      <c r="K261" s="19" t="n">
        <f aca="false">IFERROR(INDEX(المرجع!$F$2:$F$19,MATCH($I261,المرجع!$E$2:$E$19,0)),"")</f>
        <v>2</v>
      </c>
      <c r="L261" s="19" t="n">
        <f aca="false">SUMIFS(المرجع!$H$2:$H$19,المرجع!$B$2:$B$19,$G261,المرجع!$E$2:$E$19,$I261)</f>
        <v>2</v>
      </c>
      <c r="M261" s="19" t="n">
        <f aca="false">COUNTIFS('المرتبطة بسمو الوزير'!$B$2:$B$151,$B261,'المرتبطة بسمو الوزير'!$G$2:$G$151,$G261,'المرتبطة بسمو الوزير'!$I$2:$I$151,$I261,'المرتبطة بسمو الوزير'!$M$2:$M$151,"&lt;&gt;")+COUNTIFS('الشؤون التنفيذية'!$B$2:$B$421,$B261,'الشؤون التنفيذية'!$G$2:$G$421,$G261,'الشؤون التنفيذية'!$I$2:$I$421,$I261,'الشؤون التنفيذية'!$N$2:$N$421,"&lt;&gt;")+COUNTIFS('الجهاز العسكري'!$B$2:$B$631,$B261,'الجهاز العسكري'!$G$2:$G$631,$G261,'الجهاز العسكري'!$I$2:$I$631,$I261,'الجهاز العسكري'!$M$2:$M$631,"&lt;&gt;")</f>
        <v>2</v>
      </c>
      <c r="N261" s="24" t="n">
        <f aca="false">IF($L261=0,0,ROUND((SUMIFS('المرتبطة بسمو الوزير'!$M$2:$M$151,'المرتبطة بسمو الوزير'!$B$2:$B$151,$B261,'المرتبطة بسمو الوزير'!$G$2:$G$151,$G261,'المرتبطة بسمو الوزير'!$I$2:$I$151,$I261)+SUMIFS('الشؤون التنفيذية'!$N$2:$N$421,'الشؤون التنفيذية'!$B$2:$B$421,$B261,'الشؤون التنفيذية'!$G$2:$G$421,$G261,'الشؤون التنفيذية'!$I$2:$I$421,$I261)+SUMIFS('الجهاز العسكري'!$M$2:$M$631,'الجهاز العسكري'!$B$2:$B$631,$B261,'الجهاز العسكري'!$G$2:$G$631,$G261,'الجهاز العسكري'!$I$2:$I$631,$I261))/$L261,0))</f>
        <v>75</v>
      </c>
      <c r="O261" s="25" t="n">
        <f aca="false">IF($L261=0,0,ROUND((SUMIFS('المرتبطة بسمو الوزير'!$N$2:$N$151,'المرتبطة بسمو الوزير'!$B$2:$B$151,$B261,'المرتبطة بسمو الوزير'!$G$2:$G$151,$G261,'المرتبطة بسمو الوزير'!$I$2:$I$151,$I261)+SUMIFS('الشؤون التنفيذية'!$O$2:$O$421,'الشؤون التنفيذية'!$B$2:$B$421,$B261,'الشؤون التنفيذية'!$G$2:$G$421,$G261,'الشؤون التنفيذية'!$I$2:$I$421,$I261)+SUMIFS('الجهاز العسكري'!$N$2:$N$631,'الجهاز العسكري'!$B$2:$B$631,$B261,'الجهاز العسكري'!$G$2:$G$631,$G261,'الجهاز العسكري'!$I$2:$I$631,$I261))/$L261,0))</f>
        <v>83</v>
      </c>
      <c r="P261" s="22"/>
      <c r="Q261" s="19" t="n">
        <f aca="false">SUMIFS(المرجع!$G$2:$G$19,المرجع!$B$2:$B$19,$G261,المرجع!$E$2:$E$19,$I261)</f>
        <v>15</v>
      </c>
      <c r="R261" s="26" t="n">
        <f aca="false">ROUND($Q261*$N261/100,2)</f>
        <v>11.25</v>
      </c>
      <c r="S261" s="27" t="str">
        <f aca="false">IF($N261&gt;المرجع!$K$3,"متقدم",IF($N261&lt;=المرجع!$K$2,"أولي","جزئي"))</f>
        <v>متقدم</v>
      </c>
      <c r="T261" s="28" t="n">
        <f aca="false">ROUND($Q261*$O261/100,2)</f>
        <v>12.45</v>
      </c>
    </row>
    <row r="262" customFormat="false" ht="15" hidden="false" customHeight="true" outlineLevel="0" collapsed="false">
      <c r="A262" s="20" t="s">
        <v>1714</v>
      </c>
      <c r="B262" s="20" t="s">
        <v>183</v>
      </c>
      <c r="C262" s="19" t="str">
        <f aca="false">IFERROR(INDEX('قائمة الوحدات'!$B$2:$B$41,MATCH($B262,'قائمة الوحدات'!$A$2:$A$41,0)),"")</f>
        <v>EXE</v>
      </c>
      <c r="D262" s="18" t="str">
        <f aca="false">IFERROR(INDEX('قائمة الوحدات'!$C$2:$C$41,MATCH($B262,'قائمة الوحدات'!$A$2:$A$41,0)),"")</f>
        <v>الشؤون التنفيذية</v>
      </c>
      <c r="E262" s="18" t="str">
        <f aca="false">IFERROR(INDEX('قائمة الوحدات'!$D$2:$D$41,MATCH($B262,'قائمة الوحدات'!$A$2:$A$41,0)),"")</f>
        <v>وكالة الخدمات المساندة</v>
      </c>
      <c r="F262" s="18" t="str">
        <f aca="false">IFERROR(INDEX('قائمة الوحدات'!$F$2:$F$41,MATCH($B262,'قائمة الوحدات'!$A$2:$A$41,0)),"")</f>
        <v>الإدارة العامة لتقنية المعلومات</v>
      </c>
      <c r="G262" s="20" t="s">
        <v>62</v>
      </c>
      <c r="H262" s="18" t="str">
        <f aca="false">IFERROR(INDEX(المرجع!$A$2:$A$19,MATCH($G262,المرجع!$B$2:$B$19,0)),"")</f>
        <v>البناء المؤسسي</v>
      </c>
      <c r="I262" s="20" t="s">
        <v>52</v>
      </c>
      <c r="J262" s="18" t="str">
        <f aca="false">IFERROR(INDEX(المرجع!$D$2:$D$19,MATCH($I262,المرجع!$E$2:$E$19,0)),"")</f>
        <v>الحوكمة</v>
      </c>
      <c r="K262" s="19" t="n">
        <f aca="false">IFERROR(INDEX(المرجع!$F$2:$F$19,MATCH($I262,المرجع!$E$2:$E$19,0)),"")</f>
        <v>3</v>
      </c>
      <c r="L262" s="19" t="n">
        <f aca="false">SUMIFS(المرجع!$H$2:$H$19,المرجع!$B$2:$B$19,$G262,المرجع!$E$2:$E$19,$I262)</f>
        <v>3</v>
      </c>
      <c r="M262" s="19" t="n">
        <f aca="false">COUNTIFS('المرتبطة بسمو الوزير'!$B$2:$B$151,$B262,'المرتبطة بسمو الوزير'!$G$2:$G$151,$G262,'المرتبطة بسمو الوزير'!$I$2:$I$151,$I262,'المرتبطة بسمو الوزير'!$M$2:$M$151,"&lt;&gt;")+COUNTIFS('الشؤون التنفيذية'!$B$2:$B$421,$B262,'الشؤون التنفيذية'!$G$2:$G$421,$G262,'الشؤون التنفيذية'!$I$2:$I$421,$I262,'الشؤون التنفيذية'!$N$2:$N$421,"&lt;&gt;")+COUNTIFS('الجهاز العسكري'!$B$2:$B$631,$B262,'الجهاز العسكري'!$G$2:$G$631,$G262,'الجهاز العسكري'!$I$2:$I$631,$I262,'الجهاز العسكري'!$M$2:$M$631,"&lt;&gt;")</f>
        <v>3</v>
      </c>
      <c r="N262" s="24" t="n">
        <f aca="false">IF($L262=0,0,ROUND((SUMIFS('المرتبطة بسمو الوزير'!$M$2:$M$151,'المرتبطة بسمو الوزير'!$B$2:$B$151,$B262,'المرتبطة بسمو الوزير'!$G$2:$G$151,$G262,'المرتبطة بسمو الوزير'!$I$2:$I$151,$I262)+SUMIFS('الشؤون التنفيذية'!$N$2:$N$421,'الشؤون التنفيذية'!$B$2:$B$421,$B262,'الشؤون التنفيذية'!$G$2:$G$421,$G262,'الشؤون التنفيذية'!$I$2:$I$421,$I262)+SUMIFS('الجهاز العسكري'!$M$2:$M$631,'الجهاز العسكري'!$B$2:$B$631,$B262,'الجهاز العسكري'!$G$2:$G$631,$G262,'الجهاز العسكري'!$I$2:$I$631,$I262))/$L262,0))</f>
        <v>48</v>
      </c>
      <c r="O262" s="25" t="n">
        <f aca="false">IF($L262=0,0,ROUND((SUMIFS('المرتبطة بسمو الوزير'!$N$2:$N$151,'المرتبطة بسمو الوزير'!$B$2:$B$151,$B262,'المرتبطة بسمو الوزير'!$G$2:$G$151,$G262,'المرتبطة بسمو الوزير'!$I$2:$I$151,$I262)+SUMIFS('الشؤون التنفيذية'!$O$2:$O$421,'الشؤون التنفيذية'!$B$2:$B$421,$B262,'الشؤون التنفيذية'!$G$2:$G$421,$G262,'الشؤون التنفيذية'!$I$2:$I$421,$I262)+SUMIFS('الجهاز العسكري'!$N$2:$N$631,'الجهاز العسكري'!$B$2:$B$631,$B262,'الجهاز العسكري'!$G$2:$G$631,$G262,'الجهاز العسكري'!$I$2:$I$631,$I262))/$L262,0))</f>
        <v>95</v>
      </c>
      <c r="P262" s="22"/>
      <c r="Q262" s="19" t="n">
        <f aca="false">SUMIFS(المرجع!$G$2:$G$19,المرجع!$B$2:$B$19,$G262,المرجع!$E$2:$E$19,$I262)</f>
        <v>15</v>
      </c>
      <c r="R262" s="26" t="n">
        <f aca="false">ROUND($Q262*$N262/100,2)</f>
        <v>7.2</v>
      </c>
      <c r="S262" s="27" t="str">
        <f aca="false">IF($N262&gt;المرجع!$K$3,"متقدم",IF($N262&lt;=المرجع!$K$2,"أولي","جزئي"))</f>
        <v>جزئي</v>
      </c>
      <c r="T262" s="28" t="n">
        <f aca="false">ROUND($Q262*$O262/100,2)</f>
        <v>14.25</v>
      </c>
    </row>
    <row r="263" customFormat="false" ht="15" hidden="false" customHeight="true" outlineLevel="0" collapsed="false">
      <c r="A263" s="20" t="s">
        <v>1715</v>
      </c>
      <c r="B263" s="20" t="s">
        <v>183</v>
      </c>
      <c r="C263" s="19" t="str">
        <f aca="false">IFERROR(INDEX('قائمة الوحدات'!$B$2:$B$41,MATCH($B263,'قائمة الوحدات'!$A$2:$A$41,0)),"")</f>
        <v>EXE</v>
      </c>
      <c r="D263" s="18" t="str">
        <f aca="false">IFERROR(INDEX('قائمة الوحدات'!$C$2:$C$41,MATCH($B263,'قائمة الوحدات'!$A$2:$A$41,0)),"")</f>
        <v>الشؤون التنفيذية</v>
      </c>
      <c r="E263" s="18" t="str">
        <f aca="false">IFERROR(INDEX('قائمة الوحدات'!$D$2:$D$41,MATCH($B263,'قائمة الوحدات'!$A$2:$A$41,0)),"")</f>
        <v>وكالة الخدمات المساندة</v>
      </c>
      <c r="F263" s="18" t="str">
        <f aca="false">IFERROR(INDEX('قائمة الوحدات'!$F$2:$F$41,MATCH($B263,'قائمة الوحدات'!$A$2:$A$41,0)),"")</f>
        <v>الإدارة العامة لتقنية المعلومات</v>
      </c>
      <c r="G263" s="20" t="s">
        <v>62</v>
      </c>
      <c r="H263" s="18" t="str">
        <f aca="false">IFERROR(INDEX(المرجع!$A$2:$A$19,MATCH($G263,المرجع!$B$2:$B$19,0)),"")</f>
        <v>البناء المؤسسي</v>
      </c>
      <c r="I263" s="20" t="s">
        <v>55</v>
      </c>
      <c r="J263" s="18" t="str">
        <f aca="false">IFERROR(INDEX(المرجع!$D$2:$D$19,MATCH($I263,المرجع!$E$2:$E$19,0)),"")</f>
        <v>التنظيم</v>
      </c>
      <c r="K263" s="19" t="n">
        <f aca="false">IFERROR(INDEX(المرجع!$F$2:$F$19,MATCH($I263,المرجع!$E$2:$E$19,0)),"")</f>
        <v>4</v>
      </c>
      <c r="L263" s="19" t="n">
        <f aca="false">SUMIFS(المرجع!$H$2:$H$19,المرجع!$B$2:$B$19,$G263,المرجع!$E$2:$E$19,$I263)</f>
        <v>3</v>
      </c>
      <c r="M263" s="19" t="n">
        <f aca="false">COUNTIFS('المرتبطة بسمو الوزير'!$B$2:$B$151,$B263,'المرتبطة بسمو الوزير'!$G$2:$G$151,$G263,'المرتبطة بسمو الوزير'!$I$2:$I$151,$I263,'المرتبطة بسمو الوزير'!$M$2:$M$151,"&lt;&gt;")+COUNTIFS('الشؤون التنفيذية'!$B$2:$B$421,$B263,'الشؤون التنفيذية'!$G$2:$G$421,$G263,'الشؤون التنفيذية'!$I$2:$I$421,$I263,'الشؤون التنفيذية'!$N$2:$N$421,"&lt;&gt;")+COUNTIFS('الجهاز العسكري'!$B$2:$B$631,$B263,'الجهاز العسكري'!$G$2:$G$631,$G263,'الجهاز العسكري'!$I$2:$I$631,$I263,'الجهاز العسكري'!$M$2:$M$631,"&lt;&gt;")</f>
        <v>3</v>
      </c>
      <c r="N263" s="24" t="n">
        <f aca="false">IF($L263=0,0,ROUND((SUMIFS('المرتبطة بسمو الوزير'!$M$2:$M$151,'المرتبطة بسمو الوزير'!$B$2:$B$151,$B263,'المرتبطة بسمو الوزير'!$G$2:$G$151,$G263,'المرتبطة بسمو الوزير'!$I$2:$I$151,$I263)+SUMIFS('الشؤون التنفيذية'!$N$2:$N$421,'الشؤون التنفيذية'!$B$2:$B$421,$B263,'الشؤون التنفيذية'!$G$2:$G$421,$G263,'الشؤون التنفيذية'!$I$2:$I$421,$I263)+SUMIFS('الجهاز العسكري'!$M$2:$M$631,'الجهاز العسكري'!$B$2:$B$631,$B263,'الجهاز العسكري'!$G$2:$G$631,$G263,'الجهاز العسكري'!$I$2:$I$631,$I263))/$L263,0))</f>
        <v>42</v>
      </c>
      <c r="O263" s="25" t="n">
        <f aca="false">IF($L263=0,0,ROUND((SUMIFS('المرتبطة بسمو الوزير'!$N$2:$N$151,'المرتبطة بسمو الوزير'!$B$2:$B$151,$B263,'المرتبطة بسمو الوزير'!$G$2:$G$151,$G263,'المرتبطة بسمو الوزير'!$I$2:$I$151,$I263)+SUMIFS('الشؤون التنفيذية'!$O$2:$O$421,'الشؤون التنفيذية'!$B$2:$B$421,$B263,'الشؤون التنفيذية'!$G$2:$G$421,$G263,'الشؤون التنفيذية'!$I$2:$I$421,$I263)+SUMIFS('الجهاز العسكري'!$N$2:$N$631,'الجهاز العسكري'!$B$2:$B$631,$B263,'الجهاز العسكري'!$G$2:$G$631,$G263,'الجهاز العسكري'!$I$2:$I$631,$I263))/$L263,0))</f>
        <v>100</v>
      </c>
      <c r="P263" s="22"/>
      <c r="Q263" s="19" t="n">
        <f aca="false">SUMIFS(المرجع!$G$2:$G$19,المرجع!$B$2:$B$19,$G263,المرجع!$E$2:$E$19,$I263)</f>
        <v>20</v>
      </c>
      <c r="R263" s="26" t="n">
        <f aca="false">ROUND($Q263*$N263/100,2)</f>
        <v>8.4</v>
      </c>
      <c r="S263" s="27" t="str">
        <f aca="false">IF($N263&gt;المرجع!$K$3,"متقدم",IF($N263&lt;=المرجع!$K$2,"أولي","جزئي"))</f>
        <v>جزئي</v>
      </c>
      <c r="T263" s="28" t="n">
        <f aca="false">ROUND($Q263*$O263/100,2)</f>
        <v>20</v>
      </c>
    </row>
    <row r="264" customFormat="false" ht="15" hidden="false" customHeight="true" outlineLevel="0" collapsed="false">
      <c r="A264" s="20" t="s">
        <v>1716</v>
      </c>
      <c r="B264" s="20" t="s">
        <v>183</v>
      </c>
      <c r="C264" s="19" t="str">
        <f aca="false">IFERROR(INDEX('قائمة الوحدات'!$B$2:$B$41,MATCH($B264,'قائمة الوحدات'!$A$2:$A$41,0)),"")</f>
        <v>EXE</v>
      </c>
      <c r="D264" s="18" t="str">
        <f aca="false">IFERROR(INDEX('قائمة الوحدات'!$C$2:$C$41,MATCH($B264,'قائمة الوحدات'!$A$2:$A$41,0)),"")</f>
        <v>الشؤون التنفيذية</v>
      </c>
      <c r="E264" s="18" t="str">
        <f aca="false">IFERROR(INDEX('قائمة الوحدات'!$D$2:$D$41,MATCH($B264,'قائمة الوحدات'!$A$2:$A$41,0)),"")</f>
        <v>وكالة الخدمات المساندة</v>
      </c>
      <c r="F264" s="18" t="str">
        <f aca="false">IFERROR(INDEX('قائمة الوحدات'!$F$2:$F$41,MATCH($B264,'قائمة الوحدات'!$A$2:$A$41,0)),"")</f>
        <v>الإدارة العامة لتقنية المعلومات</v>
      </c>
      <c r="G264" s="20" t="s">
        <v>62</v>
      </c>
      <c r="H264" s="18" t="str">
        <f aca="false">IFERROR(INDEX(المرجع!$A$2:$A$19,MATCH($G264,المرجع!$B$2:$B$19,0)),"")</f>
        <v>البناء المؤسسي</v>
      </c>
      <c r="I264" s="20" t="s">
        <v>57</v>
      </c>
      <c r="J264" s="18" t="str">
        <f aca="false">IFERROR(INDEX(المرجع!$D$2:$D$19,MATCH($I264,المرجع!$E$2:$E$19,0)),"")</f>
        <v>الموارد</v>
      </c>
      <c r="K264" s="19" t="n">
        <f aca="false">IFERROR(INDEX(المرجع!$F$2:$F$19,MATCH($I264,المرجع!$E$2:$E$19,0)),"")</f>
        <v>5</v>
      </c>
      <c r="L264" s="19" t="n">
        <f aca="false">SUMIFS(المرجع!$H$2:$H$19,المرجع!$B$2:$B$19,$G264,المرجع!$E$2:$E$19,$I264)</f>
        <v>4</v>
      </c>
      <c r="M264" s="19" t="n">
        <f aca="false">COUNTIFS('المرتبطة بسمو الوزير'!$B$2:$B$151,$B264,'المرتبطة بسمو الوزير'!$G$2:$G$151,$G264,'المرتبطة بسمو الوزير'!$I$2:$I$151,$I264,'المرتبطة بسمو الوزير'!$M$2:$M$151,"&lt;&gt;")+COUNTIFS('الشؤون التنفيذية'!$B$2:$B$421,$B264,'الشؤون التنفيذية'!$G$2:$G$421,$G264,'الشؤون التنفيذية'!$I$2:$I$421,$I264,'الشؤون التنفيذية'!$N$2:$N$421,"&lt;&gt;")+COUNTIFS('الجهاز العسكري'!$B$2:$B$631,$B264,'الجهاز العسكري'!$G$2:$G$631,$G264,'الجهاز العسكري'!$I$2:$I$631,$I264,'الجهاز العسكري'!$M$2:$M$631,"&lt;&gt;")</f>
        <v>4</v>
      </c>
      <c r="N264" s="24" t="n">
        <f aca="false">IF($L264=0,0,ROUND((SUMIFS('المرتبطة بسمو الوزير'!$M$2:$M$151,'المرتبطة بسمو الوزير'!$B$2:$B$151,$B264,'المرتبطة بسمو الوزير'!$G$2:$G$151,$G264,'المرتبطة بسمو الوزير'!$I$2:$I$151,$I264)+SUMIFS('الشؤون التنفيذية'!$N$2:$N$421,'الشؤون التنفيذية'!$B$2:$B$421,$B264,'الشؤون التنفيذية'!$G$2:$G$421,$G264,'الشؤون التنفيذية'!$I$2:$I$421,$I264)+SUMIFS('الجهاز العسكري'!$M$2:$M$631,'الجهاز العسكري'!$B$2:$B$631,$B264,'الجهاز العسكري'!$G$2:$G$631,$G264,'الجهاز العسكري'!$I$2:$I$631,$I264))/$L264,0))</f>
        <v>81</v>
      </c>
      <c r="O264" s="25" t="n">
        <f aca="false">IF($L264=0,0,ROUND((SUMIFS('المرتبطة بسمو الوزير'!$N$2:$N$151,'المرتبطة بسمو الوزير'!$B$2:$B$151,$B264,'المرتبطة بسمو الوزير'!$G$2:$G$151,$G264,'المرتبطة بسمو الوزير'!$I$2:$I$151,$I264)+SUMIFS('الشؤون التنفيذية'!$O$2:$O$421,'الشؤون التنفيذية'!$B$2:$B$421,$B264,'الشؤون التنفيذية'!$G$2:$G$421,$G264,'الشؤون التنفيذية'!$I$2:$I$421,$I264)+SUMIFS('الجهاز العسكري'!$N$2:$N$631,'الجهاز العسكري'!$B$2:$B$631,$B264,'الجهاز العسكري'!$G$2:$G$631,$G264,'الجهاز العسكري'!$I$2:$I$631,$I264))/$L264,0))</f>
        <v>99</v>
      </c>
      <c r="P264" s="22"/>
      <c r="Q264" s="19" t="n">
        <f aca="false">SUMIFS(المرجع!$G$2:$G$19,المرجع!$B$2:$B$19,$G264,المرجع!$E$2:$E$19,$I264)</f>
        <v>25</v>
      </c>
      <c r="R264" s="26" t="n">
        <f aca="false">ROUND($Q264*$N264/100,2)</f>
        <v>20.25</v>
      </c>
      <c r="S264" s="27" t="str">
        <f aca="false">IF($N264&gt;المرجع!$K$3,"متقدم",IF($N264&lt;=المرجع!$K$2,"أولي","جزئي"))</f>
        <v>متقدم</v>
      </c>
      <c r="T264" s="28" t="n">
        <f aca="false">ROUND($Q264*$O264/100,2)</f>
        <v>24.75</v>
      </c>
    </row>
    <row r="265" customFormat="false" ht="15" hidden="false" customHeight="true" outlineLevel="0" collapsed="false">
      <c r="A265" s="20" t="s">
        <v>1717</v>
      </c>
      <c r="B265" s="20" t="s">
        <v>183</v>
      </c>
      <c r="C265" s="19" t="str">
        <f aca="false">IFERROR(INDEX('قائمة الوحدات'!$B$2:$B$41,MATCH($B265,'قائمة الوحدات'!$A$2:$A$41,0)),"")</f>
        <v>EXE</v>
      </c>
      <c r="D265" s="18" t="str">
        <f aca="false">IFERROR(INDEX('قائمة الوحدات'!$C$2:$C$41,MATCH($B265,'قائمة الوحدات'!$A$2:$A$41,0)),"")</f>
        <v>الشؤون التنفيذية</v>
      </c>
      <c r="E265" s="18" t="str">
        <f aca="false">IFERROR(INDEX('قائمة الوحدات'!$D$2:$D$41,MATCH($B265,'قائمة الوحدات'!$A$2:$A$41,0)),"")</f>
        <v>وكالة الخدمات المساندة</v>
      </c>
      <c r="F265" s="18" t="str">
        <f aca="false">IFERROR(INDEX('قائمة الوحدات'!$F$2:$F$41,MATCH($B265,'قائمة الوحدات'!$A$2:$A$41,0)),"")</f>
        <v>الإدارة العامة لتقنية المعلومات</v>
      </c>
      <c r="G265" s="20" t="s">
        <v>62</v>
      </c>
      <c r="H265" s="18" t="str">
        <f aca="false">IFERROR(INDEX(المرجع!$A$2:$A$19,MATCH($G265,المرجع!$B$2:$B$19,0)),"")</f>
        <v>البناء المؤسسي</v>
      </c>
      <c r="I265" s="20" t="s">
        <v>60</v>
      </c>
      <c r="J265" s="18" t="str">
        <f aca="false">IFERROR(INDEX(المرجع!$D$2:$D$19,MATCH($I265,المرجع!$E$2:$E$19,0)),"")</f>
        <v>الإجراءات</v>
      </c>
      <c r="K265" s="19" t="n">
        <f aca="false">IFERROR(INDEX(المرجع!$F$2:$F$19,MATCH($I265,المرجع!$E$2:$E$19,0)),"")</f>
        <v>6</v>
      </c>
      <c r="L265" s="19" t="n">
        <f aca="false">SUMIFS(المرجع!$H$2:$H$19,المرجع!$B$2:$B$19,$G265,المرجع!$E$2:$E$19,$I265)</f>
        <v>1</v>
      </c>
      <c r="M265" s="19" t="n">
        <f aca="false">COUNTIFS('المرتبطة بسمو الوزير'!$B$2:$B$151,$B265,'المرتبطة بسمو الوزير'!$G$2:$G$151,$G265,'المرتبطة بسمو الوزير'!$I$2:$I$151,$I265,'المرتبطة بسمو الوزير'!$M$2:$M$151,"&lt;&gt;")+COUNTIFS('الشؤون التنفيذية'!$B$2:$B$421,$B265,'الشؤون التنفيذية'!$G$2:$G$421,$G265,'الشؤون التنفيذية'!$I$2:$I$421,$I265,'الشؤون التنفيذية'!$N$2:$N$421,"&lt;&gt;")+COUNTIFS('الجهاز العسكري'!$B$2:$B$631,$B265,'الجهاز العسكري'!$G$2:$G$631,$G265,'الجهاز العسكري'!$I$2:$I$631,$I265,'الجهاز العسكري'!$M$2:$M$631,"&lt;&gt;")</f>
        <v>1</v>
      </c>
      <c r="N265" s="24" t="n">
        <f aca="false">IF($L265=0,0,ROUND((SUMIFS('المرتبطة بسمو الوزير'!$M$2:$M$151,'المرتبطة بسمو الوزير'!$B$2:$B$151,$B265,'المرتبطة بسمو الوزير'!$G$2:$G$151,$G265,'المرتبطة بسمو الوزير'!$I$2:$I$151,$I265)+SUMIFS('الشؤون التنفيذية'!$N$2:$N$421,'الشؤون التنفيذية'!$B$2:$B$421,$B265,'الشؤون التنفيذية'!$G$2:$G$421,$G265,'الشؤون التنفيذية'!$I$2:$I$421,$I265)+SUMIFS('الجهاز العسكري'!$M$2:$M$631,'الجهاز العسكري'!$B$2:$B$631,$B265,'الجهاز العسكري'!$G$2:$G$631,$G265,'الجهاز العسكري'!$I$2:$I$631,$I265))/$L265,0))</f>
        <v>74</v>
      </c>
      <c r="O265" s="25" t="n">
        <f aca="false">IF($L265=0,0,ROUND((SUMIFS('المرتبطة بسمو الوزير'!$N$2:$N$151,'المرتبطة بسمو الوزير'!$B$2:$B$151,$B265,'المرتبطة بسمو الوزير'!$G$2:$G$151,$G265,'المرتبطة بسمو الوزير'!$I$2:$I$151,$I265)+SUMIFS('الشؤون التنفيذية'!$O$2:$O$421,'الشؤون التنفيذية'!$B$2:$B$421,$B265,'الشؤون التنفيذية'!$G$2:$G$421,$G265,'الشؤون التنفيذية'!$I$2:$I$421,$I265)+SUMIFS('الجهاز العسكري'!$N$2:$N$631,'الجهاز العسكري'!$B$2:$B$631,$B265,'الجهاز العسكري'!$G$2:$G$631,$G265,'الجهاز العسكري'!$I$2:$I$631,$I265))/$L265,0))</f>
        <v>85</v>
      </c>
      <c r="P265" s="22"/>
      <c r="Q265" s="19" t="n">
        <f aca="false">SUMIFS(المرجع!$G$2:$G$19,المرجع!$B$2:$B$19,$G265,المرجع!$E$2:$E$19,$I265)</f>
        <v>5</v>
      </c>
      <c r="R265" s="26" t="n">
        <f aca="false">ROUND($Q265*$N265/100,2)</f>
        <v>3.7</v>
      </c>
      <c r="S265" s="27" t="str">
        <f aca="false">IF($N265&gt;المرجع!$K$3,"متقدم",IF($N265&lt;=المرجع!$K$2,"أولي","جزئي"))</f>
        <v>متقدم</v>
      </c>
      <c r="T265" s="28" t="n">
        <f aca="false">ROUND($Q265*$O265/100,2)</f>
        <v>4.25</v>
      </c>
    </row>
    <row r="266" customFormat="false" ht="15" hidden="false" customHeight="true" outlineLevel="0" collapsed="false">
      <c r="A266" s="20" t="s">
        <v>1718</v>
      </c>
      <c r="B266" s="20" t="s">
        <v>183</v>
      </c>
      <c r="C266" s="19" t="str">
        <f aca="false">IFERROR(INDEX('قائمة الوحدات'!$B$2:$B$41,MATCH($B266,'قائمة الوحدات'!$A$2:$A$41,0)),"")</f>
        <v>EXE</v>
      </c>
      <c r="D266" s="18" t="str">
        <f aca="false">IFERROR(INDEX('قائمة الوحدات'!$C$2:$C$41,MATCH($B266,'قائمة الوحدات'!$A$2:$A$41,0)),"")</f>
        <v>الشؤون التنفيذية</v>
      </c>
      <c r="E266" s="18" t="str">
        <f aca="false">IFERROR(INDEX('قائمة الوحدات'!$D$2:$D$41,MATCH($B266,'قائمة الوحدات'!$A$2:$A$41,0)),"")</f>
        <v>وكالة الخدمات المساندة</v>
      </c>
      <c r="F266" s="18" t="str">
        <f aca="false">IFERROR(INDEX('قائمة الوحدات'!$F$2:$F$41,MATCH($B266,'قائمة الوحدات'!$A$2:$A$41,0)),"")</f>
        <v>الإدارة العامة لتقنية المعلومات</v>
      </c>
      <c r="G266" s="20" t="s">
        <v>62</v>
      </c>
      <c r="H266" s="18" t="str">
        <f aca="false">IFERROR(INDEX(المرجع!$A$2:$A$19,MATCH($G266,المرجع!$B$2:$B$19,0)),"")</f>
        <v>البناء المؤسسي</v>
      </c>
      <c r="I266" s="20" t="s">
        <v>69</v>
      </c>
      <c r="J266" s="18" t="str">
        <f aca="false">IFERROR(INDEX(المرجع!$D$2:$D$19,MATCH($I266,المرجع!$E$2:$E$19,0)),"")</f>
        <v>إنتاج المخرج الأول</v>
      </c>
      <c r="K266" s="19" t="n">
        <f aca="false">IFERROR(INDEX(المرجع!$F$2:$F$19,MATCH($I266,المرجع!$E$2:$E$19,0)),"")</f>
        <v>7</v>
      </c>
      <c r="L266" s="19" t="n">
        <f aca="false">SUMIFS(المرجع!$H$2:$H$19,المرجع!$B$2:$B$19,$G266,المرجع!$E$2:$E$19,$I266)</f>
        <v>1</v>
      </c>
      <c r="M266" s="19" t="n">
        <f aca="false">COUNTIFS('المرتبطة بسمو الوزير'!$B$2:$B$151,$B266,'المرتبطة بسمو الوزير'!$G$2:$G$151,$G266,'المرتبطة بسمو الوزير'!$I$2:$I$151,$I266,'المرتبطة بسمو الوزير'!$M$2:$M$151,"&lt;&gt;")+COUNTIFS('الشؤون التنفيذية'!$B$2:$B$421,$B266,'الشؤون التنفيذية'!$G$2:$G$421,$G266,'الشؤون التنفيذية'!$I$2:$I$421,$I266,'الشؤون التنفيذية'!$N$2:$N$421,"&lt;&gt;")+COUNTIFS('الجهاز العسكري'!$B$2:$B$631,$B266,'الجهاز العسكري'!$G$2:$G$631,$G266,'الجهاز العسكري'!$I$2:$I$631,$I266,'الجهاز العسكري'!$M$2:$M$631,"&lt;&gt;")</f>
        <v>1</v>
      </c>
      <c r="N266" s="24" t="n">
        <f aca="false">IF($L266=0,0,ROUND((SUMIFS('المرتبطة بسمو الوزير'!$M$2:$M$151,'المرتبطة بسمو الوزير'!$B$2:$B$151,$B266,'المرتبطة بسمو الوزير'!$G$2:$G$151,$G266,'المرتبطة بسمو الوزير'!$I$2:$I$151,$I266)+SUMIFS('الشؤون التنفيذية'!$N$2:$N$421,'الشؤون التنفيذية'!$B$2:$B$421,$B266,'الشؤون التنفيذية'!$G$2:$G$421,$G266,'الشؤون التنفيذية'!$I$2:$I$421,$I266)+SUMIFS('الجهاز العسكري'!$M$2:$M$631,'الجهاز العسكري'!$B$2:$B$631,$B266,'الجهاز العسكري'!$G$2:$G$631,$G266,'الجهاز العسكري'!$I$2:$I$631,$I266))/$L266,0))</f>
        <v>85</v>
      </c>
      <c r="O266" s="25" t="n">
        <f aca="false">IF($L266=0,0,ROUND((SUMIFS('المرتبطة بسمو الوزير'!$N$2:$N$151,'المرتبطة بسمو الوزير'!$B$2:$B$151,$B266,'المرتبطة بسمو الوزير'!$G$2:$G$151,$G266,'المرتبطة بسمو الوزير'!$I$2:$I$151,$I266)+SUMIFS('الشؤون التنفيذية'!$O$2:$O$421,'الشؤون التنفيذية'!$B$2:$B$421,$B266,'الشؤون التنفيذية'!$G$2:$G$421,$G266,'الشؤون التنفيذية'!$I$2:$I$421,$I266)+SUMIFS('الجهاز العسكري'!$N$2:$N$631,'الجهاز العسكري'!$B$2:$B$631,$B266,'الجهاز العسكري'!$G$2:$G$631,$G266,'الجهاز العسكري'!$I$2:$I$631,$I266))/$L266,0))</f>
        <v>100</v>
      </c>
      <c r="P266" s="22"/>
      <c r="Q266" s="19" t="n">
        <f aca="false">SUMIFS(المرجع!$G$2:$G$19,المرجع!$B$2:$B$19,$G266,المرجع!$E$2:$E$19,$I266)</f>
        <v>5</v>
      </c>
      <c r="R266" s="26" t="n">
        <f aca="false">ROUND($Q266*$N266/100,2)</f>
        <v>4.25</v>
      </c>
      <c r="S266" s="27" t="str">
        <f aca="false">IF($N266&gt;المرجع!$K$3,"متقدم",IF($N266&lt;=المرجع!$K$2,"أولي","جزئي"))</f>
        <v>متقدم</v>
      </c>
      <c r="T266" s="28" t="n">
        <f aca="false">ROUND($Q266*$O266/100,2)</f>
        <v>5</v>
      </c>
    </row>
    <row r="267" customFormat="false" ht="15" hidden="false" customHeight="true" outlineLevel="0" collapsed="false">
      <c r="A267" s="20" t="s">
        <v>1719</v>
      </c>
      <c r="B267" s="20" t="s">
        <v>183</v>
      </c>
      <c r="C267" s="19" t="str">
        <f aca="false">IFERROR(INDEX('قائمة الوحدات'!$B$2:$B$41,MATCH($B267,'قائمة الوحدات'!$A$2:$A$41,0)),"")</f>
        <v>EXE</v>
      </c>
      <c r="D267" s="18" t="str">
        <f aca="false">IFERROR(INDEX('قائمة الوحدات'!$C$2:$C$41,MATCH($B267,'قائمة الوحدات'!$A$2:$A$41,0)),"")</f>
        <v>الشؤون التنفيذية</v>
      </c>
      <c r="E267" s="18" t="str">
        <f aca="false">IFERROR(INDEX('قائمة الوحدات'!$D$2:$D$41,MATCH($B267,'قائمة الوحدات'!$A$2:$A$41,0)),"")</f>
        <v>وكالة الخدمات المساندة</v>
      </c>
      <c r="F267" s="18" t="str">
        <f aca="false">IFERROR(INDEX('قائمة الوحدات'!$F$2:$F$41,MATCH($B267,'قائمة الوحدات'!$A$2:$A$41,0)),"")</f>
        <v>الإدارة العامة لتقنية المعلومات</v>
      </c>
      <c r="G267" s="20" t="s">
        <v>66</v>
      </c>
      <c r="H267" s="18" t="str">
        <f aca="false">IFERROR(INDEX(المرجع!$A$2:$A$19,MATCH($G267,المرجع!$B$2:$B$19,0)),"")</f>
        <v>التشغيل</v>
      </c>
      <c r="I267" s="20" t="s">
        <v>49</v>
      </c>
      <c r="J267" s="18" t="str">
        <f aca="false">IFERROR(INDEX(المرجع!$D$2:$D$19,MATCH($I267,المرجع!$E$2:$E$19,0)),"")</f>
        <v>الأهداف ومؤشرات الأداء</v>
      </c>
      <c r="K267" s="19" t="n">
        <f aca="false">IFERROR(INDEX(المرجع!$F$2:$F$19,MATCH($I267,المرجع!$E$2:$E$19,0)),"")</f>
        <v>2</v>
      </c>
      <c r="L267" s="19" t="n">
        <f aca="false">SUMIFS(المرجع!$H$2:$H$19,المرجع!$B$2:$B$19,$G267,المرجع!$E$2:$E$19,$I267)</f>
        <v>2</v>
      </c>
      <c r="M267" s="19" t="n">
        <f aca="false">COUNTIFS('المرتبطة بسمو الوزير'!$B$2:$B$151,$B267,'المرتبطة بسمو الوزير'!$G$2:$G$151,$G267,'المرتبطة بسمو الوزير'!$I$2:$I$151,$I267,'المرتبطة بسمو الوزير'!$M$2:$M$151,"&lt;&gt;")+COUNTIFS('الشؤون التنفيذية'!$B$2:$B$421,$B267,'الشؤون التنفيذية'!$G$2:$G$421,$G267,'الشؤون التنفيذية'!$I$2:$I$421,$I267,'الشؤون التنفيذية'!$N$2:$N$421,"&lt;&gt;")+COUNTIFS('الجهاز العسكري'!$B$2:$B$631,$B267,'الجهاز العسكري'!$G$2:$G$631,$G267,'الجهاز العسكري'!$I$2:$I$631,$I267,'الجهاز العسكري'!$M$2:$M$631,"&lt;&gt;")</f>
        <v>2</v>
      </c>
      <c r="N267" s="24" t="n">
        <f aca="false">IF($L267=0,0,ROUND((SUMIFS('المرتبطة بسمو الوزير'!$M$2:$M$151,'المرتبطة بسمو الوزير'!$B$2:$B$151,$B267,'المرتبطة بسمو الوزير'!$G$2:$G$151,$G267,'المرتبطة بسمو الوزير'!$I$2:$I$151,$I267)+SUMIFS('الشؤون التنفيذية'!$N$2:$N$421,'الشؤون التنفيذية'!$B$2:$B$421,$B267,'الشؤون التنفيذية'!$G$2:$G$421,$G267,'الشؤون التنفيذية'!$I$2:$I$421,$I267)+SUMIFS('الجهاز العسكري'!$M$2:$M$631,'الجهاز العسكري'!$B$2:$B$631,$B267,'الجهاز العسكري'!$G$2:$G$631,$G267,'الجهاز العسكري'!$I$2:$I$631,$I267))/$L267,0))</f>
        <v>63</v>
      </c>
      <c r="O267" s="25" t="n">
        <f aca="false">IF($L267=0,0,ROUND((SUMIFS('المرتبطة بسمو الوزير'!$N$2:$N$151,'المرتبطة بسمو الوزير'!$B$2:$B$151,$B267,'المرتبطة بسمو الوزير'!$G$2:$G$151,$G267,'المرتبطة بسمو الوزير'!$I$2:$I$151,$I267)+SUMIFS('الشؤون التنفيذية'!$O$2:$O$421,'الشؤون التنفيذية'!$B$2:$B$421,$B267,'الشؤون التنفيذية'!$G$2:$G$421,$G267,'الشؤون التنفيذية'!$I$2:$I$421,$I267)+SUMIFS('الجهاز العسكري'!$N$2:$N$631,'الجهاز العسكري'!$B$2:$B$631,$B267,'الجهاز العسكري'!$G$2:$G$631,$G267,'الجهاز العسكري'!$I$2:$I$631,$I267))/$L267,0))</f>
        <v>93</v>
      </c>
      <c r="P267" s="22"/>
      <c r="Q267" s="19" t="n">
        <f aca="false">SUMIFS(المرجع!$G$2:$G$19,المرجع!$B$2:$B$19,$G267,المرجع!$E$2:$E$19,$I267)</f>
        <v>25</v>
      </c>
      <c r="R267" s="26" t="n">
        <f aca="false">ROUND($Q267*$N267/100,2)</f>
        <v>15.75</v>
      </c>
      <c r="S267" s="27" t="str">
        <f aca="false">IF($N267&gt;المرجع!$K$3,"متقدم",IF($N267&lt;=المرجع!$K$2,"أولي","جزئي"))</f>
        <v>جزئي</v>
      </c>
      <c r="T267" s="28" t="n">
        <f aca="false">ROUND($Q267*$O267/100,2)</f>
        <v>23.25</v>
      </c>
    </row>
    <row r="268" customFormat="false" ht="15" hidden="false" customHeight="true" outlineLevel="0" collapsed="false">
      <c r="A268" s="20" t="s">
        <v>1720</v>
      </c>
      <c r="B268" s="20" t="s">
        <v>183</v>
      </c>
      <c r="C268" s="19" t="str">
        <f aca="false">IFERROR(INDEX('قائمة الوحدات'!$B$2:$B$41,MATCH($B268,'قائمة الوحدات'!$A$2:$A$41,0)),"")</f>
        <v>EXE</v>
      </c>
      <c r="D268" s="18" t="str">
        <f aca="false">IFERROR(INDEX('قائمة الوحدات'!$C$2:$C$41,MATCH($B268,'قائمة الوحدات'!$A$2:$A$41,0)),"")</f>
        <v>الشؤون التنفيذية</v>
      </c>
      <c r="E268" s="18" t="str">
        <f aca="false">IFERROR(INDEX('قائمة الوحدات'!$D$2:$D$41,MATCH($B268,'قائمة الوحدات'!$A$2:$A$41,0)),"")</f>
        <v>وكالة الخدمات المساندة</v>
      </c>
      <c r="F268" s="18" t="str">
        <f aca="false">IFERROR(INDEX('قائمة الوحدات'!$F$2:$F$41,MATCH($B268,'قائمة الوحدات'!$A$2:$A$41,0)),"")</f>
        <v>الإدارة العامة لتقنية المعلومات</v>
      </c>
      <c r="G268" s="20" t="s">
        <v>66</v>
      </c>
      <c r="H268" s="18" t="str">
        <f aca="false">IFERROR(INDEX(المرجع!$A$2:$A$19,MATCH($G268,المرجع!$B$2:$B$19,0)),"")</f>
        <v>التشغيل</v>
      </c>
      <c r="I268" s="20" t="s">
        <v>52</v>
      </c>
      <c r="J268" s="18" t="str">
        <f aca="false">IFERROR(INDEX(المرجع!$D$2:$D$19,MATCH($I268,المرجع!$E$2:$E$19,0)),"")</f>
        <v>الحوكمة</v>
      </c>
      <c r="K268" s="19" t="n">
        <f aca="false">IFERROR(INDEX(المرجع!$F$2:$F$19,MATCH($I268,المرجع!$E$2:$E$19,0)),"")</f>
        <v>3</v>
      </c>
      <c r="L268" s="19" t="n">
        <f aca="false">SUMIFS(المرجع!$H$2:$H$19,المرجع!$B$2:$B$19,$G268,المرجع!$E$2:$E$19,$I268)</f>
        <v>3</v>
      </c>
      <c r="M268" s="19" t="n">
        <f aca="false">COUNTIFS('المرتبطة بسمو الوزير'!$B$2:$B$151,$B268,'المرتبطة بسمو الوزير'!$G$2:$G$151,$G268,'المرتبطة بسمو الوزير'!$I$2:$I$151,$I268,'المرتبطة بسمو الوزير'!$M$2:$M$151,"&lt;&gt;")+COUNTIFS('الشؤون التنفيذية'!$B$2:$B$421,$B268,'الشؤون التنفيذية'!$G$2:$G$421,$G268,'الشؤون التنفيذية'!$I$2:$I$421,$I268,'الشؤون التنفيذية'!$N$2:$N$421,"&lt;&gt;")+COUNTIFS('الجهاز العسكري'!$B$2:$B$631,$B268,'الجهاز العسكري'!$G$2:$G$631,$G268,'الجهاز العسكري'!$I$2:$I$631,$I268,'الجهاز العسكري'!$M$2:$M$631,"&lt;&gt;")</f>
        <v>3</v>
      </c>
      <c r="N268" s="24" t="n">
        <f aca="false">IF($L268=0,0,ROUND((SUMIFS('المرتبطة بسمو الوزير'!$M$2:$M$151,'المرتبطة بسمو الوزير'!$B$2:$B$151,$B268,'المرتبطة بسمو الوزير'!$G$2:$G$151,$G268,'المرتبطة بسمو الوزير'!$I$2:$I$151,$I268)+SUMIFS('الشؤون التنفيذية'!$N$2:$N$421,'الشؤون التنفيذية'!$B$2:$B$421,$B268,'الشؤون التنفيذية'!$G$2:$G$421,$G268,'الشؤون التنفيذية'!$I$2:$I$421,$I268)+SUMIFS('الجهاز العسكري'!$M$2:$M$631,'الجهاز العسكري'!$B$2:$B$631,$B268,'الجهاز العسكري'!$G$2:$G$631,$G268,'الجهاز العسكري'!$I$2:$I$631,$I268))/$L268,0))</f>
        <v>13</v>
      </c>
      <c r="O268" s="25" t="n">
        <f aca="false">IF($L268=0,0,ROUND((SUMIFS('المرتبطة بسمو الوزير'!$N$2:$N$151,'المرتبطة بسمو الوزير'!$B$2:$B$151,$B268,'المرتبطة بسمو الوزير'!$G$2:$G$151,$G268,'المرتبطة بسمو الوزير'!$I$2:$I$151,$I268)+SUMIFS('الشؤون التنفيذية'!$O$2:$O$421,'الشؤون التنفيذية'!$B$2:$B$421,$B268,'الشؤون التنفيذية'!$G$2:$G$421,$G268,'الشؤون التنفيذية'!$I$2:$I$421,$I268)+SUMIFS('الجهاز العسكري'!$N$2:$N$631,'الجهاز العسكري'!$B$2:$B$631,$B268,'الجهاز العسكري'!$G$2:$G$631,$G268,'الجهاز العسكري'!$I$2:$I$631,$I268))/$L268,0))</f>
        <v>93</v>
      </c>
      <c r="P268" s="22"/>
      <c r="Q268" s="19" t="n">
        <f aca="false">SUMIFS(المرجع!$G$2:$G$19,المرجع!$B$2:$B$19,$G268,المرجع!$E$2:$E$19,$I268)</f>
        <v>15</v>
      </c>
      <c r="R268" s="26" t="n">
        <f aca="false">ROUND($Q268*$N268/100,2)</f>
        <v>1.95</v>
      </c>
      <c r="S268" s="27" t="str">
        <f aca="false">IF($N268&gt;المرجع!$K$3,"متقدم",IF($N268&lt;=المرجع!$K$2,"أولي","جزئي"))</f>
        <v>أولي</v>
      </c>
      <c r="T268" s="28" t="n">
        <f aca="false">ROUND($Q268*$O268/100,2)</f>
        <v>13.95</v>
      </c>
    </row>
    <row r="269" customFormat="false" ht="15" hidden="false" customHeight="true" outlineLevel="0" collapsed="false">
      <c r="A269" s="20" t="s">
        <v>1721</v>
      </c>
      <c r="B269" s="20" t="s">
        <v>183</v>
      </c>
      <c r="C269" s="19" t="str">
        <f aca="false">IFERROR(INDEX('قائمة الوحدات'!$B$2:$B$41,MATCH($B269,'قائمة الوحدات'!$A$2:$A$41,0)),"")</f>
        <v>EXE</v>
      </c>
      <c r="D269" s="18" t="str">
        <f aca="false">IFERROR(INDEX('قائمة الوحدات'!$C$2:$C$41,MATCH($B269,'قائمة الوحدات'!$A$2:$A$41,0)),"")</f>
        <v>الشؤون التنفيذية</v>
      </c>
      <c r="E269" s="18" t="str">
        <f aca="false">IFERROR(INDEX('قائمة الوحدات'!$D$2:$D$41,MATCH($B269,'قائمة الوحدات'!$A$2:$A$41,0)),"")</f>
        <v>وكالة الخدمات المساندة</v>
      </c>
      <c r="F269" s="18" t="str">
        <f aca="false">IFERROR(INDEX('قائمة الوحدات'!$F$2:$F$41,MATCH($B269,'قائمة الوحدات'!$A$2:$A$41,0)),"")</f>
        <v>الإدارة العامة لتقنية المعلومات</v>
      </c>
      <c r="G269" s="20" t="s">
        <v>66</v>
      </c>
      <c r="H269" s="18" t="str">
        <f aca="false">IFERROR(INDEX(المرجع!$A$2:$A$19,MATCH($G269,المرجع!$B$2:$B$19,0)),"")</f>
        <v>التشغيل</v>
      </c>
      <c r="I269" s="20" t="s">
        <v>57</v>
      </c>
      <c r="J269" s="18" t="str">
        <f aca="false">IFERROR(INDEX(المرجع!$D$2:$D$19,MATCH($I269,المرجع!$E$2:$E$19,0)),"")</f>
        <v>الموارد</v>
      </c>
      <c r="K269" s="19" t="n">
        <f aca="false">IFERROR(INDEX(المرجع!$F$2:$F$19,MATCH($I269,المرجع!$E$2:$E$19,0)),"")</f>
        <v>5</v>
      </c>
      <c r="L269" s="19" t="n">
        <f aca="false">SUMIFS(المرجع!$H$2:$H$19,المرجع!$B$2:$B$19,$G269,المرجع!$E$2:$E$19,$I269)</f>
        <v>1</v>
      </c>
      <c r="M269" s="19" t="n">
        <f aca="false">COUNTIFS('المرتبطة بسمو الوزير'!$B$2:$B$151,$B269,'المرتبطة بسمو الوزير'!$G$2:$G$151,$G269,'المرتبطة بسمو الوزير'!$I$2:$I$151,$I269,'المرتبطة بسمو الوزير'!$M$2:$M$151,"&lt;&gt;")+COUNTIFS('الشؤون التنفيذية'!$B$2:$B$421,$B269,'الشؤون التنفيذية'!$G$2:$G$421,$G269,'الشؤون التنفيذية'!$I$2:$I$421,$I269,'الشؤون التنفيذية'!$N$2:$N$421,"&lt;&gt;")+COUNTIFS('الجهاز العسكري'!$B$2:$B$631,$B269,'الجهاز العسكري'!$G$2:$G$631,$G269,'الجهاز العسكري'!$I$2:$I$631,$I269,'الجهاز العسكري'!$M$2:$M$631,"&lt;&gt;")</f>
        <v>1</v>
      </c>
      <c r="N269" s="24" t="n">
        <f aca="false">IF($L269=0,0,ROUND((SUMIFS('المرتبطة بسمو الوزير'!$M$2:$M$151,'المرتبطة بسمو الوزير'!$B$2:$B$151,$B269,'المرتبطة بسمو الوزير'!$G$2:$G$151,$G269,'المرتبطة بسمو الوزير'!$I$2:$I$151,$I269)+SUMIFS('الشؤون التنفيذية'!$N$2:$N$421,'الشؤون التنفيذية'!$B$2:$B$421,$B269,'الشؤون التنفيذية'!$G$2:$G$421,$G269,'الشؤون التنفيذية'!$I$2:$I$421,$I269)+SUMIFS('الجهاز العسكري'!$M$2:$M$631,'الجهاز العسكري'!$B$2:$B$631,$B269,'الجهاز العسكري'!$G$2:$G$631,$G269,'الجهاز العسكري'!$I$2:$I$631,$I269))/$L269,0))</f>
        <v>46</v>
      </c>
      <c r="O269" s="25" t="n">
        <f aca="false">IF($L269=0,0,ROUND((SUMIFS('المرتبطة بسمو الوزير'!$N$2:$N$151,'المرتبطة بسمو الوزير'!$B$2:$B$151,$B269,'المرتبطة بسمو الوزير'!$G$2:$G$151,$G269,'المرتبطة بسمو الوزير'!$I$2:$I$151,$I269)+SUMIFS('الشؤون التنفيذية'!$O$2:$O$421,'الشؤون التنفيذية'!$B$2:$B$421,$B269,'الشؤون التنفيذية'!$G$2:$G$421,$G269,'الشؤون التنفيذية'!$I$2:$I$421,$I269)+SUMIFS('الجهاز العسكري'!$N$2:$N$631,'الجهاز العسكري'!$B$2:$B$631,$B269,'الجهاز العسكري'!$G$2:$G$631,$G269,'الجهاز العسكري'!$I$2:$I$631,$I269))/$L269,0))</f>
        <v>95</v>
      </c>
      <c r="P269" s="22"/>
      <c r="Q269" s="19" t="n">
        <f aca="false">SUMIFS(المرجع!$G$2:$G$19,المرجع!$B$2:$B$19,$G269,المرجع!$E$2:$E$19,$I269)</f>
        <v>15</v>
      </c>
      <c r="R269" s="26" t="n">
        <f aca="false">ROUND($Q269*$N269/100,2)</f>
        <v>6.9</v>
      </c>
      <c r="S269" s="27" t="str">
        <f aca="false">IF($N269&gt;المرجع!$K$3,"متقدم",IF($N269&lt;=المرجع!$K$2,"أولي","جزئي"))</f>
        <v>جزئي</v>
      </c>
      <c r="T269" s="28" t="n">
        <f aca="false">ROUND($Q269*$O269/100,2)</f>
        <v>14.25</v>
      </c>
    </row>
    <row r="270" customFormat="false" ht="15" hidden="false" customHeight="true" outlineLevel="0" collapsed="false">
      <c r="A270" s="20" t="s">
        <v>1722</v>
      </c>
      <c r="B270" s="20" t="s">
        <v>183</v>
      </c>
      <c r="C270" s="19" t="str">
        <f aca="false">IFERROR(INDEX('قائمة الوحدات'!$B$2:$B$41,MATCH($B270,'قائمة الوحدات'!$A$2:$A$41,0)),"")</f>
        <v>EXE</v>
      </c>
      <c r="D270" s="18" t="str">
        <f aca="false">IFERROR(INDEX('قائمة الوحدات'!$C$2:$C$41,MATCH($B270,'قائمة الوحدات'!$A$2:$A$41,0)),"")</f>
        <v>الشؤون التنفيذية</v>
      </c>
      <c r="E270" s="18" t="str">
        <f aca="false">IFERROR(INDEX('قائمة الوحدات'!$D$2:$D$41,MATCH($B270,'قائمة الوحدات'!$A$2:$A$41,0)),"")</f>
        <v>وكالة الخدمات المساندة</v>
      </c>
      <c r="F270" s="18" t="str">
        <f aca="false">IFERROR(INDEX('قائمة الوحدات'!$F$2:$F$41,MATCH($B270,'قائمة الوحدات'!$A$2:$A$41,0)),"")</f>
        <v>الإدارة العامة لتقنية المعلومات</v>
      </c>
      <c r="G270" s="20" t="s">
        <v>66</v>
      </c>
      <c r="H270" s="18" t="str">
        <f aca="false">IFERROR(INDEX(المرجع!$A$2:$A$19,MATCH($G270,المرجع!$B$2:$B$19,0)),"")</f>
        <v>التشغيل</v>
      </c>
      <c r="I270" s="20" t="s">
        <v>60</v>
      </c>
      <c r="J270" s="18" t="str">
        <f aca="false">IFERROR(INDEX(المرجع!$D$2:$D$19,MATCH($I270,المرجع!$E$2:$E$19,0)),"")</f>
        <v>الإجراءات</v>
      </c>
      <c r="K270" s="19" t="n">
        <f aca="false">IFERROR(INDEX(المرجع!$F$2:$F$19,MATCH($I270,المرجع!$E$2:$E$19,0)),"")</f>
        <v>6</v>
      </c>
      <c r="L270" s="19" t="n">
        <f aca="false">SUMIFS(المرجع!$H$2:$H$19,المرجع!$B$2:$B$19,$G270,المرجع!$E$2:$E$19,$I270)</f>
        <v>1</v>
      </c>
      <c r="M270" s="19" t="n">
        <f aca="false">COUNTIFS('المرتبطة بسمو الوزير'!$B$2:$B$151,$B270,'المرتبطة بسمو الوزير'!$G$2:$G$151,$G270,'المرتبطة بسمو الوزير'!$I$2:$I$151,$I270,'المرتبطة بسمو الوزير'!$M$2:$M$151,"&lt;&gt;")+COUNTIFS('الشؤون التنفيذية'!$B$2:$B$421,$B270,'الشؤون التنفيذية'!$G$2:$G$421,$G270,'الشؤون التنفيذية'!$I$2:$I$421,$I270,'الشؤون التنفيذية'!$N$2:$N$421,"&lt;&gt;")+COUNTIFS('الجهاز العسكري'!$B$2:$B$631,$B270,'الجهاز العسكري'!$G$2:$G$631,$G270,'الجهاز العسكري'!$I$2:$I$631,$I270,'الجهاز العسكري'!$M$2:$M$631,"&lt;&gt;")</f>
        <v>1</v>
      </c>
      <c r="N270" s="24" t="n">
        <f aca="false">IF($L270=0,0,ROUND((SUMIFS('المرتبطة بسمو الوزير'!$M$2:$M$151,'المرتبطة بسمو الوزير'!$B$2:$B$151,$B270,'المرتبطة بسمو الوزير'!$G$2:$G$151,$G270,'المرتبطة بسمو الوزير'!$I$2:$I$151,$I270)+SUMIFS('الشؤون التنفيذية'!$N$2:$N$421,'الشؤون التنفيذية'!$B$2:$B$421,$B270,'الشؤون التنفيذية'!$G$2:$G$421,$G270,'الشؤون التنفيذية'!$I$2:$I$421,$I270)+SUMIFS('الجهاز العسكري'!$M$2:$M$631,'الجهاز العسكري'!$B$2:$B$631,$B270,'الجهاز العسكري'!$G$2:$G$631,$G270,'الجهاز العسكري'!$I$2:$I$631,$I270))/$L270,0))</f>
        <v>56</v>
      </c>
      <c r="O270" s="25" t="n">
        <f aca="false">IF($L270=0,0,ROUND((SUMIFS('المرتبطة بسمو الوزير'!$N$2:$N$151,'المرتبطة بسمو الوزير'!$B$2:$B$151,$B270,'المرتبطة بسمو الوزير'!$G$2:$G$151,$G270,'المرتبطة بسمو الوزير'!$I$2:$I$151,$I270)+SUMIFS('الشؤون التنفيذية'!$O$2:$O$421,'الشؤون التنفيذية'!$B$2:$B$421,$B270,'الشؤون التنفيذية'!$G$2:$G$421,$G270,'الشؤون التنفيذية'!$I$2:$I$421,$I270)+SUMIFS('الجهاز العسكري'!$N$2:$N$631,'الجهاز العسكري'!$B$2:$B$631,$B270,'الجهاز العسكري'!$G$2:$G$631,$G270,'الجهاز العسكري'!$I$2:$I$631,$I270))/$L270,0))</f>
        <v>100</v>
      </c>
      <c r="P270" s="22"/>
      <c r="Q270" s="19" t="n">
        <f aca="false">SUMIFS(المرجع!$G$2:$G$19,المرجع!$B$2:$B$19,$G270,المرجع!$E$2:$E$19,$I270)</f>
        <v>15</v>
      </c>
      <c r="R270" s="26" t="n">
        <f aca="false">ROUND($Q270*$N270/100,2)</f>
        <v>8.4</v>
      </c>
      <c r="S270" s="27" t="str">
        <f aca="false">IF($N270&gt;المرجع!$K$3,"متقدم",IF($N270&lt;=المرجع!$K$2,"أولي","جزئي"))</f>
        <v>جزئي</v>
      </c>
      <c r="T270" s="28" t="n">
        <f aca="false">ROUND($Q270*$O270/100,2)</f>
        <v>15</v>
      </c>
    </row>
    <row r="271" customFormat="false" ht="15" hidden="false" customHeight="true" outlineLevel="0" collapsed="false">
      <c r="A271" s="20" t="s">
        <v>1723</v>
      </c>
      <c r="B271" s="20" t="s">
        <v>183</v>
      </c>
      <c r="C271" s="19" t="str">
        <f aca="false">IFERROR(INDEX('قائمة الوحدات'!$B$2:$B$41,MATCH($B271,'قائمة الوحدات'!$A$2:$A$41,0)),"")</f>
        <v>EXE</v>
      </c>
      <c r="D271" s="18" t="str">
        <f aca="false">IFERROR(INDEX('قائمة الوحدات'!$C$2:$C$41,MATCH($B271,'قائمة الوحدات'!$A$2:$A$41,0)),"")</f>
        <v>الشؤون التنفيذية</v>
      </c>
      <c r="E271" s="18" t="str">
        <f aca="false">IFERROR(INDEX('قائمة الوحدات'!$D$2:$D$41,MATCH($B271,'قائمة الوحدات'!$A$2:$A$41,0)),"")</f>
        <v>وكالة الخدمات المساندة</v>
      </c>
      <c r="F271" s="18" t="str">
        <f aca="false">IFERROR(INDEX('قائمة الوحدات'!$F$2:$F$41,MATCH($B271,'قائمة الوحدات'!$A$2:$A$41,0)),"")</f>
        <v>الإدارة العامة لتقنية المعلومات</v>
      </c>
      <c r="G271" s="20" t="s">
        <v>66</v>
      </c>
      <c r="H271" s="18" t="str">
        <f aca="false">IFERROR(INDEX(المرجع!$A$2:$A$19,MATCH($G271,المرجع!$B$2:$B$19,0)),"")</f>
        <v>التشغيل</v>
      </c>
      <c r="I271" s="20" t="s">
        <v>71</v>
      </c>
      <c r="J271" s="18" t="str">
        <f aca="false">IFERROR(INDEX(المرجع!$D$2:$D$19,MATCH($I271,المرجع!$E$2:$E$19,0)),"")</f>
        <v>اكتمال المخرجات المستهدفة</v>
      </c>
      <c r="K271" s="19" t="n">
        <f aca="false">IFERROR(INDEX(المرجع!$F$2:$F$19,MATCH($I271,المرجع!$E$2:$E$19,0)),"")</f>
        <v>8</v>
      </c>
      <c r="L271" s="19" t="n">
        <f aca="false">SUMIFS(المرجع!$H$2:$H$19,المرجع!$B$2:$B$19,$G271,المرجع!$E$2:$E$19,$I271)</f>
        <v>1</v>
      </c>
      <c r="M271" s="19" t="n">
        <f aca="false">COUNTIFS('المرتبطة بسمو الوزير'!$B$2:$B$151,$B271,'المرتبطة بسمو الوزير'!$G$2:$G$151,$G271,'المرتبطة بسمو الوزير'!$I$2:$I$151,$I271,'المرتبطة بسمو الوزير'!$M$2:$M$151,"&lt;&gt;")+COUNTIFS('الشؤون التنفيذية'!$B$2:$B$421,$B271,'الشؤون التنفيذية'!$G$2:$G$421,$G271,'الشؤون التنفيذية'!$I$2:$I$421,$I271,'الشؤون التنفيذية'!$N$2:$N$421,"&lt;&gt;")+COUNTIFS('الجهاز العسكري'!$B$2:$B$631,$B271,'الجهاز العسكري'!$G$2:$G$631,$G271,'الجهاز العسكري'!$I$2:$I$631,$I271,'الجهاز العسكري'!$M$2:$M$631,"&lt;&gt;")</f>
        <v>1</v>
      </c>
      <c r="N271" s="24" t="n">
        <f aca="false">IF($L271=0,0,ROUND((SUMIFS('المرتبطة بسمو الوزير'!$M$2:$M$151,'المرتبطة بسمو الوزير'!$B$2:$B$151,$B271,'المرتبطة بسمو الوزير'!$G$2:$G$151,$G271,'المرتبطة بسمو الوزير'!$I$2:$I$151,$I271)+SUMIFS('الشؤون التنفيذية'!$N$2:$N$421,'الشؤون التنفيذية'!$B$2:$B$421,$B271,'الشؤون التنفيذية'!$G$2:$G$421,$G271,'الشؤون التنفيذية'!$I$2:$I$421,$I271)+SUMIFS('الجهاز العسكري'!$M$2:$M$631,'الجهاز العسكري'!$B$2:$B$631,$B271,'الجهاز العسكري'!$G$2:$G$631,$G271,'الجهاز العسكري'!$I$2:$I$631,$I271))/$L271,0))</f>
        <v>48</v>
      </c>
      <c r="O271" s="25" t="n">
        <f aca="false">IF($L271=0,0,ROUND((SUMIFS('المرتبطة بسمو الوزير'!$N$2:$N$151,'المرتبطة بسمو الوزير'!$B$2:$B$151,$B271,'المرتبطة بسمو الوزير'!$G$2:$G$151,$G271,'المرتبطة بسمو الوزير'!$I$2:$I$151,$I271)+SUMIFS('الشؤون التنفيذية'!$O$2:$O$421,'الشؤون التنفيذية'!$B$2:$B$421,$B271,'الشؤون التنفيذية'!$G$2:$G$421,$G271,'الشؤون التنفيذية'!$I$2:$I$421,$I271)+SUMIFS('الجهاز العسكري'!$N$2:$N$631,'الجهاز العسكري'!$B$2:$B$631,$B271,'الجهاز العسكري'!$G$2:$G$631,$G271,'الجهاز العسكري'!$I$2:$I$631,$I271))/$L271,0))</f>
        <v>85</v>
      </c>
      <c r="P271" s="22"/>
      <c r="Q271" s="19" t="n">
        <f aca="false">SUMIFS(المرجع!$G$2:$G$19,المرجع!$B$2:$B$19,$G271,المرجع!$E$2:$E$19,$I271)</f>
        <v>30</v>
      </c>
      <c r="R271" s="26" t="n">
        <f aca="false">ROUND($Q271*$N271/100,2)</f>
        <v>14.4</v>
      </c>
      <c r="S271" s="27" t="str">
        <f aca="false">IF($N271&gt;المرجع!$K$3,"متقدم",IF($N271&lt;=المرجع!$K$2,"أولي","جزئي"))</f>
        <v>جزئي</v>
      </c>
      <c r="T271" s="28" t="n">
        <f aca="false">ROUND($Q271*$O271/100,2)</f>
        <v>25.5</v>
      </c>
    </row>
    <row r="272" customFormat="false" ht="15" hidden="false" customHeight="true" outlineLevel="0" collapsed="false">
      <c r="A272" s="20" t="s">
        <v>1724</v>
      </c>
      <c r="B272" s="20" t="s">
        <v>185</v>
      </c>
      <c r="C272" s="19" t="str">
        <f aca="false">IFERROR(INDEX('قائمة الوحدات'!$B$2:$B$41,MATCH($B272,'قائمة الوحدات'!$A$2:$A$41,0)),"")</f>
        <v>EXE</v>
      </c>
      <c r="D272" s="18" t="str">
        <f aca="false">IFERROR(INDEX('قائمة الوحدات'!$C$2:$C$41,MATCH($B272,'قائمة الوحدات'!$A$2:$A$41,0)),"")</f>
        <v>الشؤون التنفيذية</v>
      </c>
      <c r="E272" s="18" t="str">
        <f aca="false">IFERROR(INDEX('قائمة الوحدات'!$D$2:$D$41,MATCH($B272,'قائمة الوحدات'!$A$2:$A$41,0)),"")</f>
        <v>وكالة الشؤون الاستراتيجية</v>
      </c>
      <c r="F272" s="18" t="str">
        <f aca="false">IFERROR(INDEX('قائمة الوحدات'!$F$2:$F$41,MATCH($B272,'قائمة الوحدات'!$A$2:$A$41,0)),"")</f>
        <v>وكالة الشؤون الاستراتيجية</v>
      </c>
      <c r="G272" s="20" t="s">
        <v>44</v>
      </c>
      <c r="H272" s="18" t="str">
        <f aca="false">IFERROR(INDEX(المرجع!$A$2:$A$19,MATCH($G272,المرجع!$B$2:$B$19,0)),"")</f>
        <v>التصميم</v>
      </c>
      <c r="I272" s="20" t="s">
        <v>46</v>
      </c>
      <c r="J272" s="18" t="str">
        <f aca="false">IFERROR(INDEX(المرجع!$D$2:$D$19,MATCH($I272,المرجع!$E$2:$E$19,0)),"")</f>
        <v>الدور</v>
      </c>
      <c r="K272" s="19" t="n">
        <f aca="false">IFERROR(INDEX(المرجع!$F$2:$F$19,MATCH($I272,المرجع!$E$2:$E$19,0)),"")</f>
        <v>1</v>
      </c>
      <c r="L272" s="19" t="n">
        <f aca="false">SUMIFS(المرجع!$H$2:$H$19,المرجع!$B$2:$B$19,$G272,المرجع!$E$2:$E$19,$I272)</f>
        <v>1</v>
      </c>
      <c r="M272" s="19" t="n">
        <f aca="false">COUNTIFS('المرتبطة بسمو الوزير'!$B$2:$B$151,$B272,'المرتبطة بسمو الوزير'!$G$2:$G$151,$G272,'المرتبطة بسمو الوزير'!$I$2:$I$151,$I272,'المرتبطة بسمو الوزير'!$M$2:$M$151,"&lt;&gt;")+COUNTIFS('الشؤون التنفيذية'!$B$2:$B$421,$B272,'الشؤون التنفيذية'!$G$2:$G$421,$G272,'الشؤون التنفيذية'!$I$2:$I$421,$I272,'الشؤون التنفيذية'!$N$2:$N$421,"&lt;&gt;")+COUNTIFS('الجهاز العسكري'!$B$2:$B$631,$B272,'الجهاز العسكري'!$G$2:$G$631,$G272,'الجهاز العسكري'!$I$2:$I$631,$I272,'الجهاز العسكري'!$M$2:$M$631,"&lt;&gt;")</f>
        <v>1</v>
      </c>
      <c r="N272" s="24" t="n">
        <f aca="false">IF($L272=0,0,ROUND((SUMIFS('المرتبطة بسمو الوزير'!$M$2:$M$151,'المرتبطة بسمو الوزير'!$B$2:$B$151,$B272,'المرتبطة بسمو الوزير'!$G$2:$G$151,$G272,'المرتبطة بسمو الوزير'!$I$2:$I$151,$I272)+SUMIFS('الشؤون التنفيذية'!$N$2:$N$421,'الشؤون التنفيذية'!$B$2:$B$421,$B272,'الشؤون التنفيذية'!$G$2:$G$421,$G272,'الشؤون التنفيذية'!$I$2:$I$421,$I272)+SUMIFS('الجهاز العسكري'!$M$2:$M$631,'الجهاز العسكري'!$B$2:$B$631,$B272,'الجهاز العسكري'!$G$2:$G$631,$G272,'الجهاز العسكري'!$I$2:$I$631,$I272))/$L272,0))</f>
        <v>82</v>
      </c>
      <c r="O272" s="25" t="n">
        <f aca="false">IF($L272=0,0,ROUND((SUMIFS('المرتبطة بسمو الوزير'!$N$2:$N$151,'المرتبطة بسمو الوزير'!$B$2:$B$151,$B272,'المرتبطة بسمو الوزير'!$G$2:$G$151,$G272,'المرتبطة بسمو الوزير'!$I$2:$I$151,$I272)+SUMIFS('الشؤون التنفيذية'!$O$2:$O$421,'الشؤون التنفيذية'!$B$2:$B$421,$B272,'الشؤون التنفيذية'!$G$2:$G$421,$G272,'الشؤون التنفيذية'!$I$2:$I$421,$I272)+SUMIFS('الجهاز العسكري'!$N$2:$N$631,'الجهاز العسكري'!$B$2:$B$631,$B272,'الجهاز العسكري'!$G$2:$G$631,$G272,'الجهاز العسكري'!$I$2:$I$631,$I272))/$L272,0))</f>
        <v>100</v>
      </c>
      <c r="P272" s="22"/>
      <c r="Q272" s="19" t="n">
        <f aca="false">SUMIFS(المرجع!$G$2:$G$19,المرجع!$B$2:$B$19,$G272,المرجع!$E$2:$E$19,$I272)</f>
        <v>25</v>
      </c>
      <c r="R272" s="26" t="n">
        <f aca="false">ROUND($Q272*$N272/100,2)</f>
        <v>20.5</v>
      </c>
      <c r="S272" s="27" t="str">
        <f aca="false">IF($N272&gt;المرجع!$K$3,"متقدم",IF($N272&lt;=المرجع!$K$2,"أولي","جزئي"))</f>
        <v>متقدم</v>
      </c>
      <c r="T272" s="28" t="n">
        <f aca="false">ROUND($Q272*$O272/100,2)</f>
        <v>25</v>
      </c>
    </row>
    <row r="273" customFormat="false" ht="15" hidden="false" customHeight="true" outlineLevel="0" collapsed="false">
      <c r="A273" s="20" t="s">
        <v>1725</v>
      </c>
      <c r="B273" s="20" t="s">
        <v>185</v>
      </c>
      <c r="C273" s="19" t="str">
        <f aca="false">IFERROR(INDEX('قائمة الوحدات'!$B$2:$B$41,MATCH($B273,'قائمة الوحدات'!$A$2:$A$41,0)),"")</f>
        <v>EXE</v>
      </c>
      <c r="D273" s="18" t="str">
        <f aca="false">IFERROR(INDEX('قائمة الوحدات'!$C$2:$C$41,MATCH($B273,'قائمة الوحدات'!$A$2:$A$41,0)),"")</f>
        <v>الشؤون التنفيذية</v>
      </c>
      <c r="E273" s="18" t="str">
        <f aca="false">IFERROR(INDEX('قائمة الوحدات'!$D$2:$D$41,MATCH($B273,'قائمة الوحدات'!$A$2:$A$41,0)),"")</f>
        <v>وكالة الشؤون الاستراتيجية</v>
      </c>
      <c r="F273" s="18" t="str">
        <f aca="false">IFERROR(INDEX('قائمة الوحدات'!$F$2:$F$41,MATCH($B273,'قائمة الوحدات'!$A$2:$A$41,0)),"")</f>
        <v>وكالة الشؤون الاستراتيجية</v>
      </c>
      <c r="G273" s="20" t="s">
        <v>44</v>
      </c>
      <c r="H273" s="18" t="str">
        <f aca="false">IFERROR(INDEX(المرجع!$A$2:$A$19,MATCH($G273,المرجع!$B$2:$B$19,0)),"")</f>
        <v>التصميم</v>
      </c>
      <c r="I273" s="20" t="s">
        <v>49</v>
      </c>
      <c r="J273" s="18" t="str">
        <f aca="false">IFERROR(INDEX(المرجع!$D$2:$D$19,MATCH($I273,المرجع!$E$2:$E$19,0)),"")</f>
        <v>الأهداف ومؤشرات الأداء</v>
      </c>
      <c r="K273" s="19" t="n">
        <f aca="false">IFERROR(INDEX(المرجع!$F$2:$F$19,MATCH($I273,المرجع!$E$2:$E$19,0)),"")</f>
        <v>2</v>
      </c>
      <c r="L273" s="19" t="n">
        <f aca="false">SUMIFS(المرجع!$H$2:$H$19,المرجع!$B$2:$B$19,$G273,المرجع!$E$2:$E$19,$I273)</f>
        <v>2</v>
      </c>
      <c r="M273" s="19" t="n">
        <f aca="false">COUNTIFS('المرتبطة بسمو الوزير'!$B$2:$B$151,$B273,'المرتبطة بسمو الوزير'!$G$2:$G$151,$G273,'المرتبطة بسمو الوزير'!$I$2:$I$151,$I273,'المرتبطة بسمو الوزير'!$M$2:$M$151,"&lt;&gt;")+COUNTIFS('الشؤون التنفيذية'!$B$2:$B$421,$B273,'الشؤون التنفيذية'!$G$2:$G$421,$G273,'الشؤون التنفيذية'!$I$2:$I$421,$I273,'الشؤون التنفيذية'!$N$2:$N$421,"&lt;&gt;")+COUNTIFS('الجهاز العسكري'!$B$2:$B$631,$B273,'الجهاز العسكري'!$G$2:$G$631,$G273,'الجهاز العسكري'!$I$2:$I$631,$I273,'الجهاز العسكري'!$M$2:$M$631,"&lt;&gt;")</f>
        <v>2</v>
      </c>
      <c r="N273" s="24" t="n">
        <f aca="false">IF($L273=0,0,ROUND((SUMIFS('المرتبطة بسمو الوزير'!$M$2:$M$151,'المرتبطة بسمو الوزير'!$B$2:$B$151,$B273,'المرتبطة بسمو الوزير'!$G$2:$G$151,$G273,'المرتبطة بسمو الوزير'!$I$2:$I$151,$I273)+SUMIFS('الشؤون التنفيذية'!$N$2:$N$421,'الشؤون التنفيذية'!$B$2:$B$421,$B273,'الشؤون التنفيذية'!$G$2:$G$421,$G273,'الشؤون التنفيذية'!$I$2:$I$421,$I273)+SUMIFS('الجهاز العسكري'!$M$2:$M$631,'الجهاز العسكري'!$B$2:$B$631,$B273,'الجهاز العسكري'!$G$2:$G$631,$G273,'الجهاز العسكري'!$I$2:$I$631,$I273))/$L273,0))</f>
        <v>100</v>
      </c>
      <c r="O273" s="25" t="n">
        <f aca="false">IF($L273=0,0,ROUND((SUMIFS('المرتبطة بسمو الوزير'!$N$2:$N$151,'المرتبطة بسمو الوزير'!$B$2:$B$151,$B273,'المرتبطة بسمو الوزير'!$G$2:$G$151,$G273,'المرتبطة بسمو الوزير'!$I$2:$I$151,$I273)+SUMIFS('الشؤون التنفيذية'!$O$2:$O$421,'الشؤون التنفيذية'!$B$2:$B$421,$B273,'الشؤون التنفيذية'!$G$2:$G$421,$G273,'الشؤون التنفيذية'!$I$2:$I$421,$I273)+SUMIFS('الجهاز العسكري'!$N$2:$N$631,'الجهاز العسكري'!$B$2:$B$631,$B273,'الجهاز العسكري'!$G$2:$G$631,$G273,'الجهاز العسكري'!$I$2:$I$631,$I273))/$L273,0))</f>
        <v>100</v>
      </c>
      <c r="P273" s="22"/>
      <c r="Q273" s="19" t="n">
        <f aca="false">SUMIFS(المرجع!$G$2:$G$19,المرجع!$B$2:$B$19,$G273,المرجع!$E$2:$E$19,$I273)</f>
        <v>15</v>
      </c>
      <c r="R273" s="26" t="n">
        <f aca="false">ROUND($Q273*$N273/100,2)</f>
        <v>15</v>
      </c>
      <c r="S273" s="27" t="str">
        <f aca="false">IF($N273&gt;المرجع!$K$3,"متقدم",IF($N273&lt;=المرجع!$K$2,"أولي","جزئي"))</f>
        <v>متقدم</v>
      </c>
      <c r="T273" s="28" t="n">
        <f aca="false">ROUND($Q273*$O273/100,2)</f>
        <v>15</v>
      </c>
    </row>
    <row r="274" customFormat="false" ht="15" hidden="false" customHeight="true" outlineLevel="0" collapsed="false">
      <c r="A274" s="20" t="s">
        <v>1726</v>
      </c>
      <c r="B274" s="20" t="s">
        <v>185</v>
      </c>
      <c r="C274" s="19" t="str">
        <f aca="false">IFERROR(INDEX('قائمة الوحدات'!$B$2:$B$41,MATCH($B274,'قائمة الوحدات'!$A$2:$A$41,0)),"")</f>
        <v>EXE</v>
      </c>
      <c r="D274" s="18" t="str">
        <f aca="false">IFERROR(INDEX('قائمة الوحدات'!$C$2:$C$41,MATCH($B274,'قائمة الوحدات'!$A$2:$A$41,0)),"")</f>
        <v>الشؤون التنفيذية</v>
      </c>
      <c r="E274" s="18" t="str">
        <f aca="false">IFERROR(INDEX('قائمة الوحدات'!$D$2:$D$41,MATCH($B274,'قائمة الوحدات'!$A$2:$A$41,0)),"")</f>
        <v>وكالة الشؤون الاستراتيجية</v>
      </c>
      <c r="F274" s="18" t="str">
        <f aca="false">IFERROR(INDEX('قائمة الوحدات'!$F$2:$F$41,MATCH($B274,'قائمة الوحدات'!$A$2:$A$41,0)),"")</f>
        <v>وكالة الشؤون الاستراتيجية</v>
      </c>
      <c r="G274" s="20" t="s">
        <v>44</v>
      </c>
      <c r="H274" s="18" t="str">
        <f aca="false">IFERROR(INDEX(المرجع!$A$2:$A$19,MATCH($G274,المرجع!$B$2:$B$19,0)),"")</f>
        <v>التصميم</v>
      </c>
      <c r="I274" s="20" t="s">
        <v>52</v>
      </c>
      <c r="J274" s="18" t="str">
        <f aca="false">IFERROR(INDEX(المرجع!$D$2:$D$19,MATCH($I274,المرجع!$E$2:$E$19,0)),"")</f>
        <v>الحوكمة</v>
      </c>
      <c r="K274" s="19" t="n">
        <f aca="false">IFERROR(INDEX(المرجع!$F$2:$F$19,MATCH($I274,المرجع!$E$2:$E$19,0)),"")</f>
        <v>3</v>
      </c>
      <c r="L274" s="19" t="n">
        <f aca="false">SUMIFS(المرجع!$H$2:$H$19,المرجع!$B$2:$B$19,$G274,المرجع!$E$2:$E$19,$I274)</f>
        <v>1</v>
      </c>
      <c r="M274" s="19" t="n">
        <f aca="false">COUNTIFS('المرتبطة بسمو الوزير'!$B$2:$B$151,$B274,'المرتبطة بسمو الوزير'!$G$2:$G$151,$G274,'المرتبطة بسمو الوزير'!$I$2:$I$151,$I274,'المرتبطة بسمو الوزير'!$M$2:$M$151,"&lt;&gt;")+COUNTIFS('الشؤون التنفيذية'!$B$2:$B$421,$B274,'الشؤون التنفيذية'!$G$2:$G$421,$G274,'الشؤون التنفيذية'!$I$2:$I$421,$I274,'الشؤون التنفيذية'!$N$2:$N$421,"&lt;&gt;")+COUNTIFS('الجهاز العسكري'!$B$2:$B$631,$B274,'الجهاز العسكري'!$G$2:$G$631,$G274,'الجهاز العسكري'!$I$2:$I$631,$I274,'الجهاز العسكري'!$M$2:$M$631,"&lt;&gt;")</f>
        <v>1</v>
      </c>
      <c r="N274" s="24" t="n">
        <f aca="false">IF($L274=0,0,ROUND((SUMIFS('المرتبطة بسمو الوزير'!$M$2:$M$151,'المرتبطة بسمو الوزير'!$B$2:$B$151,$B274,'المرتبطة بسمو الوزير'!$G$2:$G$151,$G274,'المرتبطة بسمو الوزير'!$I$2:$I$151,$I274)+SUMIFS('الشؤون التنفيذية'!$N$2:$N$421,'الشؤون التنفيذية'!$B$2:$B$421,$B274,'الشؤون التنفيذية'!$G$2:$G$421,$G274,'الشؤون التنفيذية'!$I$2:$I$421,$I274)+SUMIFS('الجهاز العسكري'!$M$2:$M$631,'الجهاز العسكري'!$B$2:$B$631,$B274,'الجهاز العسكري'!$G$2:$G$631,$G274,'الجهاز العسكري'!$I$2:$I$631,$I274))/$L274,0))</f>
        <v>72</v>
      </c>
      <c r="O274" s="25" t="n">
        <f aca="false">IF($L274=0,0,ROUND((SUMIFS('المرتبطة بسمو الوزير'!$N$2:$N$151,'المرتبطة بسمو الوزير'!$B$2:$B$151,$B274,'المرتبطة بسمو الوزير'!$G$2:$G$151,$G274,'المرتبطة بسمو الوزير'!$I$2:$I$151,$I274)+SUMIFS('الشؤون التنفيذية'!$O$2:$O$421,'الشؤون التنفيذية'!$B$2:$B$421,$B274,'الشؤون التنفيذية'!$G$2:$G$421,$G274,'الشؤون التنفيذية'!$I$2:$I$421,$I274)+SUMIFS('الجهاز العسكري'!$N$2:$N$631,'الجهاز العسكري'!$B$2:$B$631,$B274,'الجهاز العسكري'!$G$2:$G$631,$G274,'الجهاز العسكري'!$I$2:$I$631,$I274))/$L274,0))</f>
        <v>100</v>
      </c>
      <c r="P274" s="22"/>
      <c r="Q274" s="19" t="n">
        <f aca="false">SUMIFS(المرجع!$G$2:$G$19,المرجع!$B$2:$B$19,$G274,المرجع!$E$2:$E$19,$I274)</f>
        <v>15</v>
      </c>
      <c r="R274" s="26" t="n">
        <f aca="false">ROUND($Q274*$N274/100,2)</f>
        <v>10.8</v>
      </c>
      <c r="S274" s="27" t="str">
        <f aca="false">IF($N274&gt;المرجع!$K$3,"متقدم",IF($N274&lt;=المرجع!$K$2,"أولي","جزئي"))</f>
        <v>متقدم</v>
      </c>
      <c r="T274" s="28" t="n">
        <f aca="false">ROUND($Q274*$O274/100,2)</f>
        <v>15</v>
      </c>
    </row>
    <row r="275" customFormat="false" ht="15" hidden="false" customHeight="true" outlineLevel="0" collapsed="false">
      <c r="A275" s="20" t="s">
        <v>1727</v>
      </c>
      <c r="B275" s="20" t="s">
        <v>185</v>
      </c>
      <c r="C275" s="19" t="str">
        <f aca="false">IFERROR(INDEX('قائمة الوحدات'!$B$2:$B$41,MATCH($B275,'قائمة الوحدات'!$A$2:$A$41,0)),"")</f>
        <v>EXE</v>
      </c>
      <c r="D275" s="18" t="str">
        <f aca="false">IFERROR(INDEX('قائمة الوحدات'!$C$2:$C$41,MATCH($B275,'قائمة الوحدات'!$A$2:$A$41,0)),"")</f>
        <v>الشؤون التنفيذية</v>
      </c>
      <c r="E275" s="18" t="str">
        <f aca="false">IFERROR(INDEX('قائمة الوحدات'!$D$2:$D$41,MATCH($B275,'قائمة الوحدات'!$A$2:$A$41,0)),"")</f>
        <v>وكالة الشؤون الاستراتيجية</v>
      </c>
      <c r="F275" s="18" t="str">
        <f aca="false">IFERROR(INDEX('قائمة الوحدات'!$F$2:$F$41,MATCH($B275,'قائمة الوحدات'!$A$2:$A$41,0)),"")</f>
        <v>وكالة الشؤون الاستراتيجية</v>
      </c>
      <c r="G275" s="20" t="s">
        <v>44</v>
      </c>
      <c r="H275" s="18" t="str">
        <f aca="false">IFERROR(INDEX(المرجع!$A$2:$A$19,MATCH($G275,المرجع!$B$2:$B$19,0)),"")</f>
        <v>التصميم</v>
      </c>
      <c r="I275" s="20" t="s">
        <v>55</v>
      </c>
      <c r="J275" s="18" t="str">
        <f aca="false">IFERROR(INDEX(المرجع!$D$2:$D$19,MATCH($I275,المرجع!$E$2:$E$19,0)),"")</f>
        <v>التنظيم</v>
      </c>
      <c r="K275" s="19" t="n">
        <f aca="false">IFERROR(INDEX(المرجع!$F$2:$F$19,MATCH($I275,المرجع!$E$2:$E$19,0)),"")</f>
        <v>4</v>
      </c>
      <c r="L275" s="19" t="n">
        <f aca="false">SUMIFS(المرجع!$H$2:$H$19,المرجع!$B$2:$B$19,$G275,المرجع!$E$2:$E$19,$I275)</f>
        <v>1</v>
      </c>
      <c r="M275" s="19" t="n">
        <f aca="false">COUNTIFS('المرتبطة بسمو الوزير'!$B$2:$B$151,$B275,'المرتبطة بسمو الوزير'!$G$2:$G$151,$G275,'المرتبطة بسمو الوزير'!$I$2:$I$151,$I275,'المرتبطة بسمو الوزير'!$M$2:$M$151,"&lt;&gt;")+COUNTIFS('الشؤون التنفيذية'!$B$2:$B$421,$B275,'الشؤون التنفيذية'!$G$2:$G$421,$G275,'الشؤون التنفيذية'!$I$2:$I$421,$I275,'الشؤون التنفيذية'!$N$2:$N$421,"&lt;&gt;")+COUNTIFS('الجهاز العسكري'!$B$2:$B$631,$B275,'الجهاز العسكري'!$G$2:$G$631,$G275,'الجهاز العسكري'!$I$2:$I$631,$I275,'الجهاز العسكري'!$M$2:$M$631,"&lt;&gt;")</f>
        <v>1</v>
      </c>
      <c r="N275" s="24" t="n">
        <f aca="false">IF($L275=0,0,ROUND((SUMIFS('المرتبطة بسمو الوزير'!$M$2:$M$151,'المرتبطة بسمو الوزير'!$B$2:$B$151,$B275,'المرتبطة بسمو الوزير'!$G$2:$G$151,$G275,'المرتبطة بسمو الوزير'!$I$2:$I$151,$I275)+SUMIFS('الشؤون التنفيذية'!$N$2:$N$421,'الشؤون التنفيذية'!$B$2:$B$421,$B275,'الشؤون التنفيذية'!$G$2:$G$421,$G275,'الشؤون التنفيذية'!$I$2:$I$421,$I275)+SUMIFS('الجهاز العسكري'!$M$2:$M$631,'الجهاز العسكري'!$B$2:$B$631,$B275,'الجهاز العسكري'!$G$2:$G$631,$G275,'الجهاز العسكري'!$I$2:$I$631,$I275))/$L275,0))</f>
        <v>90</v>
      </c>
      <c r="O275" s="25" t="n">
        <f aca="false">IF($L275=0,0,ROUND((SUMIFS('المرتبطة بسمو الوزير'!$N$2:$N$151,'المرتبطة بسمو الوزير'!$B$2:$B$151,$B275,'المرتبطة بسمو الوزير'!$G$2:$G$151,$G275,'المرتبطة بسمو الوزير'!$I$2:$I$151,$I275)+SUMIFS('الشؤون التنفيذية'!$O$2:$O$421,'الشؤون التنفيذية'!$B$2:$B$421,$B275,'الشؤون التنفيذية'!$G$2:$G$421,$G275,'الشؤون التنفيذية'!$I$2:$I$421,$I275)+SUMIFS('الجهاز العسكري'!$N$2:$N$631,'الجهاز العسكري'!$B$2:$B$631,$B275,'الجهاز العسكري'!$G$2:$G$631,$G275,'الجهاز العسكري'!$I$2:$I$631,$I275))/$L275,0))</f>
        <v>90</v>
      </c>
      <c r="P275" s="22"/>
      <c r="Q275" s="19" t="n">
        <f aca="false">SUMIFS(المرجع!$G$2:$G$19,المرجع!$B$2:$B$19,$G275,المرجع!$E$2:$E$19,$I275)</f>
        <v>20</v>
      </c>
      <c r="R275" s="26" t="n">
        <f aca="false">ROUND($Q275*$N275/100,2)</f>
        <v>18</v>
      </c>
      <c r="S275" s="27" t="str">
        <f aca="false">IF($N275&gt;المرجع!$K$3,"متقدم",IF($N275&lt;=المرجع!$K$2,"أولي","جزئي"))</f>
        <v>متقدم</v>
      </c>
      <c r="T275" s="28" t="n">
        <f aca="false">ROUND($Q275*$O275/100,2)</f>
        <v>18</v>
      </c>
    </row>
    <row r="276" customFormat="false" ht="15" hidden="false" customHeight="true" outlineLevel="0" collapsed="false">
      <c r="A276" s="20" t="s">
        <v>1728</v>
      </c>
      <c r="B276" s="20" t="s">
        <v>185</v>
      </c>
      <c r="C276" s="19" t="str">
        <f aca="false">IFERROR(INDEX('قائمة الوحدات'!$B$2:$B$41,MATCH($B276,'قائمة الوحدات'!$A$2:$A$41,0)),"")</f>
        <v>EXE</v>
      </c>
      <c r="D276" s="18" t="str">
        <f aca="false">IFERROR(INDEX('قائمة الوحدات'!$C$2:$C$41,MATCH($B276,'قائمة الوحدات'!$A$2:$A$41,0)),"")</f>
        <v>الشؤون التنفيذية</v>
      </c>
      <c r="E276" s="18" t="str">
        <f aca="false">IFERROR(INDEX('قائمة الوحدات'!$D$2:$D$41,MATCH($B276,'قائمة الوحدات'!$A$2:$A$41,0)),"")</f>
        <v>وكالة الشؤون الاستراتيجية</v>
      </c>
      <c r="F276" s="18" t="str">
        <f aca="false">IFERROR(INDEX('قائمة الوحدات'!$F$2:$F$41,MATCH($B276,'قائمة الوحدات'!$A$2:$A$41,0)),"")</f>
        <v>وكالة الشؤون الاستراتيجية</v>
      </c>
      <c r="G276" s="20" t="s">
        <v>44</v>
      </c>
      <c r="H276" s="18" t="str">
        <f aca="false">IFERROR(INDEX(المرجع!$A$2:$A$19,MATCH($G276,المرجع!$B$2:$B$19,0)),"")</f>
        <v>التصميم</v>
      </c>
      <c r="I276" s="20" t="s">
        <v>57</v>
      </c>
      <c r="J276" s="18" t="str">
        <f aca="false">IFERROR(INDEX(المرجع!$D$2:$D$19,MATCH($I276,المرجع!$E$2:$E$19,0)),"")</f>
        <v>الموارد</v>
      </c>
      <c r="K276" s="19" t="n">
        <f aca="false">IFERROR(INDEX(المرجع!$F$2:$F$19,MATCH($I276,المرجع!$E$2:$E$19,0)),"")</f>
        <v>5</v>
      </c>
      <c r="L276" s="19" t="n">
        <f aca="false">SUMIFS(المرجع!$H$2:$H$19,المرجع!$B$2:$B$19,$G276,المرجع!$E$2:$E$19,$I276)</f>
        <v>1</v>
      </c>
      <c r="M276" s="19" t="n">
        <f aca="false">COUNTIFS('المرتبطة بسمو الوزير'!$B$2:$B$151,$B276,'المرتبطة بسمو الوزير'!$G$2:$G$151,$G276,'المرتبطة بسمو الوزير'!$I$2:$I$151,$I276,'المرتبطة بسمو الوزير'!$M$2:$M$151,"&lt;&gt;")+COUNTIFS('الشؤون التنفيذية'!$B$2:$B$421,$B276,'الشؤون التنفيذية'!$G$2:$G$421,$G276,'الشؤون التنفيذية'!$I$2:$I$421,$I276,'الشؤون التنفيذية'!$N$2:$N$421,"&lt;&gt;")+COUNTIFS('الجهاز العسكري'!$B$2:$B$631,$B276,'الجهاز العسكري'!$G$2:$G$631,$G276,'الجهاز العسكري'!$I$2:$I$631,$I276,'الجهاز العسكري'!$M$2:$M$631,"&lt;&gt;")</f>
        <v>1</v>
      </c>
      <c r="N276" s="24" t="n">
        <f aca="false">IF($L276=0,0,ROUND((SUMIFS('المرتبطة بسمو الوزير'!$M$2:$M$151,'المرتبطة بسمو الوزير'!$B$2:$B$151,$B276,'المرتبطة بسمو الوزير'!$G$2:$G$151,$G276,'المرتبطة بسمو الوزير'!$I$2:$I$151,$I276)+SUMIFS('الشؤون التنفيذية'!$N$2:$N$421,'الشؤون التنفيذية'!$B$2:$B$421,$B276,'الشؤون التنفيذية'!$G$2:$G$421,$G276,'الشؤون التنفيذية'!$I$2:$I$421,$I276)+SUMIFS('الجهاز العسكري'!$M$2:$M$631,'الجهاز العسكري'!$B$2:$B$631,$B276,'الجهاز العسكري'!$G$2:$G$631,$G276,'الجهاز العسكري'!$I$2:$I$631,$I276))/$L276,0))</f>
        <v>76</v>
      </c>
      <c r="O276" s="25" t="n">
        <f aca="false">IF($L276=0,0,ROUND((SUMIFS('المرتبطة بسمو الوزير'!$N$2:$N$151,'المرتبطة بسمو الوزير'!$B$2:$B$151,$B276,'المرتبطة بسمو الوزير'!$G$2:$G$151,$G276,'المرتبطة بسمو الوزير'!$I$2:$I$151,$I276)+SUMIFS('الشؤون التنفيذية'!$O$2:$O$421,'الشؤون التنفيذية'!$B$2:$B$421,$B276,'الشؤون التنفيذية'!$G$2:$G$421,$G276,'الشؤون التنفيذية'!$I$2:$I$421,$I276)+SUMIFS('الجهاز العسكري'!$N$2:$N$631,'الجهاز العسكري'!$B$2:$B$631,$B276,'الجهاز العسكري'!$G$2:$G$631,$G276,'الجهاز العسكري'!$I$2:$I$631,$I276))/$L276,0))</f>
        <v>85</v>
      </c>
      <c r="P276" s="22"/>
      <c r="Q276" s="19" t="n">
        <f aca="false">SUMIFS(المرجع!$G$2:$G$19,المرجع!$B$2:$B$19,$G276,المرجع!$E$2:$E$19,$I276)</f>
        <v>20</v>
      </c>
      <c r="R276" s="26" t="n">
        <f aca="false">ROUND($Q276*$N276/100,2)</f>
        <v>15.2</v>
      </c>
      <c r="S276" s="27" t="str">
        <f aca="false">IF($N276&gt;المرجع!$K$3,"متقدم",IF($N276&lt;=المرجع!$K$2,"أولي","جزئي"))</f>
        <v>متقدم</v>
      </c>
      <c r="T276" s="28" t="n">
        <f aca="false">ROUND($Q276*$O276/100,2)</f>
        <v>17</v>
      </c>
    </row>
    <row r="277" customFormat="false" ht="15" hidden="false" customHeight="true" outlineLevel="0" collapsed="false">
      <c r="A277" s="20" t="s">
        <v>1729</v>
      </c>
      <c r="B277" s="20" t="s">
        <v>185</v>
      </c>
      <c r="C277" s="19" t="str">
        <f aca="false">IFERROR(INDEX('قائمة الوحدات'!$B$2:$B$41,MATCH($B277,'قائمة الوحدات'!$A$2:$A$41,0)),"")</f>
        <v>EXE</v>
      </c>
      <c r="D277" s="18" t="str">
        <f aca="false">IFERROR(INDEX('قائمة الوحدات'!$C$2:$C$41,MATCH($B277,'قائمة الوحدات'!$A$2:$A$41,0)),"")</f>
        <v>الشؤون التنفيذية</v>
      </c>
      <c r="E277" s="18" t="str">
        <f aca="false">IFERROR(INDEX('قائمة الوحدات'!$D$2:$D$41,MATCH($B277,'قائمة الوحدات'!$A$2:$A$41,0)),"")</f>
        <v>وكالة الشؤون الاستراتيجية</v>
      </c>
      <c r="F277" s="18" t="str">
        <f aca="false">IFERROR(INDEX('قائمة الوحدات'!$F$2:$F$41,MATCH($B277,'قائمة الوحدات'!$A$2:$A$41,0)),"")</f>
        <v>وكالة الشؤون الاستراتيجية</v>
      </c>
      <c r="G277" s="20" t="s">
        <v>44</v>
      </c>
      <c r="H277" s="18" t="str">
        <f aca="false">IFERROR(INDEX(المرجع!$A$2:$A$19,MATCH($G277,المرجع!$B$2:$B$19,0)),"")</f>
        <v>التصميم</v>
      </c>
      <c r="I277" s="20" t="s">
        <v>60</v>
      </c>
      <c r="J277" s="18" t="str">
        <f aca="false">IFERROR(INDEX(المرجع!$D$2:$D$19,MATCH($I277,المرجع!$E$2:$E$19,0)),"")</f>
        <v>الإجراءات</v>
      </c>
      <c r="K277" s="19" t="n">
        <f aca="false">IFERROR(INDEX(المرجع!$F$2:$F$19,MATCH($I277,المرجع!$E$2:$E$19,0)),"")</f>
        <v>6</v>
      </c>
      <c r="L277" s="19" t="n">
        <f aca="false">SUMIFS(المرجع!$H$2:$H$19,المرجع!$B$2:$B$19,$G277,المرجع!$E$2:$E$19,$I277)</f>
        <v>1</v>
      </c>
      <c r="M277" s="19" t="n">
        <f aca="false">COUNTIFS('المرتبطة بسمو الوزير'!$B$2:$B$151,$B277,'المرتبطة بسمو الوزير'!$G$2:$G$151,$G277,'المرتبطة بسمو الوزير'!$I$2:$I$151,$I277,'المرتبطة بسمو الوزير'!$M$2:$M$151,"&lt;&gt;")+COUNTIFS('الشؤون التنفيذية'!$B$2:$B$421,$B277,'الشؤون التنفيذية'!$G$2:$G$421,$G277,'الشؤون التنفيذية'!$I$2:$I$421,$I277,'الشؤون التنفيذية'!$N$2:$N$421,"&lt;&gt;")+COUNTIFS('الجهاز العسكري'!$B$2:$B$631,$B277,'الجهاز العسكري'!$G$2:$G$631,$G277,'الجهاز العسكري'!$I$2:$I$631,$I277,'الجهاز العسكري'!$M$2:$M$631,"&lt;&gt;")</f>
        <v>1</v>
      </c>
      <c r="N277" s="24" t="n">
        <f aca="false">IF($L277=0,0,ROUND((SUMIFS('المرتبطة بسمو الوزير'!$M$2:$M$151,'المرتبطة بسمو الوزير'!$B$2:$B$151,$B277,'المرتبطة بسمو الوزير'!$G$2:$G$151,$G277,'المرتبطة بسمو الوزير'!$I$2:$I$151,$I277)+SUMIFS('الشؤون التنفيذية'!$N$2:$N$421,'الشؤون التنفيذية'!$B$2:$B$421,$B277,'الشؤون التنفيذية'!$G$2:$G$421,$G277,'الشؤون التنفيذية'!$I$2:$I$421,$I277)+SUMIFS('الجهاز العسكري'!$M$2:$M$631,'الجهاز العسكري'!$B$2:$B$631,$B277,'الجهاز العسكري'!$G$2:$G$631,$G277,'الجهاز العسكري'!$I$2:$I$631,$I277))/$L277,0))</f>
        <v>97</v>
      </c>
      <c r="O277" s="25" t="n">
        <f aca="false">IF($L277=0,0,ROUND((SUMIFS('المرتبطة بسمو الوزير'!$N$2:$N$151,'المرتبطة بسمو الوزير'!$B$2:$B$151,$B277,'المرتبطة بسمو الوزير'!$G$2:$G$151,$G277,'المرتبطة بسمو الوزير'!$I$2:$I$151,$I277)+SUMIFS('الشؤون التنفيذية'!$O$2:$O$421,'الشؤون التنفيذية'!$B$2:$B$421,$B277,'الشؤون التنفيذية'!$G$2:$G$421,$G277,'الشؤون التنفيذية'!$I$2:$I$421,$I277)+SUMIFS('الجهاز العسكري'!$N$2:$N$631,'الجهاز العسكري'!$B$2:$B$631,$B277,'الجهاز العسكري'!$G$2:$G$631,$G277,'الجهاز العسكري'!$I$2:$I$631,$I277))/$L277,0))</f>
        <v>97</v>
      </c>
      <c r="P277" s="22"/>
      <c r="Q277" s="19" t="n">
        <f aca="false">SUMIFS(المرجع!$G$2:$G$19,المرجع!$B$2:$B$19,$G277,المرجع!$E$2:$E$19,$I277)</f>
        <v>5</v>
      </c>
      <c r="R277" s="26" t="n">
        <f aca="false">ROUND($Q277*$N277/100,2)</f>
        <v>4.85</v>
      </c>
      <c r="S277" s="27" t="str">
        <f aca="false">IF($N277&gt;المرجع!$K$3,"متقدم",IF($N277&lt;=المرجع!$K$2,"أولي","جزئي"))</f>
        <v>متقدم</v>
      </c>
      <c r="T277" s="28" t="n">
        <f aca="false">ROUND($Q277*$O277/100,2)</f>
        <v>4.85</v>
      </c>
    </row>
    <row r="278" customFormat="false" ht="15" hidden="false" customHeight="true" outlineLevel="0" collapsed="false">
      <c r="A278" s="20" t="s">
        <v>1730</v>
      </c>
      <c r="B278" s="20" t="s">
        <v>185</v>
      </c>
      <c r="C278" s="19" t="str">
        <f aca="false">IFERROR(INDEX('قائمة الوحدات'!$B$2:$B$41,MATCH($B278,'قائمة الوحدات'!$A$2:$A$41,0)),"")</f>
        <v>EXE</v>
      </c>
      <c r="D278" s="18" t="str">
        <f aca="false">IFERROR(INDEX('قائمة الوحدات'!$C$2:$C$41,MATCH($B278,'قائمة الوحدات'!$A$2:$A$41,0)),"")</f>
        <v>الشؤون التنفيذية</v>
      </c>
      <c r="E278" s="18" t="str">
        <f aca="false">IFERROR(INDEX('قائمة الوحدات'!$D$2:$D$41,MATCH($B278,'قائمة الوحدات'!$A$2:$A$41,0)),"")</f>
        <v>وكالة الشؤون الاستراتيجية</v>
      </c>
      <c r="F278" s="18" t="str">
        <f aca="false">IFERROR(INDEX('قائمة الوحدات'!$F$2:$F$41,MATCH($B278,'قائمة الوحدات'!$A$2:$A$41,0)),"")</f>
        <v>وكالة الشؤون الاستراتيجية</v>
      </c>
      <c r="G278" s="20" t="s">
        <v>62</v>
      </c>
      <c r="H278" s="18" t="str">
        <f aca="false">IFERROR(INDEX(المرجع!$A$2:$A$19,MATCH($G278,المرجع!$B$2:$B$19,0)),"")</f>
        <v>البناء المؤسسي</v>
      </c>
      <c r="I278" s="20" t="s">
        <v>46</v>
      </c>
      <c r="J278" s="18" t="str">
        <f aca="false">IFERROR(INDEX(المرجع!$D$2:$D$19,MATCH($I278,المرجع!$E$2:$E$19,0)),"")</f>
        <v>الدور</v>
      </c>
      <c r="K278" s="19" t="n">
        <f aca="false">IFERROR(INDEX(المرجع!$F$2:$F$19,MATCH($I278,المرجع!$E$2:$E$19,0)),"")</f>
        <v>1</v>
      </c>
      <c r="L278" s="19" t="n">
        <f aca="false">SUMIFS(المرجع!$H$2:$H$19,المرجع!$B$2:$B$19,$G278,المرجع!$E$2:$E$19,$I278)</f>
        <v>1</v>
      </c>
      <c r="M278" s="19" t="n">
        <f aca="false">COUNTIFS('المرتبطة بسمو الوزير'!$B$2:$B$151,$B278,'المرتبطة بسمو الوزير'!$G$2:$G$151,$G278,'المرتبطة بسمو الوزير'!$I$2:$I$151,$I278,'المرتبطة بسمو الوزير'!$M$2:$M$151,"&lt;&gt;")+COUNTIFS('الشؤون التنفيذية'!$B$2:$B$421,$B278,'الشؤون التنفيذية'!$G$2:$G$421,$G278,'الشؤون التنفيذية'!$I$2:$I$421,$I278,'الشؤون التنفيذية'!$N$2:$N$421,"&lt;&gt;")+COUNTIFS('الجهاز العسكري'!$B$2:$B$631,$B278,'الجهاز العسكري'!$G$2:$G$631,$G278,'الجهاز العسكري'!$I$2:$I$631,$I278,'الجهاز العسكري'!$M$2:$M$631,"&lt;&gt;")</f>
        <v>1</v>
      </c>
      <c r="N278" s="24" t="n">
        <f aca="false">IF($L278=0,0,ROUND((SUMIFS('المرتبطة بسمو الوزير'!$M$2:$M$151,'المرتبطة بسمو الوزير'!$B$2:$B$151,$B278,'المرتبطة بسمو الوزير'!$G$2:$G$151,$G278,'المرتبطة بسمو الوزير'!$I$2:$I$151,$I278)+SUMIFS('الشؤون التنفيذية'!$N$2:$N$421,'الشؤون التنفيذية'!$B$2:$B$421,$B278,'الشؤون التنفيذية'!$G$2:$G$421,$G278,'الشؤون التنفيذية'!$I$2:$I$421,$I278)+SUMIFS('الجهاز العسكري'!$M$2:$M$631,'الجهاز العسكري'!$B$2:$B$631,$B278,'الجهاز العسكري'!$G$2:$G$631,$G278,'الجهاز العسكري'!$I$2:$I$631,$I278))/$L278,0))</f>
        <v>77</v>
      </c>
      <c r="O278" s="25" t="n">
        <f aca="false">IF($L278=0,0,ROUND((SUMIFS('المرتبطة بسمو الوزير'!$N$2:$N$151,'المرتبطة بسمو الوزير'!$B$2:$B$151,$B278,'المرتبطة بسمو الوزير'!$G$2:$G$151,$G278,'المرتبطة بسمو الوزير'!$I$2:$I$151,$I278)+SUMIFS('الشؤون التنفيذية'!$O$2:$O$421,'الشؤون التنفيذية'!$B$2:$B$421,$B278,'الشؤون التنفيذية'!$G$2:$G$421,$G278,'الشؤون التنفيذية'!$I$2:$I$421,$I278)+SUMIFS('الجهاز العسكري'!$N$2:$N$631,'الجهاز العسكري'!$B$2:$B$631,$B278,'الجهاز العسكري'!$G$2:$G$631,$G278,'الجهاز العسكري'!$I$2:$I$631,$I278))/$L278,0))</f>
        <v>95</v>
      </c>
      <c r="P278" s="22"/>
      <c r="Q278" s="19" t="n">
        <f aca="false">SUMIFS(المرجع!$G$2:$G$19,المرجع!$B$2:$B$19,$G278,المرجع!$E$2:$E$19,$I278)</f>
        <v>15</v>
      </c>
      <c r="R278" s="26" t="n">
        <f aca="false">ROUND($Q278*$N278/100,2)</f>
        <v>11.55</v>
      </c>
      <c r="S278" s="27" t="str">
        <f aca="false">IF($N278&gt;المرجع!$K$3,"متقدم",IF($N278&lt;=المرجع!$K$2,"أولي","جزئي"))</f>
        <v>متقدم</v>
      </c>
      <c r="T278" s="28" t="n">
        <f aca="false">ROUND($Q278*$O278/100,2)</f>
        <v>14.25</v>
      </c>
    </row>
    <row r="279" customFormat="false" ht="15" hidden="false" customHeight="true" outlineLevel="0" collapsed="false">
      <c r="A279" s="20" t="s">
        <v>1731</v>
      </c>
      <c r="B279" s="20" t="s">
        <v>185</v>
      </c>
      <c r="C279" s="19" t="str">
        <f aca="false">IFERROR(INDEX('قائمة الوحدات'!$B$2:$B$41,MATCH($B279,'قائمة الوحدات'!$A$2:$A$41,0)),"")</f>
        <v>EXE</v>
      </c>
      <c r="D279" s="18" t="str">
        <f aca="false">IFERROR(INDEX('قائمة الوحدات'!$C$2:$C$41,MATCH($B279,'قائمة الوحدات'!$A$2:$A$41,0)),"")</f>
        <v>الشؤون التنفيذية</v>
      </c>
      <c r="E279" s="18" t="str">
        <f aca="false">IFERROR(INDEX('قائمة الوحدات'!$D$2:$D$41,MATCH($B279,'قائمة الوحدات'!$A$2:$A$41,0)),"")</f>
        <v>وكالة الشؤون الاستراتيجية</v>
      </c>
      <c r="F279" s="18" t="str">
        <f aca="false">IFERROR(INDEX('قائمة الوحدات'!$F$2:$F$41,MATCH($B279,'قائمة الوحدات'!$A$2:$A$41,0)),"")</f>
        <v>وكالة الشؤون الاستراتيجية</v>
      </c>
      <c r="G279" s="20" t="s">
        <v>62</v>
      </c>
      <c r="H279" s="18" t="str">
        <f aca="false">IFERROR(INDEX(المرجع!$A$2:$A$19,MATCH($G279,المرجع!$B$2:$B$19,0)),"")</f>
        <v>البناء المؤسسي</v>
      </c>
      <c r="I279" s="20" t="s">
        <v>49</v>
      </c>
      <c r="J279" s="18" t="str">
        <f aca="false">IFERROR(INDEX(المرجع!$D$2:$D$19,MATCH($I279,المرجع!$E$2:$E$19,0)),"")</f>
        <v>الأهداف ومؤشرات الأداء</v>
      </c>
      <c r="K279" s="19" t="n">
        <f aca="false">IFERROR(INDEX(المرجع!$F$2:$F$19,MATCH($I279,المرجع!$E$2:$E$19,0)),"")</f>
        <v>2</v>
      </c>
      <c r="L279" s="19" t="n">
        <f aca="false">SUMIFS(المرجع!$H$2:$H$19,المرجع!$B$2:$B$19,$G279,المرجع!$E$2:$E$19,$I279)</f>
        <v>2</v>
      </c>
      <c r="M279" s="19" t="n">
        <f aca="false">COUNTIFS('المرتبطة بسمو الوزير'!$B$2:$B$151,$B279,'المرتبطة بسمو الوزير'!$G$2:$G$151,$G279,'المرتبطة بسمو الوزير'!$I$2:$I$151,$I279,'المرتبطة بسمو الوزير'!$M$2:$M$151,"&lt;&gt;")+COUNTIFS('الشؤون التنفيذية'!$B$2:$B$421,$B279,'الشؤون التنفيذية'!$G$2:$G$421,$G279,'الشؤون التنفيذية'!$I$2:$I$421,$I279,'الشؤون التنفيذية'!$N$2:$N$421,"&lt;&gt;")+COUNTIFS('الجهاز العسكري'!$B$2:$B$631,$B279,'الجهاز العسكري'!$G$2:$G$631,$G279,'الجهاز العسكري'!$I$2:$I$631,$I279,'الجهاز العسكري'!$M$2:$M$631,"&lt;&gt;")</f>
        <v>2</v>
      </c>
      <c r="N279" s="24" t="n">
        <f aca="false">IF($L279=0,0,ROUND((SUMIFS('المرتبطة بسمو الوزير'!$M$2:$M$151,'المرتبطة بسمو الوزير'!$B$2:$B$151,$B279,'المرتبطة بسمو الوزير'!$G$2:$G$151,$G279,'المرتبطة بسمو الوزير'!$I$2:$I$151,$I279)+SUMIFS('الشؤون التنفيذية'!$N$2:$N$421,'الشؤون التنفيذية'!$B$2:$B$421,$B279,'الشؤون التنفيذية'!$G$2:$G$421,$G279,'الشؤون التنفيذية'!$I$2:$I$421,$I279)+SUMIFS('الجهاز العسكري'!$M$2:$M$631,'الجهاز العسكري'!$B$2:$B$631,$B279,'الجهاز العسكري'!$G$2:$G$631,$G279,'الجهاز العسكري'!$I$2:$I$631,$I279))/$L279,0))</f>
        <v>48</v>
      </c>
      <c r="O279" s="25" t="n">
        <f aca="false">IF($L279=0,0,ROUND((SUMIFS('المرتبطة بسمو الوزير'!$N$2:$N$151,'المرتبطة بسمو الوزير'!$B$2:$B$151,$B279,'المرتبطة بسمو الوزير'!$G$2:$G$151,$G279,'المرتبطة بسمو الوزير'!$I$2:$I$151,$I279)+SUMIFS('الشؤون التنفيذية'!$O$2:$O$421,'الشؤون التنفيذية'!$B$2:$B$421,$B279,'الشؤون التنفيذية'!$G$2:$G$421,$G279,'الشؤون التنفيذية'!$I$2:$I$421,$I279)+SUMIFS('الجهاز العسكري'!$N$2:$N$631,'الجهاز العسكري'!$B$2:$B$631,$B279,'الجهاز العسكري'!$G$2:$G$631,$G279,'الجهاز العسكري'!$I$2:$I$631,$I279))/$L279,0))</f>
        <v>100</v>
      </c>
      <c r="P279" s="22"/>
      <c r="Q279" s="19" t="n">
        <f aca="false">SUMIFS(المرجع!$G$2:$G$19,المرجع!$B$2:$B$19,$G279,المرجع!$E$2:$E$19,$I279)</f>
        <v>15</v>
      </c>
      <c r="R279" s="26" t="n">
        <f aca="false">ROUND($Q279*$N279/100,2)</f>
        <v>7.2</v>
      </c>
      <c r="S279" s="27" t="str">
        <f aca="false">IF($N279&gt;المرجع!$K$3,"متقدم",IF($N279&lt;=المرجع!$K$2,"أولي","جزئي"))</f>
        <v>جزئي</v>
      </c>
      <c r="T279" s="28" t="n">
        <f aca="false">ROUND($Q279*$O279/100,2)</f>
        <v>15</v>
      </c>
    </row>
    <row r="280" customFormat="false" ht="15" hidden="false" customHeight="true" outlineLevel="0" collapsed="false">
      <c r="A280" s="20" t="s">
        <v>1732</v>
      </c>
      <c r="B280" s="20" t="s">
        <v>185</v>
      </c>
      <c r="C280" s="19" t="str">
        <f aca="false">IFERROR(INDEX('قائمة الوحدات'!$B$2:$B$41,MATCH($B280,'قائمة الوحدات'!$A$2:$A$41,0)),"")</f>
        <v>EXE</v>
      </c>
      <c r="D280" s="18" t="str">
        <f aca="false">IFERROR(INDEX('قائمة الوحدات'!$C$2:$C$41,MATCH($B280,'قائمة الوحدات'!$A$2:$A$41,0)),"")</f>
        <v>الشؤون التنفيذية</v>
      </c>
      <c r="E280" s="18" t="str">
        <f aca="false">IFERROR(INDEX('قائمة الوحدات'!$D$2:$D$41,MATCH($B280,'قائمة الوحدات'!$A$2:$A$41,0)),"")</f>
        <v>وكالة الشؤون الاستراتيجية</v>
      </c>
      <c r="F280" s="18" t="str">
        <f aca="false">IFERROR(INDEX('قائمة الوحدات'!$F$2:$F$41,MATCH($B280,'قائمة الوحدات'!$A$2:$A$41,0)),"")</f>
        <v>وكالة الشؤون الاستراتيجية</v>
      </c>
      <c r="G280" s="20" t="s">
        <v>62</v>
      </c>
      <c r="H280" s="18" t="str">
        <f aca="false">IFERROR(INDEX(المرجع!$A$2:$A$19,MATCH($G280,المرجع!$B$2:$B$19,0)),"")</f>
        <v>البناء المؤسسي</v>
      </c>
      <c r="I280" s="20" t="s">
        <v>52</v>
      </c>
      <c r="J280" s="18" t="str">
        <f aca="false">IFERROR(INDEX(المرجع!$D$2:$D$19,MATCH($I280,المرجع!$E$2:$E$19,0)),"")</f>
        <v>الحوكمة</v>
      </c>
      <c r="K280" s="19" t="n">
        <f aca="false">IFERROR(INDEX(المرجع!$F$2:$F$19,MATCH($I280,المرجع!$E$2:$E$19,0)),"")</f>
        <v>3</v>
      </c>
      <c r="L280" s="19" t="n">
        <f aca="false">SUMIFS(المرجع!$H$2:$H$19,المرجع!$B$2:$B$19,$G280,المرجع!$E$2:$E$19,$I280)</f>
        <v>3</v>
      </c>
      <c r="M280" s="19" t="n">
        <f aca="false">COUNTIFS('المرتبطة بسمو الوزير'!$B$2:$B$151,$B280,'المرتبطة بسمو الوزير'!$G$2:$G$151,$G280,'المرتبطة بسمو الوزير'!$I$2:$I$151,$I280,'المرتبطة بسمو الوزير'!$M$2:$M$151,"&lt;&gt;")+COUNTIFS('الشؤون التنفيذية'!$B$2:$B$421,$B280,'الشؤون التنفيذية'!$G$2:$G$421,$G280,'الشؤون التنفيذية'!$I$2:$I$421,$I280,'الشؤون التنفيذية'!$N$2:$N$421,"&lt;&gt;")+COUNTIFS('الجهاز العسكري'!$B$2:$B$631,$B280,'الجهاز العسكري'!$G$2:$G$631,$G280,'الجهاز العسكري'!$I$2:$I$631,$I280,'الجهاز العسكري'!$M$2:$M$631,"&lt;&gt;")</f>
        <v>3</v>
      </c>
      <c r="N280" s="24" t="n">
        <f aca="false">IF($L280=0,0,ROUND((SUMIFS('المرتبطة بسمو الوزير'!$M$2:$M$151,'المرتبطة بسمو الوزير'!$B$2:$B$151,$B280,'المرتبطة بسمو الوزير'!$G$2:$G$151,$G280,'المرتبطة بسمو الوزير'!$I$2:$I$151,$I280)+SUMIFS('الشؤون التنفيذية'!$N$2:$N$421,'الشؤون التنفيذية'!$B$2:$B$421,$B280,'الشؤون التنفيذية'!$G$2:$G$421,$G280,'الشؤون التنفيذية'!$I$2:$I$421,$I280)+SUMIFS('الجهاز العسكري'!$M$2:$M$631,'الجهاز العسكري'!$B$2:$B$631,$B280,'الجهاز العسكري'!$G$2:$G$631,$G280,'الجهاز العسكري'!$I$2:$I$631,$I280))/$L280,0))</f>
        <v>52</v>
      </c>
      <c r="O280" s="25" t="n">
        <f aca="false">IF($L280=0,0,ROUND((SUMIFS('المرتبطة بسمو الوزير'!$N$2:$N$151,'المرتبطة بسمو الوزير'!$B$2:$B$151,$B280,'المرتبطة بسمو الوزير'!$G$2:$G$151,$G280,'المرتبطة بسمو الوزير'!$I$2:$I$151,$I280)+SUMIFS('الشؤون التنفيذية'!$O$2:$O$421,'الشؤون التنفيذية'!$B$2:$B$421,$B280,'الشؤون التنفيذية'!$G$2:$G$421,$G280,'الشؤون التنفيذية'!$I$2:$I$421,$I280)+SUMIFS('الجهاز العسكري'!$N$2:$N$631,'الجهاز العسكري'!$B$2:$B$631,$B280,'الجهاز العسكري'!$G$2:$G$631,$G280,'الجهاز العسكري'!$I$2:$I$631,$I280))/$L280,0))</f>
        <v>87</v>
      </c>
      <c r="P280" s="22"/>
      <c r="Q280" s="19" t="n">
        <f aca="false">SUMIFS(المرجع!$G$2:$G$19,المرجع!$B$2:$B$19,$G280,المرجع!$E$2:$E$19,$I280)</f>
        <v>15</v>
      </c>
      <c r="R280" s="26" t="n">
        <f aca="false">ROUND($Q280*$N280/100,2)</f>
        <v>7.8</v>
      </c>
      <c r="S280" s="27" t="str">
        <f aca="false">IF($N280&gt;المرجع!$K$3,"متقدم",IF($N280&lt;=المرجع!$K$2,"أولي","جزئي"))</f>
        <v>جزئي</v>
      </c>
      <c r="T280" s="28" t="n">
        <f aca="false">ROUND($Q280*$O280/100,2)</f>
        <v>13.05</v>
      </c>
    </row>
    <row r="281" customFormat="false" ht="15" hidden="false" customHeight="true" outlineLevel="0" collapsed="false">
      <c r="A281" s="20" t="s">
        <v>1733</v>
      </c>
      <c r="B281" s="20" t="s">
        <v>185</v>
      </c>
      <c r="C281" s="19" t="str">
        <f aca="false">IFERROR(INDEX('قائمة الوحدات'!$B$2:$B$41,MATCH($B281,'قائمة الوحدات'!$A$2:$A$41,0)),"")</f>
        <v>EXE</v>
      </c>
      <c r="D281" s="18" t="str">
        <f aca="false">IFERROR(INDEX('قائمة الوحدات'!$C$2:$C$41,MATCH($B281,'قائمة الوحدات'!$A$2:$A$41,0)),"")</f>
        <v>الشؤون التنفيذية</v>
      </c>
      <c r="E281" s="18" t="str">
        <f aca="false">IFERROR(INDEX('قائمة الوحدات'!$D$2:$D$41,MATCH($B281,'قائمة الوحدات'!$A$2:$A$41,0)),"")</f>
        <v>وكالة الشؤون الاستراتيجية</v>
      </c>
      <c r="F281" s="18" t="str">
        <f aca="false">IFERROR(INDEX('قائمة الوحدات'!$F$2:$F$41,MATCH($B281,'قائمة الوحدات'!$A$2:$A$41,0)),"")</f>
        <v>وكالة الشؤون الاستراتيجية</v>
      </c>
      <c r="G281" s="20" t="s">
        <v>62</v>
      </c>
      <c r="H281" s="18" t="str">
        <f aca="false">IFERROR(INDEX(المرجع!$A$2:$A$19,MATCH($G281,المرجع!$B$2:$B$19,0)),"")</f>
        <v>البناء المؤسسي</v>
      </c>
      <c r="I281" s="20" t="s">
        <v>55</v>
      </c>
      <c r="J281" s="18" t="str">
        <f aca="false">IFERROR(INDEX(المرجع!$D$2:$D$19,MATCH($I281,المرجع!$E$2:$E$19,0)),"")</f>
        <v>التنظيم</v>
      </c>
      <c r="K281" s="19" t="n">
        <f aca="false">IFERROR(INDEX(المرجع!$F$2:$F$19,MATCH($I281,المرجع!$E$2:$E$19,0)),"")</f>
        <v>4</v>
      </c>
      <c r="L281" s="19" t="n">
        <f aca="false">SUMIFS(المرجع!$H$2:$H$19,المرجع!$B$2:$B$19,$G281,المرجع!$E$2:$E$19,$I281)</f>
        <v>3</v>
      </c>
      <c r="M281" s="19" t="n">
        <f aca="false">COUNTIFS('المرتبطة بسمو الوزير'!$B$2:$B$151,$B281,'المرتبطة بسمو الوزير'!$G$2:$G$151,$G281,'المرتبطة بسمو الوزير'!$I$2:$I$151,$I281,'المرتبطة بسمو الوزير'!$M$2:$M$151,"&lt;&gt;")+COUNTIFS('الشؤون التنفيذية'!$B$2:$B$421,$B281,'الشؤون التنفيذية'!$G$2:$G$421,$G281,'الشؤون التنفيذية'!$I$2:$I$421,$I281,'الشؤون التنفيذية'!$N$2:$N$421,"&lt;&gt;")+COUNTIFS('الجهاز العسكري'!$B$2:$B$631,$B281,'الجهاز العسكري'!$G$2:$G$631,$G281,'الجهاز العسكري'!$I$2:$I$631,$I281,'الجهاز العسكري'!$M$2:$M$631,"&lt;&gt;")</f>
        <v>3</v>
      </c>
      <c r="N281" s="24" t="n">
        <f aca="false">IF($L281=0,0,ROUND((SUMIFS('المرتبطة بسمو الوزير'!$M$2:$M$151,'المرتبطة بسمو الوزير'!$B$2:$B$151,$B281,'المرتبطة بسمو الوزير'!$G$2:$G$151,$G281,'المرتبطة بسمو الوزير'!$I$2:$I$151,$I281)+SUMIFS('الشؤون التنفيذية'!$N$2:$N$421,'الشؤون التنفيذية'!$B$2:$B$421,$B281,'الشؤون التنفيذية'!$G$2:$G$421,$G281,'الشؤون التنفيذية'!$I$2:$I$421,$I281)+SUMIFS('الجهاز العسكري'!$M$2:$M$631,'الجهاز العسكري'!$B$2:$B$631,$B281,'الجهاز العسكري'!$G$2:$G$631,$G281,'الجهاز العسكري'!$I$2:$I$631,$I281))/$L281,0))</f>
        <v>53</v>
      </c>
      <c r="O281" s="25" t="n">
        <f aca="false">IF($L281=0,0,ROUND((SUMIFS('المرتبطة بسمو الوزير'!$N$2:$N$151,'المرتبطة بسمو الوزير'!$B$2:$B$151,$B281,'المرتبطة بسمو الوزير'!$G$2:$G$151,$G281,'المرتبطة بسمو الوزير'!$I$2:$I$151,$I281)+SUMIFS('الشؤون التنفيذية'!$O$2:$O$421,'الشؤون التنفيذية'!$B$2:$B$421,$B281,'الشؤون التنفيذية'!$G$2:$G$421,$G281,'الشؤون التنفيذية'!$I$2:$I$421,$I281)+SUMIFS('الجهاز العسكري'!$N$2:$N$631,'الجهاز العسكري'!$B$2:$B$631,$B281,'الجهاز العسكري'!$G$2:$G$631,$G281,'الجهاز العسكري'!$I$2:$I$631,$I281))/$L281,0))</f>
        <v>97</v>
      </c>
      <c r="P281" s="22"/>
      <c r="Q281" s="19" t="n">
        <f aca="false">SUMIFS(المرجع!$G$2:$G$19,المرجع!$B$2:$B$19,$G281,المرجع!$E$2:$E$19,$I281)</f>
        <v>20</v>
      </c>
      <c r="R281" s="26" t="n">
        <f aca="false">ROUND($Q281*$N281/100,2)</f>
        <v>10.6</v>
      </c>
      <c r="S281" s="27" t="str">
        <f aca="false">IF($N281&gt;المرجع!$K$3,"متقدم",IF($N281&lt;=المرجع!$K$2,"أولي","جزئي"))</f>
        <v>جزئي</v>
      </c>
      <c r="T281" s="28" t="n">
        <f aca="false">ROUND($Q281*$O281/100,2)</f>
        <v>19.4</v>
      </c>
    </row>
    <row r="282" customFormat="false" ht="15" hidden="false" customHeight="true" outlineLevel="0" collapsed="false">
      <c r="A282" s="20" t="s">
        <v>1734</v>
      </c>
      <c r="B282" s="20" t="s">
        <v>185</v>
      </c>
      <c r="C282" s="19" t="str">
        <f aca="false">IFERROR(INDEX('قائمة الوحدات'!$B$2:$B$41,MATCH($B282,'قائمة الوحدات'!$A$2:$A$41,0)),"")</f>
        <v>EXE</v>
      </c>
      <c r="D282" s="18" t="str">
        <f aca="false">IFERROR(INDEX('قائمة الوحدات'!$C$2:$C$41,MATCH($B282,'قائمة الوحدات'!$A$2:$A$41,0)),"")</f>
        <v>الشؤون التنفيذية</v>
      </c>
      <c r="E282" s="18" t="str">
        <f aca="false">IFERROR(INDEX('قائمة الوحدات'!$D$2:$D$41,MATCH($B282,'قائمة الوحدات'!$A$2:$A$41,0)),"")</f>
        <v>وكالة الشؤون الاستراتيجية</v>
      </c>
      <c r="F282" s="18" t="str">
        <f aca="false">IFERROR(INDEX('قائمة الوحدات'!$F$2:$F$41,MATCH($B282,'قائمة الوحدات'!$A$2:$A$41,0)),"")</f>
        <v>وكالة الشؤون الاستراتيجية</v>
      </c>
      <c r="G282" s="20" t="s">
        <v>62</v>
      </c>
      <c r="H282" s="18" t="str">
        <f aca="false">IFERROR(INDEX(المرجع!$A$2:$A$19,MATCH($G282,المرجع!$B$2:$B$19,0)),"")</f>
        <v>البناء المؤسسي</v>
      </c>
      <c r="I282" s="20" t="s">
        <v>57</v>
      </c>
      <c r="J282" s="18" t="str">
        <f aca="false">IFERROR(INDEX(المرجع!$D$2:$D$19,MATCH($I282,المرجع!$E$2:$E$19,0)),"")</f>
        <v>الموارد</v>
      </c>
      <c r="K282" s="19" t="n">
        <f aca="false">IFERROR(INDEX(المرجع!$F$2:$F$19,MATCH($I282,المرجع!$E$2:$E$19,0)),"")</f>
        <v>5</v>
      </c>
      <c r="L282" s="19" t="n">
        <f aca="false">SUMIFS(المرجع!$H$2:$H$19,المرجع!$B$2:$B$19,$G282,المرجع!$E$2:$E$19,$I282)</f>
        <v>4</v>
      </c>
      <c r="M282" s="19" t="n">
        <f aca="false">COUNTIFS('المرتبطة بسمو الوزير'!$B$2:$B$151,$B282,'المرتبطة بسمو الوزير'!$G$2:$G$151,$G282,'المرتبطة بسمو الوزير'!$I$2:$I$151,$I282,'المرتبطة بسمو الوزير'!$M$2:$M$151,"&lt;&gt;")+COUNTIFS('الشؤون التنفيذية'!$B$2:$B$421,$B282,'الشؤون التنفيذية'!$G$2:$G$421,$G282,'الشؤون التنفيذية'!$I$2:$I$421,$I282,'الشؤون التنفيذية'!$N$2:$N$421,"&lt;&gt;")+COUNTIFS('الجهاز العسكري'!$B$2:$B$631,$B282,'الجهاز العسكري'!$G$2:$G$631,$G282,'الجهاز العسكري'!$I$2:$I$631,$I282,'الجهاز العسكري'!$M$2:$M$631,"&lt;&gt;")</f>
        <v>4</v>
      </c>
      <c r="N282" s="24" t="n">
        <f aca="false">IF($L282=0,0,ROUND((SUMIFS('المرتبطة بسمو الوزير'!$M$2:$M$151,'المرتبطة بسمو الوزير'!$B$2:$B$151,$B282,'المرتبطة بسمو الوزير'!$G$2:$G$151,$G282,'المرتبطة بسمو الوزير'!$I$2:$I$151,$I282)+SUMIFS('الشؤون التنفيذية'!$N$2:$N$421,'الشؤون التنفيذية'!$B$2:$B$421,$B282,'الشؤون التنفيذية'!$G$2:$G$421,$G282,'الشؤون التنفيذية'!$I$2:$I$421,$I282)+SUMIFS('الجهاز العسكري'!$M$2:$M$631,'الجهاز العسكري'!$B$2:$B$631,$B282,'الجهاز العسكري'!$G$2:$G$631,$G282,'الجهاز العسكري'!$I$2:$I$631,$I282))/$L282,0))</f>
        <v>76</v>
      </c>
      <c r="O282" s="25" t="n">
        <f aca="false">IF($L282=0,0,ROUND((SUMIFS('المرتبطة بسمو الوزير'!$N$2:$N$151,'المرتبطة بسمو الوزير'!$B$2:$B$151,$B282,'المرتبطة بسمو الوزير'!$G$2:$G$151,$G282,'المرتبطة بسمو الوزير'!$I$2:$I$151,$I282)+SUMIFS('الشؤون التنفيذية'!$O$2:$O$421,'الشؤون التنفيذية'!$B$2:$B$421,$B282,'الشؤون التنفيذية'!$G$2:$G$421,$G282,'الشؤون التنفيذية'!$I$2:$I$421,$I282)+SUMIFS('الجهاز العسكري'!$N$2:$N$631,'الجهاز العسكري'!$B$2:$B$631,$B282,'الجهاز العسكري'!$G$2:$G$631,$G282,'الجهاز العسكري'!$I$2:$I$631,$I282))/$L282,0))</f>
        <v>99</v>
      </c>
      <c r="P282" s="22"/>
      <c r="Q282" s="19" t="n">
        <f aca="false">SUMIFS(المرجع!$G$2:$G$19,المرجع!$B$2:$B$19,$G282,المرجع!$E$2:$E$19,$I282)</f>
        <v>25</v>
      </c>
      <c r="R282" s="26" t="n">
        <f aca="false">ROUND($Q282*$N282/100,2)</f>
        <v>19</v>
      </c>
      <c r="S282" s="27" t="str">
        <f aca="false">IF($N282&gt;المرجع!$K$3,"متقدم",IF($N282&lt;=المرجع!$K$2,"أولي","جزئي"))</f>
        <v>متقدم</v>
      </c>
      <c r="T282" s="28" t="n">
        <f aca="false">ROUND($Q282*$O282/100,2)</f>
        <v>24.75</v>
      </c>
    </row>
    <row r="283" customFormat="false" ht="15" hidden="false" customHeight="true" outlineLevel="0" collapsed="false">
      <c r="A283" s="20" t="s">
        <v>1735</v>
      </c>
      <c r="B283" s="20" t="s">
        <v>185</v>
      </c>
      <c r="C283" s="19" t="str">
        <f aca="false">IFERROR(INDEX('قائمة الوحدات'!$B$2:$B$41,MATCH($B283,'قائمة الوحدات'!$A$2:$A$41,0)),"")</f>
        <v>EXE</v>
      </c>
      <c r="D283" s="18" t="str">
        <f aca="false">IFERROR(INDEX('قائمة الوحدات'!$C$2:$C$41,MATCH($B283,'قائمة الوحدات'!$A$2:$A$41,0)),"")</f>
        <v>الشؤون التنفيذية</v>
      </c>
      <c r="E283" s="18" t="str">
        <f aca="false">IFERROR(INDEX('قائمة الوحدات'!$D$2:$D$41,MATCH($B283,'قائمة الوحدات'!$A$2:$A$41,0)),"")</f>
        <v>وكالة الشؤون الاستراتيجية</v>
      </c>
      <c r="F283" s="18" t="str">
        <f aca="false">IFERROR(INDEX('قائمة الوحدات'!$F$2:$F$41,MATCH($B283,'قائمة الوحدات'!$A$2:$A$41,0)),"")</f>
        <v>وكالة الشؤون الاستراتيجية</v>
      </c>
      <c r="G283" s="20" t="s">
        <v>62</v>
      </c>
      <c r="H283" s="18" t="str">
        <f aca="false">IFERROR(INDEX(المرجع!$A$2:$A$19,MATCH($G283,المرجع!$B$2:$B$19,0)),"")</f>
        <v>البناء المؤسسي</v>
      </c>
      <c r="I283" s="20" t="s">
        <v>60</v>
      </c>
      <c r="J283" s="18" t="str">
        <f aca="false">IFERROR(INDEX(المرجع!$D$2:$D$19,MATCH($I283,المرجع!$E$2:$E$19,0)),"")</f>
        <v>الإجراءات</v>
      </c>
      <c r="K283" s="19" t="n">
        <f aca="false">IFERROR(INDEX(المرجع!$F$2:$F$19,MATCH($I283,المرجع!$E$2:$E$19,0)),"")</f>
        <v>6</v>
      </c>
      <c r="L283" s="19" t="n">
        <f aca="false">SUMIFS(المرجع!$H$2:$H$19,المرجع!$B$2:$B$19,$G283,المرجع!$E$2:$E$19,$I283)</f>
        <v>1</v>
      </c>
      <c r="M283" s="19" t="n">
        <f aca="false">COUNTIFS('المرتبطة بسمو الوزير'!$B$2:$B$151,$B283,'المرتبطة بسمو الوزير'!$G$2:$G$151,$G283,'المرتبطة بسمو الوزير'!$I$2:$I$151,$I283,'المرتبطة بسمو الوزير'!$M$2:$M$151,"&lt;&gt;")+COUNTIFS('الشؤون التنفيذية'!$B$2:$B$421,$B283,'الشؤون التنفيذية'!$G$2:$G$421,$G283,'الشؤون التنفيذية'!$I$2:$I$421,$I283,'الشؤون التنفيذية'!$N$2:$N$421,"&lt;&gt;")+COUNTIFS('الجهاز العسكري'!$B$2:$B$631,$B283,'الجهاز العسكري'!$G$2:$G$631,$G283,'الجهاز العسكري'!$I$2:$I$631,$I283,'الجهاز العسكري'!$M$2:$M$631,"&lt;&gt;")</f>
        <v>1</v>
      </c>
      <c r="N283" s="24" t="n">
        <f aca="false">IF($L283=0,0,ROUND((SUMIFS('المرتبطة بسمو الوزير'!$M$2:$M$151,'المرتبطة بسمو الوزير'!$B$2:$B$151,$B283,'المرتبطة بسمو الوزير'!$G$2:$G$151,$G283,'المرتبطة بسمو الوزير'!$I$2:$I$151,$I283)+SUMIFS('الشؤون التنفيذية'!$N$2:$N$421,'الشؤون التنفيذية'!$B$2:$B$421,$B283,'الشؤون التنفيذية'!$G$2:$G$421,$G283,'الشؤون التنفيذية'!$I$2:$I$421,$I283)+SUMIFS('الجهاز العسكري'!$M$2:$M$631,'الجهاز العسكري'!$B$2:$B$631,$B283,'الجهاز العسكري'!$G$2:$G$631,$G283,'الجهاز العسكري'!$I$2:$I$631,$I283))/$L283,0))</f>
        <v>78</v>
      </c>
      <c r="O283" s="25" t="n">
        <f aca="false">IF($L283=0,0,ROUND((SUMIFS('المرتبطة بسمو الوزير'!$N$2:$N$151,'المرتبطة بسمو الوزير'!$B$2:$B$151,$B283,'المرتبطة بسمو الوزير'!$G$2:$G$151,$G283,'المرتبطة بسمو الوزير'!$I$2:$I$151,$I283)+SUMIFS('الشؤون التنفيذية'!$O$2:$O$421,'الشؤون التنفيذية'!$B$2:$B$421,$B283,'الشؤون التنفيذية'!$G$2:$G$421,$G283,'الشؤون التنفيذية'!$I$2:$I$421,$I283)+SUMIFS('الجهاز العسكري'!$N$2:$N$631,'الجهاز العسكري'!$B$2:$B$631,$B283,'الجهاز العسكري'!$G$2:$G$631,$G283,'الجهاز العسكري'!$I$2:$I$631,$I283))/$L283,0))</f>
        <v>100</v>
      </c>
      <c r="P283" s="22"/>
      <c r="Q283" s="19" t="n">
        <f aca="false">SUMIFS(المرجع!$G$2:$G$19,المرجع!$B$2:$B$19,$G283,المرجع!$E$2:$E$19,$I283)</f>
        <v>5</v>
      </c>
      <c r="R283" s="26" t="n">
        <f aca="false">ROUND($Q283*$N283/100,2)</f>
        <v>3.9</v>
      </c>
      <c r="S283" s="27" t="str">
        <f aca="false">IF($N283&gt;المرجع!$K$3,"متقدم",IF($N283&lt;=المرجع!$K$2,"أولي","جزئي"))</f>
        <v>متقدم</v>
      </c>
      <c r="T283" s="28" t="n">
        <f aca="false">ROUND($Q283*$O283/100,2)</f>
        <v>5</v>
      </c>
    </row>
    <row r="284" customFormat="false" ht="15" hidden="false" customHeight="true" outlineLevel="0" collapsed="false">
      <c r="A284" s="20" t="s">
        <v>1736</v>
      </c>
      <c r="B284" s="20" t="s">
        <v>185</v>
      </c>
      <c r="C284" s="19" t="str">
        <f aca="false">IFERROR(INDEX('قائمة الوحدات'!$B$2:$B$41,MATCH($B284,'قائمة الوحدات'!$A$2:$A$41,0)),"")</f>
        <v>EXE</v>
      </c>
      <c r="D284" s="18" t="str">
        <f aca="false">IFERROR(INDEX('قائمة الوحدات'!$C$2:$C$41,MATCH($B284,'قائمة الوحدات'!$A$2:$A$41,0)),"")</f>
        <v>الشؤون التنفيذية</v>
      </c>
      <c r="E284" s="18" t="str">
        <f aca="false">IFERROR(INDEX('قائمة الوحدات'!$D$2:$D$41,MATCH($B284,'قائمة الوحدات'!$A$2:$A$41,0)),"")</f>
        <v>وكالة الشؤون الاستراتيجية</v>
      </c>
      <c r="F284" s="18" t="str">
        <f aca="false">IFERROR(INDEX('قائمة الوحدات'!$F$2:$F$41,MATCH($B284,'قائمة الوحدات'!$A$2:$A$41,0)),"")</f>
        <v>وكالة الشؤون الاستراتيجية</v>
      </c>
      <c r="G284" s="20" t="s">
        <v>62</v>
      </c>
      <c r="H284" s="18" t="str">
        <f aca="false">IFERROR(INDEX(المرجع!$A$2:$A$19,MATCH($G284,المرجع!$B$2:$B$19,0)),"")</f>
        <v>البناء المؤسسي</v>
      </c>
      <c r="I284" s="20" t="s">
        <v>69</v>
      </c>
      <c r="J284" s="18" t="str">
        <f aca="false">IFERROR(INDEX(المرجع!$D$2:$D$19,MATCH($I284,المرجع!$E$2:$E$19,0)),"")</f>
        <v>إنتاج المخرج الأول</v>
      </c>
      <c r="K284" s="19" t="n">
        <f aca="false">IFERROR(INDEX(المرجع!$F$2:$F$19,MATCH($I284,المرجع!$E$2:$E$19,0)),"")</f>
        <v>7</v>
      </c>
      <c r="L284" s="19" t="n">
        <f aca="false">SUMIFS(المرجع!$H$2:$H$19,المرجع!$B$2:$B$19,$G284,المرجع!$E$2:$E$19,$I284)</f>
        <v>1</v>
      </c>
      <c r="M284" s="19" t="n">
        <f aca="false">COUNTIFS('المرتبطة بسمو الوزير'!$B$2:$B$151,$B284,'المرتبطة بسمو الوزير'!$G$2:$G$151,$G284,'المرتبطة بسمو الوزير'!$I$2:$I$151,$I284,'المرتبطة بسمو الوزير'!$M$2:$M$151,"&lt;&gt;")+COUNTIFS('الشؤون التنفيذية'!$B$2:$B$421,$B284,'الشؤون التنفيذية'!$G$2:$G$421,$G284,'الشؤون التنفيذية'!$I$2:$I$421,$I284,'الشؤون التنفيذية'!$N$2:$N$421,"&lt;&gt;")+COUNTIFS('الجهاز العسكري'!$B$2:$B$631,$B284,'الجهاز العسكري'!$G$2:$G$631,$G284,'الجهاز العسكري'!$I$2:$I$631,$I284,'الجهاز العسكري'!$M$2:$M$631,"&lt;&gt;")</f>
        <v>1</v>
      </c>
      <c r="N284" s="24" t="n">
        <f aca="false">IF($L284=0,0,ROUND((SUMIFS('المرتبطة بسمو الوزير'!$M$2:$M$151,'المرتبطة بسمو الوزير'!$B$2:$B$151,$B284,'المرتبطة بسمو الوزير'!$G$2:$G$151,$G284,'المرتبطة بسمو الوزير'!$I$2:$I$151,$I284)+SUMIFS('الشؤون التنفيذية'!$N$2:$N$421,'الشؤون التنفيذية'!$B$2:$B$421,$B284,'الشؤون التنفيذية'!$G$2:$G$421,$G284,'الشؤون التنفيذية'!$I$2:$I$421,$I284)+SUMIFS('الجهاز العسكري'!$M$2:$M$631,'الجهاز العسكري'!$B$2:$B$631,$B284,'الجهاز العسكري'!$G$2:$G$631,$G284,'الجهاز العسكري'!$I$2:$I$631,$I284))/$L284,0))</f>
        <v>48</v>
      </c>
      <c r="O284" s="25" t="n">
        <f aca="false">IF($L284=0,0,ROUND((SUMIFS('المرتبطة بسمو الوزير'!$N$2:$N$151,'المرتبطة بسمو الوزير'!$B$2:$B$151,$B284,'المرتبطة بسمو الوزير'!$G$2:$G$151,$G284,'المرتبطة بسمو الوزير'!$I$2:$I$151,$I284)+SUMIFS('الشؤون التنفيذية'!$O$2:$O$421,'الشؤون التنفيذية'!$B$2:$B$421,$B284,'الشؤون التنفيذية'!$G$2:$G$421,$G284,'الشؤون التنفيذية'!$I$2:$I$421,$I284)+SUMIFS('الجهاز العسكري'!$N$2:$N$631,'الجهاز العسكري'!$B$2:$B$631,$B284,'الجهاز العسكري'!$G$2:$G$631,$G284,'الجهاز العسكري'!$I$2:$I$631,$I284))/$L284,0))</f>
        <v>80</v>
      </c>
      <c r="P284" s="22"/>
      <c r="Q284" s="19" t="n">
        <f aca="false">SUMIFS(المرجع!$G$2:$G$19,المرجع!$B$2:$B$19,$G284,المرجع!$E$2:$E$19,$I284)</f>
        <v>5</v>
      </c>
      <c r="R284" s="26" t="n">
        <f aca="false">ROUND($Q284*$N284/100,2)</f>
        <v>2.4</v>
      </c>
      <c r="S284" s="27" t="str">
        <f aca="false">IF($N284&gt;المرجع!$K$3,"متقدم",IF($N284&lt;=المرجع!$K$2,"أولي","جزئي"))</f>
        <v>جزئي</v>
      </c>
      <c r="T284" s="28" t="n">
        <f aca="false">ROUND($Q284*$O284/100,2)</f>
        <v>4</v>
      </c>
    </row>
    <row r="285" customFormat="false" ht="15" hidden="false" customHeight="true" outlineLevel="0" collapsed="false">
      <c r="A285" s="20" t="s">
        <v>1737</v>
      </c>
      <c r="B285" s="20" t="s">
        <v>185</v>
      </c>
      <c r="C285" s="19" t="str">
        <f aca="false">IFERROR(INDEX('قائمة الوحدات'!$B$2:$B$41,MATCH($B285,'قائمة الوحدات'!$A$2:$A$41,0)),"")</f>
        <v>EXE</v>
      </c>
      <c r="D285" s="18" t="str">
        <f aca="false">IFERROR(INDEX('قائمة الوحدات'!$C$2:$C$41,MATCH($B285,'قائمة الوحدات'!$A$2:$A$41,0)),"")</f>
        <v>الشؤون التنفيذية</v>
      </c>
      <c r="E285" s="18" t="str">
        <f aca="false">IFERROR(INDEX('قائمة الوحدات'!$D$2:$D$41,MATCH($B285,'قائمة الوحدات'!$A$2:$A$41,0)),"")</f>
        <v>وكالة الشؤون الاستراتيجية</v>
      </c>
      <c r="F285" s="18" t="str">
        <f aca="false">IFERROR(INDEX('قائمة الوحدات'!$F$2:$F$41,MATCH($B285,'قائمة الوحدات'!$A$2:$A$41,0)),"")</f>
        <v>وكالة الشؤون الاستراتيجية</v>
      </c>
      <c r="G285" s="20" t="s">
        <v>66</v>
      </c>
      <c r="H285" s="18" t="str">
        <f aca="false">IFERROR(INDEX(المرجع!$A$2:$A$19,MATCH($G285,المرجع!$B$2:$B$19,0)),"")</f>
        <v>التشغيل</v>
      </c>
      <c r="I285" s="20" t="s">
        <v>49</v>
      </c>
      <c r="J285" s="18" t="str">
        <f aca="false">IFERROR(INDEX(المرجع!$D$2:$D$19,MATCH($I285,المرجع!$E$2:$E$19,0)),"")</f>
        <v>الأهداف ومؤشرات الأداء</v>
      </c>
      <c r="K285" s="19" t="n">
        <f aca="false">IFERROR(INDEX(المرجع!$F$2:$F$19,MATCH($I285,المرجع!$E$2:$E$19,0)),"")</f>
        <v>2</v>
      </c>
      <c r="L285" s="19" t="n">
        <f aca="false">SUMIFS(المرجع!$H$2:$H$19,المرجع!$B$2:$B$19,$G285,المرجع!$E$2:$E$19,$I285)</f>
        <v>2</v>
      </c>
      <c r="M285" s="19" t="n">
        <f aca="false">COUNTIFS('المرتبطة بسمو الوزير'!$B$2:$B$151,$B285,'المرتبطة بسمو الوزير'!$G$2:$G$151,$G285,'المرتبطة بسمو الوزير'!$I$2:$I$151,$I285,'المرتبطة بسمو الوزير'!$M$2:$M$151,"&lt;&gt;")+COUNTIFS('الشؤون التنفيذية'!$B$2:$B$421,$B285,'الشؤون التنفيذية'!$G$2:$G$421,$G285,'الشؤون التنفيذية'!$I$2:$I$421,$I285,'الشؤون التنفيذية'!$N$2:$N$421,"&lt;&gt;")+COUNTIFS('الجهاز العسكري'!$B$2:$B$631,$B285,'الجهاز العسكري'!$G$2:$G$631,$G285,'الجهاز العسكري'!$I$2:$I$631,$I285,'الجهاز العسكري'!$M$2:$M$631,"&lt;&gt;")</f>
        <v>2</v>
      </c>
      <c r="N285" s="24" t="n">
        <f aca="false">IF($L285=0,0,ROUND((SUMIFS('المرتبطة بسمو الوزير'!$M$2:$M$151,'المرتبطة بسمو الوزير'!$B$2:$B$151,$B285,'المرتبطة بسمو الوزير'!$G$2:$G$151,$G285,'المرتبطة بسمو الوزير'!$I$2:$I$151,$I285)+SUMIFS('الشؤون التنفيذية'!$N$2:$N$421,'الشؤون التنفيذية'!$B$2:$B$421,$B285,'الشؤون التنفيذية'!$G$2:$G$421,$G285,'الشؤون التنفيذية'!$I$2:$I$421,$I285)+SUMIFS('الجهاز العسكري'!$M$2:$M$631,'الجهاز العسكري'!$B$2:$B$631,$B285,'الجهاز العسكري'!$G$2:$G$631,$G285,'الجهاز العسكري'!$I$2:$I$631,$I285))/$L285,0))</f>
        <v>35</v>
      </c>
      <c r="O285" s="25" t="n">
        <f aca="false">IF($L285=0,0,ROUND((SUMIFS('المرتبطة بسمو الوزير'!$N$2:$N$151,'المرتبطة بسمو الوزير'!$B$2:$B$151,$B285,'المرتبطة بسمو الوزير'!$G$2:$G$151,$G285,'المرتبطة بسمو الوزير'!$I$2:$I$151,$I285)+SUMIFS('الشؤون التنفيذية'!$O$2:$O$421,'الشؤون التنفيذية'!$B$2:$B$421,$B285,'الشؤون التنفيذية'!$G$2:$G$421,$G285,'الشؤون التنفيذية'!$I$2:$I$421,$I285)+SUMIFS('الجهاز العسكري'!$N$2:$N$631,'الجهاز العسكري'!$B$2:$B$631,$B285,'الجهاز العسكري'!$G$2:$G$631,$G285,'الجهاز العسكري'!$I$2:$I$631,$I285))/$L285,0))</f>
        <v>90</v>
      </c>
      <c r="P285" s="22"/>
      <c r="Q285" s="19" t="n">
        <f aca="false">SUMIFS(المرجع!$G$2:$G$19,المرجع!$B$2:$B$19,$G285,المرجع!$E$2:$E$19,$I285)</f>
        <v>25</v>
      </c>
      <c r="R285" s="26" t="n">
        <f aca="false">ROUND($Q285*$N285/100,2)</f>
        <v>8.75</v>
      </c>
      <c r="S285" s="27" t="str">
        <f aca="false">IF($N285&gt;المرجع!$K$3,"متقدم",IF($N285&lt;=المرجع!$K$2,"أولي","جزئي"))</f>
        <v>جزئي</v>
      </c>
      <c r="T285" s="28" t="n">
        <f aca="false">ROUND($Q285*$O285/100,2)</f>
        <v>22.5</v>
      </c>
    </row>
    <row r="286" customFormat="false" ht="15" hidden="false" customHeight="true" outlineLevel="0" collapsed="false">
      <c r="A286" s="20" t="s">
        <v>1738</v>
      </c>
      <c r="B286" s="20" t="s">
        <v>185</v>
      </c>
      <c r="C286" s="19" t="str">
        <f aca="false">IFERROR(INDEX('قائمة الوحدات'!$B$2:$B$41,MATCH($B286,'قائمة الوحدات'!$A$2:$A$41,0)),"")</f>
        <v>EXE</v>
      </c>
      <c r="D286" s="18" t="str">
        <f aca="false">IFERROR(INDEX('قائمة الوحدات'!$C$2:$C$41,MATCH($B286,'قائمة الوحدات'!$A$2:$A$41,0)),"")</f>
        <v>الشؤون التنفيذية</v>
      </c>
      <c r="E286" s="18" t="str">
        <f aca="false">IFERROR(INDEX('قائمة الوحدات'!$D$2:$D$41,MATCH($B286,'قائمة الوحدات'!$A$2:$A$41,0)),"")</f>
        <v>وكالة الشؤون الاستراتيجية</v>
      </c>
      <c r="F286" s="18" t="str">
        <f aca="false">IFERROR(INDEX('قائمة الوحدات'!$F$2:$F$41,MATCH($B286,'قائمة الوحدات'!$A$2:$A$41,0)),"")</f>
        <v>وكالة الشؤون الاستراتيجية</v>
      </c>
      <c r="G286" s="20" t="s">
        <v>66</v>
      </c>
      <c r="H286" s="18" t="str">
        <f aca="false">IFERROR(INDEX(المرجع!$A$2:$A$19,MATCH($G286,المرجع!$B$2:$B$19,0)),"")</f>
        <v>التشغيل</v>
      </c>
      <c r="I286" s="20" t="s">
        <v>52</v>
      </c>
      <c r="J286" s="18" t="str">
        <f aca="false">IFERROR(INDEX(المرجع!$D$2:$D$19,MATCH($I286,المرجع!$E$2:$E$19,0)),"")</f>
        <v>الحوكمة</v>
      </c>
      <c r="K286" s="19" t="n">
        <f aca="false">IFERROR(INDEX(المرجع!$F$2:$F$19,MATCH($I286,المرجع!$E$2:$E$19,0)),"")</f>
        <v>3</v>
      </c>
      <c r="L286" s="19" t="n">
        <f aca="false">SUMIFS(المرجع!$H$2:$H$19,المرجع!$B$2:$B$19,$G286,المرجع!$E$2:$E$19,$I286)</f>
        <v>3</v>
      </c>
      <c r="M286" s="19" t="n">
        <f aca="false">COUNTIFS('المرتبطة بسمو الوزير'!$B$2:$B$151,$B286,'المرتبطة بسمو الوزير'!$G$2:$G$151,$G286,'المرتبطة بسمو الوزير'!$I$2:$I$151,$I286,'المرتبطة بسمو الوزير'!$M$2:$M$151,"&lt;&gt;")+COUNTIFS('الشؤون التنفيذية'!$B$2:$B$421,$B286,'الشؤون التنفيذية'!$G$2:$G$421,$G286,'الشؤون التنفيذية'!$I$2:$I$421,$I286,'الشؤون التنفيذية'!$N$2:$N$421,"&lt;&gt;")+COUNTIFS('الجهاز العسكري'!$B$2:$B$631,$B286,'الجهاز العسكري'!$G$2:$G$631,$G286,'الجهاز العسكري'!$I$2:$I$631,$I286,'الجهاز العسكري'!$M$2:$M$631,"&lt;&gt;")</f>
        <v>3</v>
      </c>
      <c r="N286" s="24" t="n">
        <f aca="false">IF($L286=0,0,ROUND((SUMIFS('المرتبطة بسمو الوزير'!$M$2:$M$151,'المرتبطة بسمو الوزير'!$B$2:$B$151,$B286,'المرتبطة بسمو الوزير'!$G$2:$G$151,$G286,'المرتبطة بسمو الوزير'!$I$2:$I$151,$I286)+SUMIFS('الشؤون التنفيذية'!$N$2:$N$421,'الشؤون التنفيذية'!$B$2:$B$421,$B286,'الشؤون التنفيذية'!$G$2:$G$421,$G286,'الشؤون التنفيذية'!$I$2:$I$421,$I286)+SUMIFS('الجهاز العسكري'!$M$2:$M$631,'الجهاز العسكري'!$B$2:$B$631,$B286,'الجهاز العسكري'!$G$2:$G$631,$G286,'الجهاز العسكري'!$I$2:$I$631,$I286))/$L286,0))</f>
        <v>63</v>
      </c>
      <c r="O286" s="25" t="n">
        <f aca="false">IF($L286=0,0,ROUND((SUMIFS('المرتبطة بسمو الوزير'!$N$2:$N$151,'المرتبطة بسمو الوزير'!$B$2:$B$151,$B286,'المرتبطة بسمو الوزير'!$G$2:$G$151,$G286,'المرتبطة بسمو الوزير'!$I$2:$I$151,$I286)+SUMIFS('الشؤون التنفيذية'!$O$2:$O$421,'الشؤون التنفيذية'!$B$2:$B$421,$B286,'الشؤون التنفيذية'!$G$2:$G$421,$G286,'الشؤون التنفيذية'!$I$2:$I$421,$I286)+SUMIFS('الجهاز العسكري'!$N$2:$N$631,'الجهاز العسكري'!$B$2:$B$631,$B286,'الجهاز العسكري'!$G$2:$G$631,$G286,'الجهاز العسكري'!$I$2:$I$631,$I286))/$L286,0))</f>
        <v>87</v>
      </c>
      <c r="P286" s="22"/>
      <c r="Q286" s="19" t="n">
        <f aca="false">SUMIFS(المرجع!$G$2:$G$19,المرجع!$B$2:$B$19,$G286,المرجع!$E$2:$E$19,$I286)</f>
        <v>15</v>
      </c>
      <c r="R286" s="26" t="n">
        <f aca="false">ROUND($Q286*$N286/100,2)</f>
        <v>9.45</v>
      </c>
      <c r="S286" s="27" t="str">
        <f aca="false">IF($N286&gt;المرجع!$K$3,"متقدم",IF($N286&lt;=المرجع!$K$2,"أولي","جزئي"))</f>
        <v>جزئي</v>
      </c>
      <c r="T286" s="28" t="n">
        <f aca="false">ROUND($Q286*$O286/100,2)</f>
        <v>13.05</v>
      </c>
    </row>
    <row r="287" customFormat="false" ht="15" hidden="false" customHeight="true" outlineLevel="0" collapsed="false">
      <c r="A287" s="20" t="s">
        <v>1739</v>
      </c>
      <c r="B287" s="20" t="s">
        <v>185</v>
      </c>
      <c r="C287" s="19" t="str">
        <f aca="false">IFERROR(INDEX('قائمة الوحدات'!$B$2:$B$41,MATCH($B287,'قائمة الوحدات'!$A$2:$A$41,0)),"")</f>
        <v>EXE</v>
      </c>
      <c r="D287" s="18" t="str">
        <f aca="false">IFERROR(INDEX('قائمة الوحدات'!$C$2:$C$41,MATCH($B287,'قائمة الوحدات'!$A$2:$A$41,0)),"")</f>
        <v>الشؤون التنفيذية</v>
      </c>
      <c r="E287" s="18" t="str">
        <f aca="false">IFERROR(INDEX('قائمة الوحدات'!$D$2:$D$41,MATCH($B287,'قائمة الوحدات'!$A$2:$A$41,0)),"")</f>
        <v>وكالة الشؤون الاستراتيجية</v>
      </c>
      <c r="F287" s="18" t="str">
        <f aca="false">IFERROR(INDEX('قائمة الوحدات'!$F$2:$F$41,MATCH($B287,'قائمة الوحدات'!$A$2:$A$41,0)),"")</f>
        <v>وكالة الشؤون الاستراتيجية</v>
      </c>
      <c r="G287" s="20" t="s">
        <v>66</v>
      </c>
      <c r="H287" s="18" t="str">
        <f aca="false">IFERROR(INDEX(المرجع!$A$2:$A$19,MATCH($G287,المرجع!$B$2:$B$19,0)),"")</f>
        <v>التشغيل</v>
      </c>
      <c r="I287" s="20" t="s">
        <v>57</v>
      </c>
      <c r="J287" s="18" t="str">
        <f aca="false">IFERROR(INDEX(المرجع!$D$2:$D$19,MATCH($I287,المرجع!$E$2:$E$19,0)),"")</f>
        <v>الموارد</v>
      </c>
      <c r="K287" s="19" t="n">
        <f aca="false">IFERROR(INDEX(المرجع!$F$2:$F$19,MATCH($I287,المرجع!$E$2:$E$19,0)),"")</f>
        <v>5</v>
      </c>
      <c r="L287" s="19" t="n">
        <f aca="false">SUMIFS(المرجع!$H$2:$H$19,المرجع!$B$2:$B$19,$G287,المرجع!$E$2:$E$19,$I287)</f>
        <v>1</v>
      </c>
      <c r="M287" s="19" t="n">
        <f aca="false">COUNTIFS('المرتبطة بسمو الوزير'!$B$2:$B$151,$B287,'المرتبطة بسمو الوزير'!$G$2:$G$151,$G287,'المرتبطة بسمو الوزير'!$I$2:$I$151,$I287,'المرتبطة بسمو الوزير'!$M$2:$M$151,"&lt;&gt;")+COUNTIFS('الشؤون التنفيذية'!$B$2:$B$421,$B287,'الشؤون التنفيذية'!$G$2:$G$421,$G287,'الشؤون التنفيذية'!$I$2:$I$421,$I287,'الشؤون التنفيذية'!$N$2:$N$421,"&lt;&gt;")+COUNTIFS('الجهاز العسكري'!$B$2:$B$631,$B287,'الجهاز العسكري'!$G$2:$G$631,$G287,'الجهاز العسكري'!$I$2:$I$631,$I287,'الجهاز العسكري'!$M$2:$M$631,"&lt;&gt;")</f>
        <v>1</v>
      </c>
      <c r="N287" s="24" t="n">
        <f aca="false">IF($L287=0,0,ROUND((SUMIFS('المرتبطة بسمو الوزير'!$M$2:$M$151,'المرتبطة بسمو الوزير'!$B$2:$B$151,$B287,'المرتبطة بسمو الوزير'!$G$2:$G$151,$G287,'المرتبطة بسمو الوزير'!$I$2:$I$151,$I287)+SUMIFS('الشؤون التنفيذية'!$N$2:$N$421,'الشؤون التنفيذية'!$B$2:$B$421,$B287,'الشؤون التنفيذية'!$G$2:$G$421,$G287,'الشؤون التنفيذية'!$I$2:$I$421,$I287)+SUMIFS('الجهاز العسكري'!$M$2:$M$631,'الجهاز العسكري'!$B$2:$B$631,$B287,'الجهاز العسكري'!$G$2:$G$631,$G287,'الجهاز العسكري'!$I$2:$I$631,$I287))/$L287,0))</f>
        <v>38</v>
      </c>
      <c r="O287" s="25" t="n">
        <f aca="false">IF($L287=0,0,ROUND((SUMIFS('المرتبطة بسمو الوزير'!$N$2:$N$151,'المرتبطة بسمو الوزير'!$B$2:$B$151,$B287,'المرتبطة بسمو الوزير'!$G$2:$G$151,$G287,'المرتبطة بسمو الوزير'!$I$2:$I$151,$I287)+SUMIFS('الشؤون التنفيذية'!$O$2:$O$421,'الشؤون التنفيذية'!$B$2:$B$421,$B287,'الشؤون التنفيذية'!$G$2:$G$421,$G287,'الشؤون التنفيذية'!$I$2:$I$421,$I287)+SUMIFS('الجهاز العسكري'!$N$2:$N$631,'الجهاز العسكري'!$B$2:$B$631,$B287,'الجهاز العسكري'!$G$2:$G$631,$G287,'الجهاز العسكري'!$I$2:$I$631,$I287))/$L287,0))</f>
        <v>80</v>
      </c>
      <c r="P287" s="22"/>
      <c r="Q287" s="19" t="n">
        <f aca="false">SUMIFS(المرجع!$G$2:$G$19,المرجع!$B$2:$B$19,$G287,المرجع!$E$2:$E$19,$I287)</f>
        <v>15</v>
      </c>
      <c r="R287" s="26" t="n">
        <f aca="false">ROUND($Q287*$N287/100,2)</f>
        <v>5.7</v>
      </c>
      <c r="S287" s="27" t="str">
        <f aca="false">IF($N287&gt;المرجع!$K$3,"متقدم",IF($N287&lt;=المرجع!$K$2,"أولي","جزئي"))</f>
        <v>جزئي</v>
      </c>
      <c r="T287" s="28" t="n">
        <f aca="false">ROUND($Q287*$O287/100,2)</f>
        <v>12</v>
      </c>
    </row>
    <row r="288" customFormat="false" ht="15" hidden="false" customHeight="true" outlineLevel="0" collapsed="false">
      <c r="A288" s="20" t="s">
        <v>1740</v>
      </c>
      <c r="B288" s="20" t="s">
        <v>185</v>
      </c>
      <c r="C288" s="19" t="str">
        <f aca="false">IFERROR(INDEX('قائمة الوحدات'!$B$2:$B$41,MATCH($B288,'قائمة الوحدات'!$A$2:$A$41,0)),"")</f>
        <v>EXE</v>
      </c>
      <c r="D288" s="18" t="str">
        <f aca="false">IFERROR(INDEX('قائمة الوحدات'!$C$2:$C$41,MATCH($B288,'قائمة الوحدات'!$A$2:$A$41,0)),"")</f>
        <v>الشؤون التنفيذية</v>
      </c>
      <c r="E288" s="18" t="str">
        <f aca="false">IFERROR(INDEX('قائمة الوحدات'!$D$2:$D$41,MATCH($B288,'قائمة الوحدات'!$A$2:$A$41,0)),"")</f>
        <v>وكالة الشؤون الاستراتيجية</v>
      </c>
      <c r="F288" s="18" t="str">
        <f aca="false">IFERROR(INDEX('قائمة الوحدات'!$F$2:$F$41,MATCH($B288,'قائمة الوحدات'!$A$2:$A$41,0)),"")</f>
        <v>وكالة الشؤون الاستراتيجية</v>
      </c>
      <c r="G288" s="20" t="s">
        <v>66</v>
      </c>
      <c r="H288" s="18" t="str">
        <f aca="false">IFERROR(INDEX(المرجع!$A$2:$A$19,MATCH($G288,المرجع!$B$2:$B$19,0)),"")</f>
        <v>التشغيل</v>
      </c>
      <c r="I288" s="20" t="s">
        <v>60</v>
      </c>
      <c r="J288" s="18" t="str">
        <f aca="false">IFERROR(INDEX(المرجع!$D$2:$D$19,MATCH($I288,المرجع!$E$2:$E$19,0)),"")</f>
        <v>الإجراءات</v>
      </c>
      <c r="K288" s="19" t="n">
        <f aca="false">IFERROR(INDEX(المرجع!$F$2:$F$19,MATCH($I288,المرجع!$E$2:$E$19,0)),"")</f>
        <v>6</v>
      </c>
      <c r="L288" s="19" t="n">
        <f aca="false">SUMIFS(المرجع!$H$2:$H$19,المرجع!$B$2:$B$19,$G288,المرجع!$E$2:$E$19,$I288)</f>
        <v>1</v>
      </c>
      <c r="M288" s="19" t="n">
        <f aca="false">COUNTIFS('المرتبطة بسمو الوزير'!$B$2:$B$151,$B288,'المرتبطة بسمو الوزير'!$G$2:$G$151,$G288,'المرتبطة بسمو الوزير'!$I$2:$I$151,$I288,'المرتبطة بسمو الوزير'!$M$2:$M$151,"&lt;&gt;")+COUNTIFS('الشؤون التنفيذية'!$B$2:$B$421,$B288,'الشؤون التنفيذية'!$G$2:$G$421,$G288,'الشؤون التنفيذية'!$I$2:$I$421,$I288,'الشؤون التنفيذية'!$N$2:$N$421,"&lt;&gt;")+COUNTIFS('الجهاز العسكري'!$B$2:$B$631,$B288,'الجهاز العسكري'!$G$2:$G$631,$G288,'الجهاز العسكري'!$I$2:$I$631,$I288,'الجهاز العسكري'!$M$2:$M$631,"&lt;&gt;")</f>
        <v>1</v>
      </c>
      <c r="N288" s="24" t="n">
        <f aca="false">IF($L288=0,0,ROUND((SUMIFS('المرتبطة بسمو الوزير'!$M$2:$M$151,'المرتبطة بسمو الوزير'!$B$2:$B$151,$B288,'المرتبطة بسمو الوزير'!$G$2:$G$151,$G288,'المرتبطة بسمو الوزير'!$I$2:$I$151,$I288)+SUMIFS('الشؤون التنفيذية'!$N$2:$N$421,'الشؤون التنفيذية'!$B$2:$B$421,$B288,'الشؤون التنفيذية'!$G$2:$G$421,$G288,'الشؤون التنفيذية'!$I$2:$I$421,$I288)+SUMIFS('الجهاز العسكري'!$M$2:$M$631,'الجهاز العسكري'!$B$2:$B$631,$B288,'الجهاز العسكري'!$G$2:$G$631,$G288,'الجهاز العسكري'!$I$2:$I$631,$I288))/$L288,0))</f>
        <v>57</v>
      </c>
      <c r="O288" s="25" t="n">
        <f aca="false">IF($L288=0,0,ROUND((SUMIFS('المرتبطة بسمو الوزير'!$N$2:$N$151,'المرتبطة بسمو الوزير'!$B$2:$B$151,$B288,'المرتبطة بسمو الوزير'!$G$2:$G$151,$G288,'المرتبطة بسمو الوزير'!$I$2:$I$151,$I288)+SUMIFS('الشؤون التنفيذية'!$O$2:$O$421,'الشؤون التنفيذية'!$B$2:$B$421,$B288,'الشؤون التنفيذية'!$G$2:$G$421,$G288,'الشؤون التنفيذية'!$I$2:$I$421,$I288)+SUMIFS('الجهاز العسكري'!$N$2:$N$631,'الجهاز العسكري'!$B$2:$B$631,$B288,'الجهاز العسكري'!$G$2:$G$631,$G288,'الجهاز العسكري'!$I$2:$I$631,$I288))/$L288,0))</f>
        <v>100</v>
      </c>
      <c r="P288" s="22"/>
      <c r="Q288" s="19" t="n">
        <f aca="false">SUMIFS(المرجع!$G$2:$G$19,المرجع!$B$2:$B$19,$G288,المرجع!$E$2:$E$19,$I288)</f>
        <v>15</v>
      </c>
      <c r="R288" s="26" t="n">
        <f aca="false">ROUND($Q288*$N288/100,2)</f>
        <v>8.55</v>
      </c>
      <c r="S288" s="27" t="str">
        <f aca="false">IF($N288&gt;المرجع!$K$3,"متقدم",IF($N288&lt;=المرجع!$K$2,"أولي","جزئي"))</f>
        <v>جزئي</v>
      </c>
      <c r="T288" s="28" t="n">
        <f aca="false">ROUND($Q288*$O288/100,2)</f>
        <v>15</v>
      </c>
    </row>
    <row r="289" customFormat="false" ht="15" hidden="false" customHeight="true" outlineLevel="0" collapsed="false">
      <c r="A289" s="20" t="s">
        <v>1741</v>
      </c>
      <c r="B289" s="20" t="s">
        <v>185</v>
      </c>
      <c r="C289" s="19" t="str">
        <f aca="false">IFERROR(INDEX('قائمة الوحدات'!$B$2:$B$41,MATCH($B289,'قائمة الوحدات'!$A$2:$A$41,0)),"")</f>
        <v>EXE</v>
      </c>
      <c r="D289" s="18" t="str">
        <f aca="false">IFERROR(INDEX('قائمة الوحدات'!$C$2:$C$41,MATCH($B289,'قائمة الوحدات'!$A$2:$A$41,0)),"")</f>
        <v>الشؤون التنفيذية</v>
      </c>
      <c r="E289" s="18" t="str">
        <f aca="false">IFERROR(INDEX('قائمة الوحدات'!$D$2:$D$41,MATCH($B289,'قائمة الوحدات'!$A$2:$A$41,0)),"")</f>
        <v>وكالة الشؤون الاستراتيجية</v>
      </c>
      <c r="F289" s="18" t="str">
        <f aca="false">IFERROR(INDEX('قائمة الوحدات'!$F$2:$F$41,MATCH($B289,'قائمة الوحدات'!$A$2:$A$41,0)),"")</f>
        <v>وكالة الشؤون الاستراتيجية</v>
      </c>
      <c r="G289" s="20" t="s">
        <v>66</v>
      </c>
      <c r="H289" s="18" t="str">
        <f aca="false">IFERROR(INDEX(المرجع!$A$2:$A$19,MATCH($G289,المرجع!$B$2:$B$19,0)),"")</f>
        <v>التشغيل</v>
      </c>
      <c r="I289" s="20" t="s">
        <v>71</v>
      </c>
      <c r="J289" s="18" t="str">
        <f aca="false">IFERROR(INDEX(المرجع!$D$2:$D$19,MATCH($I289,المرجع!$E$2:$E$19,0)),"")</f>
        <v>اكتمال المخرجات المستهدفة</v>
      </c>
      <c r="K289" s="19" t="n">
        <f aca="false">IFERROR(INDEX(المرجع!$F$2:$F$19,MATCH($I289,المرجع!$E$2:$E$19,0)),"")</f>
        <v>8</v>
      </c>
      <c r="L289" s="19" t="n">
        <f aca="false">SUMIFS(المرجع!$H$2:$H$19,المرجع!$B$2:$B$19,$G289,المرجع!$E$2:$E$19,$I289)</f>
        <v>1</v>
      </c>
      <c r="M289" s="19" t="n">
        <f aca="false">COUNTIFS('المرتبطة بسمو الوزير'!$B$2:$B$151,$B289,'المرتبطة بسمو الوزير'!$G$2:$G$151,$G289,'المرتبطة بسمو الوزير'!$I$2:$I$151,$I289,'المرتبطة بسمو الوزير'!$M$2:$M$151,"&lt;&gt;")+COUNTIFS('الشؤون التنفيذية'!$B$2:$B$421,$B289,'الشؤون التنفيذية'!$G$2:$G$421,$G289,'الشؤون التنفيذية'!$I$2:$I$421,$I289,'الشؤون التنفيذية'!$N$2:$N$421,"&lt;&gt;")+COUNTIFS('الجهاز العسكري'!$B$2:$B$631,$B289,'الجهاز العسكري'!$G$2:$G$631,$G289,'الجهاز العسكري'!$I$2:$I$631,$I289,'الجهاز العسكري'!$M$2:$M$631,"&lt;&gt;")</f>
        <v>1</v>
      </c>
      <c r="N289" s="24" t="n">
        <f aca="false">IF($L289=0,0,ROUND((SUMIFS('المرتبطة بسمو الوزير'!$M$2:$M$151,'المرتبطة بسمو الوزير'!$B$2:$B$151,$B289,'المرتبطة بسمو الوزير'!$G$2:$G$151,$G289,'المرتبطة بسمو الوزير'!$I$2:$I$151,$I289)+SUMIFS('الشؤون التنفيذية'!$N$2:$N$421,'الشؤون التنفيذية'!$B$2:$B$421,$B289,'الشؤون التنفيذية'!$G$2:$G$421,$G289,'الشؤون التنفيذية'!$I$2:$I$421,$I289)+SUMIFS('الجهاز العسكري'!$M$2:$M$631,'الجهاز العسكري'!$B$2:$B$631,$B289,'الجهاز العسكري'!$G$2:$G$631,$G289,'الجهاز العسكري'!$I$2:$I$631,$I289))/$L289,0))</f>
        <v>28</v>
      </c>
      <c r="O289" s="25" t="n">
        <f aca="false">IF($L289=0,0,ROUND((SUMIFS('المرتبطة بسمو الوزير'!$N$2:$N$151,'المرتبطة بسمو الوزير'!$B$2:$B$151,$B289,'المرتبطة بسمو الوزير'!$G$2:$G$151,$G289,'المرتبطة بسمو الوزير'!$I$2:$I$151,$I289)+SUMIFS('الشؤون التنفيذية'!$O$2:$O$421,'الشؤون التنفيذية'!$B$2:$B$421,$B289,'الشؤون التنفيذية'!$G$2:$G$421,$G289,'الشؤون التنفيذية'!$I$2:$I$421,$I289)+SUMIFS('الجهاز العسكري'!$N$2:$N$631,'الجهاز العسكري'!$B$2:$B$631,$B289,'الجهاز العسكري'!$G$2:$G$631,$G289,'الجهاز العسكري'!$I$2:$I$631,$I289))/$L289,0))</f>
        <v>80</v>
      </c>
      <c r="P289" s="22"/>
      <c r="Q289" s="19" t="n">
        <f aca="false">SUMIFS(المرجع!$G$2:$G$19,المرجع!$B$2:$B$19,$G289,المرجع!$E$2:$E$19,$I289)</f>
        <v>30</v>
      </c>
      <c r="R289" s="26" t="n">
        <f aca="false">ROUND($Q289*$N289/100,2)</f>
        <v>8.4</v>
      </c>
      <c r="S289" s="27" t="str">
        <f aca="false">IF($N289&gt;المرجع!$K$3,"متقدم",IF($N289&lt;=المرجع!$K$2,"أولي","جزئي"))</f>
        <v>أولي</v>
      </c>
      <c r="T289" s="28" t="n">
        <f aca="false">ROUND($Q289*$O289/100,2)</f>
        <v>24</v>
      </c>
    </row>
    <row r="290" customFormat="false" ht="15" hidden="false" customHeight="true" outlineLevel="0" collapsed="false">
      <c r="A290" s="20" t="s">
        <v>1742</v>
      </c>
      <c r="B290" s="20" t="s">
        <v>188</v>
      </c>
      <c r="C290" s="19" t="str">
        <f aca="false">IFERROR(INDEX('قائمة الوحدات'!$B$2:$B$41,MATCH($B290,'قائمة الوحدات'!$A$2:$A$41,0)),"")</f>
        <v>EXE</v>
      </c>
      <c r="D290" s="18" t="str">
        <f aca="false">IFERROR(INDEX('قائمة الوحدات'!$C$2:$C$41,MATCH($B290,'قائمة الوحدات'!$A$2:$A$41,0)),"")</f>
        <v>الشؤون التنفيذية</v>
      </c>
      <c r="E290" s="18" t="str">
        <f aca="false">IFERROR(INDEX('قائمة الوحدات'!$D$2:$D$41,MATCH($B290,'قائمة الوحدات'!$A$2:$A$41,0)),"")</f>
        <v>وكالة التحول الرقمي</v>
      </c>
      <c r="F290" s="18" t="str">
        <f aca="false">IFERROR(INDEX('قائمة الوحدات'!$F$2:$F$41,MATCH($B290,'قائمة الوحدات'!$A$2:$A$41,0)),"")</f>
        <v>وكالة التحول الرقمي</v>
      </c>
      <c r="G290" s="20" t="s">
        <v>44</v>
      </c>
      <c r="H290" s="18" t="str">
        <f aca="false">IFERROR(INDEX(المرجع!$A$2:$A$19,MATCH($G290,المرجع!$B$2:$B$19,0)),"")</f>
        <v>التصميم</v>
      </c>
      <c r="I290" s="20" t="s">
        <v>46</v>
      </c>
      <c r="J290" s="18" t="str">
        <f aca="false">IFERROR(INDEX(المرجع!$D$2:$D$19,MATCH($I290,المرجع!$E$2:$E$19,0)),"")</f>
        <v>الدور</v>
      </c>
      <c r="K290" s="19" t="n">
        <f aca="false">IFERROR(INDEX(المرجع!$F$2:$F$19,MATCH($I290,المرجع!$E$2:$E$19,0)),"")</f>
        <v>1</v>
      </c>
      <c r="L290" s="19" t="n">
        <f aca="false">SUMIFS(المرجع!$H$2:$H$19,المرجع!$B$2:$B$19,$G290,المرجع!$E$2:$E$19,$I290)</f>
        <v>1</v>
      </c>
      <c r="M290" s="19" t="n">
        <f aca="false">COUNTIFS('المرتبطة بسمو الوزير'!$B$2:$B$151,$B290,'المرتبطة بسمو الوزير'!$G$2:$G$151,$G290,'المرتبطة بسمو الوزير'!$I$2:$I$151,$I290,'المرتبطة بسمو الوزير'!$M$2:$M$151,"&lt;&gt;")+COUNTIFS('الشؤون التنفيذية'!$B$2:$B$421,$B290,'الشؤون التنفيذية'!$G$2:$G$421,$G290,'الشؤون التنفيذية'!$I$2:$I$421,$I290,'الشؤون التنفيذية'!$N$2:$N$421,"&lt;&gt;")+COUNTIFS('الجهاز العسكري'!$B$2:$B$631,$B290,'الجهاز العسكري'!$G$2:$G$631,$G290,'الجهاز العسكري'!$I$2:$I$631,$I290,'الجهاز العسكري'!$M$2:$M$631,"&lt;&gt;")</f>
        <v>1</v>
      </c>
      <c r="N290" s="24" t="n">
        <f aca="false">IF($L290=0,0,ROUND((SUMIFS('المرتبطة بسمو الوزير'!$M$2:$M$151,'المرتبطة بسمو الوزير'!$B$2:$B$151,$B290,'المرتبطة بسمو الوزير'!$G$2:$G$151,$G290,'المرتبطة بسمو الوزير'!$I$2:$I$151,$I290)+SUMIFS('الشؤون التنفيذية'!$N$2:$N$421,'الشؤون التنفيذية'!$B$2:$B$421,$B290,'الشؤون التنفيذية'!$G$2:$G$421,$G290,'الشؤون التنفيذية'!$I$2:$I$421,$I290)+SUMIFS('الجهاز العسكري'!$M$2:$M$631,'الجهاز العسكري'!$B$2:$B$631,$B290,'الجهاز العسكري'!$G$2:$G$631,$G290,'الجهاز العسكري'!$I$2:$I$631,$I290))/$L290,0))</f>
        <v>80</v>
      </c>
      <c r="O290" s="25" t="n">
        <f aca="false">IF($L290=0,0,ROUND((SUMIFS('المرتبطة بسمو الوزير'!$N$2:$N$151,'المرتبطة بسمو الوزير'!$B$2:$B$151,$B290,'المرتبطة بسمو الوزير'!$G$2:$G$151,$G290,'المرتبطة بسمو الوزير'!$I$2:$I$151,$I290)+SUMIFS('الشؤون التنفيذية'!$O$2:$O$421,'الشؤون التنفيذية'!$B$2:$B$421,$B290,'الشؤون التنفيذية'!$G$2:$G$421,$G290,'الشؤون التنفيذية'!$I$2:$I$421,$I290)+SUMIFS('الجهاز العسكري'!$N$2:$N$631,'الجهاز العسكري'!$B$2:$B$631,$B290,'الجهاز العسكري'!$G$2:$G$631,$G290,'الجهاز العسكري'!$I$2:$I$631,$I290))/$L290,0))</f>
        <v>100</v>
      </c>
      <c r="P290" s="22"/>
      <c r="Q290" s="19" t="n">
        <f aca="false">SUMIFS(المرجع!$G$2:$G$19,المرجع!$B$2:$B$19,$G290,المرجع!$E$2:$E$19,$I290)</f>
        <v>25</v>
      </c>
      <c r="R290" s="26" t="n">
        <f aca="false">ROUND($Q290*$N290/100,2)</f>
        <v>20</v>
      </c>
      <c r="S290" s="27" t="str">
        <f aca="false">IF($N290&gt;المرجع!$K$3,"متقدم",IF($N290&lt;=المرجع!$K$2,"أولي","جزئي"))</f>
        <v>متقدم</v>
      </c>
      <c r="T290" s="28" t="n">
        <f aca="false">ROUND($Q290*$O290/100,2)</f>
        <v>25</v>
      </c>
    </row>
    <row r="291" customFormat="false" ht="15" hidden="false" customHeight="true" outlineLevel="0" collapsed="false">
      <c r="A291" s="20" t="s">
        <v>1743</v>
      </c>
      <c r="B291" s="20" t="s">
        <v>188</v>
      </c>
      <c r="C291" s="19" t="str">
        <f aca="false">IFERROR(INDEX('قائمة الوحدات'!$B$2:$B$41,MATCH($B291,'قائمة الوحدات'!$A$2:$A$41,0)),"")</f>
        <v>EXE</v>
      </c>
      <c r="D291" s="18" t="str">
        <f aca="false">IFERROR(INDEX('قائمة الوحدات'!$C$2:$C$41,MATCH($B291,'قائمة الوحدات'!$A$2:$A$41,0)),"")</f>
        <v>الشؤون التنفيذية</v>
      </c>
      <c r="E291" s="18" t="str">
        <f aca="false">IFERROR(INDEX('قائمة الوحدات'!$D$2:$D$41,MATCH($B291,'قائمة الوحدات'!$A$2:$A$41,0)),"")</f>
        <v>وكالة التحول الرقمي</v>
      </c>
      <c r="F291" s="18" t="str">
        <f aca="false">IFERROR(INDEX('قائمة الوحدات'!$F$2:$F$41,MATCH($B291,'قائمة الوحدات'!$A$2:$A$41,0)),"")</f>
        <v>وكالة التحول الرقمي</v>
      </c>
      <c r="G291" s="20" t="s">
        <v>44</v>
      </c>
      <c r="H291" s="18" t="str">
        <f aca="false">IFERROR(INDEX(المرجع!$A$2:$A$19,MATCH($G291,المرجع!$B$2:$B$19,0)),"")</f>
        <v>التصميم</v>
      </c>
      <c r="I291" s="20" t="s">
        <v>49</v>
      </c>
      <c r="J291" s="18" t="str">
        <f aca="false">IFERROR(INDEX(المرجع!$D$2:$D$19,MATCH($I291,المرجع!$E$2:$E$19,0)),"")</f>
        <v>الأهداف ومؤشرات الأداء</v>
      </c>
      <c r="K291" s="19" t="n">
        <f aca="false">IFERROR(INDEX(المرجع!$F$2:$F$19,MATCH($I291,المرجع!$E$2:$E$19,0)),"")</f>
        <v>2</v>
      </c>
      <c r="L291" s="19" t="n">
        <f aca="false">SUMIFS(المرجع!$H$2:$H$19,المرجع!$B$2:$B$19,$G291,المرجع!$E$2:$E$19,$I291)</f>
        <v>2</v>
      </c>
      <c r="M291" s="19" t="n">
        <f aca="false">COUNTIFS('المرتبطة بسمو الوزير'!$B$2:$B$151,$B291,'المرتبطة بسمو الوزير'!$G$2:$G$151,$G291,'المرتبطة بسمو الوزير'!$I$2:$I$151,$I291,'المرتبطة بسمو الوزير'!$M$2:$M$151,"&lt;&gt;")+COUNTIFS('الشؤون التنفيذية'!$B$2:$B$421,$B291,'الشؤون التنفيذية'!$G$2:$G$421,$G291,'الشؤون التنفيذية'!$I$2:$I$421,$I291,'الشؤون التنفيذية'!$N$2:$N$421,"&lt;&gt;")+COUNTIFS('الجهاز العسكري'!$B$2:$B$631,$B291,'الجهاز العسكري'!$G$2:$G$631,$G291,'الجهاز العسكري'!$I$2:$I$631,$I291,'الجهاز العسكري'!$M$2:$M$631,"&lt;&gt;")</f>
        <v>2</v>
      </c>
      <c r="N291" s="24" t="n">
        <f aca="false">IF($L291=0,0,ROUND((SUMIFS('المرتبطة بسمو الوزير'!$M$2:$M$151,'المرتبطة بسمو الوزير'!$B$2:$B$151,$B291,'المرتبطة بسمو الوزير'!$G$2:$G$151,$G291,'المرتبطة بسمو الوزير'!$I$2:$I$151,$I291)+SUMIFS('الشؤون التنفيذية'!$N$2:$N$421,'الشؤون التنفيذية'!$B$2:$B$421,$B291,'الشؤون التنفيذية'!$G$2:$G$421,$G291,'الشؤون التنفيذية'!$I$2:$I$421,$I291)+SUMIFS('الجهاز العسكري'!$M$2:$M$631,'الجهاز العسكري'!$B$2:$B$631,$B291,'الجهاز العسكري'!$G$2:$G$631,$G291,'الجهاز العسكري'!$I$2:$I$631,$I291))/$L291,0))</f>
        <v>83</v>
      </c>
      <c r="O291" s="25" t="n">
        <f aca="false">IF($L291=0,0,ROUND((SUMIFS('المرتبطة بسمو الوزير'!$N$2:$N$151,'المرتبطة بسمو الوزير'!$B$2:$B$151,$B291,'المرتبطة بسمو الوزير'!$G$2:$G$151,$G291,'المرتبطة بسمو الوزير'!$I$2:$I$151,$I291)+SUMIFS('الشؤون التنفيذية'!$O$2:$O$421,'الشؤون التنفيذية'!$B$2:$B$421,$B291,'الشؤون التنفيذية'!$G$2:$G$421,$G291,'الشؤون التنفيذية'!$I$2:$I$421,$I291)+SUMIFS('الجهاز العسكري'!$N$2:$N$631,'الجهاز العسكري'!$B$2:$B$631,$B291,'الجهاز العسكري'!$G$2:$G$631,$G291,'الجهاز العسكري'!$I$2:$I$631,$I291))/$L291,0))</f>
        <v>98</v>
      </c>
      <c r="P291" s="22"/>
      <c r="Q291" s="19" t="n">
        <f aca="false">SUMIFS(المرجع!$G$2:$G$19,المرجع!$B$2:$B$19,$G291,المرجع!$E$2:$E$19,$I291)</f>
        <v>15</v>
      </c>
      <c r="R291" s="26" t="n">
        <f aca="false">ROUND($Q291*$N291/100,2)</f>
        <v>12.45</v>
      </c>
      <c r="S291" s="27" t="str">
        <f aca="false">IF($N291&gt;المرجع!$K$3,"متقدم",IF($N291&lt;=المرجع!$K$2,"أولي","جزئي"))</f>
        <v>متقدم</v>
      </c>
      <c r="T291" s="28" t="n">
        <f aca="false">ROUND($Q291*$O291/100,2)</f>
        <v>14.7</v>
      </c>
    </row>
    <row r="292" customFormat="false" ht="15" hidden="false" customHeight="true" outlineLevel="0" collapsed="false">
      <c r="A292" s="20" t="s">
        <v>1744</v>
      </c>
      <c r="B292" s="20" t="s">
        <v>188</v>
      </c>
      <c r="C292" s="19" t="str">
        <f aca="false">IFERROR(INDEX('قائمة الوحدات'!$B$2:$B$41,MATCH($B292,'قائمة الوحدات'!$A$2:$A$41,0)),"")</f>
        <v>EXE</v>
      </c>
      <c r="D292" s="18" t="str">
        <f aca="false">IFERROR(INDEX('قائمة الوحدات'!$C$2:$C$41,MATCH($B292,'قائمة الوحدات'!$A$2:$A$41,0)),"")</f>
        <v>الشؤون التنفيذية</v>
      </c>
      <c r="E292" s="18" t="str">
        <f aca="false">IFERROR(INDEX('قائمة الوحدات'!$D$2:$D$41,MATCH($B292,'قائمة الوحدات'!$A$2:$A$41,0)),"")</f>
        <v>وكالة التحول الرقمي</v>
      </c>
      <c r="F292" s="18" t="str">
        <f aca="false">IFERROR(INDEX('قائمة الوحدات'!$F$2:$F$41,MATCH($B292,'قائمة الوحدات'!$A$2:$A$41,0)),"")</f>
        <v>وكالة التحول الرقمي</v>
      </c>
      <c r="G292" s="20" t="s">
        <v>44</v>
      </c>
      <c r="H292" s="18" t="str">
        <f aca="false">IFERROR(INDEX(المرجع!$A$2:$A$19,MATCH($G292,المرجع!$B$2:$B$19,0)),"")</f>
        <v>التصميم</v>
      </c>
      <c r="I292" s="20" t="s">
        <v>52</v>
      </c>
      <c r="J292" s="18" t="str">
        <f aca="false">IFERROR(INDEX(المرجع!$D$2:$D$19,MATCH($I292,المرجع!$E$2:$E$19,0)),"")</f>
        <v>الحوكمة</v>
      </c>
      <c r="K292" s="19" t="n">
        <f aca="false">IFERROR(INDEX(المرجع!$F$2:$F$19,MATCH($I292,المرجع!$E$2:$E$19,0)),"")</f>
        <v>3</v>
      </c>
      <c r="L292" s="19" t="n">
        <f aca="false">SUMIFS(المرجع!$H$2:$H$19,المرجع!$B$2:$B$19,$G292,المرجع!$E$2:$E$19,$I292)</f>
        <v>1</v>
      </c>
      <c r="M292" s="19" t="n">
        <f aca="false">COUNTIFS('المرتبطة بسمو الوزير'!$B$2:$B$151,$B292,'المرتبطة بسمو الوزير'!$G$2:$G$151,$G292,'المرتبطة بسمو الوزير'!$I$2:$I$151,$I292,'المرتبطة بسمو الوزير'!$M$2:$M$151,"&lt;&gt;")+COUNTIFS('الشؤون التنفيذية'!$B$2:$B$421,$B292,'الشؤون التنفيذية'!$G$2:$G$421,$G292,'الشؤون التنفيذية'!$I$2:$I$421,$I292,'الشؤون التنفيذية'!$N$2:$N$421,"&lt;&gt;")+COUNTIFS('الجهاز العسكري'!$B$2:$B$631,$B292,'الجهاز العسكري'!$G$2:$G$631,$G292,'الجهاز العسكري'!$I$2:$I$631,$I292,'الجهاز العسكري'!$M$2:$M$631,"&lt;&gt;")</f>
        <v>1</v>
      </c>
      <c r="N292" s="24" t="n">
        <f aca="false">IF($L292=0,0,ROUND((SUMIFS('المرتبطة بسمو الوزير'!$M$2:$M$151,'المرتبطة بسمو الوزير'!$B$2:$B$151,$B292,'المرتبطة بسمو الوزير'!$G$2:$G$151,$G292,'المرتبطة بسمو الوزير'!$I$2:$I$151,$I292)+SUMIFS('الشؤون التنفيذية'!$N$2:$N$421,'الشؤون التنفيذية'!$B$2:$B$421,$B292,'الشؤون التنفيذية'!$G$2:$G$421,$G292,'الشؤون التنفيذية'!$I$2:$I$421,$I292)+SUMIFS('الجهاز العسكري'!$M$2:$M$631,'الجهاز العسكري'!$B$2:$B$631,$B292,'الجهاز العسكري'!$G$2:$G$631,$G292,'الجهاز العسكري'!$I$2:$I$631,$I292))/$L292,0))</f>
        <v>69</v>
      </c>
      <c r="O292" s="25" t="n">
        <f aca="false">IF($L292=0,0,ROUND((SUMIFS('المرتبطة بسمو الوزير'!$N$2:$N$151,'المرتبطة بسمو الوزير'!$B$2:$B$151,$B292,'المرتبطة بسمو الوزير'!$G$2:$G$151,$G292,'المرتبطة بسمو الوزير'!$I$2:$I$151,$I292)+SUMIFS('الشؤون التنفيذية'!$O$2:$O$421,'الشؤون التنفيذية'!$B$2:$B$421,$B292,'الشؤون التنفيذية'!$G$2:$G$421,$G292,'الشؤون التنفيذية'!$I$2:$I$421,$I292)+SUMIFS('الجهاز العسكري'!$N$2:$N$631,'الجهاز العسكري'!$B$2:$B$631,$B292,'الجهاز العسكري'!$G$2:$G$631,$G292,'الجهاز العسكري'!$I$2:$I$631,$I292))/$L292,0))</f>
        <v>80</v>
      </c>
      <c r="P292" s="22"/>
      <c r="Q292" s="19" t="n">
        <f aca="false">SUMIFS(المرجع!$G$2:$G$19,المرجع!$B$2:$B$19,$G292,المرجع!$E$2:$E$19,$I292)</f>
        <v>15</v>
      </c>
      <c r="R292" s="26" t="n">
        <f aca="false">ROUND($Q292*$N292/100,2)</f>
        <v>10.35</v>
      </c>
      <c r="S292" s="27" t="str">
        <f aca="false">IF($N292&gt;المرجع!$K$3,"متقدم",IF($N292&lt;=المرجع!$K$2,"أولي","جزئي"))</f>
        <v>جزئي</v>
      </c>
      <c r="T292" s="28" t="n">
        <f aca="false">ROUND($Q292*$O292/100,2)</f>
        <v>12</v>
      </c>
    </row>
    <row r="293" customFormat="false" ht="15" hidden="false" customHeight="true" outlineLevel="0" collapsed="false">
      <c r="A293" s="20" t="s">
        <v>1745</v>
      </c>
      <c r="B293" s="20" t="s">
        <v>188</v>
      </c>
      <c r="C293" s="19" t="str">
        <f aca="false">IFERROR(INDEX('قائمة الوحدات'!$B$2:$B$41,MATCH($B293,'قائمة الوحدات'!$A$2:$A$41,0)),"")</f>
        <v>EXE</v>
      </c>
      <c r="D293" s="18" t="str">
        <f aca="false">IFERROR(INDEX('قائمة الوحدات'!$C$2:$C$41,MATCH($B293,'قائمة الوحدات'!$A$2:$A$41,0)),"")</f>
        <v>الشؤون التنفيذية</v>
      </c>
      <c r="E293" s="18" t="str">
        <f aca="false">IFERROR(INDEX('قائمة الوحدات'!$D$2:$D$41,MATCH($B293,'قائمة الوحدات'!$A$2:$A$41,0)),"")</f>
        <v>وكالة التحول الرقمي</v>
      </c>
      <c r="F293" s="18" t="str">
        <f aca="false">IFERROR(INDEX('قائمة الوحدات'!$F$2:$F$41,MATCH($B293,'قائمة الوحدات'!$A$2:$A$41,0)),"")</f>
        <v>وكالة التحول الرقمي</v>
      </c>
      <c r="G293" s="20" t="s">
        <v>44</v>
      </c>
      <c r="H293" s="18" t="str">
        <f aca="false">IFERROR(INDEX(المرجع!$A$2:$A$19,MATCH($G293,المرجع!$B$2:$B$19,0)),"")</f>
        <v>التصميم</v>
      </c>
      <c r="I293" s="20" t="s">
        <v>55</v>
      </c>
      <c r="J293" s="18" t="str">
        <f aca="false">IFERROR(INDEX(المرجع!$D$2:$D$19,MATCH($I293,المرجع!$E$2:$E$19,0)),"")</f>
        <v>التنظيم</v>
      </c>
      <c r="K293" s="19" t="n">
        <f aca="false">IFERROR(INDEX(المرجع!$F$2:$F$19,MATCH($I293,المرجع!$E$2:$E$19,0)),"")</f>
        <v>4</v>
      </c>
      <c r="L293" s="19" t="n">
        <f aca="false">SUMIFS(المرجع!$H$2:$H$19,المرجع!$B$2:$B$19,$G293,المرجع!$E$2:$E$19,$I293)</f>
        <v>1</v>
      </c>
      <c r="M293" s="19" t="n">
        <f aca="false">COUNTIFS('المرتبطة بسمو الوزير'!$B$2:$B$151,$B293,'المرتبطة بسمو الوزير'!$G$2:$G$151,$G293,'المرتبطة بسمو الوزير'!$I$2:$I$151,$I293,'المرتبطة بسمو الوزير'!$M$2:$M$151,"&lt;&gt;")+COUNTIFS('الشؤون التنفيذية'!$B$2:$B$421,$B293,'الشؤون التنفيذية'!$G$2:$G$421,$G293,'الشؤون التنفيذية'!$I$2:$I$421,$I293,'الشؤون التنفيذية'!$N$2:$N$421,"&lt;&gt;")+COUNTIFS('الجهاز العسكري'!$B$2:$B$631,$B293,'الجهاز العسكري'!$G$2:$G$631,$G293,'الجهاز العسكري'!$I$2:$I$631,$I293,'الجهاز العسكري'!$M$2:$M$631,"&lt;&gt;")</f>
        <v>1</v>
      </c>
      <c r="N293" s="24" t="n">
        <f aca="false">IF($L293=0,0,ROUND((SUMIFS('المرتبطة بسمو الوزير'!$M$2:$M$151,'المرتبطة بسمو الوزير'!$B$2:$B$151,$B293,'المرتبطة بسمو الوزير'!$G$2:$G$151,$G293,'المرتبطة بسمو الوزير'!$I$2:$I$151,$I293)+SUMIFS('الشؤون التنفيذية'!$N$2:$N$421,'الشؤون التنفيذية'!$B$2:$B$421,$B293,'الشؤون التنفيذية'!$G$2:$G$421,$G293,'الشؤون التنفيذية'!$I$2:$I$421,$I293)+SUMIFS('الجهاز العسكري'!$M$2:$M$631,'الجهاز العسكري'!$B$2:$B$631,$B293,'الجهاز العسكري'!$G$2:$G$631,$G293,'الجهاز العسكري'!$I$2:$I$631,$I293))/$L293,0))</f>
        <v>77</v>
      </c>
      <c r="O293" s="25" t="n">
        <f aca="false">IF($L293=0,0,ROUND((SUMIFS('المرتبطة بسمو الوزير'!$N$2:$N$151,'المرتبطة بسمو الوزير'!$B$2:$B$151,$B293,'المرتبطة بسمو الوزير'!$G$2:$G$151,$G293,'المرتبطة بسمو الوزير'!$I$2:$I$151,$I293)+SUMIFS('الشؤون التنفيذية'!$O$2:$O$421,'الشؤون التنفيذية'!$B$2:$B$421,$B293,'الشؤون التنفيذية'!$G$2:$G$421,$G293,'الشؤون التنفيذية'!$I$2:$I$421,$I293)+SUMIFS('الجهاز العسكري'!$N$2:$N$631,'الجهاز العسكري'!$B$2:$B$631,$B293,'الجهاز العسكري'!$G$2:$G$631,$G293,'الجهاز العسكري'!$I$2:$I$631,$I293))/$L293,0))</f>
        <v>100</v>
      </c>
      <c r="P293" s="22"/>
      <c r="Q293" s="19" t="n">
        <f aca="false">SUMIFS(المرجع!$G$2:$G$19,المرجع!$B$2:$B$19,$G293,المرجع!$E$2:$E$19,$I293)</f>
        <v>20</v>
      </c>
      <c r="R293" s="26" t="n">
        <f aca="false">ROUND($Q293*$N293/100,2)</f>
        <v>15.4</v>
      </c>
      <c r="S293" s="27" t="str">
        <f aca="false">IF($N293&gt;المرجع!$K$3,"متقدم",IF($N293&lt;=المرجع!$K$2,"أولي","جزئي"))</f>
        <v>متقدم</v>
      </c>
      <c r="T293" s="28" t="n">
        <f aca="false">ROUND($Q293*$O293/100,2)</f>
        <v>20</v>
      </c>
    </row>
    <row r="294" customFormat="false" ht="15" hidden="false" customHeight="true" outlineLevel="0" collapsed="false">
      <c r="A294" s="20" t="s">
        <v>1746</v>
      </c>
      <c r="B294" s="20" t="s">
        <v>188</v>
      </c>
      <c r="C294" s="19" t="str">
        <f aca="false">IFERROR(INDEX('قائمة الوحدات'!$B$2:$B$41,MATCH($B294,'قائمة الوحدات'!$A$2:$A$41,0)),"")</f>
        <v>EXE</v>
      </c>
      <c r="D294" s="18" t="str">
        <f aca="false">IFERROR(INDEX('قائمة الوحدات'!$C$2:$C$41,MATCH($B294,'قائمة الوحدات'!$A$2:$A$41,0)),"")</f>
        <v>الشؤون التنفيذية</v>
      </c>
      <c r="E294" s="18" t="str">
        <f aca="false">IFERROR(INDEX('قائمة الوحدات'!$D$2:$D$41,MATCH($B294,'قائمة الوحدات'!$A$2:$A$41,0)),"")</f>
        <v>وكالة التحول الرقمي</v>
      </c>
      <c r="F294" s="18" t="str">
        <f aca="false">IFERROR(INDEX('قائمة الوحدات'!$F$2:$F$41,MATCH($B294,'قائمة الوحدات'!$A$2:$A$41,0)),"")</f>
        <v>وكالة التحول الرقمي</v>
      </c>
      <c r="G294" s="20" t="s">
        <v>44</v>
      </c>
      <c r="H294" s="18" t="str">
        <f aca="false">IFERROR(INDEX(المرجع!$A$2:$A$19,MATCH($G294,المرجع!$B$2:$B$19,0)),"")</f>
        <v>التصميم</v>
      </c>
      <c r="I294" s="20" t="s">
        <v>57</v>
      </c>
      <c r="J294" s="18" t="str">
        <f aca="false">IFERROR(INDEX(المرجع!$D$2:$D$19,MATCH($I294,المرجع!$E$2:$E$19,0)),"")</f>
        <v>الموارد</v>
      </c>
      <c r="K294" s="19" t="n">
        <f aca="false">IFERROR(INDEX(المرجع!$F$2:$F$19,MATCH($I294,المرجع!$E$2:$E$19,0)),"")</f>
        <v>5</v>
      </c>
      <c r="L294" s="19" t="n">
        <f aca="false">SUMIFS(المرجع!$H$2:$H$19,المرجع!$B$2:$B$19,$G294,المرجع!$E$2:$E$19,$I294)</f>
        <v>1</v>
      </c>
      <c r="M294" s="19" t="n">
        <f aca="false">COUNTIFS('المرتبطة بسمو الوزير'!$B$2:$B$151,$B294,'المرتبطة بسمو الوزير'!$G$2:$G$151,$G294,'المرتبطة بسمو الوزير'!$I$2:$I$151,$I294,'المرتبطة بسمو الوزير'!$M$2:$M$151,"&lt;&gt;")+COUNTIFS('الشؤون التنفيذية'!$B$2:$B$421,$B294,'الشؤون التنفيذية'!$G$2:$G$421,$G294,'الشؤون التنفيذية'!$I$2:$I$421,$I294,'الشؤون التنفيذية'!$N$2:$N$421,"&lt;&gt;")+COUNTIFS('الجهاز العسكري'!$B$2:$B$631,$B294,'الجهاز العسكري'!$G$2:$G$631,$G294,'الجهاز العسكري'!$I$2:$I$631,$I294,'الجهاز العسكري'!$M$2:$M$631,"&lt;&gt;")</f>
        <v>1</v>
      </c>
      <c r="N294" s="24" t="n">
        <f aca="false">IF($L294=0,0,ROUND((SUMIFS('المرتبطة بسمو الوزير'!$M$2:$M$151,'المرتبطة بسمو الوزير'!$B$2:$B$151,$B294,'المرتبطة بسمو الوزير'!$G$2:$G$151,$G294,'المرتبطة بسمو الوزير'!$I$2:$I$151,$I294)+SUMIFS('الشؤون التنفيذية'!$N$2:$N$421,'الشؤون التنفيذية'!$B$2:$B$421,$B294,'الشؤون التنفيذية'!$G$2:$G$421,$G294,'الشؤون التنفيذية'!$I$2:$I$421,$I294)+SUMIFS('الجهاز العسكري'!$M$2:$M$631,'الجهاز العسكري'!$B$2:$B$631,$B294,'الجهاز العسكري'!$G$2:$G$631,$G294,'الجهاز العسكري'!$I$2:$I$631,$I294))/$L294,0))</f>
        <v>93</v>
      </c>
      <c r="O294" s="25" t="n">
        <f aca="false">IF($L294=0,0,ROUND((SUMIFS('المرتبطة بسمو الوزير'!$N$2:$N$151,'المرتبطة بسمو الوزير'!$B$2:$B$151,$B294,'المرتبطة بسمو الوزير'!$G$2:$G$151,$G294,'المرتبطة بسمو الوزير'!$I$2:$I$151,$I294)+SUMIFS('الشؤون التنفيذية'!$O$2:$O$421,'الشؤون التنفيذية'!$B$2:$B$421,$B294,'الشؤون التنفيذية'!$G$2:$G$421,$G294,'الشؤون التنفيذية'!$I$2:$I$421,$I294)+SUMIFS('الجهاز العسكري'!$N$2:$N$631,'الجهاز العسكري'!$B$2:$B$631,$B294,'الجهاز العسكري'!$G$2:$G$631,$G294,'الجهاز العسكري'!$I$2:$I$631,$I294))/$L294,0))</f>
        <v>93</v>
      </c>
      <c r="P294" s="22"/>
      <c r="Q294" s="19" t="n">
        <f aca="false">SUMIFS(المرجع!$G$2:$G$19,المرجع!$B$2:$B$19,$G294,المرجع!$E$2:$E$19,$I294)</f>
        <v>20</v>
      </c>
      <c r="R294" s="26" t="n">
        <f aca="false">ROUND($Q294*$N294/100,2)</f>
        <v>18.6</v>
      </c>
      <c r="S294" s="27" t="str">
        <f aca="false">IF($N294&gt;المرجع!$K$3,"متقدم",IF($N294&lt;=المرجع!$K$2,"أولي","جزئي"))</f>
        <v>متقدم</v>
      </c>
      <c r="T294" s="28" t="n">
        <f aca="false">ROUND($Q294*$O294/100,2)</f>
        <v>18.6</v>
      </c>
    </row>
    <row r="295" customFormat="false" ht="15" hidden="false" customHeight="true" outlineLevel="0" collapsed="false">
      <c r="A295" s="20" t="s">
        <v>1747</v>
      </c>
      <c r="B295" s="20" t="s">
        <v>188</v>
      </c>
      <c r="C295" s="19" t="str">
        <f aca="false">IFERROR(INDEX('قائمة الوحدات'!$B$2:$B$41,MATCH($B295,'قائمة الوحدات'!$A$2:$A$41,0)),"")</f>
        <v>EXE</v>
      </c>
      <c r="D295" s="18" t="str">
        <f aca="false">IFERROR(INDEX('قائمة الوحدات'!$C$2:$C$41,MATCH($B295,'قائمة الوحدات'!$A$2:$A$41,0)),"")</f>
        <v>الشؤون التنفيذية</v>
      </c>
      <c r="E295" s="18" t="str">
        <f aca="false">IFERROR(INDEX('قائمة الوحدات'!$D$2:$D$41,MATCH($B295,'قائمة الوحدات'!$A$2:$A$41,0)),"")</f>
        <v>وكالة التحول الرقمي</v>
      </c>
      <c r="F295" s="18" t="str">
        <f aca="false">IFERROR(INDEX('قائمة الوحدات'!$F$2:$F$41,MATCH($B295,'قائمة الوحدات'!$A$2:$A$41,0)),"")</f>
        <v>وكالة التحول الرقمي</v>
      </c>
      <c r="G295" s="20" t="s">
        <v>44</v>
      </c>
      <c r="H295" s="18" t="str">
        <f aca="false">IFERROR(INDEX(المرجع!$A$2:$A$19,MATCH($G295,المرجع!$B$2:$B$19,0)),"")</f>
        <v>التصميم</v>
      </c>
      <c r="I295" s="20" t="s">
        <v>60</v>
      </c>
      <c r="J295" s="18" t="str">
        <f aca="false">IFERROR(INDEX(المرجع!$D$2:$D$19,MATCH($I295,المرجع!$E$2:$E$19,0)),"")</f>
        <v>الإجراءات</v>
      </c>
      <c r="K295" s="19" t="n">
        <f aca="false">IFERROR(INDEX(المرجع!$F$2:$F$19,MATCH($I295,المرجع!$E$2:$E$19,0)),"")</f>
        <v>6</v>
      </c>
      <c r="L295" s="19" t="n">
        <f aca="false">SUMIFS(المرجع!$H$2:$H$19,المرجع!$B$2:$B$19,$G295,المرجع!$E$2:$E$19,$I295)</f>
        <v>1</v>
      </c>
      <c r="M295" s="19" t="n">
        <f aca="false">COUNTIFS('المرتبطة بسمو الوزير'!$B$2:$B$151,$B295,'المرتبطة بسمو الوزير'!$G$2:$G$151,$G295,'المرتبطة بسمو الوزير'!$I$2:$I$151,$I295,'المرتبطة بسمو الوزير'!$M$2:$M$151,"&lt;&gt;")+COUNTIFS('الشؤون التنفيذية'!$B$2:$B$421,$B295,'الشؤون التنفيذية'!$G$2:$G$421,$G295,'الشؤون التنفيذية'!$I$2:$I$421,$I295,'الشؤون التنفيذية'!$N$2:$N$421,"&lt;&gt;")+COUNTIFS('الجهاز العسكري'!$B$2:$B$631,$B295,'الجهاز العسكري'!$G$2:$G$631,$G295,'الجهاز العسكري'!$I$2:$I$631,$I295,'الجهاز العسكري'!$M$2:$M$631,"&lt;&gt;")</f>
        <v>1</v>
      </c>
      <c r="N295" s="24" t="n">
        <f aca="false">IF($L295=0,0,ROUND((SUMIFS('المرتبطة بسمو الوزير'!$M$2:$M$151,'المرتبطة بسمو الوزير'!$B$2:$B$151,$B295,'المرتبطة بسمو الوزير'!$G$2:$G$151,$G295,'المرتبطة بسمو الوزير'!$I$2:$I$151,$I295)+SUMIFS('الشؤون التنفيذية'!$N$2:$N$421,'الشؤون التنفيذية'!$B$2:$B$421,$B295,'الشؤون التنفيذية'!$G$2:$G$421,$G295,'الشؤون التنفيذية'!$I$2:$I$421,$I295)+SUMIFS('الجهاز العسكري'!$M$2:$M$631,'الجهاز العسكري'!$B$2:$B$631,$B295,'الجهاز العسكري'!$G$2:$G$631,$G295,'الجهاز العسكري'!$I$2:$I$631,$I295))/$L295,0))</f>
        <v>71</v>
      </c>
      <c r="O295" s="25" t="n">
        <f aca="false">IF($L295=0,0,ROUND((SUMIFS('المرتبطة بسمو الوزير'!$N$2:$N$151,'المرتبطة بسمو الوزير'!$B$2:$B$151,$B295,'المرتبطة بسمو الوزير'!$G$2:$G$151,$G295,'المرتبطة بسمو الوزير'!$I$2:$I$151,$I295)+SUMIFS('الشؤون التنفيذية'!$O$2:$O$421,'الشؤون التنفيذية'!$B$2:$B$421,$B295,'الشؤون التنفيذية'!$G$2:$G$421,$G295,'الشؤون التنفيذية'!$I$2:$I$421,$I295)+SUMIFS('الجهاز العسكري'!$N$2:$N$631,'الجهاز العسكري'!$B$2:$B$631,$B295,'الجهاز العسكري'!$G$2:$G$631,$G295,'الجهاز العسكري'!$I$2:$I$631,$I295))/$L295,0))</f>
        <v>95</v>
      </c>
      <c r="P295" s="22"/>
      <c r="Q295" s="19" t="n">
        <f aca="false">SUMIFS(المرجع!$G$2:$G$19,المرجع!$B$2:$B$19,$G295,المرجع!$E$2:$E$19,$I295)</f>
        <v>5</v>
      </c>
      <c r="R295" s="26" t="n">
        <f aca="false">ROUND($Q295*$N295/100,2)</f>
        <v>3.55</v>
      </c>
      <c r="S295" s="27" t="str">
        <f aca="false">IF($N295&gt;المرجع!$K$3,"متقدم",IF($N295&lt;=المرجع!$K$2,"أولي","جزئي"))</f>
        <v>متقدم</v>
      </c>
      <c r="T295" s="28" t="n">
        <f aca="false">ROUND($Q295*$O295/100,2)</f>
        <v>4.75</v>
      </c>
    </row>
    <row r="296" customFormat="false" ht="15" hidden="false" customHeight="true" outlineLevel="0" collapsed="false">
      <c r="A296" s="20" t="s">
        <v>1748</v>
      </c>
      <c r="B296" s="20" t="s">
        <v>188</v>
      </c>
      <c r="C296" s="19" t="str">
        <f aca="false">IFERROR(INDEX('قائمة الوحدات'!$B$2:$B$41,MATCH($B296,'قائمة الوحدات'!$A$2:$A$41,0)),"")</f>
        <v>EXE</v>
      </c>
      <c r="D296" s="18" t="str">
        <f aca="false">IFERROR(INDEX('قائمة الوحدات'!$C$2:$C$41,MATCH($B296,'قائمة الوحدات'!$A$2:$A$41,0)),"")</f>
        <v>الشؤون التنفيذية</v>
      </c>
      <c r="E296" s="18" t="str">
        <f aca="false">IFERROR(INDEX('قائمة الوحدات'!$D$2:$D$41,MATCH($B296,'قائمة الوحدات'!$A$2:$A$41,0)),"")</f>
        <v>وكالة التحول الرقمي</v>
      </c>
      <c r="F296" s="18" t="str">
        <f aca="false">IFERROR(INDEX('قائمة الوحدات'!$F$2:$F$41,MATCH($B296,'قائمة الوحدات'!$A$2:$A$41,0)),"")</f>
        <v>وكالة التحول الرقمي</v>
      </c>
      <c r="G296" s="20" t="s">
        <v>62</v>
      </c>
      <c r="H296" s="18" t="str">
        <f aca="false">IFERROR(INDEX(المرجع!$A$2:$A$19,MATCH($G296,المرجع!$B$2:$B$19,0)),"")</f>
        <v>البناء المؤسسي</v>
      </c>
      <c r="I296" s="20" t="s">
        <v>46</v>
      </c>
      <c r="J296" s="18" t="str">
        <f aca="false">IFERROR(INDEX(المرجع!$D$2:$D$19,MATCH($I296,المرجع!$E$2:$E$19,0)),"")</f>
        <v>الدور</v>
      </c>
      <c r="K296" s="19" t="n">
        <f aca="false">IFERROR(INDEX(المرجع!$F$2:$F$19,MATCH($I296,المرجع!$E$2:$E$19,0)),"")</f>
        <v>1</v>
      </c>
      <c r="L296" s="19" t="n">
        <f aca="false">SUMIFS(المرجع!$H$2:$H$19,المرجع!$B$2:$B$19,$G296,المرجع!$E$2:$E$19,$I296)</f>
        <v>1</v>
      </c>
      <c r="M296" s="19" t="n">
        <f aca="false">COUNTIFS('المرتبطة بسمو الوزير'!$B$2:$B$151,$B296,'المرتبطة بسمو الوزير'!$G$2:$G$151,$G296,'المرتبطة بسمو الوزير'!$I$2:$I$151,$I296,'المرتبطة بسمو الوزير'!$M$2:$M$151,"&lt;&gt;")+COUNTIFS('الشؤون التنفيذية'!$B$2:$B$421,$B296,'الشؤون التنفيذية'!$G$2:$G$421,$G296,'الشؤون التنفيذية'!$I$2:$I$421,$I296,'الشؤون التنفيذية'!$N$2:$N$421,"&lt;&gt;")+COUNTIFS('الجهاز العسكري'!$B$2:$B$631,$B296,'الجهاز العسكري'!$G$2:$G$631,$G296,'الجهاز العسكري'!$I$2:$I$631,$I296,'الجهاز العسكري'!$M$2:$M$631,"&lt;&gt;")</f>
        <v>1</v>
      </c>
      <c r="N296" s="24" t="n">
        <f aca="false">IF($L296=0,0,ROUND((SUMIFS('المرتبطة بسمو الوزير'!$M$2:$M$151,'المرتبطة بسمو الوزير'!$B$2:$B$151,$B296,'المرتبطة بسمو الوزير'!$G$2:$G$151,$G296,'المرتبطة بسمو الوزير'!$I$2:$I$151,$I296)+SUMIFS('الشؤون التنفيذية'!$N$2:$N$421,'الشؤون التنفيذية'!$B$2:$B$421,$B296,'الشؤون التنفيذية'!$G$2:$G$421,$G296,'الشؤون التنفيذية'!$I$2:$I$421,$I296)+SUMIFS('الجهاز العسكري'!$M$2:$M$631,'الجهاز العسكري'!$B$2:$B$631,$B296,'الجهاز العسكري'!$G$2:$G$631,$G296,'الجهاز العسكري'!$I$2:$I$631,$I296))/$L296,0))</f>
        <v>66</v>
      </c>
      <c r="O296" s="25" t="n">
        <f aca="false">IF($L296=0,0,ROUND((SUMIFS('المرتبطة بسمو الوزير'!$N$2:$N$151,'المرتبطة بسمو الوزير'!$B$2:$B$151,$B296,'المرتبطة بسمو الوزير'!$G$2:$G$151,$G296,'المرتبطة بسمو الوزير'!$I$2:$I$151,$I296)+SUMIFS('الشؤون التنفيذية'!$O$2:$O$421,'الشؤون التنفيذية'!$B$2:$B$421,$B296,'الشؤون التنفيذية'!$G$2:$G$421,$G296,'الشؤون التنفيذية'!$I$2:$I$421,$I296)+SUMIFS('الجهاز العسكري'!$N$2:$N$631,'الجهاز العسكري'!$B$2:$B$631,$B296,'الجهاز العسكري'!$G$2:$G$631,$G296,'الجهاز العسكري'!$I$2:$I$631,$I296))/$L296,0))</f>
        <v>90</v>
      </c>
      <c r="P296" s="22"/>
      <c r="Q296" s="19" t="n">
        <f aca="false">SUMIFS(المرجع!$G$2:$G$19,المرجع!$B$2:$B$19,$G296,المرجع!$E$2:$E$19,$I296)</f>
        <v>15</v>
      </c>
      <c r="R296" s="26" t="n">
        <f aca="false">ROUND($Q296*$N296/100,2)</f>
        <v>9.9</v>
      </c>
      <c r="S296" s="27" t="str">
        <f aca="false">IF($N296&gt;المرجع!$K$3,"متقدم",IF($N296&lt;=المرجع!$K$2,"أولي","جزئي"))</f>
        <v>جزئي</v>
      </c>
      <c r="T296" s="28" t="n">
        <f aca="false">ROUND($Q296*$O296/100,2)</f>
        <v>13.5</v>
      </c>
    </row>
    <row r="297" customFormat="false" ht="15" hidden="false" customHeight="true" outlineLevel="0" collapsed="false">
      <c r="A297" s="20" t="s">
        <v>1749</v>
      </c>
      <c r="B297" s="20" t="s">
        <v>188</v>
      </c>
      <c r="C297" s="19" t="str">
        <f aca="false">IFERROR(INDEX('قائمة الوحدات'!$B$2:$B$41,MATCH($B297,'قائمة الوحدات'!$A$2:$A$41,0)),"")</f>
        <v>EXE</v>
      </c>
      <c r="D297" s="18" t="str">
        <f aca="false">IFERROR(INDEX('قائمة الوحدات'!$C$2:$C$41,MATCH($B297,'قائمة الوحدات'!$A$2:$A$41,0)),"")</f>
        <v>الشؤون التنفيذية</v>
      </c>
      <c r="E297" s="18" t="str">
        <f aca="false">IFERROR(INDEX('قائمة الوحدات'!$D$2:$D$41,MATCH($B297,'قائمة الوحدات'!$A$2:$A$41,0)),"")</f>
        <v>وكالة التحول الرقمي</v>
      </c>
      <c r="F297" s="18" t="str">
        <f aca="false">IFERROR(INDEX('قائمة الوحدات'!$F$2:$F$41,MATCH($B297,'قائمة الوحدات'!$A$2:$A$41,0)),"")</f>
        <v>وكالة التحول الرقمي</v>
      </c>
      <c r="G297" s="20" t="s">
        <v>62</v>
      </c>
      <c r="H297" s="18" t="str">
        <f aca="false">IFERROR(INDEX(المرجع!$A$2:$A$19,MATCH($G297,المرجع!$B$2:$B$19,0)),"")</f>
        <v>البناء المؤسسي</v>
      </c>
      <c r="I297" s="20" t="s">
        <v>49</v>
      </c>
      <c r="J297" s="18" t="str">
        <f aca="false">IFERROR(INDEX(المرجع!$D$2:$D$19,MATCH($I297,المرجع!$E$2:$E$19,0)),"")</f>
        <v>الأهداف ومؤشرات الأداء</v>
      </c>
      <c r="K297" s="19" t="n">
        <f aca="false">IFERROR(INDEX(المرجع!$F$2:$F$19,MATCH($I297,المرجع!$E$2:$E$19,0)),"")</f>
        <v>2</v>
      </c>
      <c r="L297" s="19" t="n">
        <f aca="false">SUMIFS(المرجع!$H$2:$H$19,المرجع!$B$2:$B$19,$G297,المرجع!$E$2:$E$19,$I297)</f>
        <v>2</v>
      </c>
      <c r="M297" s="19" t="n">
        <f aca="false">COUNTIFS('المرتبطة بسمو الوزير'!$B$2:$B$151,$B297,'المرتبطة بسمو الوزير'!$G$2:$G$151,$G297,'المرتبطة بسمو الوزير'!$I$2:$I$151,$I297,'المرتبطة بسمو الوزير'!$M$2:$M$151,"&lt;&gt;")+COUNTIFS('الشؤون التنفيذية'!$B$2:$B$421,$B297,'الشؤون التنفيذية'!$G$2:$G$421,$G297,'الشؤون التنفيذية'!$I$2:$I$421,$I297,'الشؤون التنفيذية'!$N$2:$N$421,"&lt;&gt;")+COUNTIFS('الجهاز العسكري'!$B$2:$B$631,$B297,'الجهاز العسكري'!$G$2:$G$631,$G297,'الجهاز العسكري'!$I$2:$I$631,$I297,'الجهاز العسكري'!$M$2:$M$631,"&lt;&gt;")</f>
        <v>2</v>
      </c>
      <c r="N297" s="24" t="n">
        <f aca="false">IF($L297=0,0,ROUND((SUMIFS('المرتبطة بسمو الوزير'!$M$2:$M$151,'المرتبطة بسمو الوزير'!$B$2:$B$151,$B297,'المرتبطة بسمو الوزير'!$G$2:$G$151,$G297,'المرتبطة بسمو الوزير'!$I$2:$I$151,$I297)+SUMIFS('الشؤون التنفيذية'!$N$2:$N$421,'الشؤون التنفيذية'!$B$2:$B$421,$B297,'الشؤون التنفيذية'!$G$2:$G$421,$G297,'الشؤون التنفيذية'!$I$2:$I$421,$I297)+SUMIFS('الجهاز العسكري'!$M$2:$M$631,'الجهاز العسكري'!$B$2:$B$631,$B297,'الجهاز العسكري'!$G$2:$G$631,$G297,'الجهاز العسكري'!$I$2:$I$631,$I297))/$L297,0))</f>
        <v>60</v>
      </c>
      <c r="O297" s="25" t="n">
        <f aca="false">IF($L297=0,0,ROUND((SUMIFS('المرتبطة بسمو الوزير'!$N$2:$N$151,'المرتبطة بسمو الوزير'!$B$2:$B$151,$B297,'المرتبطة بسمو الوزير'!$G$2:$G$151,$G297,'المرتبطة بسمو الوزير'!$I$2:$I$151,$I297)+SUMIFS('الشؤون التنفيذية'!$O$2:$O$421,'الشؤون التنفيذية'!$B$2:$B$421,$B297,'الشؤون التنفيذية'!$G$2:$G$421,$G297,'الشؤون التنفيذية'!$I$2:$I$421,$I297)+SUMIFS('الجهاز العسكري'!$N$2:$N$631,'الجهاز العسكري'!$B$2:$B$631,$B297,'الجهاز العسكري'!$G$2:$G$631,$G297,'الجهاز العسكري'!$I$2:$I$631,$I297))/$L297,0))</f>
        <v>100</v>
      </c>
      <c r="P297" s="22"/>
      <c r="Q297" s="19" t="n">
        <f aca="false">SUMIFS(المرجع!$G$2:$G$19,المرجع!$B$2:$B$19,$G297,المرجع!$E$2:$E$19,$I297)</f>
        <v>15</v>
      </c>
      <c r="R297" s="26" t="n">
        <f aca="false">ROUND($Q297*$N297/100,2)</f>
        <v>9</v>
      </c>
      <c r="S297" s="27" t="str">
        <f aca="false">IF($N297&gt;المرجع!$K$3,"متقدم",IF($N297&lt;=المرجع!$K$2,"أولي","جزئي"))</f>
        <v>جزئي</v>
      </c>
      <c r="T297" s="28" t="n">
        <f aca="false">ROUND($Q297*$O297/100,2)</f>
        <v>15</v>
      </c>
    </row>
    <row r="298" customFormat="false" ht="15" hidden="false" customHeight="true" outlineLevel="0" collapsed="false">
      <c r="A298" s="20" t="s">
        <v>1750</v>
      </c>
      <c r="B298" s="20" t="s">
        <v>188</v>
      </c>
      <c r="C298" s="19" t="str">
        <f aca="false">IFERROR(INDEX('قائمة الوحدات'!$B$2:$B$41,MATCH($B298,'قائمة الوحدات'!$A$2:$A$41,0)),"")</f>
        <v>EXE</v>
      </c>
      <c r="D298" s="18" t="str">
        <f aca="false">IFERROR(INDEX('قائمة الوحدات'!$C$2:$C$41,MATCH($B298,'قائمة الوحدات'!$A$2:$A$41,0)),"")</f>
        <v>الشؤون التنفيذية</v>
      </c>
      <c r="E298" s="18" t="str">
        <f aca="false">IFERROR(INDEX('قائمة الوحدات'!$D$2:$D$41,MATCH($B298,'قائمة الوحدات'!$A$2:$A$41,0)),"")</f>
        <v>وكالة التحول الرقمي</v>
      </c>
      <c r="F298" s="18" t="str">
        <f aca="false">IFERROR(INDEX('قائمة الوحدات'!$F$2:$F$41,MATCH($B298,'قائمة الوحدات'!$A$2:$A$41,0)),"")</f>
        <v>وكالة التحول الرقمي</v>
      </c>
      <c r="G298" s="20" t="s">
        <v>62</v>
      </c>
      <c r="H298" s="18" t="str">
        <f aca="false">IFERROR(INDEX(المرجع!$A$2:$A$19,MATCH($G298,المرجع!$B$2:$B$19,0)),"")</f>
        <v>البناء المؤسسي</v>
      </c>
      <c r="I298" s="20" t="s">
        <v>52</v>
      </c>
      <c r="J298" s="18" t="str">
        <f aca="false">IFERROR(INDEX(المرجع!$D$2:$D$19,MATCH($I298,المرجع!$E$2:$E$19,0)),"")</f>
        <v>الحوكمة</v>
      </c>
      <c r="K298" s="19" t="n">
        <f aca="false">IFERROR(INDEX(المرجع!$F$2:$F$19,MATCH($I298,المرجع!$E$2:$E$19,0)),"")</f>
        <v>3</v>
      </c>
      <c r="L298" s="19" t="n">
        <f aca="false">SUMIFS(المرجع!$H$2:$H$19,المرجع!$B$2:$B$19,$G298,المرجع!$E$2:$E$19,$I298)</f>
        <v>3</v>
      </c>
      <c r="M298" s="19" t="n">
        <f aca="false">COUNTIFS('المرتبطة بسمو الوزير'!$B$2:$B$151,$B298,'المرتبطة بسمو الوزير'!$G$2:$G$151,$G298,'المرتبطة بسمو الوزير'!$I$2:$I$151,$I298,'المرتبطة بسمو الوزير'!$M$2:$M$151,"&lt;&gt;")+COUNTIFS('الشؤون التنفيذية'!$B$2:$B$421,$B298,'الشؤون التنفيذية'!$G$2:$G$421,$G298,'الشؤون التنفيذية'!$I$2:$I$421,$I298,'الشؤون التنفيذية'!$N$2:$N$421,"&lt;&gt;")+COUNTIFS('الجهاز العسكري'!$B$2:$B$631,$B298,'الجهاز العسكري'!$G$2:$G$631,$G298,'الجهاز العسكري'!$I$2:$I$631,$I298,'الجهاز العسكري'!$M$2:$M$631,"&lt;&gt;")</f>
        <v>3</v>
      </c>
      <c r="N298" s="24" t="n">
        <f aca="false">IF($L298=0,0,ROUND((SUMIFS('المرتبطة بسمو الوزير'!$M$2:$M$151,'المرتبطة بسمو الوزير'!$B$2:$B$151,$B298,'المرتبطة بسمو الوزير'!$G$2:$G$151,$G298,'المرتبطة بسمو الوزير'!$I$2:$I$151,$I298)+SUMIFS('الشؤون التنفيذية'!$N$2:$N$421,'الشؤون التنفيذية'!$B$2:$B$421,$B298,'الشؤون التنفيذية'!$G$2:$G$421,$G298,'الشؤون التنفيذية'!$I$2:$I$421,$I298)+SUMIFS('الجهاز العسكري'!$M$2:$M$631,'الجهاز العسكري'!$B$2:$B$631,$B298,'الجهاز العسكري'!$G$2:$G$631,$G298,'الجهاز العسكري'!$I$2:$I$631,$I298))/$L298,0))</f>
        <v>43</v>
      </c>
      <c r="O298" s="25" t="n">
        <f aca="false">IF($L298=0,0,ROUND((SUMIFS('المرتبطة بسمو الوزير'!$N$2:$N$151,'المرتبطة بسمو الوزير'!$B$2:$B$151,$B298,'المرتبطة بسمو الوزير'!$G$2:$G$151,$G298,'المرتبطة بسمو الوزير'!$I$2:$I$151,$I298)+SUMIFS('الشؤون التنفيذية'!$O$2:$O$421,'الشؤون التنفيذية'!$B$2:$B$421,$B298,'الشؤون التنفيذية'!$G$2:$G$421,$G298,'الشؤون التنفيذية'!$I$2:$I$421,$I298)+SUMIFS('الجهاز العسكري'!$N$2:$N$631,'الجهاز العسكري'!$B$2:$B$631,$B298,'الجهاز العسكري'!$G$2:$G$631,$G298,'الجهاز العسكري'!$I$2:$I$631,$I298))/$L298,0))</f>
        <v>95</v>
      </c>
      <c r="P298" s="22"/>
      <c r="Q298" s="19" t="n">
        <f aca="false">SUMIFS(المرجع!$G$2:$G$19,المرجع!$B$2:$B$19,$G298,المرجع!$E$2:$E$19,$I298)</f>
        <v>15</v>
      </c>
      <c r="R298" s="26" t="n">
        <f aca="false">ROUND($Q298*$N298/100,2)</f>
        <v>6.45</v>
      </c>
      <c r="S298" s="27" t="str">
        <f aca="false">IF($N298&gt;المرجع!$K$3,"متقدم",IF($N298&lt;=المرجع!$K$2,"أولي","جزئي"))</f>
        <v>جزئي</v>
      </c>
      <c r="T298" s="28" t="n">
        <f aca="false">ROUND($Q298*$O298/100,2)</f>
        <v>14.25</v>
      </c>
    </row>
    <row r="299" customFormat="false" ht="15" hidden="false" customHeight="true" outlineLevel="0" collapsed="false">
      <c r="A299" s="20" t="s">
        <v>1751</v>
      </c>
      <c r="B299" s="20" t="s">
        <v>188</v>
      </c>
      <c r="C299" s="19" t="str">
        <f aca="false">IFERROR(INDEX('قائمة الوحدات'!$B$2:$B$41,MATCH($B299,'قائمة الوحدات'!$A$2:$A$41,0)),"")</f>
        <v>EXE</v>
      </c>
      <c r="D299" s="18" t="str">
        <f aca="false">IFERROR(INDEX('قائمة الوحدات'!$C$2:$C$41,MATCH($B299,'قائمة الوحدات'!$A$2:$A$41,0)),"")</f>
        <v>الشؤون التنفيذية</v>
      </c>
      <c r="E299" s="18" t="str">
        <f aca="false">IFERROR(INDEX('قائمة الوحدات'!$D$2:$D$41,MATCH($B299,'قائمة الوحدات'!$A$2:$A$41,0)),"")</f>
        <v>وكالة التحول الرقمي</v>
      </c>
      <c r="F299" s="18" t="str">
        <f aca="false">IFERROR(INDEX('قائمة الوحدات'!$F$2:$F$41,MATCH($B299,'قائمة الوحدات'!$A$2:$A$41,0)),"")</f>
        <v>وكالة التحول الرقمي</v>
      </c>
      <c r="G299" s="20" t="s">
        <v>62</v>
      </c>
      <c r="H299" s="18" t="str">
        <f aca="false">IFERROR(INDEX(المرجع!$A$2:$A$19,MATCH($G299,المرجع!$B$2:$B$19,0)),"")</f>
        <v>البناء المؤسسي</v>
      </c>
      <c r="I299" s="20" t="s">
        <v>55</v>
      </c>
      <c r="J299" s="18" t="str">
        <f aca="false">IFERROR(INDEX(المرجع!$D$2:$D$19,MATCH($I299,المرجع!$E$2:$E$19,0)),"")</f>
        <v>التنظيم</v>
      </c>
      <c r="K299" s="19" t="n">
        <f aca="false">IFERROR(INDEX(المرجع!$F$2:$F$19,MATCH($I299,المرجع!$E$2:$E$19,0)),"")</f>
        <v>4</v>
      </c>
      <c r="L299" s="19" t="n">
        <f aca="false">SUMIFS(المرجع!$H$2:$H$19,المرجع!$B$2:$B$19,$G299,المرجع!$E$2:$E$19,$I299)</f>
        <v>3</v>
      </c>
      <c r="M299" s="19" t="n">
        <f aca="false">COUNTIFS('المرتبطة بسمو الوزير'!$B$2:$B$151,$B299,'المرتبطة بسمو الوزير'!$G$2:$G$151,$G299,'المرتبطة بسمو الوزير'!$I$2:$I$151,$I299,'المرتبطة بسمو الوزير'!$M$2:$M$151,"&lt;&gt;")+COUNTIFS('الشؤون التنفيذية'!$B$2:$B$421,$B299,'الشؤون التنفيذية'!$G$2:$G$421,$G299,'الشؤون التنفيذية'!$I$2:$I$421,$I299,'الشؤون التنفيذية'!$N$2:$N$421,"&lt;&gt;")+COUNTIFS('الجهاز العسكري'!$B$2:$B$631,$B299,'الجهاز العسكري'!$G$2:$G$631,$G299,'الجهاز العسكري'!$I$2:$I$631,$I299,'الجهاز العسكري'!$M$2:$M$631,"&lt;&gt;")</f>
        <v>3</v>
      </c>
      <c r="N299" s="24" t="n">
        <f aca="false">IF($L299=0,0,ROUND((SUMIFS('المرتبطة بسمو الوزير'!$M$2:$M$151,'المرتبطة بسمو الوزير'!$B$2:$B$151,$B299,'المرتبطة بسمو الوزير'!$G$2:$G$151,$G299,'المرتبطة بسمو الوزير'!$I$2:$I$151,$I299)+SUMIFS('الشؤون التنفيذية'!$N$2:$N$421,'الشؤون التنفيذية'!$B$2:$B$421,$B299,'الشؤون التنفيذية'!$G$2:$G$421,$G299,'الشؤون التنفيذية'!$I$2:$I$421,$I299)+SUMIFS('الجهاز العسكري'!$M$2:$M$631,'الجهاز العسكري'!$B$2:$B$631,$B299,'الجهاز العسكري'!$G$2:$G$631,$G299,'الجهاز العسكري'!$I$2:$I$631,$I299))/$L299,0))</f>
        <v>62</v>
      </c>
      <c r="O299" s="25" t="n">
        <f aca="false">IF($L299=0,0,ROUND((SUMIFS('المرتبطة بسمو الوزير'!$N$2:$N$151,'المرتبطة بسمو الوزير'!$B$2:$B$151,$B299,'المرتبطة بسمو الوزير'!$G$2:$G$151,$G299,'المرتبطة بسمو الوزير'!$I$2:$I$151,$I299)+SUMIFS('الشؤون التنفيذية'!$O$2:$O$421,'الشؤون التنفيذية'!$B$2:$B$421,$B299,'الشؤون التنفيذية'!$G$2:$G$421,$G299,'الشؤون التنفيذية'!$I$2:$I$421,$I299)+SUMIFS('الجهاز العسكري'!$N$2:$N$631,'الجهاز العسكري'!$B$2:$B$631,$B299,'الجهاز العسكري'!$G$2:$G$631,$G299,'الجهاز العسكري'!$I$2:$I$631,$I299))/$L299,0))</f>
        <v>95</v>
      </c>
      <c r="P299" s="22"/>
      <c r="Q299" s="19" t="n">
        <f aca="false">SUMIFS(المرجع!$G$2:$G$19,المرجع!$B$2:$B$19,$G299,المرجع!$E$2:$E$19,$I299)</f>
        <v>20</v>
      </c>
      <c r="R299" s="26" t="n">
        <f aca="false">ROUND($Q299*$N299/100,2)</f>
        <v>12.4</v>
      </c>
      <c r="S299" s="27" t="str">
        <f aca="false">IF($N299&gt;المرجع!$K$3,"متقدم",IF($N299&lt;=المرجع!$K$2,"أولي","جزئي"))</f>
        <v>جزئي</v>
      </c>
      <c r="T299" s="28" t="n">
        <f aca="false">ROUND($Q299*$O299/100,2)</f>
        <v>19</v>
      </c>
    </row>
    <row r="300" customFormat="false" ht="15" hidden="false" customHeight="true" outlineLevel="0" collapsed="false">
      <c r="A300" s="20" t="s">
        <v>1752</v>
      </c>
      <c r="B300" s="20" t="s">
        <v>188</v>
      </c>
      <c r="C300" s="19" t="str">
        <f aca="false">IFERROR(INDEX('قائمة الوحدات'!$B$2:$B$41,MATCH($B300,'قائمة الوحدات'!$A$2:$A$41,0)),"")</f>
        <v>EXE</v>
      </c>
      <c r="D300" s="18" t="str">
        <f aca="false">IFERROR(INDEX('قائمة الوحدات'!$C$2:$C$41,MATCH($B300,'قائمة الوحدات'!$A$2:$A$41,0)),"")</f>
        <v>الشؤون التنفيذية</v>
      </c>
      <c r="E300" s="18" t="str">
        <f aca="false">IFERROR(INDEX('قائمة الوحدات'!$D$2:$D$41,MATCH($B300,'قائمة الوحدات'!$A$2:$A$41,0)),"")</f>
        <v>وكالة التحول الرقمي</v>
      </c>
      <c r="F300" s="18" t="str">
        <f aca="false">IFERROR(INDEX('قائمة الوحدات'!$F$2:$F$41,MATCH($B300,'قائمة الوحدات'!$A$2:$A$41,0)),"")</f>
        <v>وكالة التحول الرقمي</v>
      </c>
      <c r="G300" s="20" t="s">
        <v>62</v>
      </c>
      <c r="H300" s="18" t="str">
        <f aca="false">IFERROR(INDEX(المرجع!$A$2:$A$19,MATCH($G300,المرجع!$B$2:$B$19,0)),"")</f>
        <v>البناء المؤسسي</v>
      </c>
      <c r="I300" s="20" t="s">
        <v>57</v>
      </c>
      <c r="J300" s="18" t="str">
        <f aca="false">IFERROR(INDEX(المرجع!$D$2:$D$19,MATCH($I300,المرجع!$E$2:$E$19,0)),"")</f>
        <v>الموارد</v>
      </c>
      <c r="K300" s="19" t="n">
        <f aca="false">IFERROR(INDEX(المرجع!$F$2:$F$19,MATCH($I300,المرجع!$E$2:$E$19,0)),"")</f>
        <v>5</v>
      </c>
      <c r="L300" s="19" t="n">
        <f aca="false">SUMIFS(المرجع!$H$2:$H$19,المرجع!$B$2:$B$19,$G300,المرجع!$E$2:$E$19,$I300)</f>
        <v>4</v>
      </c>
      <c r="M300" s="19" t="n">
        <f aca="false">COUNTIFS('المرتبطة بسمو الوزير'!$B$2:$B$151,$B300,'المرتبطة بسمو الوزير'!$G$2:$G$151,$G300,'المرتبطة بسمو الوزير'!$I$2:$I$151,$I300,'المرتبطة بسمو الوزير'!$M$2:$M$151,"&lt;&gt;")+COUNTIFS('الشؤون التنفيذية'!$B$2:$B$421,$B300,'الشؤون التنفيذية'!$G$2:$G$421,$G300,'الشؤون التنفيذية'!$I$2:$I$421,$I300,'الشؤون التنفيذية'!$N$2:$N$421,"&lt;&gt;")+COUNTIFS('الجهاز العسكري'!$B$2:$B$631,$B300,'الجهاز العسكري'!$G$2:$G$631,$G300,'الجهاز العسكري'!$I$2:$I$631,$I300,'الجهاز العسكري'!$M$2:$M$631,"&lt;&gt;")</f>
        <v>4</v>
      </c>
      <c r="N300" s="24" t="n">
        <f aca="false">IF($L300=0,0,ROUND((SUMIFS('المرتبطة بسمو الوزير'!$M$2:$M$151,'المرتبطة بسمو الوزير'!$B$2:$B$151,$B300,'المرتبطة بسمو الوزير'!$G$2:$G$151,$G300,'المرتبطة بسمو الوزير'!$I$2:$I$151,$I300)+SUMIFS('الشؤون التنفيذية'!$N$2:$N$421,'الشؤون التنفيذية'!$B$2:$B$421,$B300,'الشؤون التنفيذية'!$G$2:$G$421,$G300,'الشؤون التنفيذية'!$I$2:$I$421,$I300)+SUMIFS('الجهاز العسكري'!$M$2:$M$631,'الجهاز العسكري'!$B$2:$B$631,$B300,'الجهاز العسكري'!$G$2:$G$631,$G300,'الجهاز العسكري'!$I$2:$I$631,$I300))/$L300,0))</f>
        <v>54</v>
      </c>
      <c r="O300" s="25" t="n">
        <f aca="false">IF($L300=0,0,ROUND((SUMIFS('المرتبطة بسمو الوزير'!$N$2:$N$151,'المرتبطة بسمو الوزير'!$B$2:$B$151,$B300,'المرتبطة بسمو الوزير'!$G$2:$G$151,$G300,'المرتبطة بسمو الوزير'!$I$2:$I$151,$I300)+SUMIFS('الشؤون التنفيذية'!$O$2:$O$421,'الشؤون التنفيذية'!$B$2:$B$421,$B300,'الشؤون التنفيذية'!$G$2:$G$421,$G300,'الشؤون التنفيذية'!$I$2:$I$421,$I300)+SUMIFS('الجهاز العسكري'!$N$2:$N$631,'الجهاز العسكري'!$B$2:$B$631,$B300,'الجهاز العسكري'!$G$2:$G$631,$G300,'الجهاز العسكري'!$I$2:$I$631,$I300))/$L300,0))</f>
        <v>99</v>
      </c>
      <c r="P300" s="22"/>
      <c r="Q300" s="19" t="n">
        <f aca="false">SUMIFS(المرجع!$G$2:$G$19,المرجع!$B$2:$B$19,$G300,المرجع!$E$2:$E$19,$I300)</f>
        <v>25</v>
      </c>
      <c r="R300" s="26" t="n">
        <f aca="false">ROUND($Q300*$N300/100,2)</f>
        <v>13.5</v>
      </c>
      <c r="S300" s="27" t="str">
        <f aca="false">IF($N300&gt;المرجع!$K$3,"متقدم",IF($N300&lt;=المرجع!$K$2,"أولي","جزئي"))</f>
        <v>جزئي</v>
      </c>
      <c r="T300" s="28" t="n">
        <f aca="false">ROUND($Q300*$O300/100,2)</f>
        <v>24.75</v>
      </c>
    </row>
    <row r="301" customFormat="false" ht="15" hidden="false" customHeight="true" outlineLevel="0" collapsed="false">
      <c r="A301" s="20" t="s">
        <v>1753</v>
      </c>
      <c r="B301" s="20" t="s">
        <v>188</v>
      </c>
      <c r="C301" s="19" t="str">
        <f aca="false">IFERROR(INDEX('قائمة الوحدات'!$B$2:$B$41,MATCH($B301,'قائمة الوحدات'!$A$2:$A$41,0)),"")</f>
        <v>EXE</v>
      </c>
      <c r="D301" s="18" t="str">
        <f aca="false">IFERROR(INDEX('قائمة الوحدات'!$C$2:$C$41,MATCH($B301,'قائمة الوحدات'!$A$2:$A$41,0)),"")</f>
        <v>الشؤون التنفيذية</v>
      </c>
      <c r="E301" s="18" t="str">
        <f aca="false">IFERROR(INDEX('قائمة الوحدات'!$D$2:$D$41,MATCH($B301,'قائمة الوحدات'!$A$2:$A$41,0)),"")</f>
        <v>وكالة التحول الرقمي</v>
      </c>
      <c r="F301" s="18" t="str">
        <f aca="false">IFERROR(INDEX('قائمة الوحدات'!$F$2:$F$41,MATCH($B301,'قائمة الوحدات'!$A$2:$A$41,0)),"")</f>
        <v>وكالة التحول الرقمي</v>
      </c>
      <c r="G301" s="20" t="s">
        <v>62</v>
      </c>
      <c r="H301" s="18" t="str">
        <f aca="false">IFERROR(INDEX(المرجع!$A$2:$A$19,MATCH($G301,المرجع!$B$2:$B$19,0)),"")</f>
        <v>البناء المؤسسي</v>
      </c>
      <c r="I301" s="20" t="s">
        <v>60</v>
      </c>
      <c r="J301" s="18" t="str">
        <f aca="false">IFERROR(INDEX(المرجع!$D$2:$D$19,MATCH($I301,المرجع!$E$2:$E$19,0)),"")</f>
        <v>الإجراءات</v>
      </c>
      <c r="K301" s="19" t="n">
        <f aca="false">IFERROR(INDEX(المرجع!$F$2:$F$19,MATCH($I301,المرجع!$E$2:$E$19,0)),"")</f>
        <v>6</v>
      </c>
      <c r="L301" s="19" t="n">
        <f aca="false">SUMIFS(المرجع!$H$2:$H$19,المرجع!$B$2:$B$19,$G301,المرجع!$E$2:$E$19,$I301)</f>
        <v>1</v>
      </c>
      <c r="M301" s="19" t="n">
        <f aca="false">COUNTIFS('المرتبطة بسمو الوزير'!$B$2:$B$151,$B301,'المرتبطة بسمو الوزير'!$G$2:$G$151,$G301,'المرتبطة بسمو الوزير'!$I$2:$I$151,$I301,'المرتبطة بسمو الوزير'!$M$2:$M$151,"&lt;&gt;")+COUNTIFS('الشؤون التنفيذية'!$B$2:$B$421,$B301,'الشؤون التنفيذية'!$G$2:$G$421,$G301,'الشؤون التنفيذية'!$I$2:$I$421,$I301,'الشؤون التنفيذية'!$N$2:$N$421,"&lt;&gt;")+COUNTIFS('الجهاز العسكري'!$B$2:$B$631,$B301,'الجهاز العسكري'!$G$2:$G$631,$G301,'الجهاز العسكري'!$I$2:$I$631,$I301,'الجهاز العسكري'!$M$2:$M$631,"&lt;&gt;")</f>
        <v>1</v>
      </c>
      <c r="N301" s="24" t="n">
        <f aca="false">IF($L301=0,0,ROUND((SUMIFS('المرتبطة بسمو الوزير'!$M$2:$M$151,'المرتبطة بسمو الوزير'!$B$2:$B$151,$B301,'المرتبطة بسمو الوزير'!$G$2:$G$151,$G301,'المرتبطة بسمو الوزير'!$I$2:$I$151,$I301)+SUMIFS('الشؤون التنفيذية'!$N$2:$N$421,'الشؤون التنفيذية'!$B$2:$B$421,$B301,'الشؤون التنفيذية'!$G$2:$G$421,$G301,'الشؤون التنفيذية'!$I$2:$I$421,$I301)+SUMIFS('الجهاز العسكري'!$M$2:$M$631,'الجهاز العسكري'!$B$2:$B$631,$B301,'الجهاز العسكري'!$G$2:$G$631,$G301,'الجهاز العسكري'!$I$2:$I$631,$I301))/$L301,0))</f>
        <v>72</v>
      </c>
      <c r="O301" s="25" t="n">
        <f aca="false">IF($L301=0,0,ROUND((SUMIFS('المرتبطة بسمو الوزير'!$N$2:$N$151,'المرتبطة بسمو الوزير'!$B$2:$B$151,$B301,'المرتبطة بسمو الوزير'!$G$2:$G$151,$G301,'المرتبطة بسمو الوزير'!$I$2:$I$151,$I301)+SUMIFS('الشؤون التنفيذية'!$O$2:$O$421,'الشؤون التنفيذية'!$B$2:$B$421,$B301,'الشؤون التنفيذية'!$G$2:$G$421,$G301,'الشؤون التنفيذية'!$I$2:$I$421,$I301)+SUMIFS('الجهاز العسكري'!$N$2:$N$631,'الجهاز العسكري'!$B$2:$B$631,$B301,'الجهاز العسكري'!$G$2:$G$631,$G301,'الجهاز العسكري'!$I$2:$I$631,$I301))/$L301,0))</f>
        <v>100</v>
      </c>
      <c r="P301" s="22"/>
      <c r="Q301" s="19" t="n">
        <f aca="false">SUMIFS(المرجع!$G$2:$G$19,المرجع!$B$2:$B$19,$G301,المرجع!$E$2:$E$19,$I301)</f>
        <v>5</v>
      </c>
      <c r="R301" s="26" t="n">
        <f aca="false">ROUND($Q301*$N301/100,2)</f>
        <v>3.6</v>
      </c>
      <c r="S301" s="27" t="str">
        <f aca="false">IF($N301&gt;المرجع!$K$3,"متقدم",IF($N301&lt;=المرجع!$K$2,"أولي","جزئي"))</f>
        <v>متقدم</v>
      </c>
      <c r="T301" s="28" t="n">
        <f aca="false">ROUND($Q301*$O301/100,2)</f>
        <v>5</v>
      </c>
    </row>
    <row r="302" customFormat="false" ht="15" hidden="false" customHeight="true" outlineLevel="0" collapsed="false">
      <c r="A302" s="20" t="s">
        <v>1754</v>
      </c>
      <c r="B302" s="20" t="s">
        <v>188</v>
      </c>
      <c r="C302" s="19" t="str">
        <f aca="false">IFERROR(INDEX('قائمة الوحدات'!$B$2:$B$41,MATCH($B302,'قائمة الوحدات'!$A$2:$A$41,0)),"")</f>
        <v>EXE</v>
      </c>
      <c r="D302" s="18" t="str">
        <f aca="false">IFERROR(INDEX('قائمة الوحدات'!$C$2:$C$41,MATCH($B302,'قائمة الوحدات'!$A$2:$A$41,0)),"")</f>
        <v>الشؤون التنفيذية</v>
      </c>
      <c r="E302" s="18" t="str">
        <f aca="false">IFERROR(INDEX('قائمة الوحدات'!$D$2:$D$41,MATCH($B302,'قائمة الوحدات'!$A$2:$A$41,0)),"")</f>
        <v>وكالة التحول الرقمي</v>
      </c>
      <c r="F302" s="18" t="str">
        <f aca="false">IFERROR(INDEX('قائمة الوحدات'!$F$2:$F$41,MATCH($B302,'قائمة الوحدات'!$A$2:$A$41,0)),"")</f>
        <v>وكالة التحول الرقمي</v>
      </c>
      <c r="G302" s="20" t="s">
        <v>62</v>
      </c>
      <c r="H302" s="18" t="str">
        <f aca="false">IFERROR(INDEX(المرجع!$A$2:$A$19,MATCH($G302,المرجع!$B$2:$B$19,0)),"")</f>
        <v>البناء المؤسسي</v>
      </c>
      <c r="I302" s="20" t="s">
        <v>69</v>
      </c>
      <c r="J302" s="18" t="str">
        <f aca="false">IFERROR(INDEX(المرجع!$D$2:$D$19,MATCH($I302,المرجع!$E$2:$E$19,0)),"")</f>
        <v>إنتاج المخرج الأول</v>
      </c>
      <c r="K302" s="19" t="n">
        <f aca="false">IFERROR(INDEX(المرجع!$F$2:$F$19,MATCH($I302,المرجع!$E$2:$E$19,0)),"")</f>
        <v>7</v>
      </c>
      <c r="L302" s="19" t="n">
        <f aca="false">SUMIFS(المرجع!$H$2:$H$19,المرجع!$B$2:$B$19,$G302,المرجع!$E$2:$E$19,$I302)</f>
        <v>1</v>
      </c>
      <c r="M302" s="19" t="n">
        <f aca="false">COUNTIFS('المرتبطة بسمو الوزير'!$B$2:$B$151,$B302,'المرتبطة بسمو الوزير'!$G$2:$G$151,$G302,'المرتبطة بسمو الوزير'!$I$2:$I$151,$I302,'المرتبطة بسمو الوزير'!$M$2:$M$151,"&lt;&gt;")+COUNTIFS('الشؤون التنفيذية'!$B$2:$B$421,$B302,'الشؤون التنفيذية'!$G$2:$G$421,$G302,'الشؤون التنفيذية'!$I$2:$I$421,$I302,'الشؤون التنفيذية'!$N$2:$N$421,"&lt;&gt;")+COUNTIFS('الجهاز العسكري'!$B$2:$B$631,$B302,'الجهاز العسكري'!$G$2:$G$631,$G302,'الجهاز العسكري'!$I$2:$I$631,$I302,'الجهاز العسكري'!$M$2:$M$631,"&lt;&gt;")</f>
        <v>1</v>
      </c>
      <c r="N302" s="24" t="n">
        <f aca="false">IF($L302=0,0,ROUND((SUMIFS('المرتبطة بسمو الوزير'!$M$2:$M$151,'المرتبطة بسمو الوزير'!$B$2:$B$151,$B302,'المرتبطة بسمو الوزير'!$G$2:$G$151,$G302,'المرتبطة بسمو الوزير'!$I$2:$I$151,$I302)+SUMIFS('الشؤون التنفيذية'!$N$2:$N$421,'الشؤون التنفيذية'!$B$2:$B$421,$B302,'الشؤون التنفيذية'!$G$2:$G$421,$G302,'الشؤون التنفيذية'!$I$2:$I$421,$I302)+SUMIFS('الجهاز العسكري'!$M$2:$M$631,'الجهاز العسكري'!$B$2:$B$631,$B302,'الجهاز العسكري'!$G$2:$G$631,$G302,'الجهاز العسكري'!$I$2:$I$631,$I302))/$L302,0))</f>
        <v>49</v>
      </c>
      <c r="O302" s="25" t="n">
        <f aca="false">IF($L302=0,0,ROUND((SUMIFS('المرتبطة بسمو الوزير'!$N$2:$N$151,'المرتبطة بسمو الوزير'!$B$2:$B$151,$B302,'المرتبطة بسمو الوزير'!$G$2:$G$151,$G302,'المرتبطة بسمو الوزير'!$I$2:$I$151,$I302)+SUMIFS('الشؤون التنفيذية'!$O$2:$O$421,'الشؤون التنفيذية'!$B$2:$B$421,$B302,'الشؤون التنفيذية'!$G$2:$G$421,$G302,'الشؤون التنفيذية'!$I$2:$I$421,$I302)+SUMIFS('الجهاز العسكري'!$N$2:$N$631,'الجهاز العسكري'!$B$2:$B$631,$B302,'الجهاز العسكري'!$G$2:$G$631,$G302,'الجهاز العسكري'!$I$2:$I$631,$I302))/$L302,0))</f>
        <v>85</v>
      </c>
      <c r="P302" s="22"/>
      <c r="Q302" s="19" t="n">
        <f aca="false">SUMIFS(المرجع!$G$2:$G$19,المرجع!$B$2:$B$19,$G302,المرجع!$E$2:$E$19,$I302)</f>
        <v>5</v>
      </c>
      <c r="R302" s="26" t="n">
        <f aca="false">ROUND($Q302*$N302/100,2)</f>
        <v>2.45</v>
      </c>
      <c r="S302" s="27" t="str">
        <f aca="false">IF($N302&gt;المرجع!$K$3,"متقدم",IF($N302&lt;=المرجع!$K$2,"أولي","جزئي"))</f>
        <v>جزئي</v>
      </c>
      <c r="T302" s="28" t="n">
        <f aca="false">ROUND($Q302*$O302/100,2)</f>
        <v>4.25</v>
      </c>
    </row>
    <row r="303" customFormat="false" ht="15" hidden="false" customHeight="true" outlineLevel="0" collapsed="false">
      <c r="A303" s="20" t="s">
        <v>1755</v>
      </c>
      <c r="B303" s="20" t="s">
        <v>188</v>
      </c>
      <c r="C303" s="19" t="str">
        <f aca="false">IFERROR(INDEX('قائمة الوحدات'!$B$2:$B$41,MATCH($B303,'قائمة الوحدات'!$A$2:$A$41,0)),"")</f>
        <v>EXE</v>
      </c>
      <c r="D303" s="18" t="str">
        <f aca="false">IFERROR(INDEX('قائمة الوحدات'!$C$2:$C$41,MATCH($B303,'قائمة الوحدات'!$A$2:$A$41,0)),"")</f>
        <v>الشؤون التنفيذية</v>
      </c>
      <c r="E303" s="18" t="str">
        <f aca="false">IFERROR(INDEX('قائمة الوحدات'!$D$2:$D$41,MATCH($B303,'قائمة الوحدات'!$A$2:$A$41,0)),"")</f>
        <v>وكالة التحول الرقمي</v>
      </c>
      <c r="F303" s="18" t="str">
        <f aca="false">IFERROR(INDEX('قائمة الوحدات'!$F$2:$F$41,MATCH($B303,'قائمة الوحدات'!$A$2:$A$41,0)),"")</f>
        <v>وكالة التحول الرقمي</v>
      </c>
      <c r="G303" s="20" t="s">
        <v>66</v>
      </c>
      <c r="H303" s="18" t="str">
        <f aca="false">IFERROR(INDEX(المرجع!$A$2:$A$19,MATCH($G303,المرجع!$B$2:$B$19,0)),"")</f>
        <v>التشغيل</v>
      </c>
      <c r="I303" s="20" t="s">
        <v>49</v>
      </c>
      <c r="J303" s="18" t="str">
        <f aca="false">IFERROR(INDEX(المرجع!$D$2:$D$19,MATCH($I303,المرجع!$E$2:$E$19,0)),"")</f>
        <v>الأهداف ومؤشرات الأداء</v>
      </c>
      <c r="K303" s="19" t="n">
        <f aca="false">IFERROR(INDEX(المرجع!$F$2:$F$19,MATCH($I303,المرجع!$E$2:$E$19,0)),"")</f>
        <v>2</v>
      </c>
      <c r="L303" s="19" t="n">
        <f aca="false">SUMIFS(المرجع!$H$2:$H$19,المرجع!$B$2:$B$19,$G303,المرجع!$E$2:$E$19,$I303)</f>
        <v>2</v>
      </c>
      <c r="M303" s="19" t="n">
        <f aca="false">COUNTIFS('المرتبطة بسمو الوزير'!$B$2:$B$151,$B303,'المرتبطة بسمو الوزير'!$G$2:$G$151,$G303,'المرتبطة بسمو الوزير'!$I$2:$I$151,$I303,'المرتبطة بسمو الوزير'!$M$2:$M$151,"&lt;&gt;")+COUNTIFS('الشؤون التنفيذية'!$B$2:$B$421,$B303,'الشؤون التنفيذية'!$G$2:$G$421,$G303,'الشؤون التنفيذية'!$I$2:$I$421,$I303,'الشؤون التنفيذية'!$N$2:$N$421,"&lt;&gt;")+COUNTIFS('الجهاز العسكري'!$B$2:$B$631,$B303,'الجهاز العسكري'!$G$2:$G$631,$G303,'الجهاز العسكري'!$I$2:$I$631,$I303,'الجهاز العسكري'!$M$2:$M$631,"&lt;&gt;")</f>
        <v>2</v>
      </c>
      <c r="N303" s="24" t="n">
        <f aca="false">IF($L303=0,0,ROUND((SUMIFS('المرتبطة بسمو الوزير'!$M$2:$M$151,'المرتبطة بسمو الوزير'!$B$2:$B$151,$B303,'المرتبطة بسمو الوزير'!$G$2:$G$151,$G303,'المرتبطة بسمو الوزير'!$I$2:$I$151,$I303)+SUMIFS('الشؤون التنفيذية'!$N$2:$N$421,'الشؤون التنفيذية'!$B$2:$B$421,$B303,'الشؤون التنفيذية'!$G$2:$G$421,$G303,'الشؤون التنفيذية'!$I$2:$I$421,$I303)+SUMIFS('الجهاز العسكري'!$M$2:$M$631,'الجهاز العسكري'!$B$2:$B$631,$B303,'الجهاز العسكري'!$G$2:$G$631,$G303,'الجهاز العسكري'!$I$2:$I$631,$I303))/$L303,0))</f>
        <v>10</v>
      </c>
      <c r="O303" s="25" t="n">
        <f aca="false">IF($L303=0,0,ROUND((SUMIFS('المرتبطة بسمو الوزير'!$N$2:$N$151,'المرتبطة بسمو الوزير'!$B$2:$B$151,$B303,'المرتبطة بسمو الوزير'!$G$2:$G$151,$G303,'المرتبطة بسمو الوزير'!$I$2:$I$151,$I303)+SUMIFS('الشؤون التنفيذية'!$O$2:$O$421,'الشؤون التنفيذية'!$B$2:$B$421,$B303,'الشؤون التنفيذية'!$G$2:$G$421,$G303,'الشؤون التنفيذية'!$I$2:$I$421,$I303)+SUMIFS('الجهاز العسكري'!$N$2:$N$631,'الجهاز العسكري'!$B$2:$B$631,$B303,'الجهاز العسكري'!$G$2:$G$631,$G303,'الجهاز العسكري'!$I$2:$I$631,$I303))/$L303,0))</f>
        <v>100</v>
      </c>
      <c r="P303" s="22"/>
      <c r="Q303" s="19" t="n">
        <f aca="false">SUMIFS(المرجع!$G$2:$G$19,المرجع!$B$2:$B$19,$G303,المرجع!$E$2:$E$19,$I303)</f>
        <v>25</v>
      </c>
      <c r="R303" s="26" t="n">
        <f aca="false">ROUND($Q303*$N303/100,2)</f>
        <v>2.5</v>
      </c>
      <c r="S303" s="27" t="str">
        <f aca="false">IF($N303&gt;المرجع!$K$3,"متقدم",IF($N303&lt;=المرجع!$K$2,"أولي","جزئي"))</f>
        <v>أولي</v>
      </c>
      <c r="T303" s="28" t="n">
        <f aca="false">ROUND($Q303*$O303/100,2)</f>
        <v>25</v>
      </c>
    </row>
    <row r="304" customFormat="false" ht="15" hidden="false" customHeight="true" outlineLevel="0" collapsed="false">
      <c r="A304" s="20" t="s">
        <v>1756</v>
      </c>
      <c r="B304" s="20" t="s">
        <v>188</v>
      </c>
      <c r="C304" s="19" t="str">
        <f aca="false">IFERROR(INDEX('قائمة الوحدات'!$B$2:$B$41,MATCH($B304,'قائمة الوحدات'!$A$2:$A$41,0)),"")</f>
        <v>EXE</v>
      </c>
      <c r="D304" s="18" t="str">
        <f aca="false">IFERROR(INDEX('قائمة الوحدات'!$C$2:$C$41,MATCH($B304,'قائمة الوحدات'!$A$2:$A$41,0)),"")</f>
        <v>الشؤون التنفيذية</v>
      </c>
      <c r="E304" s="18" t="str">
        <f aca="false">IFERROR(INDEX('قائمة الوحدات'!$D$2:$D$41,MATCH($B304,'قائمة الوحدات'!$A$2:$A$41,0)),"")</f>
        <v>وكالة التحول الرقمي</v>
      </c>
      <c r="F304" s="18" t="str">
        <f aca="false">IFERROR(INDEX('قائمة الوحدات'!$F$2:$F$41,MATCH($B304,'قائمة الوحدات'!$A$2:$A$41,0)),"")</f>
        <v>وكالة التحول الرقمي</v>
      </c>
      <c r="G304" s="20" t="s">
        <v>66</v>
      </c>
      <c r="H304" s="18" t="str">
        <f aca="false">IFERROR(INDEX(المرجع!$A$2:$A$19,MATCH($G304,المرجع!$B$2:$B$19,0)),"")</f>
        <v>التشغيل</v>
      </c>
      <c r="I304" s="20" t="s">
        <v>52</v>
      </c>
      <c r="J304" s="18" t="str">
        <f aca="false">IFERROR(INDEX(المرجع!$D$2:$D$19,MATCH($I304,المرجع!$E$2:$E$19,0)),"")</f>
        <v>الحوكمة</v>
      </c>
      <c r="K304" s="19" t="n">
        <f aca="false">IFERROR(INDEX(المرجع!$F$2:$F$19,MATCH($I304,المرجع!$E$2:$E$19,0)),"")</f>
        <v>3</v>
      </c>
      <c r="L304" s="19" t="n">
        <f aca="false">SUMIFS(المرجع!$H$2:$H$19,المرجع!$B$2:$B$19,$G304,المرجع!$E$2:$E$19,$I304)</f>
        <v>3</v>
      </c>
      <c r="M304" s="19" t="n">
        <f aca="false">COUNTIFS('المرتبطة بسمو الوزير'!$B$2:$B$151,$B304,'المرتبطة بسمو الوزير'!$G$2:$G$151,$G304,'المرتبطة بسمو الوزير'!$I$2:$I$151,$I304,'المرتبطة بسمو الوزير'!$M$2:$M$151,"&lt;&gt;")+COUNTIFS('الشؤون التنفيذية'!$B$2:$B$421,$B304,'الشؤون التنفيذية'!$G$2:$G$421,$G304,'الشؤون التنفيذية'!$I$2:$I$421,$I304,'الشؤون التنفيذية'!$N$2:$N$421,"&lt;&gt;")+COUNTIFS('الجهاز العسكري'!$B$2:$B$631,$B304,'الجهاز العسكري'!$G$2:$G$631,$G304,'الجهاز العسكري'!$I$2:$I$631,$I304,'الجهاز العسكري'!$M$2:$M$631,"&lt;&gt;")</f>
        <v>3</v>
      </c>
      <c r="N304" s="24" t="n">
        <f aca="false">IF($L304=0,0,ROUND((SUMIFS('المرتبطة بسمو الوزير'!$M$2:$M$151,'المرتبطة بسمو الوزير'!$B$2:$B$151,$B304,'المرتبطة بسمو الوزير'!$G$2:$G$151,$G304,'المرتبطة بسمو الوزير'!$I$2:$I$151,$I304)+SUMIFS('الشؤون التنفيذية'!$N$2:$N$421,'الشؤون التنفيذية'!$B$2:$B$421,$B304,'الشؤون التنفيذية'!$G$2:$G$421,$G304,'الشؤون التنفيذية'!$I$2:$I$421,$I304)+SUMIFS('الجهاز العسكري'!$M$2:$M$631,'الجهاز العسكري'!$B$2:$B$631,$B304,'الجهاز العسكري'!$G$2:$G$631,$G304,'الجهاز العسكري'!$I$2:$I$631,$I304))/$L304,0))</f>
        <v>35</v>
      </c>
      <c r="O304" s="25" t="n">
        <f aca="false">IF($L304=0,0,ROUND((SUMIFS('المرتبطة بسمو الوزير'!$N$2:$N$151,'المرتبطة بسمو الوزير'!$B$2:$B$151,$B304,'المرتبطة بسمو الوزير'!$G$2:$G$151,$G304,'المرتبطة بسمو الوزير'!$I$2:$I$151,$I304)+SUMIFS('الشؤون التنفيذية'!$O$2:$O$421,'الشؤون التنفيذية'!$B$2:$B$421,$B304,'الشؤون التنفيذية'!$G$2:$G$421,$G304,'الشؤون التنفيذية'!$I$2:$I$421,$I304)+SUMIFS('الجهاز العسكري'!$N$2:$N$631,'الجهاز العسكري'!$B$2:$B$631,$B304,'الجهاز العسكري'!$G$2:$G$631,$G304,'الجهاز العسكري'!$I$2:$I$631,$I304))/$L304,0))</f>
        <v>92</v>
      </c>
      <c r="P304" s="22"/>
      <c r="Q304" s="19" t="n">
        <f aca="false">SUMIFS(المرجع!$G$2:$G$19,المرجع!$B$2:$B$19,$G304,المرجع!$E$2:$E$19,$I304)</f>
        <v>15</v>
      </c>
      <c r="R304" s="26" t="n">
        <f aca="false">ROUND($Q304*$N304/100,2)</f>
        <v>5.25</v>
      </c>
      <c r="S304" s="27" t="str">
        <f aca="false">IF($N304&gt;المرجع!$K$3,"متقدم",IF($N304&lt;=المرجع!$K$2,"أولي","جزئي"))</f>
        <v>جزئي</v>
      </c>
      <c r="T304" s="28" t="n">
        <f aca="false">ROUND($Q304*$O304/100,2)</f>
        <v>13.8</v>
      </c>
    </row>
    <row r="305" customFormat="false" ht="15" hidden="false" customHeight="true" outlineLevel="0" collapsed="false">
      <c r="A305" s="20" t="s">
        <v>1757</v>
      </c>
      <c r="B305" s="20" t="s">
        <v>188</v>
      </c>
      <c r="C305" s="19" t="str">
        <f aca="false">IFERROR(INDEX('قائمة الوحدات'!$B$2:$B$41,MATCH($B305,'قائمة الوحدات'!$A$2:$A$41,0)),"")</f>
        <v>EXE</v>
      </c>
      <c r="D305" s="18" t="str">
        <f aca="false">IFERROR(INDEX('قائمة الوحدات'!$C$2:$C$41,MATCH($B305,'قائمة الوحدات'!$A$2:$A$41,0)),"")</f>
        <v>الشؤون التنفيذية</v>
      </c>
      <c r="E305" s="18" t="str">
        <f aca="false">IFERROR(INDEX('قائمة الوحدات'!$D$2:$D$41,MATCH($B305,'قائمة الوحدات'!$A$2:$A$41,0)),"")</f>
        <v>وكالة التحول الرقمي</v>
      </c>
      <c r="F305" s="18" t="str">
        <f aca="false">IFERROR(INDEX('قائمة الوحدات'!$F$2:$F$41,MATCH($B305,'قائمة الوحدات'!$A$2:$A$41,0)),"")</f>
        <v>وكالة التحول الرقمي</v>
      </c>
      <c r="G305" s="20" t="s">
        <v>66</v>
      </c>
      <c r="H305" s="18" t="str">
        <f aca="false">IFERROR(INDEX(المرجع!$A$2:$A$19,MATCH($G305,المرجع!$B$2:$B$19,0)),"")</f>
        <v>التشغيل</v>
      </c>
      <c r="I305" s="20" t="s">
        <v>57</v>
      </c>
      <c r="J305" s="18" t="str">
        <f aca="false">IFERROR(INDEX(المرجع!$D$2:$D$19,MATCH($I305,المرجع!$E$2:$E$19,0)),"")</f>
        <v>الموارد</v>
      </c>
      <c r="K305" s="19" t="n">
        <f aca="false">IFERROR(INDEX(المرجع!$F$2:$F$19,MATCH($I305,المرجع!$E$2:$E$19,0)),"")</f>
        <v>5</v>
      </c>
      <c r="L305" s="19" t="n">
        <f aca="false">SUMIFS(المرجع!$H$2:$H$19,المرجع!$B$2:$B$19,$G305,المرجع!$E$2:$E$19,$I305)</f>
        <v>1</v>
      </c>
      <c r="M305" s="19" t="n">
        <f aca="false">COUNTIFS('المرتبطة بسمو الوزير'!$B$2:$B$151,$B305,'المرتبطة بسمو الوزير'!$G$2:$G$151,$G305,'المرتبطة بسمو الوزير'!$I$2:$I$151,$I305,'المرتبطة بسمو الوزير'!$M$2:$M$151,"&lt;&gt;")+COUNTIFS('الشؤون التنفيذية'!$B$2:$B$421,$B305,'الشؤون التنفيذية'!$G$2:$G$421,$G305,'الشؤون التنفيذية'!$I$2:$I$421,$I305,'الشؤون التنفيذية'!$N$2:$N$421,"&lt;&gt;")+COUNTIFS('الجهاز العسكري'!$B$2:$B$631,$B305,'الجهاز العسكري'!$G$2:$G$631,$G305,'الجهاز العسكري'!$I$2:$I$631,$I305,'الجهاز العسكري'!$M$2:$M$631,"&lt;&gt;")</f>
        <v>1</v>
      </c>
      <c r="N305" s="24" t="n">
        <f aca="false">IF($L305=0,0,ROUND((SUMIFS('المرتبطة بسمو الوزير'!$M$2:$M$151,'المرتبطة بسمو الوزير'!$B$2:$B$151,$B305,'المرتبطة بسمو الوزير'!$G$2:$G$151,$G305,'المرتبطة بسمو الوزير'!$I$2:$I$151,$I305)+SUMIFS('الشؤون التنفيذية'!$N$2:$N$421,'الشؤون التنفيذية'!$B$2:$B$421,$B305,'الشؤون التنفيذية'!$G$2:$G$421,$G305,'الشؤون التنفيذية'!$I$2:$I$421,$I305)+SUMIFS('الجهاز العسكري'!$M$2:$M$631,'الجهاز العسكري'!$B$2:$B$631,$B305,'الجهاز العسكري'!$G$2:$G$631,$G305,'الجهاز العسكري'!$I$2:$I$631,$I305))/$L305,0))</f>
        <v>35</v>
      </c>
      <c r="O305" s="25" t="n">
        <f aca="false">IF($L305=0,0,ROUND((SUMIFS('المرتبطة بسمو الوزير'!$N$2:$N$151,'المرتبطة بسمو الوزير'!$B$2:$B$151,$B305,'المرتبطة بسمو الوزير'!$G$2:$G$151,$G305,'المرتبطة بسمو الوزير'!$I$2:$I$151,$I305)+SUMIFS('الشؤون التنفيذية'!$O$2:$O$421,'الشؤون التنفيذية'!$B$2:$B$421,$B305,'الشؤون التنفيذية'!$G$2:$G$421,$G305,'الشؤون التنفيذية'!$I$2:$I$421,$I305)+SUMIFS('الجهاز العسكري'!$N$2:$N$631,'الجهاز العسكري'!$B$2:$B$631,$B305,'الجهاز العسكري'!$G$2:$G$631,$G305,'الجهاز العسكري'!$I$2:$I$631,$I305))/$L305,0))</f>
        <v>100</v>
      </c>
      <c r="P305" s="22"/>
      <c r="Q305" s="19" t="n">
        <f aca="false">SUMIFS(المرجع!$G$2:$G$19,المرجع!$B$2:$B$19,$G305,المرجع!$E$2:$E$19,$I305)</f>
        <v>15</v>
      </c>
      <c r="R305" s="26" t="n">
        <f aca="false">ROUND($Q305*$N305/100,2)</f>
        <v>5.25</v>
      </c>
      <c r="S305" s="27" t="str">
        <f aca="false">IF($N305&gt;المرجع!$K$3,"متقدم",IF($N305&lt;=المرجع!$K$2,"أولي","جزئي"))</f>
        <v>جزئي</v>
      </c>
      <c r="T305" s="28" t="n">
        <f aca="false">ROUND($Q305*$O305/100,2)</f>
        <v>15</v>
      </c>
    </row>
    <row r="306" customFormat="false" ht="15" hidden="false" customHeight="true" outlineLevel="0" collapsed="false">
      <c r="A306" s="20" t="s">
        <v>1758</v>
      </c>
      <c r="B306" s="20" t="s">
        <v>188</v>
      </c>
      <c r="C306" s="19" t="str">
        <f aca="false">IFERROR(INDEX('قائمة الوحدات'!$B$2:$B$41,MATCH($B306,'قائمة الوحدات'!$A$2:$A$41,0)),"")</f>
        <v>EXE</v>
      </c>
      <c r="D306" s="18" t="str">
        <f aca="false">IFERROR(INDEX('قائمة الوحدات'!$C$2:$C$41,MATCH($B306,'قائمة الوحدات'!$A$2:$A$41,0)),"")</f>
        <v>الشؤون التنفيذية</v>
      </c>
      <c r="E306" s="18" t="str">
        <f aca="false">IFERROR(INDEX('قائمة الوحدات'!$D$2:$D$41,MATCH($B306,'قائمة الوحدات'!$A$2:$A$41,0)),"")</f>
        <v>وكالة التحول الرقمي</v>
      </c>
      <c r="F306" s="18" t="str">
        <f aca="false">IFERROR(INDEX('قائمة الوحدات'!$F$2:$F$41,MATCH($B306,'قائمة الوحدات'!$A$2:$A$41,0)),"")</f>
        <v>وكالة التحول الرقمي</v>
      </c>
      <c r="G306" s="20" t="s">
        <v>66</v>
      </c>
      <c r="H306" s="18" t="str">
        <f aca="false">IFERROR(INDEX(المرجع!$A$2:$A$19,MATCH($G306,المرجع!$B$2:$B$19,0)),"")</f>
        <v>التشغيل</v>
      </c>
      <c r="I306" s="20" t="s">
        <v>60</v>
      </c>
      <c r="J306" s="18" t="str">
        <f aca="false">IFERROR(INDEX(المرجع!$D$2:$D$19,MATCH($I306,المرجع!$E$2:$E$19,0)),"")</f>
        <v>الإجراءات</v>
      </c>
      <c r="K306" s="19" t="n">
        <f aca="false">IFERROR(INDEX(المرجع!$F$2:$F$19,MATCH($I306,المرجع!$E$2:$E$19,0)),"")</f>
        <v>6</v>
      </c>
      <c r="L306" s="19" t="n">
        <f aca="false">SUMIFS(المرجع!$H$2:$H$19,المرجع!$B$2:$B$19,$G306,المرجع!$E$2:$E$19,$I306)</f>
        <v>1</v>
      </c>
      <c r="M306" s="19" t="n">
        <f aca="false">COUNTIFS('المرتبطة بسمو الوزير'!$B$2:$B$151,$B306,'المرتبطة بسمو الوزير'!$G$2:$G$151,$G306,'المرتبطة بسمو الوزير'!$I$2:$I$151,$I306,'المرتبطة بسمو الوزير'!$M$2:$M$151,"&lt;&gt;")+COUNTIFS('الشؤون التنفيذية'!$B$2:$B$421,$B306,'الشؤون التنفيذية'!$G$2:$G$421,$G306,'الشؤون التنفيذية'!$I$2:$I$421,$I306,'الشؤون التنفيذية'!$N$2:$N$421,"&lt;&gt;")+COUNTIFS('الجهاز العسكري'!$B$2:$B$631,$B306,'الجهاز العسكري'!$G$2:$G$631,$G306,'الجهاز العسكري'!$I$2:$I$631,$I306,'الجهاز العسكري'!$M$2:$M$631,"&lt;&gt;")</f>
        <v>1</v>
      </c>
      <c r="N306" s="24" t="n">
        <f aca="false">IF($L306=0,0,ROUND((SUMIFS('المرتبطة بسمو الوزير'!$M$2:$M$151,'المرتبطة بسمو الوزير'!$B$2:$B$151,$B306,'المرتبطة بسمو الوزير'!$G$2:$G$151,$G306,'المرتبطة بسمو الوزير'!$I$2:$I$151,$I306)+SUMIFS('الشؤون التنفيذية'!$N$2:$N$421,'الشؤون التنفيذية'!$B$2:$B$421,$B306,'الشؤون التنفيذية'!$G$2:$G$421,$G306,'الشؤون التنفيذية'!$I$2:$I$421,$I306)+SUMIFS('الجهاز العسكري'!$M$2:$M$631,'الجهاز العسكري'!$B$2:$B$631,$B306,'الجهاز العسكري'!$G$2:$G$631,$G306,'الجهاز العسكري'!$I$2:$I$631,$I306))/$L306,0))</f>
        <v>25</v>
      </c>
      <c r="O306" s="25" t="n">
        <f aca="false">IF($L306=0,0,ROUND((SUMIFS('المرتبطة بسمو الوزير'!$N$2:$N$151,'المرتبطة بسمو الوزير'!$B$2:$B$151,$B306,'المرتبطة بسمو الوزير'!$G$2:$G$151,$G306,'المرتبطة بسمو الوزير'!$I$2:$I$151,$I306)+SUMIFS('الشؤون التنفيذية'!$O$2:$O$421,'الشؤون التنفيذية'!$B$2:$B$421,$B306,'الشؤون التنفيذية'!$G$2:$G$421,$G306,'الشؤون التنفيذية'!$I$2:$I$421,$I306)+SUMIFS('الجهاز العسكري'!$N$2:$N$631,'الجهاز العسكري'!$B$2:$B$631,$B306,'الجهاز العسكري'!$G$2:$G$631,$G306,'الجهاز العسكري'!$I$2:$I$631,$I306))/$L306,0))</f>
        <v>95</v>
      </c>
      <c r="P306" s="22"/>
      <c r="Q306" s="19" t="n">
        <f aca="false">SUMIFS(المرجع!$G$2:$G$19,المرجع!$B$2:$B$19,$G306,المرجع!$E$2:$E$19,$I306)</f>
        <v>15</v>
      </c>
      <c r="R306" s="26" t="n">
        <f aca="false">ROUND($Q306*$N306/100,2)</f>
        <v>3.75</v>
      </c>
      <c r="S306" s="27" t="str">
        <f aca="false">IF($N306&gt;المرجع!$K$3,"متقدم",IF($N306&lt;=المرجع!$K$2,"أولي","جزئي"))</f>
        <v>أولي</v>
      </c>
      <c r="T306" s="28" t="n">
        <f aca="false">ROUND($Q306*$O306/100,2)</f>
        <v>14.25</v>
      </c>
    </row>
    <row r="307" customFormat="false" ht="15" hidden="false" customHeight="true" outlineLevel="0" collapsed="false">
      <c r="A307" s="20" t="s">
        <v>1759</v>
      </c>
      <c r="B307" s="20" t="s">
        <v>188</v>
      </c>
      <c r="C307" s="19" t="str">
        <f aca="false">IFERROR(INDEX('قائمة الوحدات'!$B$2:$B$41,MATCH($B307,'قائمة الوحدات'!$A$2:$A$41,0)),"")</f>
        <v>EXE</v>
      </c>
      <c r="D307" s="18" t="str">
        <f aca="false">IFERROR(INDEX('قائمة الوحدات'!$C$2:$C$41,MATCH($B307,'قائمة الوحدات'!$A$2:$A$41,0)),"")</f>
        <v>الشؤون التنفيذية</v>
      </c>
      <c r="E307" s="18" t="str">
        <f aca="false">IFERROR(INDEX('قائمة الوحدات'!$D$2:$D$41,MATCH($B307,'قائمة الوحدات'!$A$2:$A$41,0)),"")</f>
        <v>وكالة التحول الرقمي</v>
      </c>
      <c r="F307" s="18" t="str">
        <f aca="false">IFERROR(INDEX('قائمة الوحدات'!$F$2:$F$41,MATCH($B307,'قائمة الوحدات'!$A$2:$A$41,0)),"")</f>
        <v>وكالة التحول الرقمي</v>
      </c>
      <c r="G307" s="20" t="s">
        <v>66</v>
      </c>
      <c r="H307" s="18" t="str">
        <f aca="false">IFERROR(INDEX(المرجع!$A$2:$A$19,MATCH($G307,المرجع!$B$2:$B$19,0)),"")</f>
        <v>التشغيل</v>
      </c>
      <c r="I307" s="20" t="s">
        <v>71</v>
      </c>
      <c r="J307" s="18" t="str">
        <f aca="false">IFERROR(INDEX(المرجع!$D$2:$D$19,MATCH($I307,المرجع!$E$2:$E$19,0)),"")</f>
        <v>اكتمال المخرجات المستهدفة</v>
      </c>
      <c r="K307" s="19" t="n">
        <f aca="false">IFERROR(INDEX(المرجع!$F$2:$F$19,MATCH($I307,المرجع!$E$2:$E$19,0)),"")</f>
        <v>8</v>
      </c>
      <c r="L307" s="19" t="n">
        <f aca="false">SUMIFS(المرجع!$H$2:$H$19,المرجع!$B$2:$B$19,$G307,المرجع!$E$2:$E$19,$I307)</f>
        <v>1</v>
      </c>
      <c r="M307" s="19" t="n">
        <f aca="false">COUNTIFS('المرتبطة بسمو الوزير'!$B$2:$B$151,$B307,'المرتبطة بسمو الوزير'!$G$2:$G$151,$G307,'المرتبطة بسمو الوزير'!$I$2:$I$151,$I307,'المرتبطة بسمو الوزير'!$M$2:$M$151,"&lt;&gt;")+COUNTIFS('الشؤون التنفيذية'!$B$2:$B$421,$B307,'الشؤون التنفيذية'!$G$2:$G$421,$G307,'الشؤون التنفيذية'!$I$2:$I$421,$I307,'الشؤون التنفيذية'!$N$2:$N$421,"&lt;&gt;")+COUNTIFS('الجهاز العسكري'!$B$2:$B$631,$B307,'الجهاز العسكري'!$G$2:$G$631,$G307,'الجهاز العسكري'!$I$2:$I$631,$I307,'الجهاز العسكري'!$M$2:$M$631,"&lt;&gt;")</f>
        <v>1</v>
      </c>
      <c r="N307" s="24" t="n">
        <f aca="false">IF($L307=0,0,ROUND((SUMIFS('المرتبطة بسمو الوزير'!$M$2:$M$151,'المرتبطة بسمو الوزير'!$B$2:$B$151,$B307,'المرتبطة بسمو الوزير'!$G$2:$G$151,$G307,'المرتبطة بسمو الوزير'!$I$2:$I$151,$I307)+SUMIFS('الشؤون التنفيذية'!$N$2:$N$421,'الشؤون التنفيذية'!$B$2:$B$421,$B307,'الشؤون التنفيذية'!$G$2:$G$421,$G307,'الشؤون التنفيذية'!$I$2:$I$421,$I307)+SUMIFS('الجهاز العسكري'!$M$2:$M$631,'الجهاز العسكري'!$B$2:$B$631,$B307,'الجهاز العسكري'!$G$2:$G$631,$G307,'الجهاز العسكري'!$I$2:$I$631,$I307))/$L307,0))</f>
        <v>43</v>
      </c>
      <c r="O307" s="25" t="n">
        <f aca="false">IF($L307=0,0,ROUND((SUMIFS('المرتبطة بسمو الوزير'!$N$2:$N$151,'المرتبطة بسمو الوزير'!$B$2:$B$151,$B307,'المرتبطة بسمو الوزير'!$G$2:$G$151,$G307,'المرتبطة بسمو الوزير'!$I$2:$I$151,$I307)+SUMIFS('الشؤون التنفيذية'!$O$2:$O$421,'الشؤون التنفيذية'!$B$2:$B$421,$B307,'الشؤون التنفيذية'!$G$2:$G$421,$G307,'الشؤون التنفيذية'!$I$2:$I$421,$I307)+SUMIFS('الجهاز العسكري'!$N$2:$N$631,'الجهاز العسكري'!$B$2:$B$631,$B307,'الجهاز العسكري'!$G$2:$G$631,$G307,'الجهاز العسكري'!$I$2:$I$631,$I307))/$L307,0))</f>
        <v>85</v>
      </c>
      <c r="P307" s="22"/>
      <c r="Q307" s="19" t="n">
        <f aca="false">SUMIFS(المرجع!$G$2:$G$19,المرجع!$B$2:$B$19,$G307,المرجع!$E$2:$E$19,$I307)</f>
        <v>30</v>
      </c>
      <c r="R307" s="26" t="n">
        <f aca="false">ROUND($Q307*$N307/100,2)</f>
        <v>12.9</v>
      </c>
      <c r="S307" s="27" t="str">
        <f aca="false">IF($N307&gt;المرجع!$K$3,"متقدم",IF($N307&lt;=المرجع!$K$2,"أولي","جزئي"))</f>
        <v>جزئي</v>
      </c>
      <c r="T307" s="28" t="n">
        <f aca="false">ROUND($Q307*$O307/100,2)</f>
        <v>25.5</v>
      </c>
    </row>
    <row r="308" customFormat="false" ht="15" hidden="false" customHeight="true" outlineLevel="0" collapsed="false">
      <c r="A308" s="20" t="s">
        <v>1760</v>
      </c>
      <c r="B308" s="20" t="s">
        <v>190</v>
      </c>
      <c r="C308" s="19" t="str">
        <f aca="false">IFERROR(INDEX('قائمة الوحدات'!$B$2:$B$41,MATCH($B308,'قائمة الوحدات'!$A$2:$A$41,0)),"")</f>
        <v>EXE</v>
      </c>
      <c r="D308" s="18" t="str">
        <f aca="false">IFERROR(INDEX('قائمة الوحدات'!$C$2:$C$41,MATCH($B308,'قائمة الوحدات'!$A$2:$A$41,0)),"")</f>
        <v>الشؤون التنفيذية</v>
      </c>
      <c r="E308" s="18" t="str">
        <f aca="false">IFERROR(INDEX('قائمة الوحدات'!$D$2:$D$41,MATCH($B308,'قائمة الوحدات'!$A$2:$A$41,0)),"")</f>
        <v>وكالة الاتصال المؤسسي</v>
      </c>
      <c r="F308" s="18" t="str">
        <f aca="false">IFERROR(INDEX('قائمة الوحدات'!$F$2:$F$41,MATCH($B308,'قائمة الوحدات'!$A$2:$A$41,0)),"")</f>
        <v>وكالة الاتصال المؤسسي</v>
      </c>
      <c r="G308" s="20" t="s">
        <v>44</v>
      </c>
      <c r="H308" s="18" t="str">
        <f aca="false">IFERROR(INDEX(المرجع!$A$2:$A$19,MATCH($G308,المرجع!$B$2:$B$19,0)),"")</f>
        <v>التصميم</v>
      </c>
      <c r="I308" s="20" t="s">
        <v>46</v>
      </c>
      <c r="J308" s="18" t="str">
        <f aca="false">IFERROR(INDEX(المرجع!$D$2:$D$19,MATCH($I308,المرجع!$E$2:$E$19,0)),"")</f>
        <v>الدور</v>
      </c>
      <c r="K308" s="19" t="n">
        <f aca="false">IFERROR(INDEX(المرجع!$F$2:$F$19,MATCH($I308,المرجع!$E$2:$E$19,0)),"")</f>
        <v>1</v>
      </c>
      <c r="L308" s="19" t="n">
        <f aca="false">SUMIFS(المرجع!$H$2:$H$19,المرجع!$B$2:$B$19,$G308,المرجع!$E$2:$E$19,$I308)</f>
        <v>1</v>
      </c>
      <c r="M308" s="19" t="n">
        <f aca="false">COUNTIFS('المرتبطة بسمو الوزير'!$B$2:$B$151,$B308,'المرتبطة بسمو الوزير'!$G$2:$G$151,$G308,'المرتبطة بسمو الوزير'!$I$2:$I$151,$I308,'المرتبطة بسمو الوزير'!$M$2:$M$151,"&lt;&gt;")+COUNTIFS('الشؤون التنفيذية'!$B$2:$B$421,$B308,'الشؤون التنفيذية'!$G$2:$G$421,$G308,'الشؤون التنفيذية'!$I$2:$I$421,$I308,'الشؤون التنفيذية'!$N$2:$N$421,"&lt;&gt;")+COUNTIFS('الجهاز العسكري'!$B$2:$B$631,$B308,'الجهاز العسكري'!$G$2:$G$631,$G308,'الجهاز العسكري'!$I$2:$I$631,$I308,'الجهاز العسكري'!$M$2:$M$631,"&lt;&gt;")</f>
        <v>1</v>
      </c>
      <c r="N308" s="24" t="n">
        <f aca="false">IF($L308=0,0,ROUND((SUMIFS('المرتبطة بسمو الوزير'!$M$2:$M$151,'المرتبطة بسمو الوزير'!$B$2:$B$151,$B308,'المرتبطة بسمو الوزير'!$G$2:$G$151,$G308,'المرتبطة بسمو الوزير'!$I$2:$I$151,$I308)+SUMIFS('الشؤون التنفيذية'!$N$2:$N$421,'الشؤون التنفيذية'!$B$2:$B$421,$B308,'الشؤون التنفيذية'!$G$2:$G$421,$G308,'الشؤون التنفيذية'!$I$2:$I$421,$I308)+SUMIFS('الجهاز العسكري'!$M$2:$M$631,'الجهاز العسكري'!$B$2:$B$631,$B308,'الجهاز العسكري'!$G$2:$G$631,$G308,'الجهاز العسكري'!$I$2:$I$631,$I308))/$L308,0))</f>
        <v>77</v>
      </c>
      <c r="O308" s="25" t="n">
        <f aca="false">IF($L308=0,0,ROUND((SUMIFS('المرتبطة بسمو الوزير'!$N$2:$N$151,'المرتبطة بسمو الوزير'!$B$2:$B$151,$B308,'المرتبطة بسمو الوزير'!$G$2:$G$151,$G308,'المرتبطة بسمو الوزير'!$I$2:$I$151,$I308)+SUMIFS('الشؤون التنفيذية'!$O$2:$O$421,'الشؤون التنفيذية'!$B$2:$B$421,$B308,'الشؤون التنفيذية'!$G$2:$G$421,$G308,'الشؤون التنفيذية'!$I$2:$I$421,$I308)+SUMIFS('الجهاز العسكري'!$N$2:$N$631,'الجهاز العسكري'!$B$2:$B$631,$B308,'الجهاز العسكري'!$G$2:$G$631,$G308,'الجهاز العسكري'!$I$2:$I$631,$I308))/$L308,0))</f>
        <v>95</v>
      </c>
      <c r="P308" s="22"/>
      <c r="Q308" s="19" t="n">
        <f aca="false">SUMIFS(المرجع!$G$2:$G$19,المرجع!$B$2:$B$19,$G308,المرجع!$E$2:$E$19,$I308)</f>
        <v>25</v>
      </c>
      <c r="R308" s="26" t="n">
        <f aca="false">ROUND($Q308*$N308/100,2)</f>
        <v>19.25</v>
      </c>
      <c r="S308" s="27" t="str">
        <f aca="false">IF($N308&gt;المرجع!$K$3,"متقدم",IF($N308&lt;=المرجع!$K$2,"أولي","جزئي"))</f>
        <v>متقدم</v>
      </c>
      <c r="T308" s="28" t="n">
        <f aca="false">ROUND($Q308*$O308/100,2)</f>
        <v>23.75</v>
      </c>
    </row>
    <row r="309" customFormat="false" ht="15" hidden="false" customHeight="true" outlineLevel="0" collapsed="false">
      <c r="A309" s="20" t="s">
        <v>1761</v>
      </c>
      <c r="B309" s="20" t="s">
        <v>190</v>
      </c>
      <c r="C309" s="19" t="str">
        <f aca="false">IFERROR(INDEX('قائمة الوحدات'!$B$2:$B$41,MATCH($B309,'قائمة الوحدات'!$A$2:$A$41,0)),"")</f>
        <v>EXE</v>
      </c>
      <c r="D309" s="18" t="str">
        <f aca="false">IFERROR(INDEX('قائمة الوحدات'!$C$2:$C$41,MATCH($B309,'قائمة الوحدات'!$A$2:$A$41,0)),"")</f>
        <v>الشؤون التنفيذية</v>
      </c>
      <c r="E309" s="18" t="str">
        <f aca="false">IFERROR(INDEX('قائمة الوحدات'!$D$2:$D$41,MATCH($B309,'قائمة الوحدات'!$A$2:$A$41,0)),"")</f>
        <v>وكالة الاتصال المؤسسي</v>
      </c>
      <c r="F309" s="18" t="str">
        <f aca="false">IFERROR(INDEX('قائمة الوحدات'!$F$2:$F$41,MATCH($B309,'قائمة الوحدات'!$A$2:$A$41,0)),"")</f>
        <v>وكالة الاتصال المؤسسي</v>
      </c>
      <c r="G309" s="20" t="s">
        <v>44</v>
      </c>
      <c r="H309" s="18" t="str">
        <f aca="false">IFERROR(INDEX(المرجع!$A$2:$A$19,MATCH($G309,المرجع!$B$2:$B$19,0)),"")</f>
        <v>التصميم</v>
      </c>
      <c r="I309" s="20" t="s">
        <v>49</v>
      </c>
      <c r="J309" s="18" t="str">
        <f aca="false">IFERROR(INDEX(المرجع!$D$2:$D$19,MATCH($I309,المرجع!$E$2:$E$19,0)),"")</f>
        <v>الأهداف ومؤشرات الأداء</v>
      </c>
      <c r="K309" s="19" t="n">
        <f aca="false">IFERROR(INDEX(المرجع!$F$2:$F$19,MATCH($I309,المرجع!$E$2:$E$19,0)),"")</f>
        <v>2</v>
      </c>
      <c r="L309" s="19" t="n">
        <f aca="false">SUMIFS(المرجع!$H$2:$H$19,المرجع!$B$2:$B$19,$G309,المرجع!$E$2:$E$19,$I309)</f>
        <v>2</v>
      </c>
      <c r="M309" s="19" t="n">
        <f aca="false">COUNTIFS('المرتبطة بسمو الوزير'!$B$2:$B$151,$B309,'المرتبطة بسمو الوزير'!$G$2:$G$151,$G309,'المرتبطة بسمو الوزير'!$I$2:$I$151,$I309,'المرتبطة بسمو الوزير'!$M$2:$M$151,"&lt;&gt;")+COUNTIFS('الشؤون التنفيذية'!$B$2:$B$421,$B309,'الشؤون التنفيذية'!$G$2:$G$421,$G309,'الشؤون التنفيذية'!$I$2:$I$421,$I309,'الشؤون التنفيذية'!$N$2:$N$421,"&lt;&gt;")+COUNTIFS('الجهاز العسكري'!$B$2:$B$631,$B309,'الجهاز العسكري'!$G$2:$G$631,$G309,'الجهاز العسكري'!$I$2:$I$631,$I309,'الجهاز العسكري'!$M$2:$M$631,"&lt;&gt;")</f>
        <v>2</v>
      </c>
      <c r="N309" s="24" t="n">
        <f aca="false">IF($L309=0,0,ROUND((SUMIFS('المرتبطة بسمو الوزير'!$M$2:$M$151,'المرتبطة بسمو الوزير'!$B$2:$B$151,$B309,'المرتبطة بسمو الوزير'!$G$2:$G$151,$G309,'المرتبطة بسمو الوزير'!$I$2:$I$151,$I309)+SUMIFS('الشؤون التنفيذية'!$N$2:$N$421,'الشؤون التنفيذية'!$B$2:$B$421,$B309,'الشؤون التنفيذية'!$G$2:$G$421,$G309,'الشؤون التنفيذية'!$I$2:$I$421,$I309)+SUMIFS('الجهاز العسكري'!$M$2:$M$631,'الجهاز العسكري'!$B$2:$B$631,$B309,'الجهاز العسكري'!$G$2:$G$631,$G309,'الجهاز العسكري'!$I$2:$I$631,$I309))/$L309,0))</f>
        <v>100</v>
      </c>
      <c r="O309" s="25" t="n">
        <f aca="false">IF($L309=0,0,ROUND((SUMIFS('المرتبطة بسمو الوزير'!$N$2:$N$151,'المرتبطة بسمو الوزير'!$B$2:$B$151,$B309,'المرتبطة بسمو الوزير'!$G$2:$G$151,$G309,'المرتبطة بسمو الوزير'!$I$2:$I$151,$I309)+SUMIFS('الشؤون التنفيذية'!$O$2:$O$421,'الشؤون التنفيذية'!$B$2:$B$421,$B309,'الشؤون التنفيذية'!$G$2:$G$421,$G309,'الشؤون التنفيذية'!$I$2:$I$421,$I309)+SUMIFS('الجهاز العسكري'!$N$2:$N$631,'الجهاز العسكري'!$B$2:$B$631,$B309,'الجهاز العسكري'!$G$2:$G$631,$G309,'الجهاز العسكري'!$I$2:$I$631,$I309))/$L309,0))</f>
        <v>100</v>
      </c>
      <c r="P309" s="22"/>
      <c r="Q309" s="19" t="n">
        <f aca="false">SUMIFS(المرجع!$G$2:$G$19,المرجع!$B$2:$B$19,$G309,المرجع!$E$2:$E$19,$I309)</f>
        <v>15</v>
      </c>
      <c r="R309" s="26" t="n">
        <f aca="false">ROUND($Q309*$N309/100,2)</f>
        <v>15</v>
      </c>
      <c r="S309" s="27" t="str">
        <f aca="false">IF($N309&gt;المرجع!$K$3,"متقدم",IF($N309&lt;=المرجع!$K$2,"أولي","جزئي"))</f>
        <v>متقدم</v>
      </c>
      <c r="T309" s="28" t="n">
        <f aca="false">ROUND($Q309*$O309/100,2)</f>
        <v>15</v>
      </c>
    </row>
    <row r="310" customFormat="false" ht="15" hidden="false" customHeight="true" outlineLevel="0" collapsed="false">
      <c r="A310" s="20" t="s">
        <v>1762</v>
      </c>
      <c r="B310" s="20" t="s">
        <v>190</v>
      </c>
      <c r="C310" s="19" t="str">
        <f aca="false">IFERROR(INDEX('قائمة الوحدات'!$B$2:$B$41,MATCH($B310,'قائمة الوحدات'!$A$2:$A$41,0)),"")</f>
        <v>EXE</v>
      </c>
      <c r="D310" s="18" t="str">
        <f aca="false">IFERROR(INDEX('قائمة الوحدات'!$C$2:$C$41,MATCH($B310,'قائمة الوحدات'!$A$2:$A$41,0)),"")</f>
        <v>الشؤون التنفيذية</v>
      </c>
      <c r="E310" s="18" t="str">
        <f aca="false">IFERROR(INDEX('قائمة الوحدات'!$D$2:$D$41,MATCH($B310,'قائمة الوحدات'!$A$2:$A$41,0)),"")</f>
        <v>وكالة الاتصال المؤسسي</v>
      </c>
      <c r="F310" s="18" t="str">
        <f aca="false">IFERROR(INDEX('قائمة الوحدات'!$F$2:$F$41,MATCH($B310,'قائمة الوحدات'!$A$2:$A$41,0)),"")</f>
        <v>وكالة الاتصال المؤسسي</v>
      </c>
      <c r="G310" s="20" t="s">
        <v>44</v>
      </c>
      <c r="H310" s="18" t="str">
        <f aca="false">IFERROR(INDEX(المرجع!$A$2:$A$19,MATCH($G310,المرجع!$B$2:$B$19,0)),"")</f>
        <v>التصميم</v>
      </c>
      <c r="I310" s="20" t="s">
        <v>52</v>
      </c>
      <c r="J310" s="18" t="str">
        <f aca="false">IFERROR(INDEX(المرجع!$D$2:$D$19,MATCH($I310,المرجع!$E$2:$E$19,0)),"")</f>
        <v>الحوكمة</v>
      </c>
      <c r="K310" s="19" t="n">
        <f aca="false">IFERROR(INDEX(المرجع!$F$2:$F$19,MATCH($I310,المرجع!$E$2:$E$19,0)),"")</f>
        <v>3</v>
      </c>
      <c r="L310" s="19" t="n">
        <f aca="false">SUMIFS(المرجع!$H$2:$H$19,المرجع!$B$2:$B$19,$G310,المرجع!$E$2:$E$19,$I310)</f>
        <v>1</v>
      </c>
      <c r="M310" s="19" t="n">
        <f aca="false">COUNTIFS('المرتبطة بسمو الوزير'!$B$2:$B$151,$B310,'المرتبطة بسمو الوزير'!$G$2:$G$151,$G310,'المرتبطة بسمو الوزير'!$I$2:$I$151,$I310,'المرتبطة بسمو الوزير'!$M$2:$M$151,"&lt;&gt;")+COUNTIFS('الشؤون التنفيذية'!$B$2:$B$421,$B310,'الشؤون التنفيذية'!$G$2:$G$421,$G310,'الشؤون التنفيذية'!$I$2:$I$421,$I310,'الشؤون التنفيذية'!$N$2:$N$421,"&lt;&gt;")+COUNTIFS('الجهاز العسكري'!$B$2:$B$631,$B310,'الجهاز العسكري'!$G$2:$G$631,$G310,'الجهاز العسكري'!$I$2:$I$631,$I310,'الجهاز العسكري'!$M$2:$M$631,"&lt;&gt;")</f>
        <v>1</v>
      </c>
      <c r="N310" s="24" t="n">
        <f aca="false">IF($L310=0,0,ROUND((SUMIFS('المرتبطة بسمو الوزير'!$M$2:$M$151,'المرتبطة بسمو الوزير'!$B$2:$B$151,$B310,'المرتبطة بسمو الوزير'!$G$2:$G$151,$G310,'المرتبطة بسمو الوزير'!$I$2:$I$151,$I310)+SUMIFS('الشؤون التنفيذية'!$N$2:$N$421,'الشؤون التنفيذية'!$B$2:$B$421,$B310,'الشؤون التنفيذية'!$G$2:$G$421,$G310,'الشؤون التنفيذية'!$I$2:$I$421,$I310)+SUMIFS('الجهاز العسكري'!$M$2:$M$631,'الجهاز العسكري'!$B$2:$B$631,$B310,'الجهاز العسكري'!$G$2:$G$631,$G310,'الجهاز العسكري'!$I$2:$I$631,$I310))/$L310,0))</f>
        <v>68</v>
      </c>
      <c r="O310" s="25" t="n">
        <f aca="false">IF($L310=0,0,ROUND((SUMIFS('المرتبطة بسمو الوزير'!$N$2:$N$151,'المرتبطة بسمو الوزير'!$B$2:$B$151,$B310,'المرتبطة بسمو الوزير'!$G$2:$G$151,$G310,'المرتبطة بسمو الوزير'!$I$2:$I$151,$I310)+SUMIFS('الشؤون التنفيذية'!$O$2:$O$421,'الشؤون التنفيذية'!$B$2:$B$421,$B310,'الشؤون التنفيذية'!$G$2:$G$421,$G310,'الشؤون التنفيذية'!$I$2:$I$421,$I310)+SUMIFS('الجهاز العسكري'!$N$2:$N$631,'الجهاز العسكري'!$B$2:$B$631,$B310,'الجهاز العسكري'!$G$2:$G$631,$G310,'الجهاز العسكري'!$I$2:$I$631,$I310))/$L310,0))</f>
        <v>95</v>
      </c>
      <c r="P310" s="22"/>
      <c r="Q310" s="19" t="n">
        <f aca="false">SUMIFS(المرجع!$G$2:$G$19,المرجع!$B$2:$B$19,$G310,المرجع!$E$2:$E$19,$I310)</f>
        <v>15</v>
      </c>
      <c r="R310" s="26" t="n">
        <f aca="false">ROUND($Q310*$N310/100,2)</f>
        <v>10.2</v>
      </c>
      <c r="S310" s="27" t="str">
        <f aca="false">IF($N310&gt;المرجع!$K$3,"متقدم",IF($N310&lt;=المرجع!$K$2,"أولي","جزئي"))</f>
        <v>جزئي</v>
      </c>
      <c r="T310" s="28" t="n">
        <f aca="false">ROUND($Q310*$O310/100,2)</f>
        <v>14.25</v>
      </c>
    </row>
    <row r="311" customFormat="false" ht="15" hidden="false" customHeight="true" outlineLevel="0" collapsed="false">
      <c r="A311" s="20" t="s">
        <v>1763</v>
      </c>
      <c r="B311" s="20" t="s">
        <v>190</v>
      </c>
      <c r="C311" s="19" t="str">
        <f aca="false">IFERROR(INDEX('قائمة الوحدات'!$B$2:$B$41,MATCH($B311,'قائمة الوحدات'!$A$2:$A$41,0)),"")</f>
        <v>EXE</v>
      </c>
      <c r="D311" s="18" t="str">
        <f aca="false">IFERROR(INDEX('قائمة الوحدات'!$C$2:$C$41,MATCH($B311,'قائمة الوحدات'!$A$2:$A$41,0)),"")</f>
        <v>الشؤون التنفيذية</v>
      </c>
      <c r="E311" s="18" t="str">
        <f aca="false">IFERROR(INDEX('قائمة الوحدات'!$D$2:$D$41,MATCH($B311,'قائمة الوحدات'!$A$2:$A$41,0)),"")</f>
        <v>وكالة الاتصال المؤسسي</v>
      </c>
      <c r="F311" s="18" t="str">
        <f aca="false">IFERROR(INDEX('قائمة الوحدات'!$F$2:$F$41,MATCH($B311,'قائمة الوحدات'!$A$2:$A$41,0)),"")</f>
        <v>وكالة الاتصال المؤسسي</v>
      </c>
      <c r="G311" s="20" t="s">
        <v>44</v>
      </c>
      <c r="H311" s="18" t="str">
        <f aca="false">IFERROR(INDEX(المرجع!$A$2:$A$19,MATCH($G311,المرجع!$B$2:$B$19,0)),"")</f>
        <v>التصميم</v>
      </c>
      <c r="I311" s="20" t="s">
        <v>55</v>
      </c>
      <c r="J311" s="18" t="str">
        <f aca="false">IFERROR(INDEX(المرجع!$D$2:$D$19,MATCH($I311,المرجع!$E$2:$E$19,0)),"")</f>
        <v>التنظيم</v>
      </c>
      <c r="K311" s="19" t="n">
        <f aca="false">IFERROR(INDEX(المرجع!$F$2:$F$19,MATCH($I311,المرجع!$E$2:$E$19,0)),"")</f>
        <v>4</v>
      </c>
      <c r="L311" s="19" t="n">
        <f aca="false">SUMIFS(المرجع!$H$2:$H$19,المرجع!$B$2:$B$19,$G311,المرجع!$E$2:$E$19,$I311)</f>
        <v>1</v>
      </c>
      <c r="M311" s="19" t="n">
        <f aca="false">COUNTIFS('المرتبطة بسمو الوزير'!$B$2:$B$151,$B311,'المرتبطة بسمو الوزير'!$G$2:$G$151,$G311,'المرتبطة بسمو الوزير'!$I$2:$I$151,$I311,'المرتبطة بسمو الوزير'!$M$2:$M$151,"&lt;&gt;")+COUNTIFS('الشؤون التنفيذية'!$B$2:$B$421,$B311,'الشؤون التنفيذية'!$G$2:$G$421,$G311,'الشؤون التنفيذية'!$I$2:$I$421,$I311,'الشؤون التنفيذية'!$N$2:$N$421,"&lt;&gt;")+COUNTIFS('الجهاز العسكري'!$B$2:$B$631,$B311,'الجهاز العسكري'!$G$2:$G$631,$G311,'الجهاز العسكري'!$I$2:$I$631,$I311,'الجهاز العسكري'!$M$2:$M$631,"&lt;&gt;")</f>
        <v>1</v>
      </c>
      <c r="N311" s="24" t="n">
        <f aca="false">IF($L311=0,0,ROUND((SUMIFS('المرتبطة بسمو الوزير'!$M$2:$M$151,'المرتبطة بسمو الوزير'!$B$2:$B$151,$B311,'المرتبطة بسمو الوزير'!$G$2:$G$151,$G311,'المرتبطة بسمو الوزير'!$I$2:$I$151,$I311)+SUMIFS('الشؤون التنفيذية'!$N$2:$N$421,'الشؤون التنفيذية'!$B$2:$B$421,$B311,'الشؤون التنفيذية'!$G$2:$G$421,$G311,'الشؤون التنفيذية'!$I$2:$I$421,$I311)+SUMIFS('الجهاز العسكري'!$M$2:$M$631,'الجهاز العسكري'!$B$2:$B$631,$B311,'الجهاز العسكري'!$G$2:$G$631,$G311,'الجهاز العسكري'!$I$2:$I$631,$I311))/$L311,0))</f>
        <v>82</v>
      </c>
      <c r="O311" s="25" t="n">
        <f aca="false">IF($L311=0,0,ROUND((SUMIFS('المرتبطة بسمو الوزير'!$N$2:$N$151,'المرتبطة بسمو الوزير'!$B$2:$B$151,$B311,'المرتبطة بسمو الوزير'!$G$2:$G$151,$G311,'المرتبطة بسمو الوزير'!$I$2:$I$151,$I311)+SUMIFS('الشؤون التنفيذية'!$O$2:$O$421,'الشؤون التنفيذية'!$B$2:$B$421,$B311,'الشؤون التنفيذية'!$G$2:$G$421,$G311,'الشؤون التنفيذية'!$I$2:$I$421,$I311)+SUMIFS('الجهاز العسكري'!$N$2:$N$631,'الجهاز العسكري'!$B$2:$B$631,$B311,'الجهاز العسكري'!$G$2:$G$631,$G311,'الجهاز العسكري'!$I$2:$I$631,$I311))/$L311,0))</f>
        <v>90</v>
      </c>
      <c r="P311" s="22"/>
      <c r="Q311" s="19" t="n">
        <f aca="false">SUMIFS(المرجع!$G$2:$G$19,المرجع!$B$2:$B$19,$G311,المرجع!$E$2:$E$19,$I311)</f>
        <v>20</v>
      </c>
      <c r="R311" s="26" t="n">
        <f aca="false">ROUND($Q311*$N311/100,2)</f>
        <v>16.4</v>
      </c>
      <c r="S311" s="27" t="str">
        <f aca="false">IF($N311&gt;المرجع!$K$3,"متقدم",IF($N311&lt;=المرجع!$K$2,"أولي","جزئي"))</f>
        <v>متقدم</v>
      </c>
      <c r="T311" s="28" t="n">
        <f aca="false">ROUND($Q311*$O311/100,2)</f>
        <v>18</v>
      </c>
    </row>
    <row r="312" customFormat="false" ht="15" hidden="false" customHeight="true" outlineLevel="0" collapsed="false">
      <c r="A312" s="20" t="s">
        <v>1764</v>
      </c>
      <c r="B312" s="20" t="s">
        <v>190</v>
      </c>
      <c r="C312" s="19" t="str">
        <f aca="false">IFERROR(INDEX('قائمة الوحدات'!$B$2:$B$41,MATCH($B312,'قائمة الوحدات'!$A$2:$A$41,0)),"")</f>
        <v>EXE</v>
      </c>
      <c r="D312" s="18" t="str">
        <f aca="false">IFERROR(INDEX('قائمة الوحدات'!$C$2:$C$41,MATCH($B312,'قائمة الوحدات'!$A$2:$A$41,0)),"")</f>
        <v>الشؤون التنفيذية</v>
      </c>
      <c r="E312" s="18" t="str">
        <f aca="false">IFERROR(INDEX('قائمة الوحدات'!$D$2:$D$41,MATCH($B312,'قائمة الوحدات'!$A$2:$A$41,0)),"")</f>
        <v>وكالة الاتصال المؤسسي</v>
      </c>
      <c r="F312" s="18" t="str">
        <f aca="false">IFERROR(INDEX('قائمة الوحدات'!$F$2:$F$41,MATCH($B312,'قائمة الوحدات'!$A$2:$A$41,0)),"")</f>
        <v>وكالة الاتصال المؤسسي</v>
      </c>
      <c r="G312" s="20" t="s">
        <v>44</v>
      </c>
      <c r="H312" s="18" t="str">
        <f aca="false">IFERROR(INDEX(المرجع!$A$2:$A$19,MATCH($G312,المرجع!$B$2:$B$19,0)),"")</f>
        <v>التصميم</v>
      </c>
      <c r="I312" s="20" t="s">
        <v>57</v>
      </c>
      <c r="J312" s="18" t="str">
        <f aca="false">IFERROR(INDEX(المرجع!$D$2:$D$19,MATCH($I312,المرجع!$E$2:$E$19,0)),"")</f>
        <v>الموارد</v>
      </c>
      <c r="K312" s="19" t="n">
        <f aca="false">IFERROR(INDEX(المرجع!$F$2:$F$19,MATCH($I312,المرجع!$E$2:$E$19,0)),"")</f>
        <v>5</v>
      </c>
      <c r="L312" s="19" t="n">
        <f aca="false">SUMIFS(المرجع!$H$2:$H$19,المرجع!$B$2:$B$19,$G312,المرجع!$E$2:$E$19,$I312)</f>
        <v>1</v>
      </c>
      <c r="M312" s="19" t="n">
        <f aca="false">COUNTIFS('المرتبطة بسمو الوزير'!$B$2:$B$151,$B312,'المرتبطة بسمو الوزير'!$G$2:$G$151,$G312,'المرتبطة بسمو الوزير'!$I$2:$I$151,$I312,'المرتبطة بسمو الوزير'!$M$2:$M$151,"&lt;&gt;")+COUNTIFS('الشؤون التنفيذية'!$B$2:$B$421,$B312,'الشؤون التنفيذية'!$G$2:$G$421,$G312,'الشؤون التنفيذية'!$I$2:$I$421,$I312,'الشؤون التنفيذية'!$N$2:$N$421,"&lt;&gt;")+COUNTIFS('الجهاز العسكري'!$B$2:$B$631,$B312,'الجهاز العسكري'!$G$2:$G$631,$G312,'الجهاز العسكري'!$I$2:$I$631,$I312,'الجهاز العسكري'!$M$2:$M$631,"&lt;&gt;")</f>
        <v>1</v>
      </c>
      <c r="N312" s="24" t="n">
        <f aca="false">IF($L312=0,0,ROUND((SUMIFS('المرتبطة بسمو الوزير'!$M$2:$M$151,'المرتبطة بسمو الوزير'!$B$2:$B$151,$B312,'المرتبطة بسمو الوزير'!$G$2:$G$151,$G312,'المرتبطة بسمو الوزير'!$I$2:$I$151,$I312)+SUMIFS('الشؤون التنفيذية'!$N$2:$N$421,'الشؤون التنفيذية'!$B$2:$B$421,$B312,'الشؤون التنفيذية'!$G$2:$G$421,$G312,'الشؤون التنفيذية'!$I$2:$I$421,$I312)+SUMIFS('الجهاز العسكري'!$M$2:$M$631,'الجهاز العسكري'!$B$2:$B$631,$B312,'الجهاز العسكري'!$G$2:$G$631,$G312,'الجهاز العسكري'!$I$2:$I$631,$I312))/$L312,0))</f>
        <v>91</v>
      </c>
      <c r="O312" s="25" t="n">
        <f aca="false">IF($L312=0,0,ROUND((SUMIFS('المرتبطة بسمو الوزير'!$N$2:$N$151,'المرتبطة بسمو الوزير'!$B$2:$B$151,$B312,'المرتبطة بسمو الوزير'!$G$2:$G$151,$G312,'المرتبطة بسمو الوزير'!$I$2:$I$151,$I312)+SUMIFS('الشؤون التنفيذية'!$O$2:$O$421,'الشؤون التنفيذية'!$B$2:$B$421,$B312,'الشؤون التنفيذية'!$G$2:$G$421,$G312,'الشؤون التنفيذية'!$I$2:$I$421,$I312)+SUMIFS('الجهاز العسكري'!$N$2:$N$631,'الجهاز العسكري'!$B$2:$B$631,$B312,'الجهاز العسكري'!$G$2:$G$631,$G312,'الجهاز العسكري'!$I$2:$I$631,$I312))/$L312,0))</f>
        <v>91</v>
      </c>
      <c r="P312" s="22"/>
      <c r="Q312" s="19" t="n">
        <f aca="false">SUMIFS(المرجع!$G$2:$G$19,المرجع!$B$2:$B$19,$G312,المرجع!$E$2:$E$19,$I312)</f>
        <v>20</v>
      </c>
      <c r="R312" s="26" t="n">
        <f aca="false">ROUND($Q312*$N312/100,2)</f>
        <v>18.2</v>
      </c>
      <c r="S312" s="27" t="str">
        <f aca="false">IF($N312&gt;المرجع!$K$3,"متقدم",IF($N312&lt;=المرجع!$K$2,"أولي","جزئي"))</f>
        <v>متقدم</v>
      </c>
      <c r="T312" s="28" t="n">
        <f aca="false">ROUND($Q312*$O312/100,2)</f>
        <v>18.2</v>
      </c>
    </row>
    <row r="313" customFormat="false" ht="15" hidden="false" customHeight="true" outlineLevel="0" collapsed="false">
      <c r="A313" s="20" t="s">
        <v>1765</v>
      </c>
      <c r="B313" s="20" t="s">
        <v>190</v>
      </c>
      <c r="C313" s="19" t="str">
        <f aca="false">IFERROR(INDEX('قائمة الوحدات'!$B$2:$B$41,MATCH($B313,'قائمة الوحدات'!$A$2:$A$41,0)),"")</f>
        <v>EXE</v>
      </c>
      <c r="D313" s="18" t="str">
        <f aca="false">IFERROR(INDEX('قائمة الوحدات'!$C$2:$C$41,MATCH($B313,'قائمة الوحدات'!$A$2:$A$41,0)),"")</f>
        <v>الشؤون التنفيذية</v>
      </c>
      <c r="E313" s="18" t="str">
        <f aca="false">IFERROR(INDEX('قائمة الوحدات'!$D$2:$D$41,MATCH($B313,'قائمة الوحدات'!$A$2:$A$41,0)),"")</f>
        <v>وكالة الاتصال المؤسسي</v>
      </c>
      <c r="F313" s="18" t="str">
        <f aca="false">IFERROR(INDEX('قائمة الوحدات'!$F$2:$F$41,MATCH($B313,'قائمة الوحدات'!$A$2:$A$41,0)),"")</f>
        <v>وكالة الاتصال المؤسسي</v>
      </c>
      <c r="G313" s="20" t="s">
        <v>44</v>
      </c>
      <c r="H313" s="18" t="str">
        <f aca="false">IFERROR(INDEX(المرجع!$A$2:$A$19,MATCH($G313,المرجع!$B$2:$B$19,0)),"")</f>
        <v>التصميم</v>
      </c>
      <c r="I313" s="20" t="s">
        <v>60</v>
      </c>
      <c r="J313" s="18" t="str">
        <f aca="false">IFERROR(INDEX(المرجع!$D$2:$D$19,MATCH($I313,المرجع!$E$2:$E$19,0)),"")</f>
        <v>الإجراءات</v>
      </c>
      <c r="K313" s="19" t="n">
        <f aca="false">IFERROR(INDEX(المرجع!$F$2:$F$19,MATCH($I313,المرجع!$E$2:$E$19,0)),"")</f>
        <v>6</v>
      </c>
      <c r="L313" s="19" t="n">
        <f aca="false">SUMIFS(المرجع!$H$2:$H$19,المرجع!$B$2:$B$19,$G313,المرجع!$E$2:$E$19,$I313)</f>
        <v>1</v>
      </c>
      <c r="M313" s="19" t="n">
        <f aca="false">COUNTIFS('المرتبطة بسمو الوزير'!$B$2:$B$151,$B313,'المرتبطة بسمو الوزير'!$G$2:$G$151,$G313,'المرتبطة بسمو الوزير'!$I$2:$I$151,$I313,'المرتبطة بسمو الوزير'!$M$2:$M$151,"&lt;&gt;")+COUNTIFS('الشؤون التنفيذية'!$B$2:$B$421,$B313,'الشؤون التنفيذية'!$G$2:$G$421,$G313,'الشؤون التنفيذية'!$I$2:$I$421,$I313,'الشؤون التنفيذية'!$N$2:$N$421,"&lt;&gt;")+COUNTIFS('الجهاز العسكري'!$B$2:$B$631,$B313,'الجهاز العسكري'!$G$2:$G$631,$G313,'الجهاز العسكري'!$I$2:$I$631,$I313,'الجهاز العسكري'!$M$2:$M$631,"&lt;&gt;")</f>
        <v>1</v>
      </c>
      <c r="N313" s="24" t="n">
        <f aca="false">IF($L313=0,0,ROUND((SUMIFS('المرتبطة بسمو الوزير'!$M$2:$M$151,'المرتبطة بسمو الوزير'!$B$2:$B$151,$B313,'المرتبطة بسمو الوزير'!$G$2:$G$151,$G313,'المرتبطة بسمو الوزير'!$I$2:$I$151,$I313)+SUMIFS('الشؤون التنفيذية'!$N$2:$N$421,'الشؤون التنفيذية'!$B$2:$B$421,$B313,'الشؤون التنفيذية'!$G$2:$G$421,$G313,'الشؤون التنفيذية'!$I$2:$I$421,$I313)+SUMIFS('الجهاز العسكري'!$M$2:$M$631,'الجهاز العسكري'!$B$2:$B$631,$B313,'الجهاز العسكري'!$G$2:$G$631,$G313,'الجهاز العسكري'!$I$2:$I$631,$I313))/$L313,0))</f>
        <v>79</v>
      </c>
      <c r="O313" s="25" t="n">
        <f aca="false">IF($L313=0,0,ROUND((SUMIFS('المرتبطة بسمو الوزير'!$N$2:$N$151,'المرتبطة بسمو الوزير'!$B$2:$B$151,$B313,'المرتبطة بسمو الوزير'!$G$2:$G$151,$G313,'المرتبطة بسمو الوزير'!$I$2:$I$151,$I313)+SUMIFS('الشؤون التنفيذية'!$O$2:$O$421,'الشؤون التنفيذية'!$B$2:$B$421,$B313,'الشؤون التنفيذية'!$G$2:$G$421,$G313,'الشؤون التنفيذية'!$I$2:$I$421,$I313)+SUMIFS('الجهاز العسكري'!$N$2:$N$631,'الجهاز العسكري'!$B$2:$B$631,$B313,'الجهاز العسكري'!$G$2:$G$631,$G313,'الجهاز العسكري'!$I$2:$I$631,$I313))/$L313,0))</f>
        <v>100</v>
      </c>
      <c r="P313" s="22"/>
      <c r="Q313" s="19" t="n">
        <f aca="false">SUMIFS(المرجع!$G$2:$G$19,المرجع!$B$2:$B$19,$G313,المرجع!$E$2:$E$19,$I313)</f>
        <v>5</v>
      </c>
      <c r="R313" s="26" t="n">
        <f aca="false">ROUND($Q313*$N313/100,2)</f>
        <v>3.95</v>
      </c>
      <c r="S313" s="27" t="str">
        <f aca="false">IF($N313&gt;المرجع!$K$3,"متقدم",IF($N313&lt;=المرجع!$K$2,"أولي","جزئي"))</f>
        <v>متقدم</v>
      </c>
      <c r="T313" s="28" t="n">
        <f aca="false">ROUND($Q313*$O313/100,2)</f>
        <v>5</v>
      </c>
    </row>
    <row r="314" customFormat="false" ht="15" hidden="false" customHeight="true" outlineLevel="0" collapsed="false">
      <c r="A314" s="20" t="s">
        <v>1766</v>
      </c>
      <c r="B314" s="20" t="s">
        <v>190</v>
      </c>
      <c r="C314" s="19" t="str">
        <f aca="false">IFERROR(INDEX('قائمة الوحدات'!$B$2:$B$41,MATCH($B314,'قائمة الوحدات'!$A$2:$A$41,0)),"")</f>
        <v>EXE</v>
      </c>
      <c r="D314" s="18" t="str">
        <f aca="false">IFERROR(INDEX('قائمة الوحدات'!$C$2:$C$41,MATCH($B314,'قائمة الوحدات'!$A$2:$A$41,0)),"")</f>
        <v>الشؤون التنفيذية</v>
      </c>
      <c r="E314" s="18" t="str">
        <f aca="false">IFERROR(INDEX('قائمة الوحدات'!$D$2:$D$41,MATCH($B314,'قائمة الوحدات'!$A$2:$A$41,0)),"")</f>
        <v>وكالة الاتصال المؤسسي</v>
      </c>
      <c r="F314" s="18" t="str">
        <f aca="false">IFERROR(INDEX('قائمة الوحدات'!$F$2:$F$41,MATCH($B314,'قائمة الوحدات'!$A$2:$A$41,0)),"")</f>
        <v>وكالة الاتصال المؤسسي</v>
      </c>
      <c r="G314" s="20" t="s">
        <v>62</v>
      </c>
      <c r="H314" s="18" t="str">
        <f aca="false">IFERROR(INDEX(المرجع!$A$2:$A$19,MATCH($G314,المرجع!$B$2:$B$19,0)),"")</f>
        <v>البناء المؤسسي</v>
      </c>
      <c r="I314" s="20" t="s">
        <v>46</v>
      </c>
      <c r="J314" s="18" t="str">
        <f aca="false">IFERROR(INDEX(المرجع!$D$2:$D$19,MATCH($I314,المرجع!$E$2:$E$19,0)),"")</f>
        <v>الدور</v>
      </c>
      <c r="K314" s="19" t="n">
        <f aca="false">IFERROR(INDEX(المرجع!$F$2:$F$19,MATCH($I314,المرجع!$E$2:$E$19,0)),"")</f>
        <v>1</v>
      </c>
      <c r="L314" s="19" t="n">
        <f aca="false">SUMIFS(المرجع!$H$2:$H$19,المرجع!$B$2:$B$19,$G314,المرجع!$E$2:$E$19,$I314)</f>
        <v>1</v>
      </c>
      <c r="M314" s="19" t="n">
        <f aca="false">COUNTIFS('المرتبطة بسمو الوزير'!$B$2:$B$151,$B314,'المرتبطة بسمو الوزير'!$G$2:$G$151,$G314,'المرتبطة بسمو الوزير'!$I$2:$I$151,$I314,'المرتبطة بسمو الوزير'!$M$2:$M$151,"&lt;&gt;")+COUNTIFS('الشؤون التنفيذية'!$B$2:$B$421,$B314,'الشؤون التنفيذية'!$G$2:$G$421,$G314,'الشؤون التنفيذية'!$I$2:$I$421,$I314,'الشؤون التنفيذية'!$N$2:$N$421,"&lt;&gt;")+COUNTIFS('الجهاز العسكري'!$B$2:$B$631,$B314,'الجهاز العسكري'!$G$2:$G$631,$G314,'الجهاز العسكري'!$I$2:$I$631,$I314,'الجهاز العسكري'!$M$2:$M$631,"&lt;&gt;")</f>
        <v>1</v>
      </c>
      <c r="N314" s="24" t="n">
        <f aca="false">IF($L314=0,0,ROUND((SUMIFS('المرتبطة بسمو الوزير'!$M$2:$M$151,'المرتبطة بسمو الوزير'!$B$2:$B$151,$B314,'المرتبطة بسمو الوزير'!$G$2:$G$151,$G314,'المرتبطة بسمو الوزير'!$I$2:$I$151,$I314)+SUMIFS('الشؤون التنفيذية'!$N$2:$N$421,'الشؤون التنفيذية'!$B$2:$B$421,$B314,'الشؤون التنفيذية'!$G$2:$G$421,$G314,'الشؤون التنفيذية'!$I$2:$I$421,$I314)+SUMIFS('الجهاز العسكري'!$M$2:$M$631,'الجهاز العسكري'!$B$2:$B$631,$B314,'الجهاز العسكري'!$G$2:$G$631,$G314,'الجهاز العسكري'!$I$2:$I$631,$I314))/$L314,0))</f>
        <v>48</v>
      </c>
      <c r="O314" s="25" t="n">
        <f aca="false">IF($L314=0,0,ROUND((SUMIFS('المرتبطة بسمو الوزير'!$N$2:$N$151,'المرتبطة بسمو الوزير'!$B$2:$B$151,$B314,'المرتبطة بسمو الوزير'!$G$2:$G$151,$G314,'المرتبطة بسمو الوزير'!$I$2:$I$151,$I314)+SUMIFS('الشؤون التنفيذية'!$O$2:$O$421,'الشؤون التنفيذية'!$B$2:$B$421,$B314,'الشؤون التنفيذية'!$G$2:$G$421,$G314,'الشؤون التنفيذية'!$I$2:$I$421,$I314)+SUMIFS('الجهاز العسكري'!$N$2:$N$631,'الجهاز العسكري'!$B$2:$B$631,$B314,'الجهاز العسكري'!$G$2:$G$631,$G314,'الجهاز العسكري'!$I$2:$I$631,$I314))/$L314,0))</f>
        <v>85</v>
      </c>
      <c r="P314" s="22"/>
      <c r="Q314" s="19" t="n">
        <f aca="false">SUMIFS(المرجع!$G$2:$G$19,المرجع!$B$2:$B$19,$G314,المرجع!$E$2:$E$19,$I314)</f>
        <v>15</v>
      </c>
      <c r="R314" s="26" t="n">
        <f aca="false">ROUND($Q314*$N314/100,2)</f>
        <v>7.2</v>
      </c>
      <c r="S314" s="27" t="str">
        <f aca="false">IF($N314&gt;المرجع!$K$3,"متقدم",IF($N314&lt;=المرجع!$K$2,"أولي","جزئي"))</f>
        <v>جزئي</v>
      </c>
      <c r="T314" s="28" t="n">
        <f aca="false">ROUND($Q314*$O314/100,2)</f>
        <v>12.75</v>
      </c>
    </row>
    <row r="315" customFormat="false" ht="15" hidden="false" customHeight="true" outlineLevel="0" collapsed="false">
      <c r="A315" s="20" t="s">
        <v>1767</v>
      </c>
      <c r="B315" s="20" t="s">
        <v>190</v>
      </c>
      <c r="C315" s="19" t="str">
        <f aca="false">IFERROR(INDEX('قائمة الوحدات'!$B$2:$B$41,MATCH($B315,'قائمة الوحدات'!$A$2:$A$41,0)),"")</f>
        <v>EXE</v>
      </c>
      <c r="D315" s="18" t="str">
        <f aca="false">IFERROR(INDEX('قائمة الوحدات'!$C$2:$C$41,MATCH($B315,'قائمة الوحدات'!$A$2:$A$41,0)),"")</f>
        <v>الشؤون التنفيذية</v>
      </c>
      <c r="E315" s="18" t="str">
        <f aca="false">IFERROR(INDEX('قائمة الوحدات'!$D$2:$D$41,MATCH($B315,'قائمة الوحدات'!$A$2:$A$41,0)),"")</f>
        <v>وكالة الاتصال المؤسسي</v>
      </c>
      <c r="F315" s="18" t="str">
        <f aca="false">IFERROR(INDEX('قائمة الوحدات'!$F$2:$F$41,MATCH($B315,'قائمة الوحدات'!$A$2:$A$41,0)),"")</f>
        <v>وكالة الاتصال المؤسسي</v>
      </c>
      <c r="G315" s="20" t="s">
        <v>62</v>
      </c>
      <c r="H315" s="18" t="str">
        <f aca="false">IFERROR(INDEX(المرجع!$A$2:$A$19,MATCH($G315,المرجع!$B$2:$B$19,0)),"")</f>
        <v>البناء المؤسسي</v>
      </c>
      <c r="I315" s="20" t="s">
        <v>49</v>
      </c>
      <c r="J315" s="18" t="str">
        <f aca="false">IFERROR(INDEX(المرجع!$D$2:$D$19,MATCH($I315,المرجع!$E$2:$E$19,0)),"")</f>
        <v>الأهداف ومؤشرات الأداء</v>
      </c>
      <c r="K315" s="19" t="n">
        <f aca="false">IFERROR(INDEX(المرجع!$F$2:$F$19,MATCH($I315,المرجع!$E$2:$E$19,0)),"")</f>
        <v>2</v>
      </c>
      <c r="L315" s="19" t="n">
        <f aca="false">SUMIFS(المرجع!$H$2:$H$19,المرجع!$B$2:$B$19,$G315,المرجع!$E$2:$E$19,$I315)</f>
        <v>2</v>
      </c>
      <c r="M315" s="19" t="n">
        <f aca="false">COUNTIFS('المرتبطة بسمو الوزير'!$B$2:$B$151,$B315,'المرتبطة بسمو الوزير'!$G$2:$G$151,$G315,'المرتبطة بسمو الوزير'!$I$2:$I$151,$I315,'المرتبطة بسمو الوزير'!$M$2:$M$151,"&lt;&gt;")+COUNTIFS('الشؤون التنفيذية'!$B$2:$B$421,$B315,'الشؤون التنفيذية'!$G$2:$G$421,$G315,'الشؤون التنفيذية'!$I$2:$I$421,$I315,'الشؤون التنفيذية'!$N$2:$N$421,"&lt;&gt;")+COUNTIFS('الجهاز العسكري'!$B$2:$B$631,$B315,'الجهاز العسكري'!$G$2:$G$631,$G315,'الجهاز العسكري'!$I$2:$I$631,$I315,'الجهاز العسكري'!$M$2:$M$631,"&lt;&gt;")</f>
        <v>2</v>
      </c>
      <c r="N315" s="24" t="n">
        <f aca="false">IF($L315=0,0,ROUND((SUMIFS('المرتبطة بسمو الوزير'!$M$2:$M$151,'المرتبطة بسمو الوزير'!$B$2:$B$151,$B315,'المرتبطة بسمو الوزير'!$G$2:$G$151,$G315,'المرتبطة بسمو الوزير'!$I$2:$I$151,$I315)+SUMIFS('الشؤون التنفيذية'!$N$2:$N$421,'الشؤون التنفيذية'!$B$2:$B$421,$B315,'الشؤون التنفيذية'!$G$2:$G$421,$G315,'الشؤون التنفيذية'!$I$2:$I$421,$I315)+SUMIFS('الجهاز العسكري'!$M$2:$M$631,'الجهاز العسكري'!$B$2:$B$631,$B315,'الجهاز العسكري'!$G$2:$G$631,$G315,'الجهاز العسكري'!$I$2:$I$631,$I315))/$L315,0))</f>
        <v>68</v>
      </c>
      <c r="O315" s="25" t="n">
        <f aca="false">IF($L315=0,0,ROUND((SUMIFS('المرتبطة بسمو الوزير'!$N$2:$N$151,'المرتبطة بسمو الوزير'!$B$2:$B$151,$B315,'المرتبطة بسمو الوزير'!$G$2:$G$151,$G315,'المرتبطة بسمو الوزير'!$I$2:$I$151,$I315)+SUMIFS('الشؤون التنفيذية'!$O$2:$O$421,'الشؤون التنفيذية'!$B$2:$B$421,$B315,'الشؤون التنفيذية'!$G$2:$G$421,$G315,'الشؤون التنفيذية'!$I$2:$I$421,$I315)+SUMIFS('الجهاز العسكري'!$N$2:$N$631,'الجهاز العسكري'!$B$2:$B$631,$B315,'الجهاز العسكري'!$G$2:$G$631,$G315,'الجهاز العسكري'!$I$2:$I$631,$I315))/$L315,0))</f>
        <v>88</v>
      </c>
      <c r="P315" s="22"/>
      <c r="Q315" s="19" t="n">
        <f aca="false">SUMIFS(المرجع!$G$2:$G$19,المرجع!$B$2:$B$19,$G315,المرجع!$E$2:$E$19,$I315)</f>
        <v>15</v>
      </c>
      <c r="R315" s="26" t="n">
        <f aca="false">ROUND($Q315*$N315/100,2)</f>
        <v>10.2</v>
      </c>
      <c r="S315" s="27" t="str">
        <f aca="false">IF($N315&gt;المرجع!$K$3,"متقدم",IF($N315&lt;=المرجع!$K$2,"أولي","جزئي"))</f>
        <v>جزئي</v>
      </c>
      <c r="T315" s="28" t="n">
        <f aca="false">ROUND($Q315*$O315/100,2)</f>
        <v>13.2</v>
      </c>
    </row>
    <row r="316" customFormat="false" ht="15" hidden="false" customHeight="true" outlineLevel="0" collapsed="false">
      <c r="A316" s="20" t="s">
        <v>1768</v>
      </c>
      <c r="B316" s="20" t="s">
        <v>190</v>
      </c>
      <c r="C316" s="19" t="str">
        <f aca="false">IFERROR(INDEX('قائمة الوحدات'!$B$2:$B$41,MATCH($B316,'قائمة الوحدات'!$A$2:$A$41,0)),"")</f>
        <v>EXE</v>
      </c>
      <c r="D316" s="18" t="str">
        <f aca="false">IFERROR(INDEX('قائمة الوحدات'!$C$2:$C$41,MATCH($B316,'قائمة الوحدات'!$A$2:$A$41,0)),"")</f>
        <v>الشؤون التنفيذية</v>
      </c>
      <c r="E316" s="18" t="str">
        <f aca="false">IFERROR(INDEX('قائمة الوحدات'!$D$2:$D$41,MATCH($B316,'قائمة الوحدات'!$A$2:$A$41,0)),"")</f>
        <v>وكالة الاتصال المؤسسي</v>
      </c>
      <c r="F316" s="18" t="str">
        <f aca="false">IFERROR(INDEX('قائمة الوحدات'!$F$2:$F$41,MATCH($B316,'قائمة الوحدات'!$A$2:$A$41,0)),"")</f>
        <v>وكالة الاتصال المؤسسي</v>
      </c>
      <c r="G316" s="20" t="s">
        <v>62</v>
      </c>
      <c r="H316" s="18" t="str">
        <f aca="false">IFERROR(INDEX(المرجع!$A$2:$A$19,MATCH($G316,المرجع!$B$2:$B$19,0)),"")</f>
        <v>البناء المؤسسي</v>
      </c>
      <c r="I316" s="20" t="s">
        <v>52</v>
      </c>
      <c r="J316" s="18" t="str">
        <f aca="false">IFERROR(INDEX(المرجع!$D$2:$D$19,MATCH($I316,المرجع!$E$2:$E$19,0)),"")</f>
        <v>الحوكمة</v>
      </c>
      <c r="K316" s="19" t="n">
        <f aca="false">IFERROR(INDEX(المرجع!$F$2:$F$19,MATCH($I316,المرجع!$E$2:$E$19,0)),"")</f>
        <v>3</v>
      </c>
      <c r="L316" s="19" t="n">
        <f aca="false">SUMIFS(المرجع!$H$2:$H$19,المرجع!$B$2:$B$19,$G316,المرجع!$E$2:$E$19,$I316)</f>
        <v>3</v>
      </c>
      <c r="M316" s="19" t="n">
        <f aca="false">COUNTIFS('المرتبطة بسمو الوزير'!$B$2:$B$151,$B316,'المرتبطة بسمو الوزير'!$G$2:$G$151,$G316,'المرتبطة بسمو الوزير'!$I$2:$I$151,$I316,'المرتبطة بسمو الوزير'!$M$2:$M$151,"&lt;&gt;")+COUNTIFS('الشؤون التنفيذية'!$B$2:$B$421,$B316,'الشؤون التنفيذية'!$G$2:$G$421,$G316,'الشؤون التنفيذية'!$I$2:$I$421,$I316,'الشؤون التنفيذية'!$N$2:$N$421,"&lt;&gt;")+COUNTIFS('الجهاز العسكري'!$B$2:$B$631,$B316,'الجهاز العسكري'!$G$2:$G$631,$G316,'الجهاز العسكري'!$I$2:$I$631,$I316,'الجهاز العسكري'!$M$2:$M$631,"&lt;&gt;")</f>
        <v>3</v>
      </c>
      <c r="N316" s="24" t="n">
        <f aca="false">IF($L316=0,0,ROUND((SUMIFS('المرتبطة بسمو الوزير'!$M$2:$M$151,'المرتبطة بسمو الوزير'!$B$2:$B$151,$B316,'المرتبطة بسمو الوزير'!$G$2:$G$151,$G316,'المرتبطة بسمو الوزير'!$I$2:$I$151,$I316)+SUMIFS('الشؤون التنفيذية'!$N$2:$N$421,'الشؤون التنفيذية'!$B$2:$B$421,$B316,'الشؤون التنفيذية'!$G$2:$G$421,$G316,'الشؤون التنفيذية'!$I$2:$I$421,$I316)+SUMIFS('الجهاز العسكري'!$M$2:$M$631,'الجهاز العسكري'!$B$2:$B$631,$B316,'الجهاز العسكري'!$G$2:$G$631,$G316,'الجهاز العسكري'!$I$2:$I$631,$I316))/$L316,0))</f>
        <v>82</v>
      </c>
      <c r="O316" s="25" t="n">
        <f aca="false">IF($L316=0,0,ROUND((SUMIFS('المرتبطة بسمو الوزير'!$N$2:$N$151,'المرتبطة بسمو الوزير'!$B$2:$B$151,$B316,'المرتبطة بسمو الوزير'!$G$2:$G$151,$G316,'المرتبطة بسمو الوزير'!$I$2:$I$151,$I316)+SUMIFS('الشؤون التنفيذية'!$O$2:$O$421,'الشؤون التنفيذية'!$B$2:$B$421,$B316,'الشؤون التنفيذية'!$G$2:$G$421,$G316,'الشؤون التنفيذية'!$I$2:$I$421,$I316)+SUMIFS('الجهاز العسكري'!$N$2:$N$631,'الجهاز العسكري'!$B$2:$B$631,$B316,'الجهاز العسكري'!$G$2:$G$631,$G316,'الجهاز العسكري'!$I$2:$I$631,$I316))/$L316,0))</f>
        <v>92</v>
      </c>
      <c r="P316" s="22"/>
      <c r="Q316" s="19" t="n">
        <f aca="false">SUMIFS(المرجع!$G$2:$G$19,المرجع!$B$2:$B$19,$G316,المرجع!$E$2:$E$19,$I316)</f>
        <v>15</v>
      </c>
      <c r="R316" s="26" t="n">
        <f aca="false">ROUND($Q316*$N316/100,2)</f>
        <v>12.3</v>
      </c>
      <c r="S316" s="27" t="str">
        <f aca="false">IF($N316&gt;المرجع!$K$3,"متقدم",IF($N316&lt;=المرجع!$K$2,"أولي","جزئي"))</f>
        <v>متقدم</v>
      </c>
      <c r="T316" s="28" t="n">
        <f aca="false">ROUND($Q316*$O316/100,2)</f>
        <v>13.8</v>
      </c>
    </row>
    <row r="317" customFormat="false" ht="15" hidden="false" customHeight="true" outlineLevel="0" collapsed="false">
      <c r="A317" s="20" t="s">
        <v>1769</v>
      </c>
      <c r="B317" s="20" t="s">
        <v>190</v>
      </c>
      <c r="C317" s="19" t="str">
        <f aca="false">IFERROR(INDEX('قائمة الوحدات'!$B$2:$B$41,MATCH($B317,'قائمة الوحدات'!$A$2:$A$41,0)),"")</f>
        <v>EXE</v>
      </c>
      <c r="D317" s="18" t="str">
        <f aca="false">IFERROR(INDEX('قائمة الوحدات'!$C$2:$C$41,MATCH($B317,'قائمة الوحدات'!$A$2:$A$41,0)),"")</f>
        <v>الشؤون التنفيذية</v>
      </c>
      <c r="E317" s="18" t="str">
        <f aca="false">IFERROR(INDEX('قائمة الوحدات'!$D$2:$D$41,MATCH($B317,'قائمة الوحدات'!$A$2:$A$41,0)),"")</f>
        <v>وكالة الاتصال المؤسسي</v>
      </c>
      <c r="F317" s="18" t="str">
        <f aca="false">IFERROR(INDEX('قائمة الوحدات'!$F$2:$F$41,MATCH($B317,'قائمة الوحدات'!$A$2:$A$41,0)),"")</f>
        <v>وكالة الاتصال المؤسسي</v>
      </c>
      <c r="G317" s="20" t="s">
        <v>62</v>
      </c>
      <c r="H317" s="18" t="str">
        <f aca="false">IFERROR(INDEX(المرجع!$A$2:$A$19,MATCH($G317,المرجع!$B$2:$B$19,0)),"")</f>
        <v>البناء المؤسسي</v>
      </c>
      <c r="I317" s="20" t="s">
        <v>55</v>
      </c>
      <c r="J317" s="18" t="str">
        <f aca="false">IFERROR(INDEX(المرجع!$D$2:$D$19,MATCH($I317,المرجع!$E$2:$E$19,0)),"")</f>
        <v>التنظيم</v>
      </c>
      <c r="K317" s="19" t="n">
        <f aca="false">IFERROR(INDEX(المرجع!$F$2:$F$19,MATCH($I317,المرجع!$E$2:$E$19,0)),"")</f>
        <v>4</v>
      </c>
      <c r="L317" s="19" t="n">
        <f aca="false">SUMIFS(المرجع!$H$2:$H$19,المرجع!$B$2:$B$19,$G317,المرجع!$E$2:$E$19,$I317)</f>
        <v>3</v>
      </c>
      <c r="M317" s="19" t="n">
        <f aca="false">COUNTIFS('المرتبطة بسمو الوزير'!$B$2:$B$151,$B317,'المرتبطة بسمو الوزير'!$G$2:$G$151,$G317,'المرتبطة بسمو الوزير'!$I$2:$I$151,$I317,'المرتبطة بسمو الوزير'!$M$2:$M$151,"&lt;&gt;")+COUNTIFS('الشؤون التنفيذية'!$B$2:$B$421,$B317,'الشؤون التنفيذية'!$G$2:$G$421,$G317,'الشؤون التنفيذية'!$I$2:$I$421,$I317,'الشؤون التنفيذية'!$N$2:$N$421,"&lt;&gt;")+COUNTIFS('الجهاز العسكري'!$B$2:$B$631,$B317,'الجهاز العسكري'!$G$2:$G$631,$G317,'الجهاز العسكري'!$I$2:$I$631,$I317,'الجهاز العسكري'!$M$2:$M$631,"&lt;&gt;")</f>
        <v>3</v>
      </c>
      <c r="N317" s="24" t="n">
        <f aca="false">IF($L317=0,0,ROUND((SUMIFS('المرتبطة بسمو الوزير'!$M$2:$M$151,'المرتبطة بسمو الوزير'!$B$2:$B$151,$B317,'المرتبطة بسمو الوزير'!$G$2:$G$151,$G317,'المرتبطة بسمو الوزير'!$I$2:$I$151,$I317)+SUMIFS('الشؤون التنفيذية'!$N$2:$N$421,'الشؤون التنفيذية'!$B$2:$B$421,$B317,'الشؤون التنفيذية'!$G$2:$G$421,$G317,'الشؤون التنفيذية'!$I$2:$I$421,$I317)+SUMIFS('الجهاز العسكري'!$M$2:$M$631,'الجهاز العسكري'!$B$2:$B$631,$B317,'الجهاز العسكري'!$G$2:$G$631,$G317,'الجهاز العسكري'!$I$2:$I$631,$I317))/$L317,0))</f>
        <v>50</v>
      </c>
      <c r="O317" s="25" t="n">
        <f aca="false">IF($L317=0,0,ROUND((SUMIFS('المرتبطة بسمو الوزير'!$N$2:$N$151,'المرتبطة بسمو الوزير'!$B$2:$B$151,$B317,'المرتبطة بسمو الوزير'!$G$2:$G$151,$G317,'المرتبطة بسمو الوزير'!$I$2:$I$151,$I317)+SUMIFS('الشؤون التنفيذية'!$O$2:$O$421,'الشؤون التنفيذية'!$B$2:$B$421,$B317,'الشؤون التنفيذية'!$G$2:$G$421,$G317,'الشؤون التنفيذية'!$I$2:$I$421,$I317)+SUMIFS('الجهاز العسكري'!$N$2:$N$631,'الجهاز العسكري'!$B$2:$B$631,$B317,'الجهاز العسكري'!$G$2:$G$631,$G317,'الجهاز العسكري'!$I$2:$I$631,$I317))/$L317,0))</f>
        <v>93</v>
      </c>
      <c r="P317" s="22"/>
      <c r="Q317" s="19" t="n">
        <f aca="false">SUMIFS(المرجع!$G$2:$G$19,المرجع!$B$2:$B$19,$G317,المرجع!$E$2:$E$19,$I317)</f>
        <v>20</v>
      </c>
      <c r="R317" s="26" t="n">
        <f aca="false">ROUND($Q317*$N317/100,2)</f>
        <v>10</v>
      </c>
      <c r="S317" s="27" t="str">
        <f aca="false">IF($N317&gt;المرجع!$K$3,"متقدم",IF($N317&lt;=المرجع!$K$2,"أولي","جزئي"))</f>
        <v>جزئي</v>
      </c>
      <c r="T317" s="28" t="n">
        <f aca="false">ROUND($Q317*$O317/100,2)</f>
        <v>18.6</v>
      </c>
    </row>
    <row r="318" customFormat="false" ht="15" hidden="false" customHeight="true" outlineLevel="0" collapsed="false">
      <c r="A318" s="20" t="s">
        <v>1770</v>
      </c>
      <c r="B318" s="20" t="s">
        <v>190</v>
      </c>
      <c r="C318" s="19" t="str">
        <f aca="false">IFERROR(INDEX('قائمة الوحدات'!$B$2:$B$41,MATCH($B318,'قائمة الوحدات'!$A$2:$A$41,0)),"")</f>
        <v>EXE</v>
      </c>
      <c r="D318" s="18" t="str">
        <f aca="false">IFERROR(INDEX('قائمة الوحدات'!$C$2:$C$41,MATCH($B318,'قائمة الوحدات'!$A$2:$A$41,0)),"")</f>
        <v>الشؤون التنفيذية</v>
      </c>
      <c r="E318" s="18" t="str">
        <f aca="false">IFERROR(INDEX('قائمة الوحدات'!$D$2:$D$41,MATCH($B318,'قائمة الوحدات'!$A$2:$A$41,0)),"")</f>
        <v>وكالة الاتصال المؤسسي</v>
      </c>
      <c r="F318" s="18" t="str">
        <f aca="false">IFERROR(INDEX('قائمة الوحدات'!$F$2:$F$41,MATCH($B318,'قائمة الوحدات'!$A$2:$A$41,0)),"")</f>
        <v>وكالة الاتصال المؤسسي</v>
      </c>
      <c r="G318" s="20" t="s">
        <v>62</v>
      </c>
      <c r="H318" s="18" t="str">
        <f aca="false">IFERROR(INDEX(المرجع!$A$2:$A$19,MATCH($G318,المرجع!$B$2:$B$19,0)),"")</f>
        <v>البناء المؤسسي</v>
      </c>
      <c r="I318" s="20" t="s">
        <v>57</v>
      </c>
      <c r="J318" s="18" t="str">
        <f aca="false">IFERROR(INDEX(المرجع!$D$2:$D$19,MATCH($I318,المرجع!$E$2:$E$19,0)),"")</f>
        <v>الموارد</v>
      </c>
      <c r="K318" s="19" t="n">
        <f aca="false">IFERROR(INDEX(المرجع!$F$2:$F$19,MATCH($I318,المرجع!$E$2:$E$19,0)),"")</f>
        <v>5</v>
      </c>
      <c r="L318" s="19" t="n">
        <f aca="false">SUMIFS(المرجع!$H$2:$H$19,المرجع!$B$2:$B$19,$G318,المرجع!$E$2:$E$19,$I318)</f>
        <v>4</v>
      </c>
      <c r="M318" s="19" t="n">
        <f aca="false">COUNTIFS('المرتبطة بسمو الوزير'!$B$2:$B$151,$B318,'المرتبطة بسمو الوزير'!$G$2:$G$151,$G318,'المرتبطة بسمو الوزير'!$I$2:$I$151,$I318,'المرتبطة بسمو الوزير'!$M$2:$M$151,"&lt;&gt;")+COUNTIFS('الشؤون التنفيذية'!$B$2:$B$421,$B318,'الشؤون التنفيذية'!$G$2:$G$421,$G318,'الشؤون التنفيذية'!$I$2:$I$421,$I318,'الشؤون التنفيذية'!$N$2:$N$421,"&lt;&gt;")+COUNTIFS('الجهاز العسكري'!$B$2:$B$631,$B318,'الجهاز العسكري'!$G$2:$G$631,$G318,'الجهاز العسكري'!$I$2:$I$631,$I318,'الجهاز العسكري'!$M$2:$M$631,"&lt;&gt;")</f>
        <v>4</v>
      </c>
      <c r="N318" s="24" t="n">
        <f aca="false">IF($L318=0,0,ROUND((SUMIFS('المرتبطة بسمو الوزير'!$M$2:$M$151,'المرتبطة بسمو الوزير'!$B$2:$B$151,$B318,'المرتبطة بسمو الوزير'!$G$2:$G$151,$G318,'المرتبطة بسمو الوزير'!$I$2:$I$151,$I318)+SUMIFS('الشؤون التنفيذية'!$N$2:$N$421,'الشؤون التنفيذية'!$B$2:$B$421,$B318,'الشؤون التنفيذية'!$G$2:$G$421,$G318,'الشؤون التنفيذية'!$I$2:$I$421,$I318)+SUMIFS('الجهاز العسكري'!$M$2:$M$631,'الجهاز العسكري'!$B$2:$B$631,$B318,'الجهاز العسكري'!$G$2:$G$631,$G318,'الجهاز العسكري'!$I$2:$I$631,$I318))/$L318,0))</f>
        <v>54</v>
      </c>
      <c r="O318" s="25" t="n">
        <f aca="false">IF($L318=0,0,ROUND((SUMIFS('المرتبطة بسمو الوزير'!$N$2:$N$151,'المرتبطة بسمو الوزير'!$B$2:$B$151,$B318,'المرتبطة بسمو الوزير'!$G$2:$G$151,$G318,'المرتبطة بسمو الوزير'!$I$2:$I$151,$I318)+SUMIFS('الشؤون التنفيذية'!$O$2:$O$421,'الشؤون التنفيذية'!$B$2:$B$421,$B318,'الشؤون التنفيذية'!$G$2:$G$421,$G318,'الشؤون التنفيذية'!$I$2:$I$421,$I318)+SUMIFS('الجهاز العسكري'!$N$2:$N$631,'الجهاز العسكري'!$B$2:$B$631,$B318,'الجهاز العسكري'!$G$2:$G$631,$G318,'الجهاز العسكري'!$I$2:$I$631,$I318))/$L318,0))</f>
        <v>96</v>
      </c>
      <c r="P318" s="22"/>
      <c r="Q318" s="19" t="n">
        <f aca="false">SUMIFS(المرجع!$G$2:$G$19,المرجع!$B$2:$B$19,$G318,المرجع!$E$2:$E$19,$I318)</f>
        <v>25</v>
      </c>
      <c r="R318" s="26" t="n">
        <f aca="false">ROUND($Q318*$N318/100,2)</f>
        <v>13.5</v>
      </c>
      <c r="S318" s="27" t="str">
        <f aca="false">IF($N318&gt;المرجع!$K$3,"متقدم",IF($N318&lt;=المرجع!$K$2,"أولي","جزئي"))</f>
        <v>جزئي</v>
      </c>
      <c r="T318" s="28" t="n">
        <f aca="false">ROUND($Q318*$O318/100,2)</f>
        <v>24</v>
      </c>
    </row>
    <row r="319" customFormat="false" ht="15" hidden="false" customHeight="true" outlineLevel="0" collapsed="false">
      <c r="A319" s="20" t="s">
        <v>1771</v>
      </c>
      <c r="B319" s="20" t="s">
        <v>190</v>
      </c>
      <c r="C319" s="19" t="str">
        <f aca="false">IFERROR(INDEX('قائمة الوحدات'!$B$2:$B$41,MATCH($B319,'قائمة الوحدات'!$A$2:$A$41,0)),"")</f>
        <v>EXE</v>
      </c>
      <c r="D319" s="18" t="str">
        <f aca="false">IFERROR(INDEX('قائمة الوحدات'!$C$2:$C$41,MATCH($B319,'قائمة الوحدات'!$A$2:$A$41,0)),"")</f>
        <v>الشؤون التنفيذية</v>
      </c>
      <c r="E319" s="18" t="str">
        <f aca="false">IFERROR(INDEX('قائمة الوحدات'!$D$2:$D$41,MATCH($B319,'قائمة الوحدات'!$A$2:$A$41,0)),"")</f>
        <v>وكالة الاتصال المؤسسي</v>
      </c>
      <c r="F319" s="18" t="str">
        <f aca="false">IFERROR(INDEX('قائمة الوحدات'!$F$2:$F$41,MATCH($B319,'قائمة الوحدات'!$A$2:$A$41,0)),"")</f>
        <v>وكالة الاتصال المؤسسي</v>
      </c>
      <c r="G319" s="20" t="s">
        <v>62</v>
      </c>
      <c r="H319" s="18" t="str">
        <f aca="false">IFERROR(INDEX(المرجع!$A$2:$A$19,MATCH($G319,المرجع!$B$2:$B$19,0)),"")</f>
        <v>البناء المؤسسي</v>
      </c>
      <c r="I319" s="20" t="s">
        <v>60</v>
      </c>
      <c r="J319" s="18" t="str">
        <f aca="false">IFERROR(INDEX(المرجع!$D$2:$D$19,MATCH($I319,المرجع!$E$2:$E$19,0)),"")</f>
        <v>الإجراءات</v>
      </c>
      <c r="K319" s="19" t="n">
        <f aca="false">IFERROR(INDEX(المرجع!$F$2:$F$19,MATCH($I319,المرجع!$E$2:$E$19,0)),"")</f>
        <v>6</v>
      </c>
      <c r="L319" s="19" t="n">
        <f aca="false">SUMIFS(المرجع!$H$2:$H$19,المرجع!$B$2:$B$19,$G319,المرجع!$E$2:$E$19,$I319)</f>
        <v>1</v>
      </c>
      <c r="M319" s="19" t="n">
        <f aca="false">COUNTIFS('المرتبطة بسمو الوزير'!$B$2:$B$151,$B319,'المرتبطة بسمو الوزير'!$G$2:$G$151,$G319,'المرتبطة بسمو الوزير'!$I$2:$I$151,$I319,'المرتبطة بسمو الوزير'!$M$2:$M$151,"&lt;&gt;")+COUNTIFS('الشؤون التنفيذية'!$B$2:$B$421,$B319,'الشؤون التنفيذية'!$G$2:$G$421,$G319,'الشؤون التنفيذية'!$I$2:$I$421,$I319,'الشؤون التنفيذية'!$N$2:$N$421,"&lt;&gt;")+COUNTIFS('الجهاز العسكري'!$B$2:$B$631,$B319,'الجهاز العسكري'!$G$2:$G$631,$G319,'الجهاز العسكري'!$I$2:$I$631,$I319,'الجهاز العسكري'!$M$2:$M$631,"&lt;&gt;")</f>
        <v>1</v>
      </c>
      <c r="N319" s="24" t="n">
        <f aca="false">IF($L319=0,0,ROUND((SUMIFS('المرتبطة بسمو الوزير'!$M$2:$M$151,'المرتبطة بسمو الوزير'!$B$2:$B$151,$B319,'المرتبطة بسمو الوزير'!$G$2:$G$151,$G319,'المرتبطة بسمو الوزير'!$I$2:$I$151,$I319)+SUMIFS('الشؤون التنفيذية'!$N$2:$N$421,'الشؤون التنفيذية'!$B$2:$B$421,$B319,'الشؤون التنفيذية'!$G$2:$G$421,$G319,'الشؤون التنفيذية'!$I$2:$I$421,$I319)+SUMIFS('الجهاز العسكري'!$M$2:$M$631,'الجهاز العسكري'!$B$2:$B$631,$B319,'الجهاز العسكري'!$G$2:$G$631,$G319,'الجهاز العسكري'!$I$2:$I$631,$I319))/$L319,0))</f>
        <v>58</v>
      </c>
      <c r="O319" s="25" t="n">
        <f aca="false">IF($L319=0,0,ROUND((SUMIFS('المرتبطة بسمو الوزير'!$N$2:$N$151,'المرتبطة بسمو الوزير'!$B$2:$B$151,$B319,'المرتبطة بسمو الوزير'!$G$2:$G$151,$G319,'المرتبطة بسمو الوزير'!$I$2:$I$151,$I319)+SUMIFS('الشؤون التنفيذية'!$O$2:$O$421,'الشؤون التنفيذية'!$B$2:$B$421,$B319,'الشؤون التنفيذية'!$G$2:$G$421,$G319,'الشؤون التنفيذية'!$I$2:$I$421,$I319)+SUMIFS('الجهاز العسكري'!$N$2:$N$631,'الجهاز العسكري'!$B$2:$B$631,$B319,'الجهاز العسكري'!$G$2:$G$631,$G319,'الجهاز العسكري'!$I$2:$I$631,$I319))/$L319,0))</f>
        <v>90</v>
      </c>
      <c r="P319" s="22"/>
      <c r="Q319" s="19" t="n">
        <f aca="false">SUMIFS(المرجع!$G$2:$G$19,المرجع!$B$2:$B$19,$G319,المرجع!$E$2:$E$19,$I319)</f>
        <v>5</v>
      </c>
      <c r="R319" s="26" t="n">
        <f aca="false">ROUND($Q319*$N319/100,2)</f>
        <v>2.9</v>
      </c>
      <c r="S319" s="27" t="str">
        <f aca="false">IF($N319&gt;المرجع!$K$3,"متقدم",IF($N319&lt;=المرجع!$K$2,"أولي","جزئي"))</f>
        <v>جزئي</v>
      </c>
      <c r="T319" s="28" t="n">
        <f aca="false">ROUND($Q319*$O319/100,2)</f>
        <v>4.5</v>
      </c>
    </row>
    <row r="320" customFormat="false" ht="15" hidden="false" customHeight="true" outlineLevel="0" collapsed="false">
      <c r="A320" s="20" t="s">
        <v>1772</v>
      </c>
      <c r="B320" s="20" t="s">
        <v>190</v>
      </c>
      <c r="C320" s="19" t="str">
        <f aca="false">IFERROR(INDEX('قائمة الوحدات'!$B$2:$B$41,MATCH($B320,'قائمة الوحدات'!$A$2:$A$41,0)),"")</f>
        <v>EXE</v>
      </c>
      <c r="D320" s="18" t="str">
        <f aca="false">IFERROR(INDEX('قائمة الوحدات'!$C$2:$C$41,MATCH($B320,'قائمة الوحدات'!$A$2:$A$41,0)),"")</f>
        <v>الشؤون التنفيذية</v>
      </c>
      <c r="E320" s="18" t="str">
        <f aca="false">IFERROR(INDEX('قائمة الوحدات'!$D$2:$D$41,MATCH($B320,'قائمة الوحدات'!$A$2:$A$41,0)),"")</f>
        <v>وكالة الاتصال المؤسسي</v>
      </c>
      <c r="F320" s="18" t="str">
        <f aca="false">IFERROR(INDEX('قائمة الوحدات'!$F$2:$F$41,MATCH($B320,'قائمة الوحدات'!$A$2:$A$41,0)),"")</f>
        <v>وكالة الاتصال المؤسسي</v>
      </c>
      <c r="G320" s="20" t="s">
        <v>62</v>
      </c>
      <c r="H320" s="18" t="str">
        <f aca="false">IFERROR(INDEX(المرجع!$A$2:$A$19,MATCH($G320,المرجع!$B$2:$B$19,0)),"")</f>
        <v>البناء المؤسسي</v>
      </c>
      <c r="I320" s="20" t="s">
        <v>69</v>
      </c>
      <c r="J320" s="18" t="str">
        <f aca="false">IFERROR(INDEX(المرجع!$D$2:$D$19,MATCH($I320,المرجع!$E$2:$E$19,0)),"")</f>
        <v>إنتاج المخرج الأول</v>
      </c>
      <c r="K320" s="19" t="n">
        <f aca="false">IFERROR(INDEX(المرجع!$F$2:$F$19,MATCH($I320,المرجع!$E$2:$E$19,0)),"")</f>
        <v>7</v>
      </c>
      <c r="L320" s="19" t="n">
        <f aca="false">SUMIFS(المرجع!$H$2:$H$19,المرجع!$B$2:$B$19,$G320,المرجع!$E$2:$E$19,$I320)</f>
        <v>1</v>
      </c>
      <c r="M320" s="19" t="n">
        <f aca="false">COUNTIFS('المرتبطة بسمو الوزير'!$B$2:$B$151,$B320,'المرتبطة بسمو الوزير'!$G$2:$G$151,$G320,'المرتبطة بسمو الوزير'!$I$2:$I$151,$I320,'المرتبطة بسمو الوزير'!$M$2:$M$151,"&lt;&gt;")+COUNTIFS('الشؤون التنفيذية'!$B$2:$B$421,$B320,'الشؤون التنفيذية'!$G$2:$G$421,$G320,'الشؤون التنفيذية'!$I$2:$I$421,$I320,'الشؤون التنفيذية'!$N$2:$N$421,"&lt;&gt;")+COUNTIFS('الجهاز العسكري'!$B$2:$B$631,$B320,'الجهاز العسكري'!$G$2:$G$631,$G320,'الجهاز العسكري'!$I$2:$I$631,$I320,'الجهاز العسكري'!$M$2:$M$631,"&lt;&gt;")</f>
        <v>1</v>
      </c>
      <c r="N320" s="24" t="n">
        <f aca="false">IF($L320=0,0,ROUND((SUMIFS('المرتبطة بسمو الوزير'!$M$2:$M$151,'المرتبطة بسمو الوزير'!$B$2:$B$151,$B320,'المرتبطة بسمو الوزير'!$G$2:$G$151,$G320,'المرتبطة بسمو الوزير'!$I$2:$I$151,$I320)+SUMIFS('الشؤون التنفيذية'!$N$2:$N$421,'الشؤون التنفيذية'!$B$2:$B$421,$B320,'الشؤون التنفيذية'!$G$2:$G$421,$G320,'الشؤون التنفيذية'!$I$2:$I$421,$I320)+SUMIFS('الجهاز العسكري'!$M$2:$M$631,'الجهاز العسكري'!$B$2:$B$631,$B320,'الجهاز العسكري'!$G$2:$G$631,$G320,'الجهاز العسكري'!$I$2:$I$631,$I320))/$L320,0))</f>
        <v>87</v>
      </c>
      <c r="O320" s="25" t="n">
        <f aca="false">IF($L320=0,0,ROUND((SUMIFS('المرتبطة بسمو الوزير'!$N$2:$N$151,'المرتبطة بسمو الوزير'!$B$2:$B$151,$B320,'المرتبطة بسمو الوزير'!$G$2:$G$151,$G320,'المرتبطة بسمو الوزير'!$I$2:$I$151,$I320)+SUMIFS('الشؤون التنفيذية'!$O$2:$O$421,'الشؤون التنفيذية'!$B$2:$B$421,$B320,'الشؤون التنفيذية'!$G$2:$G$421,$G320,'الشؤون التنفيذية'!$I$2:$I$421,$I320)+SUMIFS('الجهاز العسكري'!$N$2:$N$631,'الجهاز العسكري'!$B$2:$B$631,$B320,'الجهاز العسكري'!$G$2:$G$631,$G320,'الجهاز العسكري'!$I$2:$I$631,$I320))/$L320,0))</f>
        <v>87</v>
      </c>
      <c r="P320" s="22"/>
      <c r="Q320" s="19" t="n">
        <f aca="false">SUMIFS(المرجع!$G$2:$G$19,المرجع!$B$2:$B$19,$G320,المرجع!$E$2:$E$19,$I320)</f>
        <v>5</v>
      </c>
      <c r="R320" s="26" t="n">
        <f aca="false">ROUND($Q320*$N320/100,2)</f>
        <v>4.35</v>
      </c>
      <c r="S320" s="27" t="str">
        <f aca="false">IF($N320&gt;المرجع!$K$3,"متقدم",IF($N320&lt;=المرجع!$K$2,"أولي","جزئي"))</f>
        <v>متقدم</v>
      </c>
      <c r="T320" s="28" t="n">
        <f aca="false">ROUND($Q320*$O320/100,2)</f>
        <v>4.35</v>
      </c>
    </row>
    <row r="321" customFormat="false" ht="15" hidden="false" customHeight="true" outlineLevel="0" collapsed="false">
      <c r="A321" s="20" t="s">
        <v>1773</v>
      </c>
      <c r="B321" s="20" t="s">
        <v>190</v>
      </c>
      <c r="C321" s="19" t="str">
        <f aca="false">IFERROR(INDEX('قائمة الوحدات'!$B$2:$B$41,MATCH($B321,'قائمة الوحدات'!$A$2:$A$41,0)),"")</f>
        <v>EXE</v>
      </c>
      <c r="D321" s="18" t="str">
        <f aca="false">IFERROR(INDEX('قائمة الوحدات'!$C$2:$C$41,MATCH($B321,'قائمة الوحدات'!$A$2:$A$41,0)),"")</f>
        <v>الشؤون التنفيذية</v>
      </c>
      <c r="E321" s="18" t="str">
        <f aca="false">IFERROR(INDEX('قائمة الوحدات'!$D$2:$D$41,MATCH($B321,'قائمة الوحدات'!$A$2:$A$41,0)),"")</f>
        <v>وكالة الاتصال المؤسسي</v>
      </c>
      <c r="F321" s="18" t="str">
        <f aca="false">IFERROR(INDEX('قائمة الوحدات'!$F$2:$F$41,MATCH($B321,'قائمة الوحدات'!$A$2:$A$41,0)),"")</f>
        <v>وكالة الاتصال المؤسسي</v>
      </c>
      <c r="G321" s="20" t="s">
        <v>66</v>
      </c>
      <c r="H321" s="18" t="str">
        <f aca="false">IFERROR(INDEX(المرجع!$A$2:$A$19,MATCH($G321,المرجع!$B$2:$B$19,0)),"")</f>
        <v>التشغيل</v>
      </c>
      <c r="I321" s="20" t="s">
        <v>49</v>
      </c>
      <c r="J321" s="18" t="str">
        <f aca="false">IFERROR(INDEX(المرجع!$D$2:$D$19,MATCH($I321,المرجع!$E$2:$E$19,0)),"")</f>
        <v>الأهداف ومؤشرات الأداء</v>
      </c>
      <c r="K321" s="19" t="n">
        <f aca="false">IFERROR(INDEX(المرجع!$F$2:$F$19,MATCH($I321,المرجع!$E$2:$E$19,0)),"")</f>
        <v>2</v>
      </c>
      <c r="L321" s="19" t="n">
        <f aca="false">SUMIFS(المرجع!$H$2:$H$19,المرجع!$B$2:$B$19,$G321,المرجع!$E$2:$E$19,$I321)</f>
        <v>2</v>
      </c>
      <c r="M321" s="19" t="n">
        <f aca="false">COUNTIFS('المرتبطة بسمو الوزير'!$B$2:$B$151,$B321,'المرتبطة بسمو الوزير'!$G$2:$G$151,$G321,'المرتبطة بسمو الوزير'!$I$2:$I$151,$I321,'المرتبطة بسمو الوزير'!$M$2:$M$151,"&lt;&gt;")+COUNTIFS('الشؤون التنفيذية'!$B$2:$B$421,$B321,'الشؤون التنفيذية'!$G$2:$G$421,$G321,'الشؤون التنفيذية'!$I$2:$I$421,$I321,'الشؤون التنفيذية'!$N$2:$N$421,"&lt;&gt;")+COUNTIFS('الجهاز العسكري'!$B$2:$B$631,$B321,'الجهاز العسكري'!$G$2:$G$631,$G321,'الجهاز العسكري'!$I$2:$I$631,$I321,'الجهاز العسكري'!$M$2:$M$631,"&lt;&gt;")</f>
        <v>2</v>
      </c>
      <c r="N321" s="24" t="n">
        <f aca="false">IF($L321=0,0,ROUND((SUMIFS('المرتبطة بسمو الوزير'!$M$2:$M$151,'المرتبطة بسمو الوزير'!$B$2:$B$151,$B321,'المرتبطة بسمو الوزير'!$G$2:$G$151,$G321,'المرتبطة بسمو الوزير'!$I$2:$I$151,$I321)+SUMIFS('الشؤون التنفيذية'!$N$2:$N$421,'الشؤون التنفيذية'!$B$2:$B$421,$B321,'الشؤون التنفيذية'!$G$2:$G$421,$G321,'الشؤون التنفيذية'!$I$2:$I$421,$I321)+SUMIFS('الجهاز العسكري'!$M$2:$M$631,'الجهاز العسكري'!$B$2:$B$631,$B321,'الجهاز العسكري'!$G$2:$G$631,$G321,'الجهاز العسكري'!$I$2:$I$631,$I321))/$L321,0))</f>
        <v>48</v>
      </c>
      <c r="O321" s="25" t="n">
        <f aca="false">IF($L321=0,0,ROUND((SUMIFS('المرتبطة بسمو الوزير'!$N$2:$N$151,'المرتبطة بسمو الوزير'!$B$2:$B$151,$B321,'المرتبطة بسمو الوزير'!$G$2:$G$151,$G321,'المرتبطة بسمو الوزير'!$I$2:$I$151,$I321)+SUMIFS('الشؤون التنفيذية'!$O$2:$O$421,'الشؤون التنفيذية'!$B$2:$B$421,$B321,'الشؤون التنفيذية'!$G$2:$G$421,$G321,'الشؤون التنفيذية'!$I$2:$I$421,$I321)+SUMIFS('الجهاز العسكري'!$N$2:$N$631,'الجهاز العسكري'!$B$2:$B$631,$B321,'الجهاز العسكري'!$G$2:$G$631,$G321,'الجهاز العسكري'!$I$2:$I$631,$I321))/$L321,0))</f>
        <v>88</v>
      </c>
      <c r="P321" s="22"/>
      <c r="Q321" s="19" t="n">
        <f aca="false">SUMIFS(المرجع!$G$2:$G$19,المرجع!$B$2:$B$19,$G321,المرجع!$E$2:$E$19,$I321)</f>
        <v>25</v>
      </c>
      <c r="R321" s="26" t="n">
        <f aca="false">ROUND($Q321*$N321/100,2)</f>
        <v>12</v>
      </c>
      <c r="S321" s="27" t="str">
        <f aca="false">IF($N321&gt;المرجع!$K$3,"متقدم",IF($N321&lt;=المرجع!$K$2,"أولي","جزئي"))</f>
        <v>جزئي</v>
      </c>
      <c r="T321" s="28" t="n">
        <f aca="false">ROUND($Q321*$O321/100,2)</f>
        <v>22</v>
      </c>
    </row>
    <row r="322" customFormat="false" ht="15" hidden="false" customHeight="true" outlineLevel="0" collapsed="false">
      <c r="A322" s="20" t="s">
        <v>1774</v>
      </c>
      <c r="B322" s="20" t="s">
        <v>190</v>
      </c>
      <c r="C322" s="19" t="str">
        <f aca="false">IFERROR(INDEX('قائمة الوحدات'!$B$2:$B$41,MATCH($B322,'قائمة الوحدات'!$A$2:$A$41,0)),"")</f>
        <v>EXE</v>
      </c>
      <c r="D322" s="18" t="str">
        <f aca="false">IFERROR(INDEX('قائمة الوحدات'!$C$2:$C$41,MATCH($B322,'قائمة الوحدات'!$A$2:$A$41,0)),"")</f>
        <v>الشؤون التنفيذية</v>
      </c>
      <c r="E322" s="18" t="str">
        <f aca="false">IFERROR(INDEX('قائمة الوحدات'!$D$2:$D$41,MATCH($B322,'قائمة الوحدات'!$A$2:$A$41,0)),"")</f>
        <v>وكالة الاتصال المؤسسي</v>
      </c>
      <c r="F322" s="18" t="str">
        <f aca="false">IFERROR(INDEX('قائمة الوحدات'!$F$2:$F$41,MATCH($B322,'قائمة الوحدات'!$A$2:$A$41,0)),"")</f>
        <v>وكالة الاتصال المؤسسي</v>
      </c>
      <c r="G322" s="20" t="s">
        <v>66</v>
      </c>
      <c r="H322" s="18" t="str">
        <f aca="false">IFERROR(INDEX(المرجع!$A$2:$A$19,MATCH($G322,المرجع!$B$2:$B$19,0)),"")</f>
        <v>التشغيل</v>
      </c>
      <c r="I322" s="20" t="s">
        <v>52</v>
      </c>
      <c r="J322" s="18" t="str">
        <f aca="false">IFERROR(INDEX(المرجع!$D$2:$D$19,MATCH($I322,المرجع!$E$2:$E$19,0)),"")</f>
        <v>الحوكمة</v>
      </c>
      <c r="K322" s="19" t="n">
        <f aca="false">IFERROR(INDEX(المرجع!$F$2:$F$19,MATCH($I322,المرجع!$E$2:$E$19,0)),"")</f>
        <v>3</v>
      </c>
      <c r="L322" s="19" t="n">
        <f aca="false">SUMIFS(المرجع!$H$2:$H$19,المرجع!$B$2:$B$19,$G322,المرجع!$E$2:$E$19,$I322)</f>
        <v>3</v>
      </c>
      <c r="M322" s="19" t="n">
        <f aca="false">COUNTIFS('المرتبطة بسمو الوزير'!$B$2:$B$151,$B322,'المرتبطة بسمو الوزير'!$G$2:$G$151,$G322,'المرتبطة بسمو الوزير'!$I$2:$I$151,$I322,'المرتبطة بسمو الوزير'!$M$2:$M$151,"&lt;&gt;")+COUNTIFS('الشؤون التنفيذية'!$B$2:$B$421,$B322,'الشؤون التنفيذية'!$G$2:$G$421,$G322,'الشؤون التنفيذية'!$I$2:$I$421,$I322,'الشؤون التنفيذية'!$N$2:$N$421,"&lt;&gt;")+COUNTIFS('الجهاز العسكري'!$B$2:$B$631,$B322,'الجهاز العسكري'!$G$2:$G$631,$G322,'الجهاز العسكري'!$I$2:$I$631,$I322,'الجهاز العسكري'!$M$2:$M$631,"&lt;&gt;")</f>
        <v>3</v>
      </c>
      <c r="N322" s="24" t="n">
        <f aca="false">IF($L322=0,0,ROUND((SUMIFS('المرتبطة بسمو الوزير'!$M$2:$M$151,'المرتبطة بسمو الوزير'!$B$2:$B$151,$B322,'المرتبطة بسمو الوزير'!$G$2:$G$151,$G322,'المرتبطة بسمو الوزير'!$I$2:$I$151,$I322)+SUMIFS('الشؤون التنفيذية'!$N$2:$N$421,'الشؤون التنفيذية'!$B$2:$B$421,$B322,'الشؤون التنفيذية'!$G$2:$G$421,$G322,'الشؤون التنفيذية'!$I$2:$I$421,$I322)+SUMIFS('الجهاز العسكري'!$M$2:$M$631,'الجهاز العسكري'!$B$2:$B$631,$B322,'الجهاز العسكري'!$G$2:$G$631,$G322,'الجهاز العسكري'!$I$2:$I$631,$I322))/$L322,0))</f>
        <v>23</v>
      </c>
      <c r="O322" s="25" t="n">
        <f aca="false">IF($L322=0,0,ROUND((SUMIFS('المرتبطة بسمو الوزير'!$N$2:$N$151,'المرتبطة بسمو الوزير'!$B$2:$B$151,$B322,'المرتبطة بسمو الوزير'!$G$2:$G$151,$G322,'المرتبطة بسمو الوزير'!$I$2:$I$151,$I322)+SUMIFS('الشؤون التنفيذية'!$O$2:$O$421,'الشؤون التنفيذية'!$B$2:$B$421,$B322,'الشؤون التنفيذية'!$G$2:$G$421,$G322,'الشؤون التنفيذية'!$I$2:$I$421,$I322)+SUMIFS('الجهاز العسكري'!$N$2:$N$631,'الجهاز العسكري'!$B$2:$B$631,$B322,'الجهاز العسكري'!$G$2:$G$631,$G322,'الجهاز العسكري'!$I$2:$I$631,$I322))/$L322,0))</f>
        <v>93</v>
      </c>
      <c r="P322" s="22"/>
      <c r="Q322" s="19" t="n">
        <f aca="false">SUMIFS(المرجع!$G$2:$G$19,المرجع!$B$2:$B$19,$G322,المرجع!$E$2:$E$19,$I322)</f>
        <v>15</v>
      </c>
      <c r="R322" s="26" t="n">
        <f aca="false">ROUND($Q322*$N322/100,2)</f>
        <v>3.45</v>
      </c>
      <c r="S322" s="27" t="str">
        <f aca="false">IF($N322&gt;المرجع!$K$3,"متقدم",IF($N322&lt;=المرجع!$K$2,"أولي","جزئي"))</f>
        <v>أولي</v>
      </c>
      <c r="T322" s="28" t="n">
        <f aca="false">ROUND($Q322*$O322/100,2)</f>
        <v>13.95</v>
      </c>
    </row>
    <row r="323" customFormat="false" ht="15" hidden="false" customHeight="true" outlineLevel="0" collapsed="false">
      <c r="A323" s="20" t="s">
        <v>1775</v>
      </c>
      <c r="B323" s="20" t="s">
        <v>190</v>
      </c>
      <c r="C323" s="19" t="str">
        <f aca="false">IFERROR(INDEX('قائمة الوحدات'!$B$2:$B$41,MATCH($B323,'قائمة الوحدات'!$A$2:$A$41,0)),"")</f>
        <v>EXE</v>
      </c>
      <c r="D323" s="18" t="str">
        <f aca="false">IFERROR(INDEX('قائمة الوحدات'!$C$2:$C$41,MATCH($B323,'قائمة الوحدات'!$A$2:$A$41,0)),"")</f>
        <v>الشؤون التنفيذية</v>
      </c>
      <c r="E323" s="18" t="str">
        <f aca="false">IFERROR(INDEX('قائمة الوحدات'!$D$2:$D$41,MATCH($B323,'قائمة الوحدات'!$A$2:$A$41,0)),"")</f>
        <v>وكالة الاتصال المؤسسي</v>
      </c>
      <c r="F323" s="18" t="str">
        <f aca="false">IFERROR(INDEX('قائمة الوحدات'!$F$2:$F$41,MATCH($B323,'قائمة الوحدات'!$A$2:$A$41,0)),"")</f>
        <v>وكالة الاتصال المؤسسي</v>
      </c>
      <c r="G323" s="20" t="s">
        <v>66</v>
      </c>
      <c r="H323" s="18" t="str">
        <f aca="false">IFERROR(INDEX(المرجع!$A$2:$A$19,MATCH($G323,المرجع!$B$2:$B$19,0)),"")</f>
        <v>التشغيل</v>
      </c>
      <c r="I323" s="20" t="s">
        <v>57</v>
      </c>
      <c r="J323" s="18" t="str">
        <f aca="false">IFERROR(INDEX(المرجع!$D$2:$D$19,MATCH($I323,المرجع!$E$2:$E$19,0)),"")</f>
        <v>الموارد</v>
      </c>
      <c r="K323" s="19" t="n">
        <f aca="false">IFERROR(INDEX(المرجع!$F$2:$F$19,MATCH($I323,المرجع!$E$2:$E$19,0)),"")</f>
        <v>5</v>
      </c>
      <c r="L323" s="19" t="n">
        <f aca="false">SUMIFS(المرجع!$H$2:$H$19,المرجع!$B$2:$B$19,$G323,المرجع!$E$2:$E$19,$I323)</f>
        <v>1</v>
      </c>
      <c r="M323" s="19" t="n">
        <f aca="false">COUNTIFS('المرتبطة بسمو الوزير'!$B$2:$B$151,$B323,'المرتبطة بسمو الوزير'!$G$2:$G$151,$G323,'المرتبطة بسمو الوزير'!$I$2:$I$151,$I323,'المرتبطة بسمو الوزير'!$M$2:$M$151,"&lt;&gt;")+COUNTIFS('الشؤون التنفيذية'!$B$2:$B$421,$B323,'الشؤون التنفيذية'!$G$2:$G$421,$G323,'الشؤون التنفيذية'!$I$2:$I$421,$I323,'الشؤون التنفيذية'!$N$2:$N$421,"&lt;&gt;")+COUNTIFS('الجهاز العسكري'!$B$2:$B$631,$B323,'الجهاز العسكري'!$G$2:$G$631,$G323,'الجهاز العسكري'!$I$2:$I$631,$I323,'الجهاز العسكري'!$M$2:$M$631,"&lt;&gt;")</f>
        <v>1</v>
      </c>
      <c r="N323" s="24" t="n">
        <f aca="false">IF($L323=0,0,ROUND((SUMIFS('المرتبطة بسمو الوزير'!$M$2:$M$151,'المرتبطة بسمو الوزير'!$B$2:$B$151,$B323,'المرتبطة بسمو الوزير'!$G$2:$G$151,$G323,'المرتبطة بسمو الوزير'!$I$2:$I$151,$I323)+SUMIFS('الشؤون التنفيذية'!$N$2:$N$421,'الشؤون التنفيذية'!$B$2:$B$421,$B323,'الشؤون التنفيذية'!$G$2:$G$421,$G323,'الشؤون التنفيذية'!$I$2:$I$421,$I323)+SUMIFS('الجهاز العسكري'!$M$2:$M$631,'الجهاز العسكري'!$B$2:$B$631,$B323,'الجهاز العسكري'!$G$2:$G$631,$G323,'الجهاز العسكري'!$I$2:$I$631,$I323))/$L323,0))</f>
        <v>59</v>
      </c>
      <c r="O323" s="25" t="n">
        <f aca="false">IF($L323=0,0,ROUND((SUMIFS('المرتبطة بسمو الوزير'!$N$2:$N$151,'المرتبطة بسمو الوزير'!$B$2:$B$151,$B323,'المرتبطة بسمو الوزير'!$G$2:$G$151,$G323,'المرتبطة بسمو الوزير'!$I$2:$I$151,$I323)+SUMIFS('الشؤون التنفيذية'!$O$2:$O$421,'الشؤون التنفيذية'!$B$2:$B$421,$B323,'الشؤون التنفيذية'!$G$2:$G$421,$G323,'الشؤون التنفيذية'!$I$2:$I$421,$I323)+SUMIFS('الجهاز العسكري'!$N$2:$N$631,'الجهاز العسكري'!$B$2:$B$631,$B323,'الجهاز العسكري'!$G$2:$G$631,$G323,'الجهاز العسكري'!$I$2:$I$631,$I323))/$L323,0))</f>
        <v>80</v>
      </c>
      <c r="P323" s="22"/>
      <c r="Q323" s="19" t="n">
        <f aca="false">SUMIFS(المرجع!$G$2:$G$19,المرجع!$B$2:$B$19,$G323,المرجع!$E$2:$E$19,$I323)</f>
        <v>15</v>
      </c>
      <c r="R323" s="26" t="n">
        <f aca="false">ROUND($Q323*$N323/100,2)</f>
        <v>8.85</v>
      </c>
      <c r="S323" s="27" t="str">
        <f aca="false">IF($N323&gt;المرجع!$K$3,"متقدم",IF($N323&lt;=المرجع!$K$2,"أولي","جزئي"))</f>
        <v>جزئي</v>
      </c>
      <c r="T323" s="28" t="n">
        <f aca="false">ROUND($Q323*$O323/100,2)</f>
        <v>12</v>
      </c>
    </row>
    <row r="324" customFormat="false" ht="15" hidden="false" customHeight="true" outlineLevel="0" collapsed="false">
      <c r="A324" s="20" t="s">
        <v>1776</v>
      </c>
      <c r="B324" s="20" t="s">
        <v>190</v>
      </c>
      <c r="C324" s="19" t="str">
        <f aca="false">IFERROR(INDEX('قائمة الوحدات'!$B$2:$B$41,MATCH($B324,'قائمة الوحدات'!$A$2:$A$41,0)),"")</f>
        <v>EXE</v>
      </c>
      <c r="D324" s="18" t="str">
        <f aca="false">IFERROR(INDEX('قائمة الوحدات'!$C$2:$C$41,MATCH($B324,'قائمة الوحدات'!$A$2:$A$41,0)),"")</f>
        <v>الشؤون التنفيذية</v>
      </c>
      <c r="E324" s="18" t="str">
        <f aca="false">IFERROR(INDEX('قائمة الوحدات'!$D$2:$D$41,MATCH($B324,'قائمة الوحدات'!$A$2:$A$41,0)),"")</f>
        <v>وكالة الاتصال المؤسسي</v>
      </c>
      <c r="F324" s="18" t="str">
        <f aca="false">IFERROR(INDEX('قائمة الوحدات'!$F$2:$F$41,MATCH($B324,'قائمة الوحدات'!$A$2:$A$41,0)),"")</f>
        <v>وكالة الاتصال المؤسسي</v>
      </c>
      <c r="G324" s="20" t="s">
        <v>66</v>
      </c>
      <c r="H324" s="18" t="str">
        <f aca="false">IFERROR(INDEX(المرجع!$A$2:$A$19,MATCH($G324,المرجع!$B$2:$B$19,0)),"")</f>
        <v>التشغيل</v>
      </c>
      <c r="I324" s="20" t="s">
        <v>60</v>
      </c>
      <c r="J324" s="18" t="str">
        <f aca="false">IFERROR(INDEX(المرجع!$D$2:$D$19,MATCH($I324,المرجع!$E$2:$E$19,0)),"")</f>
        <v>الإجراءات</v>
      </c>
      <c r="K324" s="19" t="n">
        <f aca="false">IFERROR(INDEX(المرجع!$F$2:$F$19,MATCH($I324,المرجع!$E$2:$E$19,0)),"")</f>
        <v>6</v>
      </c>
      <c r="L324" s="19" t="n">
        <f aca="false">SUMIFS(المرجع!$H$2:$H$19,المرجع!$B$2:$B$19,$G324,المرجع!$E$2:$E$19,$I324)</f>
        <v>1</v>
      </c>
      <c r="M324" s="19" t="n">
        <f aca="false">COUNTIFS('المرتبطة بسمو الوزير'!$B$2:$B$151,$B324,'المرتبطة بسمو الوزير'!$G$2:$G$151,$G324,'المرتبطة بسمو الوزير'!$I$2:$I$151,$I324,'المرتبطة بسمو الوزير'!$M$2:$M$151,"&lt;&gt;")+COUNTIFS('الشؤون التنفيذية'!$B$2:$B$421,$B324,'الشؤون التنفيذية'!$G$2:$G$421,$G324,'الشؤون التنفيذية'!$I$2:$I$421,$I324,'الشؤون التنفيذية'!$N$2:$N$421,"&lt;&gt;")+COUNTIFS('الجهاز العسكري'!$B$2:$B$631,$B324,'الجهاز العسكري'!$G$2:$G$631,$G324,'الجهاز العسكري'!$I$2:$I$631,$I324,'الجهاز العسكري'!$M$2:$M$631,"&lt;&gt;")</f>
        <v>1</v>
      </c>
      <c r="N324" s="24" t="n">
        <f aca="false">IF($L324=0,0,ROUND((SUMIFS('المرتبطة بسمو الوزير'!$M$2:$M$151,'المرتبطة بسمو الوزير'!$B$2:$B$151,$B324,'المرتبطة بسمو الوزير'!$G$2:$G$151,$G324,'المرتبطة بسمو الوزير'!$I$2:$I$151,$I324)+SUMIFS('الشؤون التنفيذية'!$N$2:$N$421,'الشؤون التنفيذية'!$B$2:$B$421,$B324,'الشؤون التنفيذية'!$G$2:$G$421,$G324,'الشؤون التنفيذية'!$I$2:$I$421,$I324)+SUMIFS('الجهاز العسكري'!$M$2:$M$631,'الجهاز العسكري'!$B$2:$B$631,$B324,'الجهاز العسكري'!$G$2:$G$631,$G324,'الجهاز العسكري'!$I$2:$I$631,$I324))/$L324,0))</f>
        <v>62</v>
      </c>
      <c r="O324" s="25" t="n">
        <f aca="false">IF($L324=0,0,ROUND((SUMIFS('المرتبطة بسمو الوزير'!$N$2:$N$151,'المرتبطة بسمو الوزير'!$B$2:$B$151,$B324,'المرتبطة بسمو الوزير'!$G$2:$G$151,$G324,'المرتبطة بسمو الوزير'!$I$2:$I$151,$I324)+SUMIFS('الشؤون التنفيذية'!$O$2:$O$421,'الشؤون التنفيذية'!$B$2:$B$421,$B324,'الشؤون التنفيذية'!$G$2:$G$421,$G324,'الشؤون التنفيذية'!$I$2:$I$421,$I324)+SUMIFS('الجهاز العسكري'!$N$2:$N$631,'الجهاز العسكري'!$B$2:$B$631,$B324,'الجهاز العسكري'!$G$2:$G$631,$G324,'الجهاز العسكري'!$I$2:$I$631,$I324))/$L324,0))</f>
        <v>95</v>
      </c>
      <c r="P324" s="22"/>
      <c r="Q324" s="19" t="n">
        <f aca="false">SUMIFS(المرجع!$G$2:$G$19,المرجع!$B$2:$B$19,$G324,المرجع!$E$2:$E$19,$I324)</f>
        <v>15</v>
      </c>
      <c r="R324" s="26" t="n">
        <f aca="false">ROUND($Q324*$N324/100,2)</f>
        <v>9.3</v>
      </c>
      <c r="S324" s="27" t="str">
        <f aca="false">IF($N324&gt;المرجع!$K$3,"متقدم",IF($N324&lt;=المرجع!$K$2,"أولي","جزئي"))</f>
        <v>جزئي</v>
      </c>
      <c r="T324" s="28" t="n">
        <f aca="false">ROUND($Q324*$O324/100,2)</f>
        <v>14.25</v>
      </c>
    </row>
    <row r="325" customFormat="false" ht="15" hidden="false" customHeight="true" outlineLevel="0" collapsed="false">
      <c r="A325" s="20" t="s">
        <v>1777</v>
      </c>
      <c r="B325" s="20" t="s">
        <v>190</v>
      </c>
      <c r="C325" s="19" t="str">
        <f aca="false">IFERROR(INDEX('قائمة الوحدات'!$B$2:$B$41,MATCH($B325,'قائمة الوحدات'!$A$2:$A$41,0)),"")</f>
        <v>EXE</v>
      </c>
      <c r="D325" s="18" t="str">
        <f aca="false">IFERROR(INDEX('قائمة الوحدات'!$C$2:$C$41,MATCH($B325,'قائمة الوحدات'!$A$2:$A$41,0)),"")</f>
        <v>الشؤون التنفيذية</v>
      </c>
      <c r="E325" s="18" t="str">
        <f aca="false">IFERROR(INDEX('قائمة الوحدات'!$D$2:$D$41,MATCH($B325,'قائمة الوحدات'!$A$2:$A$41,0)),"")</f>
        <v>وكالة الاتصال المؤسسي</v>
      </c>
      <c r="F325" s="18" t="str">
        <f aca="false">IFERROR(INDEX('قائمة الوحدات'!$F$2:$F$41,MATCH($B325,'قائمة الوحدات'!$A$2:$A$41,0)),"")</f>
        <v>وكالة الاتصال المؤسسي</v>
      </c>
      <c r="G325" s="20" t="s">
        <v>66</v>
      </c>
      <c r="H325" s="18" t="str">
        <f aca="false">IFERROR(INDEX(المرجع!$A$2:$A$19,MATCH($G325,المرجع!$B$2:$B$19,0)),"")</f>
        <v>التشغيل</v>
      </c>
      <c r="I325" s="20" t="s">
        <v>71</v>
      </c>
      <c r="J325" s="18" t="str">
        <f aca="false">IFERROR(INDEX(المرجع!$D$2:$D$19,MATCH($I325,المرجع!$E$2:$E$19,0)),"")</f>
        <v>اكتمال المخرجات المستهدفة</v>
      </c>
      <c r="K325" s="19" t="n">
        <f aca="false">IFERROR(INDEX(المرجع!$F$2:$F$19,MATCH($I325,المرجع!$E$2:$E$19,0)),"")</f>
        <v>8</v>
      </c>
      <c r="L325" s="19" t="n">
        <f aca="false">SUMIFS(المرجع!$H$2:$H$19,المرجع!$B$2:$B$19,$G325,المرجع!$E$2:$E$19,$I325)</f>
        <v>1</v>
      </c>
      <c r="M325" s="19" t="n">
        <f aca="false">COUNTIFS('المرتبطة بسمو الوزير'!$B$2:$B$151,$B325,'المرتبطة بسمو الوزير'!$G$2:$G$151,$G325,'المرتبطة بسمو الوزير'!$I$2:$I$151,$I325,'المرتبطة بسمو الوزير'!$M$2:$M$151,"&lt;&gt;")+COUNTIFS('الشؤون التنفيذية'!$B$2:$B$421,$B325,'الشؤون التنفيذية'!$G$2:$G$421,$G325,'الشؤون التنفيذية'!$I$2:$I$421,$I325,'الشؤون التنفيذية'!$N$2:$N$421,"&lt;&gt;")+COUNTIFS('الجهاز العسكري'!$B$2:$B$631,$B325,'الجهاز العسكري'!$G$2:$G$631,$G325,'الجهاز العسكري'!$I$2:$I$631,$I325,'الجهاز العسكري'!$M$2:$M$631,"&lt;&gt;")</f>
        <v>1</v>
      </c>
      <c r="N325" s="24" t="n">
        <f aca="false">IF($L325=0,0,ROUND((SUMIFS('المرتبطة بسمو الوزير'!$M$2:$M$151,'المرتبطة بسمو الوزير'!$B$2:$B$151,$B325,'المرتبطة بسمو الوزير'!$G$2:$G$151,$G325,'المرتبطة بسمو الوزير'!$I$2:$I$151,$I325)+SUMIFS('الشؤون التنفيذية'!$N$2:$N$421,'الشؤون التنفيذية'!$B$2:$B$421,$B325,'الشؤون التنفيذية'!$G$2:$G$421,$G325,'الشؤون التنفيذية'!$I$2:$I$421,$I325)+SUMIFS('الجهاز العسكري'!$M$2:$M$631,'الجهاز العسكري'!$B$2:$B$631,$B325,'الجهاز العسكري'!$G$2:$G$631,$G325,'الجهاز العسكري'!$I$2:$I$631,$I325))/$L325,0))</f>
        <v>43</v>
      </c>
      <c r="O325" s="25" t="n">
        <f aca="false">IF($L325=0,0,ROUND((SUMIFS('المرتبطة بسمو الوزير'!$N$2:$N$151,'المرتبطة بسمو الوزير'!$B$2:$B$151,$B325,'المرتبطة بسمو الوزير'!$G$2:$G$151,$G325,'المرتبطة بسمو الوزير'!$I$2:$I$151,$I325)+SUMIFS('الشؤون التنفيذية'!$O$2:$O$421,'الشؤون التنفيذية'!$B$2:$B$421,$B325,'الشؤون التنفيذية'!$G$2:$G$421,$G325,'الشؤون التنفيذية'!$I$2:$I$421,$I325)+SUMIFS('الجهاز العسكري'!$N$2:$N$631,'الجهاز العسكري'!$B$2:$B$631,$B325,'الجهاز العسكري'!$G$2:$G$631,$G325,'الجهاز العسكري'!$I$2:$I$631,$I325))/$L325,0))</f>
        <v>95</v>
      </c>
      <c r="P325" s="22"/>
      <c r="Q325" s="19" t="n">
        <f aca="false">SUMIFS(المرجع!$G$2:$G$19,المرجع!$B$2:$B$19,$G325,المرجع!$E$2:$E$19,$I325)</f>
        <v>30</v>
      </c>
      <c r="R325" s="26" t="n">
        <f aca="false">ROUND($Q325*$N325/100,2)</f>
        <v>12.9</v>
      </c>
      <c r="S325" s="27" t="str">
        <f aca="false">IF($N325&gt;المرجع!$K$3,"متقدم",IF($N325&lt;=المرجع!$K$2,"أولي","جزئي"))</f>
        <v>جزئي</v>
      </c>
      <c r="T325" s="28" t="n">
        <f aca="false">ROUND($Q325*$O325/100,2)</f>
        <v>28.5</v>
      </c>
    </row>
    <row r="326" customFormat="false" ht="15" hidden="false" customHeight="true" outlineLevel="0" collapsed="false">
      <c r="A326" s="20" t="s">
        <v>1778</v>
      </c>
      <c r="B326" s="20" t="s">
        <v>192</v>
      </c>
      <c r="C326" s="19" t="str">
        <f aca="false">IFERROR(INDEX('قائمة الوحدات'!$B$2:$B$41,MATCH($B326,'قائمة الوحدات'!$A$2:$A$41,0)),"")</f>
        <v>EXE</v>
      </c>
      <c r="D326" s="18" t="str">
        <f aca="false">IFERROR(INDEX('قائمة الوحدات'!$C$2:$C$41,MATCH($B326,'قائمة الوحدات'!$A$2:$A$41,0)),"")</f>
        <v>الشؤون التنفيذية</v>
      </c>
      <c r="E326" s="18" t="str">
        <f aca="false">IFERROR(INDEX('قائمة الوحدات'!$D$2:$D$41,MATCH($B326,'قائمة الوحدات'!$A$2:$A$41,0)),"")</f>
        <v>وكالة الرقابة والالتزام</v>
      </c>
      <c r="F326" s="18" t="str">
        <f aca="false">IFERROR(INDEX('قائمة الوحدات'!$F$2:$F$41,MATCH($B326,'قائمة الوحدات'!$A$2:$A$41,0)),"")</f>
        <v>وكالة الرقابة والالتزام</v>
      </c>
      <c r="G326" s="20" t="s">
        <v>44</v>
      </c>
      <c r="H326" s="18" t="str">
        <f aca="false">IFERROR(INDEX(المرجع!$A$2:$A$19,MATCH($G326,المرجع!$B$2:$B$19,0)),"")</f>
        <v>التصميم</v>
      </c>
      <c r="I326" s="20" t="s">
        <v>46</v>
      </c>
      <c r="J326" s="18" t="str">
        <f aca="false">IFERROR(INDEX(المرجع!$D$2:$D$19,MATCH($I326,المرجع!$E$2:$E$19,0)),"")</f>
        <v>الدور</v>
      </c>
      <c r="K326" s="19" t="n">
        <f aca="false">IFERROR(INDEX(المرجع!$F$2:$F$19,MATCH($I326,المرجع!$E$2:$E$19,0)),"")</f>
        <v>1</v>
      </c>
      <c r="L326" s="19" t="n">
        <f aca="false">SUMIFS(المرجع!$H$2:$H$19,المرجع!$B$2:$B$19,$G326,المرجع!$E$2:$E$19,$I326)</f>
        <v>1</v>
      </c>
      <c r="M326" s="19" t="n">
        <f aca="false">COUNTIFS('المرتبطة بسمو الوزير'!$B$2:$B$151,$B326,'المرتبطة بسمو الوزير'!$G$2:$G$151,$G326,'المرتبطة بسمو الوزير'!$I$2:$I$151,$I326,'المرتبطة بسمو الوزير'!$M$2:$M$151,"&lt;&gt;")+COUNTIFS('الشؤون التنفيذية'!$B$2:$B$421,$B326,'الشؤون التنفيذية'!$G$2:$G$421,$G326,'الشؤون التنفيذية'!$I$2:$I$421,$I326,'الشؤون التنفيذية'!$N$2:$N$421,"&lt;&gt;")+COUNTIFS('الجهاز العسكري'!$B$2:$B$631,$B326,'الجهاز العسكري'!$G$2:$G$631,$G326,'الجهاز العسكري'!$I$2:$I$631,$I326,'الجهاز العسكري'!$M$2:$M$631,"&lt;&gt;")</f>
        <v>1</v>
      </c>
      <c r="N326" s="24" t="n">
        <f aca="false">IF($L326=0,0,ROUND((SUMIFS('المرتبطة بسمو الوزير'!$M$2:$M$151,'المرتبطة بسمو الوزير'!$B$2:$B$151,$B326,'المرتبطة بسمو الوزير'!$G$2:$G$151,$G326,'المرتبطة بسمو الوزير'!$I$2:$I$151,$I326)+SUMIFS('الشؤون التنفيذية'!$N$2:$N$421,'الشؤون التنفيذية'!$B$2:$B$421,$B326,'الشؤون التنفيذية'!$G$2:$G$421,$G326,'الشؤون التنفيذية'!$I$2:$I$421,$I326)+SUMIFS('الجهاز العسكري'!$M$2:$M$631,'الجهاز العسكري'!$B$2:$B$631,$B326,'الجهاز العسكري'!$G$2:$G$631,$G326,'الجهاز العسكري'!$I$2:$I$631,$I326))/$L326,0))</f>
        <v>73</v>
      </c>
      <c r="O326" s="25" t="n">
        <f aca="false">IF($L326=0,0,ROUND((SUMIFS('المرتبطة بسمو الوزير'!$N$2:$N$151,'المرتبطة بسمو الوزير'!$B$2:$B$151,$B326,'المرتبطة بسمو الوزير'!$G$2:$G$151,$G326,'المرتبطة بسمو الوزير'!$I$2:$I$151,$I326)+SUMIFS('الشؤون التنفيذية'!$O$2:$O$421,'الشؤون التنفيذية'!$B$2:$B$421,$B326,'الشؤون التنفيذية'!$G$2:$G$421,$G326,'الشؤون التنفيذية'!$I$2:$I$421,$I326)+SUMIFS('الجهاز العسكري'!$N$2:$N$631,'الجهاز العسكري'!$B$2:$B$631,$B326,'الجهاز العسكري'!$G$2:$G$631,$G326,'الجهاز العسكري'!$I$2:$I$631,$I326))/$L326,0))</f>
        <v>85</v>
      </c>
      <c r="P326" s="22"/>
      <c r="Q326" s="19" t="n">
        <f aca="false">SUMIFS(المرجع!$G$2:$G$19,المرجع!$B$2:$B$19,$G326,المرجع!$E$2:$E$19,$I326)</f>
        <v>25</v>
      </c>
      <c r="R326" s="26" t="n">
        <f aca="false">ROUND($Q326*$N326/100,2)</f>
        <v>18.25</v>
      </c>
      <c r="S326" s="27" t="str">
        <f aca="false">IF($N326&gt;المرجع!$K$3,"متقدم",IF($N326&lt;=المرجع!$K$2,"أولي","جزئي"))</f>
        <v>متقدم</v>
      </c>
      <c r="T326" s="28" t="n">
        <f aca="false">ROUND($Q326*$O326/100,2)</f>
        <v>21.25</v>
      </c>
    </row>
    <row r="327" customFormat="false" ht="15" hidden="false" customHeight="true" outlineLevel="0" collapsed="false">
      <c r="A327" s="20" t="s">
        <v>1779</v>
      </c>
      <c r="B327" s="20" t="s">
        <v>192</v>
      </c>
      <c r="C327" s="19" t="str">
        <f aca="false">IFERROR(INDEX('قائمة الوحدات'!$B$2:$B$41,MATCH($B327,'قائمة الوحدات'!$A$2:$A$41,0)),"")</f>
        <v>EXE</v>
      </c>
      <c r="D327" s="18" t="str">
        <f aca="false">IFERROR(INDEX('قائمة الوحدات'!$C$2:$C$41,MATCH($B327,'قائمة الوحدات'!$A$2:$A$41,0)),"")</f>
        <v>الشؤون التنفيذية</v>
      </c>
      <c r="E327" s="18" t="str">
        <f aca="false">IFERROR(INDEX('قائمة الوحدات'!$D$2:$D$41,MATCH($B327,'قائمة الوحدات'!$A$2:$A$41,0)),"")</f>
        <v>وكالة الرقابة والالتزام</v>
      </c>
      <c r="F327" s="18" t="str">
        <f aca="false">IFERROR(INDEX('قائمة الوحدات'!$F$2:$F$41,MATCH($B327,'قائمة الوحدات'!$A$2:$A$41,0)),"")</f>
        <v>وكالة الرقابة والالتزام</v>
      </c>
      <c r="G327" s="20" t="s">
        <v>44</v>
      </c>
      <c r="H327" s="18" t="str">
        <f aca="false">IFERROR(INDEX(المرجع!$A$2:$A$19,MATCH($G327,المرجع!$B$2:$B$19,0)),"")</f>
        <v>التصميم</v>
      </c>
      <c r="I327" s="20" t="s">
        <v>49</v>
      </c>
      <c r="J327" s="18" t="str">
        <f aca="false">IFERROR(INDEX(المرجع!$D$2:$D$19,MATCH($I327,المرجع!$E$2:$E$19,0)),"")</f>
        <v>الأهداف ومؤشرات الأداء</v>
      </c>
      <c r="K327" s="19" t="n">
        <f aca="false">IFERROR(INDEX(المرجع!$F$2:$F$19,MATCH($I327,المرجع!$E$2:$E$19,0)),"")</f>
        <v>2</v>
      </c>
      <c r="L327" s="19" t="n">
        <f aca="false">SUMIFS(المرجع!$H$2:$H$19,المرجع!$B$2:$B$19,$G327,المرجع!$E$2:$E$19,$I327)</f>
        <v>2</v>
      </c>
      <c r="M327" s="19" t="n">
        <f aca="false">COUNTIFS('المرتبطة بسمو الوزير'!$B$2:$B$151,$B327,'المرتبطة بسمو الوزير'!$G$2:$G$151,$G327,'المرتبطة بسمو الوزير'!$I$2:$I$151,$I327,'المرتبطة بسمو الوزير'!$M$2:$M$151,"&lt;&gt;")+COUNTIFS('الشؤون التنفيذية'!$B$2:$B$421,$B327,'الشؤون التنفيذية'!$G$2:$G$421,$G327,'الشؤون التنفيذية'!$I$2:$I$421,$I327,'الشؤون التنفيذية'!$N$2:$N$421,"&lt;&gt;")+COUNTIFS('الجهاز العسكري'!$B$2:$B$631,$B327,'الجهاز العسكري'!$G$2:$G$631,$G327,'الجهاز العسكري'!$I$2:$I$631,$I327,'الجهاز العسكري'!$M$2:$M$631,"&lt;&gt;")</f>
        <v>2</v>
      </c>
      <c r="N327" s="24" t="n">
        <f aca="false">IF($L327=0,0,ROUND((SUMIFS('المرتبطة بسمو الوزير'!$M$2:$M$151,'المرتبطة بسمو الوزير'!$B$2:$B$151,$B327,'المرتبطة بسمو الوزير'!$G$2:$G$151,$G327,'المرتبطة بسمو الوزير'!$I$2:$I$151,$I327)+SUMIFS('الشؤون التنفيذية'!$N$2:$N$421,'الشؤون التنفيذية'!$B$2:$B$421,$B327,'الشؤون التنفيذية'!$G$2:$G$421,$G327,'الشؤون التنفيذية'!$I$2:$I$421,$I327)+SUMIFS('الجهاز العسكري'!$M$2:$M$631,'الجهاز العسكري'!$B$2:$B$631,$B327,'الجهاز العسكري'!$G$2:$G$631,$G327,'الجهاز العسكري'!$I$2:$I$631,$I327))/$L327,0))</f>
        <v>95</v>
      </c>
      <c r="O327" s="25" t="n">
        <f aca="false">IF($L327=0,0,ROUND((SUMIFS('المرتبطة بسمو الوزير'!$N$2:$N$151,'المرتبطة بسمو الوزير'!$B$2:$B$151,$B327,'المرتبطة بسمو الوزير'!$G$2:$G$151,$G327,'المرتبطة بسمو الوزير'!$I$2:$I$151,$I327)+SUMIFS('الشؤون التنفيذية'!$O$2:$O$421,'الشؤون التنفيذية'!$B$2:$B$421,$B327,'الشؤون التنفيذية'!$G$2:$G$421,$G327,'الشؤون التنفيذية'!$I$2:$I$421,$I327)+SUMIFS('الجهاز العسكري'!$N$2:$N$631,'الجهاز العسكري'!$B$2:$B$631,$B327,'الجهاز العسكري'!$G$2:$G$631,$G327,'الجهاز العسكري'!$I$2:$I$631,$I327))/$L327,0))</f>
        <v>100</v>
      </c>
      <c r="P327" s="22"/>
      <c r="Q327" s="19" t="n">
        <f aca="false">SUMIFS(المرجع!$G$2:$G$19,المرجع!$B$2:$B$19,$G327,المرجع!$E$2:$E$19,$I327)</f>
        <v>15</v>
      </c>
      <c r="R327" s="26" t="n">
        <f aca="false">ROUND($Q327*$N327/100,2)</f>
        <v>14.25</v>
      </c>
      <c r="S327" s="27" t="str">
        <f aca="false">IF($N327&gt;المرجع!$K$3,"متقدم",IF($N327&lt;=المرجع!$K$2,"أولي","جزئي"))</f>
        <v>متقدم</v>
      </c>
      <c r="T327" s="28" t="n">
        <f aca="false">ROUND($Q327*$O327/100,2)</f>
        <v>15</v>
      </c>
    </row>
    <row r="328" customFormat="false" ht="15" hidden="false" customHeight="true" outlineLevel="0" collapsed="false">
      <c r="A328" s="20" t="s">
        <v>1780</v>
      </c>
      <c r="B328" s="20" t="s">
        <v>192</v>
      </c>
      <c r="C328" s="19" t="str">
        <f aca="false">IFERROR(INDEX('قائمة الوحدات'!$B$2:$B$41,MATCH($B328,'قائمة الوحدات'!$A$2:$A$41,0)),"")</f>
        <v>EXE</v>
      </c>
      <c r="D328" s="18" t="str">
        <f aca="false">IFERROR(INDEX('قائمة الوحدات'!$C$2:$C$41,MATCH($B328,'قائمة الوحدات'!$A$2:$A$41,0)),"")</f>
        <v>الشؤون التنفيذية</v>
      </c>
      <c r="E328" s="18" t="str">
        <f aca="false">IFERROR(INDEX('قائمة الوحدات'!$D$2:$D$41,MATCH($B328,'قائمة الوحدات'!$A$2:$A$41,0)),"")</f>
        <v>وكالة الرقابة والالتزام</v>
      </c>
      <c r="F328" s="18" t="str">
        <f aca="false">IFERROR(INDEX('قائمة الوحدات'!$F$2:$F$41,MATCH($B328,'قائمة الوحدات'!$A$2:$A$41,0)),"")</f>
        <v>وكالة الرقابة والالتزام</v>
      </c>
      <c r="G328" s="20" t="s">
        <v>44</v>
      </c>
      <c r="H328" s="18" t="str">
        <f aca="false">IFERROR(INDEX(المرجع!$A$2:$A$19,MATCH($G328,المرجع!$B$2:$B$19,0)),"")</f>
        <v>التصميم</v>
      </c>
      <c r="I328" s="20" t="s">
        <v>52</v>
      </c>
      <c r="J328" s="18" t="str">
        <f aca="false">IFERROR(INDEX(المرجع!$D$2:$D$19,MATCH($I328,المرجع!$E$2:$E$19,0)),"")</f>
        <v>الحوكمة</v>
      </c>
      <c r="K328" s="19" t="n">
        <f aca="false">IFERROR(INDEX(المرجع!$F$2:$F$19,MATCH($I328,المرجع!$E$2:$E$19,0)),"")</f>
        <v>3</v>
      </c>
      <c r="L328" s="19" t="n">
        <f aca="false">SUMIFS(المرجع!$H$2:$H$19,المرجع!$B$2:$B$19,$G328,المرجع!$E$2:$E$19,$I328)</f>
        <v>1</v>
      </c>
      <c r="M328" s="19" t="n">
        <f aca="false">COUNTIFS('المرتبطة بسمو الوزير'!$B$2:$B$151,$B328,'المرتبطة بسمو الوزير'!$G$2:$G$151,$G328,'المرتبطة بسمو الوزير'!$I$2:$I$151,$I328,'المرتبطة بسمو الوزير'!$M$2:$M$151,"&lt;&gt;")+COUNTIFS('الشؤون التنفيذية'!$B$2:$B$421,$B328,'الشؤون التنفيذية'!$G$2:$G$421,$G328,'الشؤون التنفيذية'!$I$2:$I$421,$I328,'الشؤون التنفيذية'!$N$2:$N$421,"&lt;&gt;")+COUNTIFS('الجهاز العسكري'!$B$2:$B$631,$B328,'الجهاز العسكري'!$G$2:$G$631,$G328,'الجهاز العسكري'!$I$2:$I$631,$I328,'الجهاز العسكري'!$M$2:$M$631,"&lt;&gt;")</f>
        <v>1</v>
      </c>
      <c r="N328" s="24" t="n">
        <f aca="false">IF($L328=0,0,ROUND((SUMIFS('المرتبطة بسمو الوزير'!$M$2:$M$151,'المرتبطة بسمو الوزير'!$B$2:$B$151,$B328,'المرتبطة بسمو الوزير'!$G$2:$G$151,$G328,'المرتبطة بسمو الوزير'!$I$2:$I$151,$I328)+SUMIFS('الشؤون التنفيذية'!$N$2:$N$421,'الشؤون التنفيذية'!$B$2:$B$421,$B328,'الشؤون التنفيذية'!$G$2:$G$421,$G328,'الشؤون التنفيذية'!$I$2:$I$421,$I328)+SUMIFS('الجهاز العسكري'!$M$2:$M$631,'الجهاز العسكري'!$B$2:$B$631,$B328,'الجهاز العسكري'!$G$2:$G$631,$G328,'الجهاز العسكري'!$I$2:$I$631,$I328))/$L328,0))</f>
        <v>80</v>
      </c>
      <c r="O328" s="25" t="n">
        <f aca="false">IF($L328=0,0,ROUND((SUMIFS('المرتبطة بسمو الوزير'!$N$2:$N$151,'المرتبطة بسمو الوزير'!$B$2:$B$151,$B328,'المرتبطة بسمو الوزير'!$G$2:$G$151,$G328,'المرتبطة بسمو الوزير'!$I$2:$I$151,$I328)+SUMIFS('الشؤون التنفيذية'!$O$2:$O$421,'الشؤون التنفيذية'!$B$2:$B$421,$B328,'الشؤون التنفيذية'!$G$2:$G$421,$G328,'الشؤون التنفيذية'!$I$2:$I$421,$I328)+SUMIFS('الجهاز العسكري'!$N$2:$N$631,'الجهاز العسكري'!$B$2:$B$631,$B328,'الجهاز العسكري'!$G$2:$G$631,$G328,'الجهاز العسكري'!$I$2:$I$631,$I328))/$L328,0))</f>
        <v>85</v>
      </c>
      <c r="P328" s="22"/>
      <c r="Q328" s="19" t="n">
        <f aca="false">SUMIFS(المرجع!$G$2:$G$19,المرجع!$B$2:$B$19,$G328,المرجع!$E$2:$E$19,$I328)</f>
        <v>15</v>
      </c>
      <c r="R328" s="26" t="n">
        <f aca="false">ROUND($Q328*$N328/100,2)</f>
        <v>12</v>
      </c>
      <c r="S328" s="27" t="str">
        <f aca="false">IF($N328&gt;المرجع!$K$3,"متقدم",IF($N328&lt;=المرجع!$K$2,"أولي","جزئي"))</f>
        <v>متقدم</v>
      </c>
      <c r="T328" s="28" t="n">
        <f aca="false">ROUND($Q328*$O328/100,2)</f>
        <v>12.75</v>
      </c>
    </row>
    <row r="329" customFormat="false" ht="15" hidden="false" customHeight="true" outlineLevel="0" collapsed="false">
      <c r="A329" s="20" t="s">
        <v>1781</v>
      </c>
      <c r="B329" s="20" t="s">
        <v>192</v>
      </c>
      <c r="C329" s="19" t="str">
        <f aca="false">IFERROR(INDEX('قائمة الوحدات'!$B$2:$B$41,MATCH($B329,'قائمة الوحدات'!$A$2:$A$41,0)),"")</f>
        <v>EXE</v>
      </c>
      <c r="D329" s="18" t="str">
        <f aca="false">IFERROR(INDEX('قائمة الوحدات'!$C$2:$C$41,MATCH($B329,'قائمة الوحدات'!$A$2:$A$41,0)),"")</f>
        <v>الشؤون التنفيذية</v>
      </c>
      <c r="E329" s="18" t="str">
        <f aca="false">IFERROR(INDEX('قائمة الوحدات'!$D$2:$D$41,MATCH($B329,'قائمة الوحدات'!$A$2:$A$41,0)),"")</f>
        <v>وكالة الرقابة والالتزام</v>
      </c>
      <c r="F329" s="18" t="str">
        <f aca="false">IFERROR(INDEX('قائمة الوحدات'!$F$2:$F$41,MATCH($B329,'قائمة الوحدات'!$A$2:$A$41,0)),"")</f>
        <v>وكالة الرقابة والالتزام</v>
      </c>
      <c r="G329" s="20" t="s">
        <v>44</v>
      </c>
      <c r="H329" s="18" t="str">
        <f aca="false">IFERROR(INDEX(المرجع!$A$2:$A$19,MATCH($G329,المرجع!$B$2:$B$19,0)),"")</f>
        <v>التصميم</v>
      </c>
      <c r="I329" s="20" t="s">
        <v>55</v>
      </c>
      <c r="J329" s="18" t="str">
        <f aca="false">IFERROR(INDEX(المرجع!$D$2:$D$19,MATCH($I329,المرجع!$E$2:$E$19,0)),"")</f>
        <v>التنظيم</v>
      </c>
      <c r="K329" s="19" t="n">
        <f aca="false">IFERROR(INDEX(المرجع!$F$2:$F$19,MATCH($I329,المرجع!$E$2:$E$19,0)),"")</f>
        <v>4</v>
      </c>
      <c r="L329" s="19" t="n">
        <f aca="false">SUMIFS(المرجع!$H$2:$H$19,المرجع!$B$2:$B$19,$G329,المرجع!$E$2:$E$19,$I329)</f>
        <v>1</v>
      </c>
      <c r="M329" s="19" t="n">
        <f aca="false">COUNTIFS('المرتبطة بسمو الوزير'!$B$2:$B$151,$B329,'المرتبطة بسمو الوزير'!$G$2:$G$151,$G329,'المرتبطة بسمو الوزير'!$I$2:$I$151,$I329,'المرتبطة بسمو الوزير'!$M$2:$M$151,"&lt;&gt;")+COUNTIFS('الشؤون التنفيذية'!$B$2:$B$421,$B329,'الشؤون التنفيذية'!$G$2:$G$421,$G329,'الشؤون التنفيذية'!$I$2:$I$421,$I329,'الشؤون التنفيذية'!$N$2:$N$421,"&lt;&gt;")+COUNTIFS('الجهاز العسكري'!$B$2:$B$631,$B329,'الجهاز العسكري'!$G$2:$G$631,$G329,'الجهاز العسكري'!$I$2:$I$631,$I329,'الجهاز العسكري'!$M$2:$M$631,"&lt;&gt;")</f>
        <v>1</v>
      </c>
      <c r="N329" s="24" t="n">
        <f aca="false">IF($L329=0,0,ROUND((SUMIFS('المرتبطة بسمو الوزير'!$M$2:$M$151,'المرتبطة بسمو الوزير'!$B$2:$B$151,$B329,'المرتبطة بسمو الوزير'!$G$2:$G$151,$G329,'المرتبطة بسمو الوزير'!$I$2:$I$151,$I329)+SUMIFS('الشؤون التنفيذية'!$N$2:$N$421,'الشؤون التنفيذية'!$B$2:$B$421,$B329,'الشؤون التنفيذية'!$G$2:$G$421,$G329,'الشؤون التنفيذية'!$I$2:$I$421,$I329)+SUMIFS('الجهاز العسكري'!$M$2:$M$631,'الجهاز العسكري'!$B$2:$B$631,$B329,'الجهاز العسكري'!$G$2:$G$631,$G329,'الجهاز العسكري'!$I$2:$I$631,$I329))/$L329,0))</f>
        <v>73</v>
      </c>
      <c r="O329" s="25" t="n">
        <f aca="false">IF($L329=0,0,ROUND((SUMIFS('المرتبطة بسمو الوزير'!$N$2:$N$151,'المرتبطة بسمو الوزير'!$B$2:$B$151,$B329,'المرتبطة بسمو الوزير'!$G$2:$G$151,$G329,'المرتبطة بسمو الوزير'!$I$2:$I$151,$I329)+SUMIFS('الشؤون التنفيذية'!$O$2:$O$421,'الشؤون التنفيذية'!$B$2:$B$421,$B329,'الشؤون التنفيذية'!$G$2:$G$421,$G329,'الشؤون التنفيذية'!$I$2:$I$421,$I329)+SUMIFS('الجهاز العسكري'!$N$2:$N$631,'الجهاز العسكري'!$B$2:$B$631,$B329,'الجهاز العسكري'!$G$2:$G$631,$G329,'الجهاز العسكري'!$I$2:$I$631,$I329))/$L329,0))</f>
        <v>85</v>
      </c>
      <c r="P329" s="22"/>
      <c r="Q329" s="19" t="n">
        <f aca="false">SUMIFS(المرجع!$G$2:$G$19,المرجع!$B$2:$B$19,$G329,المرجع!$E$2:$E$19,$I329)</f>
        <v>20</v>
      </c>
      <c r="R329" s="26" t="n">
        <f aca="false">ROUND($Q329*$N329/100,2)</f>
        <v>14.6</v>
      </c>
      <c r="S329" s="27" t="str">
        <f aca="false">IF($N329&gt;المرجع!$K$3,"متقدم",IF($N329&lt;=المرجع!$K$2,"أولي","جزئي"))</f>
        <v>متقدم</v>
      </c>
      <c r="T329" s="28" t="n">
        <f aca="false">ROUND($Q329*$O329/100,2)</f>
        <v>17</v>
      </c>
    </row>
    <row r="330" customFormat="false" ht="15" hidden="false" customHeight="true" outlineLevel="0" collapsed="false">
      <c r="A330" s="20" t="s">
        <v>1782</v>
      </c>
      <c r="B330" s="20" t="s">
        <v>192</v>
      </c>
      <c r="C330" s="19" t="str">
        <f aca="false">IFERROR(INDEX('قائمة الوحدات'!$B$2:$B$41,MATCH($B330,'قائمة الوحدات'!$A$2:$A$41,0)),"")</f>
        <v>EXE</v>
      </c>
      <c r="D330" s="18" t="str">
        <f aca="false">IFERROR(INDEX('قائمة الوحدات'!$C$2:$C$41,MATCH($B330,'قائمة الوحدات'!$A$2:$A$41,0)),"")</f>
        <v>الشؤون التنفيذية</v>
      </c>
      <c r="E330" s="18" t="str">
        <f aca="false">IFERROR(INDEX('قائمة الوحدات'!$D$2:$D$41,MATCH($B330,'قائمة الوحدات'!$A$2:$A$41,0)),"")</f>
        <v>وكالة الرقابة والالتزام</v>
      </c>
      <c r="F330" s="18" t="str">
        <f aca="false">IFERROR(INDEX('قائمة الوحدات'!$F$2:$F$41,MATCH($B330,'قائمة الوحدات'!$A$2:$A$41,0)),"")</f>
        <v>وكالة الرقابة والالتزام</v>
      </c>
      <c r="G330" s="20" t="s">
        <v>44</v>
      </c>
      <c r="H330" s="18" t="str">
        <f aca="false">IFERROR(INDEX(المرجع!$A$2:$A$19,MATCH($G330,المرجع!$B$2:$B$19,0)),"")</f>
        <v>التصميم</v>
      </c>
      <c r="I330" s="20" t="s">
        <v>57</v>
      </c>
      <c r="J330" s="18" t="str">
        <f aca="false">IFERROR(INDEX(المرجع!$D$2:$D$19,MATCH($I330,المرجع!$E$2:$E$19,0)),"")</f>
        <v>الموارد</v>
      </c>
      <c r="K330" s="19" t="n">
        <f aca="false">IFERROR(INDEX(المرجع!$F$2:$F$19,MATCH($I330,المرجع!$E$2:$E$19,0)),"")</f>
        <v>5</v>
      </c>
      <c r="L330" s="19" t="n">
        <f aca="false">SUMIFS(المرجع!$H$2:$H$19,المرجع!$B$2:$B$19,$G330,المرجع!$E$2:$E$19,$I330)</f>
        <v>1</v>
      </c>
      <c r="M330" s="19" t="n">
        <f aca="false">COUNTIFS('المرتبطة بسمو الوزير'!$B$2:$B$151,$B330,'المرتبطة بسمو الوزير'!$G$2:$G$151,$G330,'المرتبطة بسمو الوزير'!$I$2:$I$151,$I330,'المرتبطة بسمو الوزير'!$M$2:$M$151,"&lt;&gt;")+COUNTIFS('الشؤون التنفيذية'!$B$2:$B$421,$B330,'الشؤون التنفيذية'!$G$2:$G$421,$G330,'الشؤون التنفيذية'!$I$2:$I$421,$I330,'الشؤون التنفيذية'!$N$2:$N$421,"&lt;&gt;")+COUNTIFS('الجهاز العسكري'!$B$2:$B$631,$B330,'الجهاز العسكري'!$G$2:$G$631,$G330,'الجهاز العسكري'!$I$2:$I$631,$I330,'الجهاز العسكري'!$M$2:$M$631,"&lt;&gt;")</f>
        <v>1</v>
      </c>
      <c r="N330" s="24" t="n">
        <f aca="false">IF($L330=0,0,ROUND((SUMIFS('المرتبطة بسمو الوزير'!$M$2:$M$151,'المرتبطة بسمو الوزير'!$B$2:$B$151,$B330,'المرتبطة بسمو الوزير'!$G$2:$G$151,$G330,'المرتبطة بسمو الوزير'!$I$2:$I$151,$I330)+SUMIFS('الشؤون التنفيذية'!$N$2:$N$421,'الشؤون التنفيذية'!$B$2:$B$421,$B330,'الشؤون التنفيذية'!$G$2:$G$421,$G330,'الشؤون التنفيذية'!$I$2:$I$421,$I330)+SUMIFS('الجهاز العسكري'!$M$2:$M$631,'الجهاز العسكري'!$B$2:$B$631,$B330,'الجهاز العسكري'!$G$2:$G$631,$G330,'الجهاز العسكري'!$I$2:$I$631,$I330))/$L330,0))</f>
        <v>79</v>
      </c>
      <c r="O330" s="25" t="n">
        <f aca="false">IF($L330=0,0,ROUND((SUMIFS('المرتبطة بسمو الوزير'!$N$2:$N$151,'المرتبطة بسمو الوزير'!$B$2:$B$151,$B330,'المرتبطة بسمو الوزير'!$G$2:$G$151,$G330,'المرتبطة بسمو الوزير'!$I$2:$I$151,$I330)+SUMIFS('الشؤون التنفيذية'!$O$2:$O$421,'الشؤون التنفيذية'!$B$2:$B$421,$B330,'الشؤون التنفيذية'!$G$2:$G$421,$G330,'الشؤون التنفيذية'!$I$2:$I$421,$I330)+SUMIFS('الجهاز العسكري'!$N$2:$N$631,'الجهاز العسكري'!$B$2:$B$631,$B330,'الجهاز العسكري'!$G$2:$G$631,$G330,'الجهاز العسكري'!$I$2:$I$631,$I330))/$L330,0))</f>
        <v>100</v>
      </c>
      <c r="P330" s="22"/>
      <c r="Q330" s="19" t="n">
        <f aca="false">SUMIFS(المرجع!$G$2:$G$19,المرجع!$B$2:$B$19,$G330,المرجع!$E$2:$E$19,$I330)</f>
        <v>20</v>
      </c>
      <c r="R330" s="26" t="n">
        <f aca="false">ROUND($Q330*$N330/100,2)</f>
        <v>15.8</v>
      </c>
      <c r="S330" s="27" t="str">
        <f aca="false">IF($N330&gt;المرجع!$K$3,"متقدم",IF($N330&lt;=المرجع!$K$2,"أولي","جزئي"))</f>
        <v>متقدم</v>
      </c>
      <c r="T330" s="28" t="n">
        <f aca="false">ROUND($Q330*$O330/100,2)</f>
        <v>20</v>
      </c>
    </row>
    <row r="331" customFormat="false" ht="15" hidden="false" customHeight="true" outlineLevel="0" collapsed="false">
      <c r="A331" s="20" t="s">
        <v>1783</v>
      </c>
      <c r="B331" s="20" t="s">
        <v>192</v>
      </c>
      <c r="C331" s="19" t="str">
        <f aca="false">IFERROR(INDEX('قائمة الوحدات'!$B$2:$B$41,MATCH($B331,'قائمة الوحدات'!$A$2:$A$41,0)),"")</f>
        <v>EXE</v>
      </c>
      <c r="D331" s="18" t="str">
        <f aca="false">IFERROR(INDEX('قائمة الوحدات'!$C$2:$C$41,MATCH($B331,'قائمة الوحدات'!$A$2:$A$41,0)),"")</f>
        <v>الشؤون التنفيذية</v>
      </c>
      <c r="E331" s="18" t="str">
        <f aca="false">IFERROR(INDEX('قائمة الوحدات'!$D$2:$D$41,MATCH($B331,'قائمة الوحدات'!$A$2:$A$41,0)),"")</f>
        <v>وكالة الرقابة والالتزام</v>
      </c>
      <c r="F331" s="18" t="str">
        <f aca="false">IFERROR(INDEX('قائمة الوحدات'!$F$2:$F$41,MATCH($B331,'قائمة الوحدات'!$A$2:$A$41,0)),"")</f>
        <v>وكالة الرقابة والالتزام</v>
      </c>
      <c r="G331" s="20" t="s">
        <v>44</v>
      </c>
      <c r="H331" s="18" t="str">
        <f aca="false">IFERROR(INDEX(المرجع!$A$2:$A$19,MATCH($G331,المرجع!$B$2:$B$19,0)),"")</f>
        <v>التصميم</v>
      </c>
      <c r="I331" s="20" t="s">
        <v>60</v>
      </c>
      <c r="J331" s="18" t="str">
        <f aca="false">IFERROR(INDEX(المرجع!$D$2:$D$19,MATCH($I331,المرجع!$E$2:$E$19,0)),"")</f>
        <v>الإجراءات</v>
      </c>
      <c r="K331" s="19" t="n">
        <f aca="false">IFERROR(INDEX(المرجع!$F$2:$F$19,MATCH($I331,المرجع!$E$2:$E$19,0)),"")</f>
        <v>6</v>
      </c>
      <c r="L331" s="19" t="n">
        <f aca="false">SUMIFS(المرجع!$H$2:$H$19,المرجع!$B$2:$B$19,$G331,المرجع!$E$2:$E$19,$I331)</f>
        <v>1</v>
      </c>
      <c r="M331" s="19" t="n">
        <f aca="false">COUNTIFS('المرتبطة بسمو الوزير'!$B$2:$B$151,$B331,'المرتبطة بسمو الوزير'!$G$2:$G$151,$G331,'المرتبطة بسمو الوزير'!$I$2:$I$151,$I331,'المرتبطة بسمو الوزير'!$M$2:$M$151,"&lt;&gt;")+COUNTIFS('الشؤون التنفيذية'!$B$2:$B$421,$B331,'الشؤون التنفيذية'!$G$2:$G$421,$G331,'الشؤون التنفيذية'!$I$2:$I$421,$I331,'الشؤون التنفيذية'!$N$2:$N$421,"&lt;&gt;")+COUNTIFS('الجهاز العسكري'!$B$2:$B$631,$B331,'الجهاز العسكري'!$G$2:$G$631,$G331,'الجهاز العسكري'!$I$2:$I$631,$I331,'الجهاز العسكري'!$M$2:$M$631,"&lt;&gt;")</f>
        <v>1</v>
      </c>
      <c r="N331" s="24" t="n">
        <f aca="false">IF($L331=0,0,ROUND((SUMIFS('المرتبطة بسمو الوزير'!$M$2:$M$151,'المرتبطة بسمو الوزير'!$B$2:$B$151,$B331,'المرتبطة بسمو الوزير'!$G$2:$G$151,$G331,'المرتبطة بسمو الوزير'!$I$2:$I$151,$I331)+SUMIFS('الشؤون التنفيذية'!$N$2:$N$421,'الشؤون التنفيذية'!$B$2:$B$421,$B331,'الشؤون التنفيذية'!$G$2:$G$421,$G331,'الشؤون التنفيذية'!$I$2:$I$421,$I331)+SUMIFS('الجهاز العسكري'!$M$2:$M$631,'الجهاز العسكري'!$B$2:$B$631,$B331,'الجهاز العسكري'!$G$2:$G$631,$G331,'الجهاز العسكري'!$I$2:$I$631,$I331))/$L331,0))</f>
        <v>87</v>
      </c>
      <c r="O331" s="25" t="n">
        <f aca="false">IF($L331=0,0,ROUND((SUMIFS('المرتبطة بسمو الوزير'!$N$2:$N$151,'المرتبطة بسمو الوزير'!$B$2:$B$151,$B331,'المرتبطة بسمو الوزير'!$G$2:$G$151,$G331,'المرتبطة بسمو الوزير'!$I$2:$I$151,$I331)+SUMIFS('الشؤون التنفيذية'!$O$2:$O$421,'الشؤون التنفيذية'!$B$2:$B$421,$B331,'الشؤون التنفيذية'!$G$2:$G$421,$G331,'الشؤون التنفيذية'!$I$2:$I$421,$I331)+SUMIFS('الجهاز العسكري'!$N$2:$N$631,'الجهاز العسكري'!$B$2:$B$631,$B331,'الجهاز العسكري'!$G$2:$G$631,$G331,'الجهاز العسكري'!$I$2:$I$631,$I331))/$L331,0))</f>
        <v>95</v>
      </c>
      <c r="P331" s="22"/>
      <c r="Q331" s="19" t="n">
        <f aca="false">SUMIFS(المرجع!$G$2:$G$19,المرجع!$B$2:$B$19,$G331,المرجع!$E$2:$E$19,$I331)</f>
        <v>5</v>
      </c>
      <c r="R331" s="26" t="n">
        <f aca="false">ROUND($Q331*$N331/100,2)</f>
        <v>4.35</v>
      </c>
      <c r="S331" s="27" t="str">
        <f aca="false">IF($N331&gt;المرجع!$K$3,"متقدم",IF($N331&lt;=المرجع!$K$2,"أولي","جزئي"))</f>
        <v>متقدم</v>
      </c>
      <c r="T331" s="28" t="n">
        <f aca="false">ROUND($Q331*$O331/100,2)</f>
        <v>4.75</v>
      </c>
    </row>
    <row r="332" customFormat="false" ht="15" hidden="false" customHeight="true" outlineLevel="0" collapsed="false">
      <c r="A332" s="20" t="s">
        <v>1784</v>
      </c>
      <c r="B332" s="20" t="s">
        <v>192</v>
      </c>
      <c r="C332" s="19" t="str">
        <f aca="false">IFERROR(INDEX('قائمة الوحدات'!$B$2:$B$41,MATCH($B332,'قائمة الوحدات'!$A$2:$A$41,0)),"")</f>
        <v>EXE</v>
      </c>
      <c r="D332" s="18" t="str">
        <f aca="false">IFERROR(INDEX('قائمة الوحدات'!$C$2:$C$41,MATCH($B332,'قائمة الوحدات'!$A$2:$A$41,0)),"")</f>
        <v>الشؤون التنفيذية</v>
      </c>
      <c r="E332" s="18" t="str">
        <f aca="false">IFERROR(INDEX('قائمة الوحدات'!$D$2:$D$41,MATCH($B332,'قائمة الوحدات'!$A$2:$A$41,0)),"")</f>
        <v>وكالة الرقابة والالتزام</v>
      </c>
      <c r="F332" s="18" t="str">
        <f aca="false">IFERROR(INDEX('قائمة الوحدات'!$F$2:$F$41,MATCH($B332,'قائمة الوحدات'!$A$2:$A$41,0)),"")</f>
        <v>وكالة الرقابة والالتزام</v>
      </c>
      <c r="G332" s="20" t="s">
        <v>62</v>
      </c>
      <c r="H332" s="18" t="str">
        <f aca="false">IFERROR(INDEX(المرجع!$A$2:$A$19,MATCH($G332,المرجع!$B$2:$B$19,0)),"")</f>
        <v>البناء المؤسسي</v>
      </c>
      <c r="I332" s="20" t="s">
        <v>46</v>
      </c>
      <c r="J332" s="18" t="str">
        <f aca="false">IFERROR(INDEX(المرجع!$D$2:$D$19,MATCH($I332,المرجع!$E$2:$E$19,0)),"")</f>
        <v>الدور</v>
      </c>
      <c r="K332" s="19" t="n">
        <f aca="false">IFERROR(INDEX(المرجع!$F$2:$F$19,MATCH($I332,المرجع!$E$2:$E$19,0)),"")</f>
        <v>1</v>
      </c>
      <c r="L332" s="19" t="n">
        <f aca="false">SUMIFS(المرجع!$H$2:$H$19,المرجع!$B$2:$B$19,$G332,المرجع!$E$2:$E$19,$I332)</f>
        <v>1</v>
      </c>
      <c r="M332" s="19" t="n">
        <f aca="false">COUNTIFS('المرتبطة بسمو الوزير'!$B$2:$B$151,$B332,'المرتبطة بسمو الوزير'!$G$2:$G$151,$G332,'المرتبطة بسمو الوزير'!$I$2:$I$151,$I332,'المرتبطة بسمو الوزير'!$M$2:$M$151,"&lt;&gt;")+COUNTIFS('الشؤون التنفيذية'!$B$2:$B$421,$B332,'الشؤون التنفيذية'!$G$2:$G$421,$G332,'الشؤون التنفيذية'!$I$2:$I$421,$I332,'الشؤون التنفيذية'!$N$2:$N$421,"&lt;&gt;")+COUNTIFS('الجهاز العسكري'!$B$2:$B$631,$B332,'الجهاز العسكري'!$G$2:$G$631,$G332,'الجهاز العسكري'!$I$2:$I$631,$I332,'الجهاز العسكري'!$M$2:$M$631,"&lt;&gt;")</f>
        <v>1</v>
      </c>
      <c r="N332" s="24" t="n">
        <f aca="false">IF($L332=0,0,ROUND((SUMIFS('المرتبطة بسمو الوزير'!$M$2:$M$151,'المرتبطة بسمو الوزير'!$B$2:$B$151,$B332,'المرتبطة بسمو الوزير'!$G$2:$G$151,$G332,'المرتبطة بسمو الوزير'!$I$2:$I$151,$I332)+SUMIFS('الشؤون التنفيذية'!$N$2:$N$421,'الشؤون التنفيذية'!$B$2:$B$421,$B332,'الشؤون التنفيذية'!$G$2:$G$421,$G332,'الشؤون التنفيذية'!$I$2:$I$421,$I332)+SUMIFS('الجهاز العسكري'!$M$2:$M$631,'الجهاز العسكري'!$B$2:$B$631,$B332,'الجهاز العسكري'!$G$2:$G$631,$G332,'الجهاز العسكري'!$I$2:$I$631,$I332))/$L332,0))</f>
        <v>72</v>
      </c>
      <c r="O332" s="25" t="n">
        <f aca="false">IF($L332=0,0,ROUND((SUMIFS('المرتبطة بسمو الوزير'!$N$2:$N$151,'المرتبطة بسمو الوزير'!$B$2:$B$151,$B332,'المرتبطة بسمو الوزير'!$G$2:$G$151,$G332,'المرتبطة بسمو الوزير'!$I$2:$I$151,$I332)+SUMIFS('الشؤون التنفيذية'!$O$2:$O$421,'الشؤون التنفيذية'!$B$2:$B$421,$B332,'الشؤون التنفيذية'!$G$2:$G$421,$G332,'الشؤون التنفيذية'!$I$2:$I$421,$I332)+SUMIFS('الجهاز العسكري'!$N$2:$N$631,'الجهاز العسكري'!$B$2:$B$631,$B332,'الجهاز العسكري'!$G$2:$G$631,$G332,'الجهاز العسكري'!$I$2:$I$631,$I332))/$L332,0))</f>
        <v>100</v>
      </c>
      <c r="P332" s="22"/>
      <c r="Q332" s="19" t="n">
        <f aca="false">SUMIFS(المرجع!$G$2:$G$19,المرجع!$B$2:$B$19,$G332,المرجع!$E$2:$E$19,$I332)</f>
        <v>15</v>
      </c>
      <c r="R332" s="26" t="n">
        <f aca="false">ROUND($Q332*$N332/100,2)</f>
        <v>10.8</v>
      </c>
      <c r="S332" s="27" t="str">
        <f aca="false">IF($N332&gt;المرجع!$K$3,"متقدم",IF($N332&lt;=المرجع!$K$2,"أولي","جزئي"))</f>
        <v>متقدم</v>
      </c>
      <c r="T332" s="28" t="n">
        <f aca="false">ROUND($Q332*$O332/100,2)</f>
        <v>15</v>
      </c>
    </row>
    <row r="333" customFormat="false" ht="15" hidden="false" customHeight="true" outlineLevel="0" collapsed="false">
      <c r="A333" s="20" t="s">
        <v>1785</v>
      </c>
      <c r="B333" s="20" t="s">
        <v>192</v>
      </c>
      <c r="C333" s="19" t="str">
        <f aca="false">IFERROR(INDEX('قائمة الوحدات'!$B$2:$B$41,MATCH($B333,'قائمة الوحدات'!$A$2:$A$41,0)),"")</f>
        <v>EXE</v>
      </c>
      <c r="D333" s="18" t="str">
        <f aca="false">IFERROR(INDEX('قائمة الوحدات'!$C$2:$C$41,MATCH($B333,'قائمة الوحدات'!$A$2:$A$41,0)),"")</f>
        <v>الشؤون التنفيذية</v>
      </c>
      <c r="E333" s="18" t="str">
        <f aca="false">IFERROR(INDEX('قائمة الوحدات'!$D$2:$D$41,MATCH($B333,'قائمة الوحدات'!$A$2:$A$41,0)),"")</f>
        <v>وكالة الرقابة والالتزام</v>
      </c>
      <c r="F333" s="18" t="str">
        <f aca="false">IFERROR(INDEX('قائمة الوحدات'!$F$2:$F$41,MATCH($B333,'قائمة الوحدات'!$A$2:$A$41,0)),"")</f>
        <v>وكالة الرقابة والالتزام</v>
      </c>
      <c r="G333" s="20" t="s">
        <v>62</v>
      </c>
      <c r="H333" s="18" t="str">
        <f aca="false">IFERROR(INDEX(المرجع!$A$2:$A$19,MATCH($G333,المرجع!$B$2:$B$19,0)),"")</f>
        <v>البناء المؤسسي</v>
      </c>
      <c r="I333" s="20" t="s">
        <v>49</v>
      </c>
      <c r="J333" s="18" t="str">
        <f aca="false">IFERROR(INDEX(المرجع!$D$2:$D$19,MATCH($I333,المرجع!$E$2:$E$19,0)),"")</f>
        <v>الأهداف ومؤشرات الأداء</v>
      </c>
      <c r="K333" s="19" t="n">
        <f aca="false">IFERROR(INDEX(المرجع!$F$2:$F$19,MATCH($I333,المرجع!$E$2:$E$19,0)),"")</f>
        <v>2</v>
      </c>
      <c r="L333" s="19" t="n">
        <f aca="false">SUMIFS(المرجع!$H$2:$H$19,المرجع!$B$2:$B$19,$G333,المرجع!$E$2:$E$19,$I333)</f>
        <v>2</v>
      </c>
      <c r="M333" s="19" t="n">
        <f aca="false">COUNTIFS('المرتبطة بسمو الوزير'!$B$2:$B$151,$B333,'المرتبطة بسمو الوزير'!$G$2:$G$151,$G333,'المرتبطة بسمو الوزير'!$I$2:$I$151,$I333,'المرتبطة بسمو الوزير'!$M$2:$M$151,"&lt;&gt;")+COUNTIFS('الشؤون التنفيذية'!$B$2:$B$421,$B333,'الشؤون التنفيذية'!$G$2:$G$421,$G333,'الشؤون التنفيذية'!$I$2:$I$421,$I333,'الشؤون التنفيذية'!$N$2:$N$421,"&lt;&gt;")+COUNTIFS('الجهاز العسكري'!$B$2:$B$631,$B333,'الجهاز العسكري'!$G$2:$G$631,$G333,'الجهاز العسكري'!$I$2:$I$631,$I333,'الجهاز العسكري'!$M$2:$M$631,"&lt;&gt;")</f>
        <v>2</v>
      </c>
      <c r="N333" s="24" t="n">
        <f aca="false">IF($L333=0,0,ROUND((SUMIFS('المرتبطة بسمو الوزير'!$M$2:$M$151,'المرتبطة بسمو الوزير'!$B$2:$B$151,$B333,'المرتبطة بسمو الوزير'!$G$2:$G$151,$G333,'المرتبطة بسمو الوزير'!$I$2:$I$151,$I333)+SUMIFS('الشؤون التنفيذية'!$N$2:$N$421,'الشؤون التنفيذية'!$B$2:$B$421,$B333,'الشؤون التنفيذية'!$G$2:$G$421,$G333,'الشؤون التنفيذية'!$I$2:$I$421,$I333)+SUMIFS('الجهاز العسكري'!$M$2:$M$631,'الجهاز العسكري'!$B$2:$B$631,$B333,'الجهاز العسكري'!$G$2:$G$631,$G333,'الجهاز العسكري'!$I$2:$I$631,$I333))/$L333,0))</f>
        <v>70</v>
      </c>
      <c r="O333" s="25" t="n">
        <f aca="false">IF($L333=0,0,ROUND((SUMIFS('المرتبطة بسمو الوزير'!$N$2:$N$151,'المرتبطة بسمو الوزير'!$B$2:$B$151,$B333,'المرتبطة بسمو الوزير'!$G$2:$G$151,$G333,'المرتبطة بسمو الوزير'!$I$2:$I$151,$I333)+SUMIFS('الشؤون التنفيذية'!$O$2:$O$421,'الشؤون التنفيذية'!$B$2:$B$421,$B333,'الشؤون التنفيذية'!$G$2:$G$421,$G333,'الشؤون التنفيذية'!$I$2:$I$421,$I333)+SUMIFS('الجهاز العسكري'!$N$2:$N$631,'الجهاز العسكري'!$B$2:$B$631,$B333,'الجهاز العسكري'!$G$2:$G$631,$G333,'الجهاز العسكري'!$I$2:$I$631,$I333))/$L333,0))</f>
        <v>93</v>
      </c>
      <c r="P333" s="22"/>
      <c r="Q333" s="19" t="n">
        <f aca="false">SUMIFS(المرجع!$G$2:$G$19,المرجع!$B$2:$B$19,$G333,المرجع!$E$2:$E$19,$I333)</f>
        <v>15</v>
      </c>
      <c r="R333" s="26" t="n">
        <f aca="false">ROUND($Q333*$N333/100,2)</f>
        <v>10.5</v>
      </c>
      <c r="S333" s="27" t="str">
        <f aca="false">IF($N333&gt;المرجع!$K$3,"متقدم",IF($N333&lt;=المرجع!$K$2,"أولي","جزئي"))</f>
        <v>جزئي</v>
      </c>
      <c r="T333" s="28" t="n">
        <f aca="false">ROUND($Q333*$O333/100,2)</f>
        <v>13.95</v>
      </c>
    </row>
    <row r="334" customFormat="false" ht="15" hidden="false" customHeight="true" outlineLevel="0" collapsed="false">
      <c r="A334" s="20" t="s">
        <v>1786</v>
      </c>
      <c r="B334" s="20" t="s">
        <v>192</v>
      </c>
      <c r="C334" s="19" t="str">
        <f aca="false">IFERROR(INDEX('قائمة الوحدات'!$B$2:$B$41,MATCH($B334,'قائمة الوحدات'!$A$2:$A$41,0)),"")</f>
        <v>EXE</v>
      </c>
      <c r="D334" s="18" t="str">
        <f aca="false">IFERROR(INDEX('قائمة الوحدات'!$C$2:$C$41,MATCH($B334,'قائمة الوحدات'!$A$2:$A$41,0)),"")</f>
        <v>الشؤون التنفيذية</v>
      </c>
      <c r="E334" s="18" t="str">
        <f aca="false">IFERROR(INDEX('قائمة الوحدات'!$D$2:$D$41,MATCH($B334,'قائمة الوحدات'!$A$2:$A$41,0)),"")</f>
        <v>وكالة الرقابة والالتزام</v>
      </c>
      <c r="F334" s="18" t="str">
        <f aca="false">IFERROR(INDEX('قائمة الوحدات'!$F$2:$F$41,MATCH($B334,'قائمة الوحدات'!$A$2:$A$41,0)),"")</f>
        <v>وكالة الرقابة والالتزام</v>
      </c>
      <c r="G334" s="20" t="s">
        <v>62</v>
      </c>
      <c r="H334" s="18" t="str">
        <f aca="false">IFERROR(INDEX(المرجع!$A$2:$A$19,MATCH($G334,المرجع!$B$2:$B$19,0)),"")</f>
        <v>البناء المؤسسي</v>
      </c>
      <c r="I334" s="20" t="s">
        <v>52</v>
      </c>
      <c r="J334" s="18" t="str">
        <f aca="false">IFERROR(INDEX(المرجع!$D$2:$D$19,MATCH($I334,المرجع!$E$2:$E$19,0)),"")</f>
        <v>الحوكمة</v>
      </c>
      <c r="K334" s="19" t="n">
        <f aca="false">IFERROR(INDEX(المرجع!$F$2:$F$19,MATCH($I334,المرجع!$E$2:$E$19,0)),"")</f>
        <v>3</v>
      </c>
      <c r="L334" s="19" t="n">
        <f aca="false">SUMIFS(المرجع!$H$2:$H$19,المرجع!$B$2:$B$19,$G334,المرجع!$E$2:$E$19,$I334)</f>
        <v>3</v>
      </c>
      <c r="M334" s="19" t="n">
        <f aca="false">COUNTIFS('المرتبطة بسمو الوزير'!$B$2:$B$151,$B334,'المرتبطة بسمو الوزير'!$G$2:$G$151,$G334,'المرتبطة بسمو الوزير'!$I$2:$I$151,$I334,'المرتبطة بسمو الوزير'!$M$2:$M$151,"&lt;&gt;")+COUNTIFS('الشؤون التنفيذية'!$B$2:$B$421,$B334,'الشؤون التنفيذية'!$G$2:$G$421,$G334,'الشؤون التنفيذية'!$I$2:$I$421,$I334,'الشؤون التنفيذية'!$N$2:$N$421,"&lt;&gt;")+COUNTIFS('الجهاز العسكري'!$B$2:$B$631,$B334,'الجهاز العسكري'!$G$2:$G$631,$G334,'الجهاز العسكري'!$I$2:$I$631,$I334,'الجهاز العسكري'!$M$2:$M$631,"&lt;&gt;")</f>
        <v>3</v>
      </c>
      <c r="N334" s="24" t="n">
        <f aca="false">IF($L334=0,0,ROUND((SUMIFS('المرتبطة بسمو الوزير'!$M$2:$M$151,'المرتبطة بسمو الوزير'!$B$2:$B$151,$B334,'المرتبطة بسمو الوزير'!$G$2:$G$151,$G334,'المرتبطة بسمو الوزير'!$I$2:$I$151,$I334)+SUMIFS('الشؤون التنفيذية'!$N$2:$N$421,'الشؤون التنفيذية'!$B$2:$B$421,$B334,'الشؤون التنفيذية'!$G$2:$G$421,$G334,'الشؤون التنفيذية'!$I$2:$I$421,$I334)+SUMIFS('الجهاز العسكري'!$M$2:$M$631,'الجهاز العسكري'!$B$2:$B$631,$B334,'الجهاز العسكري'!$G$2:$G$631,$G334,'الجهاز العسكري'!$I$2:$I$631,$I334))/$L334,0))</f>
        <v>70</v>
      </c>
      <c r="O334" s="25" t="n">
        <f aca="false">IF($L334=0,0,ROUND((SUMIFS('المرتبطة بسمو الوزير'!$N$2:$N$151,'المرتبطة بسمو الوزير'!$B$2:$B$151,$B334,'المرتبطة بسمو الوزير'!$G$2:$G$151,$G334,'المرتبطة بسمو الوزير'!$I$2:$I$151,$I334)+SUMIFS('الشؤون التنفيذية'!$O$2:$O$421,'الشؤون التنفيذية'!$B$2:$B$421,$B334,'الشؤون التنفيذية'!$G$2:$G$421,$G334,'الشؤون التنفيذية'!$I$2:$I$421,$I334)+SUMIFS('الجهاز العسكري'!$N$2:$N$631,'الجهاز العسكري'!$B$2:$B$631,$B334,'الجهاز العسكري'!$G$2:$G$631,$G334,'الجهاز العسكري'!$I$2:$I$631,$I334))/$L334,0))</f>
        <v>90</v>
      </c>
      <c r="P334" s="22"/>
      <c r="Q334" s="19" t="n">
        <f aca="false">SUMIFS(المرجع!$G$2:$G$19,المرجع!$B$2:$B$19,$G334,المرجع!$E$2:$E$19,$I334)</f>
        <v>15</v>
      </c>
      <c r="R334" s="26" t="n">
        <f aca="false">ROUND($Q334*$N334/100,2)</f>
        <v>10.5</v>
      </c>
      <c r="S334" s="27" t="str">
        <f aca="false">IF($N334&gt;المرجع!$K$3,"متقدم",IF($N334&lt;=المرجع!$K$2,"أولي","جزئي"))</f>
        <v>جزئي</v>
      </c>
      <c r="T334" s="28" t="n">
        <f aca="false">ROUND($Q334*$O334/100,2)</f>
        <v>13.5</v>
      </c>
    </row>
    <row r="335" customFormat="false" ht="15" hidden="false" customHeight="true" outlineLevel="0" collapsed="false">
      <c r="A335" s="20" t="s">
        <v>1787</v>
      </c>
      <c r="B335" s="20" t="s">
        <v>192</v>
      </c>
      <c r="C335" s="19" t="str">
        <f aca="false">IFERROR(INDEX('قائمة الوحدات'!$B$2:$B$41,MATCH($B335,'قائمة الوحدات'!$A$2:$A$41,0)),"")</f>
        <v>EXE</v>
      </c>
      <c r="D335" s="18" t="str">
        <f aca="false">IFERROR(INDEX('قائمة الوحدات'!$C$2:$C$41,MATCH($B335,'قائمة الوحدات'!$A$2:$A$41,0)),"")</f>
        <v>الشؤون التنفيذية</v>
      </c>
      <c r="E335" s="18" t="str">
        <f aca="false">IFERROR(INDEX('قائمة الوحدات'!$D$2:$D$41,MATCH($B335,'قائمة الوحدات'!$A$2:$A$41,0)),"")</f>
        <v>وكالة الرقابة والالتزام</v>
      </c>
      <c r="F335" s="18" t="str">
        <f aca="false">IFERROR(INDEX('قائمة الوحدات'!$F$2:$F$41,MATCH($B335,'قائمة الوحدات'!$A$2:$A$41,0)),"")</f>
        <v>وكالة الرقابة والالتزام</v>
      </c>
      <c r="G335" s="20" t="s">
        <v>62</v>
      </c>
      <c r="H335" s="18" t="str">
        <f aca="false">IFERROR(INDEX(المرجع!$A$2:$A$19,MATCH($G335,المرجع!$B$2:$B$19,0)),"")</f>
        <v>البناء المؤسسي</v>
      </c>
      <c r="I335" s="20" t="s">
        <v>55</v>
      </c>
      <c r="J335" s="18" t="str">
        <f aca="false">IFERROR(INDEX(المرجع!$D$2:$D$19,MATCH($I335,المرجع!$E$2:$E$19,0)),"")</f>
        <v>التنظيم</v>
      </c>
      <c r="K335" s="19" t="n">
        <f aca="false">IFERROR(INDEX(المرجع!$F$2:$F$19,MATCH($I335,المرجع!$E$2:$E$19,0)),"")</f>
        <v>4</v>
      </c>
      <c r="L335" s="19" t="n">
        <f aca="false">SUMIFS(المرجع!$H$2:$H$19,المرجع!$B$2:$B$19,$G335,المرجع!$E$2:$E$19,$I335)</f>
        <v>3</v>
      </c>
      <c r="M335" s="19" t="n">
        <f aca="false">COUNTIFS('المرتبطة بسمو الوزير'!$B$2:$B$151,$B335,'المرتبطة بسمو الوزير'!$G$2:$G$151,$G335,'المرتبطة بسمو الوزير'!$I$2:$I$151,$I335,'المرتبطة بسمو الوزير'!$M$2:$M$151,"&lt;&gt;")+COUNTIFS('الشؤون التنفيذية'!$B$2:$B$421,$B335,'الشؤون التنفيذية'!$G$2:$G$421,$G335,'الشؤون التنفيذية'!$I$2:$I$421,$I335,'الشؤون التنفيذية'!$N$2:$N$421,"&lt;&gt;")+COUNTIFS('الجهاز العسكري'!$B$2:$B$631,$B335,'الجهاز العسكري'!$G$2:$G$631,$G335,'الجهاز العسكري'!$I$2:$I$631,$I335,'الجهاز العسكري'!$M$2:$M$631,"&lt;&gt;")</f>
        <v>3</v>
      </c>
      <c r="N335" s="24" t="n">
        <f aca="false">IF($L335=0,0,ROUND((SUMIFS('المرتبطة بسمو الوزير'!$M$2:$M$151,'المرتبطة بسمو الوزير'!$B$2:$B$151,$B335,'المرتبطة بسمو الوزير'!$G$2:$G$151,$G335,'المرتبطة بسمو الوزير'!$I$2:$I$151,$I335)+SUMIFS('الشؤون التنفيذية'!$N$2:$N$421,'الشؤون التنفيذية'!$B$2:$B$421,$B335,'الشؤون التنفيذية'!$G$2:$G$421,$G335,'الشؤون التنفيذية'!$I$2:$I$421,$I335)+SUMIFS('الجهاز العسكري'!$M$2:$M$631,'الجهاز العسكري'!$B$2:$B$631,$B335,'الجهاز العسكري'!$G$2:$G$631,$G335,'الجهاز العسكري'!$I$2:$I$631,$I335))/$L335,0))</f>
        <v>78</v>
      </c>
      <c r="O335" s="25" t="n">
        <f aca="false">IF($L335=0,0,ROUND((SUMIFS('المرتبطة بسمو الوزير'!$N$2:$N$151,'المرتبطة بسمو الوزير'!$B$2:$B$151,$B335,'المرتبطة بسمو الوزير'!$G$2:$G$151,$G335,'المرتبطة بسمو الوزير'!$I$2:$I$151,$I335)+SUMIFS('الشؤون التنفيذية'!$O$2:$O$421,'الشؤون التنفيذية'!$B$2:$B$421,$B335,'الشؤون التنفيذية'!$G$2:$G$421,$G335,'الشؤون التنفيذية'!$I$2:$I$421,$I335)+SUMIFS('الجهاز العسكري'!$N$2:$N$631,'الجهاز العسكري'!$B$2:$B$631,$B335,'الجهاز العسكري'!$G$2:$G$631,$G335,'الجهاز العسكري'!$I$2:$I$631,$I335))/$L335,0))</f>
        <v>90</v>
      </c>
      <c r="P335" s="22"/>
      <c r="Q335" s="19" t="n">
        <f aca="false">SUMIFS(المرجع!$G$2:$G$19,المرجع!$B$2:$B$19,$G335,المرجع!$E$2:$E$19,$I335)</f>
        <v>20</v>
      </c>
      <c r="R335" s="26" t="n">
        <f aca="false">ROUND($Q335*$N335/100,2)</f>
        <v>15.6</v>
      </c>
      <c r="S335" s="27" t="str">
        <f aca="false">IF($N335&gt;المرجع!$K$3,"متقدم",IF($N335&lt;=المرجع!$K$2,"أولي","جزئي"))</f>
        <v>متقدم</v>
      </c>
      <c r="T335" s="28" t="n">
        <f aca="false">ROUND($Q335*$O335/100,2)</f>
        <v>18</v>
      </c>
    </row>
    <row r="336" customFormat="false" ht="15" hidden="false" customHeight="true" outlineLevel="0" collapsed="false">
      <c r="A336" s="20" t="s">
        <v>1788</v>
      </c>
      <c r="B336" s="20" t="s">
        <v>192</v>
      </c>
      <c r="C336" s="19" t="str">
        <f aca="false">IFERROR(INDEX('قائمة الوحدات'!$B$2:$B$41,MATCH($B336,'قائمة الوحدات'!$A$2:$A$41,0)),"")</f>
        <v>EXE</v>
      </c>
      <c r="D336" s="18" t="str">
        <f aca="false">IFERROR(INDEX('قائمة الوحدات'!$C$2:$C$41,MATCH($B336,'قائمة الوحدات'!$A$2:$A$41,0)),"")</f>
        <v>الشؤون التنفيذية</v>
      </c>
      <c r="E336" s="18" t="str">
        <f aca="false">IFERROR(INDEX('قائمة الوحدات'!$D$2:$D$41,MATCH($B336,'قائمة الوحدات'!$A$2:$A$41,0)),"")</f>
        <v>وكالة الرقابة والالتزام</v>
      </c>
      <c r="F336" s="18" t="str">
        <f aca="false">IFERROR(INDEX('قائمة الوحدات'!$F$2:$F$41,MATCH($B336,'قائمة الوحدات'!$A$2:$A$41,0)),"")</f>
        <v>وكالة الرقابة والالتزام</v>
      </c>
      <c r="G336" s="20" t="s">
        <v>62</v>
      </c>
      <c r="H336" s="18" t="str">
        <f aca="false">IFERROR(INDEX(المرجع!$A$2:$A$19,MATCH($G336,المرجع!$B$2:$B$19,0)),"")</f>
        <v>البناء المؤسسي</v>
      </c>
      <c r="I336" s="20" t="s">
        <v>57</v>
      </c>
      <c r="J336" s="18" t="str">
        <f aca="false">IFERROR(INDEX(المرجع!$D$2:$D$19,MATCH($I336,المرجع!$E$2:$E$19,0)),"")</f>
        <v>الموارد</v>
      </c>
      <c r="K336" s="19" t="n">
        <f aca="false">IFERROR(INDEX(المرجع!$F$2:$F$19,MATCH($I336,المرجع!$E$2:$E$19,0)),"")</f>
        <v>5</v>
      </c>
      <c r="L336" s="19" t="n">
        <f aca="false">SUMIFS(المرجع!$H$2:$H$19,المرجع!$B$2:$B$19,$G336,المرجع!$E$2:$E$19,$I336)</f>
        <v>4</v>
      </c>
      <c r="M336" s="19" t="n">
        <f aca="false">COUNTIFS('المرتبطة بسمو الوزير'!$B$2:$B$151,$B336,'المرتبطة بسمو الوزير'!$G$2:$G$151,$G336,'المرتبطة بسمو الوزير'!$I$2:$I$151,$I336,'المرتبطة بسمو الوزير'!$M$2:$M$151,"&lt;&gt;")+COUNTIFS('الشؤون التنفيذية'!$B$2:$B$421,$B336,'الشؤون التنفيذية'!$G$2:$G$421,$G336,'الشؤون التنفيذية'!$I$2:$I$421,$I336,'الشؤون التنفيذية'!$N$2:$N$421,"&lt;&gt;")+COUNTIFS('الجهاز العسكري'!$B$2:$B$631,$B336,'الجهاز العسكري'!$G$2:$G$631,$G336,'الجهاز العسكري'!$I$2:$I$631,$I336,'الجهاز العسكري'!$M$2:$M$631,"&lt;&gt;")</f>
        <v>4</v>
      </c>
      <c r="N336" s="24" t="n">
        <f aca="false">IF($L336=0,0,ROUND((SUMIFS('المرتبطة بسمو الوزير'!$M$2:$M$151,'المرتبطة بسمو الوزير'!$B$2:$B$151,$B336,'المرتبطة بسمو الوزير'!$G$2:$G$151,$G336,'المرتبطة بسمو الوزير'!$I$2:$I$151,$I336)+SUMIFS('الشؤون التنفيذية'!$N$2:$N$421,'الشؤون التنفيذية'!$B$2:$B$421,$B336,'الشؤون التنفيذية'!$G$2:$G$421,$G336,'الشؤون التنفيذية'!$I$2:$I$421,$I336)+SUMIFS('الجهاز العسكري'!$M$2:$M$631,'الجهاز العسكري'!$B$2:$B$631,$B336,'الجهاز العسكري'!$G$2:$G$631,$G336,'الجهاز العسكري'!$I$2:$I$631,$I336))/$L336,0))</f>
        <v>88</v>
      </c>
      <c r="O336" s="25" t="n">
        <f aca="false">IF($L336=0,0,ROUND((SUMIFS('المرتبطة بسمو الوزير'!$N$2:$N$151,'المرتبطة بسمو الوزير'!$B$2:$B$151,$B336,'المرتبطة بسمو الوزير'!$G$2:$G$151,$G336,'المرتبطة بسمو الوزير'!$I$2:$I$151,$I336)+SUMIFS('الشؤون التنفيذية'!$O$2:$O$421,'الشؤون التنفيذية'!$B$2:$B$421,$B336,'الشؤون التنفيذية'!$G$2:$G$421,$G336,'الشؤون التنفيذية'!$I$2:$I$421,$I336)+SUMIFS('الجهاز العسكري'!$N$2:$N$631,'الجهاز العسكري'!$B$2:$B$631,$B336,'الجهاز العسكري'!$G$2:$G$631,$G336,'الجهاز العسكري'!$I$2:$I$631,$I336))/$L336,0))</f>
        <v>91</v>
      </c>
      <c r="P336" s="22"/>
      <c r="Q336" s="19" t="n">
        <f aca="false">SUMIFS(المرجع!$G$2:$G$19,المرجع!$B$2:$B$19,$G336,المرجع!$E$2:$E$19,$I336)</f>
        <v>25</v>
      </c>
      <c r="R336" s="26" t="n">
        <f aca="false">ROUND($Q336*$N336/100,2)</f>
        <v>22</v>
      </c>
      <c r="S336" s="27" t="str">
        <f aca="false">IF($N336&gt;المرجع!$K$3,"متقدم",IF($N336&lt;=المرجع!$K$2,"أولي","جزئي"))</f>
        <v>متقدم</v>
      </c>
      <c r="T336" s="28" t="n">
        <f aca="false">ROUND($Q336*$O336/100,2)</f>
        <v>22.75</v>
      </c>
    </row>
    <row r="337" customFormat="false" ht="15" hidden="false" customHeight="true" outlineLevel="0" collapsed="false">
      <c r="A337" s="20" t="s">
        <v>1789</v>
      </c>
      <c r="B337" s="20" t="s">
        <v>192</v>
      </c>
      <c r="C337" s="19" t="str">
        <f aca="false">IFERROR(INDEX('قائمة الوحدات'!$B$2:$B$41,MATCH($B337,'قائمة الوحدات'!$A$2:$A$41,0)),"")</f>
        <v>EXE</v>
      </c>
      <c r="D337" s="18" t="str">
        <f aca="false">IFERROR(INDEX('قائمة الوحدات'!$C$2:$C$41,MATCH($B337,'قائمة الوحدات'!$A$2:$A$41,0)),"")</f>
        <v>الشؤون التنفيذية</v>
      </c>
      <c r="E337" s="18" t="str">
        <f aca="false">IFERROR(INDEX('قائمة الوحدات'!$D$2:$D$41,MATCH($B337,'قائمة الوحدات'!$A$2:$A$41,0)),"")</f>
        <v>وكالة الرقابة والالتزام</v>
      </c>
      <c r="F337" s="18" t="str">
        <f aca="false">IFERROR(INDEX('قائمة الوحدات'!$F$2:$F$41,MATCH($B337,'قائمة الوحدات'!$A$2:$A$41,0)),"")</f>
        <v>وكالة الرقابة والالتزام</v>
      </c>
      <c r="G337" s="20" t="s">
        <v>62</v>
      </c>
      <c r="H337" s="18" t="str">
        <f aca="false">IFERROR(INDEX(المرجع!$A$2:$A$19,MATCH($G337,المرجع!$B$2:$B$19,0)),"")</f>
        <v>البناء المؤسسي</v>
      </c>
      <c r="I337" s="20" t="s">
        <v>60</v>
      </c>
      <c r="J337" s="18" t="str">
        <f aca="false">IFERROR(INDEX(المرجع!$D$2:$D$19,MATCH($I337,المرجع!$E$2:$E$19,0)),"")</f>
        <v>الإجراءات</v>
      </c>
      <c r="K337" s="19" t="n">
        <f aca="false">IFERROR(INDEX(المرجع!$F$2:$F$19,MATCH($I337,المرجع!$E$2:$E$19,0)),"")</f>
        <v>6</v>
      </c>
      <c r="L337" s="19" t="n">
        <f aca="false">SUMIFS(المرجع!$H$2:$H$19,المرجع!$B$2:$B$19,$G337,المرجع!$E$2:$E$19,$I337)</f>
        <v>1</v>
      </c>
      <c r="M337" s="19" t="n">
        <f aca="false">COUNTIFS('المرتبطة بسمو الوزير'!$B$2:$B$151,$B337,'المرتبطة بسمو الوزير'!$G$2:$G$151,$G337,'المرتبطة بسمو الوزير'!$I$2:$I$151,$I337,'المرتبطة بسمو الوزير'!$M$2:$M$151,"&lt;&gt;")+COUNTIFS('الشؤون التنفيذية'!$B$2:$B$421,$B337,'الشؤون التنفيذية'!$G$2:$G$421,$G337,'الشؤون التنفيذية'!$I$2:$I$421,$I337,'الشؤون التنفيذية'!$N$2:$N$421,"&lt;&gt;")+COUNTIFS('الجهاز العسكري'!$B$2:$B$631,$B337,'الجهاز العسكري'!$G$2:$G$631,$G337,'الجهاز العسكري'!$I$2:$I$631,$I337,'الجهاز العسكري'!$M$2:$M$631,"&lt;&gt;")</f>
        <v>1</v>
      </c>
      <c r="N337" s="24" t="n">
        <f aca="false">IF($L337=0,0,ROUND((SUMIFS('المرتبطة بسمو الوزير'!$M$2:$M$151,'المرتبطة بسمو الوزير'!$B$2:$B$151,$B337,'المرتبطة بسمو الوزير'!$G$2:$G$151,$G337,'المرتبطة بسمو الوزير'!$I$2:$I$151,$I337)+SUMIFS('الشؤون التنفيذية'!$N$2:$N$421,'الشؤون التنفيذية'!$B$2:$B$421,$B337,'الشؤون التنفيذية'!$G$2:$G$421,$G337,'الشؤون التنفيذية'!$I$2:$I$421,$I337)+SUMIFS('الجهاز العسكري'!$M$2:$M$631,'الجهاز العسكري'!$B$2:$B$631,$B337,'الجهاز العسكري'!$G$2:$G$631,$G337,'الجهاز العسكري'!$I$2:$I$631,$I337))/$L337,0))</f>
        <v>58</v>
      </c>
      <c r="O337" s="25" t="n">
        <f aca="false">IF($L337=0,0,ROUND((SUMIFS('المرتبطة بسمو الوزير'!$N$2:$N$151,'المرتبطة بسمو الوزير'!$B$2:$B$151,$B337,'المرتبطة بسمو الوزير'!$G$2:$G$151,$G337,'المرتبطة بسمو الوزير'!$I$2:$I$151,$I337)+SUMIFS('الشؤون التنفيذية'!$O$2:$O$421,'الشؤون التنفيذية'!$B$2:$B$421,$B337,'الشؤون التنفيذية'!$G$2:$G$421,$G337,'الشؤون التنفيذية'!$I$2:$I$421,$I337)+SUMIFS('الجهاز العسكري'!$N$2:$N$631,'الجهاز العسكري'!$B$2:$B$631,$B337,'الجهاز العسكري'!$G$2:$G$631,$G337,'الجهاز العسكري'!$I$2:$I$631,$I337))/$L337,0))</f>
        <v>95</v>
      </c>
      <c r="P337" s="22"/>
      <c r="Q337" s="19" t="n">
        <f aca="false">SUMIFS(المرجع!$G$2:$G$19,المرجع!$B$2:$B$19,$G337,المرجع!$E$2:$E$19,$I337)</f>
        <v>5</v>
      </c>
      <c r="R337" s="26" t="n">
        <f aca="false">ROUND($Q337*$N337/100,2)</f>
        <v>2.9</v>
      </c>
      <c r="S337" s="27" t="str">
        <f aca="false">IF($N337&gt;المرجع!$K$3,"متقدم",IF($N337&lt;=المرجع!$K$2,"أولي","جزئي"))</f>
        <v>جزئي</v>
      </c>
      <c r="T337" s="28" t="n">
        <f aca="false">ROUND($Q337*$O337/100,2)</f>
        <v>4.75</v>
      </c>
    </row>
    <row r="338" customFormat="false" ht="15" hidden="false" customHeight="true" outlineLevel="0" collapsed="false">
      <c r="A338" s="20" t="s">
        <v>1790</v>
      </c>
      <c r="B338" s="20" t="s">
        <v>192</v>
      </c>
      <c r="C338" s="19" t="str">
        <f aca="false">IFERROR(INDEX('قائمة الوحدات'!$B$2:$B$41,MATCH($B338,'قائمة الوحدات'!$A$2:$A$41,0)),"")</f>
        <v>EXE</v>
      </c>
      <c r="D338" s="18" t="str">
        <f aca="false">IFERROR(INDEX('قائمة الوحدات'!$C$2:$C$41,MATCH($B338,'قائمة الوحدات'!$A$2:$A$41,0)),"")</f>
        <v>الشؤون التنفيذية</v>
      </c>
      <c r="E338" s="18" t="str">
        <f aca="false">IFERROR(INDEX('قائمة الوحدات'!$D$2:$D$41,MATCH($B338,'قائمة الوحدات'!$A$2:$A$41,0)),"")</f>
        <v>وكالة الرقابة والالتزام</v>
      </c>
      <c r="F338" s="18" t="str">
        <f aca="false">IFERROR(INDEX('قائمة الوحدات'!$F$2:$F$41,MATCH($B338,'قائمة الوحدات'!$A$2:$A$41,0)),"")</f>
        <v>وكالة الرقابة والالتزام</v>
      </c>
      <c r="G338" s="20" t="s">
        <v>62</v>
      </c>
      <c r="H338" s="18" t="str">
        <f aca="false">IFERROR(INDEX(المرجع!$A$2:$A$19,MATCH($G338,المرجع!$B$2:$B$19,0)),"")</f>
        <v>البناء المؤسسي</v>
      </c>
      <c r="I338" s="20" t="s">
        <v>69</v>
      </c>
      <c r="J338" s="18" t="str">
        <f aca="false">IFERROR(INDEX(المرجع!$D$2:$D$19,MATCH($I338,المرجع!$E$2:$E$19,0)),"")</f>
        <v>إنتاج المخرج الأول</v>
      </c>
      <c r="K338" s="19" t="n">
        <f aca="false">IFERROR(INDEX(المرجع!$F$2:$F$19,MATCH($I338,المرجع!$E$2:$E$19,0)),"")</f>
        <v>7</v>
      </c>
      <c r="L338" s="19" t="n">
        <f aca="false">SUMIFS(المرجع!$H$2:$H$19,المرجع!$B$2:$B$19,$G338,المرجع!$E$2:$E$19,$I338)</f>
        <v>1</v>
      </c>
      <c r="M338" s="19" t="n">
        <f aca="false">COUNTIFS('المرتبطة بسمو الوزير'!$B$2:$B$151,$B338,'المرتبطة بسمو الوزير'!$G$2:$G$151,$G338,'المرتبطة بسمو الوزير'!$I$2:$I$151,$I338,'المرتبطة بسمو الوزير'!$M$2:$M$151,"&lt;&gt;")+COUNTIFS('الشؤون التنفيذية'!$B$2:$B$421,$B338,'الشؤون التنفيذية'!$G$2:$G$421,$G338,'الشؤون التنفيذية'!$I$2:$I$421,$I338,'الشؤون التنفيذية'!$N$2:$N$421,"&lt;&gt;")+COUNTIFS('الجهاز العسكري'!$B$2:$B$631,$B338,'الجهاز العسكري'!$G$2:$G$631,$G338,'الجهاز العسكري'!$I$2:$I$631,$I338,'الجهاز العسكري'!$M$2:$M$631,"&lt;&gt;")</f>
        <v>1</v>
      </c>
      <c r="N338" s="24" t="n">
        <f aca="false">IF($L338=0,0,ROUND((SUMIFS('المرتبطة بسمو الوزير'!$M$2:$M$151,'المرتبطة بسمو الوزير'!$B$2:$B$151,$B338,'المرتبطة بسمو الوزير'!$G$2:$G$151,$G338,'المرتبطة بسمو الوزير'!$I$2:$I$151,$I338)+SUMIFS('الشؤون التنفيذية'!$N$2:$N$421,'الشؤون التنفيذية'!$B$2:$B$421,$B338,'الشؤون التنفيذية'!$G$2:$G$421,$G338,'الشؤون التنفيذية'!$I$2:$I$421,$I338)+SUMIFS('الجهاز العسكري'!$M$2:$M$631,'الجهاز العسكري'!$B$2:$B$631,$B338,'الجهاز العسكري'!$G$2:$G$631,$G338,'الجهاز العسكري'!$I$2:$I$631,$I338))/$L338,0))</f>
        <v>77</v>
      </c>
      <c r="O338" s="25" t="n">
        <f aca="false">IF($L338=0,0,ROUND((SUMIFS('المرتبطة بسمو الوزير'!$N$2:$N$151,'المرتبطة بسمو الوزير'!$B$2:$B$151,$B338,'المرتبطة بسمو الوزير'!$G$2:$G$151,$G338,'المرتبطة بسمو الوزير'!$I$2:$I$151,$I338)+SUMIFS('الشؤون التنفيذية'!$O$2:$O$421,'الشؤون التنفيذية'!$B$2:$B$421,$B338,'الشؤون التنفيذية'!$G$2:$G$421,$G338,'الشؤون التنفيذية'!$I$2:$I$421,$I338)+SUMIFS('الجهاز العسكري'!$N$2:$N$631,'الجهاز العسكري'!$B$2:$B$631,$B338,'الجهاز العسكري'!$G$2:$G$631,$G338,'الجهاز العسكري'!$I$2:$I$631,$I338))/$L338,0))</f>
        <v>95</v>
      </c>
      <c r="P338" s="22"/>
      <c r="Q338" s="19" t="n">
        <f aca="false">SUMIFS(المرجع!$G$2:$G$19,المرجع!$B$2:$B$19,$G338,المرجع!$E$2:$E$19,$I338)</f>
        <v>5</v>
      </c>
      <c r="R338" s="26" t="n">
        <f aca="false">ROUND($Q338*$N338/100,2)</f>
        <v>3.85</v>
      </c>
      <c r="S338" s="27" t="str">
        <f aca="false">IF($N338&gt;المرجع!$K$3,"متقدم",IF($N338&lt;=المرجع!$K$2,"أولي","جزئي"))</f>
        <v>متقدم</v>
      </c>
      <c r="T338" s="28" t="n">
        <f aca="false">ROUND($Q338*$O338/100,2)</f>
        <v>4.75</v>
      </c>
    </row>
    <row r="339" customFormat="false" ht="15" hidden="false" customHeight="true" outlineLevel="0" collapsed="false">
      <c r="A339" s="20" t="s">
        <v>1791</v>
      </c>
      <c r="B339" s="20" t="s">
        <v>192</v>
      </c>
      <c r="C339" s="19" t="str">
        <f aca="false">IFERROR(INDEX('قائمة الوحدات'!$B$2:$B$41,MATCH($B339,'قائمة الوحدات'!$A$2:$A$41,0)),"")</f>
        <v>EXE</v>
      </c>
      <c r="D339" s="18" t="str">
        <f aca="false">IFERROR(INDEX('قائمة الوحدات'!$C$2:$C$41,MATCH($B339,'قائمة الوحدات'!$A$2:$A$41,0)),"")</f>
        <v>الشؤون التنفيذية</v>
      </c>
      <c r="E339" s="18" t="str">
        <f aca="false">IFERROR(INDEX('قائمة الوحدات'!$D$2:$D$41,MATCH($B339,'قائمة الوحدات'!$A$2:$A$41,0)),"")</f>
        <v>وكالة الرقابة والالتزام</v>
      </c>
      <c r="F339" s="18" t="str">
        <f aca="false">IFERROR(INDEX('قائمة الوحدات'!$F$2:$F$41,MATCH($B339,'قائمة الوحدات'!$A$2:$A$41,0)),"")</f>
        <v>وكالة الرقابة والالتزام</v>
      </c>
      <c r="G339" s="20" t="s">
        <v>66</v>
      </c>
      <c r="H339" s="18" t="str">
        <f aca="false">IFERROR(INDEX(المرجع!$A$2:$A$19,MATCH($G339,المرجع!$B$2:$B$19,0)),"")</f>
        <v>التشغيل</v>
      </c>
      <c r="I339" s="20" t="s">
        <v>49</v>
      </c>
      <c r="J339" s="18" t="str">
        <f aca="false">IFERROR(INDEX(المرجع!$D$2:$D$19,MATCH($I339,المرجع!$E$2:$E$19,0)),"")</f>
        <v>الأهداف ومؤشرات الأداء</v>
      </c>
      <c r="K339" s="19" t="n">
        <f aca="false">IFERROR(INDEX(المرجع!$F$2:$F$19,MATCH($I339,المرجع!$E$2:$E$19,0)),"")</f>
        <v>2</v>
      </c>
      <c r="L339" s="19" t="n">
        <f aca="false">SUMIFS(المرجع!$H$2:$H$19,المرجع!$B$2:$B$19,$G339,المرجع!$E$2:$E$19,$I339)</f>
        <v>2</v>
      </c>
      <c r="M339" s="19" t="n">
        <f aca="false">COUNTIFS('المرتبطة بسمو الوزير'!$B$2:$B$151,$B339,'المرتبطة بسمو الوزير'!$G$2:$G$151,$G339,'المرتبطة بسمو الوزير'!$I$2:$I$151,$I339,'المرتبطة بسمو الوزير'!$M$2:$M$151,"&lt;&gt;")+COUNTIFS('الشؤون التنفيذية'!$B$2:$B$421,$B339,'الشؤون التنفيذية'!$G$2:$G$421,$G339,'الشؤون التنفيذية'!$I$2:$I$421,$I339,'الشؤون التنفيذية'!$N$2:$N$421,"&lt;&gt;")+COUNTIFS('الجهاز العسكري'!$B$2:$B$631,$B339,'الجهاز العسكري'!$G$2:$G$631,$G339,'الجهاز العسكري'!$I$2:$I$631,$I339,'الجهاز العسكري'!$M$2:$M$631,"&lt;&gt;")</f>
        <v>2</v>
      </c>
      <c r="N339" s="24" t="n">
        <f aca="false">IF($L339=0,0,ROUND((SUMIFS('المرتبطة بسمو الوزير'!$M$2:$M$151,'المرتبطة بسمو الوزير'!$B$2:$B$151,$B339,'المرتبطة بسمو الوزير'!$G$2:$G$151,$G339,'المرتبطة بسمو الوزير'!$I$2:$I$151,$I339)+SUMIFS('الشؤون التنفيذية'!$N$2:$N$421,'الشؤون التنفيذية'!$B$2:$B$421,$B339,'الشؤون التنفيذية'!$G$2:$G$421,$G339,'الشؤون التنفيذية'!$I$2:$I$421,$I339)+SUMIFS('الجهاز العسكري'!$M$2:$M$631,'الجهاز العسكري'!$B$2:$B$631,$B339,'الجهاز العسكري'!$G$2:$G$631,$G339,'الجهاز العسكري'!$I$2:$I$631,$I339))/$L339,0))</f>
        <v>55</v>
      </c>
      <c r="O339" s="25" t="n">
        <f aca="false">IF($L339=0,0,ROUND((SUMIFS('المرتبطة بسمو الوزير'!$N$2:$N$151,'المرتبطة بسمو الوزير'!$B$2:$B$151,$B339,'المرتبطة بسمو الوزير'!$G$2:$G$151,$G339,'المرتبطة بسمو الوزير'!$I$2:$I$151,$I339)+SUMIFS('الشؤون التنفيذية'!$O$2:$O$421,'الشؤون التنفيذية'!$B$2:$B$421,$B339,'الشؤون التنفيذية'!$G$2:$G$421,$G339,'الشؤون التنفيذية'!$I$2:$I$421,$I339)+SUMIFS('الجهاز العسكري'!$N$2:$N$631,'الجهاز العسكري'!$B$2:$B$631,$B339,'الجهاز العسكري'!$G$2:$G$631,$G339,'الجهاز العسكري'!$I$2:$I$631,$I339))/$L339,0))</f>
        <v>90</v>
      </c>
      <c r="P339" s="22"/>
      <c r="Q339" s="19" t="n">
        <f aca="false">SUMIFS(المرجع!$G$2:$G$19,المرجع!$B$2:$B$19,$G339,المرجع!$E$2:$E$19,$I339)</f>
        <v>25</v>
      </c>
      <c r="R339" s="26" t="n">
        <f aca="false">ROUND($Q339*$N339/100,2)</f>
        <v>13.75</v>
      </c>
      <c r="S339" s="27" t="str">
        <f aca="false">IF($N339&gt;المرجع!$K$3,"متقدم",IF($N339&lt;=المرجع!$K$2,"أولي","جزئي"))</f>
        <v>جزئي</v>
      </c>
      <c r="T339" s="28" t="n">
        <f aca="false">ROUND($Q339*$O339/100,2)</f>
        <v>22.5</v>
      </c>
    </row>
    <row r="340" customFormat="false" ht="15" hidden="false" customHeight="true" outlineLevel="0" collapsed="false">
      <c r="A340" s="20" t="s">
        <v>1792</v>
      </c>
      <c r="B340" s="20" t="s">
        <v>192</v>
      </c>
      <c r="C340" s="19" t="str">
        <f aca="false">IFERROR(INDEX('قائمة الوحدات'!$B$2:$B$41,MATCH($B340,'قائمة الوحدات'!$A$2:$A$41,0)),"")</f>
        <v>EXE</v>
      </c>
      <c r="D340" s="18" t="str">
        <f aca="false">IFERROR(INDEX('قائمة الوحدات'!$C$2:$C$41,MATCH($B340,'قائمة الوحدات'!$A$2:$A$41,0)),"")</f>
        <v>الشؤون التنفيذية</v>
      </c>
      <c r="E340" s="18" t="str">
        <f aca="false">IFERROR(INDEX('قائمة الوحدات'!$D$2:$D$41,MATCH($B340,'قائمة الوحدات'!$A$2:$A$41,0)),"")</f>
        <v>وكالة الرقابة والالتزام</v>
      </c>
      <c r="F340" s="18" t="str">
        <f aca="false">IFERROR(INDEX('قائمة الوحدات'!$F$2:$F$41,MATCH($B340,'قائمة الوحدات'!$A$2:$A$41,0)),"")</f>
        <v>وكالة الرقابة والالتزام</v>
      </c>
      <c r="G340" s="20" t="s">
        <v>66</v>
      </c>
      <c r="H340" s="18" t="str">
        <f aca="false">IFERROR(INDEX(المرجع!$A$2:$A$19,MATCH($G340,المرجع!$B$2:$B$19,0)),"")</f>
        <v>التشغيل</v>
      </c>
      <c r="I340" s="20" t="s">
        <v>52</v>
      </c>
      <c r="J340" s="18" t="str">
        <f aca="false">IFERROR(INDEX(المرجع!$D$2:$D$19,MATCH($I340,المرجع!$E$2:$E$19,0)),"")</f>
        <v>الحوكمة</v>
      </c>
      <c r="K340" s="19" t="n">
        <f aca="false">IFERROR(INDEX(المرجع!$F$2:$F$19,MATCH($I340,المرجع!$E$2:$E$19,0)),"")</f>
        <v>3</v>
      </c>
      <c r="L340" s="19" t="n">
        <f aca="false">SUMIFS(المرجع!$H$2:$H$19,المرجع!$B$2:$B$19,$G340,المرجع!$E$2:$E$19,$I340)</f>
        <v>3</v>
      </c>
      <c r="M340" s="19" t="n">
        <f aca="false">COUNTIFS('المرتبطة بسمو الوزير'!$B$2:$B$151,$B340,'المرتبطة بسمو الوزير'!$G$2:$G$151,$G340,'المرتبطة بسمو الوزير'!$I$2:$I$151,$I340,'المرتبطة بسمو الوزير'!$M$2:$M$151,"&lt;&gt;")+COUNTIFS('الشؤون التنفيذية'!$B$2:$B$421,$B340,'الشؤون التنفيذية'!$G$2:$G$421,$G340,'الشؤون التنفيذية'!$I$2:$I$421,$I340,'الشؤون التنفيذية'!$N$2:$N$421,"&lt;&gt;")+COUNTIFS('الجهاز العسكري'!$B$2:$B$631,$B340,'الجهاز العسكري'!$G$2:$G$631,$G340,'الجهاز العسكري'!$I$2:$I$631,$I340,'الجهاز العسكري'!$M$2:$M$631,"&lt;&gt;")</f>
        <v>3</v>
      </c>
      <c r="N340" s="24" t="n">
        <f aca="false">IF($L340=0,0,ROUND((SUMIFS('المرتبطة بسمو الوزير'!$M$2:$M$151,'المرتبطة بسمو الوزير'!$B$2:$B$151,$B340,'المرتبطة بسمو الوزير'!$G$2:$G$151,$G340,'المرتبطة بسمو الوزير'!$I$2:$I$151,$I340)+SUMIFS('الشؤون التنفيذية'!$N$2:$N$421,'الشؤون التنفيذية'!$B$2:$B$421,$B340,'الشؤون التنفيذية'!$G$2:$G$421,$G340,'الشؤون التنفيذية'!$I$2:$I$421,$I340)+SUMIFS('الجهاز العسكري'!$M$2:$M$631,'الجهاز العسكري'!$B$2:$B$631,$B340,'الجهاز العسكري'!$G$2:$G$631,$G340,'الجهاز العسكري'!$I$2:$I$631,$I340))/$L340,0))</f>
        <v>17</v>
      </c>
      <c r="O340" s="25" t="n">
        <f aca="false">IF($L340=0,0,ROUND((SUMIFS('المرتبطة بسمو الوزير'!$N$2:$N$151,'المرتبطة بسمو الوزير'!$B$2:$B$151,$B340,'المرتبطة بسمو الوزير'!$G$2:$G$151,$G340,'المرتبطة بسمو الوزير'!$I$2:$I$151,$I340)+SUMIFS('الشؤون التنفيذية'!$O$2:$O$421,'الشؤون التنفيذية'!$B$2:$B$421,$B340,'الشؤون التنفيذية'!$G$2:$G$421,$G340,'الشؤون التنفيذية'!$I$2:$I$421,$I340)+SUMIFS('الجهاز العسكري'!$N$2:$N$631,'الجهاز العسكري'!$B$2:$B$631,$B340,'الجهاز العسكري'!$G$2:$G$631,$G340,'الجهاز العسكري'!$I$2:$I$631,$I340))/$L340,0))</f>
        <v>95</v>
      </c>
      <c r="P340" s="22"/>
      <c r="Q340" s="19" t="n">
        <f aca="false">SUMIFS(المرجع!$G$2:$G$19,المرجع!$B$2:$B$19,$G340,المرجع!$E$2:$E$19,$I340)</f>
        <v>15</v>
      </c>
      <c r="R340" s="26" t="n">
        <f aca="false">ROUND($Q340*$N340/100,2)</f>
        <v>2.55</v>
      </c>
      <c r="S340" s="27" t="str">
        <f aca="false">IF($N340&gt;المرجع!$K$3,"متقدم",IF($N340&lt;=المرجع!$K$2,"أولي","جزئي"))</f>
        <v>أولي</v>
      </c>
      <c r="T340" s="28" t="n">
        <f aca="false">ROUND($Q340*$O340/100,2)</f>
        <v>14.25</v>
      </c>
    </row>
    <row r="341" customFormat="false" ht="15" hidden="false" customHeight="true" outlineLevel="0" collapsed="false">
      <c r="A341" s="20" t="s">
        <v>1793</v>
      </c>
      <c r="B341" s="20" t="s">
        <v>192</v>
      </c>
      <c r="C341" s="19" t="str">
        <f aca="false">IFERROR(INDEX('قائمة الوحدات'!$B$2:$B$41,MATCH($B341,'قائمة الوحدات'!$A$2:$A$41,0)),"")</f>
        <v>EXE</v>
      </c>
      <c r="D341" s="18" t="str">
        <f aca="false">IFERROR(INDEX('قائمة الوحدات'!$C$2:$C$41,MATCH($B341,'قائمة الوحدات'!$A$2:$A$41,0)),"")</f>
        <v>الشؤون التنفيذية</v>
      </c>
      <c r="E341" s="18" t="str">
        <f aca="false">IFERROR(INDEX('قائمة الوحدات'!$D$2:$D$41,MATCH($B341,'قائمة الوحدات'!$A$2:$A$41,0)),"")</f>
        <v>وكالة الرقابة والالتزام</v>
      </c>
      <c r="F341" s="18" t="str">
        <f aca="false">IFERROR(INDEX('قائمة الوحدات'!$F$2:$F$41,MATCH($B341,'قائمة الوحدات'!$A$2:$A$41,0)),"")</f>
        <v>وكالة الرقابة والالتزام</v>
      </c>
      <c r="G341" s="20" t="s">
        <v>66</v>
      </c>
      <c r="H341" s="18" t="str">
        <f aca="false">IFERROR(INDEX(المرجع!$A$2:$A$19,MATCH($G341,المرجع!$B$2:$B$19,0)),"")</f>
        <v>التشغيل</v>
      </c>
      <c r="I341" s="20" t="s">
        <v>57</v>
      </c>
      <c r="J341" s="18" t="str">
        <f aca="false">IFERROR(INDEX(المرجع!$D$2:$D$19,MATCH($I341,المرجع!$E$2:$E$19,0)),"")</f>
        <v>الموارد</v>
      </c>
      <c r="K341" s="19" t="n">
        <f aca="false">IFERROR(INDEX(المرجع!$F$2:$F$19,MATCH($I341,المرجع!$E$2:$E$19,0)),"")</f>
        <v>5</v>
      </c>
      <c r="L341" s="19" t="n">
        <f aca="false">SUMIFS(المرجع!$H$2:$H$19,المرجع!$B$2:$B$19,$G341,المرجع!$E$2:$E$19,$I341)</f>
        <v>1</v>
      </c>
      <c r="M341" s="19" t="n">
        <f aca="false">COUNTIFS('المرتبطة بسمو الوزير'!$B$2:$B$151,$B341,'المرتبطة بسمو الوزير'!$G$2:$G$151,$G341,'المرتبطة بسمو الوزير'!$I$2:$I$151,$I341,'المرتبطة بسمو الوزير'!$M$2:$M$151,"&lt;&gt;")+COUNTIFS('الشؤون التنفيذية'!$B$2:$B$421,$B341,'الشؤون التنفيذية'!$G$2:$G$421,$G341,'الشؤون التنفيذية'!$I$2:$I$421,$I341,'الشؤون التنفيذية'!$N$2:$N$421,"&lt;&gt;")+COUNTIFS('الجهاز العسكري'!$B$2:$B$631,$B341,'الجهاز العسكري'!$G$2:$G$631,$G341,'الجهاز العسكري'!$I$2:$I$631,$I341,'الجهاز العسكري'!$M$2:$M$631,"&lt;&gt;")</f>
        <v>1</v>
      </c>
      <c r="N341" s="24" t="n">
        <f aca="false">IF($L341=0,0,ROUND((SUMIFS('المرتبطة بسمو الوزير'!$M$2:$M$151,'المرتبطة بسمو الوزير'!$B$2:$B$151,$B341,'المرتبطة بسمو الوزير'!$G$2:$G$151,$G341,'المرتبطة بسمو الوزير'!$I$2:$I$151,$I341)+SUMIFS('الشؤون التنفيذية'!$N$2:$N$421,'الشؤون التنفيذية'!$B$2:$B$421,$B341,'الشؤون التنفيذية'!$G$2:$G$421,$G341,'الشؤون التنفيذية'!$I$2:$I$421,$I341)+SUMIFS('الجهاز العسكري'!$M$2:$M$631,'الجهاز العسكري'!$B$2:$B$631,$B341,'الجهاز العسكري'!$G$2:$G$631,$G341,'الجهاز العسكري'!$I$2:$I$631,$I341))/$L341,0))</f>
        <v>62</v>
      </c>
      <c r="O341" s="25" t="n">
        <f aca="false">IF($L341=0,0,ROUND((SUMIFS('المرتبطة بسمو الوزير'!$N$2:$N$151,'المرتبطة بسمو الوزير'!$B$2:$B$151,$B341,'المرتبطة بسمو الوزير'!$G$2:$G$151,$G341,'المرتبطة بسمو الوزير'!$I$2:$I$151,$I341)+SUMIFS('الشؤون التنفيذية'!$O$2:$O$421,'الشؤون التنفيذية'!$B$2:$B$421,$B341,'الشؤون التنفيذية'!$G$2:$G$421,$G341,'الشؤون التنفيذية'!$I$2:$I$421,$I341)+SUMIFS('الجهاز العسكري'!$N$2:$N$631,'الجهاز العسكري'!$B$2:$B$631,$B341,'الجهاز العسكري'!$G$2:$G$631,$G341,'الجهاز العسكري'!$I$2:$I$631,$I341))/$L341,0))</f>
        <v>100</v>
      </c>
      <c r="P341" s="22"/>
      <c r="Q341" s="19" t="n">
        <f aca="false">SUMIFS(المرجع!$G$2:$G$19,المرجع!$B$2:$B$19,$G341,المرجع!$E$2:$E$19,$I341)</f>
        <v>15</v>
      </c>
      <c r="R341" s="26" t="n">
        <f aca="false">ROUND($Q341*$N341/100,2)</f>
        <v>9.3</v>
      </c>
      <c r="S341" s="27" t="str">
        <f aca="false">IF($N341&gt;المرجع!$K$3,"متقدم",IF($N341&lt;=المرجع!$K$2,"أولي","جزئي"))</f>
        <v>جزئي</v>
      </c>
      <c r="T341" s="28" t="n">
        <f aca="false">ROUND($Q341*$O341/100,2)</f>
        <v>15</v>
      </c>
    </row>
    <row r="342" customFormat="false" ht="15" hidden="false" customHeight="true" outlineLevel="0" collapsed="false">
      <c r="A342" s="20" t="s">
        <v>1794</v>
      </c>
      <c r="B342" s="20" t="s">
        <v>192</v>
      </c>
      <c r="C342" s="19" t="str">
        <f aca="false">IFERROR(INDEX('قائمة الوحدات'!$B$2:$B$41,MATCH($B342,'قائمة الوحدات'!$A$2:$A$41,0)),"")</f>
        <v>EXE</v>
      </c>
      <c r="D342" s="18" t="str">
        <f aca="false">IFERROR(INDEX('قائمة الوحدات'!$C$2:$C$41,MATCH($B342,'قائمة الوحدات'!$A$2:$A$41,0)),"")</f>
        <v>الشؤون التنفيذية</v>
      </c>
      <c r="E342" s="18" t="str">
        <f aca="false">IFERROR(INDEX('قائمة الوحدات'!$D$2:$D$41,MATCH($B342,'قائمة الوحدات'!$A$2:$A$41,0)),"")</f>
        <v>وكالة الرقابة والالتزام</v>
      </c>
      <c r="F342" s="18" t="str">
        <f aca="false">IFERROR(INDEX('قائمة الوحدات'!$F$2:$F$41,MATCH($B342,'قائمة الوحدات'!$A$2:$A$41,0)),"")</f>
        <v>وكالة الرقابة والالتزام</v>
      </c>
      <c r="G342" s="20" t="s">
        <v>66</v>
      </c>
      <c r="H342" s="18" t="str">
        <f aca="false">IFERROR(INDEX(المرجع!$A$2:$A$19,MATCH($G342,المرجع!$B$2:$B$19,0)),"")</f>
        <v>التشغيل</v>
      </c>
      <c r="I342" s="20" t="s">
        <v>60</v>
      </c>
      <c r="J342" s="18" t="str">
        <f aca="false">IFERROR(INDEX(المرجع!$D$2:$D$19,MATCH($I342,المرجع!$E$2:$E$19,0)),"")</f>
        <v>الإجراءات</v>
      </c>
      <c r="K342" s="19" t="n">
        <f aca="false">IFERROR(INDEX(المرجع!$F$2:$F$19,MATCH($I342,المرجع!$E$2:$E$19,0)),"")</f>
        <v>6</v>
      </c>
      <c r="L342" s="19" t="n">
        <f aca="false">SUMIFS(المرجع!$H$2:$H$19,المرجع!$B$2:$B$19,$G342,المرجع!$E$2:$E$19,$I342)</f>
        <v>1</v>
      </c>
      <c r="M342" s="19" t="n">
        <f aca="false">COUNTIFS('المرتبطة بسمو الوزير'!$B$2:$B$151,$B342,'المرتبطة بسمو الوزير'!$G$2:$G$151,$G342,'المرتبطة بسمو الوزير'!$I$2:$I$151,$I342,'المرتبطة بسمو الوزير'!$M$2:$M$151,"&lt;&gt;")+COUNTIFS('الشؤون التنفيذية'!$B$2:$B$421,$B342,'الشؤون التنفيذية'!$G$2:$G$421,$G342,'الشؤون التنفيذية'!$I$2:$I$421,$I342,'الشؤون التنفيذية'!$N$2:$N$421,"&lt;&gt;")+COUNTIFS('الجهاز العسكري'!$B$2:$B$631,$B342,'الجهاز العسكري'!$G$2:$G$631,$G342,'الجهاز العسكري'!$I$2:$I$631,$I342,'الجهاز العسكري'!$M$2:$M$631,"&lt;&gt;")</f>
        <v>1</v>
      </c>
      <c r="N342" s="24" t="n">
        <f aca="false">IF($L342=0,0,ROUND((SUMIFS('المرتبطة بسمو الوزير'!$M$2:$M$151,'المرتبطة بسمو الوزير'!$B$2:$B$151,$B342,'المرتبطة بسمو الوزير'!$G$2:$G$151,$G342,'المرتبطة بسمو الوزير'!$I$2:$I$151,$I342)+SUMIFS('الشؤون التنفيذية'!$N$2:$N$421,'الشؤون التنفيذية'!$B$2:$B$421,$B342,'الشؤون التنفيذية'!$G$2:$G$421,$G342,'الشؤون التنفيذية'!$I$2:$I$421,$I342)+SUMIFS('الجهاز العسكري'!$M$2:$M$631,'الجهاز العسكري'!$B$2:$B$631,$B342,'الجهاز العسكري'!$G$2:$G$631,$G342,'الجهاز العسكري'!$I$2:$I$631,$I342))/$L342,0))</f>
        <v>33</v>
      </c>
      <c r="O342" s="25" t="n">
        <f aca="false">IF($L342=0,0,ROUND((SUMIFS('المرتبطة بسمو الوزير'!$N$2:$N$151,'المرتبطة بسمو الوزير'!$B$2:$B$151,$B342,'المرتبطة بسمو الوزير'!$G$2:$G$151,$G342,'المرتبطة بسمو الوزير'!$I$2:$I$151,$I342)+SUMIFS('الشؤون التنفيذية'!$O$2:$O$421,'الشؤون التنفيذية'!$B$2:$B$421,$B342,'الشؤون التنفيذية'!$G$2:$G$421,$G342,'الشؤون التنفيذية'!$I$2:$I$421,$I342)+SUMIFS('الجهاز العسكري'!$N$2:$N$631,'الجهاز العسكري'!$B$2:$B$631,$B342,'الجهاز العسكري'!$G$2:$G$631,$G342,'الجهاز العسكري'!$I$2:$I$631,$I342))/$L342,0))</f>
        <v>90</v>
      </c>
      <c r="P342" s="22"/>
      <c r="Q342" s="19" t="n">
        <f aca="false">SUMIFS(المرجع!$G$2:$G$19,المرجع!$B$2:$B$19,$G342,المرجع!$E$2:$E$19,$I342)</f>
        <v>15</v>
      </c>
      <c r="R342" s="26" t="n">
        <f aca="false">ROUND($Q342*$N342/100,2)</f>
        <v>4.95</v>
      </c>
      <c r="S342" s="27" t="str">
        <f aca="false">IF($N342&gt;المرجع!$K$3,"متقدم",IF($N342&lt;=المرجع!$K$2,"أولي","جزئي"))</f>
        <v>جزئي</v>
      </c>
      <c r="T342" s="28" t="n">
        <f aca="false">ROUND($Q342*$O342/100,2)</f>
        <v>13.5</v>
      </c>
    </row>
    <row r="343" customFormat="false" ht="15" hidden="false" customHeight="true" outlineLevel="0" collapsed="false">
      <c r="A343" s="20" t="s">
        <v>1795</v>
      </c>
      <c r="B343" s="20" t="s">
        <v>192</v>
      </c>
      <c r="C343" s="19" t="str">
        <f aca="false">IFERROR(INDEX('قائمة الوحدات'!$B$2:$B$41,MATCH($B343,'قائمة الوحدات'!$A$2:$A$41,0)),"")</f>
        <v>EXE</v>
      </c>
      <c r="D343" s="18" t="str">
        <f aca="false">IFERROR(INDEX('قائمة الوحدات'!$C$2:$C$41,MATCH($B343,'قائمة الوحدات'!$A$2:$A$41,0)),"")</f>
        <v>الشؤون التنفيذية</v>
      </c>
      <c r="E343" s="18" t="str">
        <f aca="false">IFERROR(INDEX('قائمة الوحدات'!$D$2:$D$41,MATCH($B343,'قائمة الوحدات'!$A$2:$A$41,0)),"")</f>
        <v>وكالة الرقابة والالتزام</v>
      </c>
      <c r="F343" s="18" t="str">
        <f aca="false">IFERROR(INDEX('قائمة الوحدات'!$F$2:$F$41,MATCH($B343,'قائمة الوحدات'!$A$2:$A$41,0)),"")</f>
        <v>وكالة الرقابة والالتزام</v>
      </c>
      <c r="G343" s="20" t="s">
        <v>66</v>
      </c>
      <c r="H343" s="18" t="str">
        <f aca="false">IFERROR(INDEX(المرجع!$A$2:$A$19,MATCH($G343,المرجع!$B$2:$B$19,0)),"")</f>
        <v>التشغيل</v>
      </c>
      <c r="I343" s="20" t="s">
        <v>71</v>
      </c>
      <c r="J343" s="18" t="str">
        <f aca="false">IFERROR(INDEX(المرجع!$D$2:$D$19,MATCH($I343,المرجع!$E$2:$E$19,0)),"")</f>
        <v>اكتمال المخرجات المستهدفة</v>
      </c>
      <c r="K343" s="19" t="n">
        <f aca="false">IFERROR(INDEX(المرجع!$F$2:$F$19,MATCH($I343,المرجع!$E$2:$E$19,0)),"")</f>
        <v>8</v>
      </c>
      <c r="L343" s="19" t="n">
        <f aca="false">SUMIFS(المرجع!$H$2:$H$19,المرجع!$B$2:$B$19,$G343,المرجع!$E$2:$E$19,$I343)</f>
        <v>1</v>
      </c>
      <c r="M343" s="19" t="n">
        <f aca="false">COUNTIFS('المرتبطة بسمو الوزير'!$B$2:$B$151,$B343,'المرتبطة بسمو الوزير'!$G$2:$G$151,$G343,'المرتبطة بسمو الوزير'!$I$2:$I$151,$I343,'المرتبطة بسمو الوزير'!$M$2:$M$151,"&lt;&gt;")+COUNTIFS('الشؤون التنفيذية'!$B$2:$B$421,$B343,'الشؤون التنفيذية'!$G$2:$G$421,$G343,'الشؤون التنفيذية'!$I$2:$I$421,$I343,'الشؤون التنفيذية'!$N$2:$N$421,"&lt;&gt;")+COUNTIFS('الجهاز العسكري'!$B$2:$B$631,$B343,'الجهاز العسكري'!$G$2:$G$631,$G343,'الجهاز العسكري'!$I$2:$I$631,$I343,'الجهاز العسكري'!$M$2:$M$631,"&lt;&gt;")</f>
        <v>1</v>
      </c>
      <c r="N343" s="24" t="n">
        <f aca="false">IF($L343=0,0,ROUND((SUMIFS('المرتبطة بسمو الوزير'!$M$2:$M$151,'المرتبطة بسمو الوزير'!$B$2:$B$151,$B343,'المرتبطة بسمو الوزير'!$G$2:$G$151,$G343,'المرتبطة بسمو الوزير'!$I$2:$I$151,$I343)+SUMIFS('الشؤون التنفيذية'!$N$2:$N$421,'الشؤون التنفيذية'!$B$2:$B$421,$B343,'الشؤون التنفيذية'!$G$2:$G$421,$G343,'الشؤون التنفيذية'!$I$2:$I$421,$I343)+SUMIFS('الجهاز العسكري'!$M$2:$M$631,'الجهاز العسكري'!$B$2:$B$631,$B343,'الجهاز العسكري'!$G$2:$G$631,$G343,'الجهاز العسكري'!$I$2:$I$631,$I343))/$L343,0))</f>
        <v>56</v>
      </c>
      <c r="O343" s="25" t="n">
        <f aca="false">IF($L343=0,0,ROUND((SUMIFS('المرتبطة بسمو الوزير'!$N$2:$N$151,'المرتبطة بسمو الوزير'!$B$2:$B$151,$B343,'المرتبطة بسمو الوزير'!$G$2:$G$151,$G343,'المرتبطة بسمو الوزير'!$I$2:$I$151,$I343)+SUMIFS('الشؤون التنفيذية'!$O$2:$O$421,'الشؤون التنفيذية'!$B$2:$B$421,$B343,'الشؤون التنفيذية'!$G$2:$G$421,$G343,'الشؤون التنفيذية'!$I$2:$I$421,$I343)+SUMIFS('الجهاز العسكري'!$N$2:$N$631,'الجهاز العسكري'!$B$2:$B$631,$B343,'الجهاز العسكري'!$G$2:$G$631,$G343,'الجهاز العسكري'!$I$2:$I$631,$I343))/$L343,0))</f>
        <v>100</v>
      </c>
      <c r="P343" s="22"/>
      <c r="Q343" s="19" t="n">
        <f aca="false">SUMIFS(المرجع!$G$2:$G$19,المرجع!$B$2:$B$19,$G343,المرجع!$E$2:$E$19,$I343)</f>
        <v>30</v>
      </c>
      <c r="R343" s="26" t="n">
        <f aca="false">ROUND($Q343*$N343/100,2)</f>
        <v>16.8</v>
      </c>
      <c r="S343" s="27" t="str">
        <f aca="false">IF($N343&gt;المرجع!$K$3,"متقدم",IF($N343&lt;=المرجع!$K$2,"أولي","جزئي"))</f>
        <v>جزئي</v>
      </c>
      <c r="T343" s="28" t="n">
        <f aca="false">ROUND($Q343*$O343/100,2)</f>
        <v>30</v>
      </c>
    </row>
    <row r="344" customFormat="false" ht="15" hidden="false" customHeight="true" outlineLevel="0" collapsed="false">
      <c r="A344" s="20" t="s">
        <v>1796</v>
      </c>
      <c r="B344" s="20" t="s">
        <v>194</v>
      </c>
      <c r="C344" s="19" t="str">
        <f aca="false">IFERROR(INDEX('قائمة الوحدات'!$B$2:$B$41,MATCH($B344,'قائمة الوحدات'!$A$2:$A$41,0)),"")</f>
        <v>MIL</v>
      </c>
      <c r="D344" s="18" t="str">
        <f aca="false">IFERROR(INDEX('قائمة الوحدات'!$C$2:$C$41,MATCH($B344,'قائمة الوحدات'!$A$2:$A$41,0)),"")</f>
        <v>الجهاز العسكري</v>
      </c>
      <c r="E344" s="18" t="str">
        <f aca="false">IFERROR(INDEX('قائمة الوحدات'!$D$2:$D$41,MATCH($B344,'قائمة الوحدات'!$A$2:$A$41,0)),"")</f>
        <v>هيئة الأركان</v>
      </c>
      <c r="F344" s="18" t="str">
        <f aca="false">IFERROR(INDEX('قائمة الوحدات'!$F$2:$F$41,MATCH($B344,'قائمة الوحدات'!$A$2:$A$41,0)),"")</f>
        <v>هيئة الأركان</v>
      </c>
      <c r="G344" s="20" t="s">
        <v>44</v>
      </c>
      <c r="H344" s="18" t="str">
        <f aca="false">IFERROR(INDEX(المرجع!$A$2:$A$19,MATCH($G344,المرجع!$B$2:$B$19,0)),"")</f>
        <v>التصميم</v>
      </c>
      <c r="I344" s="20" t="s">
        <v>46</v>
      </c>
      <c r="J344" s="18" t="str">
        <f aca="false">IFERROR(INDEX(المرجع!$D$2:$D$19,MATCH($I344,المرجع!$E$2:$E$19,0)),"")</f>
        <v>الدور</v>
      </c>
      <c r="K344" s="19" t="n">
        <f aca="false">IFERROR(INDEX(المرجع!$F$2:$F$19,MATCH($I344,المرجع!$E$2:$E$19,0)),"")</f>
        <v>1</v>
      </c>
      <c r="L344" s="19" t="n">
        <f aca="false">SUMIFS(المرجع!$H$2:$H$19,المرجع!$B$2:$B$19,$G344,المرجع!$E$2:$E$19,$I344)</f>
        <v>1</v>
      </c>
      <c r="M344" s="19" t="n">
        <f aca="false">COUNTIFS('المرتبطة بسمو الوزير'!$B$2:$B$151,$B344,'المرتبطة بسمو الوزير'!$G$2:$G$151,$G344,'المرتبطة بسمو الوزير'!$I$2:$I$151,$I344,'المرتبطة بسمو الوزير'!$M$2:$M$151,"&lt;&gt;")+COUNTIFS('الشؤون التنفيذية'!$B$2:$B$421,$B344,'الشؤون التنفيذية'!$G$2:$G$421,$G344,'الشؤون التنفيذية'!$I$2:$I$421,$I344,'الشؤون التنفيذية'!$N$2:$N$421,"&lt;&gt;")+COUNTIFS('الجهاز العسكري'!$B$2:$B$631,$B344,'الجهاز العسكري'!$G$2:$G$631,$G344,'الجهاز العسكري'!$I$2:$I$631,$I344,'الجهاز العسكري'!$M$2:$M$631,"&lt;&gt;")</f>
        <v>1</v>
      </c>
      <c r="N344" s="24" t="n">
        <f aca="false">IF($L344=0,0,ROUND((SUMIFS('المرتبطة بسمو الوزير'!$M$2:$M$151,'المرتبطة بسمو الوزير'!$B$2:$B$151,$B344,'المرتبطة بسمو الوزير'!$G$2:$G$151,$G344,'المرتبطة بسمو الوزير'!$I$2:$I$151,$I344)+SUMIFS('الشؤون التنفيذية'!$N$2:$N$421,'الشؤون التنفيذية'!$B$2:$B$421,$B344,'الشؤون التنفيذية'!$G$2:$G$421,$G344,'الشؤون التنفيذية'!$I$2:$I$421,$I344)+SUMIFS('الجهاز العسكري'!$M$2:$M$631,'الجهاز العسكري'!$B$2:$B$631,$B344,'الجهاز العسكري'!$G$2:$G$631,$G344,'الجهاز العسكري'!$I$2:$I$631,$I344))/$L344,0))</f>
        <v>72</v>
      </c>
      <c r="O344" s="25" t="n">
        <f aca="false">IF($L344=0,0,ROUND((SUMIFS('المرتبطة بسمو الوزير'!$N$2:$N$151,'المرتبطة بسمو الوزير'!$B$2:$B$151,$B344,'المرتبطة بسمو الوزير'!$G$2:$G$151,$G344,'المرتبطة بسمو الوزير'!$I$2:$I$151,$I344)+SUMIFS('الشؤون التنفيذية'!$O$2:$O$421,'الشؤون التنفيذية'!$B$2:$B$421,$B344,'الشؤون التنفيذية'!$G$2:$G$421,$G344,'الشؤون التنفيذية'!$I$2:$I$421,$I344)+SUMIFS('الجهاز العسكري'!$N$2:$N$631,'الجهاز العسكري'!$B$2:$B$631,$B344,'الجهاز العسكري'!$G$2:$G$631,$G344,'الجهاز العسكري'!$I$2:$I$631,$I344))/$L344,0))</f>
        <v>80</v>
      </c>
      <c r="P344" s="22"/>
      <c r="Q344" s="19" t="n">
        <f aca="false">SUMIFS(المرجع!$G$2:$G$19,المرجع!$B$2:$B$19,$G344,المرجع!$E$2:$E$19,$I344)</f>
        <v>25</v>
      </c>
      <c r="R344" s="26" t="n">
        <f aca="false">ROUND($Q344*$N344/100,2)</f>
        <v>18</v>
      </c>
      <c r="S344" s="27" t="str">
        <f aca="false">IF($N344&gt;المرجع!$K$3,"متقدم",IF($N344&lt;=المرجع!$K$2,"أولي","جزئي"))</f>
        <v>متقدم</v>
      </c>
      <c r="T344" s="28" t="n">
        <f aca="false">ROUND($Q344*$O344/100,2)</f>
        <v>20</v>
      </c>
    </row>
    <row r="345" customFormat="false" ht="15" hidden="false" customHeight="true" outlineLevel="0" collapsed="false">
      <c r="A345" s="20" t="s">
        <v>1797</v>
      </c>
      <c r="B345" s="20" t="s">
        <v>194</v>
      </c>
      <c r="C345" s="19" t="str">
        <f aca="false">IFERROR(INDEX('قائمة الوحدات'!$B$2:$B$41,MATCH($B345,'قائمة الوحدات'!$A$2:$A$41,0)),"")</f>
        <v>MIL</v>
      </c>
      <c r="D345" s="18" t="str">
        <f aca="false">IFERROR(INDEX('قائمة الوحدات'!$C$2:$C$41,MATCH($B345,'قائمة الوحدات'!$A$2:$A$41,0)),"")</f>
        <v>الجهاز العسكري</v>
      </c>
      <c r="E345" s="18" t="str">
        <f aca="false">IFERROR(INDEX('قائمة الوحدات'!$D$2:$D$41,MATCH($B345,'قائمة الوحدات'!$A$2:$A$41,0)),"")</f>
        <v>هيئة الأركان</v>
      </c>
      <c r="F345" s="18" t="str">
        <f aca="false">IFERROR(INDEX('قائمة الوحدات'!$F$2:$F$41,MATCH($B345,'قائمة الوحدات'!$A$2:$A$41,0)),"")</f>
        <v>هيئة الأركان</v>
      </c>
      <c r="G345" s="20" t="s">
        <v>44</v>
      </c>
      <c r="H345" s="18" t="str">
        <f aca="false">IFERROR(INDEX(المرجع!$A$2:$A$19,MATCH($G345,المرجع!$B$2:$B$19,0)),"")</f>
        <v>التصميم</v>
      </c>
      <c r="I345" s="20" t="s">
        <v>49</v>
      </c>
      <c r="J345" s="18" t="str">
        <f aca="false">IFERROR(INDEX(المرجع!$D$2:$D$19,MATCH($I345,المرجع!$E$2:$E$19,0)),"")</f>
        <v>الأهداف ومؤشرات الأداء</v>
      </c>
      <c r="K345" s="19" t="n">
        <f aca="false">IFERROR(INDEX(المرجع!$F$2:$F$19,MATCH($I345,المرجع!$E$2:$E$19,0)),"")</f>
        <v>2</v>
      </c>
      <c r="L345" s="19" t="n">
        <f aca="false">SUMIFS(المرجع!$H$2:$H$19,المرجع!$B$2:$B$19,$G345,المرجع!$E$2:$E$19,$I345)</f>
        <v>2</v>
      </c>
      <c r="M345" s="19" t="n">
        <f aca="false">COUNTIFS('المرتبطة بسمو الوزير'!$B$2:$B$151,$B345,'المرتبطة بسمو الوزير'!$G$2:$G$151,$G345,'المرتبطة بسمو الوزير'!$I$2:$I$151,$I345,'المرتبطة بسمو الوزير'!$M$2:$M$151,"&lt;&gt;")+COUNTIFS('الشؤون التنفيذية'!$B$2:$B$421,$B345,'الشؤون التنفيذية'!$G$2:$G$421,$G345,'الشؤون التنفيذية'!$I$2:$I$421,$I345,'الشؤون التنفيذية'!$N$2:$N$421,"&lt;&gt;")+COUNTIFS('الجهاز العسكري'!$B$2:$B$631,$B345,'الجهاز العسكري'!$G$2:$G$631,$G345,'الجهاز العسكري'!$I$2:$I$631,$I345,'الجهاز العسكري'!$M$2:$M$631,"&lt;&gt;")</f>
        <v>2</v>
      </c>
      <c r="N345" s="24" t="n">
        <f aca="false">IF($L345=0,0,ROUND((SUMIFS('المرتبطة بسمو الوزير'!$M$2:$M$151,'المرتبطة بسمو الوزير'!$B$2:$B$151,$B345,'المرتبطة بسمو الوزير'!$G$2:$G$151,$G345,'المرتبطة بسمو الوزير'!$I$2:$I$151,$I345)+SUMIFS('الشؤون التنفيذية'!$N$2:$N$421,'الشؤون التنفيذية'!$B$2:$B$421,$B345,'الشؤون التنفيذية'!$G$2:$G$421,$G345,'الشؤون التنفيذية'!$I$2:$I$421,$I345)+SUMIFS('الجهاز العسكري'!$M$2:$M$631,'الجهاز العسكري'!$B$2:$B$631,$B345,'الجهاز العسكري'!$G$2:$G$631,$G345,'الجهاز العسكري'!$I$2:$I$631,$I345))/$L345,0))</f>
        <v>68</v>
      </c>
      <c r="O345" s="25" t="n">
        <f aca="false">IF($L345=0,0,ROUND((SUMIFS('المرتبطة بسمو الوزير'!$N$2:$N$151,'المرتبطة بسمو الوزير'!$B$2:$B$151,$B345,'المرتبطة بسمو الوزير'!$G$2:$G$151,$G345,'المرتبطة بسمو الوزير'!$I$2:$I$151,$I345)+SUMIFS('الشؤون التنفيذية'!$O$2:$O$421,'الشؤون التنفيذية'!$B$2:$B$421,$B345,'الشؤون التنفيذية'!$G$2:$G$421,$G345,'الشؤون التنفيذية'!$I$2:$I$421,$I345)+SUMIFS('الجهاز العسكري'!$N$2:$N$631,'الجهاز العسكري'!$B$2:$B$631,$B345,'الجهاز العسكري'!$G$2:$G$631,$G345,'الجهاز العسكري'!$I$2:$I$631,$I345))/$L345,0))</f>
        <v>90</v>
      </c>
      <c r="P345" s="22"/>
      <c r="Q345" s="19" t="n">
        <f aca="false">SUMIFS(المرجع!$G$2:$G$19,المرجع!$B$2:$B$19,$G345,المرجع!$E$2:$E$19,$I345)</f>
        <v>15</v>
      </c>
      <c r="R345" s="26" t="n">
        <f aca="false">ROUND($Q345*$N345/100,2)</f>
        <v>10.2</v>
      </c>
      <c r="S345" s="27" t="str">
        <f aca="false">IF($N345&gt;المرجع!$K$3,"متقدم",IF($N345&lt;=المرجع!$K$2,"أولي","جزئي"))</f>
        <v>جزئي</v>
      </c>
      <c r="T345" s="28" t="n">
        <f aca="false">ROUND($Q345*$O345/100,2)</f>
        <v>13.5</v>
      </c>
    </row>
    <row r="346" customFormat="false" ht="15" hidden="false" customHeight="true" outlineLevel="0" collapsed="false">
      <c r="A346" s="20" t="s">
        <v>1798</v>
      </c>
      <c r="B346" s="20" t="s">
        <v>194</v>
      </c>
      <c r="C346" s="19" t="str">
        <f aca="false">IFERROR(INDEX('قائمة الوحدات'!$B$2:$B$41,MATCH($B346,'قائمة الوحدات'!$A$2:$A$41,0)),"")</f>
        <v>MIL</v>
      </c>
      <c r="D346" s="18" t="str">
        <f aca="false">IFERROR(INDEX('قائمة الوحدات'!$C$2:$C$41,MATCH($B346,'قائمة الوحدات'!$A$2:$A$41,0)),"")</f>
        <v>الجهاز العسكري</v>
      </c>
      <c r="E346" s="18" t="str">
        <f aca="false">IFERROR(INDEX('قائمة الوحدات'!$D$2:$D$41,MATCH($B346,'قائمة الوحدات'!$A$2:$A$41,0)),"")</f>
        <v>هيئة الأركان</v>
      </c>
      <c r="F346" s="18" t="str">
        <f aca="false">IFERROR(INDEX('قائمة الوحدات'!$F$2:$F$41,MATCH($B346,'قائمة الوحدات'!$A$2:$A$41,0)),"")</f>
        <v>هيئة الأركان</v>
      </c>
      <c r="G346" s="20" t="s">
        <v>44</v>
      </c>
      <c r="H346" s="18" t="str">
        <f aca="false">IFERROR(INDEX(المرجع!$A$2:$A$19,MATCH($G346,المرجع!$B$2:$B$19,0)),"")</f>
        <v>التصميم</v>
      </c>
      <c r="I346" s="20" t="s">
        <v>52</v>
      </c>
      <c r="J346" s="18" t="str">
        <f aca="false">IFERROR(INDEX(المرجع!$D$2:$D$19,MATCH($I346,المرجع!$E$2:$E$19,0)),"")</f>
        <v>الحوكمة</v>
      </c>
      <c r="K346" s="19" t="n">
        <f aca="false">IFERROR(INDEX(المرجع!$F$2:$F$19,MATCH($I346,المرجع!$E$2:$E$19,0)),"")</f>
        <v>3</v>
      </c>
      <c r="L346" s="19" t="n">
        <f aca="false">SUMIFS(المرجع!$H$2:$H$19,المرجع!$B$2:$B$19,$G346,المرجع!$E$2:$E$19,$I346)</f>
        <v>1</v>
      </c>
      <c r="M346" s="19" t="n">
        <f aca="false">COUNTIFS('المرتبطة بسمو الوزير'!$B$2:$B$151,$B346,'المرتبطة بسمو الوزير'!$G$2:$G$151,$G346,'المرتبطة بسمو الوزير'!$I$2:$I$151,$I346,'المرتبطة بسمو الوزير'!$M$2:$M$151,"&lt;&gt;")+COUNTIFS('الشؤون التنفيذية'!$B$2:$B$421,$B346,'الشؤون التنفيذية'!$G$2:$G$421,$G346,'الشؤون التنفيذية'!$I$2:$I$421,$I346,'الشؤون التنفيذية'!$N$2:$N$421,"&lt;&gt;")+COUNTIFS('الجهاز العسكري'!$B$2:$B$631,$B346,'الجهاز العسكري'!$G$2:$G$631,$G346,'الجهاز العسكري'!$I$2:$I$631,$I346,'الجهاز العسكري'!$M$2:$M$631,"&lt;&gt;")</f>
        <v>1</v>
      </c>
      <c r="N346" s="24" t="n">
        <f aca="false">IF($L346=0,0,ROUND((SUMIFS('المرتبطة بسمو الوزير'!$M$2:$M$151,'المرتبطة بسمو الوزير'!$B$2:$B$151,$B346,'المرتبطة بسمو الوزير'!$G$2:$G$151,$G346,'المرتبطة بسمو الوزير'!$I$2:$I$151,$I346)+SUMIFS('الشؤون التنفيذية'!$N$2:$N$421,'الشؤون التنفيذية'!$B$2:$B$421,$B346,'الشؤون التنفيذية'!$G$2:$G$421,$G346,'الشؤون التنفيذية'!$I$2:$I$421,$I346)+SUMIFS('الجهاز العسكري'!$M$2:$M$631,'الجهاز العسكري'!$B$2:$B$631,$B346,'الجهاز العسكري'!$G$2:$G$631,$G346,'الجهاز العسكري'!$I$2:$I$631,$I346))/$L346,0))</f>
        <v>73</v>
      </c>
      <c r="O346" s="25" t="n">
        <f aca="false">IF($L346=0,0,ROUND((SUMIFS('المرتبطة بسمو الوزير'!$N$2:$N$151,'المرتبطة بسمو الوزير'!$B$2:$B$151,$B346,'المرتبطة بسمو الوزير'!$G$2:$G$151,$G346,'المرتبطة بسمو الوزير'!$I$2:$I$151,$I346)+SUMIFS('الشؤون التنفيذية'!$O$2:$O$421,'الشؤون التنفيذية'!$B$2:$B$421,$B346,'الشؤون التنفيذية'!$G$2:$G$421,$G346,'الشؤون التنفيذية'!$I$2:$I$421,$I346)+SUMIFS('الجهاز العسكري'!$N$2:$N$631,'الجهاز العسكري'!$B$2:$B$631,$B346,'الجهاز العسكري'!$G$2:$G$631,$G346,'الجهاز العسكري'!$I$2:$I$631,$I346))/$L346,0))</f>
        <v>85</v>
      </c>
      <c r="P346" s="22"/>
      <c r="Q346" s="19" t="n">
        <f aca="false">SUMIFS(المرجع!$G$2:$G$19,المرجع!$B$2:$B$19,$G346,المرجع!$E$2:$E$19,$I346)</f>
        <v>15</v>
      </c>
      <c r="R346" s="26" t="n">
        <f aca="false">ROUND($Q346*$N346/100,2)</f>
        <v>10.95</v>
      </c>
      <c r="S346" s="27" t="str">
        <f aca="false">IF($N346&gt;المرجع!$K$3,"متقدم",IF($N346&lt;=المرجع!$K$2,"أولي","جزئي"))</f>
        <v>متقدم</v>
      </c>
      <c r="T346" s="28" t="n">
        <f aca="false">ROUND($Q346*$O346/100,2)</f>
        <v>12.75</v>
      </c>
    </row>
    <row r="347" customFormat="false" ht="15" hidden="false" customHeight="true" outlineLevel="0" collapsed="false">
      <c r="A347" s="20" t="s">
        <v>1799</v>
      </c>
      <c r="B347" s="20" t="s">
        <v>194</v>
      </c>
      <c r="C347" s="19" t="str">
        <f aca="false">IFERROR(INDEX('قائمة الوحدات'!$B$2:$B$41,MATCH($B347,'قائمة الوحدات'!$A$2:$A$41,0)),"")</f>
        <v>MIL</v>
      </c>
      <c r="D347" s="18" t="str">
        <f aca="false">IFERROR(INDEX('قائمة الوحدات'!$C$2:$C$41,MATCH($B347,'قائمة الوحدات'!$A$2:$A$41,0)),"")</f>
        <v>الجهاز العسكري</v>
      </c>
      <c r="E347" s="18" t="str">
        <f aca="false">IFERROR(INDEX('قائمة الوحدات'!$D$2:$D$41,MATCH($B347,'قائمة الوحدات'!$A$2:$A$41,0)),"")</f>
        <v>هيئة الأركان</v>
      </c>
      <c r="F347" s="18" t="str">
        <f aca="false">IFERROR(INDEX('قائمة الوحدات'!$F$2:$F$41,MATCH($B347,'قائمة الوحدات'!$A$2:$A$41,0)),"")</f>
        <v>هيئة الأركان</v>
      </c>
      <c r="G347" s="20" t="s">
        <v>44</v>
      </c>
      <c r="H347" s="18" t="str">
        <f aca="false">IFERROR(INDEX(المرجع!$A$2:$A$19,MATCH($G347,المرجع!$B$2:$B$19,0)),"")</f>
        <v>التصميم</v>
      </c>
      <c r="I347" s="20" t="s">
        <v>55</v>
      </c>
      <c r="J347" s="18" t="str">
        <f aca="false">IFERROR(INDEX(المرجع!$D$2:$D$19,MATCH($I347,المرجع!$E$2:$E$19,0)),"")</f>
        <v>التنظيم</v>
      </c>
      <c r="K347" s="19" t="n">
        <f aca="false">IFERROR(INDEX(المرجع!$F$2:$F$19,MATCH($I347,المرجع!$E$2:$E$19,0)),"")</f>
        <v>4</v>
      </c>
      <c r="L347" s="19" t="n">
        <f aca="false">SUMIFS(المرجع!$H$2:$H$19,المرجع!$B$2:$B$19,$G347,المرجع!$E$2:$E$19,$I347)</f>
        <v>1</v>
      </c>
      <c r="M347" s="19" t="n">
        <f aca="false">COUNTIFS('المرتبطة بسمو الوزير'!$B$2:$B$151,$B347,'المرتبطة بسمو الوزير'!$G$2:$G$151,$G347,'المرتبطة بسمو الوزير'!$I$2:$I$151,$I347,'المرتبطة بسمو الوزير'!$M$2:$M$151,"&lt;&gt;")+COUNTIFS('الشؤون التنفيذية'!$B$2:$B$421,$B347,'الشؤون التنفيذية'!$G$2:$G$421,$G347,'الشؤون التنفيذية'!$I$2:$I$421,$I347,'الشؤون التنفيذية'!$N$2:$N$421,"&lt;&gt;")+COUNTIFS('الجهاز العسكري'!$B$2:$B$631,$B347,'الجهاز العسكري'!$G$2:$G$631,$G347,'الجهاز العسكري'!$I$2:$I$631,$I347,'الجهاز العسكري'!$M$2:$M$631,"&lt;&gt;")</f>
        <v>1</v>
      </c>
      <c r="N347" s="24" t="n">
        <f aca="false">IF($L347=0,0,ROUND((SUMIFS('المرتبطة بسمو الوزير'!$M$2:$M$151,'المرتبطة بسمو الوزير'!$B$2:$B$151,$B347,'المرتبطة بسمو الوزير'!$G$2:$G$151,$G347,'المرتبطة بسمو الوزير'!$I$2:$I$151,$I347)+SUMIFS('الشؤون التنفيذية'!$N$2:$N$421,'الشؤون التنفيذية'!$B$2:$B$421,$B347,'الشؤون التنفيذية'!$G$2:$G$421,$G347,'الشؤون التنفيذية'!$I$2:$I$421,$I347)+SUMIFS('الجهاز العسكري'!$M$2:$M$631,'الجهاز العسكري'!$B$2:$B$631,$B347,'الجهاز العسكري'!$G$2:$G$631,$G347,'الجهاز العسكري'!$I$2:$I$631,$I347))/$L347,0))</f>
        <v>75</v>
      </c>
      <c r="O347" s="25" t="n">
        <f aca="false">IF($L347=0,0,ROUND((SUMIFS('المرتبطة بسمو الوزير'!$N$2:$N$151,'المرتبطة بسمو الوزير'!$B$2:$B$151,$B347,'المرتبطة بسمو الوزير'!$G$2:$G$151,$G347,'المرتبطة بسمو الوزير'!$I$2:$I$151,$I347)+SUMIFS('الشؤون التنفيذية'!$O$2:$O$421,'الشؤون التنفيذية'!$B$2:$B$421,$B347,'الشؤون التنفيذية'!$G$2:$G$421,$G347,'الشؤون التنفيذية'!$I$2:$I$421,$I347)+SUMIFS('الجهاز العسكري'!$N$2:$N$631,'الجهاز العسكري'!$B$2:$B$631,$B347,'الجهاز العسكري'!$G$2:$G$631,$G347,'الجهاز العسكري'!$I$2:$I$631,$I347))/$L347,0))</f>
        <v>80</v>
      </c>
      <c r="P347" s="22"/>
      <c r="Q347" s="19" t="n">
        <f aca="false">SUMIFS(المرجع!$G$2:$G$19,المرجع!$B$2:$B$19,$G347,المرجع!$E$2:$E$19,$I347)</f>
        <v>20</v>
      </c>
      <c r="R347" s="26" t="n">
        <f aca="false">ROUND($Q347*$N347/100,2)</f>
        <v>15</v>
      </c>
      <c r="S347" s="27" t="str">
        <f aca="false">IF($N347&gt;المرجع!$K$3,"متقدم",IF($N347&lt;=المرجع!$K$2,"أولي","جزئي"))</f>
        <v>متقدم</v>
      </c>
      <c r="T347" s="28" t="n">
        <f aca="false">ROUND($Q347*$O347/100,2)</f>
        <v>16</v>
      </c>
    </row>
    <row r="348" customFormat="false" ht="15" hidden="false" customHeight="true" outlineLevel="0" collapsed="false">
      <c r="A348" s="20" t="s">
        <v>1800</v>
      </c>
      <c r="B348" s="20" t="s">
        <v>194</v>
      </c>
      <c r="C348" s="19" t="str">
        <f aca="false">IFERROR(INDEX('قائمة الوحدات'!$B$2:$B$41,MATCH($B348,'قائمة الوحدات'!$A$2:$A$41,0)),"")</f>
        <v>MIL</v>
      </c>
      <c r="D348" s="18" t="str">
        <f aca="false">IFERROR(INDEX('قائمة الوحدات'!$C$2:$C$41,MATCH($B348,'قائمة الوحدات'!$A$2:$A$41,0)),"")</f>
        <v>الجهاز العسكري</v>
      </c>
      <c r="E348" s="18" t="str">
        <f aca="false">IFERROR(INDEX('قائمة الوحدات'!$D$2:$D$41,MATCH($B348,'قائمة الوحدات'!$A$2:$A$41,0)),"")</f>
        <v>هيئة الأركان</v>
      </c>
      <c r="F348" s="18" t="str">
        <f aca="false">IFERROR(INDEX('قائمة الوحدات'!$F$2:$F$41,MATCH($B348,'قائمة الوحدات'!$A$2:$A$41,0)),"")</f>
        <v>هيئة الأركان</v>
      </c>
      <c r="G348" s="20" t="s">
        <v>44</v>
      </c>
      <c r="H348" s="18" t="str">
        <f aca="false">IFERROR(INDEX(المرجع!$A$2:$A$19,MATCH($G348,المرجع!$B$2:$B$19,0)),"")</f>
        <v>التصميم</v>
      </c>
      <c r="I348" s="20" t="s">
        <v>57</v>
      </c>
      <c r="J348" s="18" t="str">
        <f aca="false">IFERROR(INDEX(المرجع!$D$2:$D$19,MATCH($I348,المرجع!$E$2:$E$19,0)),"")</f>
        <v>الموارد</v>
      </c>
      <c r="K348" s="19" t="n">
        <f aca="false">IFERROR(INDEX(المرجع!$F$2:$F$19,MATCH($I348,المرجع!$E$2:$E$19,0)),"")</f>
        <v>5</v>
      </c>
      <c r="L348" s="19" t="n">
        <f aca="false">SUMIFS(المرجع!$H$2:$H$19,المرجع!$B$2:$B$19,$G348,المرجع!$E$2:$E$19,$I348)</f>
        <v>1</v>
      </c>
      <c r="M348" s="19" t="n">
        <f aca="false">COUNTIFS('المرتبطة بسمو الوزير'!$B$2:$B$151,$B348,'المرتبطة بسمو الوزير'!$G$2:$G$151,$G348,'المرتبطة بسمو الوزير'!$I$2:$I$151,$I348,'المرتبطة بسمو الوزير'!$M$2:$M$151,"&lt;&gt;")+COUNTIFS('الشؤون التنفيذية'!$B$2:$B$421,$B348,'الشؤون التنفيذية'!$G$2:$G$421,$G348,'الشؤون التنفيذية'!$I$2:$I$421,$I348,'الشؤون التنفيذية'!$N$2:$N$421,"&lt;&gt;")+COUNTIFS('الجهاز العسكري'!$B$2:$B$631,$B348,'الجهاز العسكري'!$G$2:$G$631,$G348,'الجهاز العسكري'!$I$2:$I$631,$I348,'الجهاز العسكري'!$M$2:$M$631,"&lt;&gt;")</f>
        <v>1</v>
      </c>
      <c r="N348" s="24" t="n">
        <f aca="false">IF($L348=0,0,ROUND((SUMIFS('المرتبطة بسمو الوزير'!$M$2:$M$151,'المرتبطة بسمو الوزير'!$B$2:$B$151,$B348,'المرتبطة بسمو الوزير'!$G$2:$G$151,$G348,'المرتبطة بسمو الوزير'!$I$2:$I$151,$I348)+SUMIFS('الشؤون التنفيذية'!$N$2:$N$421,'الشؤون التنفيذية'!$B$2:$B$421,$B348,'الشؤون التنفيذية'!$G$2:$G$421,$G348,'الشؤون التنفيذية'!$I$2:$I$421,$I348)+SUMIFS('الجهاز العسكري'!$M$2:$M$631,'الجهاز العسكري'!$B$2:$B$631,$B348,'الجهاز العسكري'!$G$2:$G$631,$G348,'الجهاز العسكري'!$I$2:$I$631,$I348))/$L348,0))</f>
        <v>70</v>
      </c>
      <c r="O348" s="25" t="n">
        <f aca="false">IF($L348=0,0,ROUND((SUMIFS('المرتبطة بسمو الوزير'!$N$2:$N$151,'المرتبطة بسمو الوزير'!$B$2:$B$151,$B348,'المرتبطة بسمو الوزير'!$G$2:$G$151,$G348,'المرتبطة بسمو الوزير'!$I$2:$I$151,$I348)+SUMIFS('الشؤون التنفيذية'!$O$2:$O$421,'الشؤون التنفيذية'!$B$2:$B$421,$B348,'الشؤون التنفيذية'!$G$2:$G$421,$G348,'الشؤون التنفيذية'!$I$2:$I$421,$I348)+SUMIFS('الجهاز العسكري'!$N$2:$N$631,'الجهاز العسكري'!$B$2:$B$631,$B348,'الجهاز العسكري'!$G$2:$G$631,$G348,'الجهاز العسكري'!$I$2:$I$631,$I348))/$L348,0))</f>
        <v>80</v>
      </c>
      <c r="P348" s="22"/>
      <c r="Q348" s="19" t="n">
        <f aca="false">SUMIFS(المرجع!$G$2:$G$19,المرجع!$B$2:$B$19,$G348,المرجع!$E$2:$E$19,$I348)</f>
        <v>20</v>
      </c>
      <c r="R348" s="26" t="n">
        <f aca="false">ROUND($Q348*$N348/100,2)</f>
        <v>14</v>
      </c>
      <c r="S348" s="27" t="str">
        <f aca="false">IF($N348&gt;المرجع!$K$3,"متقدم",IF($N348&lt;=المرجع!$K$2,"أولي","جزئي"))</f>
        <v>جزئي</v>
      </c>
      <c r="T348" s="28" t="n">
        <f aca="false">ROUND($Q348*$O348/100,2)</f>
        <v>16</v>
      </c>
    </row>
    <row r="349" customFormat="false" ht="15" hidden="false" customHeight="true" outlineLevel="0" collapsed="false">
      <c r="A349" s="20" t="s">
        <v>1801</v>
      </c>
      <c r="B349" s="20" t="s">
        <v>194</v>
      </c>
      <c r="C349" s="19" t="str">
        <f aca="false">IFERROR(INDEX('قائمة الوحدات'!$B$2:$B$41,MATCH($B349,'قائمة الوحدات'!$A$2:$A$41,0)),"")</f>
        <v>MIL</v>
      </c>
      <c r="D349" s="18" t="str">
        <f aca="false">IFERROR(INDEX('قائمة الوحدات'!$C$2:$C$41,MATCH($B349,'قائمة الوحدات'!$A$2:$A$41,0)),"")</f>
        <v>الجهاز العسكري</v>
      </c>
      <c r="E349" s="18" t="str">
        <f aca="false">IFERROR(INDEX('قائمة الوحدات'!$D$2:$D$41,MATCH($B349,'قائمة الوحدات'!$A$2:$A$41,0)),"")</f>
        <v>هيئة الأركان</v>
      </c>
      <c r="F349" s="18" t="str">
        <f aca="false">IFERROR(INDEX('قائمة الوحدات'!$F$2:$F$41,MATCH($B349,'قائمة الوحدات'!$A$2:$A$41,0)),"")</f>
        <v>هيئة الأركان</v>
      </c>
      <c r="G349" s="20" t="s">
        <v>44</v>
      </c>
      <c r="H349" s="18" t="str">
        <f aca="false">IFERROR(INDEX(المرجع!$A$2:$A$19,MATCH($G349,المرجع!$B$2:$B$19,0)),"")</f>
        <v>التصميم</v>
      </c>
      <c r="I349" s="20" t="s">
        <v>60</v>
      </c>
      <c r="J349" s="18" t="str">
        <f aca="false">IFERROR(INDEX(المرجع!$D$2:$D$19,MATCH($I349,المرجع!$E$2:$E$19,0)),"")</f>
        <v>الإجراءات</v>
      </c>
      <c r="K349" s="19" t="n">
        <f aca="false">IFERROR(INDEX(المرجع!$F$2:$F$19,MATCH($I349,المرجع!$E$2:$E$19,0)),"")</f>
        <v>6</v>
      </c>
      <c r="L349" s="19" t="n">
        <f aca="false">SUMIFS(المرجع!$H$2:$H$19,المرجع!$B$2:$B$19,$G349,المرجع!$E$2:$E$19,$I349)</f>
        <v>1</v>
      </c>
      <c r="M349" s="19" t="n">
        <f aca="false">COUNTIFS('المرتبطة بسمو الوزير'!$B$2:$B$151,$B349,'المرتبطة بسمو الوزير'!$G$2:$G$151,$G349,'المرتبطة بسمو الوزير'!$I$2:$I$151,$I349,'المرتبطة بسمو الوزير'!$M$2:$M$151,"&lt;&gt;")+COUNTIFS('الشؤون التنفيذية'!$B$2:$B$421,$B349,'الشؤون التنفيذية'!$G$2:$G$421,$G349,'الشؤون التنفيذية'!$I$2:$I$421,$I349,'الشؤون التنفيذية'!$N$2:$N$421,"&lt;&gt;")+COUNTIFS('الجهاز العسكري'!$B$2:$B$631,$B349,'الجهاز العسكري'!$G$2:$G$631,$G349,'الجهاز العسكري'!$I$2:$I$631,$I349,'الجهاز العسكري'!$M$2:$M$631,"&lt;&gt;")</f>
        <v>1</v>
      </c>
      <c r="N349" s="24" t="n">
        <f aca="false">IF($L349=0,0,ROUND((SUMIFS('المرتبطة بسمو الوزير'!$M$2:$M$151,'المرتبطة بسمو الوزير'!$B$2:$B$151,$B349,'المرتبطة بسمو الوزير'!$G$2:$G$151,$G349,'المرتبطة بسمو الوزير'!$I$2:$I$151,$I349)+SUMIFS('الشؤون التنفيذية'!$N$2:$N$421,'الشؤون التنفيذية'!$B$2:$B$421,$B349,'الشؤون التنفيذية'!$G$2:$G$421,$G349,'الشؤون التنفيذية'!$I$2:$I$421,$I349)+SUMIFS('الجهاز العسكري'!$M$2:$M$631,'الجهاز العسكري'!$B$2:$B$631,$B349,'الجهاز العسكري'!$G$2:$G$631,$G349,'الجهاز العسكري'!$I$2:$I$631,$I349))/$L349,0))</f>
        <v>82</v>
      </c>
      <c r="O349" s="25" t="n">
        <f aca="false">IF($L349=0,0,ROUND((SUMIFS('المرتبطة بسمو الوزير'!$N$2:$N$151,'المرتبطة بسمو الوزير'!$B$2:$B$151,$B349,'المرتبطة بسمو الوزير'!$G$2:$G$151,$G349,'المرتبطة بسمو الوزير'!$I$2:$I$151,$I349)+SUMIFS('الشؤون التنفيذية'!$O$2:$O$421,'الشؤون التنفيذية'!$B$2:$B$421,$B349,'الشؤون التنفيذية'!$G$2:$G$421,$G349,'الشؤون التنفيذية'!$I$2:$I$421,$I349)+SUMIFS('الجهاز العسكري'!$N$2:$N$631,'الجهاز العسكري'!$B$2:$B$631,$B349,'الجهاز العسكري'!$G$2:$G$631,$G349,'الجهاز العسكري'!$I$2:$I$631,$I349))/$L349,0))</f>
        <v>90</v>
      </c>
      <c r="P349" s="22"/>
      <c r="Q349" s="19" t="n">
        <f aca="false">SUMIFS(المرجع!$G$2:$G$19,المرجع!$B$2:$B$19,$G349,المرجع!$E$2:$E$19,$I349)</f>
        <v>5</v>
      </c>
      <c r="R349" s="26" t="n">
        <f aca="false">ROUND($Q349*$N349/100,2)</f>
        <v>4.1</v>
      </c>
      <c r="S349" s="27" t="str">
        <f aca="false">IF($N349&gt;المرجع!$K$3,"متقدم",IF($N349&lt;=المرجع!$K$2,"أولي","جزئي"))</f>
        <v>متقدم</v>
      </c>
      <c r="T349" s="28" t="n">
        <f aca="false">ROUND($Q349*$O349/100,2)</f>
        <v>4.5</v>
      </c>
    </row>
    <row r="350" customFormat="false" ht="15" hidden="false" customHeight="true" outlineLevel="0" collapsed="false">
      <c r="A350" s="20" t="s">
        <v>1802</v>
      </c>
      <c r="B350" s="20" t="s">
        <v>194</v>
      </c>
      <c r="C350" s="19" t="str">
        <f aca="false">IFERROR(INDEX('قائمة الوحدات'!$B$2:$B$41,MATCH($B350,'قائمة الوحدات'!$A$2:$A$41,0)),"")</f>
        <v>MIL</v>
      </c>
      <c r="D350" s="18" t="str">
        <f aca="false">IFERROR(INDEX('قائمة الوحدات'!$C$2:$C$41,MATCH($B350,'قائمة الوحدات'!$A$2:$A$41,0)),"")</f>
        <v>الجهاز العسكري</v>
      </c>
      <c r="E350" s="18" t="str">
        <f aca="false">IFERROR(INDEX('قائمة الوحدات'!$D$2:$D$41,MATCH($B350,'قائمة الوحدات'!$A$2:$A$41,0)),"")</f>
        <v>هيئة الأركان</v>
      </c>
      <c r="F350" s="18" t="str">
        <f aca="false">IFERROR(INDEX('قائمة الوحدات'!$F$2:$F$41,MATCH($B350,'قائمة الوحدات'!$A$2:$A$41,0)),"")</f>
        <v>هيئة الأركان</v>
      </c>
      <c r="G350" s="20" t="s">
        <v>62</v>
      </c>
      <c r="H350" s="18" t="str">
        <f aca="false">IFERROR(INDEX(المرجع!$A$2:$A$19,MATCH($G350,المرجع!$B$2:$B$19,0)),"")</f>
        <v>البناء المؤسسي</v>
      </c>
      <c r="I350" s="20" t="s">
        <v>46</v>
      </c>
      <c r="J350" s="18" t="str">
        <f aca="false">IFERROR(INDEX(المرجع!$D$2:$D$19,MATCH($I350,المرجع!$E$2:$E$19,0)),"")</f>
        <v>الدور</v>
      </c>
      <c r="K350" s="19" t="n">
        <f aca="false">IFERROR(INDEX(المرجع!$F$2:$F$19,MATCH($I350,المرجع!$E$2:$E$19,0)),"")</f>
        <v>1</v>
      </c>
      <c r="L350" s="19" t="n">
        <f aca="false">SUMIFS(المرجع!$H$2:$H$19,المرجع!$B$2:$B$19,$G350,المرجع!$E$2:$E$19,$I350)</f>
        <v>1</v>
      </c>
      <c r="M350" s="19" t="n">
        <f aca="false">COUNTIFS('المرتبطة بسمو الوزير'!$B$2:$B$151,$B350,'المرتبطة بسمو الوزير'!$G$2:$G$151,$G350,'المرتبطة بسمو الوزير'!$I$2:$I$151,$I350,'المرتبطة بسمو الوزير'!$M$2:$M$151,"&lt;&gt;")+COUNTIFS('الشؤون التنفيذية'!$B$2:$B$421,$B350,'الشؤون التنفيذية'!$G$2:$G$421,$G350,'الشؤون التنفيذية'!$I$2:$I$421,$I350,'الشؤون التنفيذية'!$N$2:$N$421,"&lt;&gt;")+COUNTIFS('الجهاز العسكري'!$B$2:$B$631,$B350,'الجهاز العسكري'!$G$2:$G$631,$G350,'الجهاز العسكري'!$I$2:$I$631,$I350,'الجهاز العسكري'!$M$2:$M$631,"&lt;&gt;")</f>
        <v>1</v>
      </c>
      <c r="N350" s="24" t="n">
        <f aca="false">IF($L350=0,0,ROUND((SUMIFS('المرتبطة بسمو الوزير'!$M$2:$M$151,'المرتبطة بسمو الوزير'!$B$2:$B$151,$B350,'المرتبطة بسمو الوزير'!$G$2:$G$151,$G350,'المرتبطة بسمو الوزير'!$I$2:$I$151,$I350)+SUMIFS('الشؤون التنفيذية'!$N$2:$N$421,'الشؤون التنفيذية'!$B$2:$B$421,$B350,'الشؤون التنفيذية'!$G$2:$G$421,$G350,'الشؤون التنفيذية'!$I$2:$I$421,$I350)+SUMIFS('الجهاز العسكري'!$M$2:$M$631,'الجهاز العسكري'!$B$2:$B$631,$B350,'الجهاز العسكري'!$G$2:$G$631,$G350,'الجهاز العسكري'!$I$2:$I$631,$I350))/$L350,0))</f>
        <v>62</v>
      </c>
      <c r="O350" s="25" t="n">
        <f aca="false">IF($L350=0,0,ROUND((SUMIFS('المرتبطة بسمو الوزير'!$N$2:$N$151,'المرتبطة بسمو الوزير'!$B$2:$B$151,$B350,'المرتبطة بسمو الوزير'!$G$2:$G$151,$G350,'المرتبطة بسمو الوزير'!$I$2:$I$151,$I350)+SUMIFS('الشؤون التنفيذية'!$O$2:$O$421,'الشؤون التنفيذية'!$B$2:$B$421,$B350,'الشؤون التنفيذية'!$G$2:$G$421,$G350,'الشؤون التنفيذية'!$I$2:$I$421,$I350)+SUMIFS('الجهاز العسكري'!$N$2:$N$631,'الجهاز العسكري'!$B$2:$B$631,$B350,'الجهاز العسكري'!$G$2:$G$631,$G350,'الجهاز العسكري'!$I$2:$I$631,$I350))/$L350,0))</f>
        <v>90</v>
      </c>
      <c r="P350" s="22"/>
      <c r="Q350" s="19" t="n">
        <f aca="false">SUMIFS(المرجع!$G$2:$G$19,المرجع!$B$2:$B$19,$G350,المرجع!$E$2:$E$19,$I350)</f>
        <v>15</v>
      </c>
      <c r="R350" s="26" t="n">
        <f aca="false">ROUND($Q350*$N350/100,2)</f>
        <v>9.3</v>
      </c>
      <c r="S350" s="27" t="str">
        <f aca="false">IF($N350&gt;المرجع!$K$3,"متقدم",IF($N350&lt;=المرجع!$K$2,"أولي","جزئي"))</f>
        <v>جزئي</v>
      </c>
      <c r="T350" s="28" t="n">
        <f aca="false">ROUND($Q350*$O350/100,2)</f>
        <v>13.5</v>
      </c>
    </row>
    <row r="351" customFormat="false" ht="15" hidden="false" customHeight="true" outlineLevel="0" collapsed="false">
      <c r="A351" s="20" t="s">
        <v>1803</v>
      </c>
      <c r="B351" s="20" t="s">
        <v>194</v>
      </c>
      <c r="C351" s="19" t="str">
        <f aca="false">IFERROR(INDEX('قائمة الوحدات'!$B$2:$B$41,MATCH($B351,'قائمة الوحدات'!$A$2:$A$41,0)),"")</f>
        <v>MIL</v>
      </c>
      <c r="D351" s="18" t="str">
        <f aca="false">IFERROR(INDEX('قائمة الوحدات'!$C$2:$C$41,MATCH($B351,'قائمة الوحدات'!$A$2:$A$41,0)),"")</f>
        <v>الجهاز العسكري</v>
      </c>
      <c r="E351" s="18" t="str">
        <f aca="false">IFERROR(INDEX('قائمة الوحدات'!$D$2:$D$41,MATCH($B351,'قائمة الوحدات'!$A$2:$A$41,0)),"")</f>
        <v>هيئة الأركان</v>
      </c>
      <c r="F351" s="18" t="str">
        <f aca="false">IFERROR(INDEX('قائمة الوحدات'!$F$2:$F$41,MATCH($B351,'قائمة الوحدات'!$A$2:$A$41,0)),"")</f>
        <v>هيئة الأركان</v>
      </c>
      <c r="G351" s="20" t="s">
        <v>62</v>
      </c>
      <c r="H351" s="18" t="str">
        <f aca="false">IFERROR(INDEX(المرجع!$A$2:$A$19,MATCH($G351,المرجع!$B$2:$B$19,0)),"")</f>
        <v>البناء المؤسسي</v>
      </c>
      <c r="I351" s="20" t="s">
        <v>49</v>
      </c>
      <c r="J351" s="18" t="str">
        <f aca="false">IFERROR(INDEX(المرجع!$D$2:$D$19,MATCH($I351,المرجع!$E$2:$E$19,0)),"")</f>
        <v>الأهداف ومؤشرات الأداء</v>
      </c>
      <c r="K351" s="19" t="n">
        <f aca="false">IFERROR(INDEX(المرجع!$F$2:$F$19,MATCH($I351,المرجع!$E$2:$E$19,0)),"")</f>
        <v>2</v>
      </c>
      <c r="L351" s="19" t="n">
        <f aca="false">SUMIFS(المرجع!$H$2:$H$19,المرجع!$B$2:$B$19,$G351,المرجع!$E$2:$E$19,$I351)</f>
        <v>2</v>
      </c>
      <c r="M351" s="19" t="n">
        <f aca="false">COUNTIFS('المرتبطة بسمو الوزير'!$B$2:$B$151,$B351,'المرتبطة بسمو الوزير'!$G$2:$G$151,$G351,'المرتبطة بسمو الوزير'!$I$2:$I$151,$I351,'المرتبطة بسمو الوزير'!$M$2:$M$151,"&lt;&gt;")+COUNTIFS('الشؤون التنفيذية'!$B$2:$B$421,$B351,'الشؤون التنفيذية'!$G$2:$G$421,$G351,'الشؤون التنفيذية'!$I$2:$I$421,$I351,'الشؤون التنفيذية'!$N$2:$N$421,"&lt;&gt;")+COUNTIFS('الجهاز العسكري'!$B$2:$B$631,$B351,'الجهاز العسكري'!$G$2:$G$631,$G351,'الجهاز العسكري'!$I$2:$I$631,$I351,'الجهاز العسكري'!$M$2:$M$631,"&lt;&gt;")</f>
        <v>2</v>
      </c>
      <c r="N351" s="24" t="n">
        <f aca="false">IF($L351=0,0,ROUND((SUMIFS('المرتبطة بسمو الوزير'!$M$2:$M$151,'المرتبطة بسمو الوزير'!$B$2:$B$151,$B351,'المرتبطة بسمو الوزير'!$G$2:$G$151,$G351,'المرتبطة بسمو الوزير'!$I$2:$I$151,$I351)+SUMIFS('الشؤون التنفيذية'!$N$2:$N$421,'الشؤون التنفيذية'!$B$2:$B$421,$B351,'الشؤون التنفيذية'!$G$2:$G$421,$G351,'الشؤون التنفيذية'!$I$2:$I$421,$I351)+SUMIFS('الجهاز العسكري'!$M$2:$M$631,'الجهاز العسكري'!$B$2:$B$631,$B351,'الجهاز العسكري'!$G$2:$G$631,$G351,'الجهاز العسكري'!$I$2:$I$631,$I351))/$L351,0))</f>
        <v>83</v>
      </c>
      <c r="O351" s="25" t="n">
        <f aca="false">IF($L351=0,0,ROUND((SUMIFS('المرتبطة بسمو الوزير'!$N$2:$N$151,'المرتبطة بسمو الوزير'!$B$2:$B$151,$B351,'المرتبطة بسمو الوزير'!$G$2:$G$151,$G351,'المرتبطة بسمو الوزير'!$I$2:$I$151,$I351)+SUMIFS('الشؤون التنفيذية'!$O$2:$O$421,'الشؤون التنفيذية'!$B$2:$B$421,$B351,'الشؤون التنفيذية'!$G$2:$G$421,$G351,'الشؤون التنفيذية'!$I$2:$I$421,$I351)+SUMIFS('الجهاز العسكري'!$N$2:$N$631,'الجهاز العسكري'!$B$2:$B$631,$B351,'الجهاز العسكري'!$G$2:$G$631,$G351,'الجهاز العسكري'!$I$2:$I$631,$I351))/$L351,0))</f>
        <v>90</v>
      </c>
      <c r="P351" s="22"/>
      <c r="Q351" s="19" t="n">
        <f aca="false">SUMIFS(المرجع!$G$2:$G$19,المرجع!$B$2:$B$19,$G351,المرجع!$E$2:$E$19,$I351)</f>
        <v>15</v>
      </c>
      <c r="R351" s="26" t="n">
        <f aca="false">ROUND($Q351*$N351/100,2)</f>
        <v>12.45</v>
      </c>
      <c r="S351" s="27" t="str">
        <f aca="false">IF($N351&gt;المرجع!$K$3,"متقدم",IF($N351&lt;=المرجع!$K$2,"أولي","جزئي"))</f>
        <v>متقدم</v>
      </c>
      <c r="T351" s="28" t="n">
        <f aca="false">ROUND($Q351*$O351/100,2)</f>
        <v>13.5</v>
      </c>
    </row>
    <row r="352" customFormat="false" ht="15" hidden="false" customHeight="true" outlineLevel="0" collapsed="false">
      <c r="A352" s="20" t="s">
        <v>1804</v>
      </c>
      <c r="B352" s="20" t="s">
        <v>194</v>
      </c>
      <c r="C352" s="19" t="str">
        <f aca="false">IFERROR(INDEX('قائمة الوحدات'!$B$2:$B$41,MATCH($B352,'قائمة الوحدات'!$A$2:$A$41,0)),"")</f>
        <v>MIL</v>
      </c>
      <c r="D352" s="18" t="str">
        <f aca="false">IFERROR(INDEX('قائمة الوحدات'!$C$2:$C$41,MATCH($B352,'قائمة الوحدات'!$A$2:$A$41,0)),"")</f>
        <v>الجهاز العسكري</v>
      </c>
      <c r="E352" s="18" t="str">
        <f aca="false">IFERROR(INDEX('قائمة الوحدات'!$D$2:$D$41,MATCH($B352,'قائمة الوحدات'!$A$2:$A$41,0)),"")</f>
        <v>هيئة الأركان</v>
      </c>
      <c r="F352" s="18" t="str">
        <f aca="false">IFERROR(INDEX('قائمة الوحدات'!$F$2:$F$41,MATCH($B352,'قائمة الوحدات'!$A$2:$A$41,0)),"")</f>
        <v>هيئة الأركان</v>
      </c>
      <c r="G352" s="20" t="s">
        <v>62</v>
      </c>
      <c r="H352" s="18" t="str">
        <f aca="false">IFERROR(INDEX(المرجع!$A$2:$A$19,MATCH($G352,المرجع!$B$2:$B$19,0)),"")</f>
        <v>البناء المؤسسي</v>
      </c>
      <c r="I352" s="20" t="s">
        <v>52</v>
      </c>
      <c r="J352" s="18" t="str">
        <f aca="false">IFERROR(INDEX(المرجع!$D$2:$D$19,MATCH($I352,المرجع!$E$2:$E$19,0)),"")</f>
        <v>الحوكمة</v>
      </c>
      <c r="K352" s="19" t="n">
        <f aca="false">IFERROR(INDEX(المرجع!$F$2:$F$19,MATCH($I352,المرجع!$E$2:$E$19,0)),"")</f>
        <v>3</v>
      </c>
      <c r="L352" s="19" t="n">
        <f aca="false">SUMIFS(المرجع!$H$2:$H$19,المرجع!$B$2:$B$19,$G352,المرجع!$E$2:$E$19,$I352)</f>
        <v>3</v>
      </c>
      <c r="M352" s="19" t="n">
        <f aca="false">COUNTIFS('المرتبطة بسمو الوزير'!$B$2:$B$151,$B352,'المرتبطة بسمو الوزير'!$G$2:$G$151,$G352,'المرتبطة بسمو الوزير'!$I$2:$I$151,$I352,'المرتبطة بسمو الوزير'!$M$2:$M$151,"&lt;&gt;")+COUNTIFS('الشؤون التنفيذية'!$B$2:$B$421,$B352,'الشؤون التنفيذية'!$G$2:$G$421,$G352,'الشؤون التنفيذية'!$I$2:$I$421,$I352,'الشؤون التنفيذية'!$N$2:$N$421,"&lt;&gt;")+COUNTIFS('الجهاز العسكري'!$B$2:$B$631,$B352,'الجهاز العسكري'!$G$2:$G$631,$G352,'الجهاز العسكري'!$I$2:$I$631,$I352,'الجهاز العسكري'!$M$2:$M$631,"&lt;&gt;")</f>
        <v>3</v>
      </c>
      <c r="N352" s="24" t="n">
        <f aca="false">IF($L352=0,0,ROUND((SUMIFS('المرتبطة بسمو الوزير'!$M$2:$M$151,'المرتبطة بسمو الوزير'!$B$2:$B$151,$B352,'المرتبطة بسمو الوزير'!$G$2:$G$151,$G352,'المرتبطة بسمو الوزير'!$I$2:$I$151,$I352)+SUMIFS('الشؤون التنفيذية'!$N$2:$N$421,'الشؤون التنفيذية'!$B$2:$B$421,$B352,'الشؤون التنفيذية'!$G$2:$G$421,$G352,'الشؤون التنفيذية'!$I$2:$I$421,$I352)+SUMIFS('الجهاز العسكري'!$M$2:$M$631,'الجهاز العسكري'!$B$2:$B$631,$B352,'الجهاز العسكري'!$G$2:$G$631,$G352,'الجهاز العسكري'!$I$2:$I$631,$I352))/$L352,0))</f>
        <v>73</v>
      </c>
      <c r="O352" s="25" t="n">
        <f aca="false">IF($L352=0,0,ROUND((SUMIFS('المرتبطة بسمو الوزير'!$N$2:$N$151,'المرتبطة بسمو الوزير'!$B$2:$B$151,$B352,'المرتبطة بسمو الوزير'!$G$2:$G$151,$G352,'المرتبطة بسمو الوزير'!$I$2:$I$151,$I352)+SUMIFS('الشؤون التنفيذية'!$O$2:$O$421,'الشؤون التنفيذية'!$B$2:$B$421,$B352,'الشؤون التنفيذية'!$G$2:$G$421,$G352,'الشؤون التنفيذية'!$I$2:$I$421,$I352)+SUMIFS('الجهاز العسكري'!$N$2:$N$631,'الجهاز العسكري'!$B$2:$B$631,$B352,'الجهاز العسكري'!$G$2:$G$631,$G352,'الجهاز العسكري'!$I$2:$I$631,$I352))/$L352,0))</f>
        <v>92</v>
      </c>
      <c r="P352" s="22"/>
      <c r="Q352" s="19" t="n">
        <f aca="false">SUMIFS(المرجع!$G$2:$G$19,المرجع!$B$2:$B$19,$G352,المرجع!$E$2:$E$19,$I352)</f>
        <v>15</v>
      </c>
      <c r="R352" s="26" t="n">
        <f aca="false">ROUND($Q352*$N352/100,2)</f>
        <v>10.95</v>
      </c>
      <c r="S352" s="27" t="str">
        <f aca="false">IF($N352&gt;المرجع!$K$3,"متقدم",IF($N352&lt;=المرجع!$K$2,"أولي","جزئي"))</f>
        <v>متقدم</v>
      </c>
      <c r="T352" s="28" t="n">
        <f aca="false">ROUND($Q352*$O352/100,2)</f>
        <v>13.8</v>
      </c>
    </row>
    <row r="353" customFormat="false" ht="15" hidden="false" customHeight="true" outlineLevel="0" collapsed="false">
      <c r="A353" s="20" t="s">
        <v>1805</v>
      </c>
      <c r="B353" s="20" t="s">
        <v>194</v>
      </c>
      <c r="C353" s="19" t="str">
        <f aca="false">IFERROR(INDEX('قائمة الوحدات'!$B$2:$B$41,MATCH($B353,'قائمة الوحدات'!$A$2:$A$41,0)),"")</f>
        <v>MIL</v>
      </c>
      <c r="D353" s="18" t="str">
        <f aca="false">IFERROR(INDEX('قائمة الوحدات'!$C$2:$C$41,MATCH($B353,'قائمة الوحدات'!$A$2:$A$41,0)),"")</f>
        <v>الجهاز العسكري</v>
      </c>
      <c r="E353" s="18" t="str">
        <f aca="false">IFERROR(INDEX('قائمة الوحدات'!$D$2:$D$41,MATCH($B353,'قائمة الوحدات'!$A$2:$A$41,0)),"")</f>
        <v>هيئة الأركان</v>
      </c>
      <c r="F353" s="18" t="str">
        <f aca="false">IFERROR(INDEX('قائمة الوحدات'!$F$2:$F$41,MATCH($B353,'قائمة الوحدات'!$A$2:$A$41,0)),"")</f>
        <v>هيئة الأركان</v>
      </c>
      <c r="G353" s="20" t="s">
        <v>62</v>
      </c>
      <c r="H353" s="18" t="str">
        <f aca="false">IFERROR(INDEX(المرجع!$A$2:$A$19,MATCH($G353,المرجع!$B$2:$B$19,0)),"")</f>
        <v>البناء المؤسسي</v>
      </c>
      <c r="I353" s="20" t="s">
        <v>55</v>
      </c>
      <c r="J353" s="18" t="str">
        <f aca="false">IFERROR(INDEX(المرجع!$D$2:$D$19,MATCH($I353,المرجع!$E$2:$E$19,0)),"")</f>
        <v>التنظيم</v>
      </c>
      <c r="K353" s="19" t="n">
        <f aca="false">IFERROR(INDEX(المرجع!$F$2:$F$19,MATCH($I353,المرجع!$E$2:$E$19,0)),"")</f>
        <v>4</v>
      </c>
      <c r="L353" s="19" t="n">
        <f aca="false">SUMIFS(المرجع!$H$2:$H$19,المرجع!$B$2:$B$19,$G353,المرجع!$E$2:$E$19,$I353)</f>
        <v>3</v>
      </c>
      <c r="M353" s="19" t="n">
        <f aca="false">COUNTIFS('المرتبطة بسمو الوزير'!$B$2:$B$151,$B353,'المرتبطة بسمو الوزير'!$G$2:$G$151,$G353,'المرتبطة بسمو الوزير'!$I$2:$I$151,$I353,'المرتبطة بسمو الوزير'!$M$2:$M$151,"&lt;&gt;")+COUNTIFS('الشؤون التنفيذية'!$B$2:$B$421,$B353,'الشؤون التنفيذية'!$G$2:$G$421,$G353,'الشؤون التنفيذية'!$I$2:$I$421,$I353,'الشؤون التنفيذية'!$N$2:$N$421,"&lt;&gt;")+COUNTIFS('الجهاز العسكري'!$B$2:$B$631,$B353,'الجهاز العسكري'!$G$2:$G$631,$G353,'الجهاز العسكري'!$I$2:$I$631,$I353,'الجهاز العسكري'!$M$2:$M$631,"&lt;&gt;")</f>
        <v>3</v>
      </c>
      <c r="N353" s="24" t="n">
        <f aca="false">IF($L353=0,0,ROUND((SUMIFS('المرتبطة بسمو الوزير'!$M$2:$M$151,'المرتبطة بسمو الوزير'!$B$2:$B$151,$B353,'المرتبطة بسمو الوزير'!$G$2:$G$151,$G353,'المرتبطة بسمو الوزير'!$I$2:$I$151,$I353)+SUMIFS('الشؤون التنفيذية'!$N$2:$N$421,'الشؤون التنفيذية'!$B$2:$B$421,$B353,'الشؤون التنفيذية'!$G$2:$G$421,$G353,'الشؤون التنفيذية'!$I$2:$I$421,$I353)+SUMIFS('الجهاز العسكري'!$M$2:$M$631,'الجهاز العسكري'!$B$2:$B$631,$B353,'الجهاز العسكري'!$G$2:$G$631,$G353,'الجهاز العسكري'!$I$2:$I$631,$I353))/$L353,0))</f>
        <v>63</v>
      </c>
      <c r="O353" s="25" t="n">
        <f aca="false">IF($L353=0,0,ROUND((SUMIFS('المرتبطة بسمو الوزير'!$N$2:$N$151,'المرتبطة بسمو الوزير'!$B$2:$B$151,$B353,'المرتبطة بسمو الوزير'!$G$2:$G$151,$G353,'المرتبطة بسمو الوزير'!$I$2:$I$151,$I353)+SUMIFS('الشؤون التنفيذية'!$O$2:$O$421,'الشؤون التنفيذية'!$B$2:$B$421,$B353,'الشؤون التنفيذية'!$G$2:$G$421,$G353,'الشؤون التنفيذية'!$I$2:$I$421,$I353)+SUMIFS('الجهاز العسكري'!$N$2:$N$631,'الجهاز العسكري'!$B$2:$B$631,$B353,'الجهاز العسكري'!$G$2:$G$631,$G353,'الجهاز العسكري'!$I$2:$I$631,$I353))/$L353,0))</f>
        <v>93</v>
      </c>
      <c r="P353" s="22"/>
      <c r="Q353" s="19" t="n">
        <f aca="false">SUMIFS(المرجع!$G$2:$G$19,المرجع!$B$2:$B$19,$G353,المرجع!$E$2:$E$19,$I353)</f>
        <v>20</v>
      </c>
      <c r="R353" s="26" t="n">
        <f aca="false">ROUND($Q353*$N353/100,2)</f>
        <v>12.6</v>
      </c>
      <c r="S353" s="27" t="str">
        <f aca="false">IF($N353&gt;المرجع!$K$3,"متقدم",IF($N353&lt;=المرجع!$K$2,"أولي","جزئي"))</f>
        <v>جزئي</v>
      </c>
      <c r="T353" s="28" t="n">
        <f aca="false">ROUND($Q353*$O353/100,2)</f>
        <v>18.6</v>
      </c>
    </row>
    <row r="354" customFormat="false" ht="15" hidden="false" customHeight="true" outlineLevel="0" collapsed="false">
      <c r="A354" s="20" t="s">
        <v>1806</v>
      </c>
      <c r="B354" s="20" t="s">
        <v>194</v>
      </c>
      <c r="C354" s="19" t="str">
        <f aca="false">IFERROR(INDEX('قائمة الوحدات'!$B$2:$B$41,MATCH($B354,'قائمة الوحدات'!$A$2:$A$41,0)),"")</f>
        <v>MIL</v>
      </c>
      <c r="D354" s="18" t="str">
        <f aca="false">IFERROR(INDEX('قائمة الوحدات'!$C$2:$C$41,MATCH($B354,'قائمة الوحدات'!$A$2:$A$41,0)),"")</f>
        <v>الجهاز العسكري</v>
      </c>
      <c r="E354" s="18" t="str">
        <f aca="false">IFERROR(INDEX('قائمة الوحدات'!$D$2:$D$41,MATCH($B354,'قائمة الوحدات'!$A$2:$A$41,0)),"")</f>
        <v>هيئة الأركان</v>
      </c>
      <c r="F354" s="18" t="str">
        <f aca="false">IFERROR(INDEX('قائمة الوحدات'!$F$2:$F$41,MATCH($B354,'قائمة الوحدات'!$A$2:$A$41,0)),"")</f>
        <v>هيئة الأركان</v>
      </c>
      <c r="G354" s="20" t="s">
        <v>62</v>
      </c>
      <c r="H354" s="18" t="str">
        <f aca="false">IFERROR(INDEX(المرجع!$A$2:$A$19,MATCH($G354,المرجع!$B$2:$B$19,0)),"")</f>
        <v>البناء المؤسسي</v>
      </c>
      <c r="I354" s="20" t="s">
        <v>57</v>
      </c>
      <c r="J354" s="18" t="str">
        <f aca="false">IFERROR(INDEX(المرجع!$D$2:$D$19,MATCH($I354,المرجع!$E$2:$E$19,0)),"")</f>
        <v>الموارد</v>
      </c>
      <c r="K354" s="19" t="n">
        <f aca="false">IFERROR(INDEX(المرجع!$F$2:$F$19,MATCH($I354,المرجع!$E$2:$E$19,0)),"")</f>
        <v>5</v>
      </c>
      <c r="L354" s="19" t="n">
        <f aca="false">SUMIFS(المرجع!$H$2:$H$19,المرجع!$B$2:$B$19,$G354,المرجع!$E$2:$E$19,$I354)</f>
        <v>4</v>
      </c>
      <c r="M354" s="19" t="n">
        <f aca="false">COUNTIFS('المرتبطة بسمو الوزير'!$B$2:$B$151,$B354,'المرتبطة بسمو الوزير'!$G$2:$G$151,$G354,'المرتبطة بسمو الوزير'!$I$2:$I$151,$I354,'المرتبطة بسمو الوزير'!$M$2:$M$151,"&lt;&gt;")+COUNTIFS('الشؤون التنفيذية'!$B$2:$B$421,$B354,'الشؤون التنفيذية'!$G$2:$G$421,$G354,'الشؤون التنفيذية'!$I$2:$I$421,$I354,'الشؤون التنفيذية'!$N$2:$N$421,"&lt;&gt;")+COUNTIFS('الجهاز العسكري'!$B$2:$B$631,$B354,'الجهاز العسكري'!$G$2:$G$631,$G354,'الجهاز العسكري'!$I$2:$I$631,$I354,'الجهاز العسكري'!$M$2:$M$631,"&lt;&gt;")</f>
        <v>4</v>
      </c>
      <c r="N354" s="24" t="n">
        <f aca="false">IF($L354=0,0,ROUND((SUMIFS('المرتبطة بسمو الوزير'!$M$2:$M$151,'المرتبطة بسمو الوزير'!$B$2:$B$151,$B354,'المرتبطة بسمو الوزير'!$G$2:$G$151,$G354,'المرتبطة بسمو الوزير'!$I$2:$I$151,$I354)+SUMIFS('الشؤون التنفيذية'!$N$2:$N$421,'الشؤون التنفيذية'!$B$2:$B$421,$B354,'الشؤون التنفيذية'!$G$2:$G$421,$G354,'الشؤون التنفيذية'!$I$2:$I$421,$I354)+SUMIFS('الجهاز العسكري'!$M$2:$M$631,'الجهاز العسكري'!$B$2:$B$631,$B354,'الجهاز العسكري'!$G$2:$G$631,$G354,'الجهاز العسكري'!$I$2:$I$631,$I354))/$L354,0))</f>
        <v>43</v>
      </c>
      <c r="O354" s="25" t="n">
        <f aca="false">IF($L354=0,0,ROUND((SUMIFS('المرتبطة بسمو الوزير'!$N$2:$N$151,'المرتبطة بسمو الوزير'!$B$2:$B$151,$B354,'المرتبطة بسمو الوزير'!$G$2:$G$151,$G354,'المرتبطة بسمو الوزير'!$I$2:$I$151,$I354)+SUMIFS('الشؤون التنفيذية'!$O$2:$O$421,'الشؤون التنفيذية'!$B$2:$B$421,$B354,'الشؤون التنفيذية'!$G$2:$G$421,$G354,'الشؤون التنفيذية'!$I$2:$I$421,$I354)+SUMIFS('الجهاز العسكري'!$N$2:$N$631,'الجهاز العسكري'!$B$2:$B$631,$B354,'الجهاز العسكري'!$G$2:$G$631,$G354,'الجهاز العسكري'!$I$2:$I$631,$I354))/$L354,0))</f>
        <v>98</v>
      </c>
      <c r="P354" s="22"/>
      <c r="Q354" s="19" t="n">
        <f aca="false">SUMIFS(المرجع!$G$2:$G$19,المرجع!$B$2:$B$19,$G354,المرجع!$E$2:$E$19,$I354)</f>
        <v>25</v>
      </c>
      <c r="R354" s="26" t="n">
        <f aca="false">ROUND($Q354*$N354/100,2)</f>
        <v>10.75</v>
      </c>
      <c r="S354" s="27" t="str">
        <f aca="false">IF($N354&gt;المرجع!$K$3,"متقدم",IF($N354&lt;=المرجع!$K$2,"أولي","جزئي"))</f>
        <v>جزئي</v>
      </c>
      <c r="T354" s="28" t="n">
        <f aca="false">ROUND($Q354*$O354/100,2)</f>
        <v>24.5</v>
      </c>
    </row>
    <row r="355" customFormat="false" ht="15" hidden="false" customHeight="true" outlineLevel="0" collapsed="false">
      <c r="A355" s="20" t="s">
        <v>1807</v>
      </c>
      <c r="B355" s="20" t="s">
        <v>194</v>
      </c>
      <c r="C355" s="19" t="str">
        <f aca="false">IFERROR(INDEX('قائمة الوحدات'!$B$2:$B$41,MATCH($B355,'قائمة الوحدات'!$A$2:$A$41,0)),"")</f>
        <v>MIL</v>
      </c>
      <c r="D355" s="18" t="str">
        <f aca="false">IFERROR(INDEX('قائمة الوحدات'!$C$2:$C$41,MATCH($B355,'قائمة الوحدات'!$A$2:$A$41,0)),"")</f>
        <v>الجهاز العسكري</v>
      </c>
      <c r="E355" s="18" t="str">
        <f aca="false">IFERROR(INDEX('قائمة الوحدات'!$D$2:$D$41,MATCH($B355,'قائمة الوحدات'!$A$2:$A$41,0)),"")</f>
        <v>هيئة الأركان</v>
      </c>
      <c r="F355" s="18" t="str">
        <f aca="false">IFERROR(INDEX('قائمة الوحدات'!$F$2:$F$41,MATCH($B355,'قائمة الوحدات'!$A$2:$A$41,0)),"")</f>
        <v>هيئة الأركان</v>
      </c>
      <c r="G355" s="20" t="s">
        <v>62</v>
      </c>
      <c r="H355" s="18" t="str">
        <f aca="false">IFERROR(INDEX(المرجع!$A$2:$A$19,MATCH($G355,المرجع!$B$2:$B$19,0)),"")</f>
        <v>البناء المؤسسي</v>
      </c>
      <c r="I355" s="20" t="s">
        <v>60</v>
      </c>
      <c r="J355" s="18" t="str">
        <f aca="false">IFERROR(INDEX(المرجع!$D$2:$D$19,MATCH($I355,المرجع!$E$2:$E$19,0)),"")</f>
        <v>الإجراءات</v>
      </c>
      <c r="K355" s="19" t="n">
        <f aca="false">IFERROR(INDEX(المرجع!$F$2:$F$19,MATCH($I355,المرجع!$E$2:$E$19,0)),"")</f>
        <v>6</v>
      </c>
      <c r="L355" s="19" t="n">
        <f aca="false">SUMIFS(المرجع!$H$2:$H$19,المرجع!$B$2:$B$19,$G355,المرجع!$E$2:$E$19,$I355)</f>
        <v>1</v>
      </c>
      <c r="M355" s="19" t="n">
        <f aca="false">COUNTIFS('المرتبطة بسمو الوزير'!$B$2:$B$151,$B355,'المرتبطة بسمو الوزير'!$G$2:$G$151,$G355,'المرتبطة بسمو الوزير'!$I$2:$I$151,$I355,'المرتبطة بسمو الوزير'!$M$2:$M$151,"&lt;&gt;")+COUNTIFS('الشؤون التنفيذية'!$B$2:$B$421,$B355,'الشؤون التنفيذية'!$G$2:$G$421,$G355,'الشؤون التنفيذية'!$I$2:$I$421,$I355,'الشؤون التنفيذية'!$N$2:$N$421,"&lt;&gt;")+COUNTIFS('الجهاز العسكري'!$B$2:$B$631,$B355,'الجهاز العسكري'!$G$2:$G$631,$G355,'الجهاز العسكري'!$I$2:$I$631,$I355,'الجهاز العسكري'!$M$2:$M$631,"&lt;&gt;")</f>
        <v>1</v>
      </c>
      <c r="N355" s="24" t="n">
        <f aca="false">IF($L355=0,0,ROUND((SUMIFS('المرتبطة بسمو الوزير'!$M$2:$M$151,'المرتبطة بسمو الوزير'!$B$2:$B$151,$B355,'المرتبطة بسمو الوزير'!$G$2:$G$151,$G355,'المرتبطة بسمو الوزير'!$I$2:$I$151,$I355)+SUMIFS('الشؤون التنفيذية'!$N$2:$N$421,'الشؤون التنفيذية'!$B$2:$B$421,$B355,'الشؤون التنفيذية'!$G$2:$G$421,$G355,'الشؤون التنفيذية'!$I$2:$I$421,$I355)+SUMIFS('الجهاز العسكري'!$M$2:$M$631,'الجهاز العسكري'!$B$2:$B$631,$B355,'الجهاز العسكري'!$G$2:$G$631,$G355,'الجهاز العسكري'!$I$2:$I$631,$I355))/$L355,0))</f>
        <v>68</v>
      </c>
      <c r="O355" s="25" t="n">
        <f aca="false">IF($L355=0,0,ROUND((SUMIFS('المرتبطة بسمو الوزير'!$N$2:$N$151,'المرتبطة بسمو الوزير'!$B$2:$B$151,$B355,'المرتبطة بسمو الوزير'!$G$2:$G$151,$G355,'المرتبطة بسمو الوزير'!$I$2:$I$151,$I355)+SUMIFS('الشؤون التنفيذية'!$O$2:$O$421,'الشؤون التنفيذية'!$B$2:$B$421,$B355,'الشؤون التنفيذية'!$G$2:$G$421,$G355,'الشؤون التنفيذية'!$I$2:$I$421,$I355)+SUMIFS('الجهاز العسكري'!$N$2:$N$631,'الجهاز العسكري'!$B$2:$B$631,$B355,'الجهاز العسكري'!$G$2:$G$631,$G355,'الجهاز العسكري'!$I$2:$I$631,$I355))/$L355,0))</f>
        <v>95</v>
      </c>
      <c r="P355" s="22"/>
      <c r="Q355" s="19" t="n">
        <f aca="false">SUMIFS(المرجع!$G$2:$G$19,المرجع!$B$2:$B$19,$G355,المرجع!$E$2:$E$19,$I355)</f>
        <v>5</v>
      </c>
      <c r="R355" s="26" t="n">
        <f aca="false">ROUND($Q355*$N355/100,2)</f>
        <v>3.4</v>
      </c>
      <c r="S355" s="27" t="str">
        <f aca="false">IF($N355&gt;المرجع!$K$3,"متقدم",IF($N355&lt;=المرجع!$K$2,"أولي","جزئي"))</f>
        <v>جزئي</v>
      </c>
      <c r="T355" s="28" t="n">
        <f aca="false">ROUND($Q355*$O355/100,2)</f>
        <v>4.75</v>
      </c>
    </row>
    <row r="356" customFormat="false" ht="15" hidden="false" customHeight="true" outlineLevel="0" collapsed="false">
      <c r="A356" s="20" t="s">
        <v>1808</v>
      </c>
      <c r="B356" s="20" t="s">
        <v>194</v>
      </c>
      <c r="C356" s="19" t="str">
        <f aca="false">IFERROR(INDEX('قائمة الوحدات'!$B$2:$B$41,MATCH($B356,'قائمة الوحدات'!$A$2:$A$41,0)),"")</f>
        <v>MIL</v>
      </c>
      <c r="D356" s="18" t="str">
        <f aca="false">IFERROR(INDEX('قائمة الوحدات'!$C$2:$C$41,MATCH($B356,'قائمة الوحدات'!$A$2:$A$41,0)),"")</f>
        <v>الجهاز العسكري</v>
      </c>
      <c r="E356" s="18" t="str">
        <f aca="false">IFERROR(INDEX('قائمة الوحدات'!$D$2:$D$41,MATCH($B356,'قائمة الوحدات'!$A$2:$A$41,0)),"")</f>
        <v>هيئة الأركان</v>
      </c>
      <c r="F356" s="18" t="str">
        <f aca="false">IFERROR(INDEX('قائمة الوحدات'!$F$2:$F$41,MATCH($B356,'قائمة الوحدات'!$A$2:$A$41,0)),"")</f>
        <v>هيئة الأركان</v>
      </c>
      <c r="G356" s="20" t="s">
        <v>62</v>
      </c>
      <c r="H356" s="18" t="str">
        <f aca="false">IFERROR(INDEX(المرجع!$A$2:$A$19,MATCH($G356,المرجع!$B$2:$B$19,0)),"")</f>
        <v>البناء المؤسسي</v>
      </c>
      <c r="I356" s="20" t="s">
        <v>69</v>
      </c>
      <c r="J356" s="18" t="str">
        <f aca="false">IFERROR(INDEX(المرجع!$D$2:$D$19,MATCH($I356,المرجع!$E$2:$E$19,0)),"")</f>
        <v>إنتاج المخرج الأول</v>
      </c>
      <c r="K356" s="19" t="n">
        <f aca="false">IFERROR(INDEX(المرجع!$F$2:$F$19,MATCH($I356,المرجع!$E$2:$E$19,0)),"")</f>
        <v>7</v>
      </c>
      <c r="L356" s="19" t="n">
        <f aca="false">SUMIFS(المرجع!$H$2:$H$19,المرجع!$B$2:$B$19,$G356,المرجع!$E$2:$E$19,$I356)</f>
        <v>1</v>
      </c>
      <c r="M356" s="19" t="n">
        <f aca="false">COUNTIFS('المرتبطة بسمو الوزير'!$B$2:$B$151,$B356,'المرتبطة بسمو الوزير'!$G$2:$G$151,$G356,'المرتبطة بسمو الوزير'!$I$2:$I$151,$I356,'المرتبطة بسمو الوزير'!$M$2:$M$151,"&lt;&gt;")+COUNTIFS('الشؤون التنفيذية'!$B$2:$B$421,$B356,'الشؤون التنفيذية'!$G$2:$G$421,$G356,'الشؤون التنفيذية'!$I$2:$I$421,$I356,'الشؤون التنفيذية'!$N$2:$N$421,"&lt;&gt;")+COUNTIFS('الجهاز العسكري'!$B$2:$B$631,$B356,'الجهاز العسكري'!$G$2:$G$631,$G356,'الجهاز العسكري'!$I$2:$I$631,$I356,'الجهاز العسكري'!$M$2:$M$631,"&lt;&gt;")</f>
        <v>1</v>
      </c>
      <c r="N356" s="24" t="n">
        <f aca="false">IF($L356=0,0,ROUND((SUMIFS('المرتبطة بسمو الوزير'!$M$2:$M$151,'المرتبطة بسمو الوزير'!$B$2:$B$151,$B356,'المرتبطة بسمو الوزير'!$G$2:$G$151,$G356,'المرتبطة بسمو الوزير'!$I$2:$I$151,$I356)+SUMIFS('الشؤون التنفيذية'!$N$2:$N$421,'الشؤون التنفيذية'!$B$2:$B$421,$B356,'الشؤون التنفيذية'!$G$2:$G$421,$G356,'الشؤون التنفيذية'!$I$2:$I$421,$I356)+SUMIFS('الجهاز العسكري'!$M$2:$M$631,'الجهاز العسكري'!$B$2:$B$631,$B356,'الجهاز العسكري'!$G$2:$G$631,$G356,'الجهاز العسكري'!$I$2:$I$631,$I356))/$L356,0))</f>
        <v>43</v>
      </c>
      <c r="O356" s="25" t="n">
        <f aca="false">IF($L356=0,0,ROUND((SUMIFS('المرتبطة بسمو الوزير'!$N$2:$N$151,'المرتبطة بسمو الوزير'!$B$2:$B$151,$B356,'المرتبطة بسمو الوزير'!$G$2:$G$151,$G356,'المرتبطة بسمو الوزير'!$I$2:$I$151,$I356)+SUMIFS('الشؤون التنفيذية'!$O$2:$O$421,'الشؤون التنفيذية'!$B$2:$B$421,$B356,'الشؤون التنفيذية'!$G$2:$G$421,$G356,'الشؤون التنفيذية'!$I$2:$I$421,$I356)+SUMIFS('الجهاز العسكري'!$N$2:$N$631,'الجهاز العسكري'!$B$2:$B$631,$B356,'الجهاز العسكري'!$G$2:$G$631,$G356,'الجهاز العسكري'!$I$2:$I$631,$I356))/$L356,0))</f>
        <v>85</v>
      </c>
      <c r="P356" s="22"/>
      <c r="Q356" s="19" t="n">
        <f aca="false">SUMIFS(المرجع!$G$2:$G$19,المرجع!$B$2:$B$19,$G356,المرجع!$E$2:$E$19,$I356)</f>
        <v>5</v>
      </c>
      <c r="R356" s="26" t="n">
        <f aca="false">ROUND($Q356*$N356/100,2)</f>
        <v>2.15</v>
      </c>
      <c r="S356" s="27" t="str">
        <f aca="false">IF($N356&gt;المرجع!$K$3,"متقدم",IF($N356&lt;=المرجع!$K$2,"أولي","جزئي"))</f>
        <v>جزئي</v>
      </c>
      <c r="T356" s="28" t="n">
        <f aca="false">ROUND($Q356*$O356/100,2)</f>
        <v>4.25</v>
      </c>
    </row>
    <row r="357" customFormat="false" ht="15" hidden="false" customHeight="true" outlineLevel="0" collapsed="false">
      <c r="A357" s="20" t="s">
        <v>1809</v>
      </c>
      <c r="B357" s="20" t="s">
        <v>194</v>
      </c>
      <c r="C357" s="19" t="str">
        <f aca="false">IFERROR(INDEX('قائمة الوحدات'!$B$2:$B$41,MATCH($B357,'قائمة الوحدات'!$A$2:$A$41,0)),"")</f>
        <v>MIL</v>
      </c>
      <c r="D357" s="18" t="str">
        <f aca="false">IFERROR(INDEX('قائمة الوحدات'!$C$2:$C$41,MATCH($B357,'قائمة الوحدات'!$A$2:$A$41,0)),"")</f>
        <v>الجهاز العسكري</v>
      </c>
      <c r="E357" s="18" t="str">
        <f aca="false">IFERROR(INDEX('قائمة الوحدات'!$D$2:$D$41,MATCH($B357,'قائمة الوحدات'!$A$2:$A$41,0)),"")</f>
        <v>هيئة الأركان</v>
      </c>
      <c r="F357" s="18" t="str">
        <f aca="false">IFERROR(INDEX('قائمة الوحدات'!$F$2:$F$41,MATCH($B357,'قائمة الوحدات'!$A$2:$A$41,0)),"")</f>
        <v>هيئة الأركان</v>
      </c>
      <c r="G357" s="20" t="s">
        <v>66</v>
      </c>
      <c r="H357" s="18" t="str">
        <f aca="false">IFERROR(INDEX(المرجع!$A$2:$A$19,MATCH($G357,المرجع!$B$2:$B$19,0)),"")</f>
        <v>التشغيل</v>
      </c>
      <c r="I357" s="20" t="s">
        <v>49</v>
      </c>
      <c r="J357" s="18" t="str">
        <f aca="false">IFERROR(INDEX(المرجع!$D$2:$D$19,MATCH($I357,المرجع!$E$2:$E$19,0)),"")</f>
        <v>الأهداف ومؤشرات الأداء</v>
      </c>
      <c r="K357" s="19" t="n">
        <f aca="false">IFERROR(INDEX(المرجع!$F$2:$F$19,MATCH($I357,المرجع!$E$2:$E$19,0)),"")</f>
        <v>2</v>
      </c>
      <c r="L357" s="19" t="n">
        <f aca="false">SUMIFS(المرجع!$H$2:$H$19,المرجع!$B$2:$B$19,$G357,المرجع!$E$2:$E$19,$I357)</f>
        <v>2</v>
      </c>
      <c r="M357" s="19" t="n">
        <f aca="false">COUNTIFS('المرتبطة بسمو الوزير'!$B$2:$B$151,$B357,'المرتبطة بسمو الوزير'!$G$2:$G$151,$G357,'المرتبطة بسمو الوزير'!$I$2:$I$151,$I357,'المرتبطة بسمو الوزير'!$M$2:$M$151,"&lt;&gt;")+COUNTIFS('الشؤون التنفيذية'!$B$2:$B$421,$B357,'الشؤون التنفيذية'!$G$2:$G$421,$G357,'الشؤون التنفيذية'!$I$2:$I$421,$I357,'الشؤون التنفيذية'!$N$2:$N$421,"&lt;&gt;")+COUNTIFS('الجهاز العسكري'!$B$2:$B$631,$B357,'الجهاز العسكري'!$G$2:$G$631,$G357,'الجهاز العسكري'!$I$2:$I$631,$I357,'الجهاز العسكري'!$M$2:$M$631,"&lt;&gt;")</f>
        <v>2</v>
      </c>
      <c r="N357" s="24" t="n">
        <f aca="false">IF($L357=0,0,ROUND((SUMIFS('المرتبطة بسمو الوزير'!$M$2:$M$151,'المرتبطة بسمو الوزير'!$B$2:$B$151,$B357,'المرتبطة بسمو الوزير'!$G$2:$G$151,$G357,'المرتبطة بسمو الوزير'!$I$2:$I$151,$I357)+SUMIFS('الشؤون التنفيذية'!$N$2:$N$421,'الشؤون التنفيذية'!$B$2:$B$421,$B357,'الشؤون التنفيذية'!$G$2:$G$421,$G357,'الشؤون التنفيذية'!$I$2:$I$421,$I357)+SUMIFS('الجهاز العسكري'!$M$2:$M$631,'الجهاز العسكري'!$B$2:$B$631,$B357,'الجهاز العسكري'!$G$2:$G$631,$G357,'الجهاز العسكري'!$I$2:$I$631,$I357))/$L357,0))</f>
        <v>25</v>
      </c>
      <c r="O357" s="25" t="n">
        <f aca="false">IF($L357=0,0,ROUND((SUMIFS('المرتبطة بسمو الوزير'!$N$2:$N$151,'المرتبطة بسمو الوزير'!$B$2:$B$151,$B357,'المرتبطة بسمو الوزير'!$G$2:$G$151,$G357,'المرتبطة بسمو الوزير'!$I$2:$I$151,$I357)+SUMIFS('الشؤون التنفيذية'!$O$2:$O$421,'الشؤون التنفيذية'!$B$2:$B$421,$B357,'الشؤون التنفيذية'!$G$2:$G$421,$G357,'الشؤون التنفيذية'!$I$2:$I$421,$I357)+SUMIFS('الجهاز العسكري'!$N$2:$N$631,'الجهاز العسكري'!$B$2:$B$631,$B357,'الجهاز العسكري'!$G$2:$G$631,$G357,'الجهاز العسكري'!$I$2:$I$631,$I357))/$L357,0))</f>
        <v>100</v>
      </c>
      <c r="P357" s="22"/>
      <c r="Q357" s="19" t="n">
        <f aca="false">SUMIFS(المرجع!$G$2:$G$19,المرجع!$B$2:$B$19,$G357,المرجع!$E$2:$E$19,$I357)</f>
        <v>25</v>
      </c>
      <c r="R357" s="26" t="n">
        <f aca="false">ROUND($Q357*$N357/100,2)</f>
        <v>6.25</v>
      </c>
      <c r="S357" s="27" t="str">
        <f aca="false">IF($N357&gt;المرجع!$K$3,"متقدم",IF($N357&lt;=المرجع!$K$2,"أولي","جزئي"))</f>
        <v>أولي</v>
      </c>
      <c r="T357" s="28" t="n">
        <f aca="false">ROUND($Q357*$O357/100,2)</f>
        <v>25</v>
      </c>
    </row>
    <row r="358" customFormat="false" ht="15" hidden="false" customHeight="true" outlineLevel="0" collapsed="false">
      <c r="A358" s="20" t="s">
        <v>1810</v>
      </c>
      <c r="B358" s="20" t="s">
        <v>194</v>
      </c>
      <c r="C358" s="19" t="str">
        <f aca="false">IFERROR(INDEX('قائمة الوحدات'!$B$2:$B$41,MATCH($B358,'قائمة الوحدات'!$A$2:$A$41,0)),"")</f>
        <v>MIL</v>
      </c>
      <c r="D358" s="18" t="str">
        <f aca="false">IFERROR(INDEX('قائمة الوحدات'!$C$2:$C$41,MATCH($B358,'قائمة الوحدات'!$A$2:$A$41,0)),"")</f>
        <v>الجهاز العسكري</v>
      </c>
      <c r="E358" s="18" t="str">
        <f aca="false">IFERROR(INDEX('قائمة الوحدات'!$D$2:$D$41,MATCH($B358,'قائمة الوحدات'!$A$2:$A$41,0)),"")</f>
        <v>هيئة الأركان</v>
      </c>
      <c r="F358" s="18" t="str">
        <f aca="false">IFERROR(INDEX('قائمة الوحدات'!$F$2:$F$41,MATCH($B358,'قائمة الوحدات'!$A$2:$A$41,0)),"")</f>
        <v>هيئة الأركان</v>
      </c>
      <c r="G358" s="20" t="s">
        <v>66</v>
      </c>
      <c r="H358" s="18" t="str">
        <f aca="false">IFERROR(INDEX(المرجع!$A$2:$A$19,MATCH($G358,المرجع!$B$2:$B$19,0)),"")</f>
        <v>التشغيل</v>
      </c>
      <c r="I358" s="20" t="s">
        <v>52</v>
      </c>
      <c r="J358" s="18" t="str">
        <f aca="false">IFERROR(INDEX(المرجع!$D$2:$D$19,MATCH($I358,المرجع!$E$2:$E$19,0)),"")</f>
        <v>الحوكمة</v>
      </c>
      <c r="K358" s="19" t="n">
        <f aca="false">IFERROR(INDEX(المرجع!$F$2:$F$19,MATCH($I358,المرجع!$E$2:$E$19,0)),"")</f>
        <v>3</v>
      </c>
      <c r="L358" s="19" t="n">
        <f aca="false">SUMIFS(المرجع!$H$2:$H$19,المرجع!$B$2:$B$19,$G358,المرجع!$E$2:$E$19,$I358)</f>
        <v>3</v>
      </c>
      <c r="M358" s="19" t="n">
        <f aca="false">COUNTIFS('المرتبطة بسمو الوزير'!$B$2:$B$151,$B358,'المرتبطة بسمو الوزير'!$G$2:$G$151,$G358,'المرتبطة بسمو الوزير'!$I$2:$I$151,$I358,'المرتبطة بسمو الوزير'!$M$2:$M$151,"&lt;&gt;")+COUNTIFS('الشؤون التنفيذية'!$B$2:$B$421,$B358,'الشؤون التنفيذية'!$G$2:$G$421,$G358,'الشؤون التنفيذية'!$I$2:$I$421,$I358,'الشؤون التنفيذية'!$N$2:$N$421,"&lt;&gt;")+COUNTIFS('الجهاز العسكري'!$B$2:$B$631,$B358,'الجهاز العسكري'!$G$2:$G$631,$G358,'الجهاز العسكري'!$I$2:$I$631,$I358,'الجهاز العسكري'!$M$2:$M$631,"&lt;&gt;")</f>
        <v>3</v>
      </c>
      <c r="N358" s="24" t="n">
        <f aca="false">IF($L358=0,0,ROUND((SUMIFS('المرتبطة بسمو الوزير'!$M$2:$M$151,'المرتبطة بسمو الوزير'!$B$2:$B$151,$B358,'المرتبطة بسمو الوزير'!$G$2:$G$151,$G358,'المرتبطة بسمو الوزير'!$I$2:$I$151,$I358)+SUMIFS('الشؤون التنفيذية'!$N$2:$N$421,'الشؤون التنفيذية'!$B$2:$B$421,$B358,'الشؤون التنفيذية'!$G$2:$G$421,$G358,'الشؤون التنفيذية'!$I$2:$I$421,$I358)+SUMIFS('الجهاز العسكري'!$M$2:$M$631,'الجهاز العسكري'!$B$2:$B$631,$B358,'الجهاز العسكري'!$G$2:$G$631,$G358,'الجهاز العسكري'!$I$2:$I$631,$I358))/$L358,0))</f>
        <v>35</v>
      </c>
      <c r="O358" s="25" t="n">
        <f aca="false">IF($L358=0,0,ROUND((SUMIFS('المرتبطة بسمو الوزير'!$N$2:$N$151,'المرتبطة بسمو الوزير'!$B$2:$B$151,$B358,'المرتبطة بسمو الوزير'!$G$2:$G$151,$G358,'المرتبطة بسمو الوزير'!$I$2:$I$151,$I358)+SUMIFS('الشؤون التنفيذية'!$O$2:$O$421,'الشؤون التنفيذية'!$B$2:$B$421,$B358,'الشؤون التنفيذية'!$G$2:$G$421,$G358,'الشؤون التنفيذية'!$I$2:$I$421,$I358)+SUMIFS('الجهاز العسكري'!$N$2:$N$631,'الجهاز العسكري'!$B$2:$B$631,$B358,'الجهاز العسكري'!$G$2:$G$631,$G358,'الجهاز العسكري'!$I$2:$I$631,$I358))/$L358,0))</f>
        <v>98</v>
      </c>
      <c r="P358" s="22"/>
      <c r="Q358" s="19" t="n">
        <f aca="false">SUMIFS(المرجع!$G$2:$G$19,المرجع!$B$2:$B$19,$G358,المرجع!$E$2:$E$19,$I358)</f>
        <v>15</v>
      </c>
      <c r="R358" s="26" t="n">
        <f aca="false">ROUND($Q358*$N358/100,2)</f>
        <v>5.25</v>
      </c>
      <c r="S358" s="27" t="str">
        <f aca="false">IF($N358&gt;المرجع!$K$3,"متقدم",IF($N358&lt;=المرجع!$K$2,"أولي","جزئي"))</f>
        <v>جزئي</v>
      </c>
      <c r="T358" s="28" t="n">
        <f aca="false">ROUND($Q358*$O358/100,2)</f>
        <v>14.7</v>
      </c>
    </row>
    <row r="359" customFormat="false" ht="15" hidden="false" customHeight="true" outlineLevel="0" collapsed="false">
      <c r="A359" s="20" t="s">
        <v>1811</v>
      </c>
      <c r="B359" s="20" t="s">
        <v>194</v>
      </c>
      <c r="C359" s="19" t="str">
        <f aca="false">IFERROR(INDEX('قائمة الوحدات'!$B$2:$B$41,MATCH($B359,'قائمة الوحدات'!$A$2:$A$41,0)),"")</f>
        <v>MIL</v>
      </c>
      <c r="D359" s="18" t="str">
        <f aca="false">IFERROR(INDEX('قائمة الوحدات'!$C$2:$C$41,MATCH($B359,'قائمة الوحدات'!$A$2:$A$41,0)),"")</f>
        <v>الجهاز العسكري</v>
      </c>
      <c r="E359" s="18" t="str">
        <f aca="false">IFERROR(INDEX('قائمة الوحدات'!$D$2:$D$41,MATCH($B359,'قائمة الوحدات'!$A$2:$A$41,0)),"")</f>
        <v>هيئة الأركان</v>
      </c>
      <c r="F359" s="18" t="str">
        <f aca="false">IFERROR(INDEX('قائمة الوحدات'!$F$2:$F$41,MATCH($B359,'قائمة الوحدات'!$A$2:$A$41,0)),"")</f>
        <v>هيئة الأركان</v>
      </c>
      <c r="G359" s="20" t="s">
        <v>66</v>
      </c>
      <c r="H359" s="18" t="str">
        <f aca="false">IFERROR(INDEX(المرجع!$A$2:$A$19,MATCH($G359,المرجع!$B$2:$B$19,0)),"")</f>
        <v>التشغيل</v>
      </c>
      <c r="I359" s="20" t="s">
        <v>57</v>
      </c>
      <c r="J359" s="18" t="str">
        <f aca="false">IFERROR(INDEX(المرجع!$D$2:$D$19,MATCH($I359,المرجع!$E$2:$E$19,0)),"")</f>
        <v>الموارد</v>
      </c>
      <c r="K359" s="19" t="n">
        <f aca="false">IFERROR(INDEX(المرجع!$F$2:$F$19,MATCH($I359,المرجع!$E$2:$E$19,0)),"")</f>
        <v>5</v>
      </c>
      <c r="L359" s="19" t="n">
        <f aca="false">SUMIFS(المرجع!$H$2:$H$19,المرجع!$B$2:$B$19,$G359,المرجع!$E$2:$E$19,$I359)</f>
        <v>1</v>
      </c>
      <c r="M359" s="19" t="n">
        <f aca="false">COUNTIFS('المرتبطة بسمو الوزير'!$B$2:$B$151,$B359,'المرتبطة بسمو الوزير'!$G$2:$G$151,$G359,'المرتبطة بسمو الوزير'!$I$2:$I$151,$I359,'المرتبطة بسمو الوزير'!$M$2:$M$151,"&lt;&gt;")+COUNTIFS('الشؤون التنفيذية'!$B$2:$B$421,$B359,'الشؤون التنفيذية'!$G$2:$G$421,$G359,'الشؤون التنفيذية'!$I$2:$I$421,$I359,'الشؤون التنفيذية'!$N$2:$N$421,"&lt;&gt;")+COUNTIFS('الجهاز العسكري'!$B$2:$B$631,$B359,'الجهاز العسكري'!$G$2:$G$631,$G359,'الجهاز العسكري'!$I$2:$I$631,$I359,'الجهاز العسكري'!$M$2:$M$631,"&lt;&gt;")</f>
        <v>1</v>
      </c>
      <c r="N359" s="24" t="n">
        <f aca="false">IF($L359=0,0,ROUND((SUMIFS('المرتبطة بسمو الوزير'!$M$2:$M$151,'المرتبطة بسمو الوزير'!$B$2:$B$151,$B359,'المرتبطة بسمو الوزير'!$G$2:$G$151,$G359,'المرتبطة بسمو الوزير'!$I$2:$I$151,$I359)+SUMIFS('الشؤون التنفيذية'!$N$2:$N$421,'الشؤون التنفيذية'!$B$2:$B$421,$B359,'الشؤون التنفيذية'!$G$2:$G$421,$G359,'الشؤون التنفيذية'!$I$2:$I$421,$I359)+SUMIFS('الجهاز العسكري'!$M$2:$M$631,'الجهاز العسكري'!$B$2:$B$631,$B359,'الجهاز العسكري'!$G$2:$G$631,$G359,'الجهاز العسكري'!$I$2:$I$631,$I359))/$L359,0))</f>
        <v>44</v>
      </c>
      <c r="O359" s="25" t="n">
        <f aca="false">IF($L359=0,0,ROUND((SUMIFS('المرتبطة بسمو الوزير'!$N$2:$N$151,'المرتبطة بسمو الوزير'!$B$2:$B$151,$B359,'المرتبطة بسمو الوزير'!$G$2:$G$151,$G359,'المرتبطة بسمو الوزير'!$I$2:$I$151,$I359)+SUMIFS('الشؤون التنفيذية'!$O$2:$O$421,'الشؤون التنفيذية'!$B$2:$B$421,$B359,'الشؤون التنفيذية'!$G$2:$G$421,$G359,'الشؤون التنفيذية'!$I$2:$I$421,$I359)+SUMIFS('الجهاز العسكري'!$N$2:$N$631,'الجهاز العسكري'!$B$2:$B$631,$B359,'الجهاز العسكري'!$G$2:$G$631,$G359,'الجهاز العسكري'!$I$2:$I$631,$I359))/$L359,0))</f>
        <v>90</v>
      </c>
      <c r="P359" s="22"/>
      <c r="Q359" s="19" t="n">
        <f aca="false">SUMIFS(المرجع!$G$2:$G$19,المرجع!$B$2:$B$19,$G359,المرجع!$E$2:$E$19,$I359)</f>
        <v>15</v>
      </c>
      <c r="R359" s="26" t="n">
        <f aca="false">ROUND($Q359*$N359/100,2)</f>
        <v>6.6</v>
      </c>
      <c r="S359" s="27" t="str">
        <f aca="false">IF($N359&gt;المرجع!$K$3,"متقدم",IF($N359&lt;=المرجع!$K$2,"أولي","جزئي"))</f>
        <v>جزئي</v>
      </c>
      <c r="T359" s="28" t="n">
        <f aca="false">ROUND($Q359*$O359/100,2)</f>
        <v>13.5</v>
      </c>
    </row>
    <row r="360" customFormat="false" ht="15" hidden="false" customHeight="true" outlineLevel="0" collapsed="false">
      <c r="A360" s="20" t="s">
        <v>1812</v>
      </c>
      <c r="B360" s="20" t="s">
        <v>194</v>
      </c>
      <c r="C360" s="19" t="str">
        <f aca="false">IFERROR(INDEX('قائمة الوحدات'!$B$2:$B$41,MATCH($B360,'قائمة الوحدات'!$A$2:$A$41,0)),"")</f>
        <v>MIL</v>
      </c>
      <c r="D360" s="18" t="str">
        <f aca="false">IFERROR(INDEX('قائمة الوحدات'!$C$2:$C$41,MATCH($B360,'قائمة الوحدات'!$A$2:$A$41,0)),"")</f>
        <v>الجهاز العسكري</v>
      </c>
      <c r="E360" s="18" t="str">
        <f aca="false">IFERROR(INDEX('قائمة الوحدات'!$D$2:$D$41,MATCH($B360,'قائمة الوحدات'!$A$2:$A$41,0)),"")</f>
        <v>هيئة الأركان</v>
      </c>
      <c r="F360" s="18" t="str">
        <f aca="false">IFERROR(INDEX('قائمة الوحدات'!$F$2:$F$41,MATCH($B360,'قائمة الوحدات'!$A$2:$A$41,0)),"")</f>
        <v>هيئة الأركان</v>
      </c>
      <c r="G360" s="20" t="s">
        <v>66</v>
      </c>
      <c r="H360" s="18" t="str">
        <f aca="false">IFERROR(INDEX(المرجع!$A$2:$A$19,MATCH($G360,المرجع!$B$2:$B$19,0)),"")</f>
        <v>التشغيل</v>
      </c>
      <c r="I360" s="20" t="s">
        <v>60</v>
      </c>
      <c r="J360" s="18" t="str">
        <f aca="false">IFERROR(INDEX(المرجع!$D$2:$D$19,MATCH($I360,المرجع!$E$2:$E$19,0)),"")</f>
        <v>الإجراءات</v>
      </c>
      <c r="K360" s="19" t="n">
        <f aca="false">IFERROR(INDEX(المرجع!$F$2:$F$19,MATCH($I360,المرجع!$E$2:$E$19,0)),"")</f>
        <v>6</v>
      </c>
      <c r="L360" s="19" t="n">
        <f aca="false">SUMIFS(المرجع!$H$2:$H$19,المرجع!$B$2:$B$19,$G360,المرجع!$E$2:$E$19,$I360)</f>
        <v>1</v>
      </c>
      <c r="M360" s="19" t="n">
        <f aca="false">COUNTIFS('المرتبطة بسمو الوزير'!$B$2:$B$151,$B360,'المرتبطة بسمو الوزير'!$G$2:$G$151,$G360,'المرتبطة بسمو الوزير'!$I$2:$I$151,$I360,'المرتبطة بسمو الوزير'!$M$2:$M$151,"&lt;&gt;")+COUNTIFS('الشؤون التنفيذية'!$B$2:$B$421,$B360,'الشؤون التنفيذية'!$G$2:$G$421,$G360,'الشؤون التنفيذية'!$I$2:$I$421,$I360,'الشؤون التنفيذية'!$N$2:$N$421,"&lt;&gt;")+COUNTIFS('الجهاز العسكري'!$B$2:$B$631,$B360,'الجهاز العسكري'!$G$2:$G$631,$G360,'الجهاز العسكري'!$I$2:$I$631,$I360,'الجهاز العسكري'!$M$2:$M$631,"&lt;&gt;")</f>
        <v>1</v>
      </c>
      <c r="N360" s="24" t="n">
        <f aca="false">IF($L360=0,0,ROUND((SUMIFS('المرتبطة بسمو الوزير'!$M$2:$M$151,'المرتبطة بسمو الوزير'!$B$2:$B$151,$B360,'المرتبطة بسمو الوزير'!$G$2:$G$151,$G360,'المرتبطة بسمو الوزير'!$I$2:$I$151,$I360)+SUMIFS('الشؤون التنفيذية'!$N$2:$N$421,'الشؤون التنفيذية'!$B$2:$B$421,$B360,'الشؤون التنفيذية'!$G$2:$G$421,$G360,'الشؤون التنفيذية'!$I$2:$I$421,$I360)+SUMIFS('الجهاز العسكري'!$M$2:$M$631,'الجهاز العسكري'!$B$2:$B$631,$B360,'الجهاز العسكري'!$G$2:$G$631,$G360,'الجهاز العسكري'!$I$2:$I$631,$I360))/$L360,0))</f>
        <v>58</v>
      </c>
      <c r="O360" s="25" t="n">
        <f aca="false">IF($L360=0,0,ROUND((SUMIFS('المرتبطة بسمو الوزير'!$N$2:$N$151,'المرتبطة بسمو الوزير'!$B$2:$B$151,$B360,'المرتبطة بسمو الوزير'!$G$2:$G$151,$G360,'المرتبطة بسمو الوزير'!$I$2:$I$151,$I360)+SUMIFS('الشؤون التنفيذية'!$O$2:$O$421,'الشؤون التنفيذية'!$B$2:$B$421,$B360,'الشؤون التنفيذية'!$G$2:$G$421,$G360,'الشؤون التنفيذية'!$I$2:$I$421,$I360)+SUMIFS('الجهاز العسكري'!$N$2:$N$631,'الجهاز العسكري'!$B$2:$B$631,$B360,'الجهاز العسكري'!$G$2:$G$631,$G360,'الجهاز العسكري'!$I$2:$I$631,$I360))/$L360,0))</f>
        <v>80</v>
      </c>
      <c r="P360" s="22"/>
      <c r="Q360" s="19" t="n">
        <f aca="false">SUMIFS(المرجع!$G$2:$G$19,المرجع!$B$2:$B$19,$G360,المرجع!$E$2:$E$19,$I360)</f>
        <v>15</v>
      </c>
      <c r="R360" s="26" t="n">
        <f aca="false">ROUND($Q360*$N360/100,2)</f>
        <v>8.7</v>
      </c>
      <c r="S360" s="27" t="str">
        <f aca="false">IF($N360&gt;المرجع!$K$3,"متقدم",IF($N360&lt;=المرجع!$K$2,"أولي","جزئي"))</f>
        <v>جزئي</v>
      </c>
      <c r="T360" s="28" t="n">
        <f aca="false">ROUND($Q360*$O360/100,2)</f>
        <v>12</v>
      </c>
    </row>
    <row r="361" customFormat="false" ht="15" hidden="false" customHeight="true" outlineLevel="0" collapsed="false">
      <c r="A361" s="20" t="s">
        <v>1813</v>
      </c>
      <c r="B361" s="20" t="s">
        <v>194</v>
      </c>
      <c r="C361" s="19" t="str">
        <f aca="false">IFERROR(INDEX('قائمة الوحدات'!$B$2:$B$41,MATCH($B361,'قائمة الوحدات'!$A$2:$A$41,0)),"")</f>
        <v>MIL</v>
      </c>
      <c r="D361" s="18" t="str">
        <f aca="false">IFERROR(INDEX('قائمة الوحدات'!$C$2:$C$41,MATCH($B361,'قائمة الوحدات'!$A$2:$A$41,0)),"")</f>
        <v>الجهاز العسكري</v>
      </c>
      <c r="E361" s="18" t="str">
        <f aca="false">IFERROR(INDEX('قائمة الوحدات'!$D$2:$D$41,MATCH($B361,'قائمة الوحدات'!$A$2:$A$41,0)),"")</f>
        <v>هيئة الأركان</v>
      </c>
      <c r="F361" s="18" t="str">
        <f aca="false">IFERROR(INDEX('قائمة الوحدات'!$F$2:$F$41,MATCH($B361,'قائمة الوحدات'!$A$2:$A$41,0)),"")</f>
        <v>هيئة الأركان</v>
      </c>
      <c r="G361" s="20" t="s">
        <v>66</v>
      </c>
      <c r="H361" s="18" t="str">
        <f aca="false">IFERROR(INDEX(المرجع!$A$2:$A$19,MATCH($G361,المرجع!$B$2:$B$19,0)),"")</f>
        <v>التشغيل</v>
      </c>
      <c r="I361" s="20" t="s">
        <v>71</v>
      </c>
      <c r="J361" s="18" t="str">
        <f aca="false">IFERROR(INDEX(المرجع!$D$2:$D$19,MATCH($I361,المرجع!$E$2:$E$19,0)),"")</f>
        <v>اكتمال المخرجات المستهدفة</v>
      </c>
      <c r="K361" s="19" t="n">
        <f aca="false">IFERROR(INDEX(المرجع!$F$2:$F$19,MATCH($I361,المرجع!$E$2:$E$19,0)),"")</f>
        <v>8</v>
      </c>
      <c r="L361" s="19" t="n">
        <f aca="false">SUMIFS(المرجع!$H$2:$H$19,المرجع!$B$2:$B$19,$G361,المرجع!$E$2:$E$19,$I361)</f>
        <v>1</v>
      </c>
      <c r="M361" s="19" t="n">
        <f aca="false">COUNTIFS('المرتبطة بسمو الوزير'!$B$2:$B$151,$B361,'المرتبطة بسمو الوزير'!$G$2:$G$151,$G361,'المرتبطة بسمو الوزير'!$I$2:$I$151,$I361,'المرتبطة بسمو الوزير'!$M$2:$M$151,"&lt;&gt;")+COUNTIFS('الشؤون التنفيذية'!$B$2:$B$421,$B361,'الشؤون التنفيذية'!$G$2:$G$421,$G361,'الشؤون التنفيذية'!$I$2:$I$421,$I361,'الشؤون التنفيذية'!$N$2:$N$421,"&lt;&gt;")+COUNTIFS('الجهاز العسكري'!$B$2:$B$631,$B361,'الجهاز العسكري'!$G$2:$G$631,$G361,'الجهاز العسكري'!$I$2:$I$631,$I361,'الجهاز العسكري'!$M$2:$M$631,"&lt;&gt;")</f>
        <v>1</v>
      </c>
      <c r="N361" s="24" t="n">
        <f aca="false">IF($L361=0,0,ROUND((SUMIFS('المرتبطة بسمو الوزير'!$M$2:$M$151,'المرتبطة بسمو الوزير'!$B$2:$B$151,$B361,'المرتبطة بسمو الوزير'!$G$2:$G$151,$G361,'المرتبطة بسمو الوزير'!$I$2:$I$151,$I361)+SUMIFS('الشؤون التنفيذية'!$N$2:$N$421,'الشؤون التنفيذية'!$B$2:$B$421,$B361,'الشؤون التنفيذية'!$G$2:$G$421,$G361,'الشؤون التنفيذية'!$I$2:$I$421,$I361)+SUMIFS('الجهاز العسكري'!$M$2:$M$631,'الجهاز العسكري'!$B$2:$B$631,$B361,'الجهاز العسكري'!$G$2:$G$631,$G361,'الجهاز العسكري'!$I$2:$I$631,$I361))/$L361,0))</f>
        <v>43</v>
      </c>
      <c r="O361" s="25" t="n">
        <f aca="false">IF($L361=0,0,ROUND((SUMIFS('المرتبطة بسمو الوزير'!$N$2:$N$151,'المرتبطة بسمو الوزير'!$B$2:$B$151,$B361,'المرتبطة بسمو الوزير'!$G$2:$G$151,$G361,'المرتبطة بسمو الوزير'!$I$2:$I$151,$I361)+SUMIFS('الشؤون التنفيذية'!$O$2:$O$421,'الشؤون التنفيذية'!$B$2:$B$421,$B361,'الشؤون التنفيذية'!$G$2:$G$421,$G361,'الشؤون التنفيذية'!$I$2:$I$421,$I361)+SUMIFS('الجهاز العسكري'!$N$2:$N$631,'الجهاز العسكري'!$B$2:$B$631,$B361,'الجهاز العسكري'!$G$2:$G$631,$G361,'الجهاز العسكري'!$I$2:$I$631,$I361))/$L361,0))</f>
        <v>90</v>
      </c>
      <c r="P361" s="22"/>
      <c r="Q361" s="19" t="n">
        <f aca="false">SUMIFS(المرجع!$G$2:$G$19,المرجع!$B$2:$B$19,$G361,المرجع!$E$2:$E$19,$I361)</f>
        <v>30</v>
      </c>
      <c r="R361" s="26" t="n">
        <f aca="false">ROUND($Q361*$N361/100,2)</f>
        <v>12.9</v>
      </c>
      <c r="S361" s="27" t="str">
        <f aca="false">IF($N361&gt;المرجع!$K$3,"متقدم",IF($N361&lt;=المرجع!$K$2,"أولي","جزئي"))</f>
        <v>جزئي</v>
      </c>
      <c r="T361" s="28" t="n">
        <f aca="false">ROUND($Q361*$O361/100,2)</f>
        <v>27</v>
      </c>
    </row>
    <row r="362" customFormat="false" ht="15" hidden="false" customHeight="true" outlineLevel="0" collapsed="false">
      <c r="A362" s="20" t="s">
        <v>1814</v>
      </c>
      <c r="B362" s="20" t="s">
        <v>198</v>
      </c>
      <c r="C362" s="19" t="str">
        <f aca="false">IFERROR(INDEX('قائمة الوحدات'!$B$2:$B$41,MATCH($B362,'قائمة الوحدات'!$A$2:$A$41,0)),"")</f>
        <v>MIL</v>
      </c>
      <c r="D362" s="18" t="str">
        <f aca="false">IFERROR(INDEX('قائمة الوحدات'!$C$2:$C$41,MATCH($B362,'قائمة الوحدات'!$A$2:$A$41,0)),"")</f>
        <v>الجهاز العسكري</v>
      </c>
      <c r="E362" s="18" t="str">
        <f aca="false">IFERROR(INDEX('قائمة الوحدات'!$D$2:$D$41,MATCH($B362,'قائمة الوحدات'!$A$2:$A$41,0)),"")</f>
        <v>قيادة القوات البرية</v>
      </c>
      <c r="F362" s="18" t="str">
        <f aca="false">IFERROR(INDEX('قائمة الوحدات'!$F$2:$F$41,MATCH($B362,'قائمة الوحدات'!$A$2:$A$41,0)),"")</f>
        <v>قيادة القوات البرية</v>
      </c>
      <c r="G362" s="20" t="s">
        <v>44</v>
      </c>
      <c r="H362" s="18" t="str">
        <f aca="false">IFERROR(INDEX(المرجع!$A$2:$A$19,MATCH($G362,المرجع!$B$2:$B$19,0)),"")</f>
        <v>التصميم</v>
      </c>
      <c r="I362" s="20" t="s">
        <v>46</v>
      </c>
      <c r="J362" s="18" t="str">
        <f aca="false">IFERROR(INDEX(المرجع!$D$2:$D$19,MATCH($I362,المرجع!$E$2:$E$19,0)),"")</f>
        <v>الدور</v>
      </c>
      <c r="K362" s="19" t="n">
        <f aca="false">IFERROR(INDEX(المرجع!$F$2:$F$19,MATCH($I362,المرجع!$E$2:$E$19,0)),"")</f>
        <v>1</v>
      </c>
      <c r="L362" s="19" t="n">
        <f aca="false">SUMIFS(المرجع!$H$2:$H$19,المرجع!$B$2:$B$19,$G362,المرجع!$E$2:$E$19,$I362)</f>
        <v>1</v>
      </c>
      <c r="M362" s="19" t="n">
        <f aca="false">COUNTIFS('المرتبطة بسمو الوزير'!$B$2:$B$151,$B362,'المرتبطة بسمو الوزير'!$G$2:$G$151,$G362,'المرتبطة بسمو الوزير'!$I$2:$I$151,$I362,'المرتبطة بسمو الوزير'!$M$2:$M$151,"&lt;&gt;")+COUNTIFS('الشؤون التنفيذية'!$B$2:$B$421,$B362,'الشؤون التنفيذية'!$G$2:$G$421,$G362,'الشؤون التنفيذية'!$I$2:$I$421,$I362,'الشؤون التنفيذية'!$N$2:$N$421,"&lt;&gt;")+COUNTIFS('الجهاز العسكري'!$B$2:$B$631,$B362,'الجهاز العسكري'!$G$2:$G$631,$G362,'الجهاز العسكري'!$I$2:$I$631,$I362,'الجهاز العسكري'!$M$2:$M$631,"&lt;&gt;")</f>
        <v>1</v>
      </c>
      <c r="N362" s="24" t="n">
        <f aca="false">IF($L362=0,0,ROUND((SUMIFS('المرتبطة بسمو الوزير'!$M$2:$M$151,'المرتبطة بسمو الوزير'!$B$2:$B$151,$B362,'المرتبطة بسمو الوزير'!$G$2:$G$151,$G362,'المرتبطة بسمو الوزير'!$I$2:$I$151,$I362)+SUMIFS('الشؤون التنفيذية'!$N$2:$N$421,'الشؤون التنفيذية'!$B$2:$B$421,$B362,'الشؤون التنفيذية'!$G$2:$G$421,$G362,'الشؤون التنفيذية'!$I$2:$I$421,$I362)+SUMIFS('الجهاز العسكري'!$M$2:$M$631,'الجهاز العسكري'!$B$2:$B$631,$B362,'الجهاز العسكري'!$G$2:$G$631,$G362,'الجهاز العسكري'!$I$2:$I$631,$I362))/$L362,0))</f>
        <v>69</v>
      </c>
      <c r="O362" s="25" t="n">
        <f aca="false">IF($L362=0,0,ROUND((SUMIFS('المرتبطة بسمو الوزير'!$N$2:$N$151,'المرتبطة بسمو الوزير'!$B$2:$B$151,$B362,'المرتبطة بسمو الوزير'!$G$2:$G$151,$G362,'المرتبطة بسمو الوزير'!$I$2:$I$151,$I362)+SUMIFS('الشؤون التنفيذية'!$O$2:$O$421,'الشؤون التنفيذية'!$B$2:$B$421,$B362,'الشؤون التنفيذية'!$G$2:$G$421,$G362,'الشؤون التنفيذية'!$I$2:$I$421,$I362)+SUMIFS('الجهاز العسكري'!$N$2:$N$631,'الجهاز العسكري'!$B$2:$B$631,$B362,'الجهاز العسكري'!$G$2:$G$631,$G362,'الجهاز العسكري'!$I$2:$I$631,$I362))/$L362,0))</f>
        <v>80</v>
      </c>
      <c r="P362" s="22"/>
      <c r="Q362" s="19" t="n">
        <f aca="false">SUMIFS(المرجع!$G$2:$G$19,المرجع!$B$2:$B$19,$G362,المرجع!$E$2:$E$19,$I362)</f>
        <v>25</v>
      </c>
      <c r="R362" s="26" t="n">
        <f aca="false">ROUND($Q362*$N362/100,2)</f>
        <v>17.25</v>
      </c>
      <c r="S362" s="27" t="str">
        <f aca="false">IF($N362&gt;المرجع!$K$3,"متقدم",IF($N362&lt;=المرجع!$K$2,"أولي","جزئي"))</f>
        <v>جزئي</v>
      </c>
      <c r="T362" s="28" t="n">
        <f aca="false">ROUND($Q362*$O362/100,2)</f>
        <v>20</v>
      </c>
    </row>
    <row r="363" customFormat="false" ht="15" hidden="false" customHeight="true" outlineLevel="0" collapsed="false">
      <c r="A363" s="20" t="s">
        <v>1815</v>
      </c>
      <c r="B363" s="20" t="s">
        <v>198</v>
      </c>
      <c r="C363" s="19" t="str">
        <f aca="false">IFERROR(INDEX('قائمة الوحدات'!$B$2:$B$41,MATCH($B363,'قائمة الوحدات'!$A$2:$A$41,0)),"")</f>
        <v>MIL</v>
      </c>
      <c r="D363" s="18" t="str">
        <f aca="false">IFERROR(INDEX('قائمة الوحدات'!$C$2:$C$41,MATCH($B363,'قائمة الوحدات'!$A$2:$A$41,0)),"")</f>
        <v>الجهاز العسكري</v>
      </c>
      <c r="E363" s="18" t="str">
        <f aca="false">IFERROR(INDEX('قائمة الوحدات'!$D$2:$D$41,MATCH($B363,'قائمة الوحدات'!$A$2:$A$41,0)),"")</f>
        <v>قيادة القوات البرية</v>
      </c>
      <c r="F363" s="18" t="str">
        <f aca="false">IFERROR(INDEX('قائمة الوحدات'!$F$2:$F$41,MATCH($B363,'قائمة الوحدات'!$A$2:$A$41,0)),"")</f>
        <v>قيادة القوات البرية</v>
      </c>
      <c r="G363" s="20" t="s">
        <v>44</v>
      </c>
      <c r="H363" s="18" t="str">
        <f aca="false">IFERROR(INDEX(المرجع!$A$2:$A$19,MATCH($G363,المرجع!$B$2:$B$19,0)),"")</f>
        <v>التصميم</v>
      </c>
      <c r="I363" s="20" t="s">
        <v>49</v>
      </c>
      <c r="J363" s="18" t="str">
        <f aca="false">IFERROR(INDEX(المرجع!$D$2:$D$19,MATCH($I363,المرجع!$E$2:$E$19,0)),"")</f>
        <v>الأهداف ومؤشرات الأداء</v>
      </c>
      <c r="K363" s="19" t="n">
        <f aca="false">IFERROR(INDEX(المرجع!$F$2:$F$19,MATCH($I363,المرجع!$E$2:$E$19,0)),"")</f>
        <v>2</v>
      </c>
      <c r="L363" s="19" t="n">
        <f aca="false">SUMIFS(المرجع!$H$2:$H$19,المرجع!$B$2:$B$19,$G363,المرجع!$E$2:$E$19,$I363)</f>
        <v>2</v>
      </c>
      <c r="M363" s="19" t="n">
        <f aca="false">COUNTIFS('المرتبطة بسمو الوزير'!$B$2:$B$151,$B363,'المرتبطة بسمو الوزير'!$G$2:$G$151,$G363,'المرتبطة بسمو الوزير'!$I$2:$I$151,$I363,'المرتبطة بسمو الوزير'!$M$2:$M$151,"&lt;&gt;")+COUNTIFS('الشؤون التنفيذية'!$B$2:$B$421,$B363,'الشؤون التنفيذية'!$G$2:$G$421,$G363,'الشؤون التنفيذية'!$I$2:$I$421,$I363,'الشؤون التنفيذية'!$N$2:$N$421,"&lt;&gt;")+COUNTIFS('الجهاز العسكري'!$B$2:$B$631,$B363,'الجهاز العسكري'!$G$2:$G$631,$G363,'الجهاز العسكري'!$I$2:$I$631,$I363,'الجهاز العسكري'!$M$2:$M$631,"&lt;&gt;")</f>
        <v>2</v>
      </c>
      <c r="N363" s="24" t="n">
        <f aca="false">IF($L363=0,0,ROUND((SUMIFS('المرتبطة بسمو الوزير'!$M$2:$M$151,'المرتبطة بسمو الوزير'!$B$2:$B$151,$B363,'المرتبطة بسمو الوزير'!$G$2:$G$151,$G363,'المرتبطة بسمو الوزير'!$I$2:$I$151,$I363)+SUMIFS('الشؤون التنفيذية'!$N$2:$N$421,'الشؤون التنفيذية'!$B$2:$B$421,$B363,'الشؤون التنفيذية'!$G$2:$G$421,$G363,'الشؤون التنفيذية'!$I$2:$I$421,$I363)+SUMIFS('الجهاز العسكري'!$M$2:$M$631,'الجهاز العسكري'!$B$2:$B$631,$B363,'الجهاز العسكري'!$G$2:$G$631,$G363,'الجهاز العسكري'!$I$2:$I$631,$I363))/$L363,0))</f>
        <v>78</v>
      </c>
      <c r="O363" s="25" t="n">
        <f aca="false">IF($L363=0,0,ROUND((SUMIFS('المرتبطة بسمو الوزير'!$N$2:$N$151,'المرتبطة بسمو الوزير'!$B$2:$B$151,$B363,'المرتبطة بسمو الوزير'!$G$2:$G$151,$G363,'المرتبطة بسمو الوزير'!$I$2:$I$151,$I363)+SUMIFS('الشؤون التنفيذية'!$O$2:$O$421,'الشؤون التنفيذية'!$B$2:$B$421,$B363,'الشؤون التنفيذية'!$G$2:$G$421,$G363,'الشؤون التنفيذية'!$I$2:$I$421,$I363)+SUMIFS('الجهاز العسكري'!$N$2:$N$631,'الجهاز العسكري'!$B$2:$B$631,$B363,'الجهاز العسكري'!$G$2:$G$631,$G363,'الجهاز العسكري'!$I$2:$I$631,$I363))/$L363,0))</f>
        <v>100</v>
      </c>
      <c r="P363" s="22"/>
      <c r="Q363" s="19" t="n">
        <f aca="false">SUMIFS(المرجع!$G$2:$G$19,المرجع!$B$2:$B$19,$G363,المرجع!$E$2:$E$19,$I363)</f>
        <v>15</v>
      </c>
      <c r="R363" s="26" t="n">
        <f aca="false">ROUND($Q363*$N363/100,2)</f>
        <v>11.7</v>
      </c>
      <c r="S363" s="27" t="str">
        <f aca="false">IF($N363&gt;المرجع!$K$3,"متقدم",IF($N363&lt;=المرجع!$K$2,"أولي","جزئي"))</f>
        <v>متقدم</v>
      </c>
      <c r="T363" s="28" t="n">
        <f aca="false">ROUND($Q363*$O363/100,2)</f>
        <v>15</v>
      </c>
    </row>
    <row r="364" customFormat="false" ht="15" hidden="false" customHeight="true" outlineLevel="0" collapsed="false">
      <c r="A364" s="20" t="s">
        <v>1816</v>
      </c>
      <c r="B364" s="20" t="s">
        <v>198</v>
      </c>
      <c r="C364" s="19" t="str">
        <f aca="false">IFERROR(INDEX('قائمة الوحدات'!$B$2:$B$41,MATCH($B364,'قائمة الوحدات'!$A$2:$A$41,0)),"")</f>
        <v>MIL</v>
      </c>
      <c r="D364" s="18" t="str">
        <f aca="false">IFERROR(INDEX('قائمة الوحدات'!$C$2:$C$41,MATCH($B364,'قائمة الوحدات'!$A$2:$A$41,0)),"")</f>
        <v>الجهاز العسكري</v>
      </c>
      <c r="E364" s="18" t="str">
        <f aca="false">IFERROR(INDEX('قائمة الوحدات'!$D$2:$D$41,MATCH($B364,'قائمة الوحدات'!$A$2:$A$41,0)),"")</f>
        <v>قيادة القوات البرية</v>
      </c>
      <c r="F364" s="18" t="str">
        <f aca="false">IFERROR(INDEX('قائمة الوحدات'!$F$2:$F$41,MATCH($B364,'قائمة الوحدات'!$A$2:$A$41,0)),"")</f>
        <v>قيادة القوات البرية</v>
      </c>
      <c r="G364" s="20" t="s">
        <v>44</v>
      </c>
      <c r="H364" s="18" t="str">
        <f aca="false">IFERROR(INDEX(المرجع!$A$2:$A$19,MATCH($G364,المرجع!$B$2:$B$19,0)),"")</f>
        <v>التصميم</v>
      </c>
      <c r="I364" s="20" t="s">
        <v>52</v>
      </c>
      <c r="J364" s="18" t="str">
        <f aca="false">IFERROR(INDEX(المرجع!$D$2:$D$19,MATCH($I364,المرجع!$E$2:$E$19,0)),"")</f>
        <v>الحوكمة</v>
      </c>
      <c r="K364" s="19" t="n">
        <f aca="false">IFERROR(INDEX(المرجع!$F$2:$F$19,MATCH($I364,المرجع!$E$2:$E$19,0)),"")</f>
        <v>3</v>
      </c>
      <c r="L364" s="19" t="n">
        <f aca="false">SUMIFS(المرجع!$H$2:$H$19,المرجع!$B$2:$B$19,$G364,المرجع!$E$2:$E$19,$I364)</f>
        <v>1</v>
      </c>
      <c r="M364" s="19" t="n">
        <f aca="false">COUNTIFS('المرتبطة بسمو الوزير'!$B$2:$B$151,$B364,'المرتبطة بسمو الوزير'!$G$2:$G$151,$G364,'المرتبطة بسمو الوزير'!$I$2:$I$151,$I364,'المرتبطة بسمو الوزير'!$M$2:$M$151,"&lt;&gt;")+COUNTIFS('الشؤون التنفيذية'!$B$2:$B$421,$B364,'الشؤون التنفيذية'!$G$2:$G$421,$G364,'الشؤون التنفيذية'!$I$2:$I$421,$I364,'الشؤون التنفيذية'!$N$2:$N$421,"&lt;&gt;")+COUNTIFS('الجهاز العسكري'!$B$2:$B$631,$B364,'الجهاز العسكري'!$G$2:$G$631,$G364,'الجهاز العسكري'!$I$2:$I$631,$I364,'الجهاز العسكري'!$M$2:$M$631,"&lt;&gt;")</f>
        <v>1</v>
      </c>
      <c r="N364" s="24" t="n">
        <f aca="false">IF($L364=0,0,ROUND((SUMIFS('المرتبطة بسمو الوزير'!$M$2:$M$151,'المرتبطة بسمو الوزير'!$B$2:$B$151,$B364,'المرتبطة بسمو الوزير'!$G$2:$G$151,$G364,'المرتبطة بسمو الوزير'!$I$2:$I$151,$I364)+SUMIFS('الشؤون التنفيذية'!$N$2:$N$421,'الشؤون التنفيذية'!$B$2:$B$421,$B364,'الشؤون التنفيذية'!$G$2:$G$421,$G364,'الشؤون التنفيذية'!$I$2:$I$421,$I364)+SUMIFS('الجهاز العسكري'!$M$2:$M$631,'الجهاز العسكري'!$B$2:$B$631,$B364,'الجهاز العسكري'!$G$2:$G$631,$G364,'الجهاز العسكري'!$I$2:$I$631,$I364))/$L364,0))</f>
        <v>76</v>
      </c>
      <c r="O364" s="25" t="n">
        <f aca="false">IF($L364=0,0,ROUND((SUMIFS('المرتبطة بسمو الوزير'!$N$2:$N$151,'المرتبطة بسمو الوزير'!$B$2:$B$151,$B364,'المرتبطة بسمو الوزير'!$G$2:$G$151,$G364,'المرتبطة بسمو الوزير'!$I$2:$I$151,$I364)+SUMIFS('الشؤون التنفيذية'!$O$2:$O$421,'الشؤون التنفيذية'!$B$2:$B$421,$B364,'الشؤون التنفيذية'!$G$2:$G$421,$G364,'الشؤون التنفيذية'!$I$2:$I$421,$I364)+SUMIFS('الجهاز العسكري'!$N$2:$N$631,'الجهاز العسكري'!$B$2:$B$631,$B364,'الجهاز العسكري'!$G$2:$G$631,$G364,'الجهاز العسكري'!$I$2:$I$631,$I364))/$L364,0))</f>
        <v>85</v>
      </c>
      <c r="P364" s="22"/>
      <c r="Q364" s="19" t="n">
        <f aca="false">SUMIFS(المرجع!$G$2:$G$19,المرجع!$B$2:$B$19,$G364,المرجع!$E$2:$E$19,$I364)</f>
        <v>15</v>
      </c>
      <c r="R364" s="26" t="n">
        <f aca="false">ROUND($Q364*$N364/100,2)</f>
        <v>11.4</v>
      </c>
      <c r="S364" s="27" t="str">
        <f aca="false">IF($N364&gt;المرجع!$K$3,"متقدم",IF($N364&lt;=المرجع!$K$2,"أولي","جزئي"))</f>
        <v>متقدم</v>
      </c>
      <c r="T364" s="28" t="n">
        <f aca="false">ROUND($Q364*$O364/100,2)</f>
        <v>12.75</v>
      </c>
    </row>
    <row r="365" customFormat="false" ht="15" hidden="false" customHeight="true" outlineLevel="0" collapsed="false">
      <c r="A365" s="20" t="s">
        <v>1817</v>
      </c>
      <c r="B365" s="20" t="s">
        <v>198</v>
      </c>
      <c r="C365" s="19" t="str">
        <f aca="false">IFERROR(INDEX('قائمة الوحدات'!$B$2:$B$41,MATCH($B365,'قائمة الوحدات'!$A$2:$A$41,0)),"")</f>
        <v>MIL</v>
      </c>
      <c r="D365" s="18" t="str">
        <f aca="false">IFERROR(INDEX('قائمة الوحدات'!$C$2:$C$41,MATCH($B365,'قائمة الوحدات'!$A$2:$A$41,0)),"")</f>
        <v>الجهاز العسكري</v>
      </c>
      <c r="E365" s="18" t="str">
        <f aca="false">IFERROR(INDEX('قائمة الوحدات'!$D$2:$D$41,MATCH($B365,'قائمة الوحدات'!$A$2:$A$41,0)),"")</f>
        <v>قيادة القوات البرية</v>
      </c>
      <c r="F365" s="18" t="str">
        <f aca="false">IFERROR(INDEX('قائمة الوحدات'!$F$2:$F$41,MATCH($B365,'قائمة الوحدات'!$A$2:$A$41,0)),"")</f>
        <v>قيادة القوات البرية</v>
      </c>
      <c r="G365" s="20" t="s">
        <v>44</v>
      </c>
      <c r="H365" s="18" t="str">
        <f aca="false">IFERROR(INDEX(المرجع!$A$2:$A$19,MATCH($G365,المرجع!$B$2:$B$19,0)),"")</f>
        <v>التصميم</v>
      </c>
      <c r="I365" s="20" t="s">
        <v>55</v>
      </c>
      <c r="J365" s="18" t="str">
        <f aca="false">IFERROR(INDEX(المرجع!$D$2:$D$19,MATCH($I365,المرجع!$E$2:$E$19,0)),"")</f>
        <v>التنظيم</v>
      </c>
      <c r="K365" s="19" t="n">
        <f aca="false">IFERROR(INDEX(المرجع!$F$2:$F$19,MATCH($I365,المرجع!$E$2:$E$19,0)),"")</f>
        <v>4</v>
      </c>
      <c r="L365" s="19" t="n">
        <f aca="false">SUMIFS(المرجع!$H$2:$H$19,المرجع!$B$2:$B$19,$G365,المرجع!$E$2:$E$19,$I365)</f>
        <v>1</v>
      </c>
      <c r="M365" s="19" t="n">
        <f aca="false">COUNTIFS('المرتبطة بسمو الوزير'!$B$2:$B$151,$B365,'المرتبطة بسمو الوزير'!$G$2:$G$151,$G365,'المرتبطة بسمو الوزير'!$I$2:$I$151,$I365,'المرتبطة بسمو الوزير'!$M$2:$M$151,"&lt;&gt;")+COUNTIFS('الشؤون التنفيذية'!$B$2:$B$421,$B365,'الشؤون التنفيذية'!$G$2:$G$421,$G365,'الشؤون التنفيذية'!$I$2:$I$421,$I365,'الشؤون التنفيذية'!$N$2:$N$421,"&lt;&gt;")+COUNTIFS('الجهاز العسكري'!$B$2:$B$631,$B365,'الجهاز العسكري'!$G$2:$G$631,$G365,'الجهاز العسكري'!$I$2:$I$631,$I365,'الجهاز العسكري'!$M$2:$M$631,"&lt;&gt;")</f>
        <v>1</v>
      </c>
      <c r="N365" s="24" t="n">
        <f aca="false">IF($L365=0,0,ROUND((SUMIFS('المرتبطة بسمو الوزير'!$M$2:$M$151,'المرتبطة بسمو الوزير'!$B$2:$B$151,$B365,'المرتبطة بسمو الوزير'!$G$2:$G$151,$G365,'المرتبطة بسمو الوزير'!$I$2:$I$151,$I365)+SUMIFS('الشؤون التنفيذية'!$N$2:$N$421,'الشؤون التنفيذية'!$B$2:$B$421,$B365,'الشؤون التنفيذية'!$G$2:$G$421,$G365,'الشؤون التنفيذية'!$I$2:$I$421,$I365)+SUMIFS('الجهاز العسكري'!$M$2:$M$631,'الجهاز العسكري'!$B$2:$B$631,$B365,'الجهاز العسكري'!$G$2:$G$631,$G365,'الجهاز العسكري'!$I$2:$I$631,$I365))/$L365,0))</f>
        <v>69</v>
      </c>
      <c r="O365" s="25" t="n">
        <f aca="false">IF($L365=0,0,ROUND((SUMIFS('المرتبطة بسمو الوزير'!$N$2:$N$151,'المرتبطة بسمو الوزير'!$B$2:$B$151,$B365,'المرتبطة بسمو الوزير'!$G$2:$G$151,$G365,'المرتبطة بسمو الوزير'!$I$2:$I$151,$I365)+SUMIFS('الشؤون التنفيذية'!$O$2:$O$421,'الشؤون التنفيذية'!$B$2:$B$421,$B365,'الشؤون التنفيذية'!$G$2:$G$421,$G365,'الشؤون التنفيذية'!$I$2:$I$421,$I365)+SUMIFS('الجهاز العسكري'!$N$2:$N$631,'الجهاز العسكري'!$B$2:$B$631,$B365,'الجهاز العسكري'!$G$2:$G$631,$G365,'الجهاز العسكري'!$I$2:$I$631,$I365))/$L365,0))</f>
        <v>95</v>
      </c>
      <c r="P365" s="22"/>
      <c r="Q365" s="19" t="n">
        <f aca="false">SUMIFS(المرجع!$G$2:$G$19,المرجع!$B$2:$B$19,$G365,المرجع!$E$2:$E$19,$I365)</f>
        <v>20</v>
      </c>
      <c r="R365" s="26" t="n">
        <f aca="false">ROUND($Q365*$N365/100,2)</f>
        <v>13.8</v>
      </c>
      <c r="S365" s="27" t="str">
        <f aca="false">IF($N365&gt;المرجع!$K$3,"متقدم",IF($N365&lt;=المرجع!$K$2,"أولي","جزئي"))</f>
        <v>جزئي</v>
      </c>
      <c r="T365" s="28" t="n">
        <f aca="false">ROUND($Q365*$O365/100,2)</f>
        <v>19</v>
      </c>
    </row>
    <row r="366" customFormat="false" ht="15" hidden="false" customHeight="true" outlineLevel="0" collapsed="false">
      <c r="A366" s="20" t="s">
        <v>1818</v>
      </c>
      <c r="B366" s="20" t="s">
        <v>198</v>
      </c>
      <c r="C366" s="19" t="str">
        <f aca="false">IFERROR(INDEX('قائمة الوحدات'!$B$2:$B$41,MATCH($B366,'قائمة الوحدات'!$A$2:$A$41,0)),"")</f>
        <v>MIL</v>
      </c>
      <c r="D366" s="18" t="str">
        <f aca="false">IFERROR(INDEX('قائمة الوحدات'!$C$2:$C$41,MATCH($B366,'قائمة الوحدات'!$A$2:$A$41,0)),"")</f>
        <v>الجهاز العسكري</v>
      </c>
      <c r="E366" s="18" t="str">
        <f aca="false">IFERROR(INDEX('قائمة الوحدات'!$D$2:$D$41,MATCH($B366,'قائمة الوحدات'!$A$2:$A$41,0)),"")</f>
        <v>قيادة القوات البرية</v>
      </c>
      <c r="F366" s="18" t="str">
        <f aca="false">IFERROR(INDEX('قائمة الوحدات'!$F$2:$F$41,MATCH($B366,'قائمة الوحدات'!$A$2:$A$41,0)),"")</f>
        <v>قيادة القوات البرية</v>
      </c>
      <c r="G366" s="20" t="s">
        <v>44</v>
      </c>
      <c r="H366" s="18" t="str">
        <f aca="false">IFERROR(INDEX(المرجع!$A$2:$A$19,MATCH($G366,المرجع!$B$2:$B$19,0)),"")</f>
        <v>التصميم</v>
      </c>
      <c r="I366" s="20" t="s">
        <v>57</v>
      </c>
      <c r="J366" s="18" t="str">
        <f aca="false">IFERROR(INDEX(المرجع!$D$2:$D$19,MATCH($I366,المرجع!$E$2:$E$19,0)),"")</f>
        <v>الموارد</v>
      </c>
      <c r="K366" s="19" t="n">
        <f aca="false">IFERROR(INDEX(المرجع!$F$2:$F$19,MATCH($I366,المرجع!$E$2:$E$19,0)),"")</f>
        <v>5</v>
      </c>
      <c r="L366" s="19" t="n">
        <f aca="false">SUMIFS(المرجع!$H$2:$H$19,المرجع!$B$2:$B$19,$G366,المرجع!$E$2:$E$19,$I366)</f>
        <v>1</v>
      </c>
      <c r="M366" s="19" t="n">
        <f aca="false">COUNTIFS('المرتبطة بسمو الوزير'!$B$2:$B$151,$B366,'المرتبطة بسمو الوزير'!$G$2:$G$151,$G366,'المرتبطة بسمو الوزير'!$I$2:$I$151,$I366,'المرتبطة بسمو الوزير'!$M$2:$M$151,"&lt;&gt;")+COUNTIFS('الشؤون التنفيذية'!$B$2:$B$421,$B366,'الشؤون التنفيذية'!$G$2:$G$421,$G366,'الشؤون التنفيذية'!$I$2:$I$421,$I366,'الشؤون التنفيذية'!$N$2:$N$421,"&lt;&gt;")+COUNTIFS('الجهاز العسكري'!$B$2:$B$631,$B366,'الجهاز العسكري'!$G$2:$G$631,$G366,'الجهاز العسكري'!$I$2:$I$631,$I366,'الجهاز العسكري'!$M$2:$M$631,"&lt;&gt;")</f>
        <v>1</v>
      </c>
      <c r="N366" s="24" t="n">
        <f aca="false">IF($L366=0,0,ROUND((SUMIFS('المرتبطة بسمو الوزير'!$M$2:$M$151,'المرتبطة بسمو الوزير'!$B$2:$B$151,$B366,'المرتبطة بسمو الوزير'!$G$2:$G$151,$G366,'المرتبطة بسمو الوزير'!$I$2:$I$151,$I366)+SUMIFS('الشؤون التنفيذية'!$N$2:$N$421,'الشؤون التنفيذية'!$B$2:$B$421,$B366,'الشؤون التنفيذية'!$G$2:$G$421,$G366,'الشؤون التنفيذية'!$I$2:$I$421,$I366)+SUMIFS('الجهاز العسكري'!$M$2:$M$631,'الجهاز العسكري'!$B$2:$B$631,$B366,'الجهاز العسكري'!$G$2:$G$631,$G366,'الجهاز العسكري'!$I$2:$I$631,$I366))/$L366,0))</f>
        <v>79</v>
      </c>
      <c r="O366" s="25" t="n">
        <f aca="false">IF($L366=0,0,ROUND((SUMIFS('المرتبطة بسمو الوزير'!$N$2:$N$151,'المرتبطة بسمو الوزير'!$B$2:$B$151,$B366,'المرتبطة بسمو الوزير'!$G$2:$G$151,$G366,'المرتبطة بسمو الوزير'!$I$2:$I$151,$I366)+SUMIFS('الشؤون التنفيذية'!$O$2:$O$421,'الشؤون التنفيذية'!$B$2:$B$421,$B366,'الشؤون التنفيذية'!$G$2:$G$421,$G366,'الشؤون التنفيذية'!$I$2:$I$421,$I366)+SUMIFS('الجهاز العسكري'!$N$2:$N$631,'الجهاز العسكري'!$B$2:$B$631,$B366,'الجهاز العسكري'!$G$2:$G$631,$G366,'الجهاز العسكري'!$I$2:$I$631,$I366))/$L366,0))</f>
        <v>80</v>
      </c>
      <c r="P366" s="22"/>
      <c r="Q366" s="19" t="n">
        <f aca="false">SUMIFS(المرجع!$G$2:$G$19,المرجع!$B$2:$B$19,$G366,المرجع!$E$2:$E$19,$I366)</f>
        <v>20</v>
      </c>
      <c r="R366" s="26" t="n">
        <f aca="false">ROUND($Q366*$N366/100,2)</f>
        <v>15.8</v>
      </c>
      <c r="S366" s="27" t="str">
        <f aca="false">IF($N366&gt;المرجع!$K$3,"متقدم",IF($N366&lt;=المرجع!$K$2,"أولي","جزئي"))</f>
        <v>متقدم</v>
      </c>
      <c r="T366" s="28" t="n">
        <f aca="false">ROUND($Q366*$O366/100,2)</f>
        <v>16</v>
      </c>
    </row>
    <row r="367" customFormat="false" ht="15" hidden="false" customHeight="true" outlineLevel="0" collapsed="false">
      <c r="A367" s="20" t="s">
        <v>1819</v>
      </c>
      <c r="B367" s="20" t="s">
        <v>198</v>
      </c>
      <c r="C367" s="19" t="str">
        <f aca="false">IFERROR(INDEX('قائمة الوحدات'!$B$2:$B$41,MATCH($B367,'قائمة الوحدات'!$A$2:$A$41,0)),"")</f>
        <v>MIL</v>
      </c>
      <c r="D367" s="18" t="str">
        <f aca="false">IFERROR(INDEX('قائمة الوحدات'!$C$2:$C$41,MATCH($B367,'قائمة الوحدات'!$A$2:$A$41,0)),"")</f>
        <v>الجهاز العسكري</v>
      </c>
      <c r="E367" s="18" t="str">
        <f aca="false">IFERROR(INDEX('قائمة الوحدات'!$D$2:$D$41,MATCH($B367,'قائمة الوحدات'!$A$2:$A$41,0)),"")</f>
        <v>قيادة القوات البرية</v>
      </c>
      <c r="F367" s="18" t="str">
        <f aca="false">IFERROR(INDEX('قائمة الوحدات'!$F$2:$F$41,MATCH($B367,'قائمة الوحدات'!$A$2:$A$41,0)),"")</f>
        <v>قيادة القوات البرية</v>
      </c>
      <c r="G367" s="20" t="s">
        <v>44</v>
      </c>
      <c r="H367" s="18" t="str">
        <f aca="false">IFERROR(INDEX(المرجع!$A$2:$A$19,MATCH($G367,المرجع!$B$2:$B$19,0)),"")</f>
        <v>التصميم</v>
      </c>
      <c r="I367" s="20" t="s">
        <v>60</v>
      </c>
      <c r="J367" s="18" t="str">
        <f aca="false">IFERROR(INDEX(المرجع!$D$2:$D$19,MATCH($I367,المرجع!$E$2:$E$19,0)),"")</f>
        <v>الإجراءات</v>
      </c>
      <c r="K367" s="19" t="n">
        <f aca="false">IFERROR(INDEX(المرجع!$F$2:$F$19,MATCH($I367,المرجع!$E$2:$E$19,0)),"")</f>
        <v>6</v>
      </c>
      <c r="L367" s="19" t="n">
        <f aca="false">SUMIFS(المرجع!$H$2:$H$19,المرجع!$B$2:$B$19,$G367,المرجع!$E$2:$E$19,$I367)</f>
        <v>1</v>
      </c>
      <c r="M367" s="19" t="n">
        <f aca="false">COUNTIFS('المرتبطة بسمو الوزير'!$B$2:$B$151,$B367,'المرتبطة بسمو الوزير'!$G$2:$G$151,$G367,'المرتبطة بسمو الوزير'!$I$2:$I$151,$I367,'المرتبطة بسمو الوزير'!$M$2:$M$151,"&lt;&gt;")+COUNTIFS('الشؤون التنفيذية'!$B$2:$B$421,$B367,'الشؤون التنفيذية'!$G$2:$G$421,$G367,'الشؤون التنفيذية'!$I$2:$I$421,$I367,'الشؤون التنفيذية'!$N$2:$N$421,"&lt;&gt;")+COUNTIFS('الجهاز العسكري'!$B$2:$B$631,$B367,'الجهاز العسكري'!$G$2:$G$631,$G367,'الجهاز العسكري'!$I$2:$I$631,$I367,'الجهاز العسكري'!$M$2:$M$631,"&lt;&gt;")</f>
        <v>1</v>
      </c>
      <c r="N367" s="24" t="n">
        <f aca="false">IF($L367=0,0,ROUND((SUMIFS('المرتبطة بسمو الوزير'!$M$2:$M$151,'المرتبطة بسمو الوزير'!$B$2:$B$151,$B367,'المرتبطة بسمو الوزير'!$G$2:$G$151,$G367,'المرتبطة بسمو الوزير'!$I$2:$I$151,$I367)+SUMIFS('الشؤون التنفيذية'!$N$2:$N$421,'الشؤون التنفيذية'!$B$2:$B$421,$B367,'الشؤون التنفيذية'!$G$2:$G$421,$G367,'الشؤون التنفيذية'!$I$2:$I$421,$I367)+SUMIFS('الجهاز العسكري'!$M$2:$M$631,'الجهاز العسكري'!$B$2:$B$631,$B367,'الجهاز العسكري'!$G$2:$G$631,$G367,'الجهاز العسكري'!$I$2:$I$631,$I367))/$L367,0))</f>
        <v>83</v>
      </c>
      <c r="O367" s="25" t="n">
        <f aca="false">IF($L367=0,0,ROUND((SUMIFS('المرتبطة بسمو الوزير'!$N$2:$N$151,'المرتبطة بسمو الوزير'!$B$2:$B$151,$B367,'المرتبطة بسمو الوزير'!$G$2:$G$151,$G367,'المرتبطة بسمو الوزير'!$I$2:$I$151,$I367)+SUMIFS('الشؤون التنفيذية'!$O$2:$O$421,'الشؤون التنفيذية'!$B$2:$B$421,$B367,'الشؤون التنفيذية'!$G$2:$G$421,$G367,'الشؤون التنفيذية'!$I$2:$I$421,$I367)+SUMIFS('الجهاز العسكري'!$N$2:$N$631,'الجهاز العسكري'!$B$2:$B$631,$B367,'الجهاز العسكري'!$G$2:$G$631,$G367,'الجهاز العسكري'!$I$2:$I$631,$I367))/$L367,0))</f>
        <v>90</v>
      </c>
      <c r="P367" s="22"/>
      <c r="Q367" s="19" t="n">
        <f aca="false">SUMIFS(المرجع!$G$2:$G$19,المرجع!$B$2:$B$19,$G367,المرجع!$E$2:$E$19,$I367)</f>
        <v>5</v>
      </c>
      <c r="R367" s="26" t="n">
        <f aca="false">ROUND($Q367*$N367/100,2)</f>
        <v>4.15</v>
      </c>
      <c r="S367" s="27" t="str">
        <f aca="false">IF($N367&gt;المرجع!$K$3,"متقدم",IF($N367&lt;=المرجع!$K$2,"أولي","جزئي"))</f>
        <v>متقدم</v>
      </c>
      <c r="T367" s="28" t="n">
        <f aca="false">ROUND($Q367*$O367/100,2)</f>
        <v>4.5</v>
      </c>
    </row>
    <row r="368" customFormat="false" ht="15" hidden="false" customHeight="true" outlineLevel="0" collapsed="false">
      <c r="A368" s="20" t="s">
        <v>1820</v>
      </c>
      <c r="B368" s="20" t="s">
        <v>198</v>
      </c>
      <c r="C368" s="19" t="str">
        <f aca="false">IFERROR(INDEX('قائمة الوحدات'!$B$2:$B$41,MATCH($B368,'قائمة الوحدات'!$A$2:$A$41,0)),"")</f>
        <v>MIL</v>
      </c>
      <c r="D368" s="18" t="str">
        <f aca="false">IFERROR(INDEX('قائمة الوحدات'!$C$2:$C$41,MATCH($B368,'قائمة الوحدات'!$A$2:$A$41,0)),"")</f>
        <v>الجهاز العسكري</v>
      </c>
      <c r="E368" s="18" t="str">
        <f aca="false">IFERROR(INDEX('قائمة الوحدات'!$D$2:$D$41,MATCH($B368,'قائمة الوحدات'!$A$2:$A$41,0)),"")</f>
        <v>قيادة القوات البرية</v>
      </c>
      <c r="F368" s="18" t="str">
        <f aca="false">IFERROR(INDEX('قائمة الوحدات'!$F$2:$F$41,MATCH($B368,'قائمة الوحدات'!$A$2:$A$41,0)),"")</f>
        <v>قيادة القوات البرية</v>
      </c>
      <c r="G368" s="20" t="s">
        <v>62</v>
      </c>
      <c r="H368" s="18" t="str">
        <f aca="false">IFERROR(INDEX(المرجع!$A$2:$A$19,MATCH($G368,المرجع!$B$2:$B$19,0)),"")</f>
        <v>البناء المؤسسي</v>
      </c>
      <c r="I368" s="20" t="s">
        <v>46</v>
      </c>
      <c r="J368" s="18" t="str">
        <f aca="false">IFERROR(INDEX(المرجع!$D$2:$D$19,MATCH($I368,المرجع!$E$2:$E$19,0)),"")</f>
        <v>الدور</v>
      </c>
      <c r="K368" s="19" t="n">
        <f aca="false">IFERROR(INDEX(المرجع!$F$2:$F$19,MATCH($I368,المرجع!$E$2:$E$19,0)),"")</f>
        <v>1</v>
      </c>
      <c r="L368" s="19" t="n">
        <f aca="false">SUMIFS(المرجع!$H$2:$H$19,المرجع!$B$2:$B$19,$G368,المرجع!$E$2:$E$19,$I368)</f>
        <v>1</v>
      </c>
      <c r="M368" s="19" t="n">
        <f aca="false">COUNTIFS('المرتبطة بسمو الوزير'!$B$2:$B$151,$B368,'المرتبطة بسمو الوزير'!$G$2:$G$151,$G368,'المرتبطة بسمو الوزير'!$I$2:$I$151,$I368,'المرتبطة بسمو الوزير'!$M$2:$M$151,"&lt;&gt;")+COUNTIFS('الشؤون التنفيذية'!$B$2:$B$421,$B368,'الشؤون التنفيذية'!$G$2:$G$421,$G368,'الشؤون التنفيذية'!$I$2:$I$421,$I368,'الشؤون التنفيذية'!$N$2:$N$421,"&lt;&gt;")+COUNTIFS('الجهاز العسكري'!$B$2:$B$631,$B368,'الجهاز العسكري'!$G$2:$G$631,$G368,'الجهاز العسكري'!$I$2:$I$631,$I368,'الجهاز العسكري'!$M$2:$M$631,"&lt;&gt;")</f>
        <v>1</v>
      </c>
      <c r="N368" s="24" t="n">
        <f aca="false">IF($L368=0,0,ROUND((SUMIFS('المرتبطة بسمو الوزير'!$M$2:$M$151,'المرتبطة بسمو الوزير'!$B$2:$B$151,$B368,'المرتبطة بسمو الوزير'!$G$2:$G$151,$G368,'المرتبطة بسمو الوزير'!$I$2:$I$151,$I368)+SUMIFS('الشؤون التنفيذية'!$N$2:$N$421,'الشؤون التنفيذية'!$B$2:$B$421,$B368,'الشؤون التنفيذية'!$G$2:$G$421,$G368,'الشؤون التنفيذية'!$I$2:$I$421,$I368)+SUMIFS('الجهاز العسكري'!$M$2:$M$631,'الجهاز العسكري'!$B$2:$B$631,$B368,'الجهاز العسكري'!$G$2:$G$631,$G368,'الجهاز العسكري'!$I$2:$I$631,$I368))/$L368,0))</f>
        <v>74</v>
      </c>
      <c r="O368" s="25" t="n">
        <f aca="false">IF($L368=0,0,ROUND((SUMIFS('المرتبطة بسمو الوزير'!$N$2:$N$151,'المرتبطة بسمو الوزير'!$B$2:$B$151,$B368,'المرتبطة بسمو الوزير'!$G$2:$G$151,$G368,'المرتبطة بسمو الوزير'!$I$2:$I$151,$I368)+SUMIFS('الشؤون التنفيذية'!$O$2:$O$421,'الشؤون التنفيذية'!$B$2:$B$421,$B368,'الشؤون التنفيذية'!$G$2:$G$421,$G368,'الشؤون التنفيذية'!$I$2:$I$421,$I368)+SUMIFS('الجهاز العسكري'!$N$2:$N$631,'الجهاز العسكري'!$B$2:$B$631,$B368,'الجهاز العسكري'!$G$2:$G$631,$G368,'الجهاز العسكري'!$I$2:$I$631,$I368))/$L368,0))</f>
        <v>80</v>
      </c>
      <c r="P368" s="22"/>
      <c r="Q368" s="19" t="n">
        <f aca="false">SUMIFS(المرجع!$G$2:$G$19,المرجع!$B$2:$B$19,$G368,المرجع!$E$2:$E$19,$I368)</f>
        <v>15</v>
      </c>
      <c r="R368" s="26" t="n">
        <f aca="false">ROUND($Q368*$N368/100,2)</f>
        <v>11.1</v>
      </c>
      <c r="S368" s="27" t="str">
        <f aca="false">IF($N368&gt;المرجع!$K$3,"متقدم",IF($N368&lt;=المرجع!$K$2,"أولي","جزئي"))</f>
        <v>متقدم</v>
      </c>
      <c r="T368" s="28" t="n">
        <f aca="false">ROUND($Q368*$O368/100,2)</f>
        <v>12</v>
      </c>
    </row>
    <row r="369" customFormat="false" ht="15" hidden="false" customHeight="true" outlineLevel="0" collapsed="false">
      <c r="A369" s="20" t="s">
        <v>1821</v>
      </c>
      <c r="B369" s="20" t="s">
        <v>198</v>
      </c>
      <c r="C369" s="19" t="str">
        <f aca="false">IFERROR(INDEX('قائمة الوحدات'!$B$2:$B$41,MATCH($B369,'قائمة الوحدات'!$A$2:$A$41,0)),"")</f>
        <v>MIL</v>
      </c>
      <c r="D369" s="18" t="str">
        <f aca="false">IFERROR(INDEX('قائمة الوحدات'!$C$2:$C$41,MATCH($B369,'قائمة الوحدات'!$A$2:$A$41,0)),"")</f>
        <v>الجهاز العسكري</v>
      </c>
      <c r="E369" s="18" t="str">
        <f aca="false">IFERROR(INDEX('قائمة الوحدات'!$D$2:$D$41,MATCH($B369,'قائمة الوحدات'!$A$2:$A$41,0)),"")</f>
        <v>قيادة القوات البرية</v>
      </c>
      <c r="F369" s="18" t="str">
        <f aca="false">IFERROR(INDEX('قائمة الوحدات'!$F$2:$F$41,MATCH($B369,'قائمة الوحدات'!$A$2:$A$41,0)),"")</f>
        <v>قيادة القوات البرية</v>
      </c>
      <c r="G369" s="20" t="s">
        <v>62</v>
      </c>
      <c r="H369" s="18" t="str">
        <f aca="false">IFERROR(INDEX(المرجع!$A$2:$A$19,MATCH($G369,المرجع!$B$2:$B$19,0)),"")</f>
        <v>البناء المؤسسي</v>
      </c>
      <c r="I369" s="20" t="s">
        <v>49</v>
      </c>
      <c r="J369" s="18" t="str">
        <f aca="false">IFERROR(INDEX(المرجع!$D$2:$D$19,MATCH($I369,المرجع!$E$2:$E$19,0)),"")</f>
        <v>الأهداف ومؤشرات الأداء</v>
      </c>
      <c r="K369" s="19" t="n">
        <f aca="false">IFERROR(INDEX(المرجع!$F$2:$F$19,MATCH($I369,المرجع!$E$2:$E$19,0)),"")</f>
        <v>2</v>
      </c>
      <c r="L369" s="19" t="n">
        <f aca="false">SUMIFS(المرجع!$H$2:$H$19,المرجع!$B$2:$B$19,$G369,المرجع!$E$2:$E$19,$I369)</f>
        <v>2</v>
      </c>
      <c r="M369" s="19" t="n">
        <f aca="false">COUNTIFS('المرتبطة بسمو الوزير'!$B$2:$B$151,$B369,'المرتبطة بسمو الوزير'!$G$2:$G$151,$G369,'المرتبطة بسمو الوزير'!$I$2:$I$151,$I369,'المرتبطة بسمو الوزير'!$M$2:$M$151,"&lt;&gt;")+COUNTIFS('الشؤون التنفيذية'!$B$2:$B$421,$B369,'الشؤون التنفيذية'!$G$2:$G$421,$G369,'الشؤون التنفيذية'!$I$2:$I$421,$I369,'الشؤون التنفيذية'!$N$2:$N$421,"&lt;&gt;")+COUNTIFS('الجهاز العسكري'!$B$2:$B$631,$B369,'الجهاز العسكري'!$G$2:$G$631,$G369,'الجهاز العسكري'!$I$2:$I$631,$I369,'الجهاز العسكري'!$M$2:$M$631,"&lt;&gt;")</f>
        <v>2</v>
      </c>
      <c r="N369" s="24" t="n">
        <f aca="false">IF($L369=0,0,ROUND((SUMIFS('المرتبطة بسمو الوزير'!$M$2:$M$151,'المرتبطة بسمو الوزير'!$B$2:$B$151,$B369,'المرتبطة بسمو الوزير'!$G$2:$G$151,$G369,'المرتبطة بسمو الوزير'!$I$2:$I$151,$I369)+SUMIFS('الشؤون التنفيذية'!$N$2:$N$421,'الشؤون التنفيذية'!$B$2:$B$421,$B369,'الشؤون التنفيذية'!$G$2:$G$421,$G369,'الشؤون التنفيذية'!$I$2:$I$421,$I369)+SUMIFS('الجهاز العسكري'!$M$2:$M$631,'الجهاز العسكري'!$B$2:$B$631,$B369,'الجهاز العسكري'!$G$2:$G$631,$G369,'الجهاز العسكري'!$I$2:$I$631,$I369))/$L369,0))</f>
        <v>58</v>
      </c>
      <c r="O369" s="25" t="n">
        <f aca="false">IF($L369=0,0,ROUND((SUMIFS('المرتبطة بسمو الوزير'!$N$2:$N$151,'المرتبطة بسمو الوزير'!$B$2:$B$151,$B369,'المرتبطة بسمو الوزير'!$G$2:$G$151,$G369,'المرتبطة بسمو الوزير'!$I$2:$I$151,$I369)+SUMIFS('الشؤون التنفيذية'!$O$2:$O$421,'الشؤون التنفيذية'!$B$2:$B$421,$B369,'الشؤون التنفيذية'!$G$2:$G$421,$G369,'الشؤون التنفيذية'!$I$2:$I$421,$I369)+SUMIFS('الجهاز العسكري'!$N$2:$N$631,'الجهاز العسكري'!$B$2:$B$631,$B369,'الجهاز العسكري'!$G$2:$G$631,$G369,'الجهاز العسكري'!$I$2:$I$631,$I369))/$L369,0))</f>
        <v>90</v>
      </c>
      <c r="P369" s="22"/>
      <c r="Q369" s="19" t="n">
        <f aca="false">SUMIFS(المرجع!$G$2:$G$19,المرجع!$B$2:$B$19,$G369,المرجع!$E$2:$E$19,$I369)</f>
        <v>15</v>
      </c>
      <c r="R369" s="26" t="n">
        <f aca="false">ROUND($Q369*$N369/100,2)</f>
        <v>8.7</v>
      </c>
      <c r="S369" s="27" t="str">
        <f aca="false">IF($N369&gt;المرجع!$K$3,"متقدم",IF($N369&lt;=المرجع!$K$2,"أولي","جزئي"))</f>
        <v>جزئي</v>
      </c>
      <c r="T369" s="28" t="n">
        <f aca="false">ROUND($Q369*$O369/100,2)</f>
        <v>13.5</v>
      </c>
    </row>
    <row r="370" customFormat="false" ht="15" hidden="false" customHeight="true" outlineLevel="0" collapsed="false">
      <c r="A370" s="20" t="s">
        <v>1822</v>
      </c>
      <c r="B370" s="20" t="s">
        <v>198</v>
      </c>
      <c r="C370" s="19" t="str">
        <f aca="false">IFERROR(INDEX('قائمة الوحدات'!$B$2:$B$41,MATCH($B370,'قائمة الوحدات'!$A$2:$A$41,0)),"")</f>
        <v>MIL</v>
      </c>
      <c r="D370" s="18" t="str">
        <f aca="false">IFERROR(INDEX('قائمة الوحدات'!$C$2:$C$41,MATCH($B370,'قائمة الوحدات'!$A$2:$A$41,0)),"")</f>
        <v>الجهاز العسكري</v>
      </c>
      <c r="E370" s="18" t="str">
        <f aca="false">IFERROR(INDEX('قائمة الوحدات'!$D$2:$D$41,MATCH($B370,'قائمة الوحدات'!$A$2:$A$41,0)),"")</f>
        <v>قيادة القوات البرية</v>
      </c>
      <c r="F370" s="18" t="str">
        <f aca="false">IFERROR(INDEX('قائمة الوحدات'!$F$2:$F$41,MATCH($B370,'قائمة الوحدات'!$A$2:$A$41,0)),"")</f>
        <v>قيادة القوات البرية</v>
      </c>
      <c r="G370" s="20" t="s">
        <v>62</v>
      </c>
      <c r="H370" s="18" t="str">
        <f aca="false">IFERROR(INDEX(المرجع!$A$2:$A$19,MATCH($G370,المرجع!$B$2:$B$19,0)),"")</f>
        <v>البناء المؤسسي</v>
      </c>
      <c r="I370" s="20" t="s">
        <v>52</v>
      </c>
      <c r="J370" s="18" t="str">
        <f aca="false">IFERROR(INDEX(المرجع!$D$2:$D$19,MATCH($I370,المرجع!$E$2:$E$19,0)),"")</f>
        <v>الحوكمة</v>
      </c>
      <c r="K370" s="19" t="n">
        <f aca="false">IFERROR(INDEX(المرجع!$F$2:$F$19,MATCH($I370,المرجع!$E$2:$E$19,0)),"")</f>
        <v>3</v>
      </c>
      <c r="L370" s="19" t="n">
        <f aca="false">SUMIFS(المرجع!$H$2:$H$19,المرجع!$B$2:$B$19,$G370,المرجع!$E$2:$E$19,$I370)</f>
        <v>3</v>
      </c>
      <c r="M370" s="19" t="n">
        <f aca="false">COUNTIFS('المرتبطة بسمو الوزير'!$B$2:$B$151,$B370,'المرتبطة بسمو الوزير'!$G$2:$G$151,$G370,'المرتبطة بسمو الوزير'!$I$2:$I$151,$I370,'المرتبطة بسمو الوزير'!$M$2:$M$151,"&lt;&gt;")+COUNTIFS('الشؤون التنفيذية'!$B$2:$B$421,$B370,'الشؤون التنفيذية'!$G$2:$G$421,$G370,'الشؤون التنفيذية'!$I$2:$I$421,$I370,'الشؤون التنفيذية'!$N$2:$N$421,"&lt;&gt;")+COUNTIFS('الجهاز العسكري'!$B$2:$B$631,$B370,'الجهاز العسكري'!$G$2:$G$631,$G370,'الجهاز العسكري'!$I$2:$I$631,$I370,'الجهاز العسكري'!$M$2:$M$631,"&lt;&gt;")</f>
        <v>3</v>
      </c>
      <c r="N370" s="24" t="n">
        <f aca="false">IF($L370=0,0,ROUND((SUMIFS('المرتبطة بسمو الوزير'!$M$2:$M$151,'المرتبطة بسمو الوزير'!$B$2:$B$151,$B370,'المرتبطة بسمو الوزير'!$G$2:$G$151,$G370,'المرتبطة بسمو الوزير'!$I$2:$I$151,$I370)+SUMIFS('الشؤون التنفيذية'!$N$2:$N$421,'الشؤون التنفيذية'!$B$2:$B$421,$B370,'الشؤون التنفيذية'!$G$2:$G$421,$G370,'الشؤون التنفيذية'!$I$2:$I$421,$I370)+SUMIFS('الجهاز العسكري'!$M$2:$M$631,'الجهاز العسكري'!$B$2:$B$631,$B370,'الجهاز العسكري'!$G$2:$G$631,$G370,'الجهاز العسكري'!$I$2:$I$631,$I370))/$L370,0))</f>
        <v>72</v>
      </c>
      <c r="O370" s="25" t="n">
        <f aca="false">IF($L370=0,0,ROUND((SUMIFS('المرتبطة بسمو الوزير'!$N$2:$N$151,'المرتبطة بسمو الوزير'!$B$2:$B$151,$B370,'المرتبطة بسمو الوزير'!$G$2:$G$151,$G370,'المرتبطة بسمو الوزير'!$I$2:$I$151,$I370)+SUMIFS('الشؤون التنفيذية'!$O$2:$O$421,'الشؤون التنفيذية'!$B$2:$B$421,$B370,'الشؤون التنفيذية'!$G$2:$G$421,$G370,'الشؤون التنفيذية'!$I$2:$I$421,$I370)+SUMIFS('الجهاز العسكري'!$N$2:$N$631,'الجهاز العسكري'!$B$2:$B$631,$B370,'الجهاز العسكري'!$G$2:$G$631,$G370,'الجهاز العسكري'!$I$2:$I$631,$I370))/$L370,0))</f>
        <v>90</v>
      </c>
      <c r="P370" s="22"/>
      <c r="Q370" s="19" t="n">
        <f aca="false">SUMIFS(المرجع!$G$2:$G$19,المرجع!$B$2:$B$19,$G370,المرجع!$E$2:$E$19,$I370)</f>
        <v>15</v>
      </c>
      <c r="R370" s="26" t="n">
        <f aca="false">ROUND($Q370*$N370/100,2)</f>
        <v>10.8</v>
      </c>
      <c r="S370" s="27" t="str">
        <f aca="false">IF($N370&gt;المرجع!$K$3,"متقدم",IF($N370&lt;=المرجع!$K$2,"أولي","جزئي"))</f>
        <v>متقدم</v>
      </c>
      <c r="T370" s="28" t="n">
        <f aca="false">ROUND($Q370*$O370/100,2)</f>
        <v>13.5</v>
      </c>
    </row>
    <row r="371" customFormat="false" ht="15" hidden="false" customHeight="true" outlineLevel="0" collapsed="false">
      <c r="A371" s="20" t="s">
        <v>1823</v>
      </c>
      <c r="B371" s="20" t="s">
        <v>198</v>
      </c>
      <c r="C371" s="19" t="str">
        <f aca="false">IFERROR(INDEX('قائمة الوحدات'!$B$2:$B$41,MATCH($B371,'قائمة الوحدات'!$A$2:$A$41,0)),"")</f>
        <v>MIL</v>
      </c>
      <c r="D371" s="18" t="str">
        <f aca="false">IFERROR(INDEX('قائمة الوحدات'!$C$2:$C$41,MATCH($B371,'قائمة الوحدات'!$A$2:$A$41,0)),"")</f>
        <v>الجهاز العسكري</v>
      </c>
      <c r="E371" s="18" t="str">
        <f aca="false">IFERROR(INDEX('قائمة الوحدات'!$D$2:$D$41,MATCH($B371,'قائمة الوحدات'!$A$2:$A$41,0)),"")</f>
        <v>قيادة القوات البرية</v>
      </c>
      <c r="F371" s="18" t="str">
        <f aca="false">IFERROR(INDEX('قائمة الوحدات'!$F$2:$F$41,MATCH($B371,'قائمة الوحدات'!$A$2:$A$41,0)),"")</f>
        <v>قيادة القوات البرية</v>
      </c>
      <c r="G371" s="20" t="s">
        <v>62</v>
      </c>
      <c r="H371" s="18" t="str">
        <f aca="false">IFERROR(INDEX(المرجع!$A$2:$A$19,MATCH($G371,المرجع!$B$2:$B$19,0)),"")</f>
        <v>البناء المؤسسي</v>
      </c>
      <c r="I371" s="20" t="s">
        <v>55</v>
      </c>
      <c r="J371" s="18" t="str">
        <f aca="false">IFERROR(INDEX(المرجع!$D$2:$D$19,MATCH($I371,المرجع!$E$2:$E$19,0)),"")</f>
        <v>التنظيم</v>
      </c>
      <c r="K371" s="19" t="n">
        <f aca="false">IFERROR(INDEX(المرجع!$F$2:$F$19,MATCH($I371,المرجع!$E$2:$E$19,0)),"")</f>
        <v>4</v>
      </c>
      <c r="L371" s="19" t="n">
        <f aca="false">SUMIFS(المرجع!$H$2:$H$19,المرجع!$B$2:$B$19,$G371,المرجع!$E$2:$E$19,$I371)</f>
        <v>3</v>
      </c>
      <c r="M371" s="19" t="n">
        <f aca="false">COUNTIFS('المرتبطة بسمو الوزير'!$B$2:$B$151,$B371,'المرتبطة بسمو الوزير'!$G$2:$G$151,$G371,'المرتبطة بسمو الوزير'!$I$2:$I$151,$I371,'المرتبطة بسمو الوزير'!$M$2:$M$151,"&lt;&gt;")+COUNTIFS('الشؤون التنفيذية'!$B$2:$B$421,$B371,'الشؤون التنفيذية'!$G$2:$G$421,$G371,'الشؤون التنفيذية'!$I$2:$I$421,$I371,'الشؤون التنفيذية'!$N$2:$N$421,"&lt;&gt;")+COUNTIFS('الجهاز العسكري'!$B$2:$B$631,$B371,'الجهاز العسكري'!$G$2:$G$631,$G371,'الجهاز العسكري'!$I$2:$I$631,$I371,'الجهاز العسكري'!$M$2:$M$631,"&lt;&gt;")</f>
        <v>3</v>
      </c>
      <c r="N371" s="24" t="n">
        <f aca="false">IF($L371=0,0,ROUND((SUMIFS('المرتبطة بسمو الوزير'!$M$2:$M$151,'المرتبطة بسمو الوزير'!$B$2:$B$151,$B371,'المرتبطة بسمو الوزير'!$G$2:$G$151,$G371,'المرتبطة بسمو الوزير'!$I$2:$I$151,$I371)+SUMIFS('الشؤون التنفيذية'!$N$2:$N$421,'الشؤون التنفيذية'!$B$2:$B$421,$B371,'الشؤون التنفيذية'!$G$2:$G$421,$G371,'الشؤون التنفيذية'!$I$2:$I$421,$I371)+SUMIFS('الجهاز العسكري'!$M$2:$M$631,'الجهاز العسكري'!$B$2:$B$631,$B371,'الجهاز العسكري'!$G$2:$G$631,$G371,'الجهاز العسكري'!$I$2:$I$631,$I371))/$L371,0))</f>
        <v>43</v>
      </c>
      <c r="O371" s="25" t="n">
        <f aca="false">IF($L371=0,0,ROUND((SUMIFS('المرتبطة بسمو الوزير'!$N$2:$N$151,'المرتبطة بسمو الوزير'!$B$2:$B$151,$B371,'المرتبطة بسمو الوزير'!$G$2:$G$151,$G371,'المرتبطة بسمو الوزير'!$I$2:$I$151,$I371)+SUMIFS('الشؤون التنفيذية'!$O$2:$O$421,'الشؤون التنفيذية'!$B$2:$B$421,$B371,'الشؤون التنفيذية'!$G$2:$G$421,$G371,'الشؤون التنفيذية'!$I$2:$I$421,$I371)+SUMIFS('الجهاز العسكري'!$N$2:$N$631,'الجهاز العسكري'!$B$2:$B$631,$B371,'الجهاز العسكري'!$G$2:$G$631,$G371,'الجهاز العسكري'!$I$2:$I$631,$I371))/$L371,0))</f>
        <v>95</v>
      </c>
      <c r="P371" s="22"/>
      <c r="Q371" s="19" t="n">
        <f aca="false">SUMIFS(المرجع!$G$2:$G$19,المرجع!$B$2:$B$19,$G371,المرجع!$E$2:$E$19,$I371)</f>
        <v>20</v>
      </c>
      <c r="R371" s="26" t="n">
        <f aca="false">ROUND($Q371*$N371/100,2)</f>
        <v>8.6</v>
      </c>
      <c r="S371" s="27" t="str">
        <f aca="false">IF($N371&gt;المرجع!$K$3,"متقدم",IF($N371&lt;=المرجع!$K$2,"أولي","جزئي"))</f>
        <v>جزئي</v>
      </c>
      <c r="T371" s="28" t="n">
        <f aca="false">ROUND($Q371*$O371/100,2)</f>
        <v>19</v>
      </c>
    </row>
    <row r="372" customFormat="false" ht="15" hidden="false" customHeight="true" outlineLevel="0" collapsed="false">
      <c r="A372" s="20" t="s">
        <v>1824</v>
      </c>
      <c r="B372" s="20" t="s">
        <v>198</v>
      </c>
      <c r="C372" s="19" t="str">
        <f aca="false">IFERROR(INDEX('قائمة الوحدات'!$B$2:$B$41,MATCH($B372,'قائمة الوحدات'!$A$2:$A$41,0)),"")</f>
        <v>MIL</v>
      </c>
      <c r="D372" s="18" t="str">
        <f aca="false">IFERROR(INDEX('قائمة الوحدات'!$C$2:$C$41,MATCH($B372,'قائمة الوحدات'!$A$2:$A$41,0)),"")</f>
        <v>الجهاز العسكري</v>
      </c>
      <c r="E372" s="18" t="str">
        <f aca="false">IFERROR(INDEX('قائمة الوحدات'!$D$2:$D$41,MATCH($B372,'قائمة الوحدات'!$A$2:$A$41,0)),"")</f>
        <v>قيادة القوات البرية</v>
      </c>
      <c r="F372" s="18" t="str">
        <f aca="false">IFERROR(INDEX('قائمة الوحدات'!$F$2:$F$41,MATCH($B372,'قائمة الوحدات'!$A$2:$A$41,0)),"")</f>
        <v>قيادة القوات البرية</v>
      </c>
      <c r="G372" s="20" t="s">
        <v>62</v>
      </c>
      <c r="H372" s="18" t="str">
        <f aca="false">IFERROR(INDEX(المرجع!$A$2:$A$19,MATCH($G372,المرجع!$B$2:$B$19,0)),"")</f>
        <v>البناء المؤسسي</v>
      </c>
      <c r="I372" s="20" t="s">
        <v>57</v>
      </c>
      <c r="J372" s="18" t="str">
        <f aca="false">IFERROR(INDEX(المرجع!$D$2:$D$19,MATCH($I372,المرجع!$E$2:$E$19,0)),"")</f>
        <v>الموارد</v>
      </c>
      <c r="K372" s="19" t="n">
        <f aca="false">IFERROR(INDEX(المرجع!$F$2:$F$19,MATCH($I372,المرجع!$E$2:$E$19,0)),"")</f>
        <v>5</v>
      </c>
      <c r="L372" s="19" t="n">
        <f aca="false">SUMIFS(المرجع!$H$2:$H$19,المرجع!$B$2:$B$19,$G372,المرجع!$E$2:$E$19,$I372)</f>
        <v>4</v>
      </c>
      <c r="M372" s="19" t="n">
        <f aca="false">COUNTIFS('المرتبطة بسمو الوزير'!$B$2:$B$151,$B372,'المرتبطة بسمو الوزير'!$G$2:$G$151,$G372,'المرتبطة بسمو الوزير'!$I$2:$I$151,$I372,'المرتبطة بسمو الوزير'!$M$2:$M$151,"&lt;&gt;")+COUNTIFS('الشؤون التنفيذية'!$B$2:$B$421,$B372,'الشؤون التنفيذية'!$G$2:$G$421,$G372,'الشؤون التنفيذية'!$I$2:$I$421,$I372,'الشؤون التنفيذية'!$N$2:$N$421,"&lt;&gt;")+COUNTIFS('الجهاز العسكري'!$B$2:$B$631,$B372,'الجهاز العسكري'!$G$2:$G$631,$G372,'الجهاز العسكري'!$I$2:$I$631,$I372,'الجهاز العسكري'!$M$2:$M$631,"&lt;&gt;")</f>
        <v>4</v>
      </c>
      <c r="N372" s="24" t="n">
        <f aca="false">IF($L372=0,0,ROUND((SUMIFS('المرتبطة بسمو الوزير'!$M$2:$M$151,'المرتبطة بسمو الوزير'!$B$2:$B$151,$B372,'المرتبطة بسمو الوزير'!$G$2:$G$151,$G372,'المرتبطة بسمو الوزير'!$I$2:$I$151,$I372)+SUMIFS('الشؤون التنفيذية'!$N$2:$N$421,'الشؤون التنفيذية'!$B$2:$B$421,$B372,'الشؤون التنفيذية'!$G$2:$G$421,$G372,'الشؤون التنفيذية'!$I$2:$I$421,$I372)+SUMIFS('الجهاز العسكري'!$M$2:$M$631,'الجهاز العسكري'!$B$2:$B$631,$B372,'الجهاز العسكري'!$G$2:$G$631,$G372,'الجهاز العسكري'!$I$2:$I$631,$I372))/$L372,0))</f>
        <v>54</v>
      </c>
      <c r="O372" s="25" t="n">
        <f aca="false">IF($L372=0,0,ROUND((SUMIFS('المرتبطة بسمو الوزير'!$N$2:$N$151,'المرتبطة بسمو الوزير'!$B$2:$B$151,$B372,'المرتبطة بسمو الوزير'!$G$2:$G$151,$G372,'المرتبطة بسمو الوزير'!$I$2:$I$151,$I372)+SUMIFS('الشؤون التنفيذية'!$O$2:$O$421,'الشؤون التنفيذية'!$B$2:$B$421,$B372,'الشؤون التنفيذية'!$G$2:$G$421,$G372,'الشؤون التنفيذية'!$I$2:$I$421,$I372)+SUMIFS('الجهاز العسكري'!$N$2:$N$631,'الجهاز العسكري'!$B$2:$B$631,$B372,'الجهاز العسكري'!$G$2:$G$631,$G372,'الجهاز العسكري'!$I$2:$I$631,$I372))/$L372,0))</f>
        <v>88</v>
      </c>
      <c r="P372" s="22"/>
      <c r="Q372" s="19" t="n">
        <f aca="false">SUMIFS(المرجع!$G$2:$G$19,المرجع!$B$2:$B$19,$G372,المرجع!$E$2:$E$19,$I372)</f>
        <v>25</v>
      </c>
      <c r="R372" s="26" t="n">
        <f aca="false">ROUND($Q372*$N372/100,2)</f>
        <v>13.5</v>
      </c>
      <c r="S372" s="27" t="str">
        <f aca="false">IF($N372&gt;المرجع!$K$3,"متقدم",IF($N372&lt;=المرجع!$K$2,"أولي","جزئي"))</f>
        <v>جزئي</v>
      </c>
      <c r="T372" s="28" t="n">
        <f aca="false">ROUND($Q372*$O372/100,2)</f>
        <v>22</v>
      </c>
    </row>
    <row r="373" customFormat="false" ht="15" hidden="false" customHeight="true" outlineLevel="0" collapsed="false">
      <c r="A373" s="20" t="s">
        <v>1825</v>
      </c>
      <c r="B373" s="20" t="s">
        <v>198</v>
      </c>
      <c r="C373" s="19" t="str">
        <f aca="false">IFERROR(INDEX('قائمة الوحدات'!$B$2:$B$41,MATCH($B373,'قائمة الوحدات'!$A$2:$A$41,0)),"")</f>
        <v>MIL</v>
      </c>
      <c r="D373" s="18" t="str">
        <f aca="false">IFERROR(INDEX('قائمة الوحدات'!$C$2:$C$41,MATCH($B373,'قائمة الوحدات'!$A$2:$A$41,0)),"")</f>
        <v>الجهاز العسكري</v>
      </c>
      <c r="E373" s="18" t="str">
        <f aca="false">IFERROR(INDEX('قائمة الوحدات'!$D$2:$D$41,MATCH($B373,'قائمة الوحدات'!$A$2:$A$41,0)),"")</f>
        <v>قيادة القوات البرية</v>
      </c>
      <c r="F373" s="18" t="str">
        <f aca="false">IFERROR(INDEX('قائمة الوحدات'!$F$2:$F$41,MATCH($B373,'قائمة الوحدات'!$A$2:$A$41,0)),"")</f>
        <v>قيادة القوات البرية</v>
      </c>
      <c r="G373" s="20" t="s">
        <v>62</v>
      </c>
      <c r="H373" s="18" t="str">
        <f aca="false">IFERROR(INDEX(المرجع!$A$2:$A$19,MATCH($G373,المرجع!$B$2:$B$19,0)),"")</f>
        <v>البناء المؤسسي</v>
      </c>
      <c r="I373" s="20" t="s">
        <v>60</v>
      </c>
      <c r="J373" s="18" t="str">
        <f aca="false">IFERROR(INDEX(المرجع!$D$2:$D$19,MATCH($I373,المرجع!$E$2:$E$19,0)),"")</f>
        <v>الإجراءات</v>
      </c>
      <c r="K373" s="19" t="n">
        <f aca="false">IFERROR(INDEX(المرجع!$F$2:$F$19,MATCH($I373,المرجع!$E$2:$E$19,0)),"")</f>
        <v>6</v>
      </c>
      <c r="L373" s="19" t="n">
        <f aca="false">SUMIFS(المرجع!$H$2:$H$19,المرجع!$B$2:$B$19,$G373,المرجع!$E$2:$E$19,$I373)</f>
        <v>1</v>
      </c>
      <c r="M373" s="19" t="n">
        <f aca="false">COUNTIFS('المرتبطة بسمو الوزير'!$B$2:$B$151,$B373,'المرتبطة بسمو الوزير'!$G$2:$G$151,$G373,'المرتبطة بسمو الوزير'!$I$2:$I$151,$I373,'المرتبطة بسمو الوزير'!$M$2:$M$151,"&lt;&gt;")+COUNTIFS('الشؤون التنفيذية'!$B$2:$B$421,$B373,'الشؤون التنفيذية'!$G$2:$G$421,$G373,'الشؤون التنفيذية'!$I$2:$I$421,$I373,'الشؤون التنفيذية'!$N$2:$N$421,"&lt;&gt;")+COUNTIFS('الجهاز العسكري'!$B$2:$B$631,$B373,'الجهاز العسكري'!$G$2:$G$631,$G373,'الجهاز العسكري'!$I$2:$I$631,$I373,'الجهاز العسكري'!$M$2:$M$631,"&lt;&gt;")</f>
        <v>1</v>
      </c>
      <c r="N373" s="24" t="n">
        <f aca="false">IF($L373=0,0,ROUND((SUMIFS('المرتبطة بسمو الوزير'!$M$2:$M$151,'المرتبطة بسمو الوزير'!$B$2:$B$151,$B373,'المرتبطة بسمو الوزير'!$G$2:$G$151,$G373,'المرتبطة بسمو الوزير'!$I$2:$I$151,$I373)+SUMIFS('الشؤون التنفيذية'!$N$2:$N$421,'الشؤون التنفيذية'!$B$2:$B$421,$B373,'الشؤون التنفيذية'!$G$2:$G$421,$G373,'الشؤون التنفيذية'!$I$2:$I$421,$I373)+SUMIFS('الجهاز العسكري'!$M$2:$M$631,'الجهاز العسكري'!$B$2:$B$631,$B373,'الجهاز العسكري'!$G$2:$G$631,$G373,'الجهاز العسكري'!$I$2:$I$631,$I373))/$L373,0))</f>
        <v>48</v>
      </c>
      <c r="O373" s="25" t="n">
        <f aca="false">IF($L373=0,0,ROUND((SUMIFS('المرتبطة بسمو الوزير'!$N$2:$N$151,'المرتبطة بسمو الوزير'!$B$2:$B$151,$B373,'المرتبطة بسمو الوزير'!$G$2:$G$151,$G373,'المرتبطة بسمو الوزير'!$I$2:$I$151,$I373)+SUMIFS('الشؤون التنفيذية'!$O$2:$O$421,'الشؤون التنفيذية'!$B$2:$B$421,$B373,'الشؤون التنفيذية'!$G$2:$G$421,$G373,'الشؤون التنفيذية'!$I$2:$I$421,$I373)+SUMIFS('الجهاز العسكري'!$N$2:$N$631,'الجهاز العسكري'!$B$2:$B$631,$B373,'الجهاز العسكري'!$G$2:$G$631,$G373,'الجهاز العسكري'!$I$2:$I$631,$I373))/$L373,0))</f>
        <v>95</v>
      </c>
      <c r="P373" s="22"/>
      <c r="Q373" s="19" t="n">
        <f aca="false">SUMIFS(المرجع!$G$2:$G$19,المرجع!$B$2:$B$19,$G373,المرجع!$E$2:$E$19,$I373)</f>
        <v>5</v>
      </c>
      <c r="R373" s="26" t="n">
        <f aca="false">ROUND($Q373*$N373/100,2)</f>
        <v>2.4</v>
      </c>
      <c r="S373" s="27" t="str">
        <f aca="false">IF($N373&gt;المرجع!$K$3,"متقدم",IF($N373&lt;=المرجع!$K$2,"أولي","جزئي"))</f>
        <v>جزئي</v>
      </c>
      <c r="T373" s="28" t="n">
        <f aca="false">ROUND($Q373*$O373/100,2)</f>
        <v>4.75</v>
      </c>
    </row>
    <row r="374" customFormat="false" ht="15" hidden="false" customHeight="true" outlineLevel="0" collapsed="false">
      <c r="A374" s="20" t="s">
        <v>1826</v>
      </c>
      <c r="B374" s="20" t="s">
        <v>198</v>
      </c>
      <c r="C374" s="19" t="str">
        <f aca="false">IFERROR(INDEX('قائمة الوحدات'!$B$2:$B$41,MATCH($B374,'قائمة الوحدات'!$A$2:$A$41,0)),"")</f>
        <v>MIL</v>
      </c>
      <c r="D374" s="18" t="str">
        <f aca="false">IFERROR(INDEX('قائمة الوحدات'!$C$2:$C$41,MATCH($B374,'قائمة الوحدات'!$A$2:$A$41,0)),"")</f>
        <v>الجهاز العسكري</v>
      </c>
      <c r="E374" s="18" t="str">
        <f aca="false">IFERROR(INDEX('قائمة الوحدات'!$D$2:$D$41,MATCH($B374,'قائمة الوحدات'!$A$2:$A$41,0)),"")</f>
        <v>قيادة القوات البرية</v>
      </c>
      <c r="F374" s="18" t="str">
        <f aca="false">IFERROR(INDEX('قائمة الوحدات'!$F$2:$F$41,MATCH($B374,'قائمة الوحدات'!$A$2:$A$41,0)),"")</f>
        <v>قيادة القوات البرية</v>
      </c>
      <c r="G374" s="20" t="s">
        <v>62</v>
      </c>
      <c r="H374" s="18" t="str">
        <f aca="false">IFERROR(INDEX(المرجع!$A$2:$A$19,MATCH($G374,المرجع!$B$2:$B$19,0)),"")</f>
        <v>البناء المؤسسي</v>
      </c>
      <c r="I374" s="20" t="s">
        <v>69</v>
      </c>
      <c r="J374" s="18" t="str">
        <f aca="false">IFERROR(INDEX(المرجع!$D$2:$D$19,MATCH($I374,المرجع!$E$2:$E$19,0)),"")</f>
        <v>إنتاج المخرج الأول</v>
      </c>
      <c r="K374" s="19" t="n">
        <f aca="false">IFERROR(INDEX(المرجع!$F$2:$F$19,MATCH($I374,المرجع!$E$2:$E$19,0)),"")</f>
        <v>7</v>
      </c>
      <c r="L374" s="19" t="n">
        <f aca="false">SUMIFS(المرجع!$H$2:$H$19,المرجع!$B$2:$B$19,$G374,المرجع!$E$2:$E$19,$I374)</f>
        <v>1</v>
      </c>
      <c r="M374" s="19" t="n">
        <f aca="false">COUNTIFS('المرتبطة بسمو الوزير'!$B$2:$B$151,$B374,'المرتبطة بسمو الوزير'!$G$2:$G$151,$G374,'المرتبطة بسمو الوزير'!$I$2:$I$151,$I374,'المرتبطة بسمو الوزير'!$M$2:$M$151,"&lt;&gt;")+COUNTIFS('الشؤون التنفيذية'!$B$2:$B$421,$B374,'الشؤون التنفيذية'!$G$2:$G$421,$G374,'الشؤون التنفيذية'!$I$2:$I$421,$I374,'الشؤون التنفيذية'!$N$2:$N$421,"&lt;&gt;")+COUNTIFS('الجهاز العسكري'!$B$2:$B$631,$B374,'الجهاز العسكري'!$G$2:$G$631,$G374,'الجهاز العسكري'!$I$2:$I$631,$I374,'الجهاز العسكري'!$M$2:$M$631,"&lt;&gt;")</f>
        <v>1</v>
      </c>
      <c r="N374" s="24" t="n">
        <f aca="false">IF($L374=0,0,ROUND((SUMIFS('المرتبطة بسمو الوزير'!$M$2:$M$151,'المرتبطة بسمو الوزير'!$B$2:$B$151,$B374,'المرتبطة بسمو الوزير'!$G$2:$G$151,$G374,'المرتبطة بسمو الوزير'!$I$2:$I$151,$I374)+SUMIFS('الشؤون التنفيذية'!$N$2:$N$421,'الشؤون التنفيذية'!$B$2:$B$421,$B374,'الشؤون التنفيذية'!$G$2:$G$421,$G374,'الشؤون التنفيذية'!$I$2:$I$421,$I374)+SUMIFS('الجهاز العسكري'!$M$2:$M$631,'الجهاز العسكري'!$B$2:$B$631,$B374,'الجهاز العسكري'!$G$2:$G$631,$G374,'الجهاز العسكري'!$I$2:$I$631,$I374))/$L374,0))</f>
        <v>44</v>
      </c>
      <c r="O374" s="25" t="n">
        <f aca="false">IF($L374=0,0,ROUND((SUMIFS('المرتبطة بسمو الوزير'!$N$2:$N$151,'المرتبطة بسمو الوزير'!$B$2:$B$151,$B374,'المرتبطة بسمو الوزير'!$G$2:$G$151,$G374,'المرتبطة بسمو الوزير'!$I$2:$I$151,$I374)+SUMIFS('الشؤون التنفيذية'!$O$2:$O$421,'الشؤون التنفيذية'!$B$2:$B$421,$B374,'الشؤون التنفيذية'!$G$2:$G$421,$G374,'الشؤون التنفيذية'!$I$2:$I$421,$I374)+SUMIFS('الجهاز العسكري'!$N$2:$N$631,'الجهاز العسكري'!$B$2:$B$631,$B374,'الجهاز العسكري'!$G$2:$G$631,$G374,'الجهاز العسكري'!$I$2:$I$631,$I374))/$L374,0))</f>
        <v>80</v>
      </c>
      <c r="P374" s="22"/>
      <c r="Q374" s="19" t="n">
        <f aca="false">SUMIFS(المرجع!$G$2:$G$19,المرجع!$B$2:$B$19,$G374,المرجع!$E$2:$E$19,$I374)</f>
        <v>5</v>
      </c>
      <c r="R374" s="26" t="n">
        <f aca="false">ROUND($Q374*$N374/100,2)</f>
        <v>2.2</v>
      </c>
      <c r="S374" s="27" t="str">
        <f aca="false">IF($N374&gt;المرجع!$K$3,"متقدم",IF($N374&lt;=المرجع!$K$2,"أولي","جزئي"))</f>
        <v>جزئي</v>
      </c>
      <c r="T374" s="28" t="n">
        <f aca="false">ROUND($Q374*$O374/100,2)</f>
        <v>4</v>
      </c>
    </row>
    <row r="375" customFormat="false" ht="15" hidden="false" customHeight="true" outlineLevel="0" collapsed="false">
      <c r="A375" s="20" t="s">
        <v>1827</v>
      </c>
      <c r="B375" s="20" t="s">
        <v>198</v>
      </c>
      <c r="C375" s="19" t="str">
        <f aca="false">IFERROR(INDEX('قائمة الوحدات'!$B$2:$B$41,MATCH($B375,'قائمة الوحدات'!$A$2:$A$41,0)),"")</f>
        <v>MIL</v>
      </c>
      <c r="D375" s="18" t="str">
        <f aca="false">IFERROR(INDEX('قائمة الوحدات'!$C$2:$C$41,MATCH($B375,'قائمة الوحدات'!$A$2:$A$41,0)),"")</f>
        <v>الجهاز العسكري</v>
      </c>
      <c r="E375" s="18" t="str">
        <f aca="false">IFERROR(INDEX('قائمة الوحدات'!$D$2:$D$41,MATCH($B375,'قائمة الوحدات'!$A$2:$A$41,0)),"")</f>
        <v>قيادة القوات البرية</v>
      </c>
      <c r="F375" s="18" t="str">
        <f aca="false">IFERROR(INDEX('قائمة الوحدات'!$F$2:$F$41,MATCH($B375,'قائمة الوحدات'!$A$2:$A$41,0)),"")</f>
        <v>قيادة القوات البرية</v>
      </c>
      <c r="G375" s="20" t="s">
        <v>66</v>
      </c>
      <c r="H375" s="18" t="str">
        <f aca="false">IFERROR(INDEX(المرجع!$A$2:$A$19,MATCH($G375,المرجع!$B$2:$B$19,0)),"")</f>
        <v>التشغيل</v>
      </c>
      <c r="I375" s="20" t="s">
        <v>49</v>
      </c>
      <c r="J375" s="18" t="str">
        <f aca="false">IFERROR(INDEX(المرجع!$D$2:$D$19,MATCH($I375,المرجع!$E$2:$E$19,0)),"")</f>
        <v>الأهداف ومؤشرات الأداء</v>
      </c>
      <c r="K375" s="19" t="n">
        <f aca="false">IFERROR(INDEX(المرجع!$F$2:$F$19,MATCH($I375,المرجع!$E$2:$E$19,0)),"")</f>
        <v>2</v>
      </c>
      <c r="L375" s="19" t="n">
        <f aca="false">SUMIFS(المرجع!$H$2:$H$19,المرجع!$B$2:$B$19,$G375,المرجع!$E$2:$E$19,$I375)</f>
        <v>2</v>
      </c>
      <c r="M375" s="19" t="n">
        <f aca="false">COUNTIFS('المرتبطة بسمو الوزير'!$B$2:$B$151,$B375,'المرتبطة بسمو الوزير'!$G$2:$G$151,$G375,'المرتبطة بسمو الوزير'!$I$2:$I$151,$I375,'المرتبطة بسمو الوزير'!$M$2:$M$151,"&lt;&gt;")+COUNTIFS('الشؤون التنفيذية'!$B$2:$B$421,$B375,'الشؤون التنفيذية'!$G$2:$G$421,$G375,'الشؤون التنفيذية'!$I$2:$I$421,$I375,'الشؤون التنفيذية'!$N$2:$N$421,"&lt;&gt;")+COUNTIFS('الجهاز العسكري'!$B$2:$B$631,$B375,'الجهاز العسكري'!$G$2:$G$631,$G375,'الجهاز العسكري'!$I$2:$I$631,$I375,'الجهاز العسكري'!$M$2:$M$631,"&lt;&gt;")</f>
        <v>2</v>
      </c>
      <c r="N375" s="24" t="n">
        <f aca="false">IF($L375=0,0,ROUND((SUMIFS('المرتبطة بسمو الوزير'!$M$2:$M$151,'المرتبطة بسمو الوزير'!$B$2:$B$151,$B375,'المرتبطة بسمو الوزير'!$G$2:$G$151,$G375,'المرتبطة بسمو الوزير'!$I$2:$I$151,$I375)+SUMIFS('الشؤون التنفيذية'!$N$2:$N$421,'الشؤون التنفيذية'!$B$2:$B$421,$B375,'الشؤون التنفيذية'!$G$2:$G$421,$G375,'الشؤون التنفيذية'!$I$2:$I$421,$I375)+SUMIFS('الجهاز العسكري'!$M$2:$M$631,'الجهاز العسكري'!$B$2:$B$631,$B375,'الجهاز العسكري'!$G$2:$G$631,$G375,'الجهاز العسكري'!$I$2:$I$631,$I375))/$L375,0))</f>
        <v>35</v>
      </c>
      <c r="O375" s="25" t="n">
        <f aca="false">IF($L375=0,0,ROUND((SUMIFS('المرتبطة بسمو الوزير'!$N$2:$N$151,'المرتبطة بسمو الوزير'!$B$2:$B$151,$B375,'المرتبطة بسمو الوزير'!$G$2:$G$151,$G375,'المرتبطة بسمو الوزير'!$I$2:$I$151,$I375)+SUMIFS('الشؤون التنفيذية'!$O$2:$O$421,'الشؤون التنفيذية'!$B$2:$B$421,$B375,'الشؤون التنفيذية'!$G$2:$G$421,$G375,'الشؤون التنفيذية'!$I$2:$I$421,$I375)+SUMIFS('الجهاز العسكري'!$N$2:$N$631,'الجهاز العسكري'!$B$2:$B$631,$B375,'الجهاز العسكري'!$G$2:$G$631,$G375,'الجهاز العسكري'!$I$2:$I$631,$I375))/$L375,0))</f>
        <v>95</v>
      </c>
      <c r="P375" s="22"/>
      <c r="Q375" s="19" t="n">
        <f aca="false">SUMIFS(المرجع!$G$2:$G$19,المرجع!$B$2:$B$19,$G375,المرجع!$E$2:$E$19,$I375)</f>
        <v>25</v>
      </c>
      <c r="R375" s="26" t="n">
        <f aca="false">ROUND($Q375*$N375/100,2)</f>
        <v>8.75</v>
      </c>
      <c r="S375" s="27" t="str">
        <f aca="false">IF($N375&gt;المرجع!$K$3,"متقدم",IF($N375&lt;=المرجع!$K$2,"أولي","جزئي"))</f>
        <v>جزئي</v>
      </c>
      <c r="T375" s="28" t="n">
        <f aca="false">ROUND($Q375*$O375/100,2)</f>
        <v>23.75</v>
      </c>
    </row>
    <row r="376" customFormat="false" ht="15" hidden="false" customHeight="true" outlineLevel="0" collapsed="false">
      <c r="A376" s="20" t="s">
        <v>1828</v>
      </c>
      <c r="B376" s="20" t="s">
        <v>198</v>
      </c>
      <c r="C376" s="19" t="str">
        <f aca="false">IFERROR(INDEX('قائمة الوحدات'!$B$2:$B$41,MATCH($B376,'قائمة الوحدات'!$A$2:$A$41,0)),"")</f>
        <v>MIL</v>
      </c>
      <c r="D376" s="18" t="str">
        <f aca="false">IFERROR(INDEX('قائمة الوحدات'!$C$2:$C$41,MATCH($B376,'قائمة الوحدات'!$A$2:$A$41,0)),"")</f>
        <v>الجهاز العسكري</v>
      </c>
      <c r="E376" s="18" t="str">
        <f aca="false">IFERROR(INDEX('قائمة الوحدات'!$D$2:$D$41,MATCH($B376,'قائمة الوحدات'!$A$2:$A$41,0)),"")</f>
        <v>قيادة القوات البرية</v>
      </c>
      <c r="F376" s="18" t="str">
        <f aca="false">IFERROR(INDEX('قائمة الوحدات'!$F$2:$F$41,MATCH($B376,'قائمة الوحدات'!$A$2:$A$41,0)),"")</f>
        <v>قيادة القوات البرية</v>
      </c>
      <c r="G376" s="20" t="s">
        <v>66</v>
      </c>
      <c r="H376" s="18" t="str">
        <f aca="false">IFERROR(INDEX(المرجع!$A$2:$A$19,MATCH($G376,المرجع!$B$2:$B$19,0)),"")</f>
        <v>التشغيل</v>
      </c>
      <c r="I376" s="20" t="s">
        <v>52</v>
      </c>
      <c r="J376" s="18" t="str">
        <f aca="false">IFERROR(INDEX(المرجع!$D$2:$D$19,MATCH($I376,المرجع!$E$2:$E$19,0)),"")</f>
        <v>الحوكمة</v>
      </c>
      <c r="K376" s="19" t="n">
        <f aca="false">IFERROR(INDEX(المرجع!$F$2:$F$19,MATCH($I376,المرجع!$E$2:$E$19,0)),"")</f>
        <v>3</v>
      </c>
      <c r="L376" s="19" t="n">
        <f aca="false">SUMIFS(المرجع!$H$2:$H$19,المرجع!$B$2:$B$19,$G376,المرجع!$E$2:$E$19,$I376)</f>
        <v>3</v>
      </c>
      <c r="M376" s="19" t="n">
        <f aca="false">COUNTIFS('المرتبطة بسمو الوزير'!$B$2:$B$151,$B376,'المرتبطة بسمو الوزير'!$G$2:$G$151,$G376,'المرتبطة بسمو الوزير'!$I$2:$I$151,$I376,'المرتبطة بسمو الوزير'!$M$2:$M$151,"&lt;&gt;")+COUNTIFS('الشؤون التنفيذية'!$B$2:$B$421,$B376,'الشؤون التنفيذية'!$G$2:$G$421,$G376,'الشؤون التنفيذية'!$I$2:$I$421,$I376,'الشؤون التنفيذية'!$N$2:$N$421,"&lt;&gt;")+COUNTIFS('الجهاز العسكري'!$B$2:$B$631,$B376,'الجهاز العسكري'!$G$2:$G$631,$G376,'الجهاز العسكري'!$I$2:$I$631,$I376,'الجهاز العسكري'!$M$2:$M$631,"&lt;&gt;")</f>
        <v>3</v>
      </c>
      <c r="N376" s="24" t="n">
        <f aca="false">IF($L376=0,0,ROUND((SUMIFS('المرتبطة بسمو الوزير'!$M$2:$M$151,'المرتبطة بسمو الوزير'!$B$2:$B$151,$B376,'المرتبطة بسمو الوزير'!$G$2:$G$151,$G376,'المرتبطة بسمو الوزير'!$I$2:$I$151,$I376)+SUMIFS('الشؤون التنفيذية'!$N$2:$N$421,'الشؤون التنفيذية'!$B$2:$B$421,$B376,'الشؤون التنفيذية'!$G$2:$G$421,$G376,'الشؤون التنفيذية'!$I$2:$I$421,$I376)+SUMIFS('الجهاز العسكري'!$M$2:$M$631,'الجهاز العسكري'!$B$2:$B$631,$B376,'الجهاز العسكري'!$G$2:$G$631,$G376,'الجهاز العسكري'!$I$2:$I$631,$I376))/$L376,0))</f>
        <v>35</v>
      </c>
      <c r="O376" s="25" t="n">
        <f aca="false">IF($L376=0,0,ROUND((SUMIFS('المرتبطة بسمو الوزير'!$N$2:$N$151,'المرتبطة بسمو الوزير'!$B$2:$B$151,$B376,'المرتبطة بسمو الوزير'!$G$2:$G$151,$G376,'المرتبطة بسمو الوزير'!$I$2:$I$151,$I376)+SUMIFS('الشؤون التنفيذية'!$O$2:$O$421,'الشؤون التنفيذية'!$B$2:$B$421,$B376,'الشؤون التنفيذية'!$G$2:$G$421,$G376,'الشؤون التنفيذية'!$I$2:$I$421,$I376)+SUMIFS('الجهاز العسكري'!$N$2:$N$631,'الجهاز العسكري'!$B$2:$B$631,$B376,'الجهاز العسكري'!$G$2:$G$631,$G376,'الجهاز العسكري'!$I$2:$I$631,$I376))/$L376,0))</f>
        <v>95</v>
      </c>
      <c r="P376" s="22"/>
      <c r="Q376" s="19" t="n">
        <f aca="false">SUMIFS(المرجع!$G$2:$G$19,المرجع!$B$2:$B$19,$G376,المرجع!$E$2:$E$19,$I376)</f>
        <v>15</v>
      </c>
      <c r="R376" s="26" t="n">
        <f aca="false">ROUND($Q376*$N376/100,2)</f>
        <v>5.25</v>
      </c>
      <c r="S376" s="27" t="str">
        <f aca="false">IF($N376&gt;المرجع!$K$3,"متقدم",IF($N376&lt;=المرجع!$K$2,"أولي","جزئي"))</f>
        <v>جزئي</v>
      </c>
      <c r="T376" s="28" t="n">
        <f aca="false">ROUND($Q376*$O376/100,2)</f>
        <v>14.25</v>
      </c>
    </row>
    <row r="377" customFormat="false" ht="15" hidden="false" customHeight="true" outlineLevel="0" collapsed="false">
      <c r="A377" s="20" t="s">
        <v>1829</v>
      </c>
      <c r="B377" s="20" t="s">
        <v>198</v>
      </c>
      <c r="C377" s="19" t="str">
        <f aca="false">IFERROR(INDEX('قائمة الوحدات'!$B$2:$B$41,MATCH($B377,'قائمة الوحدات'!$A$2:$A$41,0)),"")</f>
        <v>MIL</v>
      </c>
      <c r="D377" s="18" t="str">
        <f aca="false">IFERROR(INDEX('قائمة الوحدات'!$C$2:$C$41,MATCH($B377,'قائمة الوحدات'!$A$2:$A$41,0)),"")</f>
        <v>الجهاز العسكري</v>
      </c>
      <c r="E377" s="18" t="str">
        <f aca="false">IFERROR(INDEX('قائمة الوحدات'!$D$2:$D$41,MATCH($B377,'قائمة الوحدات'!$A$2:$A$41,0)),"")</f>
        <v>قيادة القوات البرية</v>
      </c>
      <c r="F377" s="18" t="str">
        <f aca="false">IFERROR(INDEX('قائمة الوحدات'!$F$2:$F$41,MATCH($B377,'قائمة الوحدات'!$A$2:$A$41,0)),"")</f>
        <v>قيادة القوات البرية</v>
      </c>
      <c r="G377" s="20" t="s">
        <v>66</v>
      </c>
      <c r="H377" s="18" t="str">
        <f aca="false">IFERROR(INDEX(المرجع!$A$2:$A$19,MATCH($G377,المرجع!$B$2:$B$19,0)),"")</f>
        <v>التشغيل</v>
      </c>
      <c r="I377" s="20" t="s">
        <v>57</v>
      </c>
      <c r="J377" s="18" t="str">
        <f aca="false">IFERROR(INDEX(المرجع!$D$2:$D$19,MATCH($I377,المرجع!$E$2:$E$19,0)),"")</f>
        <v>الموارد</v>
      </c>
      <c r="K377" s="19" t="n">
        <f aca="false">IFERROR(INDEX(المرجع!$F$2:$F$19,MATCH($I377,المرجع!$E$2:$E$19,0)),"")</f>
        <v>5</v>
      </c>
      <c r="L377" s="19" t="n">
        <f aca="false">SUMIFS(المرجع!$H$2:$H$19,المرجع!$B$2:$B$19,$G377,المرجع!$E$2:$E$19,$I377)</f>
        <v>1</v>
      </c>
      <c r="M377" s="19" t="n">
        <f aca="false">COUNTIFS('المرتبطة بسمو الوزير'!$B$2:$B$151,$B377,'المرتبطة بسمو الوزير'!$G$2:$G$151,$G377,'المرتبطة بسمو الوزير'!$I$2:$I$151,$I377,'المرتبطة بسمو الوزير'!$M$2:$M$151,"&lt;&gt;")+COUNTIFS('الشؤون التنفيذية'!$B$2:$B$421,$B377,'الشؤون التنفيذية'!$G$2:$G$421,$G377,'الشؤون التنفيذية'!$I$2:$I$421,$I377,'الشؤون التنفيذية'!$N$2:$N$421,"&lt;&gt;")+COUNTIFS('الجهاز العسكري'!$B$2:$B$631,$B377,'الجهاز العسكري'!$G$2:$G$631,$G377,'الجهاز العسكري'!$I$2:$I$631,$I377,'الجهاز العسكري'!$M$2:$M$631,"&lt;&gt;")</f>
        <v>1</v>
      </c>
      <c r="N377" s="24" t="n">
        <f aca="false">IF($L377=0,0,ROUND((SUMIFS('المرتبطة بسمو الوزير'!$M$2:$M$151,'المرتبطة بسمو الوزير'!$B$2:$B$151,$B377,'المرتبطة بسمو الوزير'!$G$2:$G$151,$G377,'المرتبطة بسمو الوزير'!$I$2:$I$151,$I377)+SUMIFS('الشؤون التنفيذية'!$N$2:$N$421,'الشؤون التنفيذية'!$B$2:$B$421,$B377,'الشؤون التنفيذية'!$G$2:$G$421,$G377,'الشؤون التنفيذية'!$I$2:$I$421,$I377)+SUMIFS('الجهاز العسكري'!$M$2:$M$631,'الجهاز العسكري'!$B$2:$B$631,$B377,'الجهاز العسكري'!$G$2:$G$631,$G377,'الجهاز العسكري'!$I$2:$I$631,$I377))/$L377,0))</f>
        <v>55</v>
      </c>
      <c r="O377" s="25" t="n">
        <f aca="false">IF($L377=0,0,ROUND((SUMIFS('المرتبطة بسمو الوزير'!$N$2:$N$151,'المرتبطة بسمو الوزير'!$B$2:$B$151,$B377,'المرتبطة بسمو الوزير'!$G$2:$G$151,$G377,'المرتبطة بسمو الوزير'!$I$2:$I$151,$I377)+SUMIFS('الشؤون التنفيذية'!$O$2:$O$421,'الشؤون التنفيذية'!$B$2:$B$421,$B377,'الشؤون التنفيذية'!$G$2:$G$421,$G377,'الشؤون التنفيذية'!$I$2:$I$421,$I377)+SUMIFS('الجهاز العسكري'!$N$2:$N$631,'الجهاز العسكري'!$B$2:$B$631,$B377,'الجهاز العسكري'!$G$2:$G$631,$G377,'الجهاز العسكري'!$I$2:$I$631,$I377))/$L377,0))</f>
        <v>85</v>
      </c>
      <c r="P377" s="22"/>
      <c r="Q377" s="19" t="n">
        <f aca="false">SUMIFS(المرجع!$G$2:$G$19,المرجع!$B$2:$B$19,$G377,المرجع!$E$2:$E$19,$I377)</f>
        <v>15</v>
      </c>
      <c r="R377" s="26" t="n">
        <f aca="false">ROUND($Q377*$N377/100,2)</f>
        <v>8.25</v>
      </c>
      <c r="S377" s="27" t="str">
        <f aca="false">IF($N377&gt;المرجع!$K$3,"متقدم",IF($N377&lt;=المرجع!$K$2,"أولي","جزئي"))</f>
        <v>جزئي</v>
      </c>
      <c r="T377" s="28" t="n">
        <f aca="false">ROUND($Q377*$O377/100,2)</f>
        <v>12.75</v>
      </c>
    </row>
    <row r="378" customFormat="false" ht="15" hidden="false" customHeight="true" outlineLevel="0" collapsed="false">
      <c r="A378" s="20" t="s">
        <v>1830</v>
      </c>
      <c r="B378" s="20" t="s">
        <v>198</v>
      </c>
      <c r="C378" s="19" t="str">
        <f aca="false">IFERROR(INDEX('قائمة الوحدات'!$B$2:$B$41,MATCH($B378,'قائمة الوحدات'!$A$2:$A$41,0)),"")</f>
        <v>MIL</v>
      </c>
      <c r="D378" s="18" t="str">
        <f aca="false">IFERROR(INDEX('قائمة الوحدات'!$C$2:$C$41,MATCH($B378,'قائمة الوحدات'!$A$2:$A$41,0)),"")</f>
        <v>الجهاز العسكري</v>
      </c>
      <c r="E378" s="18" t="str">
        <f aca="false">IFERROR(INDEX('قائمة الوحدات'!$D$2:$D$41,MATCH($B378,'قائمة الوحدات'!$A$2:$A$41,0)),"")</f>
        <v>قيادة القوات البرية</v>
      </c>
      <c r="F378" s="18" t="str">
        <f aca="false">IFERROR(INDEX('قائمة الوحدات'!$F$2:$F$41,MATCH($B378,'قائمة الوحدات'!$A$2:$A$41,0)),"")</f>
        <v>قيادة القوات البرية</v>
      </c>
      <c r="G378" s="20" t="s">
        <v>66</v>
      </c>
      <c r="H378" s="18" t="str">
        <f aca="false">IFERROR(INDEX(المرجع!$A$2:$A$19,MATCH($G378,المرجع!$B$2:$B$19,0)),"")</f>
        <v>التشغيل</v>
      </c>
      <c r="I378" s="20" t="s">
        <v>60</v>
      </c>
      <c r="J378" s="18" t="str">
        <f aca="false">IFERROR(INDEX(المرجع!$D$2:$D$19,MATCH($I378,المرجع!$E$2:$E$19,0)),"")</f>
        <v>الإجراءات</v>
      </c>
      <c r="K378" s="19" t="n">
        <f aca="false">IFERROR(INDEX(المرجع!$F$2:$F$19,MATCH($I378,المرجع!$E$2:$E$19,0)),"")</f>
        <v>6</v>
      </c>
      <c r="L378" s="19" t="n">
        <f aca="false">SUMIFS(المرجع!$H$2:$H$19,المرجع!$B$2:$B$19,$G378,المرجع!$E$2:$E$19,$I378)</f>
        <v>1</v>
      </c>
      <c r="M378" s="19" t="n">
        <f aca="false">COUNTIFS('المرتبطة بسمو الوزير'!$B$2:$B$151,$B378,'المرتبطة بسمو الوزير'!$G$2:$G$151,$G378,'المرتبطة بسمو الوزير'!$I$2:$I$151,$I378,'المرتبطة بسمو الوزير'!$M$2:$M$151,"&lt;&gt;")+COUNTIFS('الشؤون التنفيذية'!$B$2:$B$421,$B378,'الشؤون التنفيذية'!$G$2:$G$421,$G378,'الشؤون التنفيذية'!$I$2:$I$421,$I378,'الشؤون التنفيذية'!$N$2:$N$421,"&lt;&gt;")+COUNTIFS('الجهاز العسكري'!$B$2:$B$631,$B378,'الجهاز العسكري'!$G$2:$G$631,$G378,'الجهاز العسكري'!$I$2:$I$631,$I378,'الجهاز العسكري'!$M$2:$M$631,"&lt;&gt;")</f>
        <v>1</v>
      </c>
      <c r="N378" s="24" t="n">
        <f aca="false">IF($L378=0,0,ROUND((SUMIFS('المرتبطة بسمو الوزير'!$M$2:$M$151,'المرتبطة بسمو الوزير'!$B$2:$B$151,$B378,'المرتبطة بسمو الوزير'!$G$2:$G$151,$G378,'المرتبطة بسمو الوزير'!$I$2:$I$151,$I378)+SUMIFS('الشؤون التنفيذية'!$N$2:$N$421,'الشؤون التنفيذية'!$B$2:$B$421,$B378,'الشؤون التنفيذية'!$G$2:$G$421,$G378,'الشؤون التنفيذية'!$I$2:$I$421,$I378)+SUMIFS('الجهاز العسكري'!$M$2:$M$631,'الجهاز العسكري'!$B$2:$B$631,$B378,'الجهاز العسكري'!$G$2:$G$631,$G378,'الجهاز العسكري'!$I$2:$I$631,$I378))/$L378,0))</f>
        <v>23</v>
      </c>
      <c r="O378" s="25" t="n">
        <f aca="false">IF($L378=0,0,ROUND((SUMIFS('المرتبطة بسمو الوزير'!$N$2:$N$151,'المرتبطة بسمو الوزير'!$B$2:$B$151,$B378,'المرتبطة بسمو الوزير'!$G$2:$G$151,$G378,'المرتبطة بسمو الوزير'!$I$2:$I$151,$I378)+SUMIFS('الشؤون التنفيذية'!$O$2:$O$421,'الشؤون التنفيذية'!$B$2:$B$421,$B378,'الشؤون التنفيذية'!$G$2:$G$421,$G378,'الشؤون التنفيذية'!$I$2:$I$421,$I378)+SUMIFS('الجهاز العسكري'!$N$2:$N$631,'الجهاز العسكري'!$B$2:$B$631,$B378,'الجهاز العسكري'!$G$2:$G$631,$G378,'الجهاز العسكري'!$I$2:$I$631,$I378))/$L378,0))</f>
        <v>80</v>
      </c>
      <c r="P378" s="22"/>
      <c r="Q378" s="19" t="n">
        <f aca="false">SUMIFS(المرجع!$G$2:$G$19,المرجع!$B$2:$B$19,$G378,المرجع!$E$2:$E$19,$I378)</f>
        <v>15</v>
      </c>
      <c r="R378" s="26" t="n">
        <f aca="false">ROUND($Q378*$N378/100,2)</f>
        <v>3.45</v>
      </c>
      <c r="S378" s="27" t="str">
        <f aca="false">IF($N378&gt;المرجع!$K$3,"متقدم",IF($N378&lt;=المرجع!$K$2,"أولي","جزئي"))</f>
        <v>أولي</v>
      </c>
      <c r="T378" s="28" t="n">
        <f aca="false">ROUND($Q378*$O378/100,2)</f>
        <v>12</v>
      </c>
    </row>
    <row r="379" customFormat="false" ht="15" hidden="false" customHeight="true" outlineLevel="0" collapsed="false">
      <c r="A379" s="20" t="s">
        <v>1831</v>
      </c>
      <c r="B379" s="20" t="s">
        <v>198</v>
      </c>
      <c r="C379" s="19" t="str">
        <f aca="false">IFERROR(INDEX('قائمة الوحدات'!$B$2:$B$41,MATCH($B379,'قائمة الوحدات'!$A$2:$A$41,0)),"")</f>
        <v>MIL</v>
      </c>
      <c r="D379" s="18" t="str">
        <f aca="false">IFERROR(INDEX('قائمة الوحدات'!$C$2:$C$41,MATCH($B379,'قائمة الوحدات'!$A$2:$A$41,0)),"")</f>
        <v>الجهاز العسكري</v>
      </c>
      <c r="E379" s="18" t="str">
        <f aca="false">IFERROR(INDEX('قائمة الوحدات'!$D$2:$D$41,MATCH($B379,'قائمة الوحدات'!$A$2:$A$41,0)),"")</f>
        <v>قيادة القوات البرية</v>
      </c>
      <c r="F379" s="18" t="str">
        <f aca="false">IFERROR(INDEX('قائمة الوحدات'!$F$2:$F$41,MATCH($B379,'قائمة الوحدات'!$A$2:$A$41,0)),"")</f>
        <v>قيادة القوات البرية</v>
      </c>
      <c r="G379" s="20" t="s">
        <v>66</v>
      </c>
      <c r="H379" s="18" t="str">
        <f aca="false">IFERROR(INDEX(المرجع!$A$2:$A$19,MATCH($G379,المرجع!$B$2:$B$19,0)),"")</f>
        <v>التشغيل</v>
      </c>
      <c r="I379" s="20" t="s">
        <v>71</v>
      </c>
      <c r="J379" s="18" t="str">
        <f aca="false">IFERROR(INDEX(المرجع!$D$2:$D$19,MATCH($I379,المرجع!$E$2:$E$19,0)),"")</f>
        <v>اكتمال المخرجات المستهدفة</v>
      </c>
      <c r="K379" s="19" t="n">
        <f aca="false">IFERROR(INDEX(المرجع!$F$2:$F$19,MATCH($I379,المرجع!$E$2:$E$19,0)),"")</f>
        <v>8</v>
      </c>
      <c r="L379" s="19" t="n">
        <f aca="false">SUMIFS(المرجع!$H$2:$H$19,المرجع!$B$2:$B$19,$G379,المرجع!$E$2:$E$19,$I379)</f>
        <v>1</v>
      </c>
      <c r="M379" s="19" t="n">
        <f aca="false">COUNTIFS('المرتبطة بسمو الوزير'!$B$2:$B$151,$B379,'المرتبطة بسمو الوزير'!$G$2:$G$151,$G379,'المرتبطة بسمو الوزير'!$I$2:$I$151,$I379,'المرتبطة بسمو الوزير'!$M$2:$M$151,"&lt;&gt;")+COUNTIFS('الشؤون التنفيذية'!$B$2:$B$421,$B379,'الشؤون التنفيذية'!$G$2:$G$421,$G379,'الشؤون التنفيذية'!$I$2:$I$421,$I379,'الشؤون التنفيذية'!$N$2:$N$421,"&lt;&gt;")+COUNTIFS('الجهاز العسكري'!$B$2:$B$631,$B379,'الجهاز العسكري'!$G$2:$G$631,$G379,'الجهاز العسكري'!$I$2:$I$631,$I379,'الجهاز العسكري'!$M$2:$M$631,"&lt;&gt;")</f>
        <v>1</v>
      </c>
      <c r="N379" s="24" t="n">
        <f aca="false">IF($L379=0,0,ROUND((SUMIFS('المرتبطة بسمو الوزير'!$M$2:$M$151,'المرتبطة بسمو الوزير'!$B$2:$B$151,$B379,'المرتبطة بسمو الوزير'!$G$2:$G$151,$G379,'المرتبطة بسمو الوزير'!$I$2:$I$151,$I379)+SUMIFS('الشؤون التنفيذية'!$N$2:$N$421,'الشؤون التنفيذية'!$B$2:$B$421,$B379,'الشؤون التنفيذية'!$G$2:$G$421,$G379,'الشؤون التنفيذية'!$I$2:$I$421,$I379)+SUMIFS('الجهاز العسكري'!$M$2:$M$631,'الجهاز العسكري'!$B$2:$B$631,$B379,'الجهاز العسكري'!$G$2:$G$631,$G379,'الجهاز العسكري'!$I$2:$I$631,$I379))/$L379,0))</f>
        <v>62</v>
      </c>
      <c r="O379" s="25" t="n">
        <f aca="false">IF($L379=0,0,ROUND((SUMIFS('المرتبطة بسمو الوزير'!$N$2:$N$151,'المرتبطة بسمو الوزير'!$B$2:$B$151,$B379,'المرتبطة بسمو الوزير'!$G$2:$G$151,$G379,'المرتبطة بسمو الوزير'!$I$2:$I$151,$I379)+SUMIFS('الشؤون التنفيذية'!$O$2:$O$421,'الشؤون التنفيذية'!$B$2:$B$421,$B379,'الشؤون التنفيذية'!$G$2:$G$421,$G379,'الشؤون التنفيذية'!$I$2:$I$421,$I379)+SUMIFS('الجهاز العسكري'!$N$2:$N$631,'الجهاز العسكري'!$B$2:$B$631,$B379,'الجهاز العسكري'!$G$2:$G$631,$G379,'الجهاز العسكري'!$I$2:$I$631,$I379))/$L379,0))</f>
        <v>100</v>
      </c>
      <c r="P379" s="22"/>
      <c r="Q379" s="19" t="n">
        <f aca="false">SUMIFS(المرجع!$G$2:$G$19,المرجع!$B$2:$B$19,$G379,المرجع!$E$2:$E$19,$I379)</f>
        <v>30</v>
      </c>
      <c r="R379" s="26" t="n">
        <f aca="false">ROUND($Q379*$N379/100,2)</f>
        <v>18.6</v>
      </c>
      <c r="S379" s="27" t="str">
        <f aca="false">IF($N379&gt;المرجع!$K$3,"متقدم",IF($N379&lt;=المرجع!$K$2,"أولي","جزئي"))</f>
        <v>جزئي</v>
      </c>
      <c r="T379" s="28" t="n">
        <f aca="false">ROUND($Q379*$O379/100,2)</f>
        <v>30</v>
      </c>
    </row>
    <row r="380" customFormat="false" ht="15" hidden="false" customHeight="true" outlineLevel="0" collapsed="false">
      <c r="A380" s="20" t="s">
        <v>1832</v>
      </c>
      <c r="B380" s="20" t="s">
        <v>200</v>
      </c>
      <c r="C380" s="19" t="str">
        <f aca="false">IFERROR(INDEX('قائمة الوحدات'!$B$2:$B$41,MATCH($B380,'قائمة الوحدات'!$A$2:$A$41,0)),"")</f>
        <v>MIL</v>
      </c>
      <c r="D380" s="18" t="str">
        <f aca="false">IFERROR(INDEX('قائمة الوحدات'!$C$2:$C$41,MATCH($B380,'قائمة الوحدات'!$A$2:$A$41,0)),"")</f>
        <v>الجهاز العسكري</v>
      </c>
      <c r="E380" s="18" t="str">
        <f aca="false">IFERROR(INDEX('قائمة الوحدات'!$D$2:$D$41,MATCH($B380,'قائمة الوحدات'!$A$2:$A$41,0)),"")</f>
        <v>قيادة القوات الجوية</v>
      </c>
      <c r="F380" s="18" t="str">
        <f aca="false">IFERROR(INDEX('قائمة الوحدات'!$F$2:$F$41,MATCH($B380,'قائمة الوحدات'!$A$2:$A$41,0)),"")</f>
        <v>قيادة القوات الجوية</v>
      </c>
      <c r="G380" s="20" t="s">
        <v>44</v>
      </c>
      <c r="H380" s="18" t="str">
        <f aca="false">IFERROR(INDEX(المرجع!$A$2:$A$19,MATCH($G380,المرجع!$B$2:$B$19,0)),"")</f>
        <v>التصميم</v>
      </c>
      <c r="I380" s="20" t="s">
        <v>46</v>
      </c>
      <c r="J380" s="18" t="str">
        <f aca="false">IFERROR(INDEX(المرجع!$D$2:$D$19,MATCH($I380,المرجع!$E$2:$E$19,0)),"")</f>
        <v>الدور</v>
      </c>
      <c r="K380" s="19" t="n">
        <f aca="false">IFERROR(INDEX(المرجع!$F$2:$F$19,MATCH($I380,المرجع!$E$2:$E$19,0)),"")</f>
        <v>1</v>
      </c>
      <c r="L380" s="19" t="n">
        <f aca="false">SUMIFS(المرجع!$H$2:$H$19,المرجع!$B$2:$B$19,$G380,المرجع!$E$2:$E$19,$I380)</f>
        <v>1</v>
      </c>
      <c r="M380" s="19" t="n">
        <f aca="false">COUNTIFS('المرتبطة بسمو الوزير'!$B$2:$B$151,$B380,'المرتبطة بسمو الوزير'!$G$2:$G$151,$G380,'المرتبطة بسمو الوزير'!$I$2:$I$151,$I380,'المرتبطة بسمو الوزير'!$M$2:$M$151,"&lt;&gt;")+COUNTIFS('الشؤون التنفيذية'!$B$2:$B$421,$B380,'الشؤون التنفيذية'!$G$2:$G$421,$G380,'الشؤون التنفيذية'!$I$2:$I$421,$I380,'الشؤون التنفيذية'!$N$2:$N$421,"&lt;&gt;")+COUNTIFS('الجهاز العسكري'!$B$2:$B$631,$B380,'الجهاز العسكري'!$G$2:$G$631,$G380,'الجهاز العسكري'!$I$2:$I$631,$I380,'الجهاز العسكري'!$M$2:$M$631,"&lt;&gt;")</f>
        <v>1</v>
      </c>
      <c r="N380" s="24" t="n">
        <f aca="false">IF($L380=0,0,ROUND((SUMIFS('المرتبطة بسمو الوزير'!$M$2:$M$151,'المرتبطة بسمو الوزير'!$B$2:$B$151,$B380,'المرتبطة بسمو الوزير'!$G$2:$G$151,$G380,'المرتبطة بسمو الوزير'!$I$2:$I$151,$I380)+SUMIFS('الشؤون التنفيذية'!$N$2:$N$421,'الشؤون التنفيذية'!$B$2:$B$421,$B380,'الشؤون التنفيذية'!$G$2:$G$421,$G380,'الشؤون التنفيذية'!$I$2:$I$421,$I380)+SUMIFS('الجهاز العسكري'!$M$2:$M$631,'الجهاز العسكري'!$B$2:$B$631,$B380,'الجهاز العسكري'!$G$2:$G$631,$G380,'الجهاز العسكري'!$I$2:$I$631,$I380))/$L380,0))</f>
        <v>78</v>
      </c>
      <c r="O380" s="25" t="n">
        <f aca="false">IF($L380=0,0,ROUND((SUMIFS('المرتبطة بسمو الوزير'!$N$2:$N$151,'المرتبطة بسمو الوزير'!$B$2:$B$151,$B380,'المرتبطة بسمو الوزير'!$G$2:$G$151,$G380,'المرتبطة بسمو الوزير'!$I$2:$I$151,$I380)+SUMIFS('الشؤون التنفيذية'!$O$2:$O$421,'الشؤون التنفيذية'!$B$2:$B$421,$B380,'الشؤون التنفيذية'!$G$2:$G$421,$G380,'الشؤون التنفيذية'!$I$2:$I$421,$I380)+SUMIFS('الجهاز العسكري'!$N$2:$N$631,'الجهاز العسكري'!$B$2:$B$631,$B380,'الجهاز العسكري'!$G$2:$G$631,$G380,'الجهاز العسكري'!$I$2:$I$631,$I380))/$L380,0))</f>
        <v>100</v>
      </c>
      <c r="P380" s="22"/>
      <c r="Q380" s="19" t="n">
        <f aca="false">SUMIFS(المرجع!$G$2:$G$19,المرجع!$B$2:$B$19,$G380,المرجع!$E$2:$E$19,$I380)</f>
        <v>25</v>
      </c>
      <c r="R380" s="26" t="n">
        <f aca="false">ROUND($Q380*$N380/100,2)</f>
        <v>19.5</v>
      </c>
      <c r="S380" s="27" t="str">
        <f aca="false">IF($N380&gt;المرجع!$K$3,"متقدم",IF($N380&lt;=المرجع!$K$2,"أولي","جزئي"))</f>
        <v>متقدم</v>
      </c>
      <c r="T380" s="28" t="n">
        <f aca="false">ROUND($Q380*$O380/100,2)</f>
        <v>25</v>
      </c>
    </row>
    <row r="381" customFormat="false" ht="15" hidden="false" customHeight="true" outlineLevel="0" collapsed="false">
      <c r="A381" s="20" t="s">
        <v>1833</v>
      </c>
      <c r="B381" s="20" t="s">
        <v>200</v>
      </c>
      <c r="C381" s="19" t="str">
        <f aca="false">IFERROR(INDEX('قائمة الوحدات'!$B$2:$B$41,MATCH($B381,'قائمة الوحدات'!$A$2:$A$41,0)),"")</f>
        <v>MIL</v>
      </c>
      <c r="D381" s="18" t="str">
        <f aca="false">IFERROR(INDEX('قائمة الوحدات'!$C$2:$C$41,MATCH($B381,'قائمة الوحدات'!$A$2:$A$41,0)),"")</f>
        <v>الجهاز العسكري</v>
      </c>
      <c r="E381" s="18" t="str">
        <f aca="false">IFERROR(INDEX('قائمة الوحدات'!$D$2:$D$41,MATCH($B381,'قائمة الوحدات'!$A$2:$A$41,0)),"")</f>
        <v>قيادة القوات الجوية</v>
      </c>
      <c r="F381" s="18" t="str">
        <f aca="false">IFERROR(INDEX('قائمة الوحدات'!$F$2:$F$41,MATCH($B381,'قائمة الوحدات'!$A$2:$A$41,0)),"")</f>
        <v>قيادة القوات الجوية</v>
      </c>
      <c r="G381" s="20" t="s">
        <v>44</v>
      </c>
      <c r="H381" s="18" t="str">
        <f aca="false">IFERROR(INDEX(المرجع!$A$2:$A$19,MATCH($G381,المرجع!$B$2:$B$19,0)),"")</f>
        <v>التصميم</v>
      </c>
      <c r="I381" s="20" t="s">
        <v>49</v>
      </c>
      <c r="J381" s="18" t="str">
        <f aca="false">IFERROR(INDEX(المرجع!$D$2:$D$19,MATCH($I381,المرجع!$E$2:$E$19,0)),"")</f>
        <v>الأهداف ومؤشرات الأداء</v>
      </c>
      <c r="K381" s="19" t="n">
        <f aca="false">IFERROR(INDEX(المرجع!$F$2:$F$19,MATCH($I381,المرجع!$E$2:$E$19,0)),"")</f>
        <v>2</v>
      </c>
      <c r="L381" s="19" t="n">
        <f aca="false">SUMIFS(المرجع!$H$2:$H$19,المرجع!$B$2:$B$19,$G381,المرجع!$E$2:$E$19,$I381)</f>
        <v>2</v>
      </c>
      <c r="M381" s="19" t="n">
        <f aca="false">COUNTIFS('المرتبطة بسمو الوزير'!$B$2:$B$151,$B381,'المرتبطة بسمو الوزير'!$G$2:$G$151,$G381,'المرتبطة بسمو الوزير'!$I$2:$I$151,$I381,'المرتبطة بسمو الوزير'!$M$2:$M$151,"&lt;&gt;")+COUNTIFS('الشؤون التنفيذية'!$B$2:$B$421,$B381,'الشؤون التنفيذية'!$G$2:$G$421,$G381,'الشؤون التنفيذية'!$I$2:$I$421,$I381,'الشؤون التنفيذية'!$N$2:$N$421,"&lt;&gt;")+COUNTIFS('الجهاز العسكري'!$B$2:$B$631,$B381,'الجهاز العسكري'!$G$2:$G$631,$G381,'الجهاز العسكري'!$I$2:$I$631,$I381,'الجهاز العسكري'!$M$2:$M$631,"&lt;&gt;")</f>
        <v>2</v>
      </c>
      <c r="N381" s="24" t="n">
        <f aca="false">IF($L381=0,0,ROUND((SUMIFS('المرتبطة بسمو الوزير'!$M$2:$M$151,'المرتبطة بسمو الوزير'!$B$2:$B$151,$B381,'المرتبطة بسمو الوزير'!$G$2:$G$151,$G381,'المرتبطة بسمو الوزير'!$I$2:$I$151,$I381)+SUMIFS('الشؤون التنفيذية'!$N$2:$N$421,'الشؤون التنفيذية'!$B$2:$B$421,$B381,'الشؤون التنفيذية'!$G$2:$G$421,$G381,'الشؤون التنفيذية'!$I$2:$I$421,$I381)+SUMIFS('الجهاز العسكري'!$M$2:$M$631,'الجهاز العسكري'!$B$2:$B$631,$B381,'الجهاز العسكري'!$G$2:$G$631,$G381,'الجهاز العسكري'!$I$2:$I$631,$I381))/$L381,0))</f>
        <v>90</v>
      </c>
      <c r="O381" s="25" t="n">
        <f aca="false">IF($L381=0,0,ROUND((SUMIFS('المرتبطة بسمو الوزير'!$N$2:$N$151,'المرتبطة بسمو الوزير'!$B$2:$B$151,$B381,'المرتبطة بسمو الوزير'!$G$2:$G$151,$G381,'المرتبطة بسمو الوزير'!$I$2:$I$151,$I381)+SUMIFS('الشؤون التنفيذية'!$O$2:$O$421,'الشؤون التنفيذية'!$B$2:$B$421,$B381,'الشؤون التنفيذية'!$G$2:$G$421,$G381,'الشؤون التنفيذية'!$I$2:$I$421,$I381)+SUMIFS('الجهاز العسكري'!$N$2:$N$631,'الجهاز العسكري'!$B$2:$B$631,$B381,'الجهاز العسكري'!$G$2:$G$631,$G381,'الجهاز العسكري'!$I$2:$I$631,$I381))/$L381,0))</f>
        <v>93</v>
      </c>
      <c r="P381" s="22"/>
      <c r="Q381" s="19" t="n">
        <f aca="false">SUMIFS(المرجع!$G$2:$G$19,المرجع!$B$2:$B$19,$G381,المرجع!$E$2:$E$19,$I381)</f>
        <v>15</v>
      </c>
      <c r="R381" s="26" t="n">
        <f aca="false">ROUND($Q381*$N381/100,2)</f>
        <v>13.5</v>
      </c>
      <c r="S381" s="27" t="str">
        <f aca="false">IF($N381&gt;المرجع!$K$3,"متقدم",IF($N381&lt;=المرجع!$K$2,"أولي","جزئي"))</f>
        <v>متقدم</v>
      </c>
      <c r="T381" s="28" t="n">
        <f aca="false">ROUND($Q381*$O381/100,2)</f>
        <v>13.95</v>
      </c>
    </row>
    <row r="382" customFormat="false" ht="15" hidden="false" customHeight="true" outlineLevel="0" collapsed="false">
      <c r="A382" s="20" t="s">
        <v>1834</v>
      </c>
      <c r="B382" s="20" t="s">
        <v>200</v>
      </c>
      <c r="C382" s="19" t="str">
        <f aca="false">IFERROR(INDEX('قائمة الوحدات'!$B$2:$B$41,MATCH($B382,'قائمة الوحدات'!$A$2:$A$41,0)),"")</f>
        <v>MIL</v>
      </c>
      <c r="D382" s="18" t="str">
        <f aca="false">IFERROR(INDEX('قائمة الوحدات'!$C$2:$C$41,MATCH($B382,'قائمة الوحدات'!$A$2:$A$41,0)),"")</f>
        <v>الجهاز العسكري</v>
      </c>
      <c r="E382" s="18" t="str">
        <f aca="false">IFERROR(INDEX('قائمة الوحدات'!$D$2:$D$41,MATCH($B382,'قائمة الوحدات'!$A$2:$A$41,0)),"")</f>
        <v>قيادة القوات الجوية</v>
      </c>
      <c r="F382" s="18" t="str">
        <f aca="false">IFERROR(INDEX('قائمة الوحدات'!$F$2:$F$41,MATCH($B382,'قائمة الوحدات'!$A$2:$A$41,0)),"")</f>
        <v>قيادة القوات الجوية</v>
      </c>
      <c r="G382" s="20" t="s">
        <v>44</v>
      </c>
      <c r="H382" s="18" t="str">
        <f aca="false">IFERROR(INDEX(المرجع!$A$2:$A$19,MATCH($G382,المرجع!$B$2:$B$19,0)),"")</f>
        <v>التصميم</v>
      </c>
      <c r="I382" s="20" t="s">
        <v>52</v>
      </c>
      <c r="J382" s="18" t="str">
        <f aca="false">IFERROR(INDEX(المرجع!$D$2:$D$19,MATCH($I382,المرجع!$E$2:$E$19,0)),"")</f>
        <v>الحوكمة</v>
      </c>
      <c r="K382" s="19" t="n">
        <f aca="false">IFERROR(INDEX(المرجع!$F$2:$F$19,MATCH($I382,المرجع!$E$2:$E$19,0)),"")</f>
        <v>3</v>
      </c>
      <c r="L382" s="19" t="n">
        <f aca="false">SUMIFS(المرجع!$H$2:$H$19,المرجع!$B$2:$B$19,$G382,المرجع!$E$2:$E$19,$I382)</f>
        <v>1</v>
      </c>
      <c r="M382" s="19" t="n">
        <f aca="false">COUNTIFS('المرتبطة بسمو الوزير'!$B$2:$B$151,$B382,'المرتبطة بسمو الوزير'!$G$2:$G$151,$G382,'المرتبطة بسمو الوزير'!$I$2:$I$151,$I382,'المرتبطة بسمو الوزير'!$M$2:$M$151,"&lt;&gt;")+COUNTIFS('الشؤون التنفيذية'!$B$2:$B$421,$B382,'الشؤون التنفيذية'!$G$2:$G$421,$G382,'الشؤون التنفيذية'!$I$2:$I$421,$I382,'الشؤون التنفيذية'!$N$2:$N$421,"&lt;&gt;")+COUNTIFS('الجهاز العسكري'!$B$2:$B$631,$B382,'الجهاز العسكري'!$G$2:$G$631,$G382,'الجهاز العسكري'!$I$2:$I$631,$I382,'الجهاز العسكري'!$M$2:$M$631,"&lt;&gt;")</f>
        <v>1</v>
      </c>
      <c r="N382" s="24" t="n">
        <f aca="false">IF($L382=0,0,ROUND((SUMIFS('المرتبطة بسمو الوزير'!$M$2:$M$151,'المرتبطة بسمو الوزير'!$B$2:$B$151,$B382,'المرتبطة بسمو الوزير'!$G$2:$G$151,$G382,'المرتبطة بسمو الوزير'!$I$2:$I$151,$I382)+SUMIFS('الشؤون التنفيذية'!$N$2:$N$421,'الشؤون التنفيذية'!$B$2:$B$421,$B382,'الشؤون التنفيذية'!$G$2:$G$421,$G382,'الشؤون التنفيذية'!$I$2:$I$421,$I382)+SUMIFS('الجهاز العسكري'!$M$2:$M$631,'الجهاز العسكري'!$B$2:$B$631,$B382,'الجهاز العسكري'!$G$2:$G$631,$G382,'الجهاز العسكري'!$I$2:$I$631,$I382))/$L382,0))</f>
        <v>77</v>
      </c>
      <c r="O382" s="25" t="n">
        <f aca="false">IF($L382=0,0,ROUND((SUMIFS('المرتبطة بسمو الوزير'!$N$2:$N$151,'المرتبطة بسمو الوزير'!$B$2:$B$151,$B382,'المرتبطة بسمو الوزير'!$G$2:$G$151,$G382,'المرتبطة بسمو الوزير'!$I$2:$I$151,$I382)+SUMIFS('الشؤون التنفيذية'!$O$2:$O$421,'الشؤون التنفيذية'!$B$2:$B$421,$B382,'الشؤون التنفيذية'!$G$2:$G$421,$G382,'الشؤون التنفيذية'!$I$2:$I$421,$I382)+SUMIFS('الجهاز العسكري'!$N$2:$N$631,'الجهاز العسكري'!$B$2:$B$631,$B382,'الجهاز العسكري'!$G$2:$G$631,$G382,'الجهاز العسكري'!$I$2:$I$631,$I382))/$L382,0))</f>
        <v>85</v>
      </c>
      <c r="P382" s="22"/>
      <c r="Q382" s="19" t="n">
        <f aca="false">SUMIFS(المرجع!$G$2:$G$19,المرجع!$B$2:$B$19,$G382,المرجع!$E$2:$E$19,$I382)</f>
        <v>15</v>
      </c>
      <c r="R382" s="26" t="n">
        <f aca="false">ROUND($Q382*$N382/100,2)</f>
        <v>11.55</v>
      </c>
      <c r="S382" s="27" t="str">
        <f aca="false">IF($N382&gt;المرجع!$K$3,"متقدم",IF($N382&lt;=المرجع!$K$2,"أولي","جزئي"))</f>
        <v>متقدم</v>
      </c>
      <c r="T382" s="28" t="n">
        <f aca="false">ROUND($Q382*$O382/100,2)</f>
        <v>12.75</v>
      </c>
    </row>
    <row r="383" customFormat="false" ht="15" hidden="false" customHeight="true" outlineLevel="0" collapsed="false">
      <c r="A383" s="20" t="s">
        <v>1835</v>
      </c>
      <c r="B383" s="20" t="s">
        <v>200</v>
      </c>
      <c r="C383" s="19" t="str">
        <f aca="false">IFERROR(INDEX('قائمة الوحدات'!$B$2:$B$41,MATCH($B383,'قائمة الوحدات'!$A$2:$A$41,0)),"")</f>
        <v>MIL</v>
      </c>
      <c r="D383" s="18" t="str">
        <f aca="false">IFERROR(INDEX('قائمة الوحدات'!$C$2:$C$41,MATCH($B383,'قائمة الوحدات'!$A$2:$A$41,0)),"")</f>
        <v>الجهاز العسكري</v>
      </c>
      <c r="E383" s="18" t="str">
        <f aca="false">IFERROR(INDEX('قائمة الوحدات'!$D$2:$D$41,MATCH($B383,'قائمة الوحدات'!$A$2:$A$41,0)),"")</f>
        <v>قيادة القوات الجوية</v>
      </c>
      <c r="F383" s="18" t="str">
        <f aca="false">IFERROR(INDEX('قائمة الوحدات'!$F$2:$F$41,MATCH($B383,'قائمة الوحدات'!$A$2:$A$41,0)),"")</f>
        <v>قيادة القوات الجوية</v>
      </c>
      <c r="G383" s="20" t="s">
        <v>44</v>
      </c>
      <c r="H383" s="18" t="str">
        <f aca="false">IFERROR(INDEX(المرجع!$A$2:$A$19,MATCH($G383,المرجع!$B$2:$B$19,0)),"")</f>
        <v>التصميم</v>
      </c>
      <c r="I383" s="20" t="s">
        <v>55</v>
      </c>
      <c r="J383" s="18" t="str">
        <f aca="false">IFERROR(INDEX(المرجع!$D$2:$D$19,MATCH($I383,المرجع!$E$2:$E$19,0)),"")</f>
        <v>التنظيم</v>
      </c>
      <c r="K383" s="19" t="n">
        <f aca="false">IFERROR(INDEX(المرجع!$F$2:$F$19,MATCH($I383,المرجع!$E$2:$E$19,0)),"")</f>
        <v>4</v>
      </c>
      <c r="L383" s="19" t="n">
        <f aca="false">SUMIFS(المرجع!$H$2:$H$19,المرجع!$B$2:$B$19,$G383,المرجع!$E$2:$E$19,$I383)</f>
        <v>1</v>
      </c>
      <c r="M383" s="19" t="n">
        <f aca="false">COUNTIFS('المرتبطة بسمو الوزير'!$B$2:$B$151,$B383,'المرتبطة بسمو الوزير'!$G$2:$G$151,$G383,'المرتبطة بسمو الوزير'!$I$2:$I$151,$I383,'المرتبطة بسمو الوزير'!$M$2:$M$151,"&lt;&gt;")+COUNTIFS('الشؤون التنفيذية'!$B$2:$B$421,$B383,'الشؤون التنفيذية'!$G$2:$G$421,$G383,'الشؤون التنفيذية'!$I$2:$I$421,$I383,'الشؤون التنفيذية'!$N$2:$N$421,"&lt;&gt;")+COUNTIFS('الجهاز العسكري'!$B$2:$B$631,$B383,'الجهاز العسكري'!$G$2:$G$631,$G383,'الجهاز العسكري'!$I$2:$I$631,$I383,'الجهاز العسكري'!$M$2:$M$631,"&lt;&gt;")</f>
        <v>1</v>
      </c>
      <c r="N383" s="24" t="n">
        <f aca="false">IF($L383=0,0,ROUND((SUMIFS('المرتبطة بسمو الوزير'!$M$2:$M$151,'المرتبطة بسمو الوزير'!$B$2:$B$151,$B383,'المرتبطة بسمو الوزير'!$G$2:$G$151,$G383,'المرتبطة بسمو الوزير'!$I$2:$I$151,$I383)+SUMIFS('الشؤون التنفيذية'!$N$2:$N$421,'الشؤون التنفيذية'!$B$2:$B$421,$B383,'الشؤون التنفيذية'!$G$2:$G$421,$G383,'الشؤون التنفيذية'!$I$2:$I$421,$I383)+SUMIFS('الجهاز العسكري'!$M$2:$M$631,'الجهاز العسكري'!$B$2:$B$631,$B383,'الجهاز العسكري'!$G$2:$G$631,$G383,'الجهاز العسكري'!$I$2:$I$631,$I383))/$L383,0))</f>
        <v>90</v>
      </c>
      <c r="O383" s="25" t="n">
        <f aca="false">IF($L383=0,0,ROUND((SUMIFS('المرتبطة بسمو الوزير'!$N$2:$N$151,'المرتبطة بسمو الوزير'!$B$2:$B$151,$B383,'المرتبطة بسمو الوزير'!$G$2:$G$151,$G383,'المرتبطة بسمو الوزير'!$I$2:$I$151,$I383)+SUMIFS('الشؤون التنفيذية'!$O$2:$O$421,'الشؤون التنفيذية'!$B$2:$B$421,$B383,'الشؤون التنفيذية'!$G$2:$G$421,$G383,'الشؤون التنفيذية'!$I$2:$I$421,$I383)+SUMIFS('الجهاز العسكري'!$N$2:$N$631,'الجهاز العسكري'!$B$2:$B$631,$B383,'الجهاز العسكري'!$G$2:$G$631,$G383,'الجهاز العسكري'!$I$2:$I$631,$I383))/$L383,0))</f>
        <v>90</v>
      </c>
      <c r="P383" s="22"/>
      <c r="Q383" s="19" t="n">
        <f aca="false">SUMIFS(المرجع!$G$2:$G$19,المرجع!$B$2:$B$19,$G383,المرجع!$E$2:$E$19,$I383)</f>
        <v>20</v>
      </c>
      <c r="R383" s="26" t="n">
        <f aca="false">ROUND($Q383*$N383/100,2)</f>
        <v>18</v>
      </c>
      <c r="S383" s="27" t="str">
        <f aca="false">IF($N383&gt;المرجع!$K$3,"متقدم",IF($N383&lt;=المرجع!$K$2,"أولي","جزئي"))</f>
        <v>متقدم</v>
      </c>
      <c r="T383" s="28" t="n">
        <f aca="false">ROUND($Q383*$O383/100,2)</f>
        <v>18</v>
      </c>
    </row>
    <row r="384" customFormat="false" ht="15" hidden="false" customHeight="true" outlineLevel="0" collapsed="false">
      <c r="A384" s="20" t="s">
        <v>1836</v>
      </c>
      <c r="B384" s="20" t="s">
        <v>200</v>
      </c>
      <c r="C384" s="19" t="str">
        <f aca="false">IFERROR(INDEX('قائمة الوحدات'!$B$2:$B$41,MATCH($B384,'قائمة الوحدات'!$A$2:$A$41,0)),"")</f>
        <v>MIL</v>
      </c>
      <c r="D384" s="18" t="str">
        <f aca="false">IFERROR(INDEX('قائمة الوحدات'!$C$2:$C$41,MATCH($B384,'قائمة الوحدات'!$A$2:$A$41,0)),"")</f>
        <v>الجهاز العسكري</v>
      </c>
      <c r="E384" s="18" t="str">
        <f aca="false">IFERROR(INDEX('قائمة الوحدات'!$D$2:$D$41,MATCH($B384,'قائمة الوحدات'!$A$2:$A$41,0)),"")</f>
        <v>قيادة القوات الجوية</v>
      </c>
      <c r="F384" s="18" t="str">
        <f aca="false">IFERROR(INDEX('قائمة الوحدات'!$F$2:$F$41,MATCH($B384,'قائمة الوحدات'!$A$2:$A$41,0)),"")</f>
        <v>قيادة القوات الجوية</v>
      </c>
      <c r="G384" s="20" t="s">
        <v>44</v>
      </c>
      <c r="H384" s="18" t="str">
        <f aca="false">IFERROR(INDEX(المرجع!$A$2:$A$19,MATCH($G384,المرجع!$B$2:$B$19,0)),"")</f>
        <v>التصميم</v>
      </c>
      <c r="I384" s="20" t="s">
        <v>57</v>
      </c>
      <c r="J384" s="18" t="str">
        <f aca="false">IFERROR(INDEX(المرجع!$D$2:$D$19,MATCH($I384,المرجع!$E$2:$E$19,0)),"")</f>
        <v>الموارد</v>
      </c>
      <c r="K384" s="19" t="n">
        <f aca="false">IFERROR(INDEX(المرجع!$F$2:$F$19,MATCH($I384,المرجع!$E$2:$E$19,0)),"")</f>
        <v>5</v>
      </c>
      <c r="L384" s="19" t="n">
        <f aca="false">SUMIFS(المرجع!$H$2:$H$19,المرجع!$B$2:$B$19,$G384,المرجع!$E$2:$E$19,$I384)</f>
        <v>1</v>
      </c>
      <c r="M384" s="19" t="n">
        <f aca="false">COUNTIFS('المرتبطة بسمو الوزير'!$B$2:$B$151,$B384,'المرتبطة بسمو الوزير'!$G$2:$G$151,$G384,'المرتبطة بسمو الوزير'!$I$2:$I$151,$I384,'المرتبطة بسمو الوزير'!$M$2:$M$151,"&lt;&gt;")+COUNTIFS('الشؤون التنفيذية'!$B$2:$B$421,$B384,'الشؤون التنفيذية'!$G$2:$G$421,$G384,'الشؤون التنفيذية'!$I$2:$I$421,$I384,'الشؤون التنفيذية'!$N$2:$N$421,"&lt;&gt;")+COUNTIFS('الجهاز العسكري'!$B$2:$B$631,$B384,'الجهاز العسكري'!$G$2:$G$631,$G384,'الجهاز العسكري'!$I$2:$I$631,$I384,'الجهاز العسكري'!$M$2:$M$631,"&lt;&gt;")</f>
        <v>1</v>
      </c>
      <c r="N384" s="24" t="n">
        <f aca="false">IF($L384=0,0,ROUND((SUMIFS('المرتبطة بسمو الوزير'!$M$2:$M$151,'المرتبطة بسمو الوزير'!$B$2:$B$151,$B384,'المرتبطة بسمو الوزير'!$G$2:$G$151,$G384,'المرتبطة بسمو الوزير'!$I$2:$I$151,$I384)+SUMIFS('الشؤون التنفيذية'!$N$2:$N$421,'الشؤون التنفيذية'!$B$2:$B$421,$B384,'الشؤون التنفيذية'!$G$2:$G$421,$G384,'الشؤون التنفيذية'!$I$2:$I$421,$I384)+SUMIFS('الجهاز العسكري'!$M$2:$M$631,'الجهاز العسكري'!$B$2:$B$631,$B384,'الجهاز العسكري'!$G$2:$G$631,$G384,'الجهاز العسكري'!$I$2:$I$631,$I384))/$L384,0))</f>
        <v>71</v>
      </c>
      <c r="O384" s="25" t="n">
        <f aca="false">IF($L384=0,0,ROUND((SUMIFS('المرتبطة بسمو الوزير'!$N$2:$N$151,'المرتبطة بسمو الوزير'!$B$2:$B$151,$B384,'المرتبطة بسمو الوزير'!$G$2:$G$151,$G384,'المرتبطة بسمو الوزير'!$I$2:$I$151,$I384)+SUMIFS('الشؤون التنفيذية'!$O$2:$O$421,'الشؤون التنفيذية'!$B$2:$B$421,$B384,'الشؤون التنفيذية'!$G$2:$G$421,$G384,'الشؤون التنفيذية'!$I$2:$I$421,$I384)+SUMIFS('الجهاز العسكري'!$N$2:$N$631,'الجهاز العسكري'!$B$2:$B$631,$B384,'الجهاز العسكري'!$G$2:$G$631,$G384,'الجهاز العسكري'!$I$2:$I$631,$I384))/$L384,0))</f>
        <v>80</v>
      </c>
      <c r="P384" s="22"/>
      <c r="Q384" s="19" t="n">
        <f aca="false">SUMIFS(المرجع!$G$2:$G$19,المرجع!$B$2:$B$19,$G384,المرجع!$E$2:$E$19,$I384)</f>
        <v>20</v>
      </c>
      <c r="R384" s="26" t="n">
        <f aca="false">ROUND($Q384*$N384/100,2)</f>
        <v>14.2</v>
      </c>
      <c r="S384" s="27" t="str">
        <f aca="false">IF($N384&gt;المرجع!$K$3,"متقدم",IF($N384&lt;=المرجع!$K$2,"أولي","جزئي"))</f>
        <v>متقدم</v>
      </c>
      <c r="T384" s="28" t="n">
        <f aca="false">ROUND($Q384*$O384/100,2)</f>
        <v>16</v>
      </c>
    </row>
    <row r="385" customFormat="false" ht="15" hidden="false" customHeight="true" outlineLevel="0" collapsed="false">
      <c r="A385" s="20" t="s">
        <v>1837</v>
      </c>
      <c r="B385" s="20" t="s">
        <v>200</v>
      </c>
      <c r="C385" s="19" t="str">
        <f aca="false">IFERROR(INDEX('قائمة الوحدات'!$B$2:$B$41,MATCH($B385,'قائمة الوحدات'!$A$2:$A$41,0)),"")</f>
        <v>MIL</v>
      </c>
      <c r="D385" s="18" t="str">
        <f aca="false">IFERROR(INDEX('قائمة الوحدات'!$C$2:$C$41,MATCH($B385,'قائمة الوحدات'!$A$2:$A$41,0)),"")</f>
        <v>الجهاز العسكري</v>
      </c>
      <c r="E385" s="18" t="str">
        <f aca="false">IFERROR(INDEX('قائمة الوحدات'!$D$2:$D$41,MATCH($B385,'قائمة الوحدات'!$A$2:$A$41,0)),"")</f>
        <v>قيادة القوات الجوية</v>
      </c>
      <c r="F385" s="18" t="str">
        <f aca="false">IFERROR(INDEX('قائمة الوحدات'!$F$2:$F$41,MATCH($B385,'قائمة الوحدات'!$A$2:$A$41,0)),"")</f>
        <v>قيادة القوات الجوية</v>
      </c>
      <c r="G385" s="20" t="s">
        <v>44</v>
      </c>
      <c r="H385" s="18" t="str">
        <f aca="false">IFERROR(INDEX(المرجع!$A$2:$A$19,MATCH($G385,المرجع!$B$2:$B$19,0)),"")</f>
        <v>التصميم</v>
      </c>
      <c r="I385" s="20" t="s">
        <v>60</v>
      </c>
      <c r="J385" s="18" t="str">
        <f aca="false">IFERROR(INDEX(المرجع!$D$2:$D$19,MATCH($I385,المرجع!$E$2:$E$19,0)),"")</f>
        <v>الإجراءات</v>
      </c>
      <c r="K385" s="19" t="n">
        <f aca="false">IFERROR(INDEX(المرجع!$F$2:$F$19,MATCH($I385,المرجع!$E$2:$E$19,0)),"")</f>
        <v>6</v>
      </c>
      <c r="L385" s="19" t="n">
        <f aca="false">SUMIFS(المرجع!$H$2:$H$19,المرجع!$B$2:$B$19,$G385,المرجع!$E$2:$E$19,$I385)</f>
        <v>1</v>
      </c>
      <c r="M385" s="19" t="n">
        <f aca="false">COUNTIFS('المرتبطة بسمو الوزير'!$B$2:$B$151,$B385,'المرتبطة بسمو الوزير'!$G$2:$G$151,$G385,'المرتبطة بسمو الوزير'!$I$2:$I$151,$I385,'المرتبطة بسمو الوزير'!$M$2:$M$151,"&lt;&gt;")+COUNTIFS('الشؤون التنفيذية'!$B$2:$B$421,$B385,'الشؤون التنفيذية'!$G$2:$G$421,$G385,'الشؤون التنفيذية'!$I$2:$I$421,$I385,'الشؤون التنفيذية'!$N$2:$N$421,"&lt;&gt;")+COUNTIFS('الجهاز العسكري'!$B$2:$B$631,$B385,'الجهاز العسكري'!$G$2:$G$631,$G385,'الجهاز العسكري'!$I$2:$I$631,$I385,'الجهاز العسكري'!$M$2:$M$631,"&lt;&gt;")</f>
        <v>1</v>
      </c>
      <c r="N385" s="24" t="n">
        <f aca="false">IF($L385=0,0,ROUND((SUMIFS('المرتبطة بسمو الوزير'!$M$2:$M$151,'المرتبطة بسمو الوزير'!$B$2:$B$151,$B385,'المرتبطة بسمو الوزير'!$G$2:$G$151,$G385,'المرتبطة بسمو الوزير'!$I$2:$I$151,$I385)+SUMIFS('الشؤون التنفيذية'!$N$2:$N$421,'الشؤون التنفيذية'!$B$2:$B$421,$B385,'الشؤون التنفيذية'!$G$2:$G$421,$G385,'الشؤون التنفيذية'!$I$2:$I$421,$I385)+SUMIFS('الجهاز العسكري'!$M$2:$M$631,'الجهاز العسكري'!$B$2:$B$631,$B385,'الجهاز العسكري'!$G$2:$G$631,$G385,'الجهاز العسكري'!$I$2:$I$631,$I385))/$L385,0))</f>
        <v>88</v>
      </c>
      <c r="O385" s="25" t="n">
        <f aca="false">IF($L385=0,0,ROUND((SUMIFS('المرتبطة بسمو الوزير'!$N$2:$N$151,'المرتبطة بسمو الوزير'!$B$2:$B$151,$B385,'المرتبطة بسمو الوزير'!$G$2:$G$151,$G385,'المرتبطة بسمو الوزير'!$I$2:$I$151,$I385)+SUMIFS('الشؤون التنفيذية'!$O$2:$O$421,'الشؤون التنفيذية'!$B$2:$B$421,$B385,'الشؤون التنفيذية'!$G$2:$G$421,$G385,'الشؤون التنفيذية'!$I$2:$I$421,$I385)+SUMIFS('الجهاز العسكري'!$N$2:$N$631,'الجهاز العسكري'!$B$2:$B$631,$B385,'الجهاز العسكري'!$G$2:$G$631,$G385,'الجهاز العسكري'!$I$2:$I$631,$I385))/$L385,0))</f>
        <v>88</v>
      </c>
      <c r="P385" s="22"/>
      <c r="Q385" s="19" t="n">
        <f aca="false">SUMIFS(المرجع!$G$2:$G$19,المرجع!$B$2:$B$19,$G385,المرجع!$E$2:$E$19,$I385)</f>
        <v>5</v>
      </c>
      <c r="R385" s="26" t="n">
        <f aca="false">ROUND($Q385*$N385/100,2)</f>
        <v>4.4</v>
      </c>
      <c r="S385" s="27" t="str">
        <f aca="false">IF($N385&gt;المرجع!$K$3,"متقدم",IF($N385&lt;=المرجع!$K$2,"أولي","جزئي"))</f>
        <v>متقدم</v>
      </c>
      <c r="T385" s="28" t="n">
        <f aca="false">ROUND($Q385*$O385/100,2)</f>
        <v>4.4</v>
      </c>
    </row>
    <row r="386" customFormat="false" ht="15" hidden="false" customHeight="true" outlineLevel="0" collapsed="false">
      <c r="A386" s="20" t="s">
        <v>1838</v>
      </c>
      <c r="B386" s="20" t="s">
        <v>200</v>
      </c>
      <c r="C386" s="19" t="str">
        <f aca="false">IFERROR(INDEX('قائمة الوحدات'!$B$2:$B$41,MATCH($B386,'قائمة الوحدات'!$A$2:$A$41,0)),"")</f>
        <v>MIL</v>
      </c>
      <c r="D386" s="18" t="str">
        <f aca="false">IFERROR(INDEX('قائمة الوحدات'!$C$2:$C$41,MATCH($B386,'قائمة الوحدات'!$A$2:$A$41,0)),"")</f>
        <v>الجهاز العسكري</v>
      </c>
      <c r="E386" s="18" t="str">
        <f aca="false">IFERROR(INDEX('قائمة الوحدات'!$D$2:$D$41,MATCH($B386,'قائمة الوحدات'!$A$2:$A$41,0)),"")</f>
        <v>قيادة القوات الجوية</v>
      </c>
      <c r="F386" s="18" t="str">
        <f aca="false">IFERROR(INDEX('قائمة الوحدات'!$F$2:$F$41,MATCH($B386,'قائمة الوحدات'!$A$2:$A$41,0)),"")</f>
        <v>قيادة القوات الجوية</v>
      </c>
      <c r="G386" s="20" t="s">
        <v>62</v>
      </c>
      <c r="H386" s="18" t="str">
        <f aca="false">IFERROR(INDEX(المرجع!$A$2:$A$19,MATCH($G386,المرجع!$B$2:$B$19,0)),"")</f>
        <v>البناء المؤسسي</v>
      </c>
      <c r="I386" s="20" t="s">
        <v>46</v>
      </c>
      <c r="J386" s="18" t="str">
        <f aca="false">IFERROR(INDEX(المرجع!$D$2:$D$19,MATCH($I386,المرجع!$E$2:$E$19,0)),"")</f>
        <v>الدور</v>
      </c>
      <c r="K386" s="19" t="n">
        <f aca="false">IFERROR(INDEX(المرجع!$F$2:$F$19,MATCH($I386,المرجع!$E$2:$E$19,0)),"")</f>
        <v>1</v>
      </c>
      <c r="L386" s="19" t="n">
        <f aca="false">SUMIFS(المرجع!$H$2:$H$19,المرجع!$B$2:$B$19,$G386,المرجع!$E$2:$E$19,$I386)</f>
        <v>1</v>
      </c>
      <c r="M386" s="19" t="n">
        <f aca="false">COUNTIFS('المرتبطة بسمو الوزير'!$B$2:$B$151,$B386,'المرتبطة بسمو الوزير'!$G$2:$G$151,$G386,'المرتبطة بسمو الوزير'!$I$2:$I$151,$I386,'المرتبطة بسمو الوزير'!$M$2:$M$151,"&lt;&gt;")+COUNTIFS('الشؤون التنفيذية'!$B$2:$B$421,$B386,'الشؤون التنفيذية'!$G$2:$G$421,$G386,'الشؤون التنفيذية'!$I$2:$I$421,$I386,'الشؤون التنفيذية'!$N$2:$N$421,"&lt;&gt;")+COUNTIFS('الجهاز العسكري'!$B$2:$B$631,$B386,'الجهاز العسكري'!$G$2:$G$631,$G386,'الجهاز العسكري'!$I$2:$I$631,$I386,'الجهاز العسكري'!$M$2:$M$631,"&lt;&gt;")</f>
        <v>1</v>
      </c>
      <c r="N386" s="24" t="n">
        <f aca="false">IF($L386=0,0,ROUND((SUMIFS('المرتبطة بسمو الوزير'!$M$2:$M$151,'المرتبطة بسمو الوزير'!$B$2:$B$151,$B386,'المرتبطة بسمو الوزير'!$G$2:$G$151,$G386,'المرتبطة بسمو الوزير'!$I$2:$I$151,$I386)+SUMIFS('الشؤون التنفيذية'!$N$2:$N$421,'الشؤون التنفيذية'!$B$2:$B$421,$B386,'الشؤون التنفيذية'!$G$2:$G$421,$G386,'الشؤون التنفيذية'!$I$2:$I$421,$I386)+SUMIFS('الجهاز العسكري'!$M$2:$M$631,'الجهاز العسكري'!$B$2:$B$631,$B386,'الجهاز العسكري'!$G$2:$G$631,$G386,'الجهاز العسكري'!$I$2:$I$631,$I386))/$L386,0))</f>
        <v>82</v>
      </c>
      <c r="O386" s="25" t="n">
        <f aca="false">IF($L386=0,0,ROUND((SUMIFS('المرتبطة بسمو الوزير'!$N$2:$N$151,'المرتبطة بسمو الوزير'!$B$2:$B$151,$B386,'المرتبطة بسمو الوزير'!$G$2:$G$151,$G386,'المرتبطة بسمو الوزير'!$I$2:$I$151,$I386)+SUMIFS('الشؤون التنفيذية'!$O$2:$O$421,'الشؤون التنفيذية'!$B$2:$B$421,$B386,'الشؤون التنفيذية'!$G$2:$G$421,$G386,'الشؤون التنفيذية'!$I$2:$I$421,$I386)+SUMIFS('الجهاز العسكري'!$N$2:$N$631,'الجهاز العسكري'!$B$2:$B$631,$B386,'الجهاز العسكري'!$G$2:$G$631,$G386,'الجهاز العسكري'!$I$2:$I$631,$I386))/$L386,0))</f>
        <v>85</v>
      </c>
      <c r="P386" s="22"/>
      <c r="Q386" s="19" t="n">
        <f aca="false">SUMIFS(المرجع!$G$2:$G$19,المرجع!$B$2:$B$19,$G386,المرجع!$E$2:$E$19,$I386)</f>
        <v>15</v>
      </c>
      <c r="R386" s="26" t="n">
        <f aca="false">ROUND($Q386*$N386/100,2)</f>
        <v>12.3</v>
      </c>
      <c r="S386" s="27" t="str">
        <f aca="false">IF($N386&gt;المرجع!$K$3,"متقدم",IF($N386&lt;=المرجع!$K$2,"أولي","جزئي"))</f>
        <v>متقدم</v>
      </c>
      <c r="T386" s="28" t="n">
        <f aca="false">ROUND($Q386*$O386/100,2)</f>
        <v>12.75</v>
      </c>
    </row>
    <row r="387" customFormat="false" ht="15" hidden="false" customHeight="true" outlineLevel="0" collapsed="false">
      <c r="A387" s="20" t="s">
        <v>1839</v>
      </c>
      <c r="B387" s="20" t="s">
        <v>200</v>
      </c>
      <c r="C387" s="19" t="str">
        <f aca="false">IFERROR(INDEX('قائمة الوحدات'!$B$2:$B$41,MATCH($B387,'قائمة الوحدات'!$A$2:$A$41,0)),"")</f>
        <v>MIL</v>
      </c>
      <c r="D387" s="18" t="str">
        <f aca="false">IFERROR(INDEX('قائمة الوحدات'!$C$2:$C$41,MATCH($B387,'قائمة الوحدات'!$A$2:$A$41,0)),"")</f>
        <v>الجهاز العسكري</v>
      </c>
      <c r="E387" s="18" t="str">
        <f aca="false">IFERROR(INDEX('قائمة الوحدات'!$D$2:$D$41,MATCH($B387,'قائمة الوحدات'!$A$2:$A$41,0)),"")</f>
        <v>قيادة القوات الجوية</v>
      </c>
      <c r="F387" s="18" t="str">
        <f aca="false">IFERROR(INDEX('قائمة الوحدات'!$F$2:$F$41,MATCH($B387,'قائمة الوحدات'!$A$2:$A$41,0)),"")</f>
        <v>قيادة القوات الجوية</v>
      </c>
      <c r="G387" s="20" t="s">
        <v>62</v>
      </c>
      <c r="H387" s="18" t="str">
        <f aca="false">IFERROR(INDEX(المرجع!$A$2:$A$19,MATCH($G387,المرجع!$B$2:$B$19,0)),"")</f>
        <v>البناء المؤسسي</v>
      </c>
      <c r="I387" s="20" t="s">
        <v>49</v>
      </c>
      <c r="J387" s="18" t="str">
        <f aca="false">IFERROR(INDEX(المرجع!$D$2:$D$19,MATCH($I387,المرجع!$E$2:$E$19,0)),"")</f>
        <v>الأهداف ومؤشرات الأداء</v>
      </c>
      <c r="K387" s="19" t="n">
        <f aca="false">IFERROR(INDEX(المرجع!$F$2:$F$19,MATCH($I387,المرجع!$E$2:$E$19,0)),"")</f>
        <v>2</v>
      </c>
      <c r="L387" s="19" t="n">
        <f aca="false">SUMIFS(المرجع!$H$2:$H$19,المرجع!$B$2:$B$19,$G387,المرجع!$E$2:$E$19,$I387)</f>
        <v>2</v>
      </c>
      <c r="M387" s="19" t="n">
        <f aca="false">COUNTIFS('المرتبطة بسمو الوزير'!$B$2:$B$151,$B387,'المرتبطة بسمو الوزير'!$G$2:$G$151,$G387,'المرتبطة بسمو الوزير'!$I$2:$I$151,$I387,'المرتبطة بسمو الوزير'!$M$2:$M$151,"&lt;&gt;")+COUNTIFS('الشؤون التنفيذية'!$B$2:$B$421,$B387,'الشؤون التنفيذية'!$G$2:$G$421,$G387,'الشؤون التنفيذية'!$I$2:$I$421,$I387,'الشؤون التنفيذية'!$N$2:$N$421,"&lt;&gt;")+COUNTIFS('الجهاز العسكري'!$B$2:$B$631,$B387,'الجهاز العسكري'!$G$2:$G$631,$G387,'الجهاز العسكري'!$I$2:$I$631,$I387,'الجهاز العسكري'!$M$2:$M$631,"&lt;&gt;")</f>
        <v>2</v>
      </c>
      <c r="N387" s="24" t="n">
        <f aca="false">IF($L387=0,0,ROUND((SUMIFS('المرتبطة بسمو الوزير'!$M$2:$M$151,'المرتبطة بسمو الوزير'!$B$2:$B$151,$B387,'المرتبطة بسمو الوزير'!$G$2:$G$151,$G387,'المرتبطة بسمو الوزير'!$I$2:$I$151,$I387)+SUMIFS('الشؤون التنفيذية'!$N$2:$N$421,'الشؤون التنفيذية'!$B$2:$B$421,$B387,'الشؤون التنفيذية'!$G$2:$G$421,$G387,'الشؤون التنفيذية'!$I$2:$I$421,$I387)+SUMIFS('الجهاز العسكري'!$M$2:$M$631,'الجهاز العسكري'!$B$2:$B$631,$B387,'الجهاز العسكري'!$G$2:$G$631,$G387,'الجهاز العسكري'!$I$2:$I$631,$I387))/$L387,0))</f>
        <v>50</v>
      </c>
      <c r="O387" s="25" t="n">
        <f aca="false">IF($L387=0,0,ROUND((SUMIFS('المرتبطة بسمو الوزير'!$N$2:$N$151,'المرتبطة بسمو الوزير'!$B$2:$B$151,$B387,'المرتبطة بسمو الوزير'!$G$2:$G$151,$G387,'المرتبطة بسمو الوزير'!$I$2:$I$151,$I387)+SUMIFS('الشؤون التنفيذية'!$O$2:$O$421,'الشؤون التنفيذية'!$B$2:$B$421,$B387,'الشؤون التنفيذية'!$G$2:$G$421,$G387,'الشؤون التنفيذية'!$I$2:$I$421,$I387)+SUMIFS('الجهاز العسكري'!$N$2:$N$631,'الجهاز العسكري'!$B$2:$B$631,$B387,'الجهاز العسكري'!$G$2:$G$631,$G387,'الجهاز العسكري'!$I$2:$I$631,$I387))/$L387,0))</f>
        <v>95</v>
      </c>
      <c r="P387" s="22"/>
      <c r="Q387" s="19" t="n">
        <f aca="false">SUMIFS(المرجع!$G$2:$G$19,المرجع!$B$2:$B$19,$G387,المرجع!$E$2:$E$19,$I387)</f>
        <v>15</v>
      </c>
      <c r="R387" s="26" t="n">
        <f aca="false">ROUND($Q387*$N387/100,2)</f>
        <v>7.5</v>
      </c>
      <c r="S387" s="27" t="str">
        <f aca="false">IF($N387&gt;المرجع!$K$3,"متقدم",IF($N387&lt;=المرجع!$K$2,"أولي","جزئي"))</f>
        <v>جزئي</v>
      </c>
      <c r="T387" s="28" t="n">
        <f aca="false">ROUND($Q387*$O387/100,2)</f>
        <v>14.25</v>
      </c>
    </row>
    <row r="388" customFormat="false" ht="15" hidden="false" customHeight="true" outlineLevel="0" collapsed="false">
      <c r="A388" s="20" t="s">
        <v>1840</v>
      </c>
      <c r="B388" s="20" t="s">
        <v>200</v>
      </c>
      <c r="C388" s="19" t="str">
        <f aca="false">IFERROR(INDEX('قائمة الوحدات'!$B$2:$B$41,MATCH($B388,'قائمة الوحدات'!$A$2:$A$41,0)),"")</f>
        <v>MIL</v>
      </c>
      <c r="D388" s="18" t="str">
        <f aca="false">IFERROR(INDEX('قائمة الوحدات'!$C$2:$C$41,MATCH($B388,'قائمة الوحدات'!$A$2:$A$41,0)),"")</f>
        <v>الجهاز العسكري</v>
      </c>
      <c r="E388" s="18" t="str">
        <f aca="false">IFERROR(INDEX('قائمة الوحدات'!$D$2:$D$41,MATCH($B388,'قائمة الوحدات'!$A$2:$A$41,0)),"")</f>
        <v>قيادة القوات الجوية</v>
      </c>
      <c r="F388" s="18" t="str">
        <f aca="false">IFERROR(INDEX('قائمة الوحدات'!$F$2:$F$41,MATCH($B388,'قائمة الوحدات'!$A$2:$A$41,0)),"")</f>
        <v>قيادة القوات الجوية</v>
      </c>
      <c r="G388" s="20" t="s">
        <v>62</v>
      </c>
      <c r="H388" s="18" t="str">
        <f aca="false">IFERROR(INDEX(المرجع!$A$2:$A$19,MATCH($G388,المرجع!$B$2:$B$19,0)),"")</f>
        <v>البناء المؤسسي</v>
      </c>
      <c r="I388" s="20" t="s">
        <v>52</v>
      </c>
      <c r="J388" s="18" t="str">
        <f aca="false">IFERROR(INDEX(المرجع!$D$2:$D$19,MATCH($I388,المرجع!$E$2:$E$19,0)),"")</f>
        <v>الحوكمة</v>
      </c>
      <c r="K388" s="19" t="n">
        <f aca="false">IFERROR(INDEX(المرجع!$F$2:$F$19,MATCH($I388,المرجع!$E$2:$E$19,0)),"")</f>
        <v>3</v>
      </c>
      <c r="L388" s="19" t="n">
        <f aca="false">SUMIFS(المرجع!$H$2:$H$19,المرجع!$B$2:$B$19,$G388,المرجع!$E$2:$E$19,$I388)</f>
        <v>3</v>
      </c>
      <c r="M388" s="19" t="n">
        <f aca="false">COUNTIFS('المرتبطة بسمو الوزير'!$B$2:$B$151,$B388,'المرتبطة بسمو الوزير'!$G$2:$G$151,$G388,'المرتبطة بسمو الوزير'!$I$2:$I$151,$I388,'المرتبطة بسمو الوزير'!$M$2:$M$151,"&lt;&gt;")+COUNTIFS('الشؤون التنفيذية'!$B$2:$B$421,$B388,'الشؤون التنفيذية'!$G$2:$G$421,$G388,'الشؤون التنفيذية'!$I$2:$I$421,$I388,'الشؤون التنفيذية'!$N$2:$N$421,"&lt;&gt;")+COUNTIFS('الجهاز العسكري'!$B$2:$B$631,$B388,'الجهاز العسكري'!$G$2:$G$631,$G388,'الجهاز العسكري'!$I$2:$I$631,$I388,'الجهاز العسكري'!$M$2:$M$631,"&lt;&gt;")</f>
        <v>3</v>
      </c>
      <c r="N388" s="24" t="n">
        <f aca="false">IF($L388=0,0,ROUND((SUMIFS('المرتبطة بسمو الوزير'!$M$2:$M$151,'المرتبطة بسمو الوزير'!$B$2:$B$151,$B388,'المرتبطة بسمو الوزير'!$G$2:$G$151,$G388,'المرتبطة بسمو الوزير'!$I$2:$I$151,$I388)+SUMIFS('الشؤون التنفيذية'!$N$2:$N$421,'الشؤون التنفيذية'!$B$2:$B$421,$B388,'الشؤون التنفيذية'!$G$2:$G$421,$G388,'الشؤون التنفيذية'!$I$2:$I$421,$I388)+SUMIFS('الجهاز العسكري'!$M$2:$M$631,'الجهاز العسكري'!$B$2:$B$631,$B388,'الجهاز العسكري'!$G$2:$G$631,$G388,'الجهاز العسكري'!$I$2:$I$631,$I388))/$L388,0))</f>
        <v>48</v>
      </c>
      <c r="O388" s="25" t="n">
        <f aca="false">IF($L388=0,0,ROUND((SUMIFS('المرتبطة بسمو الوزير'!$N$2:$N$151,'المرتبطة بسمو الوزير'!$B$2:$B$151,$B388,'المرتبطة بسمو الوزير'!$G$2:$G$151,$G388,'المرتبطة بسمو الوزير'!$I$2:$I$151,$I388)+SUMIFS('الشؤون التنفيذية'!$O$2:$O$421,'الشؤون التنفيذية'!$B$2:$B$421,$B388,'الشؤون التنفيذية'!$G$2:$G$421,$G388,'الشؤون التنفيذية'!$I$2:$I$421,$I388)+SUMIFS('الجهاز العسكري'!$N$2:$N$631,'الجهاز العسكري'!$B$2:$B$631,$B388,'الجهاز العسكري'!$G$2:$G$631,$G388,'الجهاز العسكري'!$I$2:$I$631,$I388))/$L388,0))</f>
        <v>97</v>
      </c>
      <c r="P388" s="22"/>
      <c r="Q388" s="19" t="n">
        <f aca="false">SUMIFS(المرجع!$G$2:$G$19,المرجع!$B$2:$B$19,$G388,المرجع!$E$2:$E$19,$I388)</f>
        <v>15</v>
      </c>
      <c r="R388" s="26" t="n">
        <f aca="false">ROUND($Q388*$N388/100,2)</f>
        <v>7.2</v>
      </c>
      <c r="S388" s="27" t="str">
        <f aca="false">IF($N388&gt;المرجع!$K$3,"متقدم",IF($N388&lt;=المرجع!$K$2,"أولي","جزئي"))</f>
        <v>جزئي</v>
      </c>
      <c r="T388" s="28" t="n">
        <f aca="false">ROUND($Q388*$O388/100,2)</f>
        <v>14.55</v>
      </c>
    </row>
    <row r="389" customFormat="false" ht="15" hidden="false" customHeight="true" outlineLevel="0" collapsed="false">
      <c r="A389" s="20" t="s">
        <v>1841</v>
      </c>
      <c r="B389" s="20" t="s">
        <v>200</v>
      </c>
      <c r="C389" s="19" t="str">
        <f aca="false">IFERROR(INDEX('قائمة الوحدات'!$B$2:$B$41,MATCH($B389,'قائمة الوحدات'!$A$2:$A$41,0)),"")</f>
        <v>MIL</v>
      </c>
      <c r="D389" s="18" t="str">
        <f aca="false">IFERROR(INDEX('قائمة الوحدات'!$C$2:$C$41,MATCH($B389,'قائمة الوحدات'!$A$2:$A$41,0)),"")</f>
        <v>الجهاز العسكري</v>
      </c>
      <c r="E389" s="18" t="str">
        <f aca="false">IFERROR(INDEX('قائمة الوحدات'!$D$2:$D$41,MATCH($B389,'قائمة الوحدات'!$A$2:$A$41,0)),"")</f>
        <v>قيادة القوات الجوية</v>
      </c>
      <c r="F389" s="18" t="str">
        <f aca="false">IFERROR(INDEX('قائمة الوحدات'!$F$2:$F$41,MATCH($B389,'قائمة الوحدات'!$A$2:$A$41,0)),"")</f>
        <v>قيادة القوات الجوية</v>
      </c>
      <c r="G389" s="20" t="s">
        <v>62</v>
      </c>
      <c r="H389" s="18" t="str">
        <f aca="false">IFERROR(INDEX(المرجع!$A$2:$A$19,MATCH($G389,المرجع!$B$2:$B$19,0)),"")</f>
        <v>البناء المؤسسي</v>
      </c>
      <c r="I389" s="20" t="s">
        <v>55</v>
      </c>
      <c r="J389" s="18" t="str">
        <f aca="false">IFERROR(INDEX(المرجع!$D$2:$D$19,MATCH($I389,المرجع!$E$2:$E$19,0)),"")</f>
        <v>التنظيم</v>
      </c>
      <c r="K389" s="19" t="n">
        <f aca="false">IFERROR(INDEX(المرجع!$F$2:$F$19,MATCH($I389,المرجع!$E$2:$E$19,0)),"")</f>
        <v>4</v>
      </c>
      <c r="L389" s="19" t="n">
        <f aca="false">SUMIFS(المرجع!$H$2:$H$19,المرجع!$B$2:$B$19,$G389,المرجع!$E$2:$E$19,$I389)</f>
        <v>3</v>
      </c>
      <c r="M389" s="19" t="n">
        <f aca="false">COUNTIFS('المرتبطة بسمو الوزير'!$B$2:$B$151,$B389,'المرتبطة بسمو الوزير'!$G$2:$G$151,$G389,'المرتبطة بسمو الوزير'!$I$2:$I$151,$I389,'المرتبطة بسمو الوزير'!$M$2:$M$151,"&lt;&gt;")+COUNTIFS('الشؤون التنفيذية'!$B$2:$B$421,$B389,'الشؤون التنفيذية'!$G$2:$G$421,$G389,'الشؤون التنفيذية'!$I$2:$I$421,$I389,'الشؤون التنفيذية'!$N$2:$N$421,"&lt;&gt;")+COUNTIFS('الجهاز العسكري'!$B$2:$B$631,$B389,'الجهاز العسكري'!$G$2:$G$631,$G389,'الجهاز العسكري'!$I$2:$I$631,$I389,'الجهاز العسكري'!$M$2:$M$631,"&lt;&gt;")</f>
        <v>3</v>
      </c>
      <c r="N389" s="24" t="n">
        <f aca="false">IF($L389=0,0,ROUND((SUMIFS('المرتبطة بسمو الوزير'!$M$2:$M$151,'المرتبطة بسمو الوزير'!$B$2:$B$151,$B389,'المرتبطة بسمو الوزير'!$G$2:$G$151,$G389,'المرتبطة بسمو الوزير'!$I$2:$I$151,$I389)+SUMIFS('الشؤون التنفيذية'!$N$2:$N$421,'الشؤون التنفيذية'!$B$2:$B$421,$B389,'الشؤون التنفيذية'!$G$2:$G$421,$G389,'الشؤون التنفيذية'!$I$2:$I$421,$I389)+SUMIFS('الجهاز العسكري'!$M$2:$M$631,'الجهاز العسكري'!$B$2:$B$631,$B389,'الجهاز العسكري'!$G$2:$G$631,$G389,'الجهاز العسكري'!$I$2:$I$631,$I389))/$L389,0))</f>
        <v>63</v>
      </c>
      <c r="O389" s="25" t="n">
        <f aca="false">IF($L389=0,0,ROUND((SUMIFS('المرتبطة بسمو الوزير'!$N$2:$N$151,'المرتبطة بسمو الوزير'!$B$2:$B$151,$B389,'المرتبطة بسمو الوزير'!$G$2:$G$151,$G389,'المرتبطة بسمو الوزير'!$I$2:$I$151,$I389)+SUMIFS('الشؤون التنفيذية'!$O$2:$O$421,'الشؤون التنفيذية'!$B$2:$B$421,$B389,'الشؤون التنفيذية'!$G$2:$G$421,$G389,'الشؤون التنفيذية'!$I$2:$I$421,$I389)+SUMIFS('الجهاز العسكري'!$N$2:$N$631,'الجهاز العسكري'!$B$2:$B$631,$B389,'الجهاز العسكري'!$G$2:$G$631,$G389,'الجهاز العسكري'!$I$2:$I$631,$I389))/$L389,0))</f>
        <v>90</v>
      </c>
      <c r="P389" s="22"/>
      <c r="Q389" s="19" t="n">
        <f aca="false">SUMIFS(المرجع!$G$2:$G$19,المرجع!$B$2:$B$19,$G389,المرجع!$E$2:$E$19,$I389)</f>
        <v>20</v>
      </c>
      <c r="R389" s="26" t="n">
        <f aca="false">ROUND($Q389*$N389/100,2)</f>
        <v>12.6</v>
      </c>
      <c r="S389" s="27" t="str">
        <f aca="false">IF($N389&gt;المرجع!$K$3,"متقدم",IF($N389&lt;=المرجع!$K$2,"أولي","جزئي"))</f>
        <v>جزئي</v>
      </c>
      <c r="T389" s="28" t="n">
        <f aca="false">ROUND($Q389*$O389/100,2)</f>
        <v>18</v>
      </c>
    </row>
    <row r="390" customFormat="false" ht="15" hidden="false" customHeight="true" outlineLevel="0" collapsed="false">
      <c r="A390" s="20" t="s">
        <v>1842</v>
      </c>
      <c r="B390" s="20" t="s">
        <v>200</v>
      </c>
      <c r="C390" s="19" t="str">
        <f aca="false">IFERROR(INDEX('قائمة الوحدات'!$B$2:$B$41,MATCH($B390,'قائمة الوحدات'!$A$2:$A$41,0)),"")</f>
        <v>MIL</v>
      </c>
      <c r="D390" s="18" t="str">
        <f aca="false">IFERROR(INDEX('قائمة الوحدات'!$C$2:$C$41,MATCH($B390,'قائمة الوحدات'!$A$2:$A$41,0)),"")</f>
        <v>الجهاز العسكري</v>
      </c>
      <c r="E390" s="18" t="str">
        <f aca="false">IFERROR(INDEX('قائمة الوحدات'!$D$2:$D$41,MATCH($B390,'قائمة الوحدات'!$A$2:$A$41,0)),"")</f>
        <v>قيادة القوات الجوية</v>
      </c>
      <c r="F390" s="18" t="str">
        <f aca="false">IFERROR(INDEX('قائمة الوحدات'!$F$2:$F$41,MATCH($B390,'قائمة الوحدات'!$A$2:$A$41,0)),"")</f>
        <v>قيادة القوات الجوية</v>
      </c>
      <c r="G390" s="20" t="s">
        <v>62</v>
      </c>
      <c r="H390" s="18" t="str">
        <f aca="false">IFERROR(INDEX(المرجع!$A$2:$A$19,MATCH($G390,المرجع!$B$2:$B$19,0)),"")</f>
        <v>البناء المؤسسي</v>
      </c>
      <c r="I390" s="20" t="s">
        <v>57</v>
      </c>
      <c r="J390" s="18" t="str">
        <f aca="false">IFERROR(INDEX(المرجع!$D$2:$D$19,MATCH($I390,المرجع!$E$2:$E$19,0)),"")</f>
        <v>الموارد</v>
      </c>
      <c r="K390" s="19" t="n">
        <f aca="false">IFERROR(INDEX(المرجع!$F$2:$F$19,MATCH($I390,المرجع!$E$2:$E$19,0)),"")</f>
        <v>5</v>
      </c>
      <c r="L390" s="19" t="n">
        <f aca="false">SUMIFS(المرجع!$H$2:$H$19,المرجع!$B$2:$B$19,$G390,المرجع!$E$2:$E$19,$I390)</f>
        <v>4</v>
      </c>
      <c r="M390" s="19" t="n">
        <f aca="false">COUNTIFS('المرتبطة بسمو الوزير'!$B$2:$B$151,$B390,'المرتبطة بسمو الوزير'!$G$2:$G$151,$G390,'المرتبطة بسمو الوزير'!$I$2:$I$151,$I390,'المرتبطة بسمو الوزير'!$M$2:$M$151,"&lt;&gt;")+COUNTIFS('الشؤون التنفيذية'!$B$2:$B$421,$B390,'الشؤون التنفيذية'!$G$2:$G$421,$G390,'الشؤون التنفيذية'!$I$2:$I$421,$I390,'الشؤون التنفيذية'!$N$2:$N$421,"&lt;&gt;")+COUNTIFS('الجهاز العسكري'!$B$2:$B$631,$B390,'الجهاز العسكري'!$G$2:$G$631,$G390,'الجهاز العسكري'!$I$2:$I$631,$I390,'الجهاز العسكري'!$M$2:$M$631,"&lt;&gt;")</f>
        <v>4</v>
      </c>
      <c r="N390" s="24" t="n">
        <f aca="false">IF($L390=0,0,ROUND((SUMIFS('المرتبطة بسمو الوزير'!$M$2:$M$151,'المرتبطة بسمو الوزير'!$B$2:$B$151,$B390,'المرتبطة بسمو الوزير'!$G$2:$G$151,$G390,'المرتبطة بسمو الوزير'!$I$2:$I$151,$I390)+SUMIFS('الشؤون التنفيذية'!$N$2:$N$421,'الشؤون التنفيذية'!$B$2:$B$421,$B390,'الشؤون التنفيذية'!$G$2:$G$421,$G390,'الشؤون التنفيذية'!$I$2:$I$421,$I390)+SUMIFS('الجهاز العسكري'!$M$2:$M$631,'الجهاز العسكري'!$B$2:$B$631,$B390,'الجهاز العسكري'!$G$2:$G$631,$G390,'الجهاز العسكري'!$I$2:$I$631,$I390))/$L390,0))</f>
        <v>69</v>
      </c>
      <c r="O390" s="25" t="n">
        <f aca="false">IF($L390=0,0,ROUND((SUMIFS('المرتبطة بسمو الوزير'!$N$2:$N$151,'المرتبطة بسمو الوزير'!$B$2:$B$151,$B390,'المرتبطة بسمو الوزير'!$G$2:$G$151,$G390,'المرتبطة بسمو الوزير'!$I$2:$I$151,$I390)+SUMIFS('الشؤون التنفيذية'!$O$2:$O$421,'الشؤون التنفيذية'!$B$2:$B$421,$B390,'الشؤون التنفيذية'!$G$2:$G$421,$G390,'الشؤون التنفيذية'!$I$2:$I$421,$I390)+SUMIFS('الجهاز العسكري'!$N$2:$N$631,'الجهاز العسكري'!$B$2:$B$631,$B390,'الجهاز العسكري'!$G$2:$G$631,$G390,'الجهاز العسكري'!$I$2:$I$631,$I390))/$L390,0))</f>
        <v>94</v>
      </c>
      <c r="P390" s="22"/>
      <c r="Q390" s="19" t="n">
        <f aca="false">SUMIFS(المرجع!$G$2:$G$19,المرجع!$B$2:$B$19,$G390,المرجع!$E$2:$E$19,$I390)</f>
        <v>25</v>
      </c>
      <c r="R390" s="26" t="n">
        <f aca="false">ROUND($Q390*$N390/100,2)</f>
        <v>17.25</v>
      </c>
      <c r="S390" s="27" t="str">
        <f aca="false">IF($N390&gt;المرجع!$K$3,"متقدم",IF($N390&lt;=المرجع!$K$2,"أولي","جزئي"))</f>
        <v>جزئي</v>
      </c>
      <c r="T390" s="28" t="n">
        <f aca="false">ROUND($Q390*$O390/100,2)</f>
        <v>23.5</v>
      </c>
    </row>
    <row r="391" customFormat="false" ht="15" hidden="false" customHeight="true" outlineLevel="0" collapsed="false">
      <c r="A391" s="20" t="s">
        <v>1843</v>
      </c>
      <c r="B391" s="20" t="s">
        <v>200</v>
      </c>
      <c r="C391" s="19" t="str">
        <f aca="false">IFERROR(INDEX('قائمة الوحدات'!$B$2:$B$41,MATCH($B391,'قائمة الوحدات'!$A$2:$A$41,0)),"")</f>
        <v>MIL</v>
      </c>
      <c r="D391" s="18" t="str">
        <f aca="false">IFERROR(INDEX('قائمة الوحدات'!$C$2:$C$41,MATCH($B391,'قائمة الوحدات'!$A$2:$A$41,0)),"")</f>
        <v>الجهاز العسكري</v>
      </c>
      <c r="E391" s="18" t="str">
        <f aca="false">IFERROR(INDEX('قائمة الوحدات'!$D$2:$D$41,MATCH($B391,'قائمة الوحدات'!$A$2:$A$41,0)),"")</f>
        <v>قيادة القوات الجوية</v>
      </c>
      <c r="F391" s="18" t="str">
        <f aca="false">IFERROR(INDEX('قائمة الوحدات'!$F$2:$F$41,MATCH($B391,'قائمة الوحدات'!$A$2:$A$41,0)),"")</f>
        <v>قيادة القوات الجوية</v>
      </c>
      <c r="G391" s="20" t="s">
        <v>62</v>
      </c>
      <c r="H391" s="18" t="str">
        <f aca="false">IFERROR(INDEX(المرجع!$A$2:$A$19,MATCH($G391,المرجع!$B$2:$B$19,0)),"")</f>
        <v>البناء المؤسسي</v>
      </c>
      <c r="I391" s="20" t="s">
        <v>60</v>
      </c>
      <c r="J391" s="18" t="str">
        <f aca="false">IFERROR(INDEX(المرجع!$D$2:$D$19,MATCH($I391,المرجع!$E$2:$E$19,0)),"")</f>
        <v>الإجراءات</v>
      </c>
      <c r="K391" s="19" t="n">
        <f aca="false">IFERROR(INDEX(المرجع!$F$2:$F$19,MATCH($I391,المرجع!$E$2:$E$19,0)),"")</f>
        <v>6</v>
      </c>
      <c r="L391" s="19" t="n">
        <f aca="false">SUMIFS(المرجع!$H$2:$H$19,المرجع!$B$2:$B$19,$G391,المرجع!$E$2:$E$19,$I391)</f>
        <v>1</v>
      </c>
      <c r="M391" s="19" t="n">
        <f aca="false">COUNTIFS('المرتبطة بسمو الوزير'!$B$2:$B$151,$B391,'المرتبطة بسمو الوزير'!$G$2:$G$151,$G391,'المرتبطة بسمو الوزير'!$I$2:$I$151,$I391,'المرتبطة بسمو الوزير'!$M$2:$M$151,"&lt;&gt;")+COUNTIFS('الشؤون التنفيذية'!$B$2:$B$421,$B391,'الشؤون التنفيذية'!$G$2:$G$421,$G391,'الشؤون التنفيذية'!$I$2:$I$421,$I391,'الشؤون التنفيذية'!$N$2:$N$421,"&lt;&gt;")+COUNTIFS('الجهاز العسكري'!$B$2:$B$631,$B391,'الجهاز العسكري'!$G$2:$G$631,$G391,'الجهاز العسكري'!$I$2:$I$631,$I391,'الجهاز العسكري'!$M$2:$M$631,"&lt;&gt;")</f>
        <v>1</v>
      </c>
      <c r="N391" s="24" t="n">
        <f aca="false">IF($L391=0,0,ROUND((SUMIFS('المرتبطة بسمو الوزير'!$M$2:$M$151,'المرتبطة بسمو الوزير'!$B$2:$B$151,$B391,'المرتبطة بسمو الوزير'!$G$2:$G$151,$G391,'المرتبطة بسمو الوزير'!$I$2:$I$151,$I391)+SUMIFS('الشؤون التنفيذية'!$N$2:$N$421,'الشؤون التنفيذية'!$B$2:$B$421,$B391,'الشؤون التنفيذية'!$G$2:$G$421,$G391,'الشؤون التنفيذية'!$I$2:$I$421,$I391)+SUMIFS('الجهاز العسكري'!$M$2:$M$631,'الجهاز العسكري'!$B$2:$B$631,$B391,'الجهاز العسكري'!$G$2:$G$631,$G391,'الجهاز العسكري'!$I$2:$I$631,$I391))/$L391,0))</f>
        <v>55</v>
      </c>
      <c r="O391" s="25" t="n">
        <f aca="false">IF($L391=0,0,ROUND((SUMIFS('المرتبطة بسمو الوزير'!$N$2:$N$151,'المرتبطة بسمو الوزير'!$B$2:$B$151,$B391,'المرتبطة بسمو الوزير'!$G$2:$G$151,$G391,'المرتبطة بسمو الوزير'!$I$2:$I$151,$I391)+SUMIFS('الشؤون التنفيذية'!$O$2:$O$421,'الشؤون التنفيذية'!$B$2:$B$421,$B391,'الشؤون التنفيذية'!$G$2:$G$421,$G391,'الشؤون التنفيذية'!$I$2:$I$421,$I391)+SUMIFS('الجهاز العسكري'!$N$2:$N$631,'الجهاز العسكري'!$B$2:$B$631,$B391,'الجهاز العسكري'!$G$2:$G$631,$G391,'الجهاز العسكري'!$I$2:$I$631,$I391))/$L391,0))</f>
        <v>90</v>
      </c>
      <c r="P391" s="22"/>
      <c r="Q391" s="19" t="n">
        <f aca="false">SUMIFS(المرجع!$G$2:$G$19,المرجع!$B$2:$B$19,$G391,المرجع!$E$2:$E$19,$I391)</f>
        <v>5</v>
      </c>
      <c r="R391" s="26" t="n">
        <f aca="false">ROUND($Q391*$N391/100,2)</f>
        <v>2.75</v>
      </c>
      <c r="S391" s="27" t="str">
        <f aca="false">IF($N391&gt;المرجع!$K$3,"متقدم",IF($N391&lt;=المرجع!$K$2,"أولي","جزئي"))</f>
        <v>جزئي</v>
      </c>
      <c r="T391" s="28" t="n">
        <f aca="false">ROUND($Q391*$O391/100,2)</f>
        <v>4.5</v>
      </c>
    </row>
    <row r="392" customFormat="false" ht="15" hidden="false" customHeight="true" outlineLevel="0" collapsed="false">
      <c r="A392" s="20" t="s">
        <v>1844</v>
      </c>
      <c r="B392" s="20" t="s">
        <v>200</v>
      </c>
      <c r="C392" s="19" t="str">
        <f aca="false">IFERROR(INDEX('قائمة الوحدات'!$B$2:$B$41,MATCH($B392,'قائمة الوحدات'!$A$2:$A$41,0)),"")</f>
        <v>MIL</v>
      </c>
      <c r="D392" s="18" t="str">
        <f aca="false">IFERROR(INDEX('قائمة الوحدات'!$C$2:$C$41,MATCH($B392,'قائمة الوحدات'!$A$2:$A$41,0)),"")</f>
        <v>الجهاز العسكري</v>
      </c>
      <c r="E392" s="18" t="str">
        <f aca="false">IFERROR(INDEX('قائمة الوحدات'!$D$2:$D$41,MATCH($B392,'قائمة الوحدات'!$A$2:$A$41,0)),"")</f>
        <v>قيادة القوات الجوية</v>
      </c>
      <c r="F392" s="18" t="str">
        <f aca="false">IFERROR(INDEX('قائمة الوحدات'!$F$2:$F$41,MATCH($B392,'قائمة الوحدات'!$A$2:$A$41,0)),"")</f>
        <v>قيادة القوات الجوية</v>
      </c>
      <c r="G392" s="20" t="s">
        <v>62</v>
      </c>
      <c r="H392" s="18" t="str">
        <f aca="false">IFERROR(INDEX(المرجع!$A$2:$A$19,MATCH($G392,المرجع!$B$2:$B$19,0)),"")</f>
        <v>البناء المؤسسي</v>
      </c>
      <c r="I392" s="20" t="s">
        <v>69</v>
      </c>
      <c r="J392" s="18" t="str">
        <f aca="false">IFERROR(INDEX(المرجع!$D$2:$D$19,MATCH($I392,المرجع!$E$2:$E$19,0)),"")</f>
        <v>إنتاج المخرج الأول</v>
      </c>
      <c r="K392" s="19" t="n">
        <f aca="false">IFERROR(INDEX(المرجع!$F$2:$F$19,MATCH($I392,المرجع!$E$2:$E$19,0)),"")</f>
        <v>7</v>
      </c>
      <c r="L392" s="19" t="n">
        <f aca="false">SUMIFS(المرجع!$H$2:$H$19,المرجع!$B$2:$B$19,$G392,المرجع!$E$2:$E$19,$I392)</f>
        <v>1</v>
      </c>
      <c r="M392" s="19" t="n">
        <f aca="false">COUNTIFS('المرتبطة بسمو الوزير'!$B$2:$B$151,$B392,'المرتبطة بسمو الوزير'!$G$2:$G$151,$G392,'المرتبطة بسمو الوزير'!$I$2:$I$151,$I392,'المرتبطة بسمو الوزير'!$M$2:$M$151,"&lt;&gt;")+COUNTIFS('الشؤون التنفيذية'!$B$2:$B$421,$B392,'الشؤون التنفيذية'!$G$2:$G$421,$G392,'الشؤون التنفيذية'!$I$2:$I$421,$I392,'الشؤون التنفيذية'!$N$2:$N$421,"&lt;&gt;")+COUNTIFS('الجهاز العسكري'!$B$2:$B$631,$B392,'الجهاز العسكري'!$G$2:$G$631,$G392,'الجهاز العسكري'!$I$2:$I$631,$I392,'الجهاز العسكري'!$M$2:$M$631,"&lt;&gt;")</f>
        <v>1</v>
      </c>
      <c r="N392" s="24" t="n">
        <f aca="false">IF($L392=0,0,ROUND((SUMIFS('المرتبطة بسمو الوزير'!$M$2:$M$151,'المرتبطة بسمو الوزير'!$B$2:$B$151,$B392,'المرتبطة بسمو الوزير'!$G$2:$G$151,$G392,'المرتبطة بسمو الوزير'!$I$2:$I$151,$I392)+SUMIFS('الشؤون التنفيذية'!$N$2:$N$421,'الشؤون التنفيذية'!$B$2:$B$421,$B392,'الشؤون التنفيذية'!$G$2:$G$421,$G392,'الشؤون التنفيذية'!$I$2:$I$421,$I392)+SUMIFS('الجهاز العسكري'!$M$2:$M$631,'الجهاز العسكري'!$B$2:$B$631,$B392,'الجهاز العسكري'!$G$2:$G$631,$G392,'الجهاز العسكري'!$I$2:$I$631,$I392))/$L392,0))</f>
        <v>80</v>
      </c>
      <c r="O392" s="25" t="n">
        <f aca="false">IF($L392=0,0,ROUND((SUMIFS('المرتبطة بسمو الوزير'!$N$2:$N$151,'المرتبطة بسمو الوزير'!$B$2:$B$151,$B392,'المرتبطة بسمو الوزير'!$G$2:$G$151,$G392,'المرتبطة بسمو الوزير'!$I$2:$I$151,$I392)+SUMIFS('الشؤون التنفيذية'!$O$2:$O$421,'الشؤون التنفيذية'!$B$2:$B$421,$B392,'الشؤون التنفيذية'!$G$2:$G$421,$G392,'الشؤون التنفيذية'!$I$2:$I$421,$I392)+SUMIFS('الجهاز العسكري'!$N$2:$N$631,'الجهاز العسكري'!$B$2:$B$631,$B392,'الجهاز العسكري'!$G$2:$G$631,$G392,'الجهاز العسكري'!$I$2:$I$631,$I392))/$L392,0))</f>
        <v>100</v>
      </c>
      <c r="P392" s="22"/>
      <c r="Q392" s="19" t="n">
        <f aca="false">SUMIFS(المرجع!$G$2:$G$19,المرجع!$B$2:$B$19,$G392,المرجع!$E$2:$E$19,$I392)</f>
        <v>5</v>
      </c>
      <c r="R392" s="26" t="n">
        <f aca="false">ROUND($Q392*$N392/100,2)</f>
        <v>4</v>
      </c>
      <c r="S392" s="27" t="str">
        <f aca="false">IF($N392&gt;المرجع!$K$3,"متقدم",IF($N392&lt;=المرجع!$K$2,"أولي","جزئي"))</f>
        <v>متقدم</v>
      </c>
      <c r="T392" s="28" t="n">
        <f aca="false">ROUND($Q392*$O392/100,2)</f>
        <v>5</v>
      </c>
    </row>
    <row r="393" customFormat="false" ht="15" hidden="false" customHeight="true" outlineLevel="0" collapsed="false">
      <c r="A393" s="20" t="s">
        <v>1845</v>
      </c>
      <c r="B393" s="20" t="s">
        <v>200</v>
      </c>
      <c r="C393" s="19" t="str">
        <f aca="false">IFERROR(INDEX('قائمة الوحدات'!$B$2:$B$41,MATCH($B393,'قائمة الوحدات'!$A$2:$A$41,0)),"")</f>
        <v>MIL</v>
      </c>
      <c r="D393" s="18" t="str">
        <f aca="false">IFERROR(INDEX('قائمة الوحدات'!$C$2:$C$41,MATCH($B393,'قائمة الوحدات'!$A$2:$A$41,0)),"")</f>
        <v>الجهاز العسكري</v>
      </c>
      <c r="E393" s="18" t="str">
        <f aca="false">IFERROR(INDEX('قائمة الوحدات'!$D$2:$D$41,MATCH($B393,'قائمة الوحدات'!$A$2:$A$41,0)),"")</f>
        <v>قيادة القوات الجوية</v>
      </c>
      <c r="F393" s="18" t="str">
        <f aca="false">IFERROR(INDEX('قائمة الوحدات'!$F$2:$F$41,MATCH($B393,'قائمة الوحدات'!$A$2:$A$41,0)),"")</f>
        <v>قيادة القوات الجوية</v>
      </c>
      <c r="G393" s="20" t="s">
        <v>66</v>
      </c>
      <c r="H393" s="18" t="str">
        <f aca="false">IFERROR(INDEX(المرجع!$A$2:$A$19,MATCH($G393,المرجع!$B$2:$B$19,0)),"")</f>
        <v>التشغيل</v>
      </c>
      <c r="I393" s="20" t="s">
        <v>49</v>
      </c>
      <c r="J393" s="18" t="str">
        <f aca="false">IFERROR(INDEX(المرجع!$D$2:$D$19,MATCH($I393,المرجع!$E$2:$E$19,0)),"")</f>
        <v>الأهداف ومؤشرات الأداء</v>
      </c>
      <c r="K393" s="19" t="n">
        <f aca="false">IFERROR(INDEX(المرجع!$F$2:$F$19,MATCH($I393,المرجع!$E$2:$E$19,0)),"")</f>
        <v>2</v>
      </c>
      <c r="L393" s="19" t="n">
        <f aca="false">SUMIFS(المرجع!$H$2:$H$19,المرجع!$B$2:$B$19,$G393,المرجع!$E$2:$E$19,$I393)</f>
        <v>2</v>
      </c>
      <c r="M393" s="19" t="n">
        <f aca="false">COUNTIFS('المرتبطة بسمو الوزير'!$B$2:$B$151,$B393,'المرتبطة بسمو الوزير'!$G$2:$G$151,$G393,'المرتبطة بسمو الوزير'!$I$2:$I$151,$I393,'المرتبطة بسمو الوزير'!$M$2:$M$151,"&lt;&gt;")+COUNTIFS('الشؤون التنفيذية'!$B$2:$B$421,$B393,'الشؤون التنفيذية'!$G$2:$G$421,$G393,'الشؤون التنفيذية'!$I$2:$I$421,$I393,'الشؤون التنفيذية'!$N$2:$N$421,"&lt;&gt;")+COUNTIFS('الجهاز العسكري'!$B$2:$B$631,$B393,'الجهاز العسكري'!$G$2:$G$631,$G393,'الجهاز العسكري'!$I$2:$I$631,$I393,'الجهاز العسكري'!$M$2:$M$631,"&lt;&gt;")</f>
        <v>2</v>
      </c>
      <c r="N393" s="24" t="n">
        <f aca="false">IF($L393=0,0,ROUND((SUMIFS('المرتبطة بسمو الوزير'!$M$2:$M$151,'المرتبطة بسمو الوزير'!$B$2:$B$151,$B393,'المرتبطة بسمو الوزير'!$G$2:$G$151,$G393,'المرتبطة بسمو الوزير'!$I$2:$I$151,$I393)+SUMIFS('الشؤون التنفيذية'!$N$2:$N$421,'الشؤون التنفيذية'!$B$2:$B$421,$B393,'الشؤون التنفيذية'!$G$2:$G$421,$G393,'الشؤون التنفيذية'!$I$2:$I$421,$I393)+SUMIFS('الجهاز العسكري'!$M$2:$M$631,'الجهاز العسكري'!$B$2:$B$631,$B393,'الجهاز العسكري'!$G$2:$G$631,$G393,'الجهاز العسكري'!$I$2:$I$631,$I393))/$L393,0))</f>
        <v>50</v>
      </c>
      <c r="O393" s="25" t="n">
        <f aca="false">IF($L393=0,0,ROUND((SUMIFS('المرتبطة بسمو الوزير'!$N$2:$N$151,'المرتبطة بسمو الوزير'!$B$2:$B$151,$B393,'المرتبطة بسمو الوزير'!$G$2:$G$151,$G393,'المرتبطة بسمو الوزير'!$I$2:$I$151,$I393)+SUMIFS('الشؤون التنفيذية'!$O$2:$O$421,'الشؤون التنفيذية'!$B$2:$B$421,$B393,'الشؤون التنفيذية'!$G$2:$G$421,$G393,'الشؤون التنفيذية'!$I$2:$I$421,$I393)+SUMIFS('الجهاز العسكري'!$N$2:$N$631,'الجهاز العسكري'!$B$2:$B$631,$B393,'الجهاز العسكري'!$G$2:$G$631,$G393,'الجهاز العسكري'!$I$2:$I$631,$I393))/$L393,0))</f>
        <v>85</v>
      </c>
      <c r="P393" s="22"/>
      <c r="Q393" s="19" t="n">
        <f aca="false">SUMIFS(المرجع!$G$2:$G$19,المرجع!$B$2:$B$19,$G393,المرجع!$E$2:$E$19,$I393)</f>
        <v>25</v>
      </c>
      <c r="R393" s="26" t="n">
        <f aca="false">ROUND($Q393*$N393/100,2)</f>
        <v>12.5</v>
      </c>
      <c r="S393" s="27" t="str">
        <f aca="false">IF($N393&gt;المرجع!$K$3,"متقدم",IF($N393&lt;=المرجع!$K$2,"أولي","جزئي"))</f>
        <v>جزئي</v>
      </c>
      <c r="T393" s="28" t="n">
        <f aca="false">ROUND($Q393*$O393/100,2)</f>
        <v>21.25</v>
      </c>
    </row>
    <row r="394" customFormat="false" ht="15" hidden="false" customHeight="true" outlineLevel="0" collapsed="false">
      <c r="A394" s="20" t="s">
        <v>1846</v>
      </c>
      <c r="B394" s="20" t="s">
        <v>200</v>
      </c>
      <c r="C394" s="19" t="str">
        <f aca="false">IFERROR(INDEX('قائمة الوحدات'!$B$2:$B$41,MATCH($B394,'قائمة الوحدات'!$A$2:$A$41,0)),"")</f>
        <v>MIL</v>
      </c>
      <c r="D394" s="18" t="str">
        <f aca="false">IFERROR(INDEX('قائمة الوحدات'!$C$2:$C$41,MATCH($B394,'قائمة الوحدات'!$A$2:$A$41,0)),"")</f>
        <v>الجهاز العسكري</v>
      </c>
      <c r="E394" s="18" t="str">
        <f aca="false">IFERROR(INDEX('قائمة الوحدات'!$D$2:$D$41,MATCH($B394,'قائمة الوحدات'!$A$2:$A$41,0)),"")</f>
        <v>قيادة القوات الجوية</v>
      </c>
      <c r="F394" s="18" t="str">
        <f aca="false">IFERROR(INDEX('قائمة الوحدات'!$F$2:$F$41,MATCH($B394,'قائمة الوحدات'!$A$2:$A$41,0)),"")</f>
        <v>قيادة القوات الجوية</v>
      </c>
      <c r="G394" s="20" t="s">
        <v>66</v>
      </c>
      <c r="H394" s="18" t="str">
        <f aca="false">IFERROR(INDEX(المرجع!$A$2:$A$19,MATCH($G394,المرجع!$B$2:$B$19,0)),"")</f>
        <v>التشغيل</v>
      </c>
      <c r="I394" s="20" t="s">
        <v>52</v>
      </c>
      <c r="J394" s="18" t="str">
        <f aca="false">IFERROR(INDEX(المرجع!$D$2:$D$19,MATCH($I394,المرجع!$E$2:$E$19,0)),"")</f>
        <v>الحوكمة</v>
      </c>
      <c r="K394" s="19" t="n">
        <f aca="false">IFERROR(INDEX(المرجع!$F$2:$F$19,MATCH($I394,المرجع!$E$2:$E$19,0)),"")</f>
        <v>3</v>
      </c>
      <c r="L394" s="19" t="n">
        <f aca="false">SUMIFS(المرجع!$H$2:$H$19,المرجع!$B$2:$B$19,$G394,المرجع!$E$2:$E$19,$I394)</f>
        <v>3</v>
      </c>
      <c r="M394" s="19" t="n">
        <f aca="false">COUNTIFS('المرتبطة بسمو الوزير'!$B$2:$B$151,$B394,'المرتبطة بسمو الوزير'!$G$2:$G$151,$G394,'المرتبطة بسمو الوزير'!$I$2:$I$151,$I394,'المرتبطة بسمو الوزير'!$M$2:$M$151,"&lt;&gt;")+COUNTIFS('الشؤون التنفيذية'!$B$2:$B$421,$B394,'الشؤون التنفيذية'!$G$2:$G$421,$G394,'الشؤون التنفيذية'!$I$2:$I$421,$I394,'الشؤون التنفيذية'!$N$2:$N$421,"&lt;&gt;")+COUNTIFS('الجهاز العسكري'!$B$2:$B$631,$B394,'الجهاز العسكري'!$G$2:$G$631,$G394,'الجهاز العسكري'!$I$2:$I$631,$I394,'الجهاز العسكري'!$M$2:$M$631,"&lt;&gt;")</f>
        <v>3</v>
      </c>
      <c r="N394" s="24" t="n">
        <f aca="false">IF($L394=0,0,ROUND((SUMIFS('المرتبطة بسمو الوزير'!$M$2:$M$151,'المرتبطة بسمو الوزير'!$B$2:$B$151,$B394,'المرتبطة بسمو الوزير'!$G$2:$G$151,$G394,'المرتبطة بسمو الوزير'!$I$2:$I$151,$I394)+SUMIFS('الشؤون التنفيذية'!$N$2:$N$421,'الشؤون التنفيذية'!$B$2:$B$421,$B394,'الشؤون التنفيذية'!$G$2:$G$421,$G394,'الشؤون التنفيذية'!$I$2:$I$421,$I394)+SUMIFS('الجهاز العسكري'!$M$2:$M$631,'الجهاز العسكري'!$B$2:$B$631,$B394,'الجهاز العسكري'!$G$2:$G$631,$G394,'الجهاز العسكري'!$I$2:$I$631,$I394))/$L394,0))</f>
        <v>40</v>
      </c>
      <c r="O394" s="25" t="n">
        <f aca="false">IF($L394=0,0,ROUND((SUMIFS('المرتبطة بسمو الوزير'!$N$2:$N$151,'المرتبطة بسمو الوزير'!$B$2:$B$151,$B394,'المرتبطة بسمو الوزير'!$G$2:$G$151,$G394,'المرتبطة بسمو الوزير'!$I$2:$I$151,$I394)+SUMIFS('الشؤون التنفيذية'!$O$2:$O$421,'الشؤون التنفيذية'!$B$2:$B$421,$B394,'الشؤون التنفيذية'!$G$2:$G$421,$G394,'الشؤون التنفيذية'!$I$2:$I$421,$I394)+SUMIFS('الجهاز العسكري'!$N$2:$N$631,'الجهاز العسكري'!$B$2:$B$631,$B394,'الجهاز العسكري'!$G$2:$G$631,$G394,'الجهاز العسكري'!$I$2:$I$631,$I394))/$L394,0))</f>
        <v>80</v>
      </c>
      <c r="P394" s="22"/>
      <c r="Q394" s="19" t="n">
        <f aca="false">SUMIFS(المرجع!$G$2:$G$19,المرجع!$B$2:$B$19,$G394,المرجع!$E$2:$E$19,$I394)</f>
        <v>15</v>
      </c>
      <c r="R394" s="26" t="n">
        <f aca="false">ROUND($Q394*$N394/100,2)</f>
        <v>6</v>
      </c>
      <c r="S394" s="27" t="str">
        <f aca="false">IF($N394&gt;المرجع!$K$3,"متقدم",IF($N394&lt;=المرجع!$K$2,"أولي","جزئي"))</f>
        <v>جزئي</v>
      </c>
      <c r="T394" s="28" t="n">
        <f aca="false">ROUND($Q394*$O394/100,2)</f>
        <v>12</v>
      </c>
    </row>
    <row r="395" customFormat="false" ht="15" hidden="false" customHeight="true" outlineLevel="0" collapsed="false">
      <c r="A395" s="20" t="s">
        <v>1847</v>
      </c>
      <c r="B395" s="20" t="s">
        <v>200</v>
      </c>
      <c r="C395" s="19" t="str">
        <f aca="false">IFERROR(INDEX('قائمة الوحدات'!$B$2:$B$41,MATCH($B395,'قائمة الوحدات'!$A$2:$A$41,0)),"")</f>
        <v>MIL</v>
      </c>
      <c r="D395" s="18" t="str">
        <f aca="false">IFERROR(INDEX('قائمة الوحدات'!$C$2:$C$41,MATCH($B395,'قائمة الوحدات'!$A$2:$A$41,0)),"")</f>
        <v>الجهاز العسكري</v>
      </c>
      <c r="E395" s="18" t="str">
        <f aca="false">IFERROR(INDEX('قائمة الوحدات'!$D$2:$D$41,MATCH($B395,'قائمة الوحدات'!$A$2:$A$41,0)),"")</f>
        <v>قيادة القوات الجوية</v>
      </c>
      <c r="F395" s="18" t="str">
        <f aca="false">IFERROR(INDEX('قائمة الوحدات'!$F$2:$F$41,MATCH($B395,'قائمة الوحدات'!$A$2:$A$41,0)),"")</f>
        <v>قيادة القوات الجوية</v>
      </c>
      <c r="G395" s="20" t="s">
        <v>66</v>
      </c>
      <c r="H395" s="18" t="str">
        <f aca="false">IFERROR(INDEX(المرجع!$A$2:$A$19,MATCH($G395,المرجع!$B$2:$B$19,0)),"")</f>
        <v>التشغيل</v>
      </c>
      <c r="I395" s="20" t="s">
        <v>57</v>
      </c>
      <c r="J395" s="18" t="str">
        <f aca="false">IFERROR(INDEX(المرجع!$D$2:$D$19,MATCH($I395,المرجع!$E$2:$E$19,0)),"")</f>
        <v>الموارد</v>
      </c>
      <c r="K395" s="19" t="n">
        <f aca="false">IFERROR(INDEX(المرجع!$F$2:$F$19,MATCH($I395,المرجع!$E$2:$E$19,0)),"")</f>
        <v>5</v>
      </c>
      <c r="L395" s="19" t="n">
        <f aca="false">SUMIFS(المرجع!$H$2:$H$19,المرجع!$B$2:$B$19,$G395,المرجع!$E$2:$E$19,$I395)</f>
        <v>1</v>
      </c>
      <c r="M395" s="19" t="n">
        <f aca="false">COUNTIFS('المرتبطة بسمو الوزير'!$B$2:$B$151,$B395,'المرتبطة بسمو الوزير'!$G$2:$G$151,$G395,'المرتبطة بسمو الوزير'!$I$2:$I$151,$I395,'المرتبطة بسمو الوزير'!$M$2:$M$151,"&lt;&gt;")+COUNTIFS('الشؤون التنفيذية'!$B$2:$B$421,$B395,'الشؤون التنفيذية'!$G$2:$G$421,$G395,'الشؤون التنفيذية'!$I$2:$I$421,$I395,'الشؤون التنفيذية'!$N$2:$N$421,"&lt;&gt;")+COUNTIFS('الجهاز العسكري'!$B$2:$B$631,$B395,'الجهاز العسكري'!$G$2:$G$631,$G395,'الجهاز العسكري'!$I$2:$I$631,$I395,'الجهاز العسكري'!$M$2:$M$631,"&lt;&gt;")</f>
        <v>1</v>
      </c>
      <c r="N395" s="24" t="n">
        <f aca="false">IF($L395=0,0,ROUND((SUMIFS('المرتبطة بسمو الوزير'!$M$2:$M$151,'المرتبطة بسمو الوزير'!$B$2:$B$151,$B395,'المرتبطة بسمو الوزير'!$G$2:$G$151,$G395,'المرتبطة بسمو الوزير'!$I$2:$I$151,$I395)+SUMIFS('الشؤون التنفيذية'!$N$2:$N$421,'الشؤون التنفيذية'!$B$2:$B$421,$B395,'الشؤون التنفيذية'!$G$2:$G$421,$G395,'الشؤون التنفيذية'!$I$2:$I$421,$I395)+SUMIFS('الجهاز العسكري'!$M$2:$M$631,'الجهاز العسكري'!$B$2:$B$631,$B395,'الجهاز العسكري'!$G$2:$G$631,$G395,'الجهاز العسكري'!$I$2:$I$631,$I395))/$L395,0))</f>
        <v>54</v>
      </c>
      <c r="O395" s="25" t="n">
        <f aca="false">IF($L395=0,0,ROUND((SUMIFS('المرتبطة بسمو الوزير'!$N$2:$N$151,'المرتبطة بسمو الوزير'!$B$2:$B$151,$B395,'المرتبطة بسمو الوزير'!$G$2:$G$151,$G395,'المرتبطة بسمو الوزير'!$I$2:$I$151,$I395)+SUMIFS('الشؤون التنفيذية'!$O$2:$O$421,'الشؤون التنفيذية'!$B$2:$B$421,$B395,'الشؤون التنفيذية'!$G$2:$G$421,$G395,'الشؤون التنفيذية'!$I$2:$I$421,$I395)+SUMIFS('الجهاز العسكري'!$N$2:$N$631,'الجهاز العسكري'!$B$2:$B$631,$B395,'الجهاز العسكري'!$G$2:$G$631,$G395,'الجهاز العسكري'!$I$2:$I$631,$I395))/$L395,0))</f>
        <v>100</v>
      </c>
      <c r="P395" s="22"/>
      <c r="Q395" s="19" t="n">
        <f aca="false">SUMIFS(المرجع!$G$2:$G$19,المرجع!$B$2:$B$19,$G395,المرجع!$E$2:$E$19,$I395)</f>
        <v>15</v>
      </c>
      <c r="R395" s="26" t="n">
        <f aca="false">ROUND($Q395*$N395/100,2)</f>
        <v>8.1</v>
      </c>
      <c r="S395" s="27" t="str">
        <f aca="false">IF($N395&gt;المرجع!$K$3,"متقدم",IF($N395&lt;=المرجع!$K$2,"أولي","جزئي"))</f>
        <v>جزئي</v>
      </c>
      <c r="T395" s="28" t="n">
        <f aca="false">ROUND($Q395*$O395/100,2)</f>
        <v>15</v>
      </c>
    </row>
    <row r="396" customFormat="false" ht="15" hidden="false" customHeight="true" outlineLevel="0" collapsed="false">
      <c r="A396" s="20" t="s">
        <v>1848</v>
      </c>
      <c r="B396" s="20" t="s">
        <v>200</v>
      </c>
      <c r="C396" s="19" t="str">
        <f aca="false">IFERROR(INDEX('قائمة الوحدات'!$B$2:$B$41,MATCH($B396,'قائمة الوحدات'!$A$2:$A$41,0)),"")</f>
        <v>MIL</v>
      </c>
      <c r="D396" s="18" t="str">
        <f aca="false">IFERROR(INDEX('قائمة الوحدات'!$C$2:$C$41,MATCH($B396,'قائمة الوحدات'!$A$2:$A$41,0)),"")</f>
        <v>الجهاز العسكري</v>
      </c>
      <c r="E396" s="18" t="str">
        <f aca="false">IFERROR(INDEX('قائمة الوحدات'!$D$2:$D$41,MATCH($B396,'قائمة الوحدات'!$A$2:$A$41,0)),"")</f>
        <v>قيادة القوات الجوية</v>
      </c>
      <c r="F396" s="18" t="str">
        <f aca="false">IFERROR(INDEX('قائمة الوحدات'!$F$2:$F$41,MATCH($B396,'قائمة الوحدات'!$A$2:$A$41,0)),"")</f>
        <v>قيادة القوات الجوية</v>
      </c>
      <c r="G396" s="20" t="s">
        <v>66</v>
      </c>
      <c r="H396" s="18" t="str">
        <f aca="false">IFERROR(INDEX(المرجع!$A$2:$A$19,MATCH($G396,المرجع!$B$2:$B$19,0)),"")</f>
        <v>التشغيل</v>
      </c>
      <c r="I396" s="20" t="s">
        <v>60</v>
      </c>
      <c r="J396" s="18" t="str">
        <f aca="false">IFERROR(INDEX(المرجع!$D$2:$D$19,MATCH($I396,المرجع!$E$2:$E$19,0)),"")</f>
        <v>الإجراءات</v>
      </c>
      <c r="K396" s="19" t="n">
        <f aca="false">IFERROR(INDEX(المرجع!$F$2:$F$19,MATCH($I396,المرجع!$E$2:$E$19,0)),"")</f>
        <v>6</v>
      </c>
      <c r="L396" s="19" t="n">
        <f aca="false">SUMIFS(المرجع!$H$2:$H$19,المرجع!$B$2:$B$19,$G396,المرجع!$E$2:$E$19,$I396)</f>
        <v>1</v>
      </c>
      <c r="M396" s="19" t="n">
        <f aca="false">COUNTIFS('المرتبطة بسمو الوزير'!$B$2:$B$151,$B396,'المرتبطة بسمو الوزير'!$G$2:$G$151,$G396,'المرتبطة بسمو الوزير'!$I$2:$I$151,$I396,'المرتبطة بسمو الوزير'!$M$2:$M$151,"&lt;&gt;")+COUNTIFS('الشؤون التنفيذية'!$B$2:$B$421,$B396,'الشؤون التنفيذية'!$G$2:$G$421,$G396,'الشؤون التنفيذية'!$I$2:$I$421,$I396,'الشؤون التنفيذية'!$N$2:$N$421,"&lt;&gt;")+COUNTIFS('الجهاز العسكري'!$B$2:$B$631,$B396,'الجهاز العسكري'!$G$2:$G$631,$G396,'الجهاز العسكري'!$I$2:$I$631,$I396,'الجهاز العسكري'!$M$2:$M$631,"&lt;&gt;")</f>
        <v>1</v>
      </c>
      <c r="N396" s="24" t="n">
        <f aca="false">IF($L396=0,0,ROUND((SUMIFS('المرتبطة بسمو الوزير'!$M$2:$M$151,'المرتبطة بسمو الوزير'!$B$2:$B$151,$B396,'المرتبطة بسمو الوزير'!$G$2:$G$151,$G396,'المرتبطة بسمو الوزير'!$I$2:$I$151,$I396)+SUMIFS('الشؤون التنفيذية'!$N$2:$N$421,'الشؤون التنفيذية'!$B$2:$B$421,$B396,'الشؤون التنفيذية'!$G$2:$G$421,$G396,'الشؤون التنفيذية'!$I$2:$I$421,$I396)+SUMIFS('الجهاز العسكري'!$M$2:$M$631,'الجهاز العسكري'!$B$2:$B$631,$B396,'الجهاز العسكري'!$G$2:$G$631,$G396,'الجهاز العسكري'!$I$2:$I$631,$I396))/$L396,0))</f>
        <v>56</v>
      </c>
      <c r="O396" s="25" t="n">
        <f aca="false">IF($L396=0,0,ROUND((SUMIFS('المرتبطة بسمو الوزير'!$N$2:$N$151,'المرتبطة بسمو الوزير'!$B$2:$B$151,$B396,'المرتبطة بسمو الوزير'!$G$2:$G$151,$G396,'المرتبطة بسمو الوزير'!$I$2:$I$151,$I396)+SUMIFS('الشؤون التنفيذية'!$O$2:$O$421,'الشؤون التنفيذية'!$B$2:$B$421,$B396,'الشؤون التنفيذية'!$G$2:$G$421,$G396,'الشؤون التنفيذية'!$I$2:$I$421,$I396)+SUMIFS('الجهاز العسكري'!$N$2:$N$631,'الجهاز العسكري'!$B$2:$B$631,$B396,'الجهاز العسكري'!$G$2:$G$631,$G396,'الجهاز العسكري'!$I$2:$I$631,$I396))/$L396,0))</f>
        <v>100</v>
      </c>
      <c r="P396" s="22"/>
      <c r="Q396" s="19" t="n">
        <f aca="false">SUMIFS(المرجع!$G$2:$G$19,المرجع!$B$2:$B$19,$G396,المرجع!$E$2:$E$19,$I396)</f>
        <v>15</v>
      </c>
      <c r="R396" s="26" t="n">
        <f aca="false">ROUND($Q396*$N396/100,2)</f>
        <v>8.4</v>
      </c>
      <c r="S396" s="27" t="str">
        <f aca="false">IF($N396&gt;المرجع!$K$3,"متقدم",IF($N396&lt;=المرجع!$K$2,"أولي","جزئي"))</f>
        <v>جزئي</v>
      </c>
      <c r="T396" s="28" t="n">
        <f aca="false">ROUND($Q396*$O396/100,2)</f>
        <v>15</v>
      </c>
    </row>
    <row r="397" customFormat="false" ht="15" hidden="false" customHeight="true" outlineLevel="0" collapsed="false">
      <c r="A397" s="20" t="s">
        <v>1849</v>
      </c>
      <c r="B397" s="20" t="s">
        <v>200</v>
      </c>
      <c r="C397" s="19" t="str">
        <f aca="false">IFERROR(INDEX('قائمة الوحدات'!$B$2:$B$41,MATCH($B397,'قائمة الوحدات'!$A$2:$A$41,0)),"")</f>
        <v>MIL</v>
      </c>
      <c r="D397" s="18" t="str">
        <f aca="false">IFERROR(INDEX('قائمة الوحدات'!$C$2:$C$41,MATCH($B397,'قائمة الوحدات'!$A$2:$A$41,0)),"")</f>
        <v>الجهاز العسكري</v>
      </c>
      <c r="E397" s="18" t="str">
        <f aca="false">IFERROR(INDEX('قائمة الوحدات'!$D$2:$D$41,MATCH($B397,'قائمة الوحدات'!$A$2:$A$41,0)),"")</f>
        <v>قيادة القوات الجوية</v>
      </c>
      <c r="F397" s="18" t="str">
        <f aca="false">IFERROR(INDEX('قائمة الوحدات'!$F$2:$F$41,MATCH($B397,'قائمة الوحدات'!$A$2:$A$41,0)),"")</f>
        <v>قيادة القوات الجوية</v>
      </c>
      <c r="G397" s="20" t="s">
        <v>66</v>
      </c>
      <c r="H397" s="18" t="str">
        <f aca="false">IFERROR(INDEX(المرجع!$A$2:$A$19,MATCH($G397,المرجع!$B$2:$B$19,0)),"")</f>
        <v>التشغيل</v>
      </c>
      <c r="I397" s="20" t="s">
        <v>71</v>
      </c>
      <c r="J397" s="18" t="str">
        <f aca="false">IFERROR(INDEX(المرجع!$D$2:$D$19,MATCH($I397,المرجع!$E$2:$E$19,0)),"")</f>
        <v>اكتمال المخرجات المستهدفة</v>
      </c>
      <c r="K397" s="19" t="n">
        <f aca="false">IFERROR(INDEX(المرجع!$F$2:$F$19,MATCH($I397,المرجع!$E$2:$E$19,0)),"")</f>
        <v>8</v>
      </c>
      <c r="L397" s="19" t="n">
        <f aca="false">SUMIFS(المرجع!$H$2:$H$19,المرجع!$B$2:$B$19,$G397,المرجع!$E$2:$E$19,$I397)</f>
        <v>1</v>
      </c>
      <c r="M397" s="19" t="n">
        <f aca="false">COUNTIFS('المرتبطة بسمو الوزير'!$B$2:$B$151,$B397,'المرتبطة بسمو الوزير'!$G$2:$G$151,$G397,'المرتبطة بسمو الوزير'!$I$2:$I$151,$I397,'المرتبطة بسمو الوزير'!$M$2:$M$151,"&lt;&gt;")+COUNTIFS('الشؤون التنفيذية'!$B$2:$B$421,$B397,'الشؤون التنفيذية'!$G$2:$G$421,$G397,'الشؤون التنفيذية'!$I$2:$I$421,$I397,'الشؤون التنفيذية'!$N$2:$N$421,"&lt;&gt;")+COUNTIFS('الجهاز العسكري'!$B$2:$B$631,$B397,'الجهاز العسكري'!$G$2:$G$631,$G397,'الجهاز العسكري'!$I$2:$I$631,$I397,'الجهاز العسكري'!$M$2:$M$631,"&lt;&gt;")</f>
        <v>1</v>
      </c>
      <c r="N397" s="24" t="n">
        <f aca="false">IF($L397=0,0,ROUND((SUMIFS('المرتبطة بسمو الوزير'!$M$2:$M$151,'المرتبطة بسمو الوزير'!$B$2:$B$151,$B397,'المرتبطة بسمو الوزير'!$G$2:$G$151,$G397,'المرتبطة بسمو الوزير'!$I$2:$I$151,$I397)+SUMIFS('الشؤون التنفيذية'!$N$2:$N$421,'الشؤون التنفيذية'!$B$2:$B$421,$B397,'الشؤون التنفيذية'!$G$2:$G$421,$G397,'الشؤون التنفيذية'!$I$2:$I$421,$I397)+SUMIFS('الجهاز العسكري'!$M$2:$M$631,'الجهاز العسكري'!$B$2:$B$631,$B397,'الجهاز العسكري'!$G$2:$G$631,$G397,'الجهاز العسكري'!$I$2:$I$631,$I397))/$L397,0))</f>
        <v>54</v>
      </c>
      <c r="O397" s="25" t="n">
        <f aca="false">IF($L397=0,0,ROUND((SUMIFS('المرتبطة بسمو الوزير'!$N$2:$N$151,'المرتبطة بسمو الوزير'!$B$2:$B$151,$B397,'المرتبطة بسمو الوزير'!$G$2:$G$151,$G397,'المرتبطة بسمو الوزير'!$I$2:$I$151,$I397)+SUMIFS('الشؤون التنفيذية'!$O$2:$O$421,'الشؤون التنفيذية'!$B$2:$B$421,$B397,'الشؤون التنفيذية'!$G$2:$G$421,$G397,'الشؤون التنفيذية'!$I$2:$I$421,$I397)+SUMIFS('الجهاز العسكري'!$N$2:$N$631,'الجهاز العسكري'!$B$2:$B$631,$B397,'الجهاز العسكري'!$G$2:$G$631,$G397,'الجهاز العسكري'!$I$2:$I$631,$I397))/$L397,0))</f>
        <v>100</v>
      </c>
      <c r="P397" s="22"/>
      <c r="Q397" s="19" t="n">
        <f aca="false">SUMIFS(المرجع!$G$2:$G$19,المرجع!$B$2:$B$19,$G397,المرجع!$E$2:$E$19,$I397)</f>
        <v>30</v>
      </c>
      <c r="R397" s="26" t="n">
        <f aca="false">ROUND($Q397*$N397/100,2)</f>
        <v>16.2</v>
      </c>
      <c r="S397" s="27" t="str">
        <f aca="false">IF($N397&gt;المرجع!$K$3,"متقدم",IF($N397&lt;=المرجع!$K$2,"أولي","جزئي"))</f>
        <v>جزئي</v>
      </c>
      <c r="T397" s="28" t="n">
        <f aca="false">ROUND($Q397*$O397/100,2)</f>
        <v>30</v>
      </c>
    </row>
    <row r="398" customFormat="false" ht="15" hidden="false" customHeight="true" outlineLevel="0" collapsed="false">
      <c r="A398" s="20" t="s">
        <v>1850</v>
      </c>
      <c r="B398" s="20" t="s">
        <v>202</v>
      </c>
      <c r="C398" s="19" t="str">
        <f aca="false">IFERROR(INDEX('قائمة الوحدات'!$B$2:$B$41,MATCH($B398,'قائمة الوحدات'!$A$2:$A$41,0)),"")</f>
        <v>MIL</v>
      </c>
      <c r="D398" s="18" t="str">
        <f aca="false">IFERROR(INDEX('قائمة الوحدات'!$C$2:$C$41,MATCH($B398,'قائمة الوحدات'!$A$2:$A$41,0)),"")</f>
        <v>الجهاز العسكري</v>
      </c>
      <c r="E398" s="18" t="str">
        <f aca="false">IFERROR(INDEX('قائمة الوحدات'!$D$2:$D$41,MATCH($B398,'قائمة الوحدات'!$A$2:$A$41,0)),"")</f>
        <v>قيادة القوات البحرية</v>
      </c>
      <c r="F398" s="18" t="str">
        <f aca="false">IFERROR(INDEX('قائمة الوحدات'!$F$2:$F$41,MATCH($B398,'قائمة الوحدات'!$A$2:$A$41,0)),"")</f>
        <v>قيادة القوات البحرية</v>
      </c>
      <c r="G398" s="20" t="s">
        <v>44</v>
      </c>
      <c r="H398" s="18" t="str">
        <f aca="false">IFERROR(INDEX(المرجع!$A$2:$A$19,MATCH($G398,المرجع!$B$2:$B$19,0)),"")</f>
        <v>التصميم</v>
      </c>
      <c r="I398" s="20" t="s">
        <v>46</v>
      </c>
      <c r="J398" s="18" t="str">
        <f aca="false">IFERROR(INDEX(المرجع!$D$2:$D$19,MATCH($I398,المرجع!$E$2:$E$19,0)),"")</f>
        <v>الدور</v>
      </c>
      <c r="K398" s="19" t="n">
        <f aca="false">IFERROR(INDEX(المرجع!$F$2:$F$19,MATCH($I398,المرجع!$E$2:$E$19,0)),"")</f>
        <v>1</v>
      </c>
      <c r="L398" s="19" t="n">
        <f aca="false">SUMIFS(المرجع!$H$2:$H$19,المرجع!$B$2:$B$19,$G398,المرجع!$E$2:$E$19,$I398)</f>
        <v>1</v>
      </c>
      <c r="M398" s="19" t="n">
        <f aca="false">COUNTIFS('المرتبطة بسمو الوزير'!$B$2:$B$151,$B398,'المرتبطة بسمو الوزير'!$G$2:$G$151,$G398,'المرتبطة بسمو الوزير'!$I$2:$I$151,$I398,'المرتبطة بسمو الوزير'!$M$2:$M$151,"&lt;&gt;")+COUNTIFS('الشؤون التنفيذية'!$B$2:$B$421,$B398,'الشؤون التنفيذية'!$G$2:$G$421,$G398,'الشؤون التنفيذية'!$I$2:$I$421,$I398,'الشؤون التنفيذية'!$N$2:$N$421,"&lt;&gt;")+COUNTIFS('الجهاز العسكري'!$B$2:$B$631,$B398,'الجهاز العسكري'!$G$2:$G$631,$G398,'الجهاز العسكري'!$I$2:$I$631,$I398,'الجهاز العسكري'!$M$2:$M$631,"&lt;&gt;")</f>
        <v>1</v>
      </c>
      <c r="N398" s="24" t="n">
        <f aca="false">IF($L398=0,0,ROUND((SUMIFS('المرتبطة بسمو الوزير'!$M$2:$M$151,'المرتبطة بسمو الوزير'!$B$2:$B$151,$B398,'المرتبطة بسمو الوزير'!$G$2:$G$151,$G398,'المرتبطة بسمو الوزير'!$I$2:$I$151,$I398)+SUMIFS('الشؤون التنفيذية'!$N$2:$N$421,'الشؤون التنفيذية'!$B$2:$B$421,$B398,'الشؤون التنفيذية'!$G$2:$G$421,$G398,'الشؤون التنفيذية'!$I$2:$I$421,$I398)+SUMIFS('الجهاز العسكري'!$M$2:$M$631,'الجهاز العسكري'!$B$2:$B$631,$B398,'الجهاز العسكري'!$G$2:$G$631,$G398,'الجهاز العسكري'!$I$2:$I$631,$I398))/$L398,0))</f>
        <v>80</v>
      </c>
      <c r="O398" s="25" t="n">
        <f aca="false">IF($L398=0,0,ROUND((SUMIFS('المرتبطة بسمو الوزير'!$N$2:$N$151,'المرتبطة بسمو الوزير'!$B$2:$B$151,$B398,'المرتبطة بسمو الوزير'!$G$2:$G$151,$G398,'المرتبطة بسمو الوزير'!$I$2:$I$151,$I398)+SUMIFS('الشؤون التنفيذية'!$O$2:$O$421,'الشؤون التنفيذية'!$B$2:$B$421,$B398,'الشؤون التنفيذية'!$G$2:$G$421,$G398,'الشؤون التنفيذية'!$I$2:$I$421,$I398)+SUMIFS('الجهاز العسكري'!$N$2:$N$631,'الجهاز العسكري'!$B$2:$B$631,$B398,'الجهاز العسكري'!$G$2:$G$631,$G398,'الجهاز العسكري'!$I$2:$I$631,$I398))/$L398,0))</f>
        <v>85</v>
      </c>
      <c r="P398" s="22"/>
      <c r="Q398" s="19" t="n">
        <f aca="false">SUMIFS(المرجع!$G$2:$G$19,المرجع!$B$2:$B$19,$G398,المرجع!$E$2:$E$19,$I398)</f>
        <v>25</v>
      </c>
      <c r="R398" s="26" t="n">
        <f aca="false">ROUND($Q398*$N398/100,2)</f>
        <v>20</v>
      </c>
      <c r="S398" s="27" t="str">
        <f aca="false">IF($N398&gt;المرجع!$K$3,"متقدم",IF($N398&lt;=المرجع!$K$2,"أولي","جزئي"))</f>
        <v>متقدم</v>
      </c>
      <c r="T398" s="28" t="n">
        <f aca="false">ROUND($Q398*$O398/100,2)</f>
        <v>21.25</v>
      </c>
    </row>
    <row r="399" customFormat="false" ht="15" hidden="false" customHeight="true" outlineLevel="0" collapsed="false">
      <c r="A399" s="20" t="s">
        <v>1851</v>
      </c>
      <c r="B399" s="20" t="s">
        <v>202</v>
      </c>
      <c r="C399" s="19" t="str">
        <f aca="false">IFERROR(INDEX('قائمة الوحدات'!$B$2:$B$41,MATCH($B399,'قائمة الوحدات'!$A$2:$A$41,0)),"")</f>
        <v>MIL</v>
      </c>
      <c r="D399" s="18" t="str">
        <f aca="false">IFERROR(INDEX('قائمة الوحدات'!$C$2:$C$41,MATCH($B399,'قائمة الوحدات'!$A$2:$A$41,0)),"")</f>
        <v>الجهاز العسكري</v>
      </c>
      <c r="E399" s="18" t="str">
        <f aca="false">IFERROR(INDEX('قائمة الوحدات'!$D$2:$D$41,MATCH($B399,'قائمة الوحدات'!$A$2:$A$41,0)),"")</f>
        <v>قيادة القوات البحرية</v>
      </c>
      <c r="F399" s="18" t="str">
        <f aca="false">IFERROR(INDEX('قائمة الوحدات'!$F$2:$F$41,MATCH($B399,'قائمة الوحدات'!$A$2:$A$41,0)),"")</f>
        <v>قيادة القوات البحرية</v>
      </c>
      <c r="G399" s="20" t="s">
        <v>44</v>
      </c>
      <c r="H399" s="18" t="str">
        <f aca="false">IFERROR(INDEX(المرجع!$A$2:$A$19,MATCH($G399,المرجع!$B$2:$B$19,0)),"")</f>
        <v>التصميم</v>
      </c>
      <c r="I399" s="20" t="s">
        <v>49</v>
      </c>
      <c r="J399" s="18" t="str">
        <f aca="false">IFERROR(INDEX(المرجع!$D$2:$D$19,MATCH($I399,المرجع!$E$2:$E$19,0)),"")</f>
        <v>الأهداف ومؤشرات الأداء</v>
      </c>
      <c r="K399" s="19" t="n">
        <f aca="false">IFERROR(INDEX(المرجع!$F$2:$F$19,MATCH($I399,المرجع!$E$2:$E$19,0)),"")</f>
        <v>2</v>
      </c>
      <c r="L399" s="19" t="n">
        <f aca="false">SUMIFS(المرجع!$H$2:$H$19,المرجع!$B$2:$B$19,$G399,المرجع!$E$2:$E$19,$I399)</f>
        <v>2</v>
      </c>
      <c r="M399" s="19" t="n">
        <f aca="false">COUNTIFS('المرتبطة بسمو الوزير'!$B$2:$B$151,$B399,'المرتبطة بسمو الوزير'!$G$2:$G$151,$G399,'المرتبطة بسمو الوزير'!$I$2:$I$151,$I399,'المرتبطة بسمو الوزير'!$M$2:$M$151,"&lt;&gt;")+COUNTIFS('الشؤون التنفيذية'!$B$2:$B$421,$B399,'الشؤون التنفيذية'!$G$2:$G$421,$G399,'الشؤون التنفيذية'!$I$2:$I$421,$I399,'الشؤون التنفيذية'!$N$2:$N$421,"&lt;&gt;")+COUNTIFS('الجهاز العسكري'!$B$2:$B$631,$B399,'الجهاز العسكري'!$G$2:$G$631,$G399,'الجهاز العسكري'!$I$2:$I$631,$I399,'الجهاز العسكري'!$M$2:$M$631,"&lt;&gt;")</f>
        <v>2</v>
      </c>
      <c r="N399" s="24" t="n">
        <f aca="false">IF($L399=0,0,ROUND((SUMIFS('المرتبطة بسمو الوزير'!$M$2:$M$151,'المرتبطة بسمو الوزير'!$B$2:$B$151,$B399,'المرتبطة بسمو الوزير'!$G$2:$G$151,$G399,'المرتبطة بسمو الوزير'!$I$2:$I$151,$I399)+SUMIFS('الشؤون التنفيذية'!$N$2:$N$421,'الشؤون التنفيذية'!$B$2:$B$421,$B399,'الشؤون التنفيذية'!$G$2:$G$421,$G399,'الشؤون التنفيذية'!$I$2:$I$421,$I399)+SUMIFS('الجهاز العسكري'!$M$2:$M$631,'الجهاز العسكري'!$B$2:$B$631,$B399,'الجهاز العسكري'!$G$2:$G$631,$G399,'الجهاز العسكري'!$I$2:$I$631,$I399))/$L399,0))</f>
        <v>80</v>
      </c>
      <c r="O399" s="25" t="n">
        <f aca="false">IF($L399=0,0,ROUND((SUMIFS('المرتبطة بسمو الوزير'!$N$2:$N$151,'المرتبطة بسمو الوزير'!$B$2:$B$151,$B399,'المرتبطة بسمو الوزير'!$G$2:$G$151,$G399,'المرتبطة بسمو الوزير'!$I$2:$I$151,$I399)+SUMIFS('الشؤون التنفيذية'!$O$2:$O$421,'الشؤون التنفيذية'!$B$2:$B$421,$B399,'الشؤون التنفيذية'!$G$2:$G$421,$G399,'الشؤون التنفيذية'!$I$2:$I$421,$I399)+SUMIFS('الجهاز العسكري'!$N$2:$N$631,'الجهاز العسكري'!$B$2:$B$631,$B399,'الجهاز العسكري'!$G$2:$G$631,$G399,'الجهاز العسكري'!$I$2:$I$631,$I399))/$L399,0))</f>
        <v>98</v>
      </c>
      <c r="P399" s="22"/>
      <c r="Q399" s="19" t="n">
        <f aca="false">SUMIFS(المرجع!$G$2:$G$19,المرجع!$B$2:$B$19,$G399,المرجع!$E$2:$E$19,$I399)</f>
        <v>15</v>
      </c>
      <c r="R399" s="26" t="n">
        <f aca="false">ROUND($Q399*$N399/100,2)</f>
        <v>12</v>
      </c>
      <c r="S399" s="27" t="str">
        <f aca="false">IF($N399&gt;المرجع!$K$3,"متقدم",IF($N399&lt;=المرجع!$K$2,"أولي","جزئي"))</f>
        <v>متقدم</v>
      </c>
      <c r="T399" s="28" t="n">
        <f aca="false">ROUND($Q399*$O399/100,2)</f>
        <v>14.7</v>
      </c>
    </row>
    <row r="400" customFormat="false" ht="15" hidden="false" customHeight="true" outlineLevel="0" collapsed="false">
      <c r="A400" s="20" t="s">
        <v>1852</v>
      </c>
      <c r="B400" s="20" t="s">
        <v>202</v>
      </c>
      <c r="C400" s="19" t="str">
        <f aca="false">IFERROR(INDEX('قائمة الوحدات'!$B$2:$B$41,MATCH($B400,'قائمة الوحدات'!$A$2:$A$41,0)),"")</f>
        <v>MIL</v>
      </c>
      <c r="D400" s="18" t="str">
        <f aca="false">IFERROR(INDEX('قائمة الوحدات'!$C$2:$C$41,MATCH($B400,'قائمة الوحدات'!$A$2:$A$41,0)),"")</f>
        <v>الجهاز العسكري</v>
      </c>
      <c r="E400" s="18" t="str">
        <f aca="false">IFERROR(INDEX('قائمة الوحدات'!$D$2:$D$41,MATCH($B400,'قائمة الوحدات'!$A$2:$A$41,0)),"")</f>
        <v>قيادة القوات البحرية</v>
      </c>
      <c r="F400" s="18" t="str">
        <f aca="false">IFERROR(INDEX('قائمة الوحدات'!$F$2:$F$41,MATCH($B400,'قائمة الوحدات'!$A$2:$A$41,0)),"")</f>
        <v>قيادة القوات البحرية</v>
      </c>
      <c r="G400" s="20" t="s">
        <v>44</v>
      </c>
      <c r="H400" s="18" t="str">
        <f aca="false">IFERROR(INDEX(المرجع!$A$2:$A$19,MATCH($G400,المرجع!$B$2:$B$19,0)),"")</f>
        <v>التصميم</v>
      </c>
      <c r="I400" s="20" t="s">
        <v>52</v>
      </c>
      <c r="J400" s="18" t="str">
        <f aca="false">IFERROR(INDEX(المرجع!$D$2:$D$19,MATCH($I400,المرجع!$E$2:$E$19,0)),"")</f>
        <v>الحوكمة</v>
      </c>
      <c r="K400" s="19" t="n">
        <f aca="false">IFERROR(INDEX(المرجع!$F$2:$F$19,MATCH($I400,المرجع!$E$2:$E$19,0)),"")</f>
        <v>3</v>
      </c>
      <c r="L400" s="19" t="n">
        <f aca="false">SUMIFS(المرجع!$H$2:$H$19,المرجع!$B$2:$B$19,$G400,المرجع!$E$2:$E$19,$I400)</f>
        <v>1</v>
      </c>
      <c r="M400" s="19" t="n">
        <f aca="false">COUNTIFS('المرتبطة بسمو الوزير'!$B$2:$B$151,$B400,'المرتبطة بسمو الوزير'!$G$2:$G$151,$G400,'المرتبطة بسمو الوزير'!$I$2:$I$151,$I400,'المرتبطة بسمو الوزير'!$M$2:$M$151,"&lt;&gt;")+COUNTIFS('الشؤون التنفيذية'!$B$2:$B$421,$B400,'الشؤون التنفيذية'!$G$2:$G$421,$G400,'الشؤون التنفيذية'!$I$2:$I$421,$I400,'الشؤون التنفيذية'!$N$2:$N$421,"&lt;&gt;")+COUNTIFS('الجهاز العسكري'!$B$2:$B$631,$B400,'الجهاز العسكري'!$G$2:$G$631,$G400,'الجهاز العسكري'!$I$2:$I$631,$I400,'الجهاز العسكري'!$M$2:$M$631,"&lt;&gt;")</f>
        <v>1</v>
      </c>
      <c r="N400" s="24" t="n">
        <f aca="false">IF($L400=0,0,ROUND((SUMIFS('المرتبطة بسمو الوزير'!$M$2:$M$151,'المرتبطة بسمو الوزير'!$B$2:$B$151,$B400,'المرتبطة بسمو الوزير'!$G$2:$G$151,$G400,'المرتبطة بسمو الوزير'!$I$2:$I$151,$I400)+SUMIFS('الشؤون التنفيذية'!$N$2:$N$421,'الشؤون التنفيذية'!$B$2:$B$421,$B400,'الشؤون التنفيذية'!$G$2:$G$421,$G400,'الشؤون التنفيذية'!$I$2:$I$421,$I400)+SUMIFS('الجهاز العسكري'!$M$2:$M$631,'الجهاز العسكري'!$B$2:$B$631,$B400,'الجهاز العسكري'!$G$2:$G$631,$G400,'الجهاز العسكري'!$I$2:$I$631,$I400))/$L400,0))</f>
        <v>86</v>
      </c>
      <c r="O400" s="25" t="n">
        <f aca="false">IF($L400=0,0,ROUND((SUMIFS('المرتبطة بسمو الوزير'!$N$2:$N$151,'المرتبطة بسمو الوزير'!$B$2:$B$151,$B400,'المرتبطة بسمو الوزير'!$G$2:$G$151,$G400,'المرتبطة بسمو الوزير'!$I$2:$I$151,$I400)+SUMIFS('الشؤون التنفيذية'!$O$2:$O$421,'الشؤون التنفيذية'!$B$2:$B$421,$B400,'الشؤون التنفيذية'!$G$2:$G$421,$G400,'الشؤون التنفيذية'!$I$2:$I$421,$I400)+SUMIFS('الجهاز العسكري'!$N$2:$N$631,'الجهاز العسكري'!$B$2:$B$631,$B400,'الجهاز العسكري'!$G$2:$G$631,$G400,'الجهاز العسكري'!$I$2:$I$631,$I400))/$L400,0))</f>
        <v>86</v>
      </c>
      <c r="P400" s="22"/>
      <c r="Q400" s="19" t="n">
        <f aca="false">SUMIFS(المرجع!$G$2:$G$19,المرجع!$B$2:$B$19,$G400,المرجع!$E$2:$E$19,$I400)</f>
        <v>15</v>
      </c>
      <c r="R400" s="26" t="n">
        <f aca="false">ROUND($Q400*$N400/100,2)</f>
        <v>12.9</v>
      </c>
      <c r="S400" s="27" t="str">
        <f aca="false">IF($N400&gt;المرجع!$K$3,"متقدم",IF($N400&lt;=المرجع!$K$2,"أولي","جزئي"))</f>
        <v>متقدم</v>
      </c>
      <c r="T400" s="28" t="n">
        <f aca="false">ROUND($Q400*$O400/100,2)</f>
        <v>12.9</v>
      </c>
    </row>
    <row r="401" customFormat="false" ht="15" hidden="false" customHeight="true" outlineLevel="0" collapsed="false">
      <c r="A401" s="20" t="s">
        <v>1853</v>
      </c>
      <c r="B401" s="20" t="s">
        <v>202</v>
      </c>
      <c r="C401" s="19" t="str">
        <f aca="false">IFERROR(INDEX('قائمة الوحدات'!$B$2:$B$41,MATCH($B401,'قائمة الوحدات'!$A$2:$A$41,0)),"")</f>
        <v>MIL</v>
      </c>
      <c r="D401" s="18" t="str">
        <f aca="false">IFERROR(INDEX('قائمة الوحدات'!$C$2:$C$41,MATCH($B401,'قائمة الوحدات'!$A$2:$A$41,0)),"")</f>
        <v>الجهاز العسكري</v>
      </c>
      <c r="E401" s="18" t="str">
        <f aca="false">IFERROR(INDEX('قائمة الوحدات'!$D$2:$D$41,MATCH($B401,'قائمة الوحدات'!$A$2:$A$41,0)),"")</f>
        <v>قيادة القوات البحرية</v>
      </c>
      <c r="F401" s="18" t="str">
        <f aca="false">IFERROR(INDEX('قائمة الوحدات'!$F$2:$F$41,MATCH($B401,'قائمة الوحدات'!$A$2:$A$41,0)),"")</f>
        <v>قيادة القوات البحرية</v>
      </c>
      <c r="G401" s="20" t="s">
        <v>44</v>
      </c>
      <c r="H401" s="18" t="str">
        <f aca="false">IFERROR(INDEX(المرجع!$A$2:$A$19,MATCH($G401,المرجع!$B$2:$B$19,0)),"")</f>
        <v>التصميم</v>
      </c>
      <c r="I401" s="20" t="s">
        <v>55</v>
      </c>
      <c r="J401" s="18" t="str">
        <f aca="false">IFERROR(INDEX(المرجع!$D$2:$D$19,MATCH($I401,المرجع!$E$2:$E$19,0)),"")</f>
        <v>التنظيم</v>
      </c>
      <c r="K401" s="19" t="n">
        <f aca="false">IFERROR(INDEX(المرجع!$F$2:$F$19,MATCH($I401,المرجع!$E$2:$E$19,0)),"")</f>
        <v>4</v>
      </c>
      <c r="L401" s="19" t="n">
        <f aca="false">SUMIFS(المرجع!$H$2:$H$19,المرجع!$B$2:$B$19,$G401,المرجع!$E$2:$E$19,$I401)</f>
        <v>1</v>
      </c>
      <c r="M401" s="19" t="n">
        <f aca="false">COUNTIFS('المرتبطة بسمو الوزير'!$B$2:$B$151,$B401,'المرتبطة بسمو الوزير'!$G$2:$G$151,$G401,'المرتبطة بسمو الوزير'!$I$2:$I$151,$I401,'المرتبطة بسمو الوزير'!$M$2:$M$151,"&lt;&gt;")+COUNTIFS('الشؤون التنفيذية'!$B$2:$B$421,$B401,'الشؤون التنفيذية'!$G$2:$G$421,$G401,'الشؤون التنفيذية'!$I$2:$I$421,$I401,'الشؤون التنفيذية'!$N$2:$N$421,"&lt;&gt;")+COUNTIFS('الجهاز العسكري'!$B$2:$B$631,$B401,'الجهاز العسكري'!$G$2:$G$631,$G401,'الجهاز العسكري'!$I$2:$I$631,$I401,'الجهاز العسكري'!$M$2:$M$631,"&lt;&gt;")</f>
        <v>1</v>
      </c>
      <c r="N401" s="24" t="n">
        <f aca="false">IF($L401=0,0,ROUND((SUMIFS('المرتبطة بسمو الوزير'!$M$2:$M$151,'المرتبطة بسمو الوزير'!$B$2:$B$151,$B401,'المرتبطة بسمو الوزير'!$G$2:$G$151,$G401,'المرتبطة بسمو الوزير'!$I$2:$I$151,$I401)+SUMIFS('الشؤون التنفيذية'!$N$2:$N$421,'الشؤون التنفيذية'!$B$2:$B$421,$B401,'الشؤون التنفيذية'!$G$2:$G$421,$G401,'الشؤون التنفيذية'!$I$2:$I$421,$I401)+SUMIFS('الجهاز العسكري'!$M$2:$M$631,'الجهاز العسكري'!$B$2:$B$631,$B401,'الجهاز العسكري'!$G$2:$G$631,$G401,'الجهاز العسكري'!$I$2:$I$631,$I401))/$L401,0))</f>
        <v>83</v>
      </c>
      <c r="O401" s="25" t="n">
        <f aca="false">IF($L401=0,0,ROUND((SUMIFS('المرتبطة بسمو الوزير'!$N$2:$N$151,'المرتبطة بسمو الوزير'!$B$2:$B$151,$B401,'المرتبطة بسمو الوزير'!$G$2:$G$151,$G401,'المرتبطة بسمو الوزير'!$I$2:$I$151,$I401)+SUMIFS('الشؤون التنفيذية'!$O$2:$O$421,'الشؤون التنفيذية'!$B$2:$B$421,$B401,'الشؤون التنفيذية'!$G$2:$G$421,$G401,'الشؤون التنفيذية'!$I$2:$I$421,$I401)+SUMIFS('الجهاز العسكري'!$N$2:$N$631,'الجهاز العسكري'!$B$2:$B$631,$B401,'الجهاز العسكري'!$G$2:$G$631,$G401,'الجهاز العسكري'!$I$2:$I$631,$I401))/$L401,0))</f>
        <v>95</v>
      </c>
      <c r="P401" s="22"/>
      <c r="Q401" s="19" t="n">
        <f aca="false">SUMIFS(المرجع!$G$2:$G$19,المرجع!$B$2:$B$19,$G401,المرجع!$E$2:$E$19,$I401)</f>
        <v>20</v>
      </c>
      <c r="R401" s="26" t="n">
        <f aca="false">ROUND($Q401*$N401/100,2)</f>
        <v>16.6</v>
      </c>
      <c r="S401" s="27" t="str">
        <f aca="false">IF($N401&gt;المرجع!$K$3,"متقدم",IF($N401&lt;=المرجع!$K$2,"أولي","جزئي"))</f>
        <v>متقدم</v>
      </c>
      <c r="T401" s="28" t="n">
        <f aca="false">ROUND($Q401*$O401/100,2)</f>
        <v>19</v>
      </c>
    </row>
    <row r="402" customFormat="false" ht="15" hidden="false" customHeight="true" outlineLevel="0" collapsed="false">
      <c r="A402" s="20" t="s">
        <v>1854</v>
      </c>
      <c r="B402" s="20" t="s">
        <v>202</v>
      </c>
      <c r="C402" s="19" t="str">
        <f aca="false">IFERROR(INDEX('قائمة الوحدات'!$B$2:$B$41,MATCH($B402,'قائمة الوحدات'!$A$2:$A$41,0)),"")</f>
        <v>MIL</v>
      </c>
      <c r="D402" s="18" t="str">
        <f aca="false">IFERROR(INDEX('قائمة الوحدات'!$C$2:$C$41,MATCH($B402,'قائمة الوحدات'!$A$2:$A$41,0)),"")</f>
        <v>الجهاز العسكري</v>
      </c>
      <c r="E402" s="18" t="str">
        <f aca="false">IFERROR(INDEX('قائمة الوحدات'!$D$2:$D$41,MATCH($B402,'قائمة الوحدات'!$A$2:$A$41,0)),"")</f>
        <v>قيادة القوات البحرية</v>
      </c>
      <c r="F402" s="18" t="str">
        <f aca="false">IFERROR(INDEX('قائمة الوحدات'!$F$2:$F$41,MATCH($B402,'قائمة الوحدات'!$A$2:$A$41,0)),"")</f>
        <v>قيادة القوات البحرية</v>
      </c>
      <c r="G402" s="20" t="s">
        <v>44</v>
      </c>
      <c r="H402" s="18" t="str">
        <f aca="false">IFERROR(INDEX(المرجع!$A$2:$A$19,MATCH($G402,المرجع!$B$2:$B$19,0)),"")</f>
        <v>التصميم</v>
      </c>
      <c r="I402" s="20" t="s">
        <v>57</v>
      </c>
      <c r="J402" s="18" t="str">
        <f aca="false">IFERROR(INDEX(المرجع!$D$2:$D$19,MATCH($I402,المرجع!$E$2:$E$19,0)),"")</f>
        <v>الموارد</v>
      </c>
      <c r="K402" s="19" t="n">
        <f aca="false">IFERROR(INDEX(المرجع!$F$2:$F$19,MATCH($I402,المرجع!$E$2:$E$19,0)),"")</f>
        <v>5</v>
      </c>
      <c r="L402" s="19" t="n">
        <f aca="false">SUMIFS(المرجع!$H$2:$H$19,المرجع!$B$2:$B$19,$G402,المرجع!$E$2:$E$19,$I402)</f>
        <v>1</v>
      </c>
      <c r="M402" s="19" t="n">
        <f aca="false">COUNTIFS('المرتبطة بسمو الوزير'!$B$2:$B$151,$B402,'المرتبطة بسمو الوزير'!$G$2:$G$151,$G402,'المرتبطة بسمو الوزير'!$I$2:$I$151,$I402,'المرتبطة بسمو الوزير'!$M$2:$M$151,"&lt;&gt;")+COUNTIFS('الشؤون التنفيذية'!$B$2:$B$421,$B402,'الشؤون التنفيذية'!$G$2:$G$421,$G402,'الشؤون التنفيذية'!$I$2:$I$421,$I402,'الشؤون التنفيذية'!$N$2:$N$421,"&lt;&gt;")+COUNTIFS('الجهاز العسكري'!$B$2:$B$631,$B402,'الجهاز العسكري'!$G$2:$G$631,$G402,'الجهاز العسكري'!$I$2:$I$631,$I402,'الجهاز العسكري'!$M$2:$M$631,"&lt;&gt;")</f>
        <v>1</v>
      </c>
      <c r="N402" s="24" t="n">
        <f aca="false">IF($L402=0,0,ROUND((SUMIFS('المرتبطة بسمو الوزير'!$M$2:$M$151,'المرتبطة بسمو الوزير'!$B$2:$B$151,$B402,'المرتبطة بسمو الوزير'!$G$2:$G$151,$G402,'المرتبطة بسمو الوزير'!$I$2:$I$151,$I402)+SUMIFS('الشؤون التنفيذية'!$N$2:$N$421,'الشؤون التنفيذية'!$B$2:$B$421,$B402,'الشؤون التنفيذية'!$G$2:$G$421,$G402,'الشؤون التنفيذية'!$I$2:$I$421,$I402)+SUMIFS('الجهاز العسكري'!$M$2:$M$631,'الجهاز العسكري'!$B$2:$B$631,$B402,'الجهاز العسكري'!$G$2:$G$631,$G402,'الجهاز العسكري'!$I$2:$I$631,$I402))/$L402,0))</f>
        <v>91</v>
      </c>
      <c r="O402" s="25" t="n">
        <f aca="false">IF($L402=0,0,ROUND((SUMIFS('المرتبطة بسمو الوزير'!$N$2:$N$151,'المرتبطة بسمو الوزير'!$B$2:$B$151,$B402,'المرتبطة بسمو الوزير'!$G$2:$G$151,$G402,'المرتبطة بسمو الوزير'!$I$2:$I$151,$I402)+SUMIFS('الشؤون التنفيذية'!$O$2:$O$421,'الشؤون التنفيذية'!$B$2:$B$421,$B402,'الشؤون التنفيذية'!$G$2:$G$421,$G402,'الشؤون التنفيذية'!$I$2:$I$421,$I402)+SUMIFS('الجهاز العسكري'!$N$2:$N$631,'الجهاز العسكري'!$B$2:$B$631,$B402,'الجهاز العسكري'!$G$2:$G$631,$G402,'الجهاز العسكري'!$I$2:$I$631,$I402))/$L402,0))</f>
        <v>91</v>
      </c>
      <c r="P402" s="22"/>
      <c r="Q402" s="19" t="n">
        <f aca="false">SUMIFS(المرجع!$G$2:$G$19,المرجع!$B$2:$B$19,$G402,المرجع!$E$2:$E$19,$I402)</f>
        <v>20</v>
      </c>
      <c r="R402" s="26" t="n">
        <f aca="false">ROUND($Q402*$N402/100,2)</f>
        <v>18.2</v>
      </c>
      <c r="S402" s="27" t="str">
        <f aca="false">IF($N402&gt;المرجع!$K$3,"متقدم",IF($N402&lt;=المرجع!$K$2,"أولي","جزئي"))</f>
        <v>متقدم</v>
      </c>
      <c r="T402" s="28" t="n">
        <f aca="false">ROUND($Q402*$O402/100,2)</f>
        <v>18.2</v>
      </c>
    </row>
    <row r="403" customFormat="false" ht="15" hidden="false" customHeight="true" outlineLevel="0" collapsed="false">
      <c r="A403" s="20" t="s">
        <v>1855</v>
      </c>
      <c r="B403" s="20" t="s">
        <v>202</v>
      </c>
      <c r="C403" s="19" t="str">
        <f aca="false">IFERROR(INDEX('قائمة الوحدات'!$B$2:$B$41,MATCH($B403,'قائمة الوحدات'!$A$2:$A$41,0)),"")</f>
        <v>MIL</v>
      </c>
      <c r="D403" s="18" t="str">
        <f aca="false">IFERROR(INDEX('قائمة الوحدات'!$C$2:$C$41,MATCH($B403,'قائمة الوحدات'!$A$2:$A$41,0)),"")</f>
        <v>الجهاز العسكري</v>
      </c>
      <c r="E403" s="18" t="str">
        <f aca="false">IFERROR(INDEX('قائمة الوحدات'!$D$2:$D$41,MATCH($B403,'قائمة الوحدات'!$A$2:$A$41,0)),"")</f>
        <v>قيادة القوات البحرية</v>
      </c>
      <c r="F403" s="18" t="str">
        <f aca="false">IFERROR(INDEX('قائمة الوحدات'!$F$2:$F$41,MATCH($B403,'قائمة الوحدات'!$A$2:$A$41,0)),"")</f>
        <v>قيادة القوات البحرية</v>
      </c>
      <c r="G403" s="20" t="s">
        <v>44</v>
      </c>
      <c r="H403" s="18" t="str">
        <f aca="false">IFERROR(INDEX(المرجع!$A$2:$A$19,MATCH($G403,المرجع!$B$2:$B$19,0)),"")</f>
        <v>التصميم</v>
      </c>
      <c r="I403" s="20" t="s">
        <v>60</v>
      </c>
      <c r="J403" s="18" t="str">
        <f aca="false">IFERROR(INDEX(المرجع!$D$2:$D$19,MATCH($I403,المرجع!$E$2:$E$19,0)),"")</f>
        <v>الإجراءات</v>
      </c>
      <c r="K403" s="19" t="n">
        <f aca="false">IFERROR(INDEX(المرجع!$F$2:$F$19,MATCH($I403,المرجع!$E$2:$E$19,0)),"")</f>
        <v>6</v>
      </c>
      <c r="L403" s="19" t="n">
        <f aca="false">SUMIFS(المرجع!$H$2:$H$19,المرجع!$B$2:$B$19,$G403,المرجع!$E$2:$E$19,$I403)</f>
        <v>1</v>
      </c>
      <c r="M403" s="19" t="n">
        <f aca="false">COUNTIFS('المرتبطة بسمو الوزير'!$B$2:$B$151,$B403,'المرتبطة بسمو الوزير'!$G$2:$G$151,$G403,'المرتبطة بسمو الوزير'!$I$2:$I$151,$I403,'المرتبطة بسمو الوزير'!$M$2:$M$151,"&lt;&gt;")+COUNTIFS('الشؤون التنفيذية'!$B$2:$B$421,$B403,'الشؤون التنفيذية'!$G$2:$G$421,$G403,'الشؤون التنفيذية'!$I$2:$I$421,$I403,'الشؤون التنفيذية'!$N$2:$N$421,"&lt;&gt;")+COUNTIFS('الجهاز العسكري'!$B$2:$B$631,$B403,'الجهاز العسكري'!$G$2:$G$631,$G403,'الجهاز العسكري'!$I$2:$I$631,$I403,'الجهاز العسكري'!$M$2:$M$631,"&lt;&gt;")</f>
        <v>1</v>
      </c>
      <c r="N403" s="24" t="n">
        <f aca="false">IF($L403=0,0,ROUND((SUMIFS('المرتبطة بسمو الوزير'!$M$2:$M$151,'المرتبطة بسمو الوزير'!$B$2:$B$151,$B403,'المرتبطة بسمو الوزير'!$G$2:$G$151,$G403,'المرتبطة بسمو الوزير'!$I$2:$I$151,$I403)+SUMIFS('الشؤون التنفيذية'!$N$2:$N$421,'الشؤون التنفيذية'!$B$2:$B$421,$B403,'الشؤون التنفيذية'!$G$2:$G$421,$G403,'الشؤون التنفيذية'!$I$2:$I$421,$I403)+SUMIFS('الجهاز العسكري'!$M$2:$M$631,'الجهاز العسكري'!$B$2:$B$631,$B403,'الجهاز العسكري'!$G$2:$G$631,$G403,'الجهاز العسكري'!$I$2:$I$631,$I403))/$L403,0))</f>
        <v>81</v>
      </c>
      <c r="O403" s="25" t="n">
        <f aca="false">IF($L403=0,0,ROUND((SUMIFS('المرتبطة بسمو الوزير'!$N$2:$N$151,'المرتبطة بسمو الوزير'!$B$2:$B$151,$B403,'المرتبطة بسمو الوزير'!$G$2:$G$151,$G403,'المرتبطة بسمو الوزير'!$I$2:$I$151,$I403)+SUMIFS('الشؤون التنفيذية'!$O$2:$O$421,'الشؤون التنفيذية'!$B$2:$B$421,$B403,'الشؤون التنفيذية'!$G$2:$G$421,$G403,'الشؤون التنفيذية'!$I$2:$I$421,$I403)+SUMIFS('الجهاز العسكري'!$N$2:$N$631,'الجهاز العسكري'!$B$2:$B$631,$B403,'الجهاز العسكري'!$G$2:$G$631,$G403,'الجهاز العسكري'!$I$2:$I$631,$I403))/$L403,0))</f>
        <v>100</v>
      </c>
      <c r="P403" s="22"/>
      <c r="Q403" s="19" t="n">
        <f aca="false">SUMIFS(المرجع!$G$2:$G$19,المرجع!$B$2:$B$19,$G403,المرجع!$E$2:$E$19,$I403)</f>
        <v>5</v>
      </c>
      <c r="R403" s="26" t="n">
        <f aca="false">ROUND($Q403*$N403/100,2)</f>
        <v>4.05</v>
      </c>
      <c r="S403" s="27" t="str">
        <f aca="false">IF($N403&gt;المرجع!$K$3,"متقدم",IF($N403&lt;=المرجع!$K$2,"أولي","جزئي"))</f>
        <v>متقدم</v>
      </c>
      <c r="T403" s="28" t="n">
        <f aca="false">ROUND($Q403*$O403/100,2)</f>
        <v>5</v>
      </c>
    </row>
    <row r="404" customFormat="false" ht="15" hidden="false" customHeight="true" outlineLevel="0" collapsed="false">
      <c r="A404" s="20" t="s">
        <v>1856</v>
      </c>
      <c r="B404" s="20" t="s">
        <v>202</v>
      </c>
      <c r="C404" s="19" t="str">
        <f aca="false">IFERROR(INDEX('قائمة الوحدات'!$B$2:$B$41,MATCH($B404,'قائمة الوحدات'!$A$2:$A$41,0)),"")</f>
        <v>MIL</v>
      </c>
      <c r="D404" s="18" t="str">
        <f aca="false">IFERROR(INDEX('قائمة الوحدات'!$C$2:$C$41,MATCH($B404,'قائمة الوحدات'!$A$2:$A$41,0)),"")</f>
        <v>الجهاز العسكري</v>
      </c>
      <c r="E404" s="18" t="str">
        <f aca="false">IFERROR(INDEX('قائمة الوحدات'!$D$2:$D$41,MATCH($B404,'قائمة الوحدات'!$A$2:$A$41,0)),"")</f>
        <v>قيادة القوات البحرية</v>
      </c>
      <c r="F404" s="18" t="str">
        <f aca="false">IFERROR(INDEX('قائمة الوحدات'!$F$2:$F$41,MATCH($B404,'قائمة الوحدات'!$A$2:$A$41,0)),"")</f>
        <v>قيادة القوات البحرية</v>
      </c>
      <c r="G404" s="20" t="s">
        <v>62</v>
      </c>
      <c r="H404" s="18" t="str">
        <f aca="false">IFERROR(INDEX(المرجع!$A$2:$A$19,MATCH($G404,المرجع!$B$2:$B$19,0)),"")</f>
        <v>البناء المؤسسي</v>
      </c>
      <c r="I404" s="20" t="s">
        <v>46</v>
      </c>
      <c r="J404" s="18" t="str">
        <f aca="false">IFERROR(INDEX(المرجع!$D$2:$D$19,MATCH($I404,المرجع!$E$2:$E$19,0)),"")</f>
        <v>الدور</v>
      </c>
      <c r="K404" s="19" t="n">
        <f aca="false">IFERROR(INDEX(المرجع!$F$2:$F$19,MATCH($I404,المرجع!$E$2:$E$19,0)),"")</f>
        <v>1</v>
      </c>
      <c r="L404" s="19" t="n">
        <f aca="false">SUMIFS(المرجع!$H$2:$H$19,المرجع!$B$2:$B$19,$G404,المرجع!$E$2:$E$19,$I404)</f>
        <v>1</v>
      </c>
      <c r="M404" s="19" t="n">
        <f aca="false">COUNTIFS('المرتبطة بسمو الوزير'!$B$2:$B$151,$B404,'المرتبطة بسمو الوزير'!$G$2:$G$151,$G404,'المرتبطة بسمو الوزير'!$I$2:$I$151,$I404,'المرتبطة بسمو الوزير'!$M$2:$M$151,"&lt;&gt;")+COUNTIFS('الشؤون التنفيذية'!$B$2:$B$421,$B404,'الشؤون التنفيذية'!$G$2:$G$421,$G404,'الشؤون التنفيذية'!$I$2:$I$421,$I404,'الشؤون التنفيذية'!$N$2:$N$421,"&lt;&gt;")+COUNTIFS('الجهاز العسكري'!$B$2:$B$631,$B404,'الجهاز العسكري'!$G$2:$G$631,$G404,'الجهاز العسكري'!$I$2:$I$631,$I404,'الجهاز العسكري'!$M$2:$M$631,"&lt;&gt;")</f>
        <v>1</v>
      </c>
      <c r="N404" s="24" t="n">
        <f aca="false">IF($L404=0,0,ROUND((SUMIFS('المرتبطة بسمو الوزير'!$M$2:$M$151,'المرتبطة بسمو الوزير'!$B$2:$B$151,$B404,'المرتبطة بسمو الوزير'!$G$2:$G$151,$G404,'المرتبطة بسمو الوزير'!$I$2:$I$151,$I404)+SUMIFS('الشؤون التنفيذية'!$N$2:$N$421,'الشؤون التنفيذية'!$B$2:$B$421,$B404,'الشؤون التنفيذية'!$G$2:$G$421,$G404,'الشؤون التنفيذية'!$I$2:$I$421,$I404)+SUMIFS('الجهاز العسكري'!$M$2:$M$631,'الجهاز العسكري'!$B$2:$B$631,$B404,'الجهاز العسكري'!$G$2:$G$631,$G404,'الجهاز العسكري'!$I$2:$I$631,$I404))/$L404,0))</f>
        <v>67</v>
      </c>
      <c r="O404" s="25" t="n">
        <f aca="false">IF($L404=0,0,ROUND((SUMIFS('المرتبطة بسمو الوزير'!$N$2:$N$151,'المرتبطة بسمو الوزير'!$B$2:$B$151,$B404,'المرتبطة بسمو الوزير'!$G$2:$G$151,$G404,'المرتبطة بسمو الوزير'!$I$2:$I$151,$I404)+SUMIFS('الشؤون التنفيذية'!$O$2:$O$421,'الشؤون التنفيذية'!$B$2:$B$421,$B404,'الشؤون التنفيذية'!$G$2:$G$421,$G404,'الشؤون التنفيذية'!$I$2:$I$421,$I404)+SUMIFS('الجهاز العسكري'!$N$2:$N$631,'الجهاز العسكري'!$B$2:$B$631,$B404,'الجهاز العسكري'!$G$2:$G$631,$G404,'الجهاز العسكري'!$I$2:$I$631,$I404))/$L404,0))</f>
        <v>100</v>
      </c>
      <c r="P404" s="22"/>
      <c r="Q404" s="19" t="n">
        <f aca="false">SUMIFS(المرجع!$G$2:$G$19,المرجع!$B$2:$B$19,$G404,المرجع!$E$2:$E$19,$I404)</f>
        <v>15</v>
      </c>
      <c r="R404" s="26" t="n">
        <f aca="false">ROUND($Q404*$N404/100,2)</f>
        <v>10.05</v>
      </c>
      <c r="S404" s="27" t="str">
        <f aca="false">IF($N404&gt;المرجع!$K$3,"متقدم",IF($N404&lt;=المرجع!$K$2,"أولي","جزئي"))</f>
        <v>جزئي</v>
      </c>
      <c r="T404" s="28" t="n">
        <f aca="false">ROUND($Q404*$O404/100,2)</f>
        <v>15</v>
      </c>
    </row>
    <row r="405" customFormat="false" ht="15" hidden="false" customHeight="true" outlineLevel="0" collapsed="false">
      <c r="A405" s="20" t="s">
        <v>1857</v>
      </c>
      <c r="B405" s="20" t="s">
        <v>202</v>
      </c>
      <c r="C405" s="19" t="str">
        <f aca="false">IFERROR(INDEX('قائمة الوحدات'!$B$2:$B$41,MATCH($B405,'قائمة الوحدات'!$A$2:$A$41,0)),"")</f>
        <v>MIL</v>
      </c>
      <c r="D405" s="18" t="str">
        <f aca="false">IFERROR(INDEX('قائمة الوحدات'!$C$2:$C$41,MATCH($B405,'قائمة الوحدات'!$A$2:$A$41,0)),"")</f>
        <v>الجهاز العسكري</v>
      </c>
      <c r="E405" s="18" t="str">
        <f aca="false">IFERROR(INDEX('قائمة الوحدات'!$D$2:$D$41,MATCH($B405,'قائمة الوحدات'!$A$2:$A$41,0)),"")</f>
        <v>قيادة القوات البحرية</v>
      </c>
      <c r="F405" s="18" t="str">
        <f aca="false">IFERROR(INDEX('قائمة الوحدات'!$F$2:$F$41,MATCH($B405,'قائمة الوحدات'!$A$2:$A$41,0)),"")</f>
        <v>قيادة القوات البحرية</v>
      </c>
      <c r="G405" s="20" t="s">
        <v>62</v>
      </c>
      <c r="H405" s="18" t="str">
        <f aca="false">IFERROR(INDEX(المرجع!$A$2:$A$19,MATCH($G405,المرجع!$B$2:$B$19,0)),"")</f>
        <v>البناء المؤسسي</v>
      </c>
      <c r="I405" s="20" t="s">
        <v>49</v>
      </c>
      <c r="J405" s="18" t="str">
        <f aca="false">IFERROR(INDEX(المرجع!$D$2:$D$19,MATCH($I405,المرجع!$E$2:$E$19,0)),"")</f>
        <v>الأهداف ومؤشرات الأداء</v>
      </c>
      <c r="K405" s="19" t="n">
        <f aca="false">IFERROR(INDEX(المرجع!$F$2:$F$19,MATCH($I405,المرجع!$E$2:$E$19,0)),"")</f>
        <v>2</v>
      </c>
      <c r="L405" s="19" t="n">
        <f aca="false">SUMIFS(المرجع!$H$2:$H$19,المرجع!$B$2:$B$19,$G405,المرجع!$E$2:$E$19,$I405)</f>
        <v>2</v>
      </c>
      <c r="M405" s="19" t="n">
        <f aca="false">COUNTIFS('المرتبطة بسمو الوزير'!$B$2:$B$151,$B405,'المرتبطة بسمو الوزير'!$G$2:$G$151,$G405,'المرتبطة بسمو الوزير'!$I$2:$I$151,$I405,'المرتبطة بسمو الوزير'!$M$2:$M$151,"&lt;&gt;")+COUNTIFS('الشؤون التنفيذية'!$B$2:$B$421,$B405,'الشؤون التنفيذية'!$G$2:$G$421,$G405,'الشؤون التنفيذية'!$I$2:$I$421,$I405,'الشؤون التنفيذية'!$N$2:$N$421,"&lt;&gt;")+COUNTIFS('الجهاز العسكري'!$B$2:$B$631,$B405,'الجهاز العسكري'!$G$2:$G$631,$G405,'الجهاز العسكري'!$I$2:$I$631,$I405,'الجهاز العسكري'!$M$2:$M$631,"&lt;&gt;")</f>
        <v>2</v>
      </c>
      <c r="N405" s="24" t="n">
        <f aca="false">IF($L405=0,0,ROUND((SUMIFS('المرتبطة بسمو الوزير'!$M$2:$M$151,'المرتبطة بسمو الوزير'!$B$2:$B$151,$B405,'المرتبطة بسمو الوزير'!$G$2:$G$151,$G405,'المرتبطة بسمو الوزير'!$I$2:$I$151,$I405)+SUMIFS('الشؤون التنفيذية'!$N$2:$N$421,'الشؤون التنفيذية'!$B$2:$B$421,$B405,'الشؤون التنفيذية'!$G$2:$G$421,$G405,'الشؤون التنفيذية'!$I$2:$I$421,$I405)+SUMIFS('الجهاز العسكري'!$M$2:$M$631,'الجهاز العسكري'!$B$2:$B$631,$B405,'الجهاز العسكري'!$G$2:$G$631,$G405,'الجهاز العسكري'!$I$2:$I$631,$I405))/$L405,0))</f>
        <v>48</v>
      </c>
      <c r="O405" s="25" t="n">
        <f aca="false">IF($L405=0,0,ROUND((SUMIFS('المرتبطة بسمو الوزير'!$N$2:$N$151,'المرتبطة بسمو الوزير'!$B$2:$B$151,$B405,'المرتبطة بسمو الوزير'!$G$2:$G$151,$G405,'المرتبطة بسمو الوزير'!$I$2:$I$151,$I405)+SUMIFS('الشؤون التنفيذية'!$O$2:$O$421,'الشؤون التنفيذية'!$B$2:$B$421,$B405,'الشؤون التنفيذية'!$G$2:$G$421,$G405,'الشؤون التنفيذية'!$I$2:$I$421,$I405)+SUMIFS('الجهاز العسكري'!$N$2:$N$631,'الجهاز العسكري'!$B$2:$B$631,$B405,'الجهاز العسكري'!$G$2:$G$631,$G405,'الجهاز العسكري'!$I$2:$I$631,$I405))/$L405,0))</f>
        <v>98</v>
      </c>
      <c r="P405" s="22"/>
      <c r="Q405" s="19" t="n">
        <f aca="false">SUMIFS(المرجع!$G$2:$G$19,المرجع!$B$2:$B$19,$G405,المرجع!$E$2:$E$19,$I405)</f>
        <v>15</v>
      </c>
      <c r="R405" s="26" t="n">
        <f aca="false">ROUND($Q405*$N405/100,2)</f>
        <v>7.2</v>
      </c>
      <c r="S405" s="27" t="str">
        <f aca="false">IF($N405&gt;المرجع!$K$3,"متقدم",IF($N405&lt;=المرجع!$K$2,"أولي","جزئي"))</f>
        <v>جزئي</v>
      </c>
      <c r="T405" s="28" t="n">
        <f aca="false">ROUND($Q405*$O405/100,2)</f>
        <v>14.7</v>
      </c>
    </row>
    <row r="406" customFormat="false" ht="15" hidden="false" customHeight="true" outlineLevel="0" collapsed="false">
      <c r="A406" s="20" t="s">
        <v>1858</v>
      </c>
      <c r="B406" s="20" t="s">
        <v>202</v>
      </c>
      <c r="C406" s="19" t="str">
        <f aca="false">IFERROR(INDEX('قائمة الوحدات'!$B$2:$B$41,MATCH($B406,'قائمة الوحدات'!$A$2:$A$41,0)),"")</f>
        <v>MIL</v>
      </c>
      <c r="D406" s="18" t="str">
        <f aca="false">IFERROR(INDEX('قائمة الوحدات'!$C$2:$C$41,MATCH($B406,'قائمة الوحدات'!$A$2:$A$41,0)),"")</f>
        <v>الجهاز العسكري</v>
      </c>
      <c r="E406" s="18" t="str">
        <f aca="false">IFERROR(INDEX('قائمة الوحدات'!$D$2:$D$41,MATCH($B406,'قائمة الوحدات'!$A$2:$A$41,0)),"")</f>
        <v>قيادة القوات البحرية</v>
      </c>
      <c r="F406" s="18" t="str">
        <f aca="false">IFERROR(INDEX('قائمة الوحدات'!$F$2:$F$41,MATCH($B406,'قائمة الوحدات'!$A$2:$A$41,0)),"")</f>
        <v>قيادة القوات البحرية</v>
      </c>
      <c r="G406" s="20" t="s">
        <v>62</v>
      </c>
      <c r="H406" s="18" t="str">
        <f aca="false">IFERROR(INDEX(المرجع!$A$2:$A$19,MATCH($G406,المرجع!$B$2:$B$19,0)),"")</f>
        <v>البناء المؤسسي</v>
      </c>
      <c r="I406" s="20" t="s">
        <v>52</v>
      </c>
      <c r="J406" s="18" t="str">
        <f aca="false">IFERROR(INDEX(المرجع!$D$2:$D$19,MATCH($I406,المرجع!$E$2:$E$19,0)),"")</f>
        <v>الحوكمة</v>
      </c>
      <c r="K406" s="19" t="n">
        <f aca="false">IFERROR(INDEX(المرجع!$F$2:$F$19,MATCH($I406,المرجع!$E$2:$E$19,0)),"")</f>
        <v>3</v>
      </c>
      <c r="L406" s="19" t="n">
        <f aca="false">SUMIFS(المرجع!$H$2:$H$19,المرجع!$B$2:$B$19,$G406,المرجع!$E$2:$E$19,$I406)</f>
        <v>3</v>
      </c>
      <c r="M406" s="19" t="n">
        <f aca="false">COUNTIFS('المرتبطة بسمو الوزير'!$B$2:$B$151,$B406,'المرتبطة بسمو الوزير'!$G$2:$G$151,$G406,'المرتبطة بسمو الوزير'!$I$2:$I$151,$I406,'المرتبطة بسمو الوزير'!$M$2:$M$151,"&lt;&gt;")+COUNTIFS('الشؤون التنفيذية'!$B$2:$B$421,$B406,'الشؤون التنفيذية'!$G$2:$G$421,$G406,'الشؤون التنفيذية'!$I$2:$I$421,$I406,'الشؤون التنفيذية'!$N$2:$N$421,"&lt;&gt;")+COUNTIFS('الجهاز العسكري'!$B$2:$B$631,$B406,'الجهاز العسكري'!$G$2:$G$631,$G406,'الجهاز العسكري'!$I$2:$I$631,$I406,'الجهاز العسكري'!$M$2:$M$631,"&lt;&gt;")</f>
        <v>3</v>
      </c>
      <c r="N406" s="24" t="n">
        <f aca="false">IF($L406=0,0,ROUND((SUMIFS('المرتبطة بسمو الوزير'!$M$2:$M$151,'المرتبطة بسمو الوزير'!$B$2:$B$151,$B406,'المرتبطة بسمو الوزير'!$G$2:$G$151,$G406,'المرتبطة بسمو الوزير'!$I$2:$I$151,$I406)+SUMIFS('الشؤون التنفيذية'!$N$2:$N$421,'الشؤون التنفيذية'!$B$2:$B$421,$B406,'الشؤون التنفيذية'!$G$2:$G$421,$G406,'الشؤون التنفيذية'!$I$2:$I$421,$I406)+SUMIFS('الجهاز العسكري'!$M$2:$M$631,'الجهاز العسكري'!$B$2:$B$631,$B406,'الجهاز العسكري'!$G$2:$G$631,$G406,'الجهاز العسكري'!$I$2:$I$631,$I406))/$L406,0))</f>
        <v>45</v>
      </c>
      <c r="O406" s="25" t="n">
        <f aca="false">IF($L406=0,0,ROUND((SUMIFS('المرتبطة بسمو الوزير'!$N$2:$N$151,'المرتبطة بسمو الوزير'!$B$2:$B$151,$B406,'المرتبطة بسمو الوزير'!$G$2:$G$151,$G406,'المرتبطة بسمو الوزير'!$I$2:$I$151,$I406)+SUMIFS('الشؤون التنفيذية'!$O$2:$O$421,'الشؤون التنفيذية'!$B$2:$B$421,$B406,'الشؤون التنفيذية'!$G$2:$G$421,$G406,'الشؤون التنفيذية'!$I$2:$I$421,$I406)+SUMIFS('الجهاز العسكري'!$N$2:$N$631,'الجهاز العسكري'!$B$2:$B$631,$B406,'الجهاز العسكري'!$G$2:$G$631,$G406,'الجهاز العسكري'!$I$2:$I$631,$I406))/$L406,0))</f>
        <v>98</v>
      </c>
      <c r="P406" s="22"/>
      <c r="Q406" s="19" t="n">
        <f aca="false">SUMIFS(المرجع!$G$2:$G$19,المرجع!$B$2:$B$19,$G406,المرجع!$E$2:$E$19,$I406)</f>
        <v>15</v>
      </c>
      <c r="R406" s="26" t="n">
        <f aca="false">ROUND($Q406*$N406/100,2)</f>
        <v>6.75</v>
      </c>
      <c r="S406" s="27" t="str">
        <f aca="false">IF($N406&gt;المرجع!$K$3,"متقدم",IF($N406&lt;=المرجع!$K$2,"أولي","جزئي"))</f>
        <v>جزئي</v>
      </c>
      <c r="T406" s="28" t="n">
        <f aca="false">ROUND($Q406*$O406/100,2)</f>
        <v>14.7</v>
      </c>
    </row>
    <row r="407" customFormat="false" ht="15" hidden="false" customHeight="true" outlineLevel="0" collapsed="false">
      <c r="A407" s="20" t="s">
        <v>1859</v>
      </c>
      <c r="B407" s="20" t="s">
        <v>202</v>
      </c>
      <c r="C407" s="19" t="str">
        <f aca="false">IFERROR(INDEX('قائمة الوحدات'!$B$2:$B$41,MATCH($B407,'قائمة الوحدات'!$A$2:$A$41,0)),"")</f>
        <v>MIL</v>
      </c>
      <c r="D407" s="18" t="str">
        <f aca="false">IFERROR(INDEX('قائمة الوحدات'!$C$2:$C$41,MATCH($B407,'قائمة الوحدات'!$A$2:$A$41,0)),"")</f>
        <v>الجهاز العسكري</v>
      </c>
      <c r="E407" s="18" t="str">
        <f aca="false">IFERROR(INDEX('قائمة الوحدات'!$D$2:$D$41,MATCH($B407,'قائمة الوحدات'!$A$2:$A$41,0)),"")</f>
        <v>قيادة القوات البحرية</v>
      </c>
      <c r="F407" s="18" t="str">
        <f aca="false">IFERROR(INDEX('قائمة الوحدات'!$F$2:$F$41,MATCH($B407,'قائمة الوحدات'!$A$2:$A$41,0)),"")</f>
        <v>قيادة القوات البحرية</v>
      </c>
      <c r="G407" s="20" t="s">
        <v>62</v>
      </c>
      <c r="H407" s="18" t="str">
        <f aca="false">IFERROR(INDEX(المرجع!$A$2:$A$19,MATCH($G407,المرجع!$B$2:$B$19,0)),"")</f>
        <v>البناء المؤسسي</v>
      </c>
      <c r="I407" s="20" t="s">
        <v>55</v>
      </c>
      <c r="J407" s="18" t="str">
        <f aca="false">IFERROR(INDEX(المرجع!$D$2:$D$19,MATCH($I407,المرجع!$E$2:$E$19,0)),"")</f>
        <v>التنظيم</v>
      </c>
      <c r="K407" s="19" t="n">
        <f aca="false">IFERROR(INDEX(المرجع!$F$2:$F$19,MATCH($I407,المرجع!$E$2:$E$19,0)),"")</f>
        <v>4</v>
      </c>
      <c r="L407" s="19" t="n">
        <f aca="false">SUMIFS(المرجع!$H$2:$H$19,المرجع!$B$2:$B$19,$G407,المرجع!$E$2:$E$19,$I407)</f>
        <v>3</v>
      </c>
      <c r="M407" s="19" t="n">
        <f aca="false">COUNTIFS('المرتبطة بسمو الوزير'!$B$2:$B$151,$B407,'المرتبطة بسمو الوزير'!$G$2:$G$151,$G407,'المرتبطة بسمو الوزير'!$I$2:$I$151,$I407,'المرتبطة بسمو الوزير'!$M$2:$M$151,"&lt;&gt;")+COUNTIFS('الشؤون التنفيذية'!$B$2:$B$421,$B407,'الشؤون التنفيذية'!$G$2:$G$421,$G407,'الشؤون التنفيذية'!$I$2:$I$421,$I407,'الشؤون التنفيذية'!$N$2:$N$421,"&lt;&gt;")+COUNTIFS('الجهاز العسكري'!$B$2:$B$631,$B407,'الجهاز العسكري'!$G$2:$G$631,$G407,'الجهاز العسكري'!$I$2:$I$631,$I407,'الجهاز العسكري'!$M$2:$M$631,"&lt;&gt;")</f>
        <v>3</v>
      </c>
      <c r="N407" s="24" t="n">
        <f aca="false">IF($L407=0,0,ROUND((SUMIFS('المرتبطة بسمو الوزير'!$M$2:$M$151,'المرتبطة بسمو الوزير'!$B$2:$B$151,$B407,'المرتبطة بسمو الوزير'!$G$2:$G$151,$G407,'المرتبطة بسمو الوزير'!$I$2:$I$151,$I407)+SUMIFS('الشؤون التنفيذية'!$N$2:$N$421,'الشؤون التنفيذية'!$B$2:$B$421,$B407,'الشؤون التنفيذية'!$G$2:$G$421,$G407,'الشؤون التنفيذية'!$I$2:$I$421,$I407)+SUMIFS('الجهاز العسكري'!$M$2:$M$631,'الجهاز العسكري'!$B$2:$B$631,$B407,'الجهاز العسكري'!$G$2:$G$631,$G407,'الجهاز العسكري'!$I$2:$I$631,$I407))/$L407,0))</f>
        <v>63</v>
      </c>
      <c r="O407" s="25" t="n">
        <f aca="false">IF($L407=0,0,ROUND((SUMIFS('المرتبطة بسمو الوزير'!$N$2:$N$151,'المرتبطة بسمو الوزير'!$B$2:$B$151,$B407,'المرتبطة بسمو الوزير'!$G$2:$G$151,$G407,'المرتبطة بسمو الوزير'!$I$2:$I$151,$I407)+SUMIFS('الشؤون التنفيذية'!$O$2:$O$421,'الشؤون التنفيذية'!$B$2:$B$421,$B407,'الشؤون التنفيذية'!$G$2:$G$421,$G407,'الشؤون التنفيذية'!$I$2:$I$421,$I407)+SUMIFS('الجهاز العسكري'!$N$2:$N$631,'الجهاز العسكري'!$B$2:$B$631,$B407,'الجهاز العسكري'!$G$2:$G$631,$G407,'الجهاز العسكري'!$I$2:$I$631,$I407))/$L407,0))</f>
        <v>98</v>
      </c>
      <c r="P407" s="22"/>
      <c r="Q407" s="19" t="n">
        <f aca="false">SUMIFS(المرجع!$G$2:$G$19,المرجع!$B$2:$B$19,$G407,المرجع!$E$2:$E$19,$I407)</f>
        <v>20</v>
      </c>
      <c r="R407" s="26" t="n">
        <f aca="false">ROUND($Q407*$N407/100,2)</f>
        <v>12.6</v>
      </c>
      <c r="S407" s="27" t="str">
        <f aca="false">IF($N407&gt;المرجع!$K$3,"متقدم",IF($N407&lt;=المرجع!$K$2,"أولي","جزئي"))</f>
        <v>جزئي</v>
      </c>
      <c r="T407" s="28" t="n">
        <f aca="false">ROUND($Q407*$O407/100,2)</f>
        <v>19.6</v>
      </c>
    </row>
    <row r="408" customFormat="false" ht="15" hidden="false" customHeight="true" outlineLevel="0" collapsed="false">
      <c r="A408" s="20" t="s">
        <v>1860</v>
      </c>
      <c r="B408" s="20" t="s">
        <v>202</v>
      </c>
      <c r="C408" s="19" t="str">
        <f aca="false">IFERROR(INDEX('قائمة الوحدات'!$B$2:$B$41,MATCH($B408,'قائمة الوحدات'!$A$2:$A$41,0)),"")</f>
        <v>MIL</v>
      </c>
      <c r="D408" s="18" t="str">
        <f aca="false">IFERROR(INDEX('قائمة الوحدات'!$C$2:$C$41,MATCH($B408,'قائمة الوحدات'!$A$2:$A$41,0)),"")</f>
        <v>الجهاز العسكري</v>
      </c>
      <c r="E408" s="18" t="str">
        <f aca="false">IFERROR(INDEX('قائمة الوحدات'!$D$2:$D$41,MATCH($B408,'قائمة الوحدات'!$A$2:$A$41,0)),"")</f>
        <v>قيادة القوات البحرية</v>
      </c>
      <c r="F408" s="18" t="str">
        <f aca="false">IFERROR(INDEX('قائمة الوحدات'!$F$2:$F$41,MATCH($B408,'قائمة الوحدات'!$A$2:$A$41,0)),"")</f>
        <v>قيادة القوات البحرية</v>
      </c>
      <c r="G408" s="20" t="s">
        <v>62</v>
      </c>
      <c r="H408" s="18" t="str">
        <f aca="false">IFERROR(INDEX(المرجع!$A$2:$A$19,MATCH($G408,المرجع!$B$2:$B$19,0)),"")</f>
        <v>البناء المؤسسي</v>
      </c>
      <c r="I408" s="20" t="s">
        <v>57</v>
      </c>
      <c r="J408" s="18" t="str">
        <f aca="false">IFERROR(INDEX(المرجع!$D$2:$D$19,MATCH($I408,المرجع!$E$2:$E$19,0)),"")</f>
        <v>الموارد</v>
      </c>
      <c r="K408" s="19" t="n">
        <f aca="false">IFERROR(INDEX(المرجع!$F$2:$F$19,MATCH($I408,المرجع!$E$2:$E$19,0)),"")</f>
        <v>5</v>
      </c>
      <c r="L408" s="19" t="n">
        <f aca="false">SUMIFS(المرجع!$H$2:$H$19,المرجع!$B$2:$B$19,$G408,المرجع!$E$2:$E$19,$I408)</f>
        <v>4</v>
      </c>
      <c r="M408" s="19" t="n">
        <f aca="false">COUNTIFS('المرتبطة بسمو الوزير'!$B$2:$B$151,$B408,'المرتبطة بسمو الوزير'!$G$2:$G$151,$G408,'المرتبطة بسمو الوزير'!$I$2:$I$151,$I408,'المرتبطة بسمو الوزير'!$M$2:$M$151,"&lt;&gt;")+COUNTIFS('الشؤون التنفيذية'!$B$2:$B$421,$B408,'الشؤون التنفيذية'!$G$2:$G$421,$G408,'الشؤون التنفيذية'!$I$2:$I$421,$I408,'الشؤون التنفيذية'!$N$2:$N$421,"&lt;&gt;")+COUNTIFS('الجهاز العسكري'!$B$2:$B$631,$B408,'الجهاز العسكري'!$G$2:$G$631,$G408,'الجهاز العسكري'!$I$2:$I$631,$I408,'الجهاز العسكري'!$M$2:$M$631,"&lt;&gt;")</f>
        <v>4</v>
      </c>
      <c r="N408" s="24" t="n">
        <f aca="false">IF($L408=0,0,ROUND((SUMIFS('المرتبطة بسمو الوزير'!$M$2:$M$151,'المرتبطة بسمو الوزير'!$B$2:$B$151,$B408,'المرتبطة بسمو الوزير'!$G$2:$G$151,$G408,'المرتبطة بسمو الوزير'!$I$2:$I$151,$I408)+SUMIFS('الشؤون التنفيذية'!$N$2:$N$421,'الشؤون التنفيذية'!$B$2:$B$421,$B408,'الشؤون التنفيذية'!$G$2:$G$421,$G408,'الشؤون التنفيذية'!$I$2:$I$421,$I408)+SUMIFS('الجهاز العسكري'!$M$2:$M$631,'الجهاز العسكري'!$B$2:$B$631,$B408,'الجهاز العسكري'!$G$2:$G$631,$G408,'الجهاز العسكري'!$I$2:$I$631,$I408))/$L408,0))</f>
        <v>63</v>
      </c>
      <c r="O408" s="25" t="n">
        <f aca="false">IF($L408=0,0,ROUND((SUMIFS('المرتبطة بسمو الوزير'!$N$2:$N$151,'المرتبطة بسمو الوزير'!$B$2:$B$151,$B408,'المرتبطة بسمو الوزير'!$G$2:$G$151,$G408,'المرتبطة بسمو الوزير'!$I$2:$I$151,$I408)+SUMIFS('الشؤون التنفيذية'!$O$2:$O$421,'الشؤون التنفيذية'!$B$2:$B$421,$B408,'الشؤون التنفيذية'!$G$2:$G$421,$G408,'الشؤون التنفيذية'!$I$2:$I$421,$I408)+SUMIFS('الجهاز العسكري'!$N$2:$N$631,'الجهاز العسكري'!$B$2:$B$631,$B408,'الجهاز العسكري'!$G$2:$G$631,$G408,'الجهاز العسكري'!$I$2:$I$631,$I408))/$L408,0))</f>
        <v>90</v>
      </c>
      <c r="P408" s="22"/>
      <c r="Q408" s="19" t="n">
        <f aca="false">SUMIFS(المرجع!$G$2:$G$19,المرجع!$B$2:$B$19,$G408,المرجع!$E$2:$E$19,$I408)</f>
        <v>25</v>
      </c>
      <c r="R408" s="26" t="n">
        <f aca="false">ROUND($Q408*$N408/100,2)</f>
        <v>15.75</v>
      </c>
      <c r="S408" s="27" t="str">
        <f aca="false">IF($N408&gt;المرجع!$K$3,"متقدم",IF($N408&lt;=المرجع!$K$2,"أولي","جزئي"))</f>
        <v>جزئي</v>
      </c>
      <c r="T408" s="28" t="n">
        <f aca="false">ROUND($Q408*$O408/100,2)</f>
        <v>22.5</v>
      </c>
    </row>
    <row r="409" customFormat="false" ht="15" hidden="false" customHeight="true" outlineLevel="0" collapsed="false">
      <c r="A409" s="20" t="s">
        <v>1861</v>
      </c>
      <c r="B409" s="20" t="s">
        <v>202</v>
      </c>
      <c r="C409" s="19" t="str">
        <f aca="false">IFERROR(INDEX('قائمة الوحدات'!$B$2:$B$41,MATCH($B409,'قائمة الوحدات'!$A$2:$A$41,0)),"")</f>
        <v>MIL</v>
      </c>
      <c r="D409" s="18" t="str">
        <f aca="false">IFERROR(INDEX('قائمة الوحدات'!$C$2:$C$41,MATCH($B409,'قائمة الوحدات'!$A$2:$A$41,0)),"")</f>
        <v>الجهاز العسكري</v>
      </c>
      <c r="E409" s="18" t="str">
        <f aca="false">IFERROR(INDEX('قائمة الوحدات'!$D$2:$D$41,MATCH($B409,'قائمة الوحدات'!$A$2:$A$41,0)),"")</f>
        <v>قيادة القوات البحرية</v>
      </c>
      <c r="F409" s="18" t="str">
        <f aca="false">IFERROR(INDEX('قائمة الوحدات'!$F$2:$F$41,MATCH($B409,'قائمة الوحدات'!$A$2:$A$41,0)),"")</f>
        <v>قيادة القوات البحرية</v>
      </c>
      <c r="G409" s="20" t="s">
        <v>62</v>
      </c>
      <c r="H409" s="18" t="str">
        <f aca="false">IFERROR(INDEX(المرجع!$A$2:$A$19,MATCH($G409,المرجع!$B$2:$B$19,0)),"")</f>
        <v>البناء المؤسسي</v>
      </c>
      <c r="I409" s="20" t="s">
        <v>60</v>
      </c>
      <c r="J409" s="18" t="str">
        <f aca="false">IFERROR(INDEX(المرجع!$D$2:$D$19,MATCH($I409,المرجع!$E$2:$E$19,0)),"")</f>
        <v>الإجراءات</v>
      </c>
      <c r="K409" s="19" t="n">
        <f aca="false">IFERROR(INDEX(المرجع!$F$2:$F$19,MATCH($I409,المرجع!$E$2:$E$19,0)),"")</f>
        <v>6</v>
      </c>
      <c r="L409" s="19" t="n">
        <f aca="false">SUMIFS(المرجع!$H$2:$H$19,المرجع!$B$2:$B$19,$G409,المرجع!$E$2:$E$19,$I409)</f>
        <v>1</v>
      </c>
      <c r="M409" s="19" t="n">
        <f aca="false">COUNTIFS('المرتبطة بسمو الوزير'!$B$2:$B$151,$B409,'المرتبطة بسمو الوزير'!$G$2:$G$151,$G409,'المرتبطة بسمو الوزير'!$I$2:$I$151,$I409,'المرتبطة بسمو الوزير'!$M$2:$M$151,"&lt;&gt;")+COUNTIFS('الشؤون التنفيذية'!$B$2:$B$421,$B409,'الشؤون التنفيذية'!$G$2:$G$421,$G409,'الشؤون التنفيذية'!$I$2:$I$421,$I409,'الشؤون التنفيذية'!$N$2:$N$421,"&lt;&gt;")+COUNTIFS('الجهاز العسكري'!$B$2:$B$631,$B409,'الجهاز العسكري'!$G$2:$G$631,$G409,'الجهاز العسكري'!$I$2:$I$631,$I409,'الجهاز العسكري'!$M$2:$M$631,"&lt;&gt;")</f>
        <v>1</v>
      </c>
      <c r="N409" s="24" t="n">
        <f aca="false">IF($L409=0,0,ROUND((SUMIFS('المرتبطة بسمو الوزير'!$M$2:$M$151,'المرتبطة بسمو الوزير'!$B$2:$B$151,$B409,'المرتبطة بسمو الوزير'!$G$2:$G$151,$G409,'المرتبطة بسمو الوزير'!$I$2:$I$151,$I409)+SUMIFS('الشؤون التنفيذية'!$N$2:$N$421,'الشؤون التنفيذية'!$B$2:$B$421,$B409,'الشؤون التنفيذية'!$G$2:$G$421,$G409,'الشؤون التنفيذية'!$I$2:$I$421,$I409)+SUMIFS('الجهاز العسكري'!$M$2:$M$631,'الجهاز العسكري'!$B$2:$B$631,$B409,'الجهاز العسكري'!$G$2:$G$631,$G409,'الجهاز العسكري'!$I$2:$I$631,$I409))/$L409,0))</f>
        <v>70</v>
      </c>
      <c r="O409" s="25" t="n">
        <f aca="false">IF($L409=0,0,ROUND((SUMIFS('المرتبطة بسمو الوزير'!$N$2:$N$151,'المرتبطة بسمو الوزير'!$B$2:$B$151,$B409,'المرتبطة بسمو الوزير'!$G$2:$G$151,$G409,'المرتبطة بسمو الوزير'!$I$2:$I$151,$I409)+SUMIFS('الشؤون التنفيذية'!$O$2:$O$421,'الشؤون التنفيذية'!$B$2:$B$421,$B409,'الشؤون التنفيذية'!$G$2:$G$421,$G409,'الشؤون التنفيذية'!$I$2:$I$421,$I409)+SUMIFS('الجهاز العسكري'!$N$2:$N$631,'الجهاز العسكري'!$B$2:$B$631,$B409,'الجهاز العسكري'!$G$2:$G$631,$G409,'الجهاز العسكري'!$I$2:$I$631,$I409))/$L409,0))</f>
        <v>90</v>
      </c>
      <c r="P409" s="22"/>
      <c r="Q409" s="19" t="n">
        <f aca="false">SUMIFS(المرجع!$G$2:$G$19,المرجع!$B$2:$B$19,$G409,المرجع!$E$2:$E$19,$I409)</f>
        <v>5</v>
      </c>
      <c r="R409" s="26" t="n">
        <f aca="false">ROUND($Q409*$N409/100,2)</f>
        <v>3.5</v>
      </c>
      <c r="S409" s="27" t="str">
        <f aca="false">IF($N409&gt;المرجع!$K$3,"متقدم",IF($N409&lt;=المرجع!$K$2,"أولي","جزئي"))</f>
        <v>جزئي</v>
      </c>
      <c r="T409" s="28" t="n">
        <f aca="false">ROUND($Q409*$O409/100,2)</f>
        <v>4.5</v>
      </c>
    </row>
    <row r="410" customFormat="false" ht="15" hidden="false" customHeight="true" outlineLevel="0" collapsed="false">
      <c r="A410" s="20" t="s">
        <v>1862</v>
      </c>
      <c r="B410" s="20" t="s">
        <v>202</v>
      </c>
      <c r="C410" s="19" t="str">
        <f aca="false">IFERROR(INDEX('قائمة الوحدات'!$B$2:$B$41,MATCH($B410,'قائمة الوحدات'!$A$2:$A$41,0)),"")</f>
        <v>MIL</v>
      </c>
      <c r="D410" s="18" t="str">
        <f aca="false">IFERROR(INDEX('قائمة الوحدات'!$C$2:$C$41,MATCH($B410,'قائمة الوحدات'!$A$2:$A$41,0)),"")</f>
        <v>الجهاز العسكري</v>
      </c>
      <c r="E410" s="18" t="str">
        <f aca="false">IFERROR(INDEX('قائمة الوحدات'!$D$2:$D$41,MATCH($B410,'قائمة الوحدات'!$A$2:$A$41,0)),"")</f>
        <v>قيادة القوات البحرية</v>
      </c>
      <c r="F410" s="18" t="str">
        <f aca="false">IFERROR(INDEX('قائمة الوحدات'!$F$2:$F$41,MATCH($B410,'قائمة الوحدات'!$A$2:$A$41,0)),"")</f>
        <v>قيادة القوات البحرية</v>
      </c>
      <c r="G410" s="20" t="s">
        <v>62</v>
      </c>
      <c r="H410" s="18" t="str">
        <f aca="false">IFERROR(INDEX(المرجع!$A$2:$A$19,MATCH($G410,المرجع!$B$2:$B$19,0)),"")</f>
        <v>البناء المؤسسي</v>
      </c>
      <c r="I410" s="20" t="s">
        <v>69</v>
      </c>
      <c r="J410" s="18" t="str">
        <f aca="false">IFERROR(INDEX(المرجع!$D$2:$D$19,MATCH($I410,المرجع!$E$2:$E$19,0)),"")</f>
        <v>إنتاج المخرج الأول</v>
      </c>
      <c r="K410" s="19" t="n">
        <f aca="false">IFERROR(INDEX(المرجع!$F$2:$F$19,MATCH($I410,المرجع!$E$2:$E$19,0)),"")</f>
        <v>7</v>
      </c>
      <c r="L410" s="19" t="n">
        <f aca="false">SUMIFS(المرجع!$H$2:$H$19,المرجع!$B$2:$B$19,$G410,المرجع!$E$2:$E$19,$I410)</f>
        <v>1</v>
      </c>
      <c r="M410" s="19" t="n">
        <f aca="false">COUNTIFS('المرتبطة بسمو الوزير'!$B$2:$B$151,$B410,'المرتبطة بسمو الوزير'!$G$2:$G$151,$G410,'المرتبطة بسمو الوزير'!$I$2:$I$151,$I410,'المرتبطة بسمو الوزير'!$M$2:$M$151,"&lt;&gt;")+COUNTIFS('الشؤون التنفيذية'!$B$2:$B$421,$B410,'الشؤون التنفيذية'!$G$2:$G$421,$G410,'الشؤون التنفيذية'!$I$2:$I$421,$I410,'الشؤون التنفيذية'!$N$2:$N$421,"&lt;&gt;")+COUNTIFS('الجهاز العسكري'!$B$2:$B$631,$B410,'الجهاز العسكري'!$G$2:$G$631,$G410,'الجهاز العسكري'!$I$2:$I$631,$I410,'الجهاز العسكري'!$M$2:$M$631,"&lt;&gt;")</f>
        <v>1</v>
      </c>
      <c r="N410" s="24" t="n">
        <f aca="false">IF($L410=0,0,ROUND((SUMIFS('المرتبطة بسمو الوزير'!$M$2:$M$151,'المرتبطة بسمو الوزير'!$B$2:$B$151,$B410,'المرتبطة بسمو الوزير'!$G$2:$G$151,$G410,'المرتبطة بسمو الوزير'!$I$2:$I$151,$I410)+SUMIFS('الشؤون التنفيذية'!$N$2:$N$421,'الشؤون التنفيذية'!$B$2:$B$421,$B410,'الشؤون التنفيذية'!$G$2:$G$421,$G410,'الشؤون التنفيذية'!$I$2:$I$421,$I410)+SUMIFS('الجهاز العسكري'!$M$2:$M$631,'الجهاز العسكري'!$B$2:$B$631,$B410,'الجهاز العسكري'!$G$2:$G$631,$G410,'الجهاز العسكري'!$I$2:$I$631,$I410))/$L410,0))</f>
        <v>88</v>
      </c>
      <c r="O410" s="25" t="n">
        <f aca="false">IF($L410=0,0,ROUND((SUMIFS('المرتبطة بسمو الوزير'!$N$2:$N$151,'المرتبطة بسمو الوزير'!$B$2:$B$151,$B410,'المرتبطة بسمو الوزير'!$G$2:$G$151,$G410,'المرتبطة بسمو الوزير'!$I$2:$I$151,$I410)+SUMIFS('الشؤون التنفيذية'!$O$2:$O$421,'الشؤون التنفيذية'!$B$2:$B$421,$B410,'الشؤون التنفيذية'!$G$2:$G$421,$G410,'الشؤون التنفيذية'!$I$2:$I$421,$I410)+SUMIFS('الجهاز العسكري'!$N$2:$N$631,'الجهاز العسكري'!$B$2:$B$631,$B410,'الجهاز العسكري'!$G$2:$G$631,$G410,'الجهاز العسكري'!$I$2:$I$631,$I410))/$L410,0))</f>
        <v>88</v>
      </c>
      <c r="P410" s="22"/>
      <c r="Q410" s="19" t="n">
        <f aca="false">SUMIFS(المرجع!$G$2:$G$19,المرجع!$B$2:$B$19,$G410,المرجع!$E$2:$E$19,$I410)</f>
        <v>5</v>
      </c>
      <c r="R410" s="26" t="n">
        <f aca="false">ROUND($Q410*$N410/100,2)</f>
        <v>4.4</v>
      </c>
      <c r="S410" s="27" t="str">
        <f aca="false">IF($N410&gt;المرجع!$K$3,"متقدم",IF($N410&lt;=المرجع!$K$2,"أولي","جزئي"))</f>
        <v>متقدم</v>
      </c>
      <c r="T410" s="28" t="n">
        <f aca="false">ROUND($Q410*$O410/100,2)</f>
        <v>4.4</v>
      </c>
    </row>
    <row r="411" customFormat="false" ht="15" hidden="false" customHeight="true" outlineLevel="0" collapsed="false">
      <c r="A411" s="20" t="s">
        <v>1863</v>
      </c>
      <c r="B411" s="20" t="s">
        <v>202</v>
      </c>
      <c r="C411" s="19" t="str">
        <f aca="false">IFERROR(INDEX('قائمة الوحدات'!$B$2:$B$41,MATCH($B411,'قائمة الوحدات'!$A$2:$A$41,0)),"")</f>
        <v>MIL</v>
      </c>
      <c r="D411" s="18" t="str">
        <f aca="false">IFERROR(INDEX('قائمة الوحدات'!$C$2:$C$41,MATCH($B411,'قائمة الوحدات'!$A$2:$A$41,0)),"")</f>
        <v>الجهاز العسكري</v>
      </c>
      <c r="E411" s="18" t="str">
        <f aca="false">IFERROR(INDEX('قائمة الوحدات'!$D$2:$D$41,MATCH($B411,'قائمة الوحدات'!$A$2:$A$41,0)),"")</f>
        <v>قيادة القوات البحرية</v>
      </c>
      <c r="F411" s="18" t="str">
        <f aca="false">IFERROR(INDEX('قائمة الوحدات'!$F$2:$F$41,MATCH($B411,'قائمة الوحدات'!$A$2:$A$41,0)),"")</f>
        <v>قيادة القوات البحرية</v>
      </c>
      <c r="G411" s="20" t="s">
        <v>66</v>
      </c>
      <c r="H411" s="18" t="str">
        <f aca="false">IFERROR(INDEX(المرجع!$A$2:$A$19,MATCH($G411,المرجع!$B$2:$B$19,0)),"")</f>
        <v>التشغيل</v>
      </c>
      <c r="I411" s="20" t="s">
        <v>49</v>
      </c>
      <c r="J411" s="18" t="str">
        <f aca="false">IFERROR(INDEX(المرجع!$D$2:$D$19,MATCH($I411,المرجع!$E$2:$E$19,0)),"")</f>
        <v>الأهداف ومؤشرات الأداء</v>
      </c>
      <c r="K411" s="19" t="n">
        <f aca="false">IFERROR(INDEX(المرجع!$F$2:$F$19,MATCH($I411,المرجع!$E$2:$E$19,0)),"")</f>
        <v>2</v>
      </c>
      <c r="L411" s="19" t="n">
        <f aca="false">SUMIFS(المرجع!$H$2:$H$19,المرجع!$B$2:$B$19,$G411,المرجع!$E$2:$E$19,$I411)</f>
        <v>2</v>
      </c>
      <c r="M411" s="19" t="n">
        <f aca="false">COUNTIFS('المرتبطة بسمو الوزير'!$B$2:$B$151,$B411,'المرتبطة بسمو الوزير'!$G$2:$G$151,$G411,'المرتبطة بسمو الوزير'!$I$2:$I$151,$I411,'المرتبطة بسمو الوزير'!$M$2:$M$151,"&lt;&gt;")+COUNTIFS('الشؤون التنفيذية'!$B$2:$B$421,$B411,'الشؤون التنفيذية'!$G$2:$G$421,$G411,'الشؤون التنفيذية'!$I$2:$I$421,$I411,'الشؤون التنفيذية'!$N$2:$N$421,"&lt;&gt;")+COUNTIFS('الجهاز العسكري'!$B$2:$B$631,$B411,'الجهاز العسكري'!$G$2:$G$631,$G411,'الجهاز العسكري'!$I$2:$I$631,$I411,'الجهاز العسكري'!$M$2:$M$631,"&lt;&gt;")</f>
        <v>2</v>
      </c>
      <c r="N411" s="24" t="n">
        <f aca="false">IF($L411=0,0,ROUND((SUMIFS('المرتبطة بسمو الوزير'!$M$2:$M$151,'المرتبطة بسمو الوزير'!$B$2:$B$151,$B411,'المرتبطة بسمو الوزير'!$G$2:$G$151,$G411,'المرتبطة بسمو الوزير'!$I$2:$I$151,$I411)+SUMIFS('الشؤون التنفيذية'!$N$2:$N$421,'الشؤون التنفيذية'!$B$2:$B$421,$B411,'الشؤون التنفيذية'!$G$2:$G$421,$G411,'الشؤون التنفيذية'!$I$2:$I$421,$I411)+SUMIFS('الجهاز العسكري'!$M$2:$M$631,'الجهاز العسكري'!$B$2:$B$631,$B411,'الجهاز العسكري'!$G$2:$G$631,$G411,'الجهاز العسكري'!$I$2:$I$631,$I411))/$L411,0))</f>
        <v>43</v>
      </c>
      <c r="O411" s="25" t="n">
        <f aca="false">IF($L411=0,0,ROUND((SUMIFS('المرتبطة بسمو الوزير'!$N$2:$N$151,'المرتبطة بسمو الوزير'!$B$2:$B$151,$B411,'المرتبطة بسمو الوزير'!$G$2:$G$151,$G411,'المرتبطة بسمو الوزير'!$I$2:$I$151,$I411)+SUMIFS('الشؤون التنفيذية'!$O$2:$O$421,'الشؤون التنفيذية'!$B$2:$B$421,$B411,'الشؤون التنفيذية'!$G$2:$G$421,$G411,'الشؤون التنفيذية'!$I$2:$I$421,$I411)+SUMIFS('الجهاز العسكري'!$N$2:$N$631,'الجهاز العسكري'!$B$2:$B$631,$B411,'الجهاز العسكري'!$G$2:$G$631,$G411,'الجهاز العسكري'!$I$2:$I$631,$I411))/$L411,0))</f>
        <v>100</v>
      </c>
      <c r="P411" s="22"/>
      <c r="Q411" s="19" t="n">
        <f aca="false">SUMIFS(المرجع!$G$2:$G$19,المرجع!$B$2:$B$19,$G411,المرجع!$E$2:$E$19,$I411)</f>
        <v>25</v>
      </c>
      <c r="R411" s="26" t="n">
        <f aca="false">ROUND($Q411*$N411/100,2)</f>
        <v>10.75</v>
      </c>
      <c r="S411" s="27" t="str">
        <f aca="false">IF($N411&gt;المرجع!$K$3,"متقدم",IF($N411&lt;=المرجع!$K$2,"أولي","جزئي"))</f>
        <v>جزئي</v>
      </c>
      <c r="T411" s="28" t="n">
        <f aca="false">ROUND($Q411*$O411/100,2)</f>
        <v>25</v>
      </c>
    </row>
    <row r="412" customFormat="false" ht="15" hidden="false" customHeight="true" outlineLevel="0" collapsed="false">
      <c r="A412" s="20" t="s">
        <v>1864</v>
      </c>
      <c r="B412" s="20" t="s">
        <v>202</v>
      </c>
      <c r="C412" s="19" t="str">
        <f aca="false">IFERROR(INDEX('قائمة الوحدات'!$B$2:$B$41,MATCH($B412,'قائمة الوحدات'!$A$2:$A$41,0)),"")</f>
        <v>MIL</v>
      </c>
      <c r="D412" s="18" t="str">
        <f aca="false">IFERROR(INDEX('قائمة الوحدات'!$C$2:$C$41,MATCH($B412,'قائمة الوحدات'!$A$2:$A$41,0)),"")</f>
        <v>الجهاز العسكري</v>
      </c>
      <c r="E412" s="18" t="str">
        <f aca="false">IFERROR(INDEX('قائمة الوحدات'!$D$2:$D$41,MATCH($B412,'قائمة الوحدات'!$A$2:$A$41,0)),"")</f>
        <v>قيادة القوات البحرية</v>
      </c>
      <c r="F412" s="18" t="str">
        <f aca="false">IFERROR(INDEX('قائمة الوحدات'!$F$2:$F$41,MATCH($B412,'قائمة الوحدات'!$A$2:$A$41,0)),"")</f>
        <v>قيادة القوات البحرية</v>
      </c>
      <c r="G412" s="20" t="s">
        <v>66</v>
      </c>
      <c r="H412" s="18" t="str">
        <f aca="false">IFERROR(INDEX(المرجع!$A$2:$A$19,MATCH($G412,المرجع!$B$2:$B$19,0)),"")</f>
        <v>التشغيل</v>
      </c>
      <c r="I412" s="20" t="s">
        <v>52</v>
      </c>
      <c r="J412" s="18" t="str">
        <f aca="false">IFERROR(INDEX(المرجع!$D$2:$D$19,MATCH($I412,المرجع!$E$2:$E$19,0)),"")</f>
        <v>الحوكمة</v>
      </c>
      <c r="K412" s="19" t="n">
        <f aca="false">IFERROR(INDEX(المرجع!$F$2:$F$19,MATCH($I412,المرجع!$E$2:$E$19,0)),"")</f>
        <v>3</v>
      </c>
      <c r="L412" s="19" t="n">
        <f aca="false">SUMIFS(المرجع!$H$2:$H$19,المرجع!$B$2:$B$19,$G412,المرجع!$E$2:$E$19,$I412)</f>
        <v>3</v>
      </c>
      <c r="M412" s="19" t="n">
        <f aca="false">COUNTIFS('المرتبطة بسمو الوزير'!$B$2:$B$151,$B412,'المرتبطة بسمو الوزير'!$G$2:$G$151,$G412,'المرتبطة بسمو الوزير'!$I$2:$I$151,$I412,'المرتبطة بسمو الوزير'!$M$2:$M$151,"&lt;&gt;")+COUNTIFS('الشؤون التنفيذية'!$B$2:$B$421,$B412,'الشؤون التنفيذية'!$G$2:$G$421,$G412,'الشؤون التنفيذية'!$I$2:$I$421,$I412,'الشؤون التنفيذية'!$N$2:$N$421,"&lt;&gt;")+COUNTIFS('الجهاز العسكري'!$B$2:$B$631,$B412,'الجهاز العسكري'!$G$2:$G$631,$G412,'الجهاز العسكري'!$I$2:$I$631,$I412,'الجهاز العسكري'!$M$2:$M$631,"&lt;&gt;")</f>
        <v>3</v>
      </c>
      <c r="N412" s="24" t="n">
        <f aca="false">IF($L412=0,0,ROUND((SUMIFS('المرتبطة بسمو الوزير'!$M$2:$M$151,'المرتبطة بسمو الوزير'!$B$2:$B$151,$B412,'المرتبطة بسمو الوزير'!$G$2:$G$151,$G412,'المرتبطة بسمو الوزير'!$I$2:$I$151,$I412)+SUMIFS('الشؤون التنفيذية'!$N$2:$N$421,'الشؤون التنفيذية'!$B$2:$B$421,$B412,'الشؤون التنفيذية'!$G$2:$G$421,$G412,'الشؤون التنفيذية'!$I$2:$I$421,$I412)+SUMIFS('الجهاز العسكري'!$M$2:$M$631,'الجهاز العسكري'!$B$2:$B$631,$B412,'الجهاز العسكري'!$G$2:$G$631,$G412,'الجهاز العسكري'!$I$2:$I$631,$I412))/$L412,0))</f>
        <v>23</v>
      </c>
      <c r="O412" s="25" t="n">
        <f aca="false">IF($L412=0,0,ROUND((SUMIFS('المرتبطة بسمو الوزير'!$N$2:$N$151,'المرتبطة بسمو الوزير'!$B$2:$B$151,$B412,'المرتبطة بسمو الوزير'!$G$2:$G$151,$G412,'المرتبطة بسمو الوزير'!$I$2:$I$151,$I412)+SUMIFS('الشؤون التنفيذية'!$O$2:$O$421,'الشؤون التنفيذية'!$B$2:$B$421,$B412,'الشؤون التنفيذية'!$G$2:$G$421,$G412,'الشؤون التنفيذية'!$I$2:$I$421,$I412)+SUMIFS('الجهاز العسكري'!$N$2:$N$631,'الجهاز العسكري'!$B$2:$B$631,$B412,'الجهاز العسكري'!$G$2:$G$631,$G412,'الجهاز العسكري'!$I$2:$I$631,$I412))/$L412,0))</f>
        <v>95</v>
      </c>
      <c r="P412" s="22"/>
      <c r="Q412" s="19" t="n">
        <f aca="false">SUMIFS(المرجع!$G$2:$G$19,المرجع!$B$2:$B$19,$G412,المرجع!$E$2:$E$19,$I412)</f>
        <v>15</v>
      </c>
      <c r="R412" s="26" t="n">
        <f aca="false">ROUND($Q412*$N412/100,2)</f>
        <v>3.45</v>
      </c>
      <c r="S412" s="27" t="str">
        <f aca="false">IF($N412&gt;المرجع!$K$3,"متقدم",IF($N412&lt;=المرجع!$K$2,"أولي","جزئي"))</f>
        <v>أولي</v>
      </c>
      <c r="T412" s="28" t="n">
        <f aca="false">ROUND($Q412*$O412/100,2)</f>
        <v>14.25</v>
      </c>
    </row>
    <row r="413" customFormat="false" ht="15" hidden="false" customHeight="true" outlineLevel="0" collapsed="false">
      <c r="A413" s="20" t="s">
        <v>1865</v>
      </c>
      <c r="B413" s="20" t="s">
        <v>202</v>
      </c>
      <c r="C413" s="19" t="str">
        <f aca="false">IFERROR(INDEX('قائمة الوحدات'!$B$2:$B$41,MATCH($B413,'قائمة الوحدات'!$A$2:$A$41,0)),"")</f>
        <v>MIL</v>
      </c>
      <c r="D413" s="18" t="str">
        <f aca="false">IFERROR(INDEX('قائمة الوحدات'!$C$2:$C$41,MATCH($B413,'قائمة الوحدات'!$A$2:$A$41,0)),"")</f>
        <v>الجهاز العسكري</v>
      </c>
      <c r="E413" s="18" t="str">
        <f aca="false">IFERROR(INDEX('قائمة الوحدات'!$D$2:$D$41,MATCH($B413,'قائمة الوحدات'!$A$2:$A$41,0)),"")</f>
        <v>قيادة القوات البحرية</v>
      </c>
      <c r="F413" s="18" t="str">
        <f aca="false">IFERROR(INDEX('قائمة الوحدات'!$F$2:$F$41,MATCH($B413,'قائمة الوحدات'!$A$2:$A$41,0)),"")</f>
        <v>قيادة القوات البحرية</v>
      </c>
      <c r="G413" s="20" t="s">
        <v>66</v>
      </c>
      <c r="H413" s="18" t="str">
        <f aca="false">IFERROR(INDEX(المرجع!$A$2:$A$19,MATCH($G413,المرجع!$B$2:$B$19,0)),"")</f>
        <v>التشغيل</v>
      </c>
      <c r="I413" s="20" t="s">
        <v>57</v>
      </c>
      <c r="J413" s="18" t="str">
        <f aca="false">IFERROR(INDEX(المرجع!$D$2:$D$19,MATCH($I413,المرجع!$E$2:$E$19,0)),"")</f>
        <v>الموارد</v>
      </c>
      <c r="K413" s="19" t="n">
        <f aca="false">IFERROR(INDEX(المرجع!$F$2:$F$19,MATCH($I413,المرجع!$E$2:$E$19,0)),"")</f>
        <v>5</v>
      </c>
      <c r="L413" s="19" t="n">
        <f aca="false">SUMIFS(المرجع!$H$2:$H$19,المرجع!$B$2:$B$19,$G413,المرجع!$E$2:$E$19,$I413)</f>
        <v>1</v>
      </c>
      <c r="M413" s="19" t="n">
        <f aca="false">COUNTIFS('المرتبطة بسمو الوزير'!$B$2:$B$151,$B413,'المرتبطة بسمو الوزير'!$G$2:$G$151,$G413,'المرتبطة بسمو الوزير'!$I$2:$I$151,$I413,'المرتبطة بسمو الوزير'!$M$2:$M$151,"&lt;&gt;")+COUNTIFS('الشؤون التنفيذية'!$B$2:$B$421,$B413,'الشؤون التنفيذية'!$G$2:$G$421,$G413,'الشؤون التنفيذية'!$I$2:$I$421,$I413,'الشؤون التنفيذية'!$N$2:$N$421,"&lt;&gt;")+COUNTIFS('الجهاز العسكري'!$B$2:$B$631,$B413,'الجهاز العسكري'!$G$2:$G$631,$G413,'الجهاز العسكري'!$I$2:$I$631,$I413,'الجهاز العسكري'!$M$2:$M$631,"&lt;&gt;")</f>
        <v>1</v>
      </c>
      <c r="N413" s="24" t="n">
        <f aca="false">IF($L413=0,0,ROUND((SUMIFS('المرتبطة بسمو الوزير'!$M$2:$M$151,'المرتبطة بسمو الوزير'!$B$2:$B$151,$B413,'المرتبطة بسمو الوزير'!$G$2:$G$151,$G413,'المرتبطة بسمو الوزير'!$I$2:$I$151,$I413)+SUMIFS('الشؤون التنفيذية'!$N$2:$N$421,'الشؤون التنفيذية'!$B$2:$B$421,$B413,'الشؤون التنفيذية'!$G$2:$G$421,$G413,'الشؤون التنفيذية'!$I$2:$I$421,$I413)+SUMIFS('الجهاز العسكري'!$M$2:$M$631,'الجهاز العسكري'!$B$2:$B$631,$B413,'الجهاز العسكري'!$G$2:$G$631,$G413,'الجهاز العسكري'!$I$2:$I$631,$I413))/$L413,0))</f>
        <v>55</v>
      </c>
      <c r="O413" s="25" t="n">
        <f aca="false">IF($L413=0,0,ROUND((SUMIFS('المرتبطة بسمو الوزير'!$N$2:$N$151,'المرتبطة بسمو الوزير'!$B$2:$B$151,$B413,'المرتبطة بسمو الوزير'!$G$2:$G$151,$G413,'المرتبطة بسمو الوزير'!$I$2:$I$151,$I413)+SUMIFS('الشؤون التنفيذية'!$O$2:$O$421,'الشؤون التنفيذية'!$B$2:$B$421,$B413,'الشؤون التنفيذية'!$G$2:$G$421,$G413,'الشؤون التنفيذية'!$I$2:$I$421,$I413)+SUMIFS('الجهاز العسكري'!$N$2:$N$631,'الجهاز العسكري'!$B$2:$B$631,$B413,'الجهاز العسكري'!$G$2:$G$631,$G413,'الجهاز العسكري'!$I$2:$I$631,$I413))/$L413,0))</f>
        <v>95</v>
      </c>
      <c r="P413" s="22"/>
      <c r="Q413" s="19" t="n">
        <f aca="false">SUMIFS(المرجع!$G$2:$G$19,المرجع!$B$2:$B$19,$G413,المرجع!$E$2:$E$19,$I413)</f>
        <v>15</v>
      </c>
      <c r="R413" s="26" t="n">
        <f aca="false">ROUND($Q413*$N413/100,2)</f>
        <v>8.25</v>
      </c>
      <c r="S413" s="27" t="str">
        <f aca="false">IF($N413&gt;المرجع!$K$3,"متقدم",IF($N413&lt;=المرجع!$K$2,"أولي","جزئي"))</f>
        <v>جزئي</v>
      </c>
      <c r="T413" s="28" t="n">
        <f aca="false">ROUND($Q413*$O413/100,2)</f>
        <v>14.25</v>
      </c>
    </row>
    <row r="414" customFormat="false" ht="15" hidden="false" customHeight="true" outlineLevel="0" collapsed="false">
      <c r="A414" s="20" t="s">
        <v>1866</v>
      </c>
      <c r="B414" s="20" t="s">
        <v>202</v>
      </c>
      <c r="C414" s="19" t="str">
        <f aca="false">IFERROR(INDEX('قائمة الوحدات'!$B$2:$B$41,MATCH($B414,'قائمة الوحدات'!$A$2:$A$41,0)),"")</f>
        <v>MIL</v>
      </c>
      <c r="D414" s="18" t="str">
        <f aca="false">IFERROR(INDEX('قائمة الوحدات'!$C$2:$C$41,MATCH($B414,'قائمة الوحدات'!$A$2:$A$41,0)),"")</f>
        <v>الجهاز العسكري</v>
      </c>
      <c r="E414" s="18" t="str">
        <f aca="false">IFERROR(INDEX('قائمة الوحدات'!$D$2:$D$41,MATCH($B414,'قائمة الوحدات'!$A$2:$A$41,0)),"")</f>
        <v>قيادة القوات البحرية</v>
      </c>
      <c r="F414" s="18" t="str">
        <f aca="false">IFERROR(INDEX('قائمة الوحدات'!$F$2:$F$41,MATCH($B414,'قائمة الوحدات'!$A$2:$A$41,0)),"")</f>
        <v>قيادة القوات البحرية</v>
      </c>
      <c r="G414" s="20" t="s">
        <v>66</v>
      </c>
      <c r="H414" s="18" t="str">
        <f aca="false">IFERROR(INDEX(المرجع!$A$2:$A$19,MATCH($G414,المرجع!$B$2:$B$19,0)),"")</f>
        <v>التشغيل</v>
      </c>
      <c r="I414" s="20" t="s">
        <v>60</v>
      </c>
      <c r="J414" s="18" t="str">
        <f aca="false">IFERROR(INDEX(المرجع!$D$2:$D$19,MATCH($I414,المرجع!$E$2:$E$19,0)),"")</f>
        <v>الإجراءات</v>
      </c>
      <c r="K414" s="19" t="n">
        <f aca="false">IFERROR(INDEX(المرجع!$F$2:$F$19,MATCH($I414,المرجع!$E$2:$E$19,0)),"")</f>
        <v>6</v>
      </c>
      <c r="L414" s="19" t="n">
        <f aca="false">SUMIFS(المرجع!$H$2:$H$19,المرجع!$B$2:$B$19,$G414,المرجع!$E$2:$E$19,$I414)</f>
        <v>1</v>
      </c>
      <c r="M414" s="19" t="n">
        <f aca="false">COUNTIFS('المرتبطة بسمو الوزير'!$B$2:$B$151,$B414,'المرتبطة بسمو الوزير'!$G$2:$G$151,$G414,'المرتبطة بسمو الوزير'!$I$2:$I$151,$I414,'المرتبطة بسمو الوزير'!$M$2:$M$151,"&lt;&gt;")+COUNTIFS('الشؤون التنفيذية'!$B$2:$B$421,$B414,'الشؤون التنفيذية'!$G$2:$G$421,$G414,'الشؤون التنفيذية'!$I$2:$I$421,$I414,'الشؤون التنفيذية'!$N$2:$N$421,"&lt;&gt;")+COUNTIFS('الجهاز العسكري'!$B$2:$B$631,$B414,'الجهاز العسكري'!$G$2:$G$631,$G414,'الجهاز العسكري'!$I$2:$I$631,$I414,'الجهاز العسكري'!$M$2:$M$631,"&lt;&gt;")</f>
        <v>1</v>
      </c>
      <c r="N414" s="24" t="n">
        <f aca="false">IF($L414=0,0,ROUND((SUMIFS('المرتبطة بسمو الوزير'!$M$2:$M$151,'المرتبطة بسمو الوزير'!$B$2:$B$151,$B414,'المرتبطة بسمو الوزير'!$G$2:$G$151,$G414,'المرتبطة بسمو الوزير'!$I$2:$I$151,$I414)+SUMIFS('الشؤون التنفيذية'!$N$2:$N$421,'الشؤون التنفيذية'!$B$2:$B$421,$B414,'الشؤون التنفيذية'!$G$2:$G$421,$G414,'الشؤون التنفيذية'!$I$2:$I$421,$I414)+SUMIFS('الجهاز العسكري'!$M$2:$M$631,'الجهاز العسكري'!$B$2:$B$631,$B414,'الجهاز العسكري'!$G$2:$G$631,$G414,'الجهاز العسكري'!$I$2:$I$631,$I414))/$L414,0))</f>
        <v>24</v>
      </c>
      <c r="O414" s="25" t="n">
        <f aca="false">IF($L414=0,0,ROUND((SUMIFS('المرتبطة بسمو الوزير'!$N$2:$N$151,'المرتبطة بسمو الوزير'!$B$2:$B$151,$B414,'المرتبطة بسمو الوزير'!$G$2:$G$151,$G414,'المرتبطة بسمو الوزير'!$I$2:$I$151,$I414)+SUMIFS('الشؤون التنفيذية'!$O$2:$O$421,'الشؤون التنفيذية'!$B$2:$B$421,$B414,'الشؤون التنفيذية'!$G$2:$G$421,$G414,'الشؤون التنفيذية'!$I$2:$I$421,$I414)+SUMIFS('الجهاز العسكري'!$N$2:$N$631,'الجهاز العسكري'!$B$2:$B$631,$B414,'الجهاز العسكري'!$G$2:$G$631,$G414,'الجهاز العسكري'!$I$2:$I$631,$I414))/$L414,0))</f>
        <v>90</v>
      </c>
      <c r="P414" s="22"/>
      <c r="Q414" s="19" t="n">
        <f aca="false">SUMIFS(المرجع!$G$2:$G$19,المرجع!$B$2:$B$19,$G414,المرجع!$E$2:$E$19,$I414)</f>
        <v>15</v>
      </c>
      <c r="R414" s="26" t="n">
        <f aca="false">ROUND($Q414*$N414/100,2)</f>
        <v>3.6</v>
      </c>
      <c r="S414" s="27" t="str">
        <f aca="false">IF($N414&gt;المرجع!$K$3,"متقدم",IF($N414&lt;=المرجع!$K$2,"أولي","جزئي"))</f>
        <v>أولي</v>
      </c>
      <c r="T414" s="28" t="n">
        <f aca="false">ROUND($Q414*$O414/100,2)</f>
        <v>13.5</v>
      </c>
    </row>
    <row r="415" customFormat="false" ht="15" hidden="false" customHeight="true" outlineLevel="0" collapsed="false">
      <c r="A415" s="20" t="s">
        <v>1867</v>
      </c>
      <c r="B415" s="20" t="s">
        <v>202</v>
      </c>
      <c r="C415" s="19" t="str">
        <f aca="false">IFERROR(INDEX('قائمة الوحدات'!$B$2:$B$41,MATCH($B415,'قائمة الوحدات'!$A$2:$A$41,0)),"")</f>
        <v>MIL</v>
      </c>
      <c r="D415" s="18" t="str">
        <f aca="false">IFERROR(INDEX('قائمة الوحدات'!$C$2:$C$41,MATCH($B415,'قائمة الوحدات'!$A$2:$A$41,0)),"")</f>
        <v>الجهاز العسكري</v>
      </c>
      <c r="E415" s="18" t="str">
        <f aca="false">IFERROR(INDEX('قائمة الوحدات'!$D$2:$D$41,MATCH($B415,'قائمة الوحدات'!$A$2:$A$41,0)),"")</f>
        <v>قيادة القوات البحرية</v>
      </c>
      <c r="F415" s="18" t="str">
        <f aca="false">IFERROR(INDEX('قائمة الوحدات'!$F$2:$F$41,MATCH($B415,'قائمة الوحدات'!$A$2:$A$41,0)),"")</f>
        <v>قيادة القوات البحرية</v>
      </c>
      <c r="G415" s="20" t="s">
        <v>66</v>
      </c>
      <c r="H415" s="18" t="str">
        <f aca="false">IFERROR(INDEX(المرجع!$A$2:$A$19,MATCH($G415,المرجع!$B$2:$B$19,0)),"")</f>
        <v>التشغيل</v>
      </c>
      <c r="I415" s="20" t="s">
        <v>71</v>
      </c>
      <c r="J415" s="18" t="str">
        <f aca="false">IFERROR(INDEX(المرجع!$D$2:$D$19,MATCH($I415,المرجع!$E$2:$E$19,0)),"")</f>
        <v>اكتمال المخرجات المستهدفة</v>
      </c>
      <c r="K415" s="19" t="n">
        <f aca="false">IFERROR(INDEX(المرجع!$F$2:$F$19,MATCH($I415,المرجع!$E$2:$E$19,0)),"")</f>
        <v>8</v>
      </c>
      <c r="L415" s="19" t="n">
        <f aca="false">SUMIFS(المرجع!$H$2:$H$19,المرجع!$B$2:$B$19,$G415,المرجع!$E$2:$E$19,$I415)</f>
        <v>1</v>
      </c>
      <c r="M415" s="19" t="n">
        <f aca="false">COUNTIFS('المرتبطة بسمو الوزير'!$B$2:$B$151,$B415,'المرتبطة بسمو الوزير'!$G$2:$G$151,$G415,'المرتبطة بسمو الوزير'!$I$2:$I$151,$I415,'المرتبطة بسمو الوزير'!$M$2:$M$151,"&lt;&gt;")+COUNTIFS('الشؤون التنفيذية'!$B$2:$B$421,$B415,'الشؤون التنفيذية'!$G$2:$G$421,$G415,'الشؤون التنفيذية'!$I$2:$I$421,$I415,'الشؤون التنفيذية'!$N$2:$N$421,"&lt;&gt;")+COUNTIFS('الجهاز العسكري'!$B$2:$B$631,$B415,'الجهاز العسكري'!$G$2:$G$631,$G415,'الجهاز العسكري'!$I$2:$I$631,$I415,'الجهاز العسكري'!$M$2:$M$631,"&lt;&gt;")</f>
        <v>1</v>
      </c>
      <c r="N415" s="24" t="n">
        <f aca="false">IF($L415=0,0,ROUND((SUMIFS('المرتبطة بسمو الوزير'!$M$2:$M$151,'المرتبطة بسمو الوزير'!$B$2:$B$151,$B415,'المرتبطة بسمو الوزير'!$G$2:$G$151,$G415,'المرتبطة بسمو الوزير'!$I$2:$I$151,$I415)+SUMIFS('الشؤون التنفيذية'!$N$2:$N$421,'الشؤون التنفيذية'!$B$2:$B$421,$B415,'الشؤون التنفيذية'!$G$2:$G$421,$G415,'الشؤون التنفيذية'!$I$2:$I$421,$I415)+SUMIFS('الجهاز العسكري'!$M$2:$M$631,'الجهاز العسكري'!$B$2:$B$631,$B415,'الجهاز العسكري'!$G$2:$G$631,$G415,'الجهاز العسكري'!$I$2:$I$631,$I415))/$L415,0))</f>
        <v>40</v>
      </c>
      <c r="O415" s="25" t="n">
        <f aca="false">IF($L415=0,0,ROUND((SUMIFS('المرتبطة بسمو الوزير'!$N$2:$N$151,'المرتبطة بسمو الوزير'!$B$2:$B$151,$B415,'المرتبطة بسمو الوزير'!$G$2:$G$151,$G415,'المرتبطة بسمو الوزير'!$I$2:$I$151,$I415)+SUMIFS('الشؤون التنفيذية'!$O$2:$O$421,'الشؤون التنفيذية'!$B$2:$B$421,$B415,'الشؤون التنفيذية'!$G$2:$G$421,$G415,'الشؤون التنفيذية'!$I$2:$I$421,$I415)+SUMIFS('الجهاز العسكري'!$N$2:$N$631,'الجهاز العسكري'!$B$2:$B$631,$B415,'الجهاز العسكري'!$G$2:$G$631,$G415,'الجهاز العسكري'!$I$2:$I$631,$I415))/$L415,0))</f>
        <v>80</v>
      </c>
      <c r="P415" s="22"/>
      <c r="Q415" s="19" t="n">
        <f aca="false">SUMIFS(المرجع!$G$2:$G$19,المرجع!$B$2:$B$19,$G415,المرجع!$E$2:$E$19,$I415)</f>
        <v>30</v>
      </c>
      <c r="R415" s="26" t="n">
        <f aca="false">ROUND($Q415*$N415/100,2)</f>
        <v>12</v>
      </c>
      <c r="S415" s="27" t="str">
        <f aca="false">IF($N415&gt;المرجع!$K$3,"متقدم",IF($N415&lt;=المرجع!$K$2,"أولي","جزئي"))</f>
        <v>جزئي</v>
      </c>
      <c r="T415" s="28" t="n">
        <f aca="false">ROUND($Q415*$O415/100,2)</f>
        <v>24</v>
      </c>
    </row>
    <row r="416" customFormat="false" ht="15" hidden="false" customHeight="true" outlineLevel="0" collapsed="false">
      <c r="A416" s="20" t="s">
        <v>1868</v>
      </c>
      <c r="B416" s="20" t="s">
        <v>204</v>
      </c>
      <c r="C416" s="19" t="str">
        <f aca="false">IFERROR(INDEX('قائمة الوحدات'!$B$2:$B$41,MATCH($B416,'قائمة الوحدات'!$A$2:$A$41,0)),"")</f>
        <v>MIL</v>
      </c>
      <c r="D416" s="18" t="str">
        <f aca="false">IFERROR(INDEX('قائمة الوحدات'!$C$2:$C$41,MATCH($B416,'قائمة الوحدات'!$A$2:$A$41,0)),"")</f>
        <v>الجهاز العسكري</v>
      </c>
      <c r="E416" s="18" t="str">
        <f aca="false">IFERROR(INDEX('قائمة الوحدات'!$D$2:$D$41,MATCH($B416,'قائمة الوحدات'!$A$2:$A$41,0)),"")</f>
        <v>قيادة قوات الدفاع الجوي</v>
      </c>
      <c r="F416" s="18" t="str">
        <f aca="false">IFERROR(INDEX('قائمة الوحدات'!$F$2:$F$41,MATCH($B416,'قائمة الوحدات'!$A$2:$A$41,0)),"")</f>
        <v>قيادة قوات الدفاع الجوي</v>
      </c>
      <c r="G416" s="20" t="s">
        <v>44</v>
      </c>
      <c r="H416" s="18" t="str">
        <f aca="false">IFERROR(INDEX(المرجع!$A$2:$A$19,MATCH($G416,المرجع!$B$2:$B$19,0)),"")</f>
        <v>التصميم</v>
      </c>
      <c r="I416" s="20" t="s">
        <v>46</v>
      </c>
      <c r="J416" s="18" t="str">
        <f aca="false">IFERROR(INDEX(المرجع!$D$2:$D$19,MATCH($I416,المرجع!$E$2:$E$19,0)),"")</f>
        <v>الدور</v>
      </c>
      <c r="K416" s="19" t="n">
        <f aca="false">IFERROR(INDEX(المرجع!$F$2:$F$19,MATCH($I416,المرجع!$E$2:$E$19,0)),"")</f>
        <v>1</v>
      </c>
      <c r="L416" s="19" t="n">
        <f aca="false">SUMIFS(المرجع!$H$2:$H$19,المرجع!$B$2:$B$19,$G416,المرجع!$E$2:$E$19,$I416)</f>
        <v>1</v>
      </c>
      <c r="M416" s="19" t="n">
        <f aca="false">COUNTIFS('المرتبطة بسمو الوزير'!$B$2:$B$151,$B416,'المرتبطة بسمو الوزير'!$G$2:$G$151,$G416,'المرتبطة بسمو الوزير'!$I$2:$I$151,$I416,'المرتبطة بسمو الوزير'!$M$2:$M$151,"&lt;&gt;")+COUNTIFS('الشؤون التنفيذية'!$B$2:$B$421,$B416,'الشؤون التنفيذية'!$G$2:$G$421,$G416,'الشؤون التنفيذية'!$I$2:$I$421,$I416,'الشؤون التنفيذية'!$N$2:$N$421,"&lt;&gt;")+COUNTIFS('الجهاز العسكري'!$B$2:$B$631,$B416,'الجهاز العسكري'!$G$2:$G$631,$G416,'الجهاز العسكري'!$I$2:$I$631,$I416,'الجهاز العسكري'!$M$2:$M$631,"&lt;&gt;")</f>
        <v>1</v>
      </c>
      <c r="N416" s="24" t="n">
        <f aca="false">IF($L416=0,0,ROUND((SUMIFS('المرتبطة بسمو الوزير'!$M$2:$M$151,'المرتبطة بسمو الوزير'!$B$2:$B$151,$B416,'المرتبطة بسمو الوزير'!$G$2:$G$151,$G416,'المرتبطة بسمو الوزير'!$I$2:$I$151,$I416)+SUMIFS('الشؤون التنفيذية'!$N$2:$N$421,'الشؤون التنفيذية'!$B$2:$B$421,$B416,'الشؤون التنفيذية'!$G$2:$G$421,$G416,'الشؤون التنفيذية'!$I$2:$I$421,$I416)+SUMIFS('الجهاز العسكري'!$M$2:$M$631,'الجهاز العسكري'!$B$2:$B$631,$B416,'الجهاز العسكري'!$G$2:$G$631,$G416,'الجهاز العسكري'!$I$2:$I$631,$I416))/$L416,0))</f>
        <v>96</v>
      </c>
      <c r="O416" s="25" t="n">
        <f aca="false">IF($L416=0,0,ROUND((SUMIFS('المرتبطة بسمو الوزير'!$N$2:$N$151,'المرتبطة بسمو الوزير'!$B$2:$B$151,$B416,'المرتبطة بسمو الوزير'!$G$2:$G$151,$G416,'المرتبطة بسمو الوزير'!$I$2:$I$151,$I416)+SUMIFS('الشؤون التنفيذية'!$O$2:$O$421,'الشؤون التنفيذية'!$B$2:$B$421,$B416,'الشؤون التنفيذية'!$G$2:$G$421,$G416,'الشؤون التنفيذية'!$I$2:$I$421,$I416)+SUMIFS('الجهاز العسكري'!$N$2:$N$631,'الجهاز العسكري'!$B$2:$B$631,$B416,'الجهاز العسكري'!$G$2:$G$631,$G416,'الجهاز العسكري'!$I$2:$I$631,$I416))/$L416,0))</f>
        <v>100</v>
      </c>
      <c r="P416" s="22"/>
      <c r="Q416" s="19" t="n">
        <f aca="false">SUMIFS(المرجع!$G$2:$G$19,المرجع!$B$2:$B$19,$G416,المرجع!$E$2:$E$19,$I416)</f>
        <v>25</v>
      </c>
      <c r="R416" s="26" t="n">
        <f aca="false">ROUND($Q416*$N416/100,2)</f>
        <v>24</v>
      </c>
      <c r="S416" s="27" t="str">
        <f aca="false">IF($N416&gt;المرجع!$K$3,"متقدم",IF($N416&lt;=المرجع!$K$2,"أولي","جزئي"))</f>
        <v>متقدم</v>
      </c>
      <c r="T416" s="28" t="n">
        <f aca="false">ROUND($Q416*$O416/100,2)</f>
        <v>25</v>
      </c>
    </row>
    <row r="417" customFormat="false" ht="15" hidden="false" customHeight="true" outlineLevel="0" collapsed="false">
      <c r="A417" s="20" t="s">
        <v>1869</v>
      </c>
      <c r="B417" s="20" t="s">
        <v>204</v>
      </c>
      <c r="C417" s="19" t="str">
        <f aca="false">IFERROR(INDEX('قائمة الوحدات'!$B$2:$B$41,MATCH($B417,'قائمة الوحدات'!$A$2:$A$41,0)),"")</f>
        <v>MIL</v>
      </c>
      <c r="D417" s="18" t="str">
        <f aca="false">IFERROR(INDEX('قائمة الوحدات'!$C$2:$C$41,MATCH($B417,'قائمة الوحدات'!$A$2:$A$41,0)),"")</f>
        <v>الجهاز العسكري</v>
      </c>
      <c r="E417" s="18" t="str">
        <f aca="false">IFERROR(INDEX('قائمة الوحدات'!$D$2:$D$41,MATCH($B417,'قائمة الوحدات'!$A$2:$A$41,0)),"")</f>
        <v>قيادة قوات الدفاع الجوي</v>
      </c>
      <c r="F417" s="18" t="str">
        <f aca="false">IFERROR(INDEX('قائمة الوحدات'!$F$2:$F$41,MATCH($B417,'قائمة الوحدات'!$A$2:$A$41,0)),"")</f>
        <v>قيادة قوات الدفاع الجوي</v>
      </c>
      <c r="G417" s="20" t="s">
        <v>44</v>
      </c>
      <c r="H417" s="18" t="str">
        <f aca="false">IFERROR(INDEX(المرجع!$A$2:$A$19,MATCH($G417,المرجع!$B$2:$B$19,0)),"")</f>
        <v>التصميم</v>
      </c>
      <c r="I417" s="20" t="s">
        <v>49</v>
      </c>
      <c r="J417" s="18" t="str">
        <f aca="false">IFERROR(INDEX(المرجع!$D$2:$D$19,MATCH($I417,المرجع!$E$2:$E$19,0)),"")</f>
        <v>الأهداف ومؤشرات الأداء</v>
      </c>
      <c r="K417" s="19" t="n">
        <f aca="false">IFERROR(INDEX(المرجع!$F$2:$F$19,MATCH($I417,المرجع!$E$2:$E$19,0)),"")</f>
        <v>2</v>
      </c>
      <c r="L417" s="19" t="n">
        <f aca="false">SUMIFS(المرجع!$H$2:$H$19,المرجع!$B$2:$B$19,$G417,المرجع!$E$2:$E$19,$I417)</f>
        <v>2</v>
      </c>
      <c r="M417" s="19" t="n">
        <f aca="false">COUNTIFS('المرتبطة بسمو الوزير'!$B$2:$B$151,$B417,'المرتبطة بسمو الوزير'!$G$2:$G$151,$G417,'المرتبطة بسمو الوزير'!$I$2:$I$151,$I417,'المرتبطة بسمو الوزير'!$M$2:$M$151,"&lt;&gt;")+COUNTIFS('الشؤون التنفيذية'!$B$2:$B$421,$B417,'الشؤون التنفيذية'!$G$2:$G$421,$G417,'الشؤون التنفيذية'!$I$2:$I$421,$I417,'الشؤون التنفيذية'!$N$2:$N$421,"&lt;&gt;")+COUNTIFS('الجهاز العسكري'!$B$2:$B$631,$B417,'الجهاز العسكري'!$G$2:$G$631,$G417,'الجهاز العسكري'!$I$2:$I$631,$I417,'الجهاز العسكري'!$M$2:$M$631,"&lt;&gt;")</f>
        <v>2</v>
      </c>
      <c r="N417" s="24" t="n">
        <f aca="false">IF($L417=0,0,ROUND((SUMIFS('المرتبطة بسمو الوزير'!$M$2:$M$151,'المرتبطة بسمو الوزير'!$B$2:$B$151,$B417,'المرتبطة بسمو الوزير'!$G$2:$G$151,$G417,'المرتبطة بسمو الوزير'!$I$2:$I$151,$I417)+SUMIFS('الشؤون التنفيذية'!$N$2:$N$421,'الشؤون التنفيذية'!$B$2:$B$421,$B417,'الشؤون التنفيذية'!$G$2:$G$421,$G417,'الشؤون التنفيذية'!$I$2:$I$421,$I417)+SUMIFS('الجهاز العسكري'!$M$2:$M$631,'الجهاز العسكري'!$B$2:$B$631,$B417,'الجهاز العسكري'!$G$2:$G$631,$G417,'الجهاز العسكري'!$I$2:$I$631,$I417))/$L417,0))</f>
        <v>83</v>
      </c>
      <c r="O417" s="25" t="n">
        <f aca="false">IF($L417=0,0,ROUND((SUMIFS('المرتبطة بسمو الوزير'!$N$2:$N$151,'المرتبطة بسمو الوزير'!$B$2:$B$151,$B417,'المرتبطة بسمو الوزير'!$G$2:$G$151,$G417,'المرتبطة بسمو الوزير'!$I$2:$I$151,$I417)+SUMIFS('الشؤون التنفيذية'!$O$2:$O$421,'الشؤون التنفيذية'!$B$2:$B$421,$B417,'الشؤون التنفيذية'!$G$2:$G$421,$G417,'الشؤون التنفيذية'!$I$2:$I$421,$I417)+SUMIFS('الجهاز العسكري'!$N$2:$N$631,'الجهاز العسكري'!$B$2:$B$631,$B417,'الجهاز العسكري'!$G$2:$G$631,$G417,'الجهاز العسكري'!$I$2:$I$631,$I417))/$L417,0))</f>
        <v>90</v>
      </c>
      <c r="P417" s="22"/>
      <c r="Q417" s="19" t="n">
        <f aca="false">SUMIFS(المرجع!$G$2:$G$19,المرجع!$B$2:$B$19,$G417,المرجع!$E$2:$E$19,$I417)</f>
        <v>15</v>
      </c>
      <c r="R417" s="26" t="n">
        <f aca="false">ROUND($Q417*$N417/100,2)</f>
        <v>12.45</v>
      </c>
      <c r="S417" s="27" t="str">
        <f aca="false">IF($N417&gt;المرجع!$K$3,"متقدم",IF($N417&lt;=المرجع!$K$2,"أولي","جزئي"))</f>
        <v>متقدم</v>
      </c>
      <c r="T417" s="28" t="n">
        <f aca="false">ROUND($Q417*$O417/100,2)</f>
        <v>13.5</v>
      </c>
    </row>
    <row r="418" customFormat="false" ht="15" hidden="false" customHeight="true" outlineLevel="0" collapsed="false">
      <c r="A418" s="20" t="s">
        <v>1870</v>
      </c>
      <c r="B418" s="20" t="s">
        <v>204</v>
      </c>
      <c r="C418" s="19" t="str">
        <f aca="false">IFERROR(INDEX('قائمة الوحدات'!$B$2:$B$41,MATCH($B418,'قائمة الوحدات'!$A$2:$A$41,0)),"")</f>
        <v>MIL</v>
      </c>
      <c r="D418" s="18" t="str">
        <f aca="false">IFERROR(INDEX('قائمة الوحدات'!$C$2:$C$41,MATCH($B418,'قائمة الوحدات'!$A$2:$A$41,0)),"")</f>
        <v>الجهاز العسكري</v>
      </c>
      <c r="E418" s="18" t="str">
        <f aca="false">IFERROR(INDEX('قائمة الوحدات'!$D$2:$D$41,MATCH($B418,'قائمة الوحدات'!$A$2:$A$41,0)),"")</f>
        <v>قيادة قوات الدفاع الجوي</v>
      </c>
      <c r="F418" s="18" t="str">
        <f aca="false">IFERROR(INDEX('قائمة الوحدات'!$F$2:$F$41,MATCH($B418,'قائمة الوحدات'!$A$2:$A$41,0)),"")</f>
        <v>قيادة قوات الدفاع الجوي</v>
      </c>
      <c r="G418" s="20" t="s">
        <v>44</v>
      </c>
      <c r="H418" s="18" t="str">
        <f aca="false">IFERROR(INDEX(المرجع!$A$2:$A$19,MATCH($G418,المرجع!$B$2:$B$19,0)),"")</f>
        <v>التصميم</v>
      </c>
      <c r="I418" s="20" t="s">
        <v>52</v>
      </c>
      <c r="J418" s="18" t="str">
        <f aca="false">IFERROR(INDEX(المرجع!$D$2:$D$19,MATCH($I418,المرجع!$E$2:$E$19,0)),"")</f>
        <v>الحوكمة</v>
      </c>
      <c r="K418" s="19" t="n">
        <f aca="false">IFERROR(INDEX(المرجع!$F$2:$F$19,MATCH($I418,المرجع!$E$2:$E$19,0)),"")</f>
        <v>3</v>
      </c>
      <c r="L418" s="19" t="n">
        <f aca="false">SUMIFS(المرجع!$H$2:$H$19,المرجع!$B$2:$B$19,$G418,المرجع!$E$2:$E$19,$I418)</f>
        <v>1</v>
      </c>
      <c r="M418" s="19" t="n">
        <f aca="false">COUNTIFS('المرتبطة بسمو الوزير'!$B$2:$B$151,$B418,'المرتبطة بسمو الوزير'!$G$2:$G$151,$G418,'المرتبطة بسمو الوزير'!$I$2:$I$151,$I418,'المرتبطة بسمو الوزير'!$M$2:$M$151,"&lt;&gt;")+COUNTIFS('الشؤون التنفيذية'!$B$2:$B$421,$B418,'الشؤون التنفيذية'!$G$2:$G$421,$G418,'الشؤون التنفيذية'!$I$2:$I$421,$I418,'الشؤون التنفيذية'!$N$2:$N$421,"&lt;&gt;")+COUNTIFS('الجهاز العسكري'!$B$2:$B$631,$B418,'الجهاز العسكري'!$G$2:$G$631,$G418,'الجهاز العسكري'!$I$2:$I$631,$I418,'الجهاز العسكري'!$M$2:$M$631,"&lt;&gt;")</f>
        <v>1</v>
      </c>
      <c r="N418" s="24" t="n">
        <f aca="false">IF($L418=0,0,ROUND((SUMIFS('المرتبطة بسمو الوزير'!$M$2:$M$151,'المرتبطة بسمو الوزير'!$B$2:$B$151,$B418,'المرتبطة بسمو الوزير'!$G$2:$G$151,$G418,'المرتبطة بسمو الوزير'!$I$2:$I$151,$I418)+SUMIFS('الشؤون التنفيذية'!$N$2:$N$421,'الشؤون التنفيذية'!$B$2:$B$421,$B418,'الشؤون التنفيذية'!$G$2:$G$421,$G418,'الشؤون التنفيذية'!$I$2:$I$421,$I418)+SUMIFS('الجهاز العسكري'!$M$2:$M$631,'الجهاز العسكري'!$B$2:$B$631,$B418,'الجهاز العسكري'!$G$2:$G$631,$G418,'الجهاز العسكري'!$I$2:$I$631,$I418))/$L418,0))</f>
        <v>83</v>
      </c>
      <c r="O418" s="25" t="n">
        <f aca="false">IF($L418=0,0,ROUND((SUMIFS('المرتبطة بسمو الوزير'!$N$2:$N$151,'المرتبطة بسمو الوزير'!$B$2:$B$151,$B418,'المرتبطة بسمو الوزير'!$G$2:$G$151,$G418,'المرتبطة بسمو الوزير'!$I$2:$I$151,$I418)+SUMIFS('الشؤون التنفيذية'!$O$2:$O$421,'الشؤون التنفيذية'!$B$2:$B$421,$B418,'الشؤون التنفيذية'!$G$2:$G$421,$G418,'الشؤون التنفيذية'!$I$2:$I$421,$I418)+SUMIFS('الجهاز العسكري'!$N$2:$N$631,'الجهاز العسكري'!$B$2:$B$631,$B418,'الجهاز العسكري'!$G$2:$G$631,$G418,'الجهاز العسكري'!$I$2:$I$631,$I418))/$L418,0))</f>
        <v>83</v>
      </c>
      <c r="P418" s="22"/>
      <c r="Q418" s="19" t="n">
        <f aca="false">SUMIFS(المرجع!$G$2:$G$19,المرجع!$B$2:$B$19,$G418,المرجع!$E$2:$E$19,$I418)</f>
        <v>15</v>
      </c>
      <c r="R418" s="26" t="n">
        <f aca="false">ROUND($Q418*$N418/100,2)</f>
        <v>12.45</v>
      </c>
      <c r="S418" s="27" t="str">
        <f aca="false">IF($N418&gt;المرجع!$K$3,"متقدم",IF($N418&lt;=المرجع!$K$2,"أولي","جزئي"))</f>
        <v>متقدم</v>
      </c>
      <c r="T418" s="28" t="n">
        <f aca="false">ROUND($Q418*$O418/100,2)</f>
        <v>12.45</v>
      </c>
    </row>
    <row r="419" customFormat="false" ht="15" hidden="false" customHeight="true" outlineLevel="0" collapsed="false">
      <c r="A419" s="20" t="s">
        <v>1871</v>
      </c>
      <c r="B419" s="20" t="s">
        <v>204</v>
      </c>
      <c r="C419" s="19" t="str">
        <f aca="false">IFERROR(INDEX('قائمة الوحدات'!$B$2:$B$41,MATCH($B419,'قائمة الوحدات'!$A$2:$A$41,0)),"")</f>
        <v>MIL</v>
      </c>
      <c r="D419" s="18" t="str">
        <f aca="false">IFERROR(INDEX('قائمة الوحدات'!$C$2:$C$41,MATCH($B419,'قائمة الوحدات'!$A$2:$A$41,0)),"")</f>
        <v>الجهاز العسكري</v>
      </c>
      <c r="E419" s="18" t="str">
        <f aca="false">IFERROR(INDEX('قائمة الوحدات'!$D$2:$D$41,MATCH($B419,'قائمة الوحدات'!$A$2:$A$41,0)),"")</f>
        <v>قيادة قوات الدفاع الجوي</v>
      </c>
      <c r="F419" s="18" t="str">
        <f aca="false">IFERROR(INDEX('قائمة الوحدات'!$F$2:$F$41,MATCH($B419,'قائمة الوحدات'!$A$2:$A$41,0)),"")</f>
        <v>قيادة قوات الدفاع الجوي</v>
      </c>
      <c r="G419" s="20" t="s">
        <v>44</v>
      </c>
      <c r="H419" s="18" t="str">
        <f aca="false">IFERROR(INDEX(المرجع!$A$2:$A$19,MATCH($G419,المرجع!$B$2:$B$19,0)),"")</f>
        <v>التصميم</v>
      </c>
      <c r="I419" s="20" t="s">
        <v>55</v>
      </c>
      <c r="J419" s="18" t="str">
        <f aca="false">IFERROR(INDEX(المرجع!$D$2:$D$19,MATCH($I419,المرجع!$E$2:$E$19,0)),"")</f>
        <v>التنظيم</v>
      </c>
      <c r="K419" s="19" t="n">
        <f aca="false">IFERROR(INDEX(المرجع!$F$2:$F$19,MATCH($I419,المرجع!$E$2:$E$19,0)),"")</f>
        <v>4</v>
      </c>
      <c r="L419" s="19" t="n">
        <f aca="false">SUMIFS(المرجع!$H$2:$H$19,المرجع!$B$2:$B$19,$G419,المرجع!$E$2:$E$19,$I419)</f>
        <v>1</v>
      </c>
      <c r="M419" s="19" t="n">
        <f aca="false">COUNTIFS('المرتبطة بسمو الوزير'!$B$2:$B$151,$B419,'المرتبطة بسمو الوزير'!$G$2:$G$151,$G419,'المرتبطة بسمو الوزير'!$I$2:$I$151,$I419,'المرتبطة بسمو الوزير'!$M$2:$M$151,"&lt;&gt;")+COUNTIFS('الشؤون التنفيذية'!$B$2:$B$421,$B419,'الشؤون التنفيذية'!$G$2:$G$421,$G419,'الشؤون التنفيذية'!$I$2:$I$421,$I419,'الشؤون التنفيذية'!$N$2:$N$421,"&lt;&gt;")+COUNTIFS('الجهاز العسكري'!$B$2:$B$631,$B419,'الجهاز العسكري'!$G$2:$G$631,$G419,'الجهاز العسكري'!$I$2:$I$631,$I419,'الجهاز العسكري'!$M$2:$M$631,"&lt;&gt;")</f>
        <v>1</v>
      </c>
      <c r="N419" s="24" t="n">
        <f aca="false">IF($L419=0,0,ROUND((SUMIFS('المرتبطة بسمو الوزير'!$M$2:$M$151,'المرتبطة بسمو الوزير'!$B$2:$B$151,$B419,'المرتبطة بسمو الوزير'!$G$2:$G$151,$G419,'المرتبطة بسمو الوزير'!$I$2:$I$151,$I419)+SUMIFS('الشؤون التنفيذية'!$N$2:$N$421,'الشؤون التنفيذية'!$B$2:$B$421,$B419,'الشؤون التنفيذية'!$G$2:$G$421,$G419,'الشؤون التنفيذية'!$I$2:$I$421,$I419)+SUMIFS('الجهاز العسكري'!$M$2:$M$631,'الجهاز العسكري'!$B$2:$B$631,$B419,'الجهاز العسكري'!$G$2:$G$631,$G419,'الجهاز العسكري'!$I$2:$I$631,$I419))/$L419,0))</f>
        <v>75</v>
      </c>
      <c r="O419" s="25" t="n">
        <f aca="false">IF($L419=0,0,ROUND((SUMIFS('المرتبطة بسمو الوزير'!$N$2:$N$151,'المرتبطة بسمو الوزير'!$B$2:$B$151,$B419,'المرتبطة بسمو الوزير'!$G$2:$G$151,$G419,'المرتبطة بسمو الوزير'!$I$2:$I$151,$I419)+SUMIFS('الشؤون التنفيذية'!$O$2:$O$421,'الشؤون التنفيذية'!$B$2:$B$421,$B419,'الشؤون التنفيذية'!$G$2:$G$421,$G419,'الشؤون التنفيذية'!$I$2:$I$421,$I419)+SUMIFS('الجهاز العسكري'!$N$2:$N$631,'الجهاز العسكري'!$B$2:$B$631,$B419,'الجهاز العسكري'!$G$2:$G$631,$G419,'الجهاز العسكري'!$I$2:$I$631,$I419))/$L419,0))</f>
        <v>100</v>
      </c>
      <c r="P419" s="22"/>
      <c r="Q419" s="19" t="n">
        <f aca="false">SUMIFS(المرجع!$G$2:$G$19,المرجع!$B$2:$B$19,$G419,المرجع!$E$2:$E$19,$I419)</f>
        <v>20</v>
      </c>
      <c r="R419" s="26" t="n">
        <f aca="false">ROUND($Q419*$N419/100,2)</f>
        <v>15</v>
      </c>
      <c r="S419" s="27" t="str">
        <f aca="false">IF($N419&gt;المرجع!$K$3,"متقدم",IF($N419&lt;=المرجع!$K$2,"أولي","جزئي"))</f>
        <v>متقدم</v>
      </c>
      <c r="T419" s="28" t="n">
        <f aca="false">ROUND($Q419*$O419/100,2)</f>
        <v>20</v>
      </c>
    </row>
    <row r="420" customFormat="false" ht="15" hidden="false" customHeight="true" outlineLevel="0" collapsed="false">
      <c r="A420" s="20" t="s">
        <v>1872</v>
      </c>
      <c r="B420" s="20" t="s">
        <v>204</v>
      </c>
      <c r="C420" s="19" t="str">
        <f aca="false">IFERROR(INDEX('قائمة الوحدات'!$B$2:$B$41,MATCH($B420,'قائمة الوحدات'!$A$2:$A$41,0)),"")</f>
        <v>MIL</v>
      </c>
      <c r="D420" s="18" t="str">
        <f aca="false">IFERROR(INDEX('قائمة الوحدات'!$C$2:$C$41,MATCH($B420,'قائمة الوحدات'!$A$2:$A$41,0)),"")</f>
        <v>الجهاز العسكري</v>
      </c>
      <c r="E420" s="18" t="str">
        <f aca="false">IFERROR(INDEX('قائمة الوحدات'!$D$2:$D$41,MATCH($B420,'قائمة الوحدات'!$A$2:$A$41,0)),"")</f>
        <v>قيادة قوات الدفاع الجوي</v>
      </c>
      <c r="F420" s="18" t="str">
        <f aca="false">IFERROR(INDEX('قائمة الوحدات'!$F$2:$F$41,MATCH($B420,'قائمة الوحدات'!$A$2:$A$41,0)),"")</f>
        <v>قيادة قوات الدفاع الجوي</v>
      </c>
      <c r="G420" s="20" t="s">
        <v>44</v>
      </c>
      <c r="H420" s="18" t="str">
        <f aca="false">IFERROR(INDEX(المرجع!$A$2:$A$19,MATCH($G420,المرجع!$B$2:$B$19,0)),"")</f>
        <v>التصميم</v>
      </c>
      <c r="I420" s="20" t="s">
        <v>57</v>
      </c>
      <c r="J420" s="18" t="str">
        <f aca="false">IFERROR(INDEX(المرجع!$D$2:$D$19,MATCH($I420,المرجع!$E$2:$E$19,0)),"")</f>
        <v>الموارد</v>
      </c>
      <c r="K420" s="19" t="n">
        <f aca="false">IFERROR(INDEX(المرجع!$F$2:$F$19,MATCH($I420,المرجع!$E$2:$E$19,0)),"")</f>
        <v>5</v>
      </c>
      <c r="L420" s="19" t="n">
        <f aca="false">SUMIFS(المرجع!$H$2:$H$19,المرجع!$B$2:$B$19,$G420,المرجع!$E$2:$E$19,$I420)</f>
        <v>1</v>
      </c>
      <c r="M420" s="19" t="n">
        <f aca="false">COUNTIFS('المرتبطة بسمو الوزير'!$B$2:$B$151,$B420,'المرتبطة بسمو الوزير'!$G$2:$G$151,$G420,'المرتبطة بسمو الوزير'!$I$2:$I$151,$I420,'المرتبطة بسمو الوزير'!$M$2:$M$151,"&lt;&gt;")+COUNTIFS('الشؤون التنفيذية'!$B$2:$B$421,$B420,'الشؤون التنفيذية'!$G$2:$G$421,$G420,'الشؤون التنفيذية'!$I$2:$I$421,$I420,'الشؤون التنفيذية'!$N$2:$N$421,"&lt;&gt;")+COUNTIFS('الجهاز العسكري'!$B$2:$B$631,$B420,'الجهاز العسكري'!$G$2:$G$631,$G420,'الجهاز العسكري'!$I$2:$I$631,$I420,'الجهاز العسكري'!$M$2:$M$631,"&lt;&gt;")</f>
        <v>1</v>
      </c>
      <c r="N420" s="24" t="n">
        <f aca="false">IF($L420=0,0,ROUND((SUMIFS('المرتبطة بسمو الوزير'!$M$2:$M$151,'المرتبطة بسمو الوزير'!$B$2:$B$151,$B420,'المرتبطة بسمو الوزير'!$G$2:$G$151,$G420,'المرتبطة بسمو الوزير'!$I$2:$I$151,$I420)+SUMIFS('الشؤون التنفيذية'!$N$2:$N$421,'الشؤون التنفيذية'!$B$2:$B$421,$B420,'الشؤون التنفيذية'!$G$2:$G$421,$G420,'الشؤون التنفيذية'!$I$2:$I$421,$I420)+SUMIFS('الجهاز العسكري'!$M$2:$M$631,'الجهاز العسكري'!$B$2:$B$631,$B420,'الجهاز العسكري'!$G$2:$G$631,$G420,'الجهاز العسكري'!$I$2:$I$631,$I420))/$L420,0))</f>
        <v>83</v>
      </c>
      <c r="O420" s="25" t="n">
        <f aca="false">IF($L420=0,0,ROUND((SUMIFS('المرتبطة بسمو الوزير'!$N$2:$N$151,'المرتبطة بسمو الوزير'!$B$2:$B$151,$B420,'المرتبطة بسمو الوزير'!$G$2:$G$151,$G420,'المرتبطة بسمو الوزير'!$I$2:$I$151,$I420)+SUMIFS('الشؤون التنفيذية'!$O$2:$O$421,'الشؤون التنفيذية'!$B$2:$B$421,$B420,'الشؤون التنفيذية'!$G$2:$G$421,$G420,'الشؤون التنفيذية'!$I$2:$I$421,$I420)+SUMIFS('الجهاز العسكري'!$N$2:$N$631,'الجهاز العسكري'!$B$2:$B$631,$B420,'الجهاز العسكري'!$G$2:$G$631,$G420,'الجهاز العسكري'!$I$2:$I$631,$I420))/$L420,0))</f>
        <v>100</v>
      </c>
      <c r="P420" s="22"/>
      <c r="Q420" s="19" t="n">
        <f aca="false">SUMIFS(المرجع!$G$2:$G$19,المرجع!$B$2:$B$19,$G420,المرجع!$E$2:$E$19,$I420)</f>
        <v>20</v>
      </c>
      <c r="R420" s="26" t="n">
        <f aca="false">ROUND($Q420*$N420/100,2)</f>
        <v>16.6</v>
      </c>
      <c r="S420" s="27" t="str">
        <f aca="false">IF($N420&gt;المرجع!$K$3,"متقدم",IF($N420&lt;=المرجع!$K$2,"أولي","جزئي"))</f>
        <v>متقدم</v>
      </c>
      <c r="T420" s="28" t="n">
        <f aca="false">ROUND($Q420*$O420/100,2)</f>
        <v>20</v>
      </c>
    </row>
    <row r="421" customFormat="false" ht="15" hidden="false" customHeight="true" outlineLevel="0" collapsed="false">
      <c r="A421" s="20" t="s">
        <v>1873</v>
      </c>
      <c r="B421" s="20" t="s">
        <v>204</v>
      </c>
      <c r="C421" s="19" t="str">
        <f aca="false">IFERROR(INDEX('قائمة الوحدات'!$B$2:$B$41,MATCH($B421,'قائمة الوحدات'!$A$2:$A$41,0)),"")</f>
        <v>MIL</v>
      </c>
      <c r="D421" s="18" t="str">
        <f aca="false">IFERROR(INDEX('قائمة الوحدات'!$C$2:$C$41,MATCH($B421,'قائمة الوحدات'!$A$2:$A$41,0)),"")</f>
        <v>الجهاز العسكري</v>
      </c>
      <c r="E421" s="18" t="str">
        <f aca="false">IFERROR(INDEX('قائمة الوحدات'!$D$2:$D$41,MATCH($B421,'قائمة الوحدات'!$A$2:$A$41,0)),"")</f>
        <v>قيادة قوات الدفاع الجوي</v>
      </c>
      <c r="F421" s="18" t="str">
        <f aca="false">IFERROR(INDEX('قائمة الوحدات'!$F$2:$F$41,MATCH($B421,'قائمة الوحدات'!$A$2:$A$41,0)),"")</f>
        <v>قيادة قوات الدفاع الجوي</v>
      </c>
      <c r="G421" s="20" t="s">
        <v>44</v>
      </c>
      <c r="H421" s="18" t="str">
        <f aca="false">IFERROR(INDEX(المرجع!$A$2:$A$19,MATCH($G421,المرجع!$B$2:$B$19,0)),"")</f>
        <v>التصميم</v>
      </c>
      <c r="I421" s="20" t="s">
        <v>60</v>
      </c>
      <c r="J421" s="18" t="str">
        <f aca="false">IFERROR(INDEX(المرجع!$D$2:$D$19,MATCH($I421,المرجع!$E$2:$E$19,0)),"")</f>
        <v>الإجراءات</v>
      </c>
      <c r="K421" s="19" t="n">
        <f aca="false">IFERROR(INDEX(المرجع!$F$2:$F$19,MATCH($I421,المرجع!$E$2:$E$19,0)),"")</f>
        <v>6</v>
      </c>
      <c r="L421" s="19" t="n">
        <f aca="false">SUMIFS(المرجع!$H$2:$H$19,المرجع!$B$2:$B$19,$G421,المرجع!$E$2:$E$19,$I421)</f>
        <v>1</v>
      </c>
      <c r="M421" s="19" t="n">
        <f aca="false">COUNTIFS('المرتبطة بسمو الوزير'!$B$2:$B$151,$B421,'المرتبطة بسمو الوزير'!$G$2:$G$151,$G421,'المرتبطة بسمو الوزير'!$I$2:$I$151,$I421,'المرتبطة بسمو الوزير'!$M$2:$M$151,"&lt;&gt;")+COUNTIFS('الشؤون التنفيذية'!$B$2:$B$421,$B421,'الشؤون التنفيذية'!$G$2:$G$421,$G421,'الشؤون التنفيذية'!$I$2:$I$421,$I421,'الشؤون التنفيذية'!$N$2:$N$421,"&lt;&gt;")+COUNTIFS('الجهاز العسكري'!$B$2:$B$631,$B421,'الجهاز العسكري'!$G$2:$G$631,$G421,'الجهاز العسكري'!$I$2:$I$631,$I421,'الجهاز العسكري'!$M$2:$M$631,"&lt;&gt;")</f>
        <v>1</v>
      </c>
      <c r="N421" s="24" t="n">
        <f aca="false">IF($L421=0,0,ROUND((SUMIFS('المرتبطة بسمو الوزير'!$M$2:$M$151,'المرتبطة بسمو الوزير'!$B$2:$B$151,$B421,'المرتبطة بسمو الوزير'!$G$2:$G$151,$G421,'المرتبطة بسمو الوزير'!$I$2:$I$151,$I421)+SUMIFS('الشؤون التنفيذية'!$N$2:$N$421,'الشؤون التنفيذية'!$B$2:$B$421,$B421,'الشؤون التنفيذية'!$G$2:$G$421,$G421,'الشؤون التنفيذية'!$I$2:$I$421,$I421)+SUMIFS('الجهاز العسكري'!$M$2:$M$631,'الجهاز العسكري'!$B$2:$B$631,$B421,'الجهاز العسكري'!$G$2:$G$631,$G421,'الجهاز العسكري'!$I$2:$I$631,$I421))/$L421,0))</f>
        <v>98</v>
      </c>
      <c r="O421" s="25" t="n">
        <f aca="false">IF($L421=0,0,ROUND((SUMIFS('المرتبطة بسمو الوزير'!$N$2:$N$151,'المرتبطة بسمو الوزير'!$B$2:$B$151,$B421,'المرتبطة بسمو الوزير'!$G$2:$G$151,$G421,'المرتبطة بسمو الوزير'!$I$2:$I$151,$I421)+SUMIFS('الشؤون التنفيذية'!$O$2:$O$421,'الشؤون التنفيذية'!$B$2:$B$421,$B421,'الشؤون التنفيذية'!$G$2:$G$421,$G421,'الشؤون التنفيذية'!$I$2:$I$421,$I421)+SUMIFS('الجهاز العسكري'!$N$2:$N$631,'الجهاز العسكري'!$B$2:$B$631,$B421,'الجهاز العسكري'!$G$2:$G$631,$G421,'الجهاز العسكري'!$I$2:$I$631,$I421))/$L421,0))</f>
        <v>98</v>
      </c>
      <c r="P421" s="22"/>
      <c r="Q421" s="19" t="n">
        <f aca="false">SUMIFS(المرجع!$G$2:$G$19,المرجع!$B$2:$B$19,$G421,المرجع!$E$2:$E$19,$I421)</f>
        <v>5</v>
      </c>
      <c r="R421" s="26" t="n">
        <f aca="false">ROUND($Q421*$N421/100,2)</f>
        <v>4.9</v>
      </c>
      <c r="S421" s="27" t="str">
        <f aca="false">IF($N421&gt;المرجع!$K$3,"متقدم",IF($N421&lt;=المرجع!$K$2,"أولي","جزئي"))</f>
        <v>متقدم</v>
      </c>
      <c r="T421" s="28" t="n">
        <f aca="false">ROUND($Q421*$O421/100,2)</f>
        <v>4.9</v>
      </c>
    </row>
    <row r="422" customFormat="false" ht="15" hidden="false" customHeight="true" outlineLevel="0" collapsed="false">
      <c r="A422" s="20" t="s">
        <v>1874</v>
      </c>
      <c r="B422" s="20" t="s">
        <v>204</v>
      </c>
      <c r="C422" s="19" t="str">
        <f aca="false">IFERROR(INDEX('قائمة الوحدات'!$B$2:$B$41,MATCH($B422,'قائمة الوحدات'!$A$2:$A$41,0)),"")</f>
        <v>MIL</v>
      </c>
      <c r="D422" s="18" t="str">
        <f aca="false">IFERROR(INDEX('قائمة الوحدات'!$C$2:$C$41,MATCH($B422,'قائمة الوحدات'!$A$2:$A$41,0)),"")</f>
        <v>الجهاز العسكري</v>
      </c>
      <c r="E422" s="18" t="str">
        <f aca="false">IFERROR(INDEX('قائمة الوحدات'!$D$2:$D$41,MATCH($B422,'قائمة الوحدات'!$A$2:$A$41,0)),"")</f>
        <v>قيادة قوات الدفاع الجوي</v>
      </c>
      <c r="F422" s="18" t="str">
        <f aca="false">IFERROR(INDEX('قائمة الوحدات'!$F$2:$F$41,MATCH($B422,'قائمة الوحدات'!$A$2:$A$41,0)),"")</f>
        <v>قيادة قوات الدفاع الجوي</v>
      </c>
      <c r="G422" s="20" t="s">
        <v>62</v>
      </c>
      <c r="H422" s="18" t="str">
        <f aca="false">IFERROR(INDEX(المرجع!$A$2:$A$19,MATCH($G422,المرجع!$B$2:$B$19,0)),"")</f>
        <v>البناء المؤسسي</v>
      </c>
      <c r="I422" s="20" t="s">
        <v>46</v>
      </c>
      <c r="J422" s="18" t="str">
        <f aca="false">IFERROR(INDEX(المرجع!$D$2:$D$19,MATCH($I422,المرجع!$E$2:$E$19,0)),"")</f>
        <v>الدور</v>
      </c>
      <c r="K422" s="19" t="n">
        <f aca="false">IFERROR(INDEX(المرجع!$F$2:$F$19,MATCH($I422,المرجع!$E$2:$E$19,0)),"")</f>
        <v>1</v>
      </c>
      <c r="L422" s="19" t="n">
        <f aca="false">SUMIFS(المرجع!$H$2:$H$19,المرجع!$B$2:$B$19,$G422,المرجع!$E$2:$E$19,$I422)</f>
        <v>1</v>
      </c>
      <c r="M422" s="19" t="n">
        <f aca="false">COUNTIFS('المرتبطة بسمو الوزير'!$B$2:$B$151,$B422,'المرتبطة بسمو الوزير'!$G$2:$G$151,$G422,'المرتبطة بسمو الوزير'!$I$2:$I$151,$I422,'المرتبطة بسمو الوزير'!$M$2:$M$151,"&lt;&gt;")+COUNTIFS('الشؤون التنفيذية'!$B$2:$B$421,$B422,'الشؤون التنفيذية'!$G$2:$G$421,$G422,'الشؤون التنفيذية'!$I$2:$I$421,$I422,'الشؤون التنفيذية'!$N$2:$N$421,"&lt;&gt;")+COUNTIFS('الجهاز العسكري'!$B$2:$B$631,$B422,'الجهاز العسكري'!$G$2:$G$631,$G422,'الجهاز العسكري'!$I$2:$I$631,$I422,'الجهاز العسكري'!$M$2:$M$631,"&lt;&gt;")</f>
        <v>1</v>
      </c>
      <c r="N422" s="24" t="n">
        <f aca="false">IF($L422=0,0,ROUND((SUMIFS('المرتبطة بسمو الوزير'!$M$2:$M$151,'المرتبطة بسمو الوزير'!$B$2:$B$151,$B422,'المرتبطة بسمو الوزير'!$G$2:$G$151,$G422,'المرتبطة بسمو الوزير'!$I$2:$I$151,$I422)+SUMIFS('الشؤون التنفيذية'!$N$2:$N$421,'الشؤون التنفيذية'!$B$2:$B$421,$B422,'الشؤون التنفيذية'!$G$2:$G$421,$G422,'الشؤون التنفيذية'!$I$2:$I$421,$I422)+SUMIFS('الجهاز العسكري'!$M$2:$M$631,'الجهاز العسكري'!$B$2:$B$631,$B422,'الجهاز العسكري'!$G$2:$G$631,$G422,'الجهاز العسكري'!$I$2:$I$631,$I422))/$L422,0))</f>
        <v>55</v>
      </c>
      <c r="O422" s="25" t="n">
        <f aca="false">IF($L422=0,0,ROUND((SUMIFS('المرتبطة بسمو الوزير'!$N$2:$N$151,'المرتبطة بسمو الوزير'!$B$2:$B$151,$B422,'المرتبطة بسمو الوزير'!$G$2:$G$151,$G422,'المرتبطة بسمو الوزير'!$I$2:$I$151,$I422)+SUMIFS('الشؤون التنفيذية'!$O$2:$O$421,'الشؤون التنفيذية'!$B$2:$B$421,$B422,'الشؤون التنفيذية'!$G$2:$G$421,$G422,'الشؤون التنفيذية'!$I$2:$I$421,$I422)+SUMIFS('الجهاز العسكري'!$N$2:$N$631,'الجهاز العسكري'!$B$2:$B$631,$B422,'الجهاز العسكري'!$G$2:$G$631,$G422,'الجهاز العسكري'!$I$2:$I$631,$I422))/$L422,0))</f>
        <v>95</v>
      </c>
      <c r="P422" s="22"/>
      <c r="Q422" s="19" t="n">
        <f aca="false">SUMIFS(المرجع!$G$2:$G$19,المرجع!$B$2:$B$19,$G422,المرجع!$E$2:$E$19,$I422)</f>
        <v>15</v>
      </c>
      <c r="R422" s="26" t="n">
        <f aca="false">ROUND($Q422*$N422/100,2)</f>
        <v>8.25</v>
      </c>
      <c r="S422" s="27" t="str">
        <f aca="false">IF($N422&gt;المرجع!$K$3,"متقدم",IF($N422&lt;=المرجع!$K$2,"أولي","جزئي"))</f>
        <v>جزئي</v>
      </c>
      <c r="T422" s="28" t="n">
        <f aca="false">ROUND($Q422*$O422/100,2)</f>
        <v>14.25</v>
      </c>
    </row>
    <row r="423" customFormat="false" ht="15" hidden="false" customHeight="true" outlineLevel="0" collapsed="false">
      <c r="A423" s="20" t="s">
        <v>1875</v>
      </c>
      <c r="B423" s="20" t="s">
        <v>204</v>
      </c>
      <c r="C423" s="19" t="str">
        <f aca="false">IFERROR(INDEX('قائمة الوحدات'!$B$2:$B$41,MATCH($B423,'قائمة الوحدات'!$A$2:$A$41,0)),"")</f>
        <v>MIL</v>
      </c>
      <c r="D423" s="18" t="str">
        <f aca="false">IFERROR(INDEX('قائمة الوحدات'!$C$2:$C$41,MATCH($B423,'قائمة الوحدات'!$A$2:$A$41,0)),"")</f>
        <v>الجهاز العسكري</v>
      </c>
      <c r="E423" s="18" t="str">
        <f aca="false">IFERROR(INDEX('قائمة الوحدات'!$D$2:$D$41,MATCH($B423,'قائمة الوحدات'!$A$2:$A$41,0)),"")</f>
        <v>قيادة قوات الدفاع الجوي</v>
      </c>
      <c r="F423" s="18" t="str">
        <f aca="false">IFERROR(INDEX('قائمة الوحدات'!$F$2:$F$41,MATCH($B423,'قائمة الوحدات'!$A$2:$A$41,0)),"")</f>
        <v>قيادة قوات الدفاع الجوي</v>
      </c>
      <c r="G423" s="20" t="s">
        <v>62</v>
      </c>
      <c r="H423" s="18" t="str">
        <f aca="false">IFERROR(INDEX(المرجع!$A$2:$A$19,MATCH($G423,المرجع!$B$2:$B$19,0)),"")</f>
        <v>البناء المؤسسي</v>
      </c>
      <c r="I423" s="20" t="s">
        <v>49</v>
      </c>
      <c r="J423" s="18" t="str">
        <f aca="false">IFERROR(INDEX(المرجع!$D$2:$D$19,MATCH($I423,المرجع!$E$2:$E$19,0)),"")</f>
        <v>الأهداف ومؤشرات الأداء</v>
      </c>
      <c r="K423" s="19" t="n">
        <f aca="false">IFERROR(INDEX(المرجع!$F$2:$F$19,MATCH($I423,المرجع!$E$2:$E$19,0)),"")</f>
        <v>2</v>
      </c>
      <c r="L423" s="19" t="n">
        <f aca="false">SUMIFS(المرجع!$H$2:$H$19,المرجع!$B$2:$B$19,$G423,المرجع!$E$2:$E$19,$I423)</f>
        <v>2</v>
      </c>
      <c r="M423" s="19" t="n">
        <f aca="false">COUNTIFS('المرتبطة بسمو الوزير'!$B$2:$B$151,$B423,'المرتبطة بسمو الوزير'!$G$2:$G$151,$G423,'المرتبطة بسمو الوزير'!$I$2:$I$151,$I423,'المرتبطة بسمو الوزير'!$M$2:$M$151,"&lt;&gt;")+COUNTIFS('الشؤون التنفيذية'!$B$2:$B$421,$B423,'الشؤون التنفيذية'!$G$2:$G$421,$G423,'الشؤون التنفيذية'!$I$2:$I$421,$I423,'الشؤون التنفيذية'!$N$2:$N$421,"&lt;&gt;")+COUNTIFS('الجهاز العسكري'!$B$2:$B$631,$B423,'الجهاز العسكري'!$G$2:$G$631,$G423,'الجهاز العسكري'!$I$2:$I$631,$I423,'الجهاز العسكري'!$M$2:$M$631,"&lt;&gt;")</f>
        <v>2</v>
      </c>
      <c r="N423" s="24" t="n">
        <f aca="false">IF($L423=0,0,ROUND((SUMIFS('المرتبطة بسمو الوزير'!$M$2:$M$151,'المرتبطة بسمو الوزير'!$B$2:$B$151,$B423,'المرتبطة بسمو الوزير'!$G$2:$G$151,$G423,'المرتبطة بسمو الوزير'!$I$2:$I$151,$I423)+SUMIFS('الشؤون التنفيذية'!$N$2:$N$421,'الشؤون التنفيذية'!$B$2:$B$421,$B423,'الشؤون التنفيذية'!$G$2:$G$421,$G423,'الشؤون التنفيذية'!$I$2:$I$421,$I423)+SUMIFS('الجهاز العسكري'!$M$2:$M$631,'الجهاز العسكري'!$B$2:$B$631,$B423,'الجهاز العسكري'!$G$2:$G$631,$G423,'الجهاز العسكري'!$I$2:$I$631,$I423))/$L423,0))</f>
        <v>33</v>
      </c>
      <c r="O423" s="25" t="n">
        <f aca="false">IF($L423=0,0,ROUND((SUMIFS('المرتبطة بسمو الوزير'!$N$2:$N$151,'المرتبطة بسمو الوزير'!$B$2:$B$151,$B423,'المرتبطة بسمو الوزير'!$G$2:$G$151,$G423,'المرتبطة بسمو الوزير'!$I$2:$I$151,$I423)+SUMIFS('الشؤون التنفيذية'!$O$2:$O$421,'الشؤون التنفيذية'!$B$2:$B$421,$B423,'الشؤون التنفيذية'!$G$2:$G$421,$G423,'الشؤون التنفيذية'!$I$2:$I$421,$I423)+SUMIFS('الجهاز العسكري'!$N$2:$N$631,'الجهاز العسكري'!$B$2:$B$631,$B423,'الجهاز العسكري'!$G$2:$G$631,$G423,'الجهاز العسكري'!$I$2:$I$631,$I423))/$L423,0))</f>
        <v>83</v>
      </c>
      <c r="P423" s="22"/>
      <c r="Q423" s="19" t="n">
        <f aca="false">SUMIFS(المرجع!$G$2:$G$19,المرجع!$B$2:$B$19,$G423,المرجع!$E$2:$E$19,$I423)</f>
        <v>15</v>
      </c>
      <c r="R423" s="26" t="n">
        <f aca="false">ROUND($Q423*$N423/100,2)</f>
        <v>4.95</v>
      </c>
      <c r="S423" s="27" t="str">
        <f aca="false">IF($N423&gt;المرجع!$K$3,"متقدم",IF($N423&lt;=المرجع!$K$2,"أولي","جزئي"))</f>
        <v>جزئي</v>
      </c>
      <c r="T423" s="28" t="n">
        <f aca="false">ROUND($Q423*$O423/100,2)</f>
        <v>12.45</v>
      </c>
    </row>
    <row r="424" customFormat="false" ht="15" hidden="false" customHeight="true" outlineLevel="0" collapsed="false">
      <c r="A424" s="20" t="s">
        <v>1876</v>
      </c>
      <c r="B424" s="20" t="s">
        <v>204</v>
      </c>
      <c r="C424" s="19" t="str">
        <f aca="false">IFERROR(INDEX('قائمة الوحدات'!$B$2:$B$41,MATCH($B424,'قائمة الوحدات'!$A$2:$A$41,0)),"")</f>
        <v>MIL</v>
      </c>
      <c r="D424" s="18" t="str">
        <f aca="false">IFERROR(INDEX('قائمة الوحدات'!$C$2:$C$41,MATCH($B424,'قائمة الوحدات'!$A$2:$A$41,0)),"")</f>
        <v>الجهاز العسكري</v>
      </c>
      <c r="E424" s="18" t="str">
        <f aca="false">IFERROR(INDEX('قائمة الوحدات'!$D$2:$D$41,MATCH($B424,'قائمة الوحدات'!$A$2:$A$41,0)),"")</f>
        <v>قيادة قوات الدفاع الجوي</v>
      </c>
      <c r="F424" s="18" t="str">
        <f aca="false">IFERROR(INDEX('قائمة الوحدات'!$F$2:$F$41,MATCH($B424,'قائمة الوحدات'!$A$2:$A$41,0)),"")</f>
        <v>قيادة قوات الدفاع الجوي</v>
      </c>
      <c r="G424" s="20" t="s">
        <v>62</v>
      </c>
      <c r="H424" s="18" t="str">
        <f aca="false">IFERROR(INDEX(المرجع!$A$2:$A$19,MATCH($G424,المرجع!$B$2:$B$19,0)),"")</f>
        <v>البناء المؤسسي</v>
      </c>
      <c r="I424" s="20" t="s">
        <v>52</v>
      </c>
      <c r="J424" s="18" t="str">
        <f aca="false">IFERROR(INDEX(المرجع!$D$2:$D$19,MATCH($I424,المرجع!$E$2:$E$19,0)),"")</f>
        <v>الحوكمة</v>
      </c>
      <c r="K424" s="19" t="n">
        <f aca="false">IFERROR(INDEX(المرجع!$F$2:$F$19,MATCH($I424,المرجع!$E$2:$E$19,0)),"")</f>
        <v>3</v>
      </c>
      <c r="L424" s="19" t="n">
        <f aca="false">SUMIFS(المرجع!$H$2:$H$19,المرجع!$B$2:$B$19,$G424,المرجع!$E$2:$E$19,$I424)</f>
        <v>3</v>
      </c>
      <c r="M424" s="19" t="n">
        <f aca="false">COUNTIFS('المرتبطة بسمو الوزير'!$B$2:$B$151,$B424,'المرتبطة بسمو الوزير'!$G$2:$G$151,$G424,'المرتبطة بسمو الوزير'!$I$2:$I$151,$I424,'المرتبطة بسمو الوزير'!$M$2:$M$151,"&lt;&gt;")+COUNTIFS('الشؤون التنفيذية'!$B$2:$B$421,$B424,'الشؤون التنفيذية'!$G$2:$G$421,$G424,'الشؤون التنفيذية'!$I$2:$I$421,$I424,'الشؤون التنفيذية'!$N$2:$N$421,"&lt;&gt;")+COUNTIFS('الجهاز العسكري'!$B$2:$B$631,$B424,'الجهاز العسكري'!$G$2:$G$631,$G424,'الجهاز العسكري'!$I$2:$I$631,$I424,'الجهاز العسكري'!$M$2:$M$631,"&lt;&gt;")</f>
        <v>3</v>
      </c>
      <c r="N424" s="24" t="n">
        <f aca="false">IF($L424=0,0,ROUND((SUMIFS('المرتبطة بسمو الوزير'!$M$2:$M$151,'المرتبطة بسمو الوزير'!$B$2:$B$151,$B424,'المرتبطة بسمو الوزير'!$G$2:$G$151,$G424,'المرتبطة بسمو الوزير'!$I$2:$I$151,$I424)+SUMIFS('الشؤون التنفيذية'!$N$2:$N$421,'الشؤون التنفيذية'!$B$2:$B$421,$B424,'الشؤون التنفيذية'!$G$2:$G$421,$G424,'الشؤون التنفيذية'!$I$2:$I$421,$I424)+SUMIFS('الجهاز العسكري'!$M$2:$M$631,'الجهاز العسكري'!$B$2:$B$631,$B424,'الجهاز العسكري'!$G$2:$G$631,$G424,'الجهاز العسكري'!$I$2:$I$631,$I424))/$L424,0))</f>
        <v>60</v>
      </c>
      <c r="O424" s="25" t="n">
        <f aca="false">IF($L424=0,0,ROUND((SUMIFS('المرتبطة بسمو الوزير'!$N$2:$N$151,'المرتبطة بسمو الوزير'!$B$2:$B$151,$B424,'المرتبطة بسمو الوزير'!$G$2:$G$151,$G424,'المرتبطة بسمو الوزير'!$I$2:$I$151,$I424)+SUMIFS('الشؤون التنفيذية'!$O$2:$O$421,'الشؤون التنفيذية'!$B$2:$B$421,$B424,'الشؤون التنفيذية'!$G$2:$G$421,$G424,'الشؤون التنفيذية'!$I$2:$I$421,$I424)+SUMIFS('الجهاز العسكري'!$N$2:$N$631,'الجهاز العسكري'!$B$2:$B$631,$B424,'الجهاز العسكري'!$G$2:$G$631,$G424,'الجهاز العسكري'!$I$2:$I$631,$I424))/$L424,0))</f>
        <v>93</v>
      </c>
      <c r="P424" s="22"/>
      <c r="Q424" s="19" t="n">
        <f aca="false">SUMIFS(المرجع!$G$2:$G$19,المرجع!$B$2:$B$19,$G424,المرجع!$E$2:$E$19,$I424)</f>
        <v>15</v>
      </c>
      <c r="R424" s="26" t="n">
        <f aca="false">ROUND($Q424*$N424/100,2)</f>
        <v>9</v>
      </c>
      <c r="S424" s="27" t="str">
        <f aca="false">IF($N424&gt;المرجع!$K$3,"متقدم",IF($N424&lt;=المرجع!$K$2,"أولي","جزئي"))</f>
        <v>جزئي</v>
      </c>
      <c r="T424" s="28" t="n">
        <f aca="false">ROUND($Q424*$O424/100,2)</f>
        <v>13.95</v>
      </c>
    </row>
    <row r="425" customFormat="false" ht="15" hidden="false" customHeight="true" outlineLevel="0" collapsed="false">
      <c r="A425" s="20" t="s">
        <v>1877</v>
      </c>
      <c r="B425" s="20" t="s">
        <v>204</v>
      </c>
      <c r="C425" s="19" t="str">
        <f aca="false">IFERROR(INDEX('قائمة الوحدات'!$B$2:$B$41,MATCH($B425,'قائمة الوحدات'!$A$2:$A$41,0)),"")</f>
        <v>MIL</v>
      </c>
      <c r="D425" s="18" t="str">
        <f aca="false">IFERROR(INDEX('قائمة الوحدات'!$C$2:$C$41,MATCH($B425,'قائمة الوحدات'!$A$2:$A$41,0)),"")</f>
        <v>الجهاز العسكري</v>
      </c>
      <c r="E425" s="18" t="str">
        <f aca="false">IFERROR(INDEX('قائمة الوحدات'!$D$2:$D$41,MATCH($B425,'قائمة الوحدات'!$A$2:$A$41,0)),"")</f>
        <v>قيادة قوات الدفاع الجوي</v>
      </c>
      <c r="F425" s="18" t="str">
        <f aca="false">IFERROR(INDEX('قائمة الوحدات'!$F$2:$F$41,MATCH($B425,'قائمة الوحدات'!$A$2:$A$41,0)),"")</f>
        <v>قيادة قوات الدفاع الجوي</v>
      </c>
      <c r="G425" s="20" t="s">
        <v>62</v>
      </c>
      <c r="H425" s="18" t="str">
        <f aca="false">IFERROR(INDEX(المرجع!$A$2:$A$19,MATCH($G425,المرجع!$B$2:$B$19,0)),"")</f>
        <v>البناء المؤسسي</v>
      </c>
      <c r="I425" s="20" t="s">
        <v>55</v>
      </c>
      <c r="J425" s="18" t="str">
        <f aca="false">IFERROR(INDEX(المرجع!$D$2:$D$19,MATCH($I425,المرجع!$E$2:$E$19,0)),"")</f>
        <v>التنظيم</v>
      </c>
      <c r="K425" s="19" t="n">
        <f aca="false">IFERROR(INDEX(المرجع!$F$2:$F$19,MATCH($I425,المرجع!$E$2:$E$19,0)),"")</f>
        <v>4</v>
      </c>
      <c r="L425" s="19" t="n">
        <f aca="false">SUMIFS(المرجع!$H$2:$H$19,المرجع!$B$2:$B$19,$G425,المرجع!$E$2:$E$19,$I425)</f>
        <v>3</v>
      </c>
      <c r="M425" s="19" t="n">
        <f aca="false">COUNTIFS('المرتبطة بسمو الوزير'!$B$2:$B$151,$B425,'المرتبطة بسمو الوزير'!$G$2:$G$151,$G425,'المرتبطة بسمو الوزير'!$I$2:$I$151,$I425,'المرتبطة بسمو الوزير'!$M$2:$M$151,"&lt;&gt;")+COUNTIFS('الشؤون التنفيذية'!$B$2:$B$421,$B425,'الشؤون التنفيذية'!$G$2:$G$421,$G425,'الشؤون التنفيذية'!$I$2:$I$421,$I425,'الشؤون التنفيذية'!$N$2:$N$421,"&lt;&gt;")+COUNTIFS('الجهاز العسكري'!$B$2:$B$631,$B425,'الجهاز العسكري'!$G$2:$G$631,$G425,'الجهاز العسكري'!$I$2:$I$631,$I425,'الجهاز العسكري'!$M$2:$M$631,"&lt;&gt;")</f>
        <v>3</v>
      </c>
      <c r="N425" s="24" t="n">
        <f aca="false">IF($L425=0,0,ROUND((SUMIFS('المرتبطة بسمو الوزير'!$M$2:$M$151,'المرتبطة بسمو الوزير'!$B$2:$B$151,$B425,'المرتبطة بسمو الوزير'!$G$2:$G$151,$G425,'المرتبطة بسمو الوزير'!$I$2:$I$151,$I425)+SUMIFS('الشؤون التنفيذية'!$N$2:$N$421,'الشؤون التنفيذية'!$B$2:$B$421,$B425,'الشؤون التنفيذية'!$G$2:$G$421,$G425,'الشؤون التنفيذية'!$I$2:$I$421,$I425)+SUMIFS('الجهاز العسكري'!$M$2:$M$631,'الجهاز العسكري'!$B$2:$B$631,$B425,'الجهاز العسكري'!$G$2:$G$631,$G425,'الجهاز العسكري'!$I$2:$I$631,$I425))/$L425,0))</f>
        <v>95</v>
      </c>
      <c r="O425" s="25" t="n">
        <f aca="false">IF($L425=0,0,ROUND((SUMIFS('المرتبطة بسمو الوزير'!$N$2:$N$151,'المرتبطة بسمو الوزير'!$B$2:$B$151,$B425,'المرتبطة بسمو الوزير'!$G$2:$G$151,$G425,'المرتبطة بسمو الوزير'!$I$2:$I$151,$I425)+SUMIFS('الشؤون التنفيذية'!$O$2:$O$421,'الشؤون التنفيذية'!$B$2:$B$421,$B425,'الشؤون التنفيذية'!$G$2:$G$421,$G425,'الشؤون التنفيذية'!$I$2:$I$421,$I425)+SUMIFS('الجهاز العسكري'!$N$2:$N$631,'الجهاز العسكري'!$B$2:$B$631,$B425,'الجهاز العسكري'!$G$2:$G$631,$G425,'الجهاز العسكري'!$I$2:$I$631,$I425))/$L425,0))</f>
        <v>98</v>
      </c>
      <c r="P425" s="22"/>
      <c r="Q425" s="19" t="n">
        <f aca="false">SUMIFS(المرجع!$G$2:$G$19,المرجع!$B$2:$B$19,$G425,المرجع!$E$2:$E$19,$I425)</f>
        <v>20</v>
      </c>
      <c r="R425" s="26" t="n">
        <f aca="false">ROUND($Q425*$N425/100,2)</f>
        <v>19</v>
      </c>
      <c r="S425" s="27" t="str">
        <f aca="false">IF($N425&gt;المرجع!$K$3,"متقدم",IF($N425&lt;=المرجع!$K$2,"أولي","جزئي"))</f>
        <v>متقدم</v>
      </c>
      <c r="T425" s="28" t="n">
        <f aca="false">ROUND($Q425*$O425/100,2)</f>
        <v>19.6</v>
      </c>
    </row>
    <row r="426" customFormat="false" ht="15" hidden="false" customHeight="true" outlineLevel="0" collapsed="false">
      <c r="A426" s="20" t="s">
        <v>1878</v>
      </c>
      <c r="B426" s="20" t="s">
        <v>204</v>
      </c>
      <c r="C426" s="19" t="str">
        <f aca="false">IFERROR(INDEX('قائمة الوحدات'!$B$2:$B$41,MATCH($B426,'قائمة الوحدات'!$A$2:$A$41,0)),"")</f>
        <v>MIL</v>
      </c>
      <c r="D426" s="18" t="str">
        <f aca="false">IFERROR(INDEX('قائمة الوحدات'!$C$2:$C$41,MATCH($B426,'قائمة الوحدات'!$A$2:$A$41,0)),"")</f>
        <v>الجهاز العسكري</v>
      </c>
      <c r="E426" s="18" t="str">
        <f aca="false">IFERROR(INDEX('قائمة الوحدات'!$D$2:$D$41,MATCH($B426,'قائمة الوحدات'!$A$2:$A$41,0)),"")</f>
        <v>قيادة قوات الدفاع الجوي</v>
      </c>
      <c r="F426" s="18" t="str">
        <f aca="false">IFERROR(INDEX('قائمة الوحدات'!$F$2:$F$41,MATCH($B426,'قائمة الوحدات'!$A$2:$A$41,0)),"")</f>
        <v>قيادة قوات الدفاع الجوي</v>
      </c>
      <c r="G426" s="20" t="s">
        <v>62</v>
      </c>
      <c r="H426" s="18" t="str">
        <f aca="false">IFERROR(INDEX(المرجع!$A$2:$A$19,MATCH($G426,المرجع!$B$2:$B$19,0)),"")</f>
        <v>البناء المؤسسي</v>
      </c>
      <c r="I426" s="20" t="s">
        <v>57</v>
      </c>
      <c r="J426" s="18" t="str">
        <f aca="false">IFERROR(INDEX(المرجع!$D$2:$D$19,MATCH($I426,المرجع!$E$2:$E$19,0)),"")</f>
        <v>الموارد</v>
      </c>
      <c r="K426" s="19" t="n">
        <f aca="false">IFERROR(INDEX(المرجع!$F$2:$F$19,MATCH($I426,المرجع!$E$2:$E$19,0)),"")</f>
        <v>5</v>
      </c>
      <c r="L426" s="19" t="n">
        <f aca="false">SUMIFS(المرجع!$H$2:$H$19,المرجع!$B$2:$B$19,$G426,المرجع!$E$2:$E$19,$I426)</f>
        <v>4</v>
      </c>
      <c r="M426" s="19" t="n">
        <f aca="false">COUNTIFS('المرتبطة بسمو الوزير'!$B$2:$B$151,$B426,'المرتبطة بسمو الوزير'!$G$2:$G$151,$G426,'المرتبطة بسمو الوزير'!$I$2:$I$151,$I426,'المرتبطة بسمو الوزير'!$M$2:$M$151,"&lt;&gt;")+COUNTIFS('الشؤون التنفيذية'!$B$2:$B$421,$B426,'الشؤون التنفيذية'!$G$2:$G$421,$G426,'الشؤون التنفيذية'!$I$2:$I$421,$I426,'الشؤون التنفيذية'!$N$2:$N$421,"&lt;&gt;")+COUNTIFS('الجهاز العسكري'!$B$2:$B$631,$B426,'الجهاز العسكري'!$G$2:$G$631,$G426,'الجهاز العسكري'!$I$2:$I$631,$I426,'الجهاز العسكري'!$M$2:$M$631,"&lt;&gt;")</f>
        <v>4</v>
      </c>
      <c r="N426" s="24" t="n">
        <f aca="false">IF($L426=0,0,ROUND((SUMIFS('المرتبطة بسمو الوزير'!$M$2:$M$151,'المرتبطة بسمو الوزير'!$B$2:$B$151,$B426,'المرتبطة بسمو الوزير'!$G$2:$G$151,$G426,'المرتبطة بسمو الوزير'!$I$2:$I$151,$I426)+SUMIFS('الشؤون التنفيذية'!$N$2:$N$421,'الشؤون التنفيذية'!$B$2:$B$421,$B426,'الشؤون التنفيذية'!$G$2:$G$421,$G426,'الشؤون التنفيذية'!$I$2:$I$421,$I426)+SUMIFS('الجهاز العسكري'!$M$2:$M$631,'الجهاز العسكري'!$B$2:$B$631,$B426,'الجهاز العسكري'!$G$2:$G$631,$G426,'الجهاز العسكري'!$I$2:$I$631,$I426))/$L426,0))</f>
        <v>74</v>
      </c>
      <c r="O426" s="25" t="n">
        <f aca="false">IF($L426=0,0,ROUND((SUMIFS('المرتبطة بسمو الوزير'!$N$2:$N$151,'المرتبطة بسمو الوزير'!$B$2:$B$151,$B426,'المرتبطة بسمو الوزير'!$G$2:$G$151,$G426,'المرتبطة بسمو الوزير'!$I$2:$I$151,$I426)+SUMIFS('الشؤون التنفيذية'!$O$2:$O$421,'الشؤون التنفيذية'!$B$2:$B$421,$B426,'الشؤون التنفيذية'!$G$2:$G$421,$G426,'الشؤون التنفيذية'!$I$2:$I$421,$I426)+SUMIFS('الجهاز العسكري'!$N$2:$N$631,'الجهاز العسكري'!$B$2:$B$631,$B426,'الجهاز العسكري'!$G$2:$G$631,$G426,'الجهاز العسكري'!$I$2:$I$631,$I426))/$L426,0))</f>
        <v>94</v>
      </c>
      <c r="P426" s="22"/>
      <c r="Q426" s="19" t="n">
        <f aca="false">SUMIFS(المرجع!$G$2:$G$19,المرجع!$B$2:$B$19,$G426,المرجع!$E$2:$E$19,$I426)</f>
        <v>25</v>
      </c>
      <c r="R426" s="26" t="n">
        <f aca="false">ROUND($Q426*$N426/100,2)</f>
        <v>18.5</v>
      </c>
      <c r="S426" s="27" t="str">
        <f aca="false">IF($N426&gt;المرجع!$K$3,"متقدم",IF($N426&lt;=المرجع!$K$2,"أولي","جزئي"))</f>
        <v>متقدم</v>
      </c>
      <c r="T426" s="28" t="n">
        <f aca="false">ROUND($Q426*$O426/100,2)</f>
        <v>23.5</v>
      </c>
    </row>
    <row r="427" customFormat="false" ht="15" hidden="false" customHeight="true" outlineLevel="0" collapsed="false">
      <c r="A427" s="20" t="s">
        <v>1879</v>
      </c>
      <c r="B427" s="20" t="s">
        <v>204</v>
      </c>
      <c r="C427" s="19" t="str">
        <f aca="false">IFERROR(INDEX('قائمة الوحدات'!$B$2:$B$41,MATCH($B427,'قائمة الوحدات'!$A$2:$A$41,0)),"")</f>
        <v>MIL</v>
      </c>
      <c r="D427" s="18" t="str">
        <f aca="false">IFERROR(INDEX('قائمة الوحدات'!$C$2:$C$41,MATCH($B427,'قائمة الوحدات'!$A$2:$A$41,0)),"")</f>
        <v>الجهاز العسكري</v>
      </c>
      <c r="E427" s="18" t="str">
        <f aca="false">IFERROR(INDEX('قائمة الوحدات'!$D$2:$D$41,MATCH($B427,'قائمة الوحدات'!$A$2:$A$41,0)),"")</f>
        <v>قيادة قوات الدفاع الجوي</v>
      </c>
      <c r="F427" s="18" t="str">
        <f aca="false">IFERROR(INDEX('قائمة الوحدات'!$F$2:$F$41,MATCH($B427,'قائمة الوحدات'!$A$2:$A$41,0)),"")</f>
        <v>قيادة قوات الدفاع الجوي</v>
      </c>
      <c r="G427" s="20" t="s">
        <v>62</v>
      </c>
      <c r="H427" s="18" t="str">
        <f aca="false">IFERROR(INDEX(المرجع!$A$2:$A$19,MATCH($G427,المرجع!$B$2:$B$19,0)),"")</f>
        <v>البناء المؤسسي</v>
      </c>
      <c r="I427" s="20" t="s">
        <v>60</v>
      </c>
      <c r="J427" s="18" t="str">
        <f aca="false">IFERROR(INDEX(المرجع!$D$2:$D$19,MATCH($I427,المرجع!$E$2:$E$19,0)),"")</f>
        <v>الإجراءات</v>
      </c>
      <c r="K427" s="19" t="n">
        <f aca="false">IFERROR(INDEX(المرجع!$F$2:$F$19,MATCH($I427,المرجع!$E$2:$E$19,0)),"")</f>
        <v>6</v>
      </c>
      <c r="L427" s="19" t="n">
        <f aca="false">SUMIFS(المرجع!$H$2:$H$19,المرجع!$B$2:$B$19,$G427,المرجع!$E$2:$E$19,$I427)</f>
        <v>1</v>
      </c>
      <c r="M427" s="19" t="n">
        <f aca="false">COUNTIFS('المرتبطة بسمو الوزير'!$B$2:$B$151,$B427,'المرتبطة بسمو الوزير'!$G$2:$G$151,$G427,'المرتبطة بسمو الوزير'!$I$2:$I$151,$I427,'المرتبطة بسمو الوزير'!$M$2:$M$151,"&lt;&gt;")+COUNTIFS('الشؤون التنفيذية'!$B$2:$B$421,$B427,'الشؤون التنفيذية'!$G$2:$G$421,$G427,'الشؤون التنفيذية'!$I$2:$I$421,$I427,'الشؤون التنفيذية'!$N$2:$N$421,"&lt;&gt;")+COUNTIFS('الجهاز العسكري'!$B$2:$B$631,$B427,'الجهاز العسكري'!$G$2:$G$631,$G427,'الجهاز العسكري'!$I$2:$I$631,$I427,'الجهاز العسكري'!$M$2:$M$631,"&lt;&gt;")</f>
        <v>1</v>
      </c>
      <c r="N427" s="24" t="n">
        <f aca="false">IF($L427=0,0,ROUND((SUMIFS('المرتبطة بسمو الوزير'!$M$2:$M$151,'المرتبطة بسمو الوزير'!$B$2:$B$151,$B427,'المرتبطة بسمو الوزير'!$G$2:$G$151,$G427,'المرتبطة بسمو الوزير'!$I$2:$I$151,$I427)+SUMIFS('الشؤون التنفيذية'!$N$2:$N$421,'الشؤون التنفيذية'!$B$2:$B$421,$B427,'الشؤون التنفيذية'!$G$2:$G$421,$G427,'الشؤون التنفيذية'!$I$2:$I$421,$I427)+SUMIFS('الجهاز العسكري'!$M$2:$M$631,'الجهاز العسكري'!$B$2:$B$631,$B427,'الجهاز العسكري'!$G$2:$G$631,$G427,'الجهاز العسكري'!$I$2:$I$631,$I427))/$L427,0))</f>
        <v>80</v>
      </c>
      <c r="O427" s="25" t="n">
        <f aca="false">IF($L427=0,0,ROUND((SUMIFS('المرتبطة بسمو الوزير'!$N$2:$N$151,'المرتبطة بسمو الوزير'!$B$2:$B$151,$B427,'المرتبطة بسمو الوزير'!$G$2:$G$151,$G427,'المرتبطة بسمو الوزير'!$I$2:$I$151,$I427)+SUMIFS('الشؤون التنفيذية'!$O$2:$O$421,'الشؤون التنفيذية'!$B$2:$B$421,$B427,'الشؤون التنفيذية'!$G$2:$G$421,$G427,'الشؤون التنفيذية'!$I$2:$I$421,$I427)+SUMIFS('الجهاز العسكري'!$N$2:$N$631,'الجهاز العسكري'!$B$2:$B$631,$B427,'الجهاز العسكري'!$G$2:$G$631,$G427,'الجهاز العسكري'!$I$2:$I$631,$I427))/$L427,0))</f>
        <v>100</v>
      </c>
      <c r="P427" s="22"/>
      <c r="Q427" s="19" t="n">
        <f aca="false">SUMIFS(المرجع!$G$2:$G$19,المرجع!$B$2:$B$19,$G427,المرجع!$E$2:$E$19,$I427)</f>
        <v>5</v>
      </c>
      <c r="R427" s="26" t="n">
        <f aca="false">ROUND($Q427*$N427/100,2)</f>
        <v>4</v>
      </c>
      <c r="S427" s="27" t="str">
        <f aca="false">IF($N427&gt;المرجع!$K$3,"متقدم",IF($N427&lt;=المرجع!$K$2,"أولي","جزئي"))</f>
        <v>متقدم</v>
      </c>
      <c r="T427" s="28" t="n">
        <f aca="false">ROUND($Q427*$O427/100,2)</f>
        <v>5</v>
      </c>
    </row>
    <row r="428" customFormat="false" ht="15" hidden="false" customHeight="true" outlineLevel="0" collapsed="false">
      <c r="A428" s="20" t="s">
        <v>1880</v>
      </c>
      <c r="B428" s="20" t="s">
        <v>204</v>
      </c>
      <c r="C428" s="19" t="str">
        <f aca="false">IFERROR(INDEX('قائمة الوحدات'!$B$2:$B$41,MATCH($B428,'قائمة الوحدات'!$A$2:$A$41,0)),"")</f>
        <v>MIL</v>
      </c>
      <c r="D428" s="18" t="str">
        <f aca="false">IFERROR(INDEX('قائمة الوحدات'!$C$2:$C$41,MATCH($B428,'قائمة الوحدات'!$A$2:$A$41,0)),"")</f>
        <v>الجهاز العسكري</v>
      </c>
      <c r="E428" s="18" t="str">
        <f aca="false">IFERROR(INDEX('قائمة الوحدات'!$D$2:$D$41,MATCH($B428,'قائمة الوحدات'!$A$2:$A$41,0)),"")</f>
        <v>قيادة قوات الدفاع الجوي</v>
      </c>
      <c r="F428" s="18" t="str">
        <f aca="false">IFERROR(INDEX('قائمة الوحدات'!$F$2:$F$41,MATCH($B428,'قائمة الوحدات'!$A$2:$A$41,0)),"")</f>
        <v>قيادة قوات الدفاع الجوي</v>
      </c>
      <c r="G428" s="20" t="s">
        <v>62</v>
      </c>
      <c r="H428" s="18" t="str">
        <f aca="false">IFERROR(INDEX(المرجع!$A$2:$A$19,MATCH($G428,المرجع!$B$2:$B$19,0)),"")</f>
        <v>البناء المؤسسي</v>
      </c>
      <c r="I428" s="20" t="s">
        <v>69</v>
      </c>
      <c r="J428" s="18" t="str">
        <f aca="false">IFERROR(INDEX(المرجع!$D$2:$D$19,MATCH($I428,المرجع!$E$2:$E$19,0)),"")</f>
        <v>إنتاج المخرج الأول</v>
      </c>
      <c r="K428" s="19" t="n">
        <f aca="false">IFERROR(INDEX(المرجع!$F$2:$F$19,MATCH($I428,المرجع!$E$2:$E$19,0)),"")</f>
        <v>7</v>
      </c>
      <c r="L428" s="19" t="n">
        <f aca="false">SUMIFS(المرجع!$H$2:$H$19,المرجع!$B$2:$B$19,$G428,المرجع!$E$2:$E$19,$I428)</f>
        <v>1</v>
      </c>
      <c r="M428" s="19" t="n">
        <f aca="false">COUNTIFS('المرتبطة بسمو الوزير'!$B$2:$B$151,$B428,'المرتبطة بسمو الوزير'!$G$2:$G$151,$G428,'المرتبطة بسمو الوزير'!$I$2:$I$151,$I428,'المرتبطة بسمو الوزير'!$M$2:$M$151,"&lt;&gt;")+COUNTIFS('الشؤون التنفيذية'!$B$2:$B$421,$B428,'الشؤون التنفيذية'!$G$2:$G$421,$G428,'الشؤون التنفيذية'!$I$2:$I$421,$I428,'الشؤون التنفيذية'!$N$2:$N$421,"&lt;&gt;")+COUNTIFS('الجهاز العسكري'!$B$2:$B$631,$B428,'الجهاز العسكري'!$G$2:$G$631,$G428,'الجهاز العسكري'!$I$2:$I$631,$I428,'الجهاز العسكري'!$M$2:$M$631,"&lt;&gt;")</f>
        <v>1</v>
      </c>
      <c r="N428" s="24" t="n">
        <f aca="false">IF($L428=0,0,ROUND((SUMIFS('المرتبطة بسمو الوزير'!$M$2:$M$151,'المرتبطة بسمو الوزير'!$B$2:$B$151,$B428,'المرتبطة بسمو الوزير'!$G$2:$G$151,$G428,'المرتبطة بسمو الوزير'!$I$2:$I$151,$I428)+SUMIFS('الشؤون التنفيذية'!$N$2:$N$421,'الشؤون التنفيذية'!$B$2:$B$421,$B428,'الشؤون التنفيذية'!$G$2:$G$421,$G428,'الشؤون التنفيذية'!$I$2:$I$421,$I428)+SUMIFS('الجهاز العسكري'!$M$2:$M$631,'الجهاز العسكري'!$B$2:$B$631,$B428,'الجهاز العسكري'!$G$2:$G$631,$G428,'الجهاز العسكري'!$I$2:$I$631,$I428))/$L428,0))</f>
        <v>84</v>
      </c>
      <c r="O428" s="25" t="n">
        <f aca="false">IF($L428=0,0,ROUND((SUMIFS('المرتبطة بسمو الوزير'!$N$2:$N$151,'المرتبطة بسمو الوزير'!$B$2:$B$151,$B428,'المرتبطة بسمو الوزير'!$G$2:$G$151,$G428,'المرتبطة بسمو الوزير'!$I$2:$I$151,$I428)+SUMIFS('الشؤون التنفيذية'!$O$2:$O$421,'الشؤون التنفيذية'!$B$2:$B$421,$B428,'الشؤون التنفيذية'!$G$2:$G$421,$G428,'الشؤون التنفيذية'!$I$2:$I$421,$I428)+SUMIFS('الجهاز العسكري'!$N$2:$N$631,'الجهاز العسكري'!$B$2:$B$631,$B428,'الجهاز العسكري'!$G$2:$G$631,$G428,'الجهاز العسكري'!$I$2:$I$631,$I428))/$L428,0))</f>
        <v>90</v>
      </c>
      <c r="P428" s="22"/>
      <c r="Q428" s="19" t="n">
        <f aca="false">SUMIFS(المرجع!$G$2:$G$19,المرجع!$B$2:$B$19,$G428,المرجع!$E$2:$E$19,$I428)</f>
        <v>5</v>
      </c>
      <c r="R428" s="26" t="n">
        <f aca="false">ROUND($Q428*$N428/100,2)</f>
        <v>4.2</v>
      </c>
      <c r="S428" s="27" t="str">
        <f aca="false">IF($N428&gt;المرجع!$K$3,"متقدم",IF($N428&lt;=المرجع!$K$2,"أولي","جزئي"))</f>
        <v>متقدم</v>
      </c>
      <c r="T428" s="28" t="n">
        <f aca="false">ROUND($Q428*$O428/100,2)</f>
        <v>4.5</v>
      </c>
    </row>
    <row r="429" customFormat="false" ht="15" hidden="false" customHeight="true" outlineLevel="0" collapsed="false">
      <c r="A429" s="20" t="s">
        <v>1881</v>
      </c>
      <c r="B429" s="20" t="s">
        <v>204</v>
      </c>
      <c r="C429" s="19" t="str">
        <f aca="false">IFERROR(INDEX('قائمة الوحدات'!$B$2:$B$41,MATCH($B429,'قائمة الوحدات'!$A$2:$A$41,0)),"")</f>
        <v>MIL</v>
      </c>
      <c r="D429" s="18" t="str">
        <f aca="false">IFERROR(INDEX('قائمة الوحدات'!$C$2:$C$41,MATCH($B429,'قائمة الوحدات'!$A$2:$A$41,0)),"")</f>
        <v>الجهاز العسكري</v>
      </c>
      <c r="E429" s="18" t="str">
        <f aca="false">IFERROR(INDEX('قائمة الوحدات'!$D$2:$D$41,MATCH($B429,'قائمة الوحدات'!$A$2:$A$41,0)),"")</f>
        <v>قيادة قوات الدفاع الجوي</v>
      </c>
      <c r="F429" s="18" t="str">
        <f aca="false">IFERROR(INDEX('قائمة الوحدات'!$F$2:$F$41,MATCH($B429,'قائمة الوحدات'!$A$2:$A$41,0)),"")</f>
        <v>قيادة قوات الدفاع الجوي</v>
      </c>
      <c r="G429" s="20" t="s">
        <v>66</v>
      </c>
      <c r="H429" s="18" t="str">
        <f aca="false">IFERROR(INDEX(المرجع!$A$2:$A$19,MATCH($G429,المرجع!$B$2:$B$19,0)),"")</f>
        <v>التشغيل</v>
      </c>
      <c r="I429" s="20" t="s">
        <v>49</v>
      </c>
      <c r="J429" s="18" t="str">
        <f aca="false">IFERROR(INDEX(المرجع!$D$2:$D$19,MATCH($I429,المرجع!$E$2:$E$19,0)),"")</f>
        <v>الأهداف ومؤشرات الأداء</v>
      </c>
      <c r="K429" s="19" t="n">
        <f aca="false">IFERROR(INDEX(المرجع!$F$2:$F$19,MATCH($I429,المرجع!$E$2:$E$19,0)),"")</f>
        <v>2</v>
      </c>
      <c r="L429" s="19" t="n">
        <f aca="false">SUMIFS(المرجع!$H$2:$H$19,المرجع!$B$2:$B$19,$G429,المرجع!$E$2:$E$19,$I429)</f>
        <v>2</v>
      </c>
      <c r="M429" s="19" t="n">
        <f aca="false">COUNTIFS('المرتبطة بسمو الوزير'!$B$2:$B$151,$B429,'المرتبطة بسمو الوزير'!$G$2:$G$151,$G429,'المرتبطة بسمو الوزير'!$I$2:$I$151,$I429,'المرتبطة بسمو الوزير'!$M$2:$M$151,"&lt;&gt;")+COUNTIFS('الشؤون التنفيذية'!$B$2:$B$421,$B429,'الشؤون التنفيذية'!$G$2:$G$421,$G429,'الشؤون التنفيذية'!$I$2:$I$421,$I429,'الشؤون التنفيذية'!$N$2:$N$421,"&lt;&gt;")+COUNTIFS('الجهاز العسكري'!$B$2:$B$631,$B429,'الجهاز العسكري'!$G$2:$G$631,$G429,'الجهاز العسكري'!$I$2:$I$631,$I429,'الجهاز العسكري'!$M$2:$M$631,"&lt;&gt;")</f>
        <v>2</v>
      </c>
      <c r="N429" s="24" t="n">
        <f aca="false">IF($L429=0,0,ROUND((SUMIFS('المرتبطة بسمو الوزير'!$M$2:$M$151,'المرتبطة بسمو الوزير'!$B$2:$B$151,$B429,'المرتبطة بسمو الوزير'!$G$2:$G$151,$G429,'المرتبطة بسمو الوزير'!$I$2:$I$151,$I429)+SUMIFS('الشؤون التنفيذية'!$N$2:$N$421,'الشؤون التنفيذية'!$B$2:$B$421,$B429,'الشؤون التنفيذية'!$G$2:$G$421,$G429,'الشؤون التنفيذية'!$I$2:$I$421,$I429)+SUMIFS('الجهاز العسكري'!$M$2:$M$631,'الجهاز العسكري'!$B$2:$B$631,$B429,'الجهاز العسكري'!$G$2:$G$631,$G429,'الجهاز العسكري'!$I$2:$I$631,$I429))/$L429,0))</f>
        <v>28</v>
      </c>
      <c r="O429" s="25" t="n">
        <f aca="false">IF($L429=0,0,ROUND((SUMIFS('المرتبطة بسمو الوزير'!$N$2:$N$151,'المرتبطة بسمو الوزير'!$B$2:$B$151,$B429,'المرتبطة بسمو الوزير'!$G$2:$G$151,$G429,'المرتبطة بسمو الوزير'!$I$2:$I$151,$I429)+SUMIFS('الشؤون التنفيذية'!$O$2:$O$421,'الشؤون التنفيذية'!$B$2:$B$421,$B429,'الشؤون التنفيذية'!$G$2:$G$421,$G429,'الشؤون التنفيذية'!$I$2:$I$421,$I429)+SUMIFS('الجهاز العسكري'!$N$2:$N$631,'الجهاز العسكري'!$B$2:$B$631,$B429,'الجهاز العسكري'!$G$2:$G$631,$G429,'الجهاز العسكري'!$I$2:$I$631,$I429))/$L429,0))</f>
        <v>88</v>
      </c>
      <c r="P429" s="22"/>
      <c r="Q429" s="19" t="n">
        <f aca="false">SUMIFS(المرجع!$G$2:$G$19,المرجع!$B$2:$B$19,$G429,المرجع!$E$2:$E$19,$I429)</f>
        <v>25</v>
      </c>
      <c r="R429" s="26" t="n">
        <f aca="false">ROUND($Q429*$N429/100,2)</f>
        <v>7</v>
      </c>
      <c r="S429" s="27" t="str">
        <f aca="false">IF($N429&gt;المرجع!$K$3,"متقدم",IF($N429&lt;=المرجع!$K$2,"أولي","جزئي"))</f>
        <v>أولي</v>
      </c>
      <c r="T429" s="28" t="n">
        <f aca="false">ROUND($Q429*$O429/100,2)</f>
        <v>22</v>
      </c>
    </row>
    <row r="430" customFormat="false" ht="15" hidden="false" customHeight="true" outlineLevel="0" collapsed="false">
      <c r="A430" s="20" t="s">
        <v>1882</v>
      </c>
      <c r="B430" s="20" t="s">
        <v>204</v>
      </c>
      <c r="C430" s="19" t="str">
        <f aca="false">IFERROR(INDEX('قائمة الوحدات'!$B$2:$B$41,MATCH($B430,'قائمة الوحدات'!$A$2:$A$41,0)),"")</f>
        <v>MIL</v>
      </c>
      <c r="D430" s="18" t="str">
        <f aca="false">IFERROR(INDEX('قائمة الوحدات'!$C$2:$C$41,MATCH($B430,'قائمة الوحدات'!$A$2:$A$41,0)),"")</f>
        <v>الجهاز العسكري</v>
      </c>
      <c r="E430" s="18" t="str">
        <f aca="false">IFERROR(INDEX('قائمة الوحدات'!$D$2:$D$41,MATCH($B430,'قائمة الوحدات'!$A$2:$A$41,0)),"")</f>
        <v>قيادة قوات الدفاع الجوي</v>
      </c>
      <c r="F430" s="18" t="str">
        <f aca="false">IFERROR(INDEX('قائمة الوحدات'!$F$2:$F$41,MATCH($B430,'قائمة الوحدات'!$A$2:$A$41,0)),"")</f>
        <v>قيادة قوات الدفاع الجوي</v>
      </c>
      <c r="G430" s="20" t="s">
        <v>66</v>
      </c>
      <c r="H430" s="18" t="str">
        <f aca="false">IFERROR(INDEX(المرجع!$A$2:$A$19,MATCH($G430,المرجع!$B$2:$B$19,0)),"")</f>
        <v>التشغيل</v>
      </c>
      <c r="I430" s="20" t="s">
        <v>52</v>
      </c>
      <c r="J430" s="18" t="str">
        <f aca="false">IFERROR(INDEX(المرجع!$D$2:$D$19,MATCH($I430,المرجع!$E$2:$E$19,0)),"")</f>
        <v>الحوكمة</v>
      </c>
      <c r="K430" s="19" t="n">
        <f aca="false">IFERROR(INDEX(المرجع!$F$2:$F$19,MATCH($I430,المرجع!$E$2:$E$19,0)),"")</f>
        <v>3</v>
      </c>
      <c r="L430" s="19" t="n">
        <f aca="false">SUMIFS(المرجع!$H$2:$H$19,المرجع!$B$2:$B$19,$G430,المرجع!$E$2:$E$19,$I430)</f>
        <v>3</v>
      </c>
      <c r="M430" s="19" t="n">
        <f aca="false">COUNTIFS('المرتبطة بسمو الوزير'!$B$2:$B$151,$B430,'المرتبطة بسمو الوزير'!$G$2:$G$151,$G430,'المرتبطة بسمو الوزير'!$I$2:$I$151,$I430,'المرتبطة بسمو الوزير'!$M$2:$M$151,"&lt;&gt;")+COUNTIFS('الشؤون التنفيذية'!$B$2:$B$421,$B430,'الشؤون التنفيذية'!$G$2:$G$421,$G430,'الشؤون التنفيذية'!$I$2:$I$421,$I430,'الشؤون التنفيذية'!$N$2:$N$421,"&lt;&gt;")+COUNTIFS('الجهاز العسكري'!$B$2:$B$631,$B430,'الجهاز العسكري'!$G$2:$G$631,$G430,'الجهاز العسكري'!$I$2:$I$631,$I430,'الجهاز العسكري'!$M$2:$M$631,"&lt;&gt;")</f>
        <v>3</v>
      </c>
      <c r="N430" s="24" t="n">
        <f aca="false">IF($L430=0,0,ROUND((SUMIFS('المرتبطة بسمو الوزير'!$M$2:$M$151,'المرتبطة بسمو الوزير'!$B$2:$B$151,$B430,'المرتبطة بسمو الوزير'!$G$2:$G$151,$G430,'المرتبطة بسمو الوزير'!$I$2:$I$151,$I430)+SUMIFS('الشؤون التنفيذية'!$N$2:$N$421,'الشؤون التنفيذية'!$B$2:$B$421,$B430,'الشؤون التنفيذية'!$G$2:$G$421,$G430,'الشؤون التنفيذية'!$I$2:$I$421,$I430)+SUMIFS('الجهاز العسكري'!$M$2:$M$631,'الجهاز العسكري'!$B$2:$B$631,$B430,'الجهاز العسكري'!$G$2:$G$631,$G430,'الجهاز العسكري'!$I$2:$I$631,$I430))/$L430,0))</f>
        <v>18</v>
      </c>
      <c r="O430" s="25" t="n">
        <f aca="false">IF($L430=0,0,ROUND((SUMIFS('المرتبطة بسمو الوزير'!$N$2:$N$151,'المرتبطة بسمو الوزير'!$B$2:$B$151,$B430,'المرتبطة بسمو الوزير'!$G$2:$G$151,$G430,'المرتبطة بسمو الوزير'!$I$2:$I$151,$I430)+SUMIFS('الشؤون التنفيذية'!$O$2:$O$421,'الشؤون التنفيذية'!$B$2:$B$421,$B430,'الشؤون التنفيذية'!$G$2:$G$421,$G430,'الشؤون التنفيذية'!$I$2:$I$421,$I430)+SUMIFS('الجهاز العسكري'!$N$2:$N$631,'الجهاز العسكري'!$B$2:$B$631,$B430,'الجهاز العسكري'!$G$2:$G$631,$G430,'الجهاز العسكري'!$I$2:$I$631,$I430))/$L430,0))</f>
        <v>87</v>
      </c>
      <c r="P430" s="22"/>
      <c r="Q430" s="19" t="n">
        <f aca="false">SUMIFS(المرجع!$G$2:$G$19,المرجع!$B$2:$B$19,$G430,المرجع!$E$2:$E$19,$I430)</f>
        <v>15</v>
      </c>
      <c r="R430" s="26" t="n">
        <f aca="false">ROUND($Q430*$N430/100,2)</f>
        <v>2.7</v>
      </c>
      <c r="S430" s="27" t="str">
        <f aca="false">IF($N430&gt;المرجع!$K$3,"متقدم",IF($N430&lt;=المرجع!$K$2,"أولي","جزئي"))</f>
        <v>أولي</v>
      </c>
      <c r="T430" s="28" t="n">
        <f aca="false">ROUND($Q430*$O430/100,2)</f>
        <v>13.05</v>
      </c>
    </row>
    <row r="431" customFormat="false" ht="15" hidden="false" customHeight="true" outlineLevel="0" collapsed="false">
      <c r="A431" s="20" t="s">
        <v>1883</v>
      </c>
      <c r="B431" s="20" t="s">
        <v>204</v>
      </c>
      <c r="C431" s="19" t="str">
        <f aca="false">IFERROR(INDEX('قائمة الوحدات'!$B$2:$B$41,MATCH($B431,'قائمة الوحدات'!$A$2:$A$41,0)),"")</f>
        <v>MIL</v>
      </c>
      <c r="D431" s="18" t="str">
        <f aca="false">IFERROR(INDEX('قائمة الوحدات'!$C$2:$C$41,MATCH($B431,'قائمة الوحدات'!$A$2:$A$41,0)),"")</f>
        <v>الجهاز العسكري</v>
      </c>
      <c r="E431" s="18" t="str">
        <f aca="false">IFERROR(INDEX('قائمة الوحدات'!$D$2:$D$41,MATCH($B431,'قائمة الوحدات'!$A$2:$A$41,0)),"")</f>
        <v>قيادة قوات الدفاع الجوي</v>
      </c>
      <c r="F431" s="18" t="str">
        <f aca="false">IFERROR(INDEX('قائمة الوحدات'!$F$2:$F$41,MATCH($B431,'قائمة الوحدات'!$A$2:$A$41,0)),"")</f>
        <v>قيادة قوات الدفاع الجوي</v>
      </c>
      <c r="G431" s="20" t="s">
        <v>66</v>
      </c>
      <c r="H431" s="18" t="str">
        <f aca="false">IFERROR(INDEX(المرجع!$A$2:$A$19,MATCH($G431,المرجع!$B$2:$B$19,0)),"")</f>
        <v>التشغيل</v>
      </c>
      <c r="I431" s="20" t="s">
        <v>57</v>
      </c>
      <c r="J431" s="18" t="str">
        <f aca="false">IFERROR(INDEX(المرجع!$D$2:$D$19,MATCH($I431,المرجع!$E$2:$E$19,0)),"")</f>
        <v>الموارد</v>
      </c>
      <c r="K431" s="19" t="n">
        <f aca="false">IFERROR(INDEX(المرجع!$F$2:$F$19,MATCH($I431,المرجع!$E$2:$E$19,0)),"")</f>
        <v>5</v>
      </c>
      <c r="L431" s="19" t="n">
        <f aca="false">SUMIFS(المرجع!$H$2:$H$19,المرجع!$B$2:$B$19,$G431,المرجع!$E$2:$E$19,$I431)</f>
        <v>1</v>
      </c>
      <c r="M431" s="19" t="n">
        <f aca="false">COUNTIFS('المرتبطة بسمو الوزير'!$B$2:$B$151,$B431,'المرتبطة بسمو الوزير'!$G$2:$G$151,$G431,'المرتبطة بسمو الوزير'!$I$2:$I$151,$I431,'المرتبطة بسمو الوزير'!$M$2:$M$151,"&lt;&gt;")+COUNTIFS('الشؤون التنفيذية'!$B$2:$B$421,$B431,'الشؤون التنفيذية'!$G$2:$G$421,$G431,'الشؤون التنفيذية'!$I$2:$I$421,$I431,'الشؤون التنفيذية'!$N$2:$N$421,"&lt;&gt;")+COUNTIFS('الجهاز العسكري'!$B$2:$B$631,$B431,'الجهاز العسكري'!$G$2:$G$631,$G431,'الجهاز العسكري'!$I$2:$I$631,$I431,'الجهاز العسكري'!$M$2:$M$631,"&lt;&gt;")</f>
        <v>1</v>
      </c>
      <c r="N431" s="24" t="n">
        <f aca="false">IF($L431=0,0,ROUND((SUMIFS('المرتبطة بسمو الوزير'!$M$2:$M$151,'المرتبطة بسمو الوزير'!$B$2:$B$151,$B431,'المرتبطة بسمو الوزير'!$G$2:$G$151,$G431,'المرتبطة بسمو الوزير'!$I$2:$I$151,$I431)+SUMIFS('الشؤون التنفيذية'!$N$2:$N$421,'الشؤون التنفيذية'!$B$2:$B$421,$B431,'الشؤون التنفيذية'!$G$2:$G$421,$G431,'الشؤون التنفيذية'!$I$2:$I$421,$I431)+SUMIFS('الجهاز العسكري'!$M$2:$M$631,'الجهاز العسكري'!$B$2:$B$631,$B431,'الجهاز العسكري'!$G$2:$G$631,$G431,'الجهاز العسكري'!$I$2:$I$631,$I431))/$L431,0))</f>
        <v>49</v>
      </c>
      <c r="O431" s="25" t="n">
        <f aca="false">IF($L431=0,0,ROUND((SUMIFS('المرتبطة بسمو الوزير'!$N$2:$N$151,'المرتبطة بسمو الوزير'!$B$2:$B$151,$B431,'المرتبطة بسمو الوزير'!$G$2:$G$151,$G431,'المرتبطة بسمو الوزير'!$I$2:$I$151,$I431)+SUMIFS('الشؤون التنفيذية'!$O$2:$O$421,'الشؤون التنفيذية'!$B$2:$B$421,$B431,'الشؤون التنفيذية'!$G$2:$G$421,$G431,'الشؤون التنفيذية'!$I$2:$I$421,$I431)+SUMIFS('الجهاز العسكري'!$N$2:$N$631,'الجهاز العسكري'!$B$2:$B$631,$B431,'الجهاز العسكري'!$G$2:$G$631,$G431,'الجهاز العسكري'!$I$2:$I$631,$I431))/$L431,0))</f>
        <v>95</v>
      </c>
      <c r="P431" s="22"/>
      <c r="Q431" s="19" t="n">
        <f aca="false">SUMIFS(المرجع!$G$2:$G$19,المرجع!$B$2:$B$19,$G431,المرجع!$E$2:$E$19,$I431)</f>
        <v>15</v>
      </c>
      <c r="R431" s="26" t="n">
        <f aca="false">ROUND($Q431*$N431/100,2)</f>
        <v>7.35</v>
      </c>
      <c r="S431" s="27" t="str">
        <f aca="false">IF($N431&gt;المرجع!$K$3,"متقدم",IF($N431&lt;=المرجع!$K$2,"أولي","جزئي"))</f>
        <v>جزئي</v>
      </c>
      <c r="T431" s="28" t="n">
        <f aca="false">ROUND($Q431*$O431/100,2)</f>
        <v>14.25</v>
      </c>
    </row>
    <row r="432" customFormat="false" ht="15" hidden="false" customHeight="true" outlineLevel="0" collapsed="false">
      <c r="A432" s="20" t="s">
        <v>1884</v>
      </c>
      <c r="B432" s="20" t="s">
        <v>204</v>
      </c>
      <c r="C432" s="19" t="str">
        <f aca="false">IFERROR(INDEX('قائمة الوحدات'!$B$2:$B$41,MATCH($B432,'قائمة الوحدات'!$A$2:$A$41,0)),"")</f>
        <v>MIL</v>
      </c>
      <c r="D432" s="18" t="str">
        <f aca="false">IFERROR(INDEX('قائمة الوحدات'!$C$2:$C$41,MATCH($B432,'قائمة الوحدات'!$A$2:$A$41,0)),"")</f>
        <v>الجهاز العسكري</v>
      </c>
      <c r="E432" s="18" t="str">
        <f aca="false">IFERROR(INDEX('قائمة الوحدات'!$D$2:$D$41,MATCH($B432,'قائمة الوحدات'!$A$2:$A$41,0)),"")</f>
        <v>قيادة قوات الدفاع الجوي</v>
      </c>
      <c r="F432" s="18" t="str">
        <f aca="false">IFERROR(INDEX('قائمة الوحدات'!$F$2:$F$41,MATCH($B432,'قائمة الوحدات'!$A$2:$A$41,0)),"")</f>
        <v>قيادة قوات الدفاع الجوي</v>
      </c>
      <c r="G432" s="20" t="s">
        <v>66</v>
      </c>
      <c r="H432" s="18" t="str">
        <f aca="false">IFERROR(INDEX(المرجع!$A$2:$A$19,MATCH($G432,المرجع!$B$2:$B$19,0)),"")</f>
        <v>التشغيل</v>
      </c>
      <c r="I432" s="20" t="s">
        <v>60</v>
      </c>
      <c r="J432" s="18" t="str">
        <f aca="false">IFERROR(INDEX(المرجع!$D$2:$D$19,MATCH($I432,المرجع!$E$2:$E$19,0)),"")</f>
        <v>الإجراءات</v>
      </c>
      <c r="K432" s="19" t="n">
        <f aca="false">IFERROR(INDEX(المرجع!$F$2:$F$19,MATCH($I432,المرجع!$E$2:$E$19,0)),"")</f>
        <v>6</v>
      </c>
      <c r="L432" s="19" t="n">
        <f aca="false">SUMIFS(المرجع!$H$2:$H$19,المرجع!$B$2:$B$19,$G432,المرجع!$E$2:$E$19,$I432)</f>
        <v>1</v>
      </c>
      <c r="M432" s="19" t="n">
        <f aca="false">COUNTIFS('المرتبطة بسمو الوزير'!$B$2:$B$151,$B432,'المرتبطة بسمو الوزير'!$G$2:$G$151,$G432,'المرتبطة بسمو الوزير'!$I$2:$I$151,$I432,'المرتبطة بسمو الوزير'!$M$2:$M$151,"&lt;&gt;")+COUNTIFS('الشؤون التنفيذية'!$B$2:$B$421,$B432,'الشؤون التنفيذية'!$G$2:$G$421,$G432,'الشؤون التنفيذية'!$I$2:$I$421,$I432,'الشؤون التنفيذية'!$N$2:$N$421,"&lt;&gt;")+COUNTIFS('الجهاز العسكري'!$B$2:$B$631,$B432,'الجهاز العسكري'!$G$2:$G$631,$G432,'الجهاز العسكري'!$I$2:$I$631,$I432,'الجهاز العسكري'!$M$2:$M$631,"&lt;&gt;")</f>
        <v>1</v>
      </c>
      <c r="N432" s="24" t="n">
        <f aca="false">IF($L432=0,0,ROUND((SUMIFS('المرتبطة بسمو الوزير'!$M$2:$M$151,'المرتبطة بسمو الوزير'!$B$2:$B$151,$B432,'المرتبطة بسمو الوزير'!$G$2:$G$151,$G432,'المرتبطة بسمو الوزير'!$I$2:$I$151,$I432)+SUMIFS('الشؤون التنفيذية'!$N$2:$N$421,'الشؤون التنفيذية'!$B$2:$B$421,$B432,'الشؤون التنفيذية'!$G$2:$G$421,$G432,'الشؤون التنفيذية'!$I$2:$I$421,$I432)+SUMIFS('الجهاز العسكري'!$M$2:$M$631,'الجهاز العسكري'!$B$2:$B$631,$B432,'الجهاز العسكري'!$G$2:$G$631,$G432,'الجهاز العسكري'!$I$2:$I$631,$I432))/$L432,0))</f>
        <v>24</v>
      </c>
      <c r="O432" s="25" t="n">
        <f aca="false">IF($L432=0,0,ROUND((SUMIFS('المرتبطة بسمو الوزير'!$N$2:$N$151,'المرتبطة بسمو الوزير'!$B$2:$B$151,$B432,'المرتبطة بسمو الوزير'!$G$2:$G$151,$G432,'المرتبطة بسمو الوزير'!$I$2:$I$151,$I432)+SUMIFS('الشؤون التنفيذية'!$O$2:$O$421,'الشؤون التنفيذية'!$B$2:$B$421,$B432,'الشؤون التنفيذية'!$G$2:$G$421,$G432,'الشؤون التنفيذية'!$I$2:$I$421,$I432)+SUMIFS('الجهاز العسكري'!$N$2:$N$631,'الجهاز العسكري'!$B$2:$B$631,$B432,'الجهاز العسكري'!$G$2:$G$631,$G432,'الجهاز العسكري'!$I$2:$I$631,$I432))/$L432,0))</f>
        <v>80</v>
      </c>
      <c r="P432" s="22"/>
      <c r="Q432" s="19" t="n">
        <f aca="false">SUMIFS(المرجع!$G$2:$G$19,المرجع!$B$2:$B$19,$G432,المرجع!$E$2:$E$19,$I432)</f>
        <v>15</v>
      </c>
      <c r="R432" s="26" t="n">
        <f aca="false">ROUND($Q432*$N432/100,2)</f>
        <v>3.6</v>
      </c>
      <c r="S432" s="27" t="str">
        <f aca="false">IF($N432&gt;المرجع!$K$3,"متقدم",IF($N432&lt;=المرجع!$K$2,"أولي","جزئي"))</f>
        <v>أولي</v>
      </c>
      <c r="T432" s="28" t="n">
        <f aca="false">ROUND($Q432*$O432/100,2)</f>
        <v>12</v>
      </c>
    </row>
    <row r="433" customFormat="false" ht="15" hidden="false" customHeight="true" outlineLevel="0" collapsed="false">
      <c r="A433" s="20" t="s">
        <v>1885</v>
      </c>
      <c r="B433" s="20" t="s">
        <v>204</v>
      </c>
      <c r="C433" s="19" t="str">
        <f aca="false">IFERROR(INDEX('قائمة الوحدات'!$B$2:$B$41,MATCH($B433,'قائمة الوحدات'!$A$2:$A$41,0)),"")</f>
        <v>MIL</v>
      </c>
      <c r="D433" s="18" t="str">
        <f aca="false">IFERROR(INDEX('قائمة الوحدات'!$C$2:$C$41,MATCH($B433,'قائمة الوحدات'!$A$2:$A$41,0)),"")</f>
        <v>الجهاز العسكري</v>
      </c>
      <c r="E433" s="18" t="str">
        <f aca="false">IFERROR(INDEX('قائمة الوحدات'!$D$2:$D$41,MATCH($B433,'قائمة الوحدات'!$A$2:$A$41,0)),"")</f>
        <v>قيادة قوات الدفاع الجوي</v>
      </c>
      <c r="F433" s="18" t="str">
        <f aca="false">IFERROR(INDEX('قائمة الوحدات'!$F$2:$F$41,MATCH($B433,'قائمة الوحدات'!$A$2:$A$41,0)),"")</f>
        <v>قيادة قوات الدفاع الجوي</v>
      </c>
      <c r="G433" s="20" t="s">
        <v>66</v>
      </c>
      <c r="H433" s="18" t="str">
        <f aca="false">IFERROR(INDEX(المرجع!$A$2:$A$19,MATCH($G433,المرجع!$B$2:$B$19,0)),"")</f>
        <v>التشغيل</v>
      </c>
      <c r="I433" s="20" t="s">
        <v>71</v>
      </c>
      <c r="J433" s="18" t="str">
        <f aca="false">IFERROR(INDEX(المرجع!$D$2:$D$19,MATCH($I433,المرجع!$E$2:$E$19,0)),"")</f>
        <v>اكتمال المخرجات المستهدفة</v>
      </c>
      <c r="K433" s="19" t="n">
        <f aca="false">IFERROR(INDEX(المرجع!$F$2:$F$19,MATCH($I433,المرجع!$E$2:$E$19,0)),"")</f>
        <v>8</v>
      </c>
      <c r="L433" s="19" t="n">
        <f aca="false">SUMIFS(المرجع!$H$2:$H$19,المرجع!$B$2:$B$19,$G433,المرجع!$E$2:$E$19,$I433)</f>
        <v>1</v>
      </c>
      <c r="M433" s="19" t="n">
        <f aca="false">COUNTIFS('المرتبطة بسمو الوزير'!$B$2:$B$151,$B433,'المرتبطة بسمو الوزير'!$G$2:$G$151,$G433,'المرتبطة بسمو الوزير'!$I$2:$I$151,$I433,'المرتبطة بسمو الوزير'!$M$2:$M$151,"&lt;&gt;")+COUNTIFS('الشؤون التنفيذية'!$B$2:$B$421,$B433,'الشؤون التنفيذية'!$G$2:$G$421,$G433,'الشؤون التنفيذية'!$I$2:$I$421,$I433,'الشؤون التنفيذية'!$N$2:$N$421,"&lt;&gt;")+COUNTIFS('الجهاز العسكري'!$B$2:$B$631,$B433,'الجهاز العسكري'!$G$2:$G$631,$G433,'الجهاز العسكري'!$I$2:$I$631,$I433,'الجهاز العسكري'!$M$2:$M$631,"&lt;&gt;")</f>
        <v>1</v>
      </c>
      <c r="N433" s="24" t="n">
        <f aca="false">IF($L433=0,0,ROUND((SUMIFS('المرتبطة بسمو الوزير'!$M$2:$M$151,'المرتبطة بسمو الوزير'!$B$2:$B$151,$B433,'المرتبطة بسمو الوزير'!$G$2:$G$151,$G433,'المرتبطة بسمو الوزير'!$I$2:$I$151,$I433)+SUMIFS('الشؤون التنفيذية'!$N$2:$N$421,'الشؤون التنفيذية'!$B$2:$B$421,$B433,'الشؤون التنفيذية'!$G$2:$G$421,$G433,'الشؤون التنفيذية'!$I$2:$I$421,$I433)+SUMIFS('الجهاز العسكري'!$M$2:$M$631,'الجهاز العسكري'!$B$2:$B$631,$B433,'الجهاز العسكري'!$G$2:$G$631,$G433,'الجهاز العسكري'!$I$2:$I$631,$I433))/$L433,0))</f>
        <v>59</v>
      </c>
      <c r="O433" s="25" t="n">
        <f aca="false">IF($L433=0,0,ROUND((SUMIFS('المرتبطة بسمو الوزير'!$N$2:$N$151,'المرتبطة بسمو الوزير'!$B$2:$B$151,$B433,'المرتبطة بسمو الوزير'!$G$2:$G$151,$G433,'المرتبطة بسمو الوزير'!$I$2:$I$151,$I433)+SUMIFS('الشؤون التنفيذية'!$O$2:$O$421,'الشؤون التنفيذية'!$B$2:$B$421,$B433,'الشؤون التنفيذية'!$G$2:$G$421,$G433,'الشؤون التنفيذية'!$I$2:$I$421,$I433)+SUMIFS('الجهاز العسكري'!$N$2:$N$631,'الجهاز العسكري'!$B$2:$B$631,$B433,'الجهاز العسكري'!$G$2:$G$631,$G433,'الجهاز العسكري'!$I$2:$I$631,$I433))/$L433,0))</f>
        <v>90</v>
      </c>
      <c r="P433" s="22"/>
      <c r="Q433" s="19" t="n">
        <f aca="false">SUMIFS(المرجع!$G$2:$G$19,المرجع!$B$2:$B$19,$G433,المرجع!$E$2:$E$19,$I433)</f>
        <v>30</v>
      </c>
      <c r="R433" s="26" t="n">
        <f aca="false">ROUND($Q433*$N433/100,2)</f>
        <v>17.7</v>
      </c>
      <c r="S433" s="27" t="str">
        <f aca="false">IF($N433&gt;المرجع!$K$3,"متقدم",IF($N433&lt;=المرجع!$K$2,"أولي","جزئي"))</f>
        <v>جزئي</v>
      </c>
      <c r="T433" s="28" t="n">
        <f aca="false">ROUND($Q433*$O433/100,2)</f>
        <v>27</v>
      </c>
    </row>
    <row r="434" customFormat="false" ht="15" hidden="false" customHeight="true" outlineLevel="0" collapsed="false">
      <c r="A434" s="20" t="s">
        <v>1886</v>
      </c>
      <c r="B434" s="20" t="s">
        <v>206</v>
      </c>
      <c r="C434" s="19" t="str">
        <f aca="false">IFERROR(INDEX('قائمة الوحدات'!$B$2:$B$41,MATCH($B434,'قائمة الوحدات'!$A$2:$A$41,0)),"")</f>
        <v>MIL</v>
      </c>
      <c r="D434" s="18" t="str">
        <f aca="false">IFERROR(INDEX('قائمة الوحدات'!$C$2:$C$41,MATCH($B434,'قائمة الوحدات'!$A$2:$A$41,0)),"")</f>
        <v>الجهاز العسكري</v>
      </c>
      <c r="E434" s="18" t="str">
        <f aca="false">IFERROR(INDEX('قائمة الوحدات'!$D$2:$D$41,MATCH($B434,'قائمة الوحدات'!$A$2:$A$41,0)),"")</f>
        <v>قيادة القوات الاستراتيجية</v>
      </c>
      <c r="F434" s="18" t="str">
        <f aca="false">IFERROR(INDEX('قائمة الوحدات'!$F$2:$F$41,MATCH($B434,'قائمة الوحدات'!$A$2:$A$41,0)),"")</f>
        <v>قيادة القوات الاستراتيجية</v>
      </c>
      <c r="G434" s="20" t="s">
        <v>44</v>
      </c>
      <c r="H434" s="18" t="str">
        <f aca="false">IFERROR(INDEX(المرجع!$A$2:$A$19,MATCH($G434,المرجع!$B$2:$B$19,0)),"")</f>
        <v>التصميم</v>
      </c>
      <c r="I434" s="20" t="s">
        <v>46</v>
      </c>
      <c r="J434" s="18" t="str">
        <f aca="false">IFERROR(INDEX(المرجع!$D$2:$D$19,MATCH($I434,المرجع!$E$2:$E$19,0)),"")</f>
        <v>الدور</v>
      </c>
      <c r="K434" s="19" t="n">
        <f aca="false">IFERROR(INDEX(المرجع!$F$2:$F$19,MATCH($I434,المرجع!$E$2:$E$19,0)),"")</f>
        <v>1</v>
      </c>
      <c r="L434" s="19" t="n">
        <f aca="false">SUMIFS(المرجع!$H$2:$H$19,المرجع!$B$2:$B$19,$G434,المرجع!$E$2:$E$19,$I434)</f>
        <v>1</v>
      </c>
      <c r="M434" s="19" t="n">
        <f aca="false">COUNTIFS('المرتبطة بسمو الوزير'!$B$2:$B$151,$B434,'المرتبطة بسمو الوزير'!$G$2:$G$151,$G434,'المرتبطة بسمو الوزير'!$I$2:$I$151,$I434,'المرتبطة بسمو الوزير'!$M$2:$M$151,"&lt;&gt;")+COUNTIFS('الشؤون التنفيذية'!$B$2:$B$421,$B434,'الشؤون التنفيذية'!$G$2:$G$421,$G434,'الشؤون التنفيذية'!$I$2:$I$421,$I434,'الشؤون التنفيذية'!$N$2:$N$421,"&lt;&gt;")+COUNTIFS('الجهاز العسكري'!$B$2:$B$631,$B434,'الجهاز العسكري'!$G$2:$G$631,$G434,'الجهاز العسكري'!$I$2:$I$631,$I434,'الجهاز العسكري'!$M$2:$M$631,"&lt;&gt;")</f>
        <v>1</v>
      </c>
      <c r="N434" s="24" t="n">
        <f aca="false">IF($L434=0,0,ROUND((SUMIFS('المرتبطة بسمو الوزير'!$M$2:$M$151,'المرتبطة بسمو الوزير'!$B$2:$B$151,$B434,'المرتبطة بسمو الوزير'!$G$2:$G$151,$G434,'المرتبطة بسمو الوزير'!$I$2:$I$151,$I434)+SUMIFS('الشؤون التنفيذية'!$N$2:$N$421,'الشؤون التنفيذية'!$B$2:$B$421,$B434,'الشؤون التنفيذية'!$G$2:$G$421,$G434,'الشؤون التنفيذية'!$I$2:$I$421,$I434)+SUMIFS('الجهاز العسكري'!$M$2:$M$631,'الجهاز العسكري'!$B$2:$B$631,$B434,'الجهاز العسكري'!$G$2:$G$631,$G434,'الجهاز العسكري'!$I$2:$I$631,$I434))/$L434,0))</f>
        <v>87</v>
      </c>
      <c r="O434" s="25" t="n">
        <f aca="false">IF($L434=0,0,ROUND((SUMIFS('المرتبطة بسمو الوزير'!$N$2:$N$151,'المرتبطة بسمو الوزير'!$B$2:$B$151,$B434,'المرتبطة بسمو الوزير'!$G$2:$G$151,$G434,'المرتبطة بسمو الوزير'!$I$2:$I$151,$I434)+SUMIFS('الشؤون التنفيذية'!$O$2:$O$421,'الشؤون التنفيذية'!$B$2:$B$421,$B434,'الشؤون التنفيذية'!$G$2:$G$421,$G434,'الشؤون التنفيذية'!$I$2:$I$421,$I434)+SUMIFS('الجهاز العسكري'!$N$2:$N$631,'الجهاز العسكري'!$B$2:$B$631,$B434,'الجهاز العسكري'!$G$2:$G$631,$G434,'الجهاز العسكري'!$I$2:$I$631,$I434))/$L434,0))</f>
        <v>90</v>
      </c>
      <c r="P434" s="22"/>
      <c r="Q434" s="19" t="n">
        <f aca="false">SUMIFS(المرجع!$G$2:$G$19,المرجع!$B$2:$B$19,$G434,المرجع!$E$2:$E$19,$I434)</f>
        <v>25</v>
      </c>
      <c r="R434" s="26" t="n">
        <f aca="false">ROUND($Q434*$N434/100,2)</f>
        <v>21.75</v>
      </c>
      <c r="S434" s="27" t="str">
        <f aca="false">IF($N434&gt;المرجع!$K$3,"متقدم",IF($N434&lt;=المرجع!$K$2,"أولي","جزئي"))</f>
        <v>متقدم</v>
      </c>
      <c r="T434" s="28" t="n">
        <f aca="false">ROUND($Q434*$O434/100,2)</f>
        <v>22.5</v>
      </c>
    </row>
    <row r="435" customFormat="false" ht="15" hidden="false" customHeight="true" outlineLevel="0" collapsed="false">
      <c r="A435" s="20" t="s">
        <v>1887</v>
      </c>
      <c r="B435" s="20" t="s">
        <v>206</v>
      </c>
      <c r="C435" s="19" t="str">
        <f aca="false">IFERROR(INDEX('قائمة الوحدات'!$B$2:$B$41,MATCH($B435,'قائمة الوحدات'!$A$2:$A$41,0)),"")</f>
        <v>MIL</v>
      </c>
      <c r="D435" s="18" t="str">
        <f aca="false">IFERROR(INDEX('قائمة الوحدات'!$C$2:$C$41,MATCH($B435,'قائمة الوحدات'!$A$2:$A$41,0)),"")</f>
        <v>الجهاز العسكري</v>
      </c>
      <c r="E435" s="18" t="str">
        <f aca="false">IFERROR(INDEX('قائمة الوحدات'!$D$2:$D$41,MATCH($B435,'قائمة الوحدات'!$A$2:$A$41,0)),"")</f>
        <v>قيادة القوات الاستراتيجية</v>
      </c>
      <c r="F435" s="18" t="str">
        <f aca="false">IFERROR(INDEX('قائمة الوحدات'!$F$2:$F$41,MATCH($B435,'قائمة الوحدات'!$A$2:$A$41,0)),"")</f>
        <v>قيادة القوات الاستراتيجية</v>
      </c>
      <c r="G435" s="20" t="s">
        <v>44</v>
      </c>
      <c r="H435" s="18" t="str">
        <f aca="false">IFERROR(INDEX(المرجع!$A$2:$A$19,MATCH($G435,المرجع!$B$2:$B$19,0)),"")</f>
        <v>التصميم</v>
      </c>
      <c r="I435" s="20" t="s">
        <v>49</v>
      </c>
      <c r="J435" s="18" t="str">
        <f aca="false">IFERROR(INDEX(المرجع!$D$2:$D$19,MATCH($I435,المرجع!$E$2:$E$19,0)),"")</f>
        <v>الأهداف ومؤشرات الأداء</v>
      </c>
      <c r="K435" s="19" t="n">
        <f aca="false">IFERROR(INDEX(المرجع!$F$2:$F$19,MATCH($I435,المرجع!$E$2:$E$19,0)),"")</f>
        <v>2</v>
      </c>
      <c r="L435" s="19" t="n">
        <f aca="false">SUMIFS(المرجع!$H$2:$H$19,المرجع!$B$2:$B$19,$G435,المرجع!$E$2:$E$19,$I435)</f>
        <v>2</v>
      </c>
      <c r="M435" s="19" t="n">
        <f aca="false">COUNTIFS('المرتبطة بسمو الوزير'!$B$2:$B$151,$B435,'المرتبطة بسمو الوزير'!$G$2:$G$151,$G435,'المرتبطة بسمو الوزير'!$I$2:$I$151,$I435,'المرتبطة بسمو الوزير'!$M$2:$M$151,"&lt;&gt;")+COUNTIFS('الشؤون التنفيذية'!$B$2:$B$421,$B435,'الشؤون التنفيذية'!$G$2:$G$421,$G435,'الشؤون التنفيذية'!$I$2:$I$421,$I435,'الشؤون التنفيذية'!$N$2:$N$421,"&lt;&gt;")+COUNTIFS('الجهاز العسكري'!$B$2:$B$631,$B435,'الجهاز العسكري'!$G$2:$G$631,$G435,'الجهاز العسكري'!$I$2:$I$631,$I435,'الجهاز العسكري'!$M$2:$M$631,"&lt;&gt;")</f>
        <v>2</v>
      </c>
      <c r="N435" s="24" t="n">
        <f aca="false">IF($L435=0,0,ROUND((SUMIFS('المرتبطة بسمو الوزير'!$M$2:$M$151,'المرتبطة بسمو الوزير'!$B$2:$B$151,$B435,'المرتبطة بسمو الوزير'!$G$2:$G$151,$G435,'المرتبطة بسمو الوزير'!$I$2:$I$151,$I435)+SUMIFS('الشؤون التنفيذية'!$N$2:$N$421,'الشؤون التنفيذية'!$B$2:$B$421,$B435,'الشؤون التنفيذية'!$G$2:$G$421,$G435,'الشؤون التنفيذية'!$I$2:$I$421,$I435)+SUMIFS('الجهاز العسكري'!$M$2:$M$631,'الجهاز العسكري'!$B$2:$B$631,$B435,'الجهاز العسكري'!$G$2:$G$631,$G435,'الجهاز العسكري'!$I$2:$I$631,$I435))/$L435,0))</f>
        <v>83</v>
      </c>
      <c r="O435" s="25" t="n">
        <f aca="false">IF($L435=0,0,ROUND((SUMIFS('المرتبطة بسمو الوزير'!$N$2:$N$151,'المرتبطة بسمو الوزير'!$B$2:$B$151,$B435,'المرتبطة بسمو الوزير'!$G$2:$G$151,$G435,'المرتبطة بسمو الوزير'!$I$2:$I$151,$I435)+SUMIFS('الشؤون التنفيذية'!$O$2:$O$421,'الشؤون التنفيذية'!$B$2:$B$421,$B435,'الشؤون التنفيذية'!$G$2:$G$421,$G435,'الشؤون التنفيذية'!$I$2:$I$421,$I435)+SUMIFS('الجهاز العسكري'!$N$2:$N$631,'الجهاز العسكري'!$B$2:$B$631,$B435,'الجهاز العسكري'!$G$2:$G$631,$G435,'الجهاز العسكري'!$I$2:$I$631,$I435))/$L435,0))</f>
        <v>95</v>
      </c>
      <c r="P435" s="22"/>
      <c r="Q435" s="19" t="n">
        <f aca="false">SUMIFS(المرجع!$G$2:$G$19,المرجع!$B$2:$B$19,$G435,المرجع!$E$2:$E$19,$I435)</f>
        <v>15</v>
      </c>
      <c r="R435" s="26" t="n">
        <f aca="false">ROUND($Q435*$N435/100,2)</f>
        <v>12.45</v>
      </c>
      <c r="S435" s="27" t="str">
        <f aca="false">IF($N435&gt;المرجع!$K$3,"متقدم",IF($N435&lt;=المرجع!$K$2,"أولي","جزئي"))</f>
        <v>متقدم</v>
      </c>
      <c r="T435" s="28" t="n">
        <f aca="false">ROUND($Q435*$O435/100,2)</f>
        <v>14.25</v>
      </c>
    </row>
    <row r="436" customFormat="false" ht="15" hidden="false" customHeight="true" outlineLevel="0" collapsed="false">
      <c r="A436" s="20" t="s">
        <v>1888</v>
      </c>
      <c r="B436" s="20" t="s">
        <v>206</v>
      </c>
      <c r="C436" s="19" t="str">
        <f aca="false">IFERROR(INDEX('قائمة الوحدات'!$B$2:$B$41,MATCH($B436,'قائمة الوحدات'!$A$2:$A$41,0)),"")</f>
        <v>MIL</v>
      </c>
      <c r="D436" s="18" t="str">
        <f aca="false">IFERROR(INDEX('قائمة الوحدات'!$C$2:$C$41,MATCH($B436,'قائمة الوحدات'!$A$2:$A$41,0)),"")</f>
        <v>الجهاز العسكري</v>
      </c>
      <c r="E436" s="18" t="str">
        <f aca="false">IFERROR(INDEX('قائمة الوحدات'!$D$2:$D$41,MATCH($B436,'قائمة الوحدات'!$A$2:$A$41,0)),"")</f>
        <v>قيادة القوات الاستراتيجية</v>
      </c>
      <c r="F436" s="18" t="str">
        <f aca="false">IFERROR(INDEX('قائمة الوحدات'!$F$2:$F$41,MATCH($B436,'قائمة الوحدات'!$A$2:$A$41,0)),"")</f>
        <v>قيادة القوات الاستراتيجية</v>
      </c>
      <c r="G436" s="20" t="s">
        <v>44</v>
      </c>
      <c r="H436" s="18" t="str">
        <f aca="false">IFERROR(INDEX(المرجع!$A$2:$A$19,MATCH($G436,المرجع!$B$2:$B$19,0)),"")</f>
        <v>التصميم</v>
      </c>
      <c r="I436" s="20" t="s">
        <v>52</v>
      </c>
      <c r="J436" s="18" t="str">
        <f aca="false">IFERROR(INDEX(المرجع!$D$2:$D$19,MATCH($I436,المرجع!$E$2:$E$19,0)),"")</f>
        <v>الحوكمة</v>
      </c>
      <c r="K436" s="19" t="n">
        <f aca="false">IFERROR(INDEX(المرجع!$F$2:$F$19,MATCH($I436,المرجع!$E$2:$E$19,0)),"")</f>
        <v>3</v>
      </c>
      <c r="L436" s="19" t="n">
        <f aca="false">SUMIFS(المرجع!$H$2:$H$19,المرجع!$B$2:$B$19,$G436,المرجع!$E$2:$E$19,$I436)</f>
        <v>1</v>
      </c>
      <c r="M436" s="19" t="n">
        <f aca="false">COUNTIFS('المرتبطة بسمو الوزير'!$B$2:$B$151,$B436,'المرتبطة بسمو الوزير'!$G$2:$G$151,$G436,'المرتبطة بسمو الوزير'!$I$2:$I$151,$I436,'المرتبطة بسمو الوزير'!$M$2:$M$151,"&lt;&gt;")+COUNTIFS('الشؤون التنفيذية'!$B$2:$B$421,$B436,'الشؤون التنفيذية'!$G$2:$G$421,$G436,'الشؤون التنفيذية'!$I$2:$I$421,$I436,'الشؤون التنفيذية'!$N$2:$N$421,"&lt;&gt;")+COUNTIFS('الجهاز العسكري'!$B$2:$B$631,$B436,'الجهاز العسكري'!$G$2:$G$631,$G436,'الجهاز العسكري'!$I$2:$I$631,$I436,'الجهاز العسكري'!$M$2:$M$631,"&lt;&gt;")</f>
        <v>1</v>
      </c>
      <c r="N436" s="24" t="n">
        <f aca="false">IF($L436=0,0,ROUND((SUMIFS('المرتبطة بسمو الوزير'!$M$2:$M$151,'المرتبطة بسمو الوزير'!$B$2:$B$151,$B436,'المرتبطة بسمو الوزير'!$G$2:$G$151,$G436,'المرتبطة بسمو الوزير'!$I$2:$I$151,$I436)+SUMIFS('الشؤون التنفيذية'!$N$2:$N$421,'الشؤون التنفيذية'!$B$2:$B$421,$B436,'الشؤون التنفيذية'!$G$2:$G$421,$G436,'الشؤون التنفيذية'!$I$2:$I$421,$I436)+SUMIFS('الجهاز العسكري'!$M$2:$M$631,'الجهاز العسكري'!$B$2:$B$631,$B436,'الجهاز العسكري'!$G$2:$G$631,$G436,'الجهاز العسكري'!$I$2:$I$631,$I436))/$L436,0))</f>
        <v>90</v>
      </c>
      <c r="O436" s="25" t="n">
        <f aca="false">IF($L436=0,0,ROUND((SUMIFS('المرتبطة بسمو الوزير'!$N$2:$N$151,'المرتبطة بسمو الوزير'!$B$2:$B$151,$B436,'المرتبطة بسمو الوزير'!$G$2:$G$151,$G436,'المرتبطة بسمو الوزير'!$I$2:$I$151,$I436)+SUMIFS('الشؤون التنفيذية'!$O$2:$O$421,'الشؤون التنفيذية'!$B$2:$B$421,$B436,'الشؤون التنفيذية'!$G$2:$G$421,$G436,'الشؤون التنفيذية'!$I$2:$I$421,$I436)+SUMIFS('الجهاز العسكري'!$N$2:$N$631,'الجهاز العسكري'!$B$2:$B$631,$B436,'الجهاز العسكري'!$G$2:$G$631,$G436,'الجهاز العسكري'!$I$2:$I$631,$I436))/$L436,0))</f>
        <v>90</v>
      </c>
      <c r="P436" s="22"/>
      <c r="Q436" s="19" t="n">
        <f aca="false">SUMIFS(المرجع!$G$2:$G$19,المرجع!$B$2:$B$19,$G436,المرجع!$E$2:$E$19,$I436)</f>
        <v>15</v>
      </c>
      <c r="R436" s="26" t="n">
        <f aca="false">ROUND($Q436*$N436/100,2)</f>
        <v>13.5</v>
      </c>
      <c r="S436" s="27" t="str">
        <f aca="false">IF($N436&gt;المرجع!$K$3,"متقدم",IF($N436&lt;=المرجع!$K$2,"أولي","جزئي"))</f>
        <v>متقدم</v>
      </c>
      <c r="T436" s="28" t="n">
        <f aca="false">ROUND($Q436*$O436/100,2)</f>
        <v>13.5</v>
      </c>
    </row>
    <row r="437" customFormat="false" ht="15" hidden="false" customHeight="true" outlineLevel="0" collapsed="false">
      <c r="A437" s="20" t="s">
        <v>1889</v>
      </c>
      <c r="B437" s="20" t="s">
        <v>206</v>
      </c>
      <c r="C437" s="19" t="str">
        <f aca="false">IFERROR(INDEX('قائمة الوحدات'!$B$2:$B$41,MATCH($B437,'قائمة الوحدات'!$A$2:$A$41,0)),"")</f>
        <v>MIL</v>
      </c>
      <c r="D437" s="18" t="str">
        <f aca="false">IFERROR(INDEX('قائمة الوحدات'!$C$2:$C$41,MATCH($B437,'قائمة الوحدات'!$A$2:$A$41,0)),"")</f>
        <v>الجهاز العسكري</v>
      </c>
      <c r="E437" s="18" t="str">
        <f aca="false">IFERROR(INDEX('قائمة الوحدات'!$D$2:$D$41,MATCH($B437,'قائمة الوحدات'!$A$2:$A$41,0)),"")</f>
        <v>قيادة القوات الاستراتيجية</v>
      </c>
      <c r="F437" s="18" t="str">
        <f aca="false">IFERROR(INDEX('قائمة الوحدات'!$F$2:$F$41,MATCH($B437,'قائمة الوحدات'!$A$2:$A$41,0)),"")</f>
        <v>قيادة القوات الاستراتيجية</v>
      </c>
      <c r="G437" s="20" t="s">
        <v>44</v>
      </c>
      <c r="H437" s="18" t="str">
        <f aca="false">IFERROR(INDEX(المرجع!$A$2:$A$19,MATCH($G437,المرجع!$B$2:$B$19,0)),"")</f>
        <v>التصميم</v>
      </c>
      <c r="I437" s="20" t="s">
        <v>55</v>
      </c>
      <c r="J437" s="18" t="str">
        <f aca="false">IFERROR(INDEX(المرجع!$D$2:$D$19,MATCH($I437,المرجع!$E$2:$E$19,0)),"")</f>
        <v>التنظيم</v>
      </c>
      <c r="K437" s="19" t="n">
        <f aca="false">IFERROR(INDEX(المرجع!$F$2:$F$19,MATCH($I437,المرجع!$E$2:$E$19,0)),"")</f>
        <v>4</v>
      </c>
      <c r="L437" s="19" t="n">
        <f aca="false">SUMIFS(المرجع!$H$2:$H$19,المرجع!$B$2:$B$19,$G437,المرجع!$E$2:$E$19,$I437)</f>
        <v>1</v>
      </c>
      <c r="M437" s="19" t="n">
        <f aca="false">COUNTIFS('المرتبطة بسمو الوزير'!$B$2:$B$151,$B437,'المرتبطة بسمو الوزير'!$G$2:$G$151,$G437,'المرتبطة بسمو الوزير'!$I$2:$I$151,$I437,'المرتبطة بسمو الوزير'!$M$2:$M$151,"&lt;&gt;")+COUNTIFS('الشؤون التنفيذية'!$B$2:$B$421,$B437,'الشؤون التنفيذية'!$G$2:$G$421,$G437,'الشؤون التنفيذية'!$I$2:$I$421,$I437,'الشؤون التنفيذية'!$N$2:$N$421,"&lt;&gt;")+COUNTIFS('الجهاز العسكري'!$B$2:$B$631,$B437,'الجهاز العسكري'!$G$2:$G$631,$G437,'الجهاز العسكري'!$I$2:$I$631,$I437,'الجهاز العسكري'!$M$2:$M$631,"&lt;&gt;")</f>
        <v>1</v>
      </c>
      <c r="N437" s="24" t="n">
        <f aca="false">IF($L437=0,0,ROUND((SUMIFS('المرتبطة بسمو الوزير'!$M$2:$M$151,'المرتبطة بسمو الوزير'!$B$2:$B$151,$B437,'المرتبطة بسمو الوزير'!$G$2:$G$151,$G437,'المرتبطة بسمو الوزير'!$I$2:$I$151,$I437)+SUMIFS('الشؤون التنفيذية'!$N$2:$N$421,'الشؤون التنفيذية'!$B$2:$B$421,$B437,'الشؤون التنفيذية'!$G$2:$G$421,$G437,'الشؤون التنفيذية'!$I$2:$I$421,$I437)+SUMIFS('الجهاز العسكري'!$M$2:$M$631,'الجهاز العسكري'!$B$2:$B$631,$B437,'الجهاز العسكري'!$G$2:$G$631,$G437,'الجهاز العسكري'!$I$2:$I$631,$I437))/$L437,0))</f>
        <v>79</v>
      </c>
      <c r="O437" s="25" t="n">
        <f aca="false">IF($L437=0,0,ROUND((SUMIFS('المرتبطة بسمو الوزير'!$N$2:$N$151,'المرتبطة بسمو الوزير'!$B$2:$B$151,$B437,'المرتبطة بسمو الوزير'!$G$2:$G$151,$G437,'المرتبطة بسمو الوزير'!$I$2:$I$151,$I437)+SUMIFS('الشؤون التنفيذية'!$O$2:$O$421,'الشؤون التنفيذية'!$B$2:$B$421,$B437,'الشؤون التنفيذية'!$G$2:$G$421,$G437,'الشؤون التنفيذية'!$I$2:$I$421,$I437)+SUMIFS('الجهاز العسكري'!$N$2:$N$631,'الجهاز العسكري'!$B$2:$B$631,$B437,'الجهاز العسكري'!$G$2:$G$631,$G437,'الجهاز العسكري'!$I$2:$I$631,$I437))/$L437,0))</f>
        <v>85</v>
      </c>
      <c r="P437" s="22"/>
      <c r="Q437" s="19" t="n">
        <f aca="false">SUMIFS(المرجع!$G$2:$G$19,المرجع!$B$2:$B$19,$G437,المرجع!$E$2:$E$19,$I437)</f>
        <v>20</v>
      </c>
      <c r="R437" s="26" t="n">
        <f aca="false">ROUND($Q437*$N437/100,2)</f>
        <v>15.8</v>
      </c>
      <c r="S437" s="27" t="str">
        <f aca="false">IF($N437&gt;المرجع!$K$3,"متقدم",IF($N437&lt;=المرجع!$K$2,"أولي","جزئي"))</f>
        <v>متقدم</v>
      </c>
      <c r="T437" s="28" t="n">
        <f aca="false">ROUND($Q437*$O437/100,2)</f>
        <v>17</v>
      </c>
    </row>
    <row r="438" customFormat="false" ht="15" hidden="false" customHeight="true" outlineLevel="0" collapsed="false">
      <c r="A438" s="20" t="s">
        <v>1890</v>
      </c>
      <c r="B438" s="20" t="s">
        <v>206</v>
      </c>
      <c r="C438" s="19" t="str">
        <f aca="false">IFERROR(INDEX('قائمة الوحدات'!$B$2:$B$41,MATCH($B438,'قائمة الوحدات'!$A$2:$A$41,0)),"")</f>
        <v>MIL</v>
      </c>
      <c r="D438" s="18" t="str">
        <f aca="false">IFERROR(INDEX('قائمة الوحدات'!$C$2:$C$41,MATCH($B438,'قائمة الوحدات'!$A$2:$A$41,0)),"")</f>
        <v>الجهاز العسكري</v>
      </c>
      <c r="E438" s="18" t="str">
        <f aca="false">IFERROR(INDEX('قائمة الوحدات'!$D$2:$D$41,MATCH($B438,'قائمة الوحدات'!$A$2:$A$41,0)),"")</f>
        <v>قيادة القوات الاستراتيجية</v>
      </c>
      <c r="F438" s="18" t="str">
        <f aca="false">IFERROR(INDEX('قائمة الوحدات'!$F$2:$F$41,MATCH($B438,'قائمة الوحدات'!$A$2:$A$41,0)),"")</f>
        <v>قيادة القوات الاستراتيجية</v>
      </c>
      <c r="G438" s="20" t="s">
        <v>44</v>
      </c>
      <c r="H438" s="18" t="str">
        <f aca="false">IFERROR(INDEX(المرجع!$A$2:$A$19,MATCH($G438,المرجع!$B$2:$B$19,0)),"")</f>
        <v>التصميم</v>
      </c>
      <c r="I438" s="20" t="s">
        <v>57</v>
      </c>
      <c r="J438" s="18" t="str">
        <f aca="false">IFERROR(INDEX(المرجع!$D$2:$D$19,MATCH($I438,المرجع!$E$2:$E$19,0)),"")</f>
        <v>الموارد</v>
      </c>
      <c r="K438" s="19" t="n">
        <f aca="false">IFERROR(INDEX(المرجع!$F$2:$F$19,MATCH($I438,المرجع!$E$2:$E$19,0)),"")</f>
        <v>5</v>
      </c>
      <c r="L438" s="19" t="n">
        <f aca="false">SUMIFS(المرجع!$H$2:$H$19,المرجع!$B$2:$B$19,$G438,المرجع!$E$2:$E$19,$I438)</f>
        <v>1</v>
      </c>
      <c r="M438" s="19" t="n">
        <f aca="false">COUNTIFS('المرتبطة بسمو الوزير'!$B$2:$B$151,$B438,'المرتبطة بسمو الوزير'!$G$2:$G$151,$G438,'المرتبطة بسمو الوزير'!$I$2:$I$151,$I438,'المرتبطة بسمو الوزير'!$M$2:$M$151,"&lt;&gt;")+COUNTIFS('الشؤون التنفيذية'!$B$2:$B$421,$B438,'الشؤون التنفيذية'!$G$2:$G$421,$G438,'الشؤون التنفيذية'!$I$2:$I$421,$I438,'الشؤون التنفيذية'!$N$2:$N$421,"&lt;&gt;")+COUNTIFS('الجهاز العسكري'!$B$2:$B$631,$B438,'الجهاز العسكري'!$G$2:$G$631,$G438,'الجهاز العسكري'!$I$2:$I$631,$I438,'الجهاز العسكري'!$M$2:$M$631,"&lt;&gt;")</f>
        <v>1</v>
      </c>
      <c r="N438" s="24" t="n">
        <f aca="false">IF($L438=0,0,ROUND((SUMIFS('المرتبطة بسمو الوزير'!$M$2:$M$151,'المرتبطة بسمو الوزير'!$B$2:$B$151,$B438,'المرتبطة بسمو الوزير'!$G$2:$G$151,$G438,'المرتبطة بسمو الوزير'!$I$2:$I$151,$I438)+SUMIFS('الشؤون التنفيذية'!$N$2:$N$421,'الشؤون التنفيذية'!$B$2:$B$421,$B438,'الشؤون التنفيذية'!$G$2:$G$421,$G438,'الشؤون التنفيذية'!$I$2:$I$421,$I438)+SUMIFS('الجهاز العسكري'!$M$2:$M$631,'الجهاز العسكري'!$B$2:$B$631,$B438,'الجهاز العسكري'!$G$2:$G$631,$G438,'الجهاز العسكري'!$I$2:$I$631,$I438))/$L438,0))</f>
        <v>88</v>
      </c>
      <c r="O438" s="25" t="n">
        <f aca="false">IF($L438=0,0,ROUND((SUMIFS('المرتبطة بسمو الوزير'!$N$2:$N$151,'المرتبطة بسمو الوزير'!$B$2:$B$151,$B438,'المرتبطة بسمو الوزير'!$G$2:$G$151,$G438,'المرتبطة بسمو الوزير'!$I$2:$I$151,$I438)+SUMIFS('الشؤون التنفيذية'!$O$2:$O$421,'الشؤون التنفيذية'!$B$2:$B$421,$B438,'الشؤون التنفيذية'!$G$2:$G$421,$G438,'الشؤون التنفيذية'!$I$2:$I$421,$I438)+SUMIFS('الجهاز العسكري'!$N$2:$N$631,'الجهاز العسكري'!$B$2:$B$631,$B438,'الجهاز العسكري'!$G$2:$G$631,$G438,'الجهاز العسكري'!$I$2:$I$631,$I438))/$L438,0))</f>
        <v>88</v>
      </c>
      <c r="P438" s="22"/>
      <c r="Q438" s="19" t="n">
        <f aca="false">SUMIFS(المرجع!$G$2:$G$19,المرجع!$B$2:$B$19,$G438,المرجع!$E$2:$E$19,$I438)</f>
        <v>20</v>
      </c>
      <c r="R438" s="26" t="n">
        <f aca="false">ROUND($Q438*$N438/100,2)</f>
        <v>17.6</v>
      </c>
      <c r="S438" s="27" t="str">
        <f aca="false">IF($N438&gt;المرجع!$K$3,"متقدم",IF($N438&lt;=المرجع!$K$2,"أولي","جزئي"))</f>
        <v>متقدم</v>
      </c>
      <c r="T438" s="28" t="n">
        <f aca="false">ROUND($Q438*$O438/100,2)</f>
        <v>17.6</v>
      </c>
    </row>
    <row r="439" customFormat="false" ht="15" hidden="false" customHeight="true" outlineLevel="0" collapsed="false">
      <c r="A439" s="20" t="s">
        <v>1891</v>
      </c>
      <c r="B439" s="20" t="s">
        <v>206</v>
      </c>
      <c r="C439" s="19" t="str">
        <f aca="false">IFERROR(INDEX('قائمة الوحدات'!$B$2:$B$41,MATCH($B439,'قائمة الوحدات'!$A$2:$A$41,0)),"")</f>
        <v>MIL</v>
      </c>
      <c r="D439" s="18" t="str">
        <f aca="false">IFERROR(INDEX('قائمة الوحدات'!$C$2:$C$41,MATCH($B439,'قائمة الوحدات'!$A$2:$A$41,0)),"")</f>
        <v>الجهاز العسكري</v>
      </c>
      <c r="E439" s="18" t="str">
        <f aca="false">IFERROR(INDEX('قائمة الوحدات'!$D$2:$D$41,MATCH($B439,'قائمة الوحدات'!$A$2:$A$41,0)),"")</f>
        <v>قيادة القوات الاستراتيجية</v>
      </c>
      <c r="F439" s="18" t="str">
        <f aca="false">IFERROR(INDEX('قائمة الوحدات'!$F$2:$F$41,MATCH($B439,'قائمة الوحدات'!$A$2:$A$41,0)),"")</f>
        <v>قيادة القوات الاستراتيجية</v>
      </c>
      <c r="G439" s="20" t="s">
        <v>44</v>
      </c>
      <c r="H439" s="18" t="str">
        <f aca="false">IFERROR(INDEX(المرجع!$A$2:$A$19,MATCH($G439,المرجع!$B$2:$B$19,0)),"")</f>
        <v>التصميم</v>
      </c>
      <c r="I439" s="20" t="s">
        <v>60</v>
      </c>
      <c r="J439" s="18" t="str">
        <f aca="false">IFERROR(INDEX(المرجع!$D$2:$D$19,MATCH($I439,المرجع!$E$2:$E$19,0)),"")</f>
        <v>الإجراءات</v>
      </c>
      <c r="K439" s="19" t="n">
        <f aca="false">IFERROR(INDEX(المرجع!$F$2:$F$19,MATCH($I439,المرجع!$E$2:$E$19,0)),"")</f>
        <v>6</v>
      </c>
      <c r="L439" s="19" t="n">
        <f aca="false">SUMIFS(المرجع!$H$2:$H$19,المرجع!$B$2:$B$19,$G439,المرجع!$E$2:$E$19,$I439)</f>
        <v>1</v>
      </c>
      <c r="M439" s="19" t="n">
        <f aca="false">COUNTIFS('المرتبطة بسمو الوزير'!$B$2:$B$151,$B439,'المرتبطة بسمو الوزير'!$G$2:$G$151,$G439,'المرتبطة بسمو الوزير'!$I$2:$I$151,$I439,'المرتبطة بسمو الوزير'!$M$2:$M$151,"&lt;&gt;")+COUNTIFS('الشؤون التنفيذية'!$B$2:$B$421,$B439,'الشؤون التنفيذية'!$G$2:$G$421,$G439,'الشؤون التنفيذية'!$I$2:$I$421,$I439,'الشؤون التنفيذية'!$N$2:$N$421,"&lt;&gt;")+COUNTIFS('الجهاز العسكري'!$B$2:$B$631,$B439,'الجهاز العسكري'!$G$2:$G$631,$G439,'الجهاز العسكري'!$I$2:$I$631,$I439,'الجهاز العسكري'!$M$2:$M$631,"&lt;&gt;")</f>
        <v>1</v>
      </c>
      <c r="N439" s="24" t="n">
        <f aca="false">IF($L439=0,0,ROUND((SUMIFS('المرتبطة بسمو الوزير'!$M$2:$M$151,'المرتبطة بسمو الوزير'!$B$2:$B$151,$B439,'المرتبطة بسمو الوزير'!$G$2:$G$151,$G439,'المرتبطة بسمو الوزير'!$I$2:$I$151,$I439)+SUMIFS('الشؤون التنفيذية'!$N$2:$N$421,'الشؤون التنفيذية'!$B$2:$B$421,$B439,'الشؤون التنفيذية'!$G$2:$G$421,$G439,'الشؤون التنفيذية'!$I$2:$I$421,$I439)+SUMIFS('الجهاز العسكري'!$M$2:$M$631,'الجهاز العسكري'!$B$2:$B$631,$B439,'الجهاز العسكري'!$G$2:$G$631,$G439,'الجهاز العسكري'!$I$2:$I$631,$I439))/$L439,0))</f>
        <v>73</v>
      </c>
      <c r="O439" s="25" t="n">
        <f aca="false">IF($L439=0,0,ROUND((SUMIFS('المرتبطة بسمو الوزير'!$N$2:$N$151,'المرتبطة بسمو الوزير'!$B$2:$B$151,$B439,'المرتبطة بسمو الوزير'!$G$2:$G$151,$G439,'المرتبطة بسمو الوزير'!$I$2:$I$151,$I439)+SUMIFS('الشؤون التنفيذية'!$O$2:$O$421,'الشؤون التنفيذية'!$B$2:$B$421,$B439,'الشؤون التنفيذية'!$G$2:$G$421,$G439,'الشؤون التنفيذية'!$I$2:$I$421,$I439)+SUMIFS('الجهاز العسكري'!$N$2:$N$631,'الجهاز العسكري'!$B$2:$B$631,$B439,'الجهاز العسكري'!$G$2:$G$631,$G439,'الجهاز العسكري'!$I$2:$I$631,$I439))/$L439,0))</f>
        <v>90</v>
      </c>
      <c r="P439" s="22"/>
      <c r="Q439" s="19" t="n">
        <f aca="false">SUMIFS(المرجع!$G$2:$G$19,المرجع!$B$2:$B$19,$G439,المرجع!$E$2:$E$19,$I439)</f>
        <v>5</v>
      </c>
      <c r="R439" s="26" t="n">
        <f aca="false">ROUND($Q439*$N439/100,2)</f>
        <v>3.65</v>
      </c>
      <c r="S439" s="27" t="str">
        <f aca="false">IF($N439&gt;المرجع!$K$3,"متقدم",IF($N439&lt;=المرجع!$K$2,"أولي","جزئي"))</f>
        <v>متقدم</v>
      </c>
      <c r="T439" s="28" t="n">
        <f aca="false">ROUND($Q439*$O439/100,2)</f>
        <v>4.5</v>
      </c>
    </row>
    <row r="440" customFormat="false" ht="15" hidden="false" customHeight="true" outlineLevel="0" collapsed="false">
      <c r="A440" s="20" t="s">
        <v>1892</v>
      </c>
      <c r="B440" s="20" t="s">
        <v>206</v>
      </c>
      <c r="C440" s="19" t="str">
        <f aca="false">IFERROR(INDEX('قائمة الوحدات'!$B$2:$B$41,MATCH($B440,'قائمة الوحدات'!$A$2:$A$41,0)),"")</f>
        <v>MIL</v>
      </c>
      <c r="D440" s="18" t="str">
        <f aca="false">IFERROR(INDEX('قائمة الوحدات'!$C$2:$C$41,MATCH($B440,'قائمة الوحدات'!$A$2:$A$41,0)),"")</f>
        <v>الجهاز العسكري</v>
      </c>
      <c r="E440" s="18" t="str">
        <f aca="false">IFERROR(INDEX('قائمة الوحدات'!$D$2:$D$41,MATCH($B440,'قائمة الوحدات'!$A$2:$A$41,0)),"")</f>
        <v>قيادة القوات الاستراتيجية</v>
      </c>
      <c r="F440" s="18" t="str">
        <f aca="false">IFERROR(INDEX('قائمة الوحدات'!$F$2:$F$41,MATCH($B440,'قائمة الوحدات'!$A$2:$A$41,0)),"")</f>
        <v>قيادة القوات الاستراتيجية</v>
      </c>
      <c r="G440" s="20" t="s">
        <v>62</v>
      </c>
      <c r="H440" s="18" t="str">
        <f aca="false">IFERROR(INDEX(المرجع!$A$2:$A$19,MATCH($G440,المرجع!$B$2:$B$19,0)),"")</f>
        <v>البناء المؤسسي</v>
      </c>
      <c r="I440" s="20" t="s">
        <v>46</v>
      </c>
      <c r="J440" s="18" t="str">
        <f aca="false">IFERROR(INDEX(المرجع!$D$2:$D$19,MATCH($I440,المرجع!$E$2:$E$19,0)),"")</f>
        <v>الدور</v>
      </c>
      <c r="K440" s="19" t="n">
        <f aca="false">IFERROR(INDEX(المرجع!$F$2:$F$19,MATCH($I440,المرجع!$E$2:$E$19,0)),"")</f>
        <v>1</v>
      </c>
      <c r="L440" s="19" t="n">
        <f aca="false">SUMIFS(المرجع!$H$2:$H$19,المرجع!$B$2:$B$19,$G440,المرجع!$E$2:$E$19,$I440)</f>
        <v>1</v>
      </c>
      <c r="M440" s="19" t="n">
        <f aca="false">COUNTIFS('المرتبطة بسمو الوزير'!$B$2:$B$151,$B440,'المرتبطة بسمو الوزير'!$G$2:$G$151,$G440,'المرتبطة بسمو الوزير'!$I$2:$I$151,$I440,'المرتبطة بسمو الوزير'!$M$2:$M$151,"&lt;&gt;")+COUNTIFS('الشؤون التنفيذية'!$B$2:$B$421,$B440,'الشؤون التنفيذية'!$G$2:$G$421,$G440,'الشؤون التنفيذية'!$I$2:$I$421,$I440,'الشؤون التنفيذية'!$N$2:$N$421,"&lt;&gt;")+COUNTIFS('الجهاز العسكري'!$B$2:$B$631,$B440,'الجهاز العسكري'!$G$2:$G$631,$G440,'الجهاز العسكري'!$I$2:$I$631,$I440,'الجهاز العسكري'!$M$2:$M$631,"&lt;&gt;")</f>
        <v>1</v>
      </c>
      <c r="N440" s="24" t="n">
        <f aca="false">IF($L440=0,0,ROUND((SUMIFS('المرتبطة بسمو الوزير'!$M$2:$M$151,'المرتبطة بسمو الوزير'!$B$2:$B$151,$B440,'المرتبطة بسمو الوزير'!$G$2:$G$151,$G440,'المرتبطة بسمو الوزير'!$I$2:$I$151,$I440)+SUMIFS('الشؤون التنفيذية'!$N$2:$N$421,'الشؤون التنفيذية'!$B$2:$B$421,$B440,'الشؤون التنفيذية'!$G$2:$G$421,$G440,'الشؤون التنفيذية'!$I$2:$I$421,$I440)+SUMIFS('الجهاز العسكري'!$M$2:$M$631,'الجهاز العسكري'!$B$2:$B$631,$B440,'الجهاز العسكري'!$G$2:$G$631,$G440,'الجهاز العسكري'!$I$2:$I$631,$I440))/$L440,0))</f>
        <v>77</v>
      </c>
      <c r="O440" s="25" t="n">
        <f aca="false">IF($L440=0,0,ROUND((SUMIFS('المرتبطة بسمو الوزير'!$N$2:$N$151,'المرتبطة بسمو الوزير'!$B$2:$B$151,$B440,'المرتبطة بسمو الوزير'!$G$2:$G$151,$G440,'المرتبطة بسمو الوزير'!$I$2:$I$151,$I440)+SUMIFS('الشؤون التنفيذية'!$O$2:$O$421,'الشؤون التنفيذية'!$B$2:$B$421,$B440,'الشؤون التنفيذية'!$G$2:$G$421,$G440,'الشؤون التنفيذية'!$I$2:$I$421,$I440)+SUMIFS('الجهاز العسكري'!$N$2:$N$631,'الجهاز العسكري'!$B$2:$B$631,$B440,'الجهاز العسكري'!$G$2:$G$631,$G440,'الجهاز العسكري'!$I$2:$I$631,$I440))/$L440,0))</f>
        <v>85</v>
      </c>
      <c r="P440" s="22"/>
      <c r="Q440" s="19" t="n">
        <f aca="false">SUMIFS(المرجع!$G$2:$G$19,المرجع!$B$2:$B$19,$G440,المرجع!$E$2:$E$19,$I440)</f>
        <v>15</v>
      </c>
      <c r="R440" s="26" t="n">
        <f aca="false">ROUND($Q440*$N440/100,2)</f>
        <v>11.55</v>
      </c>
      <c r="S440" s="27" t="str">
        <f aca="false">IF($N440&gt;المرجع!$K$3,"متقدم",IF($N440&lt;=المرجع!$K$2,"أولي","جزئي"))</f>
        <v>متقدم</v>
      </c>
      <c r="T440" s="28" t="n">
        <f aca="false">ROUND($Q440*$O440/100,2)</f>
        <v>12.75</v>
      </c>
    </row>
    <row r="441" customFormat="false" ht="15" hidden="false" customHeight="true" outlineLevel="0" collapsed="false">
      <c r="A441" s="20" t="s">
        <v>1893</v>
      </c>
      <c r="B441" s="20" t="s">
        <v>206</v>
      </c>
      <c r="C441" s="19" t="str">
        <f aca="false">IFERROR(INDEX('قائمة الوحدات'!$B$2:$B$41,MATCH($B441,'قائمة الوحدات'!$A$2:$A$41,0)),"")</f>
        <v>MIL</v>
      </c>
      <c r="D441" s="18" t="str">
        <f aca="false">IFERROR(INDEX('قائمة الوحدات'!$C$2:$C$41,MATCH($B441,'قائمة الوحدات'!$A$2:$A$41,0)),"")</f>
        <v>الجهاز العسكري</v>
      </c>
      <c r="E441" s="18" t="str">
        <f aca="false">IFERROR(INDEX('قائمة الوحدات'!$D$2:$D$41,MATCH($B441,'قائمة الوحدات'!$A$2:$A$41,0)),"")</f>
        <v>قيادة القوات الاستراتيجية</v>
      </c>
      <c r="F441" s="18" t="str">
        <f aca="false">IFERROR(INDEX('قائمة الوحدات'!$F$2:$F$41,MATCH($B441,'قائمة الوحدات'!$A$2:$A$41,0)),"")</f>
        <v>قيادة القوات الاستراتيجية</v>
      </c>
      <c r="G441" s="20" t="s">
        <v>62</v>
      </c>
      <c r="H441" s="18" t="str">
        <f aca="false">IFERROR(INDEX(المرجع!$A$2:$A$19,MATCH($G441,المرجع!$B$2:$B$19,0)),"")</f>
        <v>البناء المؤسسي</v>
      </c>
      <c r="I441" s="20" t="s">
        <v>49</v>
      </c>
      <c r="J441" s="18" t="str">
        <f aca="false">IFERROR(INDEX(المرجع!$D$2:$D$19,MATCH($I441,المرجع!$E$2:$E$19,0)),"")</f>
        <v>الأهداف ومؤشرات الأداء</v>
      </c>
      <c r="K441" s="19" t="n">
        <f aca="false">IFERROR(INDEX(المرجع!$F$2:$F$19,MATCH($I441,المرجع!$E$2:$E$19,0)),"")</f>
        <v>2</v>
      </c>
      <c r="L441" s="19" t="n">
        <f aca="false">SUMIFS(المرجع!$H$2:$H$19,المرجع!$B$2:$B$19,$G441,المرجع!$E$2:$E$19,$I441)</f>
        <v>2</v>
      </c>
      <c r="M441" s="19" t="n">
        <f aca="false">COUNTIFS('المرتبطة بسمو الوزير'!$B$2:$B$151,$B441,'المرتبطة بسمو الوزير'!$G$2:$G$151,$G441,'المرتبطة بسمو الوزير'!$I$2:$I$151,$I441,'المرتبطة بسمو الوزير'!$M$2:$M$151,"&lt;&gt;")+COUNTIFS('الشؤون التنفيذية'!$B$2:$B$421,$B441,'الشؤون التنفيذية'!$G$2:$G$421,$G441,'الشؤون التنفيذية'!$I$2:$I$421,$I441,'الشؤون التنفيذية'!$N$2:$N$421,"&lt;&gt;")+COUNTIFS('الجهاز العسكري'!$B$2:$B$631,$B441,'الجهاز العسكري'!$G$2:$G$631,$G441,'الجهاز العسكري'!$I$2:$I$631,$I441,'الجهاز العسكري'!$M$2:$M$631,"&lt;&gt;")</f>
        <v>2</v>
      </c>
      <c r="N441" s="24" t="n">
        <f aca="false">IF($L441=0,0,ROUND((SUMIFS('المرتبطة بسمو الوزير'!$M$2:$M$151,'المرتبطة بسمو الوزير'!$B$2:$B$151,$B441,'المرتبطة بسمو الوزير'!$G$2:$G$151,$G441,'المرتبطة بسمو الوزير'!$I$2:$I$151,$I441)+SUMIFS('الشؤون التنفيذية'!$N$2:$N$421,'الشؤون التنفيذية'!$B$2:$B$421,$B441,'الشؤون التنفيذية'!$G$2:$G$421,$G441,'الشؤون التنفيذية'!$I$2:$I$421,$I441)+SUMIFS('الجهاز العسكري'!$M$2:$M$631,'الجهاز العسكري'!$B$2:$B$631,$B441,'الجهاز العسكري'!$G$2:$G$631,$G441,'الجهاز العسكري'!$I$2:$I$631,$I441))/$L441,0))</f>
        <v>73</v>
      </c>
      <c r="O441" s="25" t="n">
        <f aca="false">IF($L441=0,0,ROUND((SUMIFS('المرتبطة بسمو الوزير'!$N$2:$N$151,'المرتبطة بسمو الوزير'!$B$2:$B$151,$B441,'المرتبطة بسمو الوزير'!$G$2:$G$151,$G441,'المرتبطة بسمو الوزير'!$I$2:$I$151,$I441)+SUMIFS('الشؤون التنفيذية'!$O$2:$O$421,'الشؤون التنفيذية'!$B$2:$B$421,$B441,'الشؤون التنفيذية'!$G$2:$G$421,$G441,'الشؤون التنفيذية'!$I$2:$I$421,$I441)+SUMIFS('الجهاز العسكري'!$N$2:$N$631,'الجهاز العسكري'!$B$2:$B$631,$B441,'الجهاز العسكري'!$G$2:$G$631,$G441,'الجهاز العسكري'!$I$2:$I$631,$I441))/$L441,0))</f>
        <v>88</v>
      </c>
      <c r="P441" s="22"/>
      <c r="Q441" s="19" t="n">
        <f aca="false">SUMIFS(المرجع!$G$2:$G$19,المرجع!$B$2:$B$19,$G441,المرجع!$E$2:$E$19,$I441)</f>
        <v>15</v>
      </c>
      <c r="R441" s="26" t="n">
        <f aca="false">ROUND($Q441*$N441/100,2)</f>
        <v>10.95</v>
      </c>
      <c r="S441" s="27" t="str">
        <f aca="false">IF($N441&gt;المرجع!$K$3,"متقدم",IF($N441&lt;=المرجع!$K$2,"أولي","جزئي"))</f>
        <v>متقدم</v>
      </c>
      <c r="T441" s="28" t="n">
        <f aca="false">ROUND($Q441*$O441/100,2)</f>
        <v>13.2</v>
      </c>
    </row>
    <row r="442" customFormat="false" ht="15" hidden="false" customHeight="true" outlineLevel="0" collapsed="false">
      <c r="A442" s="20" t="s">
        <v>1894</v>
      </c>
      <c r="B442" s="20" t="s">
        <v>206</v>
      </c>
      <c r="C442" s="19" t="str">
        <f aca="false">IFERROR(INDEX('قائمة الوحدات'!$B$2:$B$41,MATCH($B442,'قائمة الوحدات'!$A$2:$A$41,0)),"")</f>
        <v>MIL</v>
      </c>
      <c r="D442" s="18" t="str">
        <f aca="false">IFERROR(INDEX('قائمة الوحدات'!$C$2:$C$41,MATCH($B442,'قائمة الوحدات'!$A$2:$A$41,0)),"")</f>
        <v>الجهاز العسكري</v>
      </c>
      <c r="E442" s="18" t="str">
        <f aca="false">IFERROR(INDEX('قائمة الوحدات'!$D$2:$D$41,MATCH($B442,'قائمة الوحدات'!$A$2:$A$41,0)),"")</f>
        <v>قيادة القوات الاستراتيجية</v>
      </c>
      <c r="F442" s="18" t="str">
        <f aca="false">IFERROR(INDEX('قائمة الوحدات'!$F$2:$F$41,MATCH($B442,'قائمة الوحدات'!$A$2:$A$41,0)),"")</f>
        <v>قيادة القوات الاستراتيجية</v>
      </c>
      <c r="G442" s="20" t="s">
        <v>62</v>
      </c>
      <c r="H442" s="18" t="str">
        <f aca="false">IFERROR(INDEX(المرجع!$A$2:$A$19,MATCH($G442,المرجع!$B$2:$B$19,0)),"")</f>
        <v>البناء المؤسسي</v>
      </c>
      <c r="I442" s="20" t="s">
        <v>52</v>
      </c>
      <c r="J442" s="18" t="str">
        <f aca="false">IFERROR(INDEX(المرجع!$D$2:$D$19,MATCH($I442,المرجع!$E$2:$E$19,0)),"")</f>
        <v>الحوكمة</v>
      </c>
      <c r="K442" s="19" t="n">
        <f aca="false">IFERROR(INDEX(المرجع!$F$2:$F$19,MATCH($I442,المرجع!$E$2:$E$19,0)),"")</f>
        <v>3</v>
      </c>
      <c r="L442" s="19" t="n">
        <f aca="false">SUMIFS(المرجع!$H$2:$H$19,المرجع!$B$2:$B$19,$G442,المرجع!$E$2:$E$19,$I442)</f>
        <v>3</v>
      </c>
      <c r="M442" s="19" t="n">
        <f aca="false">COUNTIFS('المرتبطة بسمو الوزير'!$B$2:$B$151,$B442,'المرتبطة بسمو الوزير'!$G$2:$G$151,$G442,'المرتبطة بسمو الوزير'!$I$2:$I$151,$I442,'المرتبطة بسمو الوزير'!$M$2:$M$151,"&lt;&gt;")+COUNTIFS('الشؤون التنفيذية'!$B$2:$B$421,$B442,'الشؤون التنفيذية'!$G$2:$G$421,$G442,'الشؤون التنفيذية'!$I$2:$I$421,$I442,'الشؤون التنفيذية'!$N$2:$N$421,"&lt;&gt;")+COUNTIFS('الجهاز العسكري'!$B$2:$B$631,$B442,'الجهاز العسكري'!$G$2:$G$631,$G442,'الجهاز العسكري'!$I$2:$I$631,$I442,'الجهاز العسكري'!$M$2:$M$631,"&lt;&gt;")</f>
        <v>3</v>
      </c>
      <c r="N442" s="24" t="n">
        <f aca="false">IF($L442=0,0,ROUND((SUMIFS('المرتبطة بسمو الوزير'!$M$2:$M$151,'المرتبطة بسمو الوزير'!$B$2:$B$151,$B442,'المرتبطة بسمو الوزير'!$G$2:$G$151,$G442,'المرتبطة بسمو الوزير'!$I$2:$I$151,$I442)+SUMIFS('الشؤون التنفيذية'!$N$2:$N$421,'الشؤون التنفيذية'!$B$2:$B$421,$B442,'الشؤون التنفيذية'!$G$2:$G$421,$G442,'الشؤون التنفيذية'!$I$2:$I$421,$I442)+SUMIFS('الجهاز العسكري'!$M$2:$M$631,'الجهاز العسكري'!$B$2:$B$631,$B442,'الجهاز العسكري'!$G$2:$G$631,$G442,'الجهاز العسكري'!$I$2:$I$631,$I442))/$L442,0))</f>
        <v>43</v>
      </c>
      <c r="O442" s="25" t="n">
        <f aca="false">IF($L442=0,0,ROUND((SUMIFS('المرتبطة بسمو الوزير'!$N$2:$N$151,'المرتبطة بسمو الوزير'!$B$2:$B$151,$B442,'المرتبطة بسمو الوزير'!$G$2:$G$151,$G442,'المرتبطة بسمو الوزير'!$I$2:$I$151,$I442)+SUMIFS('الشؤون التنفيذية'!$O$2:$O$421,'الشؤون التنفيذية'!$B$2:$B$421,$B442,'الشؤون التنفيذية'!$G$2:$G$421,$G442,'الشؤون التنفيذية'!$I$2:$I$421,$I442)+SUMIFS('الجهاز العسكري'!$N$2:$N$631,'الجهاز العسكري'!$B$2:$B$631,$B442,'الجهاز العسكري'!$G$2:$G$631,$G442,'الجهاز العسكري'!$I$2:$I$631,$I442))/$L442,0))</f>
        <v>88</v>
      </c>
      <c r="P442" s="22"/>
      <c r="Q442" s="19" t="n">
        <f aca="false">SUMIFS(المرجع!$G$2:$G$19,المرجع!$B$2:$B$19,$G442,المرجع!$E$2:$E$19,$I442)</f>
        <v>15</v>
      </c>
      <c r="R442" s="26" t="n">
        <f aca="false">ROUND($Q442*$N442/100,2)</f>
        <v>6.45</v>
      </c>
      <c r="S442" s="27" t="str">
        <f aca="false">IF($N442&gt;المرجع!$K$3,"متقدم",IF($N442&lt;=المرجع!$K$2,"أولي","جزئي"))</f>
        <v>جزئي</v>
      </c>
      <c r="T442" s="28" t="n">
        <f aca="false">ROUND($Q442*$O442/100,2)</f>
        <v>13.2</v>
      </c>
    </row>
    <row r="443" customFormat="false" ht="15" hidden="false" customHeight="true" outlineLevel="0" collapsed="false">
      <c r="A443" s="20" t="s">
        <v>1895</v>
      </c>
      <c r="B443" s="20" t="s">
        <v>206</v>
      </c>
      <c r="C443" s="19" t="str">
        <f aca="false">IFERROR(INDEX('قائمة الوحدات'!$B$2:$B$41,MATCH($B443,'قائمة الوحدات'!$A$2:$A$41,0)),"")</f>
        <v>MIL</v>
      </c>
      <c r="D443" s="18" t="str">
        <f aca="false">IFERROR(INDEX('قائمة الوحدات'!$C$2:$C$41,MATCH($B443,'قائمة الوحدات'!$A$2:$A$41,0)),"")</f>
        <v>الجهاز العسكري</v>
      </c>
      <c r="E443" s="18" t="str">
        <f aca="false">IFERROR(INDEX('قائمة الوحدات'!$D$2:$D$41,MATCH($B443,'قائمة الوحدات'!$A$2:$A$41,0)),"")</f>
        <v>قيادة القوات الاستراتيجية</v>
      </c>
      <c r="F443" s="18" t="str">
        <f aca="false">IFERROR(INDEX('قائمة الوحدات'!$F$2:$F$41,MATCH($B443,'قائمة الوحدات'!$A$2:$A$41,0)),"")</f>
        <v>قيادة القوات الاستراتيجية</v>
      </c>
      <c r="G443" s="20" t="s">
        <v>62</v>
      </c>
      <c r="H443" s="18" t="str">
        <f aca="false">IFERROR(INDEX(المرجع!$A$2:$A$19,MATCH($G443,المرجع!$B$2:$B$19,0)),"")</f>
        <v>البناء المؤسسي</v>
      </c>
      <c r="I443" s="20" t="s">
        <v>55</v>
      </c>
      <c r="J443" s="18" t="str">
        <f aca="false">IFERROR(INDEX(المرجع!$D$2:$D$19,MATCH($I443,المرجع!$E$2:$E$19,0)),"")</f>
        <v>التنظيم</v>
      </c>
      <c r="K443" s="19" t="n">
        <f aca="false">IFERROR(INDEX(المرجع!$F$2:$F$19,MATCH($I443,المرجع!$E$2:$E$19,0)),"")</f>
        <v>4</v>
      </c>
      <c r="L443" s="19" t="n">
        <f aca="false">SUMIFS(المرجع!$H$2:$H$19,المرجع!$B$2:$B$19,$G443,المرجع!$E$2:$E$19,$I443)</f>
        <v>3</v>
      </c>
      <c r="M443" s="19" t="n">
        <f aca="false">COUNTIFS('المرتبطة بسمو الوزير'!$B$2:$B$151,$B443,'المرتبطة بسمو الوزير'!$G$2:$G$151,$G443,'المرتبطة بسمو الوزير'!$I$2:$I$151,$I443,'المرتبطة بسمو الوزير'!$M$2:$M$151,"&lt;&gt;")+COUNTIFS('الشؤون التنفيذية'!$B$2:$B$421,$B443,'الشؤون التنفيذية'!$G$2:$G$421,$G443,'الشؤون التنفيذية'!$I$2:$I$421,$I443,'الشؤون التنفيذية'!$N$2:$N$421,"&lt;&gt;")+COUNTIFS('الجهاز العسكري'!$B$2:$B$631,$B443,'الجهاز العسكري'!$G$2:$G$631,$G443,'الجهاز العسكري'!$I$2:$I$631,$I443,'الجهاز العسكري'!$M$2:$M$631,"&lt;&gt;")</f>
        <v>3</v>
      </c>
      <c r="N443" s="24" t="n">
        <f aca="false">IF($L443=0,0,ROUND((SUMIFS('المرتبطة بسمو الوزير'!$M$2:$M$151,'المرتبطة بسمو الوزير'!$B$2:$B$151,$B443,'المرتبطة بسمو الوزير'!$G$2:$G$151,$G443,'المرتبطة بسمو الوزير'!$I$2:$I$151,$I443)+SUMIFS('الشؤون التنفيذية'!$N$2:$N$421,'الشؤون التنفيذية'!$B$2:$B$421,$B443,'الشؤون التنفيذية'!$G$2:$G$421,$G443,'الشؤون التنفيذية'!$I$2:$I$421,$I443)+SUMIFS('الجهاز العسكري'!$M$2:$M$631,'الجهاز العسكري'!$B$2:$B$631,$B443,'الجهاز العسكري'!$G$2:$G$631,$G443,'الجهاز العسكري'!$I$2:$I$631,$I443))/$L443,0))</f>
        <v>62</v>
      </c>
      <c r="O443" s="25" t="n">
        <f aca="false">IF($L443=0,0,ROUND((SUMIFS('المرتبطة بسمو الوزير'!$N$2:$N$151,'المرتبطة بسمو الوزير'!$B$2:$B$151,$B443,'المرتبطة بسمو الوزير'!$G$2:$G$151,$G443,'المرتبطة بسمو الوزير'!$I$2:$I$151,$I443)+SUMIFS('الشؤون التنفيذية'!$O$2:$O$421,'الشؤون التنفيذية'!$B$2:$B$421,$B443,'الشؤون التنفيذية'!$G$2:$G$421,$G443,'الشؤون التنفيذية'!$I$2:$I$421,$I443)+SUMIFS('الجهاز العسكري'!$N$2:$N$631,'الجهاز العسكري'!$B$2:$B$631,$B443,'الجهاز العسكري'!$G$2:$G$631,$G443,'الجهاز العسكري'!$I$2:$I$631,$I443))/$L443,0))</f>
        <v>88</v>
      </c>
      <c r="P443" s="22"/>
      <c r="Q443" s="19" t="n">
        <f aca="false">SUMIFS(المرجع!$G$2:$G$19,المرجع!$B$2:$B$19,$G443,المرجع!$E$2:$E$19,$I443)</f>
        <v>20</v>
      </c>
      <c r="R443" s="26" t="n">
        <f aca="false">ROUND($Q443*$N443/100,2)</f>
        <v>12.4</v>
      </c>
      <c r="S443" s="27" t="str">
        <f aca="false">IF($N443&gt;المرجع!$K$3,"متقدم",IF($N443&lt;=المرجع!$K$2,"أولي","جزئي"))</f>
        <v>جزئي</v>
      </c>
      <c r="T443" s="28" t="n">
        <f aca="false">ROUND($Q443*$O443/100,2)</f>
        <v>17.6</v>
      </c>
    </row>
    <row r="444" customFormat="false" ht="15" hidden="false" customHeight="true" outlineLevel="0" collapsed="false">
      <c r="A444" s="20" t="s">
        <v>1896</v>
      </c>
      <c r="B444" s="20" t="s">
        <v>206</v>
      </c>
      <c r="C444" s="19" t="str">
        <f aca="false">IFERROR(INDEX('قائمة الوحدات'!$B$2:$B$41,MATCH($B444,'قائمة الوحدات'!$A$2:$A$41,0)),"")</f>
        <v>MIL</v>
      </c>
      <c r="D444" s="18" t="str">
        <f aca="false">IFERROR(INDEX('قائمة الوحدات'!$C$2:$C$41,MATCH($B444,'قائمة الوحدات'!$A$2:$A$41,0)),"")</f>
        <v>الجهاز العسكري</v>
      </c>
      <c r="E444" s="18" t="str">
        <f aca="false">IFERROR(INDEX('قائمة الوحدات'!$D$2:$D$41,MATCH($B444,'قائمة الوحدات'!$A$2:$A$41,0)),"")</f>
        <v>قيادة القوات الاستراتيجية</v>
      </c>
      <c r="F444" s="18" t="str">
        <f aca="false">IFERROR(INDEX('قائمة الوحدات'!$F$2:$F$41,MATCH($B444,'قائمة الوحدات'!$A$2:$A$41,0)),"")</f>
        <v>قيادة القوات الاستراتيجية</v>
      </c>
      <c r="G444" s="20" t="s">
        <v>62</v>
      </c>
      <c r="H444" s="18" t="str">
        <f aca="false">IFERROR(INDEX(المرجع!$A$2:$A$19,MATCH($G444,المرجع!$B$2:$B$19,0)),"")</f>
        <v>البناء المؤسسي</v>
      </c>
      <c r="I444" s="20" t="s">
        <v>57</v>
      </c>
      <c r="J444" s="18" t="str">
        <f aca="false">IFERROR(INDEX(المرجع!$D$2:$D$19,MATCH($I444,المرجع!$E$2:$E$19,0)),"")</f>
        <v>الموارد</v>
      </c>
      <c r="K444" s="19" t="n">
        <f aca="false">IFERROR(INDEX(المرجع!$F$2:$F$19,MATCH($I444,المرجع!$E$2:$E$19,0)),"")</f>
        <v>5</v>
      </c>
      <c r="L444" s="19" t="n">
        <f aca="false">SUMIFS(المرجع!$H$2:$H$19,المرجع!$B$2:$B$19,$G444,المرجع!$E$2:$E$19,$I444)</f>
        <v>4</v>
      </c>
      <c r="M444" s="19" t="n">
        <f aca="false">COUNTIFS('المرتبطة بسمو الوزير'!$B$2:$B$151,$B444,'المرتبطة بسمو الوزير'!$G$2:$G$151,$G444,'المرتبطة بسمو الوزير'!$I$2:$I$151,$I444,'المرتبطة بسمو الوزير'!$M$2:$M$151,"&lt;&gt;")+COUNTIFS('الشؤون التنفيذية'!$B$2:$B$421,$B444,'الشؤون التنفيذية'!$G$2:$G$421,$G444,'الشؤون التنفيذية'!$I$2:$I$421,$I444,'الشؤون التنفيذية'!$N$2:$N$421,"&lt;&gt;")+COUNTIFS('الجهاز العسكري'!$B$2:$B$631,$B444,'الجهاز العسكري'!$G$2:$G$631,$G444,'الجهاز العسكري'!$I$2:$I$631,$I444,'الجهاز العسكري'!$M$2:$M$631,"&lt;&gt;")</f>
        <v>4</v>
      </c>
      <c r="N444" s="24" t="n">
        <f aca="false">IF($L444=0,0,ROUND((SUMIFS('المرتبطة بسمو الوزير'!$M$2:$M$151,'المرتبطة بسمو الوزير'!$B$2:$B$151,$B444,'المرتبطة بسمو الوزير'!$G$2:$G$151,$G444,'المرتبطة بسمو الوزير'!$I$2:$I$151,$I444)+SUMIFS('الشؤون التنفيذية'!$N$2:$N$421,'الشؤون التنفيذية'!$B$2:$B$421,$B444,'الشؤون التنفيذية'!$G$2:$G$421,$G444,'الشؤون التنفيذية'!$I$2:$I$421,$I444)+SUMIFS('الجهاز العسكري'!$M$2:$M$631,'الجهاز العسكري'!$B$2:$B$631,$B444,'الجهاز العسكري'!$G$2:$G$631,$G444,'الجهاز العسكري'!$I$2:$I$631,$I444))/$L444,0))</f>
        <v>59</v>
      </c>
      <c r="O444" s="25" t="n">
        <f aca="false">IF($L444=0,0,ROUND((SUMIFS('المرتبطة بسمو الوزير'!$N$2:$N$151,'المرتبطة بسمو الوزير'!$B$2:$B$151,$B444,'المرتبطة بسمو الوزير'!$G$2:$G$151,$G444,'المرتبطة بسمو الوزير'!$I$2:$I$151,$I444)+SUMIFS('الشؤون التنفيذية'!$O$2:$O$421,'الشؤون التنفيذية'!$B$2:$B$421,$B444,'الشؤون التنفيذية'!$G$2:$G$421,$G444,'الشؤون التنفيذية'!$I$2:$I$421,$I444)+SUMIFS('الجهاز العسكري'!$N$2:$N$631,'الجهاز العسكري'!$B$2:$B$631,$B444,'الجهاز العسكري'!$G$2:$G$631,$G444,'الجهاز العسكري'!$I$2:$I$631,$I444))/$L444,0))</f>
        <v>93</v>
      </c>
      <c r="P444" s="22"/>
      <c r="Q444" s="19" t="n">
        <f aca="false">SUMIFS(المرجع!$G$2:$G$19,المرجع!$B$2:$B$19,$G444,المرجع!$E$2:$E$19,$I444)</f>
        <v>25</v>
      </c>
      <c r="R444" s="26" t="n">
        <f aca="false">ROUND($Q444*$N444/100,2)</f>
        <v>14.75</v>
      </c>
      <c r="S444" s="27" t="str">
        <f aca="false">IF($N444&gt;المرجع!$K$3,"متقدم",IF($N444&lt;=المرجع!$K$2,"أولي","جزئي"))</f>
        <v>جزئي</v>
      </c>
      <c r="T444" s="28" t="n">
        <f aca="false">ROUND($Q444*$O444/100,2)</f>
        <v>23.25</v>
      </c>
    </row>
    <row r="445" customFormat="false" ht="15" hidden="false" customHeight="true" outlineLevel="0" collapsed="false">
      <c r="A445" s="20" t="s">
        <v>1897</v>
      </c>
      <c r="B445" s="20" t="s">
        <v>206</v>
      </c>
      <c r="C445" s="19" t="str">
        <f aca="false">IFERROR(INDEX('قائمة الوحدات'!$B$2:$B$41,MATCH($B445,'قائمة الوحدات'!$A$2:$A$41,0)),"")</f>
        <v>MIL</v>
      </c>
      <c r="D445" s="18" t="str">
        <f aca="false">IFERROR(INDEX('قائمة الوحدات'!$C$2:$C$41,MATCH($B445,'قائمة الوحدات'!$A$2:$A$41,0)),"")</f>
        <v>الجهاز العسكري</v>
      </c>
      <c r="E445" s="18" t="str">
        <f aca="false">IFERROR(INDEX('قائمة الوحدات'!$D$2:$D$41,MATCH($B445,'قائمة الوحدات'!$A$2:$A$41,0)),"")</f>
        <v>قيادة القوات الاستراتيجية</v>
      </c>
      <c r="F445" s="18" t="str">
        <f aca="false">IFERROR(INDEX('قائمة الوحدات'!$F$2:$F$41,MATCH($B445,'قائمة الوحدات'!$A$2:$A$41,0)),"")</f>
        <v>قيادة القوات الاستراتيجية</v>
      </c>
      <c r="G445" s="20" t="s">
        <v>62</v>
      </c>
      <c r="H445" s="18" t="str">
        <f aca="false">IFERROR(INDEX(المرجع!$A$2:$A$19,MATCH($G445,المرجع!$B$2:$B$19,0)),"")</f>
        <v>البناء المؤسسي</v>
      </c>
      <c r="I445" s="20" t="s">
        <v>60</v>
      </c>
      <c r="J445" s="18" t="str">
        <f aca="false">IFERROR(INDEX(المرجع!$D$2:$D$19,MATCH($I445,المرجع!$E$2:$E$19,0)),"")</f>
        <v>الإجراءات</v>
      </c>
      <c r="K445" s="19" t="n">
        <f aca="false">IFERROR(INDEX(المرجع!$F$2:$F$19,MATCH($I445,المرجع!$E$2:$E$19,0)),"")</f>
        <v>6</v>
      </c>
      <c r="L445" s="19" t="n">
        <f aca="false">SUMIFS(المرجع!$H$2:$H$19,المرجع!$B$2:$B$19,$G445,المرجع!$E$2:$E$19,$I445)</f>
        <v>1</v>
      </c>
      <c r="M445" s="19" t="n">
        <f aca="false">COUNTIFS('المرتبطة بسمو الوزير'!$B$2:$B$151,$B445,'المرتبطة بسمو الوزير'!$G$2:$G$151,$G445,'المرتبطة بسمو الوزير'!$I$2:$I$151,$I445,'المرتبطة بسمو الوزير'!$M$2:$M$151,"&lt;&gt;")+COUNTIFS('الشؤون التنفيذية'!$B$2:$B$421,$B445,'الشؤون التنفيذية'!$G$2:$G$421,$G445,'الشؤون التنفيذية'!$I$2:$I$421,$I445,'الشؤون التنفيذية'!$N$2:$N$421,"&lt;&gt;")+COUNTIFS('الجهاز العسكري'!$B$2:$B$631,$B445,'الجهاز العسكري'!$G$2:$G$631,$G445,'الجهاز العسكري'!$I$2:$I$631,$I445,'الجهاز العسكري'!$M$2:$M$631,"&lt;&gt;")</f>
        <v>1</v>
      </c>
      <c r="N445" s="24" t="n">
        <f aca="false">IF($L445=0,0,ROUND((SUMIFS('المرتبطة بسمو الوزير'!$M$2:$M$151,'المرتبطة بسمو الوزير'!$B$2:$B$151,$B445,'المرتبطة بسمو الوزير'!$G$2:$G$151,$G445,'المرتبطة بسمو الوزير'!$I$2:$I$151,$I445)+SUMIFS('الشؤون التنفيذية'!$N$2:$N$421,'الشؤون التنفيذية'!$B$2:$B$421,$B445,'الشؤون التنفيذية'!$G$2:$G$421,$G445,'الشؤون التنفيذية'!$I$2:$I$421,$I445)+SUMIFS('الجهاز العسكري'!$M$2:$M$631,'الجهاز العسكري'!$B$2:$B$631,$B445,'الجهاز العسكري'!$G$2:$G$631,$G445,'الجهاز العسكري'!$I$2:$I$631,$I445))/$L445,0))</f>
        <v>45</v>
      </c>
      <c r="O445" s="25" t="n">
        <f aca="false">IF($L445=0,0,ROUND((SUMIFS('المرتبطة بسمو الوزير'!$N$2:$N$151,'المرتبطة بسمو الوزير'!$B$2:$B$151,$B445,'المرتبطة بسمو الوزير'!$G$2:$G$151,$G445,'المرتبطة بسمو الوزير'!$I$2:$I$151,$I445)+SUMIFS('الشؤون التنفيذية'!$O$2:$O$421,'الشؤون التنفيذية'!$B$2:$B$421,$B445,'الشؤون التنفيذية'!$G$2:$G$421,$G445,'الشؤون التنفيذية'!$I$2:$I$421,$I445)+SUMIFS('الجهاز العسكري'!$N$2:$N$631,'الجهاز العسكري'!$B$2:$B$631,$B445,'الجهاز العسكري'!$G$2:$G$631,$G445,'الجهاز العسكري'!$I$2:$I$631,$I445))/$L445,0))</f>
        <v>100</v>
      </c>
      <c r="P445" s="22"/>
      <c r="Q445" s="19" t="n">
        <f aca="false">SUMIFS(المرجع!$G$2:$G$19,المرجع!$B$2:$B$19,$G445,المرجع!$E$2:$E$19,$I445)</f>
        <v>5</v>
      </c>
      <c r="R445" s="26" t="n">
        <f aca="false">ROUND($Q445*$N445/100,2)</f>
        <v>2.25</v>
      </c>
      <c r="S445" s="27" t="str">
        <f aca="false">IF($N445&gt;المرجع!$K$3,"متقدم",IF($N445&lt;=المرجع!$K$2,"أولي","جزئي"))</f>
        <v>جزئي</v>
      </c>
      <c r="T445" s="28" t="n">
        <f aca="false">ROUND($Q445*$O445/100,2)</f>
        <v>5</v>
      </c>
    </row>
    <row r="446" customFormat="false" ht="15" hidden="false" customHeight="true" outlineLevel="0" collapsed="false">
      <c r="A446" s="20" t="s">
        <v>1898</v>
      </c>
      <c r="B446" s="20" t="s">
        <v>206</v>
      </c>
      <c r="C446" s="19" t="str">
        <f aca="false">IFERROR(INDEX('قائمة الوحدات'!$B$2:$B$41,MATCH($B446,'قائمة الوحدات'!$A$2:$A$41,0)),"")</f>
        <v>MIL</v>
      </c>
      <c r="D446" s="18" t="str">
        <f aca="false">IFERROR(INDEX('قائمة الوحدات'!$C$2:$C$41,MATCH($B446,'قائمة الوحدات'!$A$2:$A$41,0)),"")</f>
        <v>الجهاز العسكري</v>
      </c>
      <c r="E446" s="18" t="str">
        <f aca="false">IFERROR(INDEX('قائمة الوحدات'!$D$2:$D$41,MATCH($B446,'قائمة الوحدات'!$A$2:$A$41,0)),"")</f>
        <v>قيادة القوات الاستراتيجية</v>
      </c>
      <c r="F446" s="18" t="str">
        <f aca="false">IFERROR(INDEX('قائمة الوحدات'!$F$2:$F$41,MATCH($B446,'قائمة الوحدات'!$A$2:$A$41,0)),"")</f>
        <v>قيادة القوات الاستراتيجية</v>
      </c>
      <c r="G446" s="20" t="s">
        <v>62</v>
      </c>
      <c r="H446" s="18" t="str">
        <f aca="false">IFERROR(INDEX(المرجع!$A$2:$A$19,MATCH($G446,المرجع!$B$2:$B$19,0)),"")</f>
        <v>البناء المؤسسي</v>
      </c>
      <c r="I446" s="20" t="s">
        <v>69</v>
      </c>
      <c r="J446" s="18" t="str">
        <f aca="false">IFERROR(INDEX(المرجع!$D$2:$D$19,MATCH($I446,المرجع!$E$2:$E$19,0)),"")</f>
        <v>إنتاج المخرج الأول</v>
      </c>
      <c r="K446" s="19" t="n">
        <f aca="false">IFERROR(INDEX(المرجع!$F$2:$F$19,MATCH($I446,المرجع!$E$2:$E$19,0)),"")</f>
        <v>7</v>
      </c>
      <c r="L446" s="19" t="n">
        <f aca="false">SUMIFS(المرجع!$H$2:$H$19,المرجع!$B$2:$B$19,$G446,المرجع!$E$2:$E$19,$I446)</f>
        <v>1</v>
      </c>
      <c r="M446" s="19" t="n">
        <f aca="false">COUNTIFS('المرتبطة بسمو الوزير'!$B$2:$B$151,$B446,'المرتبطة بسمو الوزير'!$G$2:$G$151,$G446,'المرتبطة بسمو الوزير'!$I$2:$I$151,$I446,'المرتبطة بسمو الوزير'!$M$2:$M$151,"&lt;&gt;")+COUNTIFS('الشؤون التنفيذية'!$B$2:$B$421,$B446,'الشؤون التنفيذية'!$G$2:$G$421,$G446,'الشؤون التنفيذية'!$I$2:$I$421,$I446,'الشؤون التنفيذية'!$N$2:$N$421,"&lt;&gt;")+COUNTIFS('الجهاز العسكري'!$B$2:$B$631,$B446,'الجهاز العسكري'!$G$2:$G$631,$G446,'الجهاز العسكري'!$I$2:$I$631,$I446,'الجهاز العسكري'!$M$2:$M$631,"&lt;&gt;")</f>
        <v>1</v>
      </c>
      <c r="N446" s="24" t="n">
        <f aca="false">IF($L446=0,0,ROUND((SUMIFS('المرتبطة بسمو الوزير'!$M$2:$M$151,'المرتبطة بسمو الوزير'!$B$2:$B$151,$B446,'المرتبطة بسمو الوزير'!$G$2:$G$151,$G446,'المرتبطة بسمو الوزير'!$I$2:$I$151,$I446)+SUMIFS('الشؤون التنفيذية'!$N$2:$N$421,'الشؤون التنفيذية'!$B$2:$B$421,$B446,'الشؤون التنفيذية'!$G$2:$G$421,$G446,'الشؤون التنفيذية'!$I$2:$I$421,$I446)+SUMIFS('الجهاز العسكري'!$M$2:$M$631,'الجهاز العسكري'!$B$2:$B$631,$B446,'الجهاز العسكري'!$G$2:$G$631,$G446,'الجهاز العسكري'!$I$2:$I$631,$I446))/$L446,0))</f>
        <v>82</v>
      </c>
      <c r="O446" s="25" t="n">
        <f aca="false">IF($L446=0,0,ROUND((SUMIFS('المرتبطة بسمو الوزير'!$N$2:$N$151,'المرتبطة بسمو الوزير'!$B$2:$B$151,$B446,'المرتبطة بسمو الوزير'!$G$2:$G$151,$G446,'المرتبطة بسمو الوزير'!$I$2:$I$151,$I446)+SUMIFS('الشؤون التنفيذية'!$O$2:$O$421,'الشؤون التنفيذية'!$B$2:$B$421,$B446,'الشؤون التنفيذية'!$G$2:$G$421,$G446,'الشؤون التنفيذية'!$I$2:$I$421,$I446)+SUMIFS('الجهاز العسكري'!$N$2:$N$631,'الجهاز العسكري'!$B$2:$B$631,$B446,'الجهاز العسكري'!$G$2:$G$631,$G446,'الجهاز العسكري'!$I$2:$I$631,$I446))/$L446,0))</f>
        <v>100</v>
      </c>
      <c r="P446" s="22"/>
      <c r="Q446" s="19" t="n">
        <f aca="false">SUMIFS(المرجع!$G$2:$G$19,المرجع!$B$2:$B$19,$G446,المرجع!$E$2:$E$19,$I446)</f>
        <v>5</v>
      </c>
      <c r="R446" s="26" t="n">
        <f aca="false">ROUND($Q446*$N446/100,2)</f>
        <v>4.1</v>
      </c>
      <c r="S446" s="27" t="str">
        <f aca="false">IF($N446&gt;المرجع!$K$3,"متقدم",IF($N446&lt;=المرجع!$K$2,"أولي","جزئي"))</f>
        <v>متقدم</v>
      </c>
      <c r="T446" s="28" t="n">
        <f aca="false">ROUND($Q446*$O446/100,2)</f>
        <v>5</v>
      </c>
    </row>
    <row r="447" customFormat="false" ht="15" hidden="false" customHeight="true" outlineLevel="0" collapsed="false">
      <c r="A447" s="20" t="s">
        <v>1899</v>
      </c>
      <c r="B447" s="20" t="s">
        <v>206</v>
      </c>
      <c r="C447" s="19" t="str">
        <f aca="false">IFERROR(INDEX('قائمة الوحدات'!$B$2:$B$41,MATCH($B447,'قائمة الوحدات'!$A$2:$A$41,0)),"")</f>
        <v>MIL</v>
      </c>
      <c r="D447" s="18" t="str">
        <f aca="false">IFERROR(INDEX('قائمة الوحدات'!$C$2:$C$41,MATCH($B447,'قائمة الوحدات'!$A$2:$A$41,0)),"")</f>
        <v>الجهاز العسكري</v>
      </c>
      <c r="E447" s="18" t="str">
        <f aca="false">IFERROR(INDEX('قائمة الوحدات'!$D$2:$D$41,MATCH($B447,'قائمة الوحدات'!$A$2:$A$41,0)),"")</f>
        <v>قيادة القوات الاستراتيجية</v>
      </c>
      <c r="F447" s="18" t="str">
        <f aca="false">IFERROR(INDEX('قائمة الوحدات'!$F$2:$F$41,MATCH($B447,'قائمة الوحدات'!$A$2:$A$41,0)),"")</f>
        <v>قيادة القوات الاستراتيجية</v>
      </c>
      <c r="G447" s="20" t="s">
        <v>66</v>
      </c>
      <c r="H447" s="18" t="str">
        <f aca="false">IFERROR(INDEX(المرجع!$A$2:$A$19,MATCH($G447,المرجع!$B$2:$B$19,0)),"")</f>
        <v>التشغيل</v>
      </c>
      <c r="I447" s="20" t="s">
        <v>49</v>
      </c>
      <c r="J447" s="18" t="str">
        <f aca="false">IFERROR(INDEX(المرجع!$D$2:$D$19,MATCH($I447,المرجع!$E$2:$E$19,0)),"")</f>
        <v>الأهداف ومؤشرات الأداء</v>
      </c>
      <c r="K447" s="19" t="n">
        <f aca="false">IFERROR(INDEX(المرجع!$F$2:$F$19,MATCH($I447,المرجع!$E$2:$E$19,0)),"")</f>
        <v>2</v>
      </c>
      <c r="L447" s="19" t="n">
        <f aca="false">SUMIFS(المرجع!$H$2:$H$19,المرجع!$B$2:$B$19,$G447,المرجع!$E$2:$E$19,$I447)</f>
        <v>2</v>
      </c>
      <c r="M447" s="19" t="n">
        <f aca="false">COUNTIFS('المرتبطة بسمو الوزير'!$B$2:$B$151,$B447,'المرتبطة بسمو الوزير'!$G$2:$G$151,$G447,'المرتبطة بسمو الوزير'!$I$2:$I$151,$I447,'المرتبطة بسمو الوزير'!$M$2:$M$151,"&lt;&gt;")+COUNTIFS('الشؤون التنفيذية'!$B$2:$B$421,$B447,'الشؤون التنفيذية'!$G$2:$G$421,$G447,'الشؤون التنفيذية'!$I$2:$I$421,$I447,'الشؤون التنفيذية'!$N$2:$N$421,"&lt;&gt;")+COUNTIFS('الجهاز العسكري'!$B$2:$B$631,$B447,'الجهاز العسكري'!$G$2:$G$631,$G447,'الجهاز العسكري'!$I$2:$I$631,$I447,'الجهاز العسكري'!$M$2:$M$631,"&lt;&gt;")</f>
        <v>2</v>
      </c>
      <c r="N447" s="24" t="n">
        <f aca="false">IF($L447=0,0,ROUND((SUMIFS('المرتبطة بسمو الوزير'!$M$2:$M$151,'المرتبطة بسمو الوزير'!$B$2:$B$151,$B447,'المرتبطة بسمو الوزير'!$G$2:$G$151,$G447,'المرتبطة بسمو الوزير'!$I$2:$I$151,$I447)+SUMIFS('الشؤون التنفيذية'!$N$2:$N$421,'الشؤون التنفيذية'!$B$2:$B$421,$B447,'الشؤون التنفيذية'!$G$2:$G$421,$G447,'الشؤون التنفيذية'!$I$2:$I$421,$I447)+SUMIFS('الجهاز العسكري'!$M$2:$M$631,'الجهاز العسكري'!$B$2:$B$631,$B447,'الجهاز العسكري'!$G$2:$G$631,$G447,'الجهاز العسكري'!$I$2:$I$631,$I447))/$L447,0))</f>
        <v>33</v>
      </c>
      <c r="O447" s="25" t="n">
        <f aca="false">IF($L447=0,0,ROUND((SUMIFS('المرتبطة بسمو الوزير'!$N$2:$N$151,'المرتبطة بسمو الوزير'!$B$2:$B$151,$B447,'المرتبطة بسمو الوزير'!$G$2:$G$151,$G447,'المرتبطة بسمو الوزير'!$I$2:$I$151,$I447)+SUMIFS('الشؤون التنفيذية'!$O$2:$O$421,'الشؤون التنفيذية'!$B$2:$B$421,$B447,'الشؤون التنفيذية'!$G$2:$G$421,$G447,'الشؤون التنفيذية'!$I$2:$I$421,$I447)+SUMIFS('الجهاز العسكري'!$N$2:$N$631,'الجهاز العسكري'!$B$2:$B$631,$B447,'الجهاز العسكري'!$G$2:$G$631,$G447,'الجهاز العسكري'!$I$2:$I$631,$I447))/$L447,0))</f>
        <v>80</v>
      </c>
      <c r="P447" s="22"/>
      <c r="Q447" s="19" t="n">
        <f aca="false">SUMIFS(المرجع!$G$2:$G$19,المرجع!$B$2:$B$19,$G447,المرجع!$E$2:$E$19,$I447)</f>
        <v>25</v>
      </c>
      <c r="R447" s="26" t="n">
        <f aca="false">ROUND($Q447*$N447/100,2)</f>
        <v>8.25</v>
      </c>
      <c r="S447" s="27" t="str">
        <f aca="false">IF($N447&gt;المرجع!$K$3,"متقدم",IF($N447&lt;=المرجع!$K$2,"أولي","جزئي"))</f>
        <v>جزئي</v>
      </c>
      <c r="T447" s="28" t="n">
        <f aca="false">ROUND($Q447*$O447/100,2)</f>
        <v>20</v>
      </c>
    </row>
    <row r="448" customFormat="false" ht="15" hidden="false" customHeight="true" outlineLevel="0" collapsed="false">
      <c r="A448" s="20" t="s">
        <v>1900</v>
      </c>
      <c r="B448" s="20" t="s">
        <v>206</v>
      </c>
      <c r="C448" s="19" t="str">
        <f aca="false">IFERROR(INDEX('قائمة الوحدات'!$B$2:$B$41,MATCH($B448,'قائمة الوحدات'!$A$2:$A$41,0)),"")</f>
        <v>MIL</v>
      </c>
      <c r="D448" s="18" t="str">
        <f aca="false">IFERROR(INDEX('قائمة الوحدات'!$C$2:$C$41,MATCH($B448,'قائمة الوحدات'!$A$2:$A$41,0)),"")</f>
        <v>الجهاز العسكري</v>
      </c>
      <c r="E448" s="18" t="str">
        <f aca="false">IFERROR(INDEX('قائمة الوحدات'!$D$2:$D$41,MATCH($B448,'قائمة الوحدات'!$A$2:$A$41,0)),"")</f>
        <v>قيادة القوات الاستراتيجية</v>
      </c>
      <c r="F448" s="18" t="str">
        <f aca="false">IFERROR(INDEX('قائمة الوحدات'!$F$2:$F$41,MATCH($B448,'قائمة الوحدات'!$A$2:$A$41,0)),"")</f>
        <v>قيادة القوات الاستراتيجية</v>
      </c>
      <c r="G448" s="20" t="s">
        <v>66</v>
      </c>
      <c r="H448" s="18" t="str">
        <f aca="false">IFERROR(INDEX(المرجع!$A$2:$A$19,MATCH($G448,المرجع!$B$2:$B$19,0)),"")</f>
        <v>التشغيل</v>
      </c>
      <c r="I448" s="20" t="s">
        <v>52</v>
      </c>
      <c r="J448" s="18" t="str">
        <f aca="false">IFERROR(INDEX(المرجع!$D$2:$D$19,MATCH($I448,المرجع!$E$2:$E$19,0)),"")</f>
        <v>الحوكمة</v>
      </c>
      <c r="K448" s="19" t="n">
        <f aca="false">IFERROR(INDEX(المرجع!$F$2:$F$19,MATCH($I448,المرجع!$E$2:$E$19,0)),"")</f>
        <v>3</v>
      </c>
      <c r="L448" s="19" t="n">
        <f aca="false">SUMIFS(المرجع!$H$2:$H$19,المرجع!$B$2:$B$19,$G448,المرجع!$E$2:$E$19,$I448)</f>
        <v>3</v>
      </c>
      <c r="M448" s="19" t="n">
        <f aca="false">COUNTIFS('المرتبطة بسمو الوزير'!$B$2:$B$151,$B448,'المرتبطة بسمو الوزير'!$G$2:$G$151,$G448,'المرتبطة بسمو الوزير'!$I$2:$I$151,$I448,'المرتبطة بسمو الوزير'!$M$2:$M$151,"&lt;&gt;")+COUNTIFS('الشؤون التنفيذية'!$B$2:$B$421,$B448,'الشؤون التنفيذية'!$G$2:$G$421,$G448,'الشؤون التنفيذية'!$I$2:$I$421,$I448,'الشؤون التنفيذية'!$N$2:$N$421,"&lt;&gt;")+COUNTIFS('الجهاز العسكري'!$B$2:$B$631,$B448,'الجهاز العسكري'!$G$2:$G$631,$G448,'الجهاز العسكري'!$I$2:$I$631,$I448,'الجهاز العسكري'!$M$2:$M$631,"&lt;&gt;")</f>
        <v>3</v>
      </c>
      <c r="N448" s="24" t="n">
        <f aca="false">IF($L448=0,0,ROUND((SUMIFS('المرتبطة بسمو الوزير'!$M$2:$M$151,'المرتبطة بسمو الوزير'!$B$2:$B$151,$B448,'المرتبطة بسمو الوزير'!$G$2:$G$151,$G448,'المرتبطة بسمو الوزير'!$I$2:$I$151,$I448)+SUMIFS('الشؤون التنفيذية'!$N$2:$N$421,'الشؤون التنفيذية'!$B$2:$B$421,$B448,'الشؤون التنفيذية'!$G$2:$G$421,$G448,'الشؤون التنفيذية'!$I$2:$I$421,$I448)+SUMIFS('الجهاز العسكري'!$M$2:$M$631,'الجهاز العسكري'!$B$2:$B$631,$B448,'الجهاز العسكري'!$G$2:$G$631,$G448,'الجهاز العسكري'!$I$2:$I$631,$I448))/$L448,0))</f>
        <v>30</v>
      </c>
      <c r="O448" s="25" t="n">
        <f aca="false">IF($L448=0,0,ROUND((SUMIFS('المرتبطة بسمو الوزير'!$N$2:$N$151,'المرتبطة بسمو الوزير'!$B$2:$B$151,$B448,'المرتبطة بسمو الوزير'!$G$2:$G$151,$G448,'المرتبطة بسمو الوزير'!$I$2:$I$151,$I448)+SUMIFS('الشؤون التنفيذية'!$O$2:$O$421,'الشؤون التنفيذية'!$B$2:$B$421,$B448,'الشؤون التنفيذية'!$G$2:$G$421,$G448,'الشؤون التنفيذية'!$I$2:$I$421,$I448)+SUMIFS('الجهاز العسكري'!$N$2:$N$631,'الجهاز العسكري'!$B$2:$B$631,$B448,'الجهاز العسكري'!$G$2:$G$631,$G448,'الجهاز العسكري'!$I$2:$I$631,$I448))/$L448,0))</f>
        <v>90</v>
      </c>
      <c r="P448" s="22"/>
      <c r="Q448" s="19" t="n">
        <f aca="false">SUMIFS(المرجع!$G$2:$G$19,المرجع!$B$2:$B$19,$G448,المرجع!$E$2:$E$19,$I448)</f>
        <v>15</v>
      </c>
      <c r="R448" s="26" t="n">
        <f aca="false">ROUND($Q448*$N448/100,2)</f>
        <v>4.5</v>
      </c>
      <c r="S448" s="27" t="str">
        <f aca="false">IF($N448&gt;المرجع!$K$3,"متقدم",IF($N448&lt;=المرجع!$K$2,"أولي","جزئي"))</f>
        <v>أولي</v>
      </c>
      <c r="T448" s="28" t="n">
        <f aca="false">ROUND($Q448*$O448/100,2)</f>
        <v>13.5</v>
      </c>
    </row>
    <row r="449" customFormat="false" ht="15" hidden="false" customHeight="true" outlineLevel="0" collapsed="false">
      <c r="A449" s="20" t="s">
        <v>1901</v>
      </c>
      <c r="B449" s="20" t="s">
        <v>206</v>
      </c>
      <c r="C449" s="19" t="str">
        <f aca="false">IFERROR(INDEX('قائمة الوحدات'!$B$2:$B$41,MATCH($B449,'قائمة الوحدات'!$A$2:$A$41,0)),"")</f>
        <v>MIL</v>
      </c>
      <c r="D449" s="18" t="str">
        <f aca="false">IFERROR(INDEX('قائمة الوحدات'!$C$2:$C$41,MATCH($B449,'قائمة الوحدات'!$A$2:$A$41,0)),"")</f>
        <v>الجهاز العسكري</v>
      </c>
      <c r="E449" s="18" t="str">
        <f aca="false">IFERROR(INDEX('قائمة الوحدات'!$D$2:$D$41,MATCH($B449,'قائمة الوحدات'!$A$2:$A$41,0)),"")</f>
        <v>قيادة القوات الاستراتيجية</v>
      </c>
      <c r="F449" s="18" t="str">
        <f aca="false">IFERROR(INDEX('قائمة الوحدات'!$F$2:$F$41,MATCH($B449,'قائمة الوحدات'!$A$2:$A$41,0)),"")</f>
        <v>قيادة القوات الاستراتيجية</v>
      </c>
      <c r="G449" s="20" t="s">
        <v>66</v>
      </c>
      <c r="H449" s="18" t="str">
        <f aca="false">IFERROR(INDEX(المرجع!$A$2:$A$19,MATCH($G449,المرجع!$B$2:$B$19,0)),"")</f>
        <v>التشغيل</v>
      </c>
      <c r="I449" s="20" t="s">
        <v>57</v>
      </c>
      <c r="J449" s="18" t="str">
        <f aca="false">IFERROR(INDEX(المرجع!$D$2:$D$19,MATCH($I449,المرجع!$E$2:$E$19,0)),"")</f>
        <v>الموارد</v>
      </c>
      <c r="K449" s="19" t="n">
        <f aca="false">IFERROR(INDEX(المرجع!$F$2:$F$19,MATCH($I449,المرجع!$E$2:$E$19,0)),"")</f>
        <v>5</v>
      </c>
      <c r="L449" s="19" t="n">
        <f aca="false">SUMIFS(المرجع!$H$2:$H$19,المرجع!$B$2:$B$19,$G449,المرجع!$E$2:$E$19,$I449)</f>
        <v>1</v>
      </c>
      <c r="M449" s="19" t="n">
        <f aca="false">COUNTIFS('المرتبطة بسمو الوزير'!$B$2:$B$151,$B449,'المرتبطة بسمو الوزير'!$G$2:$G$151,$G449,'المرتبطة بسمو الوزير'!$I$2:$I$151,$I449,'المرتبطة بسمو الوزير'!$M$2:$M$151,"&lt;&gt;")+COUNTIFS('الشؤون التنفيذية'!$B$2:$B$421,$B449,'الشؤون التنفيذية'!$G$2:$G$421,$G449,'الشؤون التنفيذية'!$I$2:$I$421,$I449,'الشؤون التنفيذية'!$N$2:$N$421,"&lt;&gt;")+COUNTIFS('الجهاز العسكري'!$B$2:$B$631,$B449,'الجهاز العسكري'!$G$2:$G$631,$G449,'الجهاز العسكري'!$I$2:$I$631,$I449,'الجهاز العسكري'!$M$2:$M$631,"&lt;&gt;")</f>
        <v>1</v>
      </c>
      <c r="N449" s="24" t="n">
        <f aca="false">IF($L449=0,0,ROUND((SUMIFS('المرتبطة بسمو الوزير'!$M$2:$M$151,'المرتبطة بسمو الوزير'!$B$2:$B$151,$B449,'المرتبطة بسمو الوزير'!$G$2:$G$151,$G449,'المرتبطة بسمو الوزير'!$I$2:$I$151,$I449)+SUMIFS('الشؤون التنفيذية'!$N$2:$N$421,'الشؤون التنفيذية'!$B$2:$B$421,$B449,'الشؤون التنفيذية'!$G$2:$G$421,$G449,'الشؤون التنفيذية'!$I$2:$I$421,$I449)+SUMIFS('الجهاز العسكري'!$M$2:$M$631,'الجهاز العسكري'!$B$2:$B$631,$B449,'الجهاز العسكري'!$G$2:$G$631,$G449,'الجهاز العسكري'!$I$2:$I$631,$I449))/$L449,0))</f>
        <v>44</v>
      </c>
      <c r="O449" s="25" t="n">
        <f aca="false">IF($L449=0,0,ROUND((SUMIFS('المرتبطة بسمو الوزير'!$N$2:$N$151,'المرتبطة بسمو الوزير'!$B$2:$B$151,$B449,'المرتبطة بسمو الوزير'!$G$2:$G$151,$G449,'المرتبطة بسمو الوزير'!$I$2:$I$151,$I449)+SUMIFS('الشؤون التنفيذية'!$O$2:$O$421,'الشؤون التنفيذية'!$B$2:$B$421,$B449,'الشؤون التنفيذية'!$G$2:$G$421,$G449,'الشؤون التنفيذية'!$I$2:$I$421,$I449)+SUMIFS('الجهاز العسكري'!$N$2:$N$631,'الجهاز العسكري'!$B$2:$B$631,$B449,'الجهاز العسكري'!$G$2:$G$631,$G449,'الجهاز العسكري'!$I$2:$I$631,$I449))/$L449,0))</f>
        <v>85</v>
      </c>
      <c r="P449" s="22"/>
      <c r="Q449" s="19" t="n">
        <f aca="false">SUMIFS(المرجع!$G$2:$G$19,المرجع!$B$2:$B$19,$G449,المرجع!$E$2:$E$19,$I449)</f>
        <v>15</v>
      </c>
      <c r="R449" s="26" t="n">
        <f aca="false">ROUND($Q449*$N449/100,2)</f>
        <v>6.6</v>
      </c>
      <c r="S449" s="27" t="str">
        <f aca="false">IF($N449&gt;المرجع!$K$3,"متقدم",IF($N449&lt;=المرجع!$K$2,"أولي","جزئي"))</f>
        <v>جزئي</v>
      </c>
      <c r="T449" s="28" t="n">
        <f aca="false">ROUND($Q449*$O449/100,2)</f>
        <v>12.75</v>
      </c>
    </row>
    <row r="450" customFormat="false" ht="15" hidden="false" customHeight="true" outlineLevel="0" collapsed="false">
      <c r="A450" s="20" t="s">
        <v>1902</v>
      </c>
      <c r="B450" s="20" t="s">
        <v>206</v>
      </c>
      <c r="C450" s="19" t="str">
        <f aca="false">IFERROR(INDEX('قائمة الوحدات'!$B$2:$B$41,MATCH($B450,'قائمة الوحدات'!$A$2:$A$41,0)),"")</f>
        <v>MIL</v>
      </c>
      <c r="D450" s="18" t="str">
        <f aca="false">IFERROR(INDEX('قائمة الوحدات'!$C$2:$C$41,MATCH($B450,'قائمة الوحدات'!$A$2:$A$41,0)),"")</f>
        <v>الجهاز العسكري</v>
      </c>
      <c r="E450" s="18" t="str">
        <f aca="false">IFERROR(INDEX('قائمة الوحدات'!$D$2:$D$41,MATCH($B450,'قائمة الوحدات'!$A$2:$A$41,0)),"")</f>
        <v>قيادة القوات الاستراتيجية</v>
      </c>
      <c r="F450" s="18" t="str">
        <f aca="false">IFERROR(INDEX('قائمة الوحدات'!$F$2:$F$41,MATCH($B450,'قائمة الوحدات'!$A$2:$A$41,0)),"")</f>
        <v>قيادة القوات الاستراتيجية</v>
      </c>
      <c r="G450" s="20" t="s">
        <v>66</v>
      </c>
      <c r="H450" s="18" t="str">
        <f aca="false">IFERROR(INDEX(المرجع!$A$2:$A$19,MATCH($G450,المرجع!$B$2:$B$19,0)),"")</f>
        <v>التشغيل</v>
      </c>
      <c r="I450" s="20" t="s">
        <v>60</v>
      </c>
      <c r="J450" s="18" t="str">
        <f aca="false">IFERROR(INDEX(المرجع!$D$2:$D$19,MATCH($I450,المرجع!$E$2:$E$19,0)),"")</f>
        <v>الإجراءات</v>
      </c>
      <c r="K450" s="19" t="n">
        <f aca="false">IFERROR(INDEX(المرجع!$F$2:$F$19,MATCH($I450,المرجع!$E$2:$E$19,0)),"")</f>
        <v>6</v>
      </c>
      <c r="L450" s="19" t="n">
        <f aca="false">SUMIFS(المرجع!$H$2:$H$19,المرجع!$B$2:$B$19,$G450,المرجع!$E$2:$E$19,$I450)</f>
        <v>1</v>
      </c>
      <c r="M450" s="19" t="n">
        <f aca="false">COUNTIFS('المرتبطة بسمو الوزير'!$B$2:$B$151,$B450,'المرتبطة بسمو الوزير'!$G$2:$G$151,$G450,'المرتبطة بسمو الوزير'!$I$2:$I$151,$I450,'المرتبطة بسمو الوزير'!$M$2:$M$151,"&lt;&gt;")+COUNTIFS('الشؤون التنفيذية'!$B$2:$B$421,$B450,'الشؤون التنفيذية'!$G$2:$G$421,$G450,'الشؤون التنفيذية'!$I$2:$I$421,$I450,'الشؤون التنفيذية'!$N$2:$N$421,"&lt;&gt;")+COUNTIFS('الجهاز العسكري'!$B$2:$B$631,$B450,'الجهاز العسكري'!$G$2:$G$631,$G450,'الجهاز العسكري'!$I$2:$I$631,$I450,'الجهاز العسكري'!$M$2:$M$631,"&lt;&gt;")</f>
        <v>1</v>
      </c>
      <c r="N450" s="24" t="n">
        <f aca="false">IF($L450=0,0,ROUND((SUMIFS('المرتبطة بسمو الوزير'!$M$2:$M$151,'المرتبطة بسمو الوزير'!$B$2:$B$151,$B450,'المرتبطة بسمو الوزير'!$G$2:$G$151,$G450,'المرتبطة بسمو الوزير'!$I$2:$I$151,$I450)+SUMIFS('الشؤون التنفيذية'!$N$2:$N$421,'الشؤون التنفيذية'!$B$2:$B$421,$B450,'الشؤون التنفيذية'!$G$2:$G$421,$G450,'الشؤون التنفيذية'!$I$2:$I$421,$I450)+SUMIFS('الجهاز العسكري'!$M$2:$M$631,'الجهاز العسكري'!$B$2:$B$631,$B450,'الجهاز العسكري'!$G$2:$G$631,$G450,'الجهاز العسكري'!$I$2:$I$631,$I450))/$L450,0))</f>
        <v>61</v>
      </c>
      <c r="O450" s="25" t="n">
        <f aca="false">IF($L450=0,0,ROUND((SUMIFS('المرتبطة بسمو الوزير'!$N$2:$N$151,'المرتبطة بسمو الوزير'!$B$2:$B$151,$B450,'المرتبطة بسمو الوزير'!$G$2:$G$151,$G450,'المرتبطة بسمو الوزير'!$I$2:$I$151,$I450)+SUMIFS('الشؤون التنفيذية'!$O$2:$O$421,'الشؤون التنفيذية'!$B$2:$B$421,$B450,'الشؤون التنفيذية'!$G$2:$G$421,$G450,'الشؤون التنفيذية'!$I$2:$I$421,$I450)+SUMIFS('الجهاز العسكري'!$N$2:$N$631,'الجهاز العسكري'!$B$2:$B$631,$B450,'الجهاز العسكري'!$G$2:$G$631,$G450,'الجهاز العسكري'!$I$2:$I$631,$I450))/$L450,0))</f>
        <v>95</v>
      </c>
      <c r="P450" s="22"/>
      <c r="Q450" s="19" t="n">
        <f aca="false">SUMIFS(المرجع!$G$2:$G$19,المرجع!$B$2:$B$19,$G450,المرجع!$E$2:$E$19,$I450)</f>
        <v>15</v>
      </c>
      <c r="R450" s="26" t="n">
        <f aca="false">ROUND($Q450*$N450/100,2)</f>
        <v>9.15</v>
      </c>
      <c r="S450" s="27" t="str">
        <f aca="false">IF($N450&gt;المرجع!$K$3,"متقدم",IF($N450&lt;=المرجع!$K$2,"أولي","جزئي"))</f>
        <v>جزئي</v>
      </c>
      <c r="T450" s="28" t="n">
        <f aca="false">ROUND($Q450*$O450/100,2)</f>
        <v>14.25</v>
      </c>
    </row>
    <row r="451" customFormat="false" ht="15" hidden="false" customHeight="true" outlineLevel="0" collapsed="false">
      <c r="A451" s="20" t="s">
        <v>1903</v>
      </c>
      <c r="B451" s="20" t="s">
        <v>206</v>
      </c>
      <c r="C451" s="19" t="str">
        <f aca="false">IFERROR(INDEX('قائمة الوحدات'!$B$2:$B$41,MATCH($B451,'قائمة الوحدات'!$A$2:$A$41,0)),"")</f>
        <v>MIL</v>
      </c>
      <c r="D451" s="18" t="str">
        <f aca="false">IFERROR(INDEX('قائمة الوحدات'!$C$2:$C$41,MATCH($B451,'قائمة الوحدات'!$A$2:$A$41,0)),"")</f>
        <v>الجهاز العسكري</v>
      </c>
      <c r="E451" s="18" t="str">
        <f aca="false">IFERROR(INDEX('قائمة الوحدات'!$D$2:$D$41,MATCH($B451,'قائمة الوحدات'!$A$2:$A$41,0)),"")</f>
        <v>قيادة القوات الاستراتيجية</v>
      </c>
      <c r="F451" s="18" t="str">
        <f aca="false">IFERROR(INDEX('قائمة الوحدات'!$F$2:$F$41,MATCH($B451,'قائمة الوحدات'!$A$2:$A$41,0)),"")</f>
        <v>قيادة القوات الاستراتيجية</v>
      </c>
      <c r="G451" s="20" t="s">
        <v>66</v>
      </c>
      <c r="H451" s="18" t="str">
        <f aca="false">IFERROR(INDEX(المرجع!$A$2:$A$19,MATCH($G451,المرجع!$B$2:$B$19,0)),"")</f>
        <v>التشغيل</v>
      </c>
      <c r="I451" s="20" t="s">
        <v>71</v>
      </c>
      <c r="J451" s="18" t="str">
        <f aca="false">IFERROR(INDEX(المرجع!$D$2:$D$19,MATCH($I451,المرجع!$E$2:$E$19,0)),"")</f>
        <v>اكتمال المخرجات المستهدفة</v>
      </c>
      <c r="K451" s="19" t="n">
        <f aca="false">IFERROR(INDEX(المرجع!$F$2:$F$19,MATCH($I451,المرجع!$E$2:$E$19,0)),"")</f>
        <v>8</v>
      </c>
      <c r="L451" s="19" t="n">
        <f aca="false">SUMIFS(المرجع!$H$2:$H$19,المرجع!$B$2:$B$19,$G451,المرجع!$E$2:$E$19,$I451)</f>
        <v>1</v>
      </c>
      <c r="M451" s="19" t="n">
        <f aca="false">COUNTIFS('المرتبطة بسمو الوزير'!$B$2:$B$151,$B451,'المرتبطة بسمو الوزير'!$G$2:$G$151,$G451,'المرتبطة بسمو الوزير'!$I$2:$I$151,$I451,'المرتبطة بسمو الوزير'!$M$2:$M$151,"&lt;&gt;")+COUNTIFS('الشؤون التنفيذية'!$B$2:$B$421,$B451,'الشؤون التنفيذية'!$G$2:$G$421,$G451,'الشؤون التنفيذية'!$I$2:$I$421,$I451,'الشؤون التنفيذية'!$N$2:$N$421,"&lt;&gt;")+COUNTIFS('الجهاز العسكري'!$B$2:$B$631,$B451,'الجهاز العسكري'!$G$2:$G$631,$G451,'الجهاز العسكري'!$I$2:$I$631,$I451,'الجهاز العسكري'!$M$2:$M$631,"&lt;&gt;")</f>
        <v>1</v>
      </c>
      <c r="N451" s="24" t="n">
        <f aca="false">IF($L451=0,0,ROUND((SUMIFS('المرتبطة بسمو الوزير'!$M$2:$M$151,'المرتبطة بسمو الوزير'!$B$2:$B$151,$B451,'المرتبطة بسمو الوزير'!$G$2:$G$151,$G451,'المرتبطة بسمو الوزير'!$I$2:$I$151,$I451)+SUMIFS('الشؤون التنفيذية'!$N$2:$N$421,'الشؤون التنفيذية'!$B$2:$B$421,$B451,'الشؤون التنفيذية'!$G$2:$G$421,$G451,'الشؤون التنفيذية'!$I$2:$I$421,$I451)+SUMIFS('الجهاز العسكري'!$M$2:$M$631,'الجهاز العسكري'!$B$2:$B$631,$B451,'الجهاز العسكري'!$G$2:$G$631,$G451,'الجهاز العسكري'!$I$2:$I$631,$I451))/$L451,0))</f>
        <v>27</v>
      </c>
      <c r="O451" s="25" t="n">
        <f aca="false">IF($L451=0,0,ROUND((SUMIFS('المرتبطة بسمو الوزير'!$N$2:$N$151,'المرتبطة بسمو الوزير'!$B$2:$B$151,$B451,'المرتبطة بسمو الوزير'!$G$2:$G$151,$G451,'المرتبطة بسمو الوزير'!$I$2:$I$151,$I451)+SUMIFS('الشؤون التنفيذية'!$O$2:$O$421,'الشؤون التنفيذية'!$B$2:$B$421,$B451,'الشؤون التنفيذية'!$G$2:$G$421,$G451,'الشؤون التنفيذية'!$I$2:$I$421,$I451)+SUMIFS('الجهاز العسكري'!$N$2:$N$631,'الجهاز العسكري'!$B$2:$B$631,$B451,'الجهاز العسكري'!$G$2:$G$631,$G451,'الجهاز العسكري'!$I$2:$I$631,$I451))/$L451,0))</f>
        <v>100</v>
      </c>
      <c r="P451" s="22"/>
      <c r="Q451" s="19" t="n">
        <f aca="false">SUMIFS(المرجع!$G$2:$G$19,المرجع!$B$2:$B$19,$G451,المرجع!$E$2:$E$19,$I451)</f>
        <v>30</v>
      </c>
      <c r="R451" s="26" t="n">
        <f aca="false">ROUND($Q451*$N451/100,2)</f>
        <v>8.1</v>
      </c>
      <c r="S451" s="27" t="str">
        <f aca="false">IF($N451&gt;المرجع!$K$3,"متقدم",IF($N451&lt;=المرجع!$K$2,"أولي","جزئي"))</f>
        <v>أولي</v>
      </c>
      <c r="T451" s="28" t="n">
        <f aca="false">ROUND($Q451*$O451/100,2)</f>
        <v>30</v>
      </c>
    </row>
    <row r="452" customFormat="false" ht="15" hidden="false" customHeight="true" outlineLevel="0" collapsed="false">
      <c r="A452" s="20" t="s">
        <v>1904</v>
      </c>
      <c r="B452" s="20" t="s">
        <v>208</v>
      </c>
      <c r="C452" s="19" t="str">
        <f aca="false">IFERROR(INDEX('قائمة الوحدات'!$B$2:$B$41,MATCH($B452,'قائمة الوحدات'!$A$2:$A$41,0)),"")</f>
        <v>MIL</v>
      </c>
      <c r="D452" s="18" t="str">
        <f aca="false">IFERROR(INDEX('قائمة الوحدات'!$C$2:$C$41,MATCH($B452,'قائمة الوحدات'!$A$2:$A$41,0)),"")</f>
        <v>الجهاز العسكري</v>
      </c>
      <c r="E452" s="18" t="str">
        <f aca="false">IFERROR(INDEX('قائمة الوحدات'!$D$2:$D$41,MATCH($B452,'قائمة الوحدات'!$A$2:$A$41,0)),"")</f>
        <v>الإدارة العامة للاستخبارات العسكرية</v>
      </c>
      <c r="F452" s="18" t="str">
        <f aca="false">IFERROR(INDEX('قائمة الوحدات'!$F$2:$F$41,MATCH($B452,'قائمة الوحدات'!$A$2:$A$41,0)),"")</f>
        <v>الإدارة العامة للاستخبارات العسكرية</v>
      </c>
      <c r="G452" s="20" t="s">
        <v>44</v>
      </c>
      <c r="H452" s="18" t="str">
        <f aca="false">IFERROR(INDEX(المرجع!$A$2:$A$19,MATCH($G452,المرجع!$B$2:$B$19,0)),"")</f>
        <v>التصميم</v>
      </c>
      <c r="I452" s="20" t="s">
        <v>46</v>
      </c>
      <c r="J452" s="18" t="str">
        <f aca="false">IFERROR(INDEX(المرجع!$D$2:$D$19,MATCH($I452,المرجع!$E$2:$E$19,0)),"")</f>
        <v>الدور</v>
      </c>
      <c r="K452" s="19" t="n">
        <f aca="false">IFERROR(INDEX(المرجع!$F$2:$F$19,MATCH($I452,المرجع!$E$2:$E$19,0)),"")</f>
        <v>1</v>
      </c>
      <c r="L452" s="19" t="n">
        <f aca="false">SUMIFS(المرجع!$H$2:$H$19,المرجع!$B$2:$B$19,$G452,المرجع!$E$2:$E$19,$I452)</f>
        <v>1</v>
      </c>
      <c r="M452" s="19" t="n">
        <f aca="false">COUNTIFS('المرتبطة بسمو الوزير'!$B$2:$B$151,$B452,'المرتبطة بسمو الوزير'!$G$2:$G$151,$G452,'المرتبطة بسمو الوزير'!$I$2:$I$151,$I452,'المرتبطة بسمو الوزير'!$M$2:$M$151,"&lt;&gt;")+COUNTIFS('الشؤون التنفيذية'!$B$2:$B$421,$B452,'الشؤون التنفيذية'!$G$2:$G$421,$G452,'الشؤون التنفيذية'!$I$2:$I$421,$I452,'الشؤون التنفيذية'!$N$2:$N$421,"&lt;&gt;")+COUNTIFS('الجهاز العسكري'!$B$2:$B$631,$B452,'الجهاز العسكري'!$G$2:$G$631,$G452,'الجهاز العسكري'!$I$2:$I$631,$I452,'الجهاز العسكري'!$M$2:$M$631,"&lt;&gt;")</f>
        <v>1</v>
      </c>
      <c r="N452" s="24" t="n">
        <f aca="false">IF($L452=0,0,ROUND((SUMIFS('المرتبطة بسمو الوزير'!$M$2:$M$151,'المرتبطة بسمو الوزير'!$B$2:$B$151,$B452,'المرتبطة بسمو الوزير'!$G$2:$G$151,$G452,'المرتبطة بسمو الوزير'!$I$2:$I$151,$I452)+SUMIFS('الشؤون التنفيذية'!$N$2:$N$421,'الشؤون التنفيذية'!$B$2:$B$421,$B452,'الشؤون التنفيذية'!$G$2:$G$421,$G452,'الشؤون التنفيذية'!$I$2:$I$421,$I452)+SUMIFS('الجهاز العسكري'!$M$2:$M$631,'الجهاز العسكري'!$B$2:$B$631,$B452,'الجهاز العسكري'!$G$2:$G$631,$G452,'الجهاز العسكري'!$I$2:$I$631,$I452))/$L452,0))</f>
        <v>95</v>
      </c>
      <c r="O452" s="25" t="n">
        <f aca="false">IF($L452=0,0,ROUND((SUMIFS('المرتبطة بسمو الوزير'!$N$2:$N$151,'المرتبطة بسمو الوزير'!$B$2:$B$151,$B452,'المرتبطة بسمو الوزير'!$G$2:$G$151,$G452,'المرتبطة بسمو الوزير'!$I$2:$I$151,$I452)+SUMIFS('الشؤون التنفيذية'!$O$2:$O$421,'الشؤون التنفيذية'!$B$2:$B$421,$B452,'الشؤون التنفيذية'!$G$2:$G$421,$G452,'الشؤون التنفيذية'!$I$2:$I$421,$I452)+SUMIFS('الجهاز العسكري'!$N$2:$N$631,'الجهاز العسكري'!$B$2:$B$631,$B452,'الجهاز العسكري'!$G$2:$G$631,$G452,'الجهاز العسكري'!$I$2:$I$631,$I452))/$L452,0))</f>
        <v>95</v>
      </c>
      <c r="P452" s="22"/>
      <c r="Q452" s="19" t="n">
        <f aca="false">SUMIFS(المرجع!$G$2:$G$19,المرجع!$B$2:$B$19,$G452,المرجع!$E$2:$E$19,$I452)</f>
        <v>25</v>
      </c>
      <c r="R452" s="26" t="n">
        <f aca="false">ROUND($Q452*$N452/100,2)</f>
        <v>23.75</v>
      </c>
      <c r="S452" s="27" t="str">
        <f aca="false">IF($N452&gt;المرجع!$K$3,"متقدم",IF($N452&lt;=المرجع!$K$2,"أولي","جزئي"))</f>
        <v>متقدم</v>
      </c>
      <c r="T452" s="28" t="n">
        <f aca="false">ROUND($Q452*$O452/100,2)</f>
        <v>23.75</v>
      </c>
    </row>
    <row r="453" customFormat="false" ht="15" hidden="false" customHeight="true" outlineLevel="0" collapsed="false">
      <c r="A453" s="20" t="s">
        <v>1905</v>
      </c>
      <c r="B453" s="20" t="s">
        <v>208</v>
      </c>
      <c r="C453" s="19" t="str">
        <f aca="false">IFERROR(INDEX('قائمة الوحدات'!$B$2:$B$41,MATCH($B453,'قائمة الوحدات'!$A$2:$A$41,0)),"")</f>
        <v>MIL</v>
      </c>
      <c r="D453" s="18" t="str">
        <f aca="false">IFERROR(INDEX('قائمة الوحدات'!$C$2:$C$41,MATCH($B453,'قائمة الوحدات'!$A$2:$A$41,0)),"")</f>
        <v>الجهاز العسكري</v>
      </c>
      <c r="E453" s="18" t="str">
        <f aca="false">IFERROR(INDEX('قائمة الوحدات'!$D$2:$D$41,MATCH($B453,'قائمة الوحدات'!$A$2:$A$41,0)),"")</f>
        <v>الإدارة العامة للاستخبارات العسكرية</v>
      </c>
      <c r="F453" s="18" t="str">
        <f aca="false">IFERROR(INDEX('قائمة الوحدات'!$F$2:$F$41,MATCH($B453,'قائمة الوحدات'!$A$2:$A$41,0)),"")</f>
        <v>الإدارة العامة للاستخبارات العسكرية</v>
      </c>
      <c r="G453" s="20" t="s">
        <v>44</v>
      </c>
      <c r="H453" s="18" t="str">
        <f aca="false">IFERROR(INDEX(المرجع!$A$2:$A$19,MATCH($G453,المرجع!$B$2:$B$19,0)),"")</f>
        <v>التصميم</v>
      </c>
      <c r="I453" s="20" t="s">
        <v>49</v>
      </c>
      <c r="J453" s="18" t="str">
        <f aca="false">IFERROR(INDEX(المرجع!$D$2:$D$19,MATCH($I453,المرجع!$E$2:$E$19,0)),"")</f>
        <v>الأهداف ومؤشرات الأداء</v>
      </c>
      <c r="K453" s="19" t="n">
        <f aca="false">IFERROR(INDEX(المرجع!$F$2:$F$19,MATCH($I453,المرجع!$E$2:$E$19,0)),"")</f>
        <v>2</v>
      </c>
      <c r="L453" s="19" t="n">
        <f aca="false">SUMIFS(المرجع!$H$2:$H$19,المرجع!$B$2:$B$19,$G453,المرجع!$E$2:$E$19,$I453)</f>
        <v>2</v>
      </c>
      <c r="M453" s="19" t="n">
        <f aca="false">COUNTIFS('المرتبطة بسمو الوزير'!$B$2:$B$151,$B453,'المرتبطة بسمو الوزير'!$G$2:$G$151,$G453,'المرتبطة بسمو الوزير'!$I$2:$I$151,$I453,'المرتبطة بسمو الوزير'!$M$2:$M$151,"&lt;&gt;")+COUNTIFS('الشؤون التنفيذية'!$B$2:$B$421,$B453,'الشؤون التنفيذية'!$G$2:$G$421,$G453,'الشؤون التنفيذية'!$I$2:$I$421,$I453,'الشؤون التنفيذية'!$N$2:$N$421,"&lt;&gt;")+COUNTIFS('الجهاز العسكري'!$B$2:$B$631,$B453,'الجهاز العسكري'!$G$2:$G$631,$G453,'الجهاز العسكري'!$I$2:$I$631,$I453,'الجهاز العسكري'!$M$2:$M$631,"&lt;&gt;")</f>
        <v>2</v>
      </c>
      <c r="N453" s="24" t="n">
        <f aca="false">IF($L453=0,0,ROUND((SUMIFS('المرتبطة بسمو الوزير'!$M$2:$M$151,'المرتبطة بسمو الوزير'!$B$2:$B$151,$B453,'المرتبطة بسمو الوزير'!$G$2:$G$151,$G453,'المرتبطة بسمو الوزير'!$I$2:$I$151,$I453)+SUMIFS('الشؤون التنفيذية'!$N$2:$N$421,'الشؤون التنفيذية'!$B$2:$B$421,$B453,'الشؤون التنفيذية'!$G$2:$G$421,$G453,'الشؤون التنفيذية'!$I$2:$I$421,$I453)+SUMIFS('الجهاز العسكري'!$M$2:$M$631,'الجهاز العسكري'!$B$2:$B$631,$B453,'الجهاز العسكري'!$G$2:$G$631,$G453,'الجهاز العسكري'!$I$2:$I$631,$I453))/$L453,0))</f>
        <v>93</v>
      </c>
      <c r="O453" s="25" t="n">
        <f aca="false">IF($L453=0,0,ROUND((SUMIFS('المرتبطة بسمو الوزير'!$N$2:$N$151,'المرتبطة بسمو الوزير'!$B$2:$B$151,$B453,'المرتبطة بسمو الوزير'!$G$2:$G$151,$G453,'المرتبطة بسمو الوزير'!$I$2:$I$151,$I453)+SUMIFS('الشؤون التنفيذية'!$O$2:$O$421,'الشؤون التنفيذية'!$B$2:$B$421,$B453,'الشؤون التنفيذية'!$G$2:$G$421,$G453,'الشؤون التنفيذية'!$I$2:$I$421,$I453)+SUMIFS('الجهاز العسكري'!$N$2:$N$631,'الجهاز العسكري'!$B$2:$B$631,$B453,'الجهاز العسكري'!$G$2:$G$631,$G453,'الجهاز العسكري'!$I$2:$I$631,$I453))/$L453,0))</f>
        <v>93</v>
      </c>
      <c r="P453" s="22"/>
      <c r="Q453" s="19" t="n">
        <f aca="false">SUMIFS(المرجع!$G$2:$G$19,المرجع!$B$2:$B$19,$G453,المرجع!$E$2:$E$19,$I453)</f>
        <v>15</v>
      </c>
      <c r="R453" s="26" t="n">
        <f aca="false">ROUND($Q453*$N453/100,2)</f>
        <v>13.95</v>
      </c>
      <c r="S453" s="27" t="str">
        <f aca="false">IF($N453&gt;المرجع!$K$3,"متقدم",IF($N453&lt;=المرجع!$K$2,"أولي","جزئي"))</f>
        <v>متقدم</v>
      </c>
      <c r="T453" s="28" t="n">
        <f aca="false">ROUND($Q453*$O453/100,2)</f>
        <v>13.95</v>
      </c>
    </row>
    <row r="454" customFormat="false" ht="15" hidden="false" customHeight="true" outlineLevel="0" collapsed="false">
      <c r="A454" s="20" t="s">
        <v>1906</v>
      </c>
      <c r="B454" s="20" t="s">
        <v>208</v>
      </c>
      <c r="C454" s="19" t="str">
        <f aca="false">IFERROR(INDEX('قائمة الوحدات'!$B$2:$B$41,MATCH($B454,'قائمة الوحدات'!$A$2:$A$41,0)),"")</f>
        <v>MIL</v>
      </c>
      <c r="D454" s="18" t="str">
        <f aca="false">IFERROR(INDEX('قائمة الوحدات'!$C$2:$C$41,MATCH($B454,'قائمة الوحدات'!$A$2:$A$41,0)),"")</f>
        <v>الجهاز العسكري</v>
      </c>
      <c r="E454" s="18" t="str">
        <f aca="false">IFERROR(INDEX('قائمة الوحدات'!$D$2:$D$41,MATCH($B454,'قائمة الوحدات'!$A$2:$A$41,0)),"")</f>
        <v>الإدارة العامة للاستخبارات العسكرية</v>
      </c>
      <c r="F454" s="18" t="str">
        <f aca="false">IFERROR(INDEX('قائمة الوحدات'!$F$2:$F$41,MATCH($B454,'قائمة الوحدات'!$A$2:$A$41,0)),"")</f>
        <v>الإدارة العامة للاستخبارات العسكرية</v>
      </c>
      <c r="G454" s="20" t="s">
        <v>44</v>
      </c>
      <c r="H454" s="18" t="str">
        <f aca="false">IFERROR(INDEX(المرجع!$A$2:$A$19,MATCH($G454,المرجع!$B$2:$B$19,0)),"")</f>
        <v>التصميم</v>
      </c>
      <c r="I454" s="20" t="s">
        <v>52</v>
      </c>
      <c r="J454" s="18" t="str">
        <f aca="false">IFERROR(INDEX(المرجع!$D$2:$D$19,MATCH($I454,المرجع!$E$2:$E$19,0)),"")</f>
        <v>الحوكمة</v>
      </c>
      <c r="K454" s="19" t="n">
        <f aca="false">IFERROR(INDEX(المرجع!$F$2:$F$19,MATCH($I454,المرجع!$E$2:$E$19,0)),"")</f>
        <v>3</v>
      </c>
      <c r="L454" s="19" t="n">
        <f aca="false">SUMIFS(المرجع!$H$2:$H$19,المرجع!$B$2:$B$19,$G454,المرجع!$E$2:$E$19,$I454)</f>
        <v>1</v>
      </c>
      <c r="M454" s="19" t="n">
        <f aca="false">COUNTIFS('المرتبطة بسمو الوزير'!$B$2:$B$151,$B454,'المرتبطة بسمو الوزير'!$G$2:$G$151,$G454,'المرتبطة بسمو الوزير'!$I$2:$I$151,$I454,'المرتبطة بسمو الوزير'!$M$2:$M$151,"&lt;&gt;")+COUNTIFS('الشؤون التنفيذية'!$B$2:$B$421,$B454,'الشؤون التنفيذية'!$G$2:$G$421,$G454,'الشؤون التنفيذية'!$I$2:$I$421,$I454,'الشؤون التنفيذية'!$N$2:$N$421,"&lt;&gt;")+COUNTIFS('الجهاز العسكري'!$B$2:$B$631,$B454,'الجهاز العسكري'!$G$2:$G$631,$G454,'الجهاز العسكري'!$I$2:$I$631,$I454,'الجهاز العسكري'!$M$2:$M$631,"&lt;&gt;")</f>
        <v>1</v>
      </c>
      <c r="N454" s="24" t="n">
        <f aca="false">IF($L454=0,0,ROUND((SUMIFS('المرتبطة بسمو الوزير'!$M$2:$M$151,'المرتبطة بسمو الوزير'!$B$2:$B$151,$B454,'المرتبطة بسمو الوزير'!$G$2:$G$151,$G454,'المرتبطة بسمو الوزير'!$I$2:$I$151,$I454)+SUMIFS('الشؤون التنفيذية'!$N$2:$N$421,'الشؤون التنفيذية'!$B$2:$B$421,$B454,'الشؤون التنفيذية'!$G$2:$G$421,$G454,'الشؤون التنفيذية'!$I$2:$I$421,$I454)+SUMIFS('الجهاز العسكري'!$M$2:$M$631,'الجهاز العسكري'!$B$2:$B$631,$B454,'الجهاز العسكري'!$G$2:$G$631,$G454,'الجهاز العسكري'!$I$2:$I$631,$I454))/$L454,0))</f>
        <v>70</v>
      </c>
      <c r="O454" s="25" t="n">
        <f aca="false">IF($L454=0,0,ROUND((SUMIFS('المرتبطة بسمو الوزير'!$N$2:$N$151,'المرتبطة بسمو الوزير'!$B$2:$B$151,$B454,'المرتبطة بسمو الوزير'!$G$2:$G$151,$G454,'المرتبطة بسمو الوزير'!$I$2:$I$151,$I454)+SUMIFS('الشؤون التنفيذية'!$O$2:$O$421,'الشؤون التنفيذية'!$B$2:$B$421,$B454,'الشؤون التنفيذية'!$G$2:$G$421,$G454,'الشؤون التنفيذية'!$I$2:$I$421,$I454)+SUMIFS('الجهاز العسكري'!$N$2:$N$631,'الجهاز العسكري'!$B$2:$B$631,$B454,'الجهاز العسكري'!$G$2:$G$631,$G454,'الجهاز العسكري'!$I$2:$I$631,$I454))/$L454,0))</f>
        <v>90</v>
      </c>
      <c r="P454" s="22"/>
      <c r="Q454" s="19" t="n">
        <f aca="false">SUMIFS(المرجع!$G$2:$G$19,المرجع!$B$2:$B$19,$G454,المرجع!$E$2:$E$19,$I454)</f>
        <v>15</v>
      </c>
      <c r="R454" s="26" t="n">
        <f aca="false">ROUND($Q454*$N454/100,2)</f>
        <v>10.5</v>
      </c>
      <c r="S454" s="27" t="str">
        <f aca="false">IF($N454&gt;المرجع!$K$3,"متقدم",IF($N454&lt;=المرجع!$K$2,"أولي","جزئي"))</f>
        <v>جزئي</v>
      </c>
      <c r="T454" s="28" t="n">
        <f aca="false">ROUND($Q454*$O454/100,2)</f>
        <v>13.5</v>
      </c>
    </row>
    <row r="455" customFormat="false" ht="15" hidden="false" customHeight="true" outlineLevel="0" collapsed="false">
      <c r="A455" s="20" t="s">
        <v>1907</v>
      </c>
      <c r="B455" s="20" t="s">
        <v>208</v>
      </c>
      <c r="C455" s="19" t="str">
        <f aca="false">IFERROR(INDEX('قائمة الوحدات'!$B$2:$B$41,MATCH($B455,'قائمة الوحدات'!$A$2:$A$41,0)),"")</f>
        <v>MIL</v>
      </c>
      <c r="D455" s="18" t="str">
        <f aca="false">IFERROR(INDEX('قائمة الوحدات'!$C$2:$C$41,MATCH($B455,'قائمة الوحدات'!$A$2:$A$41,0)),"")</f>
        <v>الجهاز العسكري</v>
      </c>
      <c r="E455" s="18" t="str">
        <f aca="false">IFERROR(INDEX('قائمة الوحدات'!$D$2:$D$41,MATCH($B455,'قائمة الوحدات'!$A$2:$A$41,0)),"")</f>
        <v>الإدارة العامة للاستخبارات العسكرية</v>
      </c>
      <c r="F455" s="18" t="str">
        <f aca="false">IFERROR(INDEX('قائمة الوحدات'!$F$2:$F$41,MATCH($B455,'قائمة الوحدات'!$A$2:$A$41,0)),"")</f>
        <v>الإدارة العامة للاستخبارات العسكرية</v>
      </c>
      <c r="G455" s="20" t="s">
        <v>44</v>
      </c>
      <c r="H455" s="18" t="str">
        <f aca="false">IFERROR(INDEX(المرجع!$A$2:$A$19,MATCH($G455,المرجع!$B$2:$B$19,0)),"")</f>
        <v>التصميم</v>
      </c>
      <c r="I455" s="20" t="s">
        <v>55</v>
      </c>
      <c r="J455" s="18" t="str">
        <f aca="false">IFERROR(INDEX(المرجع!$D$2:$D$19,MATCH($I455,المرجع!$E$2:$E$19,0)),"")</f>
        <v>التنظيم</v>
      </c>
      <c r="K455" s="19" t="n">
        <f aca="false">IFERROR(INDEX(المرجع!$F$2:$F$19,MATCH($I455,المرجع!$E$2:$E$19,0)),"")</f>
        <v>4</v>
      </c>
      <c r="L455" s="19" t="n">
        <f aca="false">SUMIFS(المرجع!$H$2:$H$19,المرجع!$B$2:$B$19,$G455,المرجع!$E$2:$E$19,$I455)</f>
        <v>1</v>
      </c>
      <c r="M455" s="19" t="n">
        <f aca="false">COUNTIFS('المرتبطة بسمو الوزير'!$B$2:$B$151,$B455,'المرتبطة بسمو الوزير'!$G$2:$G$151,$G455,'المرتبطة بسمو الوزير'!$I$2:$I$151,$I455,'المرتبطة بسمو الوزير'!$M$2:$M$151,"&lt;&gt;")+COUNTIFS('الشؤون التنفيذية'!$B$2:$B$421,$B455,'الشؤون التنفيذية'!$G$2:$G$421,$G455,'الشؤون التنفيذية'!$I$2:$I$421,$I455,'الشؤون التنفيذية'!$N$2:$N$421,"&lt;&gt;")+COUNTIFS('الجهاز العسكري'!$B$2:$B$631,$B455,'الجهاز العسكري'!$G$2:$G$631,$G455,'الجهاز العسكري'!$I$2:$I$631,$I455,'الجهاز العسكري'!$M$2:$M$631,"&lt;&gt;")</f>
        <v>1</v>
      </c>
      <c r="N455" s="24" t="n">
        <f aca="false">IF($L455=0,0,ROUND((SUMIFS('المرتبطة بسمو الوزير'!$M$2:$M$151,'المرتبطة بسمو الوزير'!$B$2:$B$151,$B455,'المرتبطة بسمو الوزير'!$G$2:$G$151,$G455,'المرتبطة بسمو الوزير'!$I$2:$I$151,$I455)+SUMIFS('الشؤون التنفيذية'!$N$2:$N$421,'الشؤون التنفيذية'!$B$2:$B$421,$B455,'الشؤون التنفيذية'!$G$2:$G$421,$G455,'الشؤون التنفيذية'!$I$2:$I$421,$I455)+SUMIFS('الجهاز العسكري'!$M$2:$M$631,'الجهاز العسكري'!$B$2:$B$631,$B455,'الجهاز العسكري'!$G$2:$G$631,$G455,'الجهاز العسكري'!$I$2:$I$631,$I455))/$L455,0))</f>
        <v>85</v>
      </c>
      <c r="O455" s="25" t="n">
        <f aca="false">IF($L455=0,0,ROUND((SUMIFS('المرتبطة بسمو الوزير'!$N$2:$N$151,'المرتبطة بسمو الوزير'!$B$2:$B$151,$B455,'المرتبطة بسمو الوزير'!$G$2:$G$151,$G455,'المرتبطة بسمو الوزير'!$I$2:$I$151,$I455)+SUMIFS('الشؤون التنفيذية'!$O$2:$O$421,'الشؤون التنفيذية'!$B$2:$B$421,$B455,'الشؤون التنفيذية'!$G$2:$G$421,$G455,'الشؤون التنفيذية'!$I$2:$I$421,$I455)+SUMIFS('الجهاز العسكري'!$N$2:$N$631,'الجهاز العسكري'!$B$2:$B$631,$B455,'الجهاز العسكري'!$G$2:$G$631,$G455,'الجهاز العسكري'!$I$2:$I$631,$I455))/$L455,0))</f>
        <v>90</v>
      </c>
      <c r="P455" s="22"/>
      <c r="Q455" s="19" t="n">
        <f aca="false">SUMIFS(المرجع!$G$2:$G$19,المرجع!$B$2:$B$19,$G455,المرجع!$E$2:$E$19,$I455)</f>
        <v>20</v>
      </c>
      <c r="R455" s="26" t="n">
        <f aca="false">ROUND($Q455*$N455/100,2)</f>
        <v>17</v>
      </c>
      <c r="S455" s="27" t="str">
        <f aca="false">IF($N455&gt;المرجع!$K$3,"متقدم",IF($N455&lt;=المرجع!$K$2,"أولي","جزئي"))</f>
        <v>متقدم</v>
      </c>
      <c r="T455" s="28" t="n">
        <f aca="false">ROUND($Q455*$O455/100,2)</f>
        <v>18</v>
      </c>
    </row>
    <row r="456" customFormat="false" ht="15" hidden="false" customHeight="true" outlineLevel="0" collapsed="false">
      <c r="A456" s="20" t="s">
        <v>1908</v>
      </c>
      <c r="B456" s="20" t="s">
        <v>208</v>
      </c>
      <c r="C456" s="19" t="str">
        <f aca="false">IFERROR(INDEX('قائمة الوحدات'!$B$2:$B$41,MATCH($B456,'قائمة الوحدات'!$A$2:$A$41,0)),"")</f>
        <v>MIL</v>
      </c>
      <c r="D456" s="18" t="str">
        <f aca="false">IFERROR(INDEX('قائمة الوحدات'!$C$2:$C$41,MATCH($B456,'قائمة الوحدات'!$A$2:$A$41,0)),"")</f>
        <v>الجهاز العسكري</v>
      </c>
      <c r="E456" s="18" t="str">
        <f aca="false">IFERROR(INDEX('قائمة الوحدات'!$D$2:$D$41,MATCH($B456,'قائمة الوحدات'!$A$2:$A$41,0)),"")</f>
        <v>الإدارة العامة للاستخبارات العسكرية</v>
      </c>
      <c r="F456" s="18" t="str">
        <f aca="false">IFERROR(INDEX('قائمة الوحدات'!$F$2:$F$41,MATCH($B456,'قائمة الوحدات'!$A$2:$A$41,0)),"")</f>
        <v>الإدارة العامة للاستخبارات العسكرية</v>
      </c>
      <c r="G456" s="20" t="s">
        <v>44</v>
      </c>
      <c r="H456" s="18" t="str">
        <f aca="false">IFERROR(INDEX(المرجع!$A$2:$A$19,MATCH($G456,المرجع!$B$2:$B$19,0)),"")</f>
        <v>التصميم</v>
      </c>
      <c r="I456" s="20" t="s">
        <v>57</v>
      </c>
      <c r="J456" s="18" t="str">
        <f aca="false">IFERROR(INDEX(المرجع!$D$2:$D$19,MATCH($I456,المرجع!$E$2:$E$19,0)),"")</f>
        <v>الموارد</v>
      </c>
      <c r="K456" s="19" t="n">
        <f aca="false">IFERROR(INDEX(المرجع!$F$2:$F$19,MATCH($I456,المرجع!$E$2:$E$19,0)),"")</f>
        <v>5</v>
      </c>
      <c r="L456" s="19" t="n">
        <f aca="false">SUMIFS(المرجع!$H$2:$H$19,المرجع!$B$2:$B$19,$G456,المرجع!$E$2:$E$19,$I456)</f>
        <v>1</v>
      </c>
      <c r="M456" s="19" t="n">
        <f aca="false">COUNTIFS('المرتبطة بسمو الوزير'!$B$2:$B$151,$B456,'المرتبطة بسمو الوزير'!$G$2:$G$151,$G456,'المرتبطة بسمو الوزير'!$I$2:$I$151,$I456,'المرتبطة بسمو الوزير'!$M$2:$M$151,"&lt;&gt;")+COUNTIFS('الشؤون التنفيذية'!$B$2:$B$421,$B456,'الشؤون التنفيذية'!$G$2:$G$421,$G456,'الشؤون التنفيذية'!$I$2:$I$421,$I456,'الشؤون التنفيذية'!$N$2:$N$421,"&lt;&gt;")+COUNTIFS('الجهاز العسكري'!$B$2:$B$631,$B456,'الجهاز العسكري'!$G$2:$G$631,$G456,'الجهاز العسكري'!$I$2:$I$631,$I456,'الجهاز العسكري'!$M$2:$M$631,"&lt;&gt;")</f>
        <v>1</v>
      </c>
      <c r="N456" s="24" t="n">
        <f aca="false">IF($L456=0,0,ROUND((SUMIFS('المرتبطة بسمو الوزير'!$M$2:$M$151,'المرتبطة بسمو الوزير'!$B$2:$B$151,$B456,'المرتبطة بسمو الوزير'!$G$2:$G$151,$G456,'المرتبطة بسمو الوزير'!$I$2:$I$151,$I456)+SUMIFS('الشؤون التنفيذية'!$N$2:$N$421,'الشؤون التنفيذية'!$B$2:$B$421,$B456,'الشؤون التنفيذية'!$G$2:$G$421,$G456,'الشؤون التنفيذية'!$I$2:$I$421,$I456)+SUMIFS('الجهاز العسكري'!$M$2:$M$631,'الجهاز العسكري'!$B$2:$B$631,$B456,'الجهاز العسكري'!$G$2:$G$631,$G456,'الجهاز العسكري'!$I$2:$I$631,$I456))/$L456,0))</f>
        <v>69</v>
      </c>
      <c r="O456" s="25" t="n">
        <f aca="false">IF($L456=0,0,ROUND((SUMIFS('المرتبطة بسمو الوزير'!$N$2:$N$151,'المرتبطة بسمو الوزير'!$B$2:$B$151,$B456,'المرتبطة بسمو الوزير'!$G$2:$G$151,$G456,'المرتبطة بسمو الوزير'!$I$2:$I$151,$I456)+SUMIFS('الشؤون التنفيذية'!$O$2:$O$421,'الشؤون التنفيذية'!$B$2:$B$421,$B456,'الشؤون التنفيذية'!$G$2:$G$421,$G456,'الشؤون التنفيذية'!$I$2:$I$421,$I456)+SUMIFS('الجهاز العسكري'!$N$2:$N$631,'الجهاز العسكري'!$B$2:$B$631,$B456,'الجهاز العسكري'!$G$2:$G$631,$G456,'الجهاز العسكري'!$I$2:$I$631,$I456))/$L456,0))</f>
        <v>100</v>
      </c>
      <c r="P456" s="22"/>
      <c r="Q456" s="19" t="n">
        <f aca="false">SUMIFS(المرجع!$G$2:$G$19,المرجع!$B$2:$B$19,$G456,المرجع!$E$2:$E$19,$I456)</f>
        <v>20</v>
      </c>
      <c r="R456" s="26" t="n">
        <f aca="false">ROUND($Q456*$N456/100,2)</f>
        <v>13.8</v>
      </c>
      <c r="S456" s="27" t="str">
        <f aca="false">IF($N456&gt;المرجع!$K$3,"متقدم",IF($N456&lt;=المرجع!$K$2,"أولي","جزئي"))</f>
        <v>جزئي</v>
      </c>
      <c r="T456" s="28" t="n">
        <f aca="false">ROUND($Q456*$O456/100,2)</f>
        <v>20</v>
      </c>
    </row>
    <row r="457" customFormat="false" ht="15" hidden="false" customHeight="true" outlineLevel="0" collapsed="false">
      <c r="A457" s="20" t="s">
        <v>1909</v>
      </c>
      <c r="B457" s="20" t="s">
        <v>208</v>
      </c>
      <c r="C457" s="19" t="str">
        <f aca="false">IFERROR(INDEX('قائمة الوحدات'!$B$2:$B$41,MATCH($B457,'قائمة الوحدات'!$A$2:$A$41,0)),"")</f>
        <v>MIL</v>
      </c>
      <c r="D457" s="18" t="str">
        <f aca="false">IFERROR(INDEX('قائمة الوحدات'!$C$2:$C$41,MATCH($B457,'قائمة الوحدات'!$A$2:$A$41,0)),"")</f>
        <v>الجهاز العسكري</v>
      </c>
      <c r="E457" s="18" t="str">
        <f aca="false">IFERROR(INDEX('قائمة الوحدات'!$D$2:$D$41,MATCH($B457,'قائمة الوحدات'!$A$2:$A$41,0)),"")</f>
        <v>الإدارة العامة للاستخبارات العسكرية</v>
      </c>
      <c r="F457" s="18" t="str">
        <f aca="false">IFERROR(INDEX('قائمة الوحدات'!$F$2:$F$41,MATCH($B457,'قائمة الوحدات'!$A$2:$A$41,0)),"")</f>
        <v>الإدارة العامة للاستخبارات العسكرية</v>
      </c>
      <c r="G457" s="20" t="s">
        <v>44</v>
      </c>
      <c r="H457" s="18" t="str">
        <f aca="false">IFERROR(INDEX(المرجع!$A$2:$A$19,MATCH($G457,المرجع!$B$2:$B$19,0)),"")</f>
        <v>التصميم</v>
      </c>
      <c r="I457" s="20" t="s">
        <v>60</v>
      </c>
      <c r="J457" s="18" t="str">
        <f aca="false">IFERROR(INDEX(المرجع!$D$2:$D$19,MATCH($I457,المرجع!$E$2:$E$19,0)),"")</f>
        <v>الإجراءات</v>
      </c>
      <c r="K457" s="19" t="n">
        <f aca="false">IFERROR(INDEX(المرجع!$F$2:$F$19,MATCH($I457,المرجع!$E$2:$E$19,0)),"")</f>
        <v>6</v>
      </c>
      <c r="L457" s="19" t="n">
        <f aca="false">SUMIFS(المرجع!$H$2:$H$19,المرجع!$B$2:$B$19,$G457,المرجع!$E$2:$E$19,$I457)</f>
        <v>1</v>
      </c>
      <c r="M457" s="19" t="n">
        <f aca="false">COUNTIFS('المرتبطة بسمو الوزير'!$B$2:$B$151,$B457,'المرتبطة بسمو الوزير'!$G$2:$G$151,$G457,'المرتبطة بسمو الوزير'!$I$2:$I$151,$I457,'المرتبطة بسمو الوزير'!$M$2:$M$151,"&lt;&gt;")+COUNTIFS('الشؤون التنفيذية'!$B$2:$B$421,$B457,'الشؤون التنفيذية'!$G$2:$G$421,$G457,'الشؤون التنفيذية'!$I$2:$I$421,$I457,'الشؤون التنفيذية'!$N$2:$N$421,"&lt;&gt;")+COUNTIFS('الجهاز العسكري'!$B$2:$B$631,$B457,'الجهاز العسكري'!$G$2:$G$631,$G457,'الجهاز العسكري'!$I$2:$I$631,$I457,'الجهاز العسكري'!$M$2:$M$631,"&lt;&gt;")</f>
        <v>1</v>
      </c>
      <c r="N457" s="24" t="n">
        <f aca="false">IF($L457=0,0,ROUND((SUMIFS('المرتبطة بسمو الوزير'!$M$2:$M$151,'المرتبطة بسمو الوزير'!$B$2:$B$151,$B457,'المرتبطة بسمو الوزير'!$G$2:$G$151,$G457,'المرتبطة بسمو الوزير'!$I$2:$I$151,$I457)+SUMIFS('الشؤون التنفيذية'!$N$2:$N$421,'الشؤون التنفيذية'!$B$2:$B$421,$B457,'الشؤون التنفيذية'!$G$2:$G$421,$G457,'الشؤون التنفيذية'!$I$2:$I$421,$I457)+SUMIFS('الجهاز العسكري'!$M$2:$M$631,'الجهاز العسكري'!$B$2:$B$631,$B457,'الجهاز العسكري'!$G$2:$G$631,$G457,'الجهاز العسكري'!$I$2:$I$631,$I457))/$L457,0))</f>
        <v>79</v>
      </c>
      <c r="O457" s="25" t="n">
        <f aca="false">IF($L457=0,0,ROUND((SUMIFS('المرتبطة بسمو الوزير'!$N$2:$N$151,'المرتبطة بسمو الوزير'!$B$2:$B$151,$B457,'المرتبطة بسمو الوزير'!$G$2:$G$151,$G457,'المرتبطة بسمو الوزير'!$I$2:$I$151,$I457)+SUMIFS('الشؤون التنفيذية'!$O$2:$O$421,'الشؤون التنفيذية'!$B$2:$B$421,$B457,'الشؤون التنفيذية'!$G$2:$G$421,$G457,'الشؤون التنفيذية'!$I$2:$I$421,$I457)+SUMIFS('الجهاز العسكري'!$N$2:$N$631,'الجهاز العسكري'!$B$2:$B$631,$B457,'الجهاز العسكري'!$G$2:$G$631,$G457,'الجهاز العسكري'!$I$2:$I$631,$I457))/$L457,0))</f>
        <v>85</v>
      </c>
      <c r="P457" s="22"/>
      <c r="Q457" s="19" t="n">
        <f aca="false">SUMIFS(المرجع!$G$2:$G$19,المرجع!$B$2:$B$19,$G457,المرجع!$E$2:$E$19,$I457)</f>
        <v>5</v>
      </c>
      <c r="R457" s="26" t="n">
        <f aca="false">ROUND($Q457*$N457/100,2)</f>
        <v>3.95</v>
      </c>
      <c r="S457" s="27" t="str">
        <f aca="false">IF($N457&gt;المرجع!$K$3,"متقدم",IF($N457&lt;=المرجع!$K$2,"أولي","جزئي"))</f>
        <v>متقدم</v>
      </c>
      <c r="T457" s="28" t="n">
        <f aca="false">ROUND($Q457*$O457/100,2)</f>
        <v>4.25</v>
      </c>
    </row>
    <row r="458" customFormat="false" ht="15" hidden="false" customHeight="true" outlineLevel="0" collapsed="false">
      <c r="A458" s="20" t="s">
        <v>1910</v>
      </c>
      <c r="B458" s="20" t="s">
        <v>208</v>
      </c>
      <c r="C458" s="19" t="str">
        <f aca="false">IFERROR(INDEX('قائمة الوحدات'!$B$2:$B$41,MATCH($B458,'قائمة الوحدات'!$A$2:$A$41,0)),"")</f>
        <v>MIL</v>
      </c>
      <c r="D458" s="18" t="str">
        <f aca="false">IFERROR(INDEX('قائمة الوحدات'!$C$2:$C$41,MATCH($B458,'قائمة الوحدات'!$A$2:$A$41,0)),"")</f>
        <v>الجهاز العسكري</v>
      </c>
      <c r="E458" s="18" t="str">
        <f aca="false">IFERROR(INDEX('قائمة الوحدات'!$D$2:$D$41,MATCH($B458,'قائمة الوحدات'!$A$2:$A$41,0)),"")</f>
        <v>الإدارة العامة للاستخبارات العسكرية</v>
      </c>
      <c r="F458" s="18" t="str">
        <f aca="false">IFERROR(INDEX('قائمة الوحدات'!$F$2:$F$41,MATCH($B458,'قائمة الوحدات'!$A$2:$A$41,0)),"")</f>
        <v>الإدارة العامة للاستخبارات العسكرية</v>
      </c>
      <c r="G458" s="20" t="s">
        <v>62</v>
      </c>
      <c r="H458" s="18" t="str">
        <f aca="false">IFERROR(INDEX(المرجع!$A$2:$A$19,MATCH($G458,المرجع!$B$2:$B$19,0)),"")</f>
        <v>البناء المؤسسي</v>
      </c>
      <c r="I458" s="20" t="s">
        <v>46</v>
      </c>
      <c r="J458" s="18" t="str">
        <f aca="false">IFERROR(INDEX(المرجع!$D$2:$D$19,MATCH($I458,المرجع!$E$2:$E$19,0)),"")</f>
        <v>الدور</v>
      </c>
      <c r="K458" s="19" t="n">
        <f aca="false">IFERROR(INDEX(المرجع!$F$2:$F$19,MATCH($I458,المرجع!$E$2:$E$19,0)),"")</f>
        <v>1</v>
      </c>
      <c r="L458" s="19" t="n">
        <f aca="false">SUMIFS(المرجع!$H$2:$H$19,المرجع!$B$2:$B$19,$G458,المرجع!$E$2:$E$19,$I458)</f>
        <v>1</v>
      </c>
      <c r="M458" s="19" t="n">
        <f aca="false">COUNTIFS('المرتبطة بسمو الوزير'!$B$2:$B$151,$B458,'المرتبطة بسمو الوزير'!$G$2:$G$151,$G458,'المرتبطة بسمو الوزير'!$I$2:$I$151,$I458,'المرتبطة بسمو الوزير'!$M$2:$M$151,"&lt;&gt;")+COUNTIFS('الشؤون التنفيذية'!$B$2:$B$421,$B458,'الشؤون التنفيذية'!$G$2:$G$421,$G458,'الشؤون التنفيذية'!$I$2:$I$421,$I458,'الشؤون التنفيذية'!$N$2:$N$421,"&lt;&gt;")+COUNTIFS('الجهاز العسكري'!$B$2:$B$631,$B458,'الجهاز العسكري'!$G$2:$G$631,$G458,'الجهاز العسكري'!$I$2:$I$631,$I458,'الجهاز العسكري'!$M$2:$M$631,"&lt;&gt;")</f>
        <v>1</v>
      </c>
      <c r="N458" s="24" t="n">
        <f aca="false">IF($L458=0,0,ROUND((SUMIFS('المرتبطة بسمو الوزير'!$M$2:$M$151,'المرتبطة بسمو الوزير'!$B$2:$B$151,$B458,'المرتبطة بسمو الوزير'!$G$2:$G$151,$G458,'المرتبطة بسمو الوزير'!$I$2:$I$151,$I458)+SUMIFS('الشؤون التنفيذية'!$N$2:$N$421,'الشؤون التنفيذية'!$B$2:$B$421,$B458,'الشؤون التنفيذية'!$G$2:$G$421,$G458,'الشؤون التنفيذية'!$I$2:$I$421,$I458)+SUMIFS('الجهاز العسكري'!$M$2:$M$631,'الجهاز العسكري'!$B$2:$B$631,$B458,'الجهاز العسكري'!$G$2:$G$631,$G458,'الجهاز العسكري'!$I$2:$I$631,$I458))/$L458,0))</f>
        <v>77</v>
      </c>
      <c r="O458" s="25" t="n">
        <f aca="false">IF($L458=0,0,ROUND((SUMIFS('المرتبطة بسمو الوزير'!$N$2:$N$151,'المرتبطة بسمو الوزير'!$B$2:$B$151,$B458,'المرتبطة بسمو الوزير'!$G$2:$G$151,$G458,'المرتبطة بسمو الوزير'!$I$2:$I$151,$I458)+SUMIFS('الشؤون التنفيذية'!$O$2:$O$421,'الشؤون التنفيذية'!$B$2:$B$421,$B458,'الشؤون التنفيذية'!$G$2:$G$421,$G458,'الشؤون التنفيذية'!$I$2:$I$421,$I458)+SUMIFS('الجهاز العسكري'!$N$2:$N$631,'الجهاز العسكري'!$B$2:$B$631,$B458,'الجهاز العسكري'!$G$2:$G$631,$G458,'الجهاز العسكري'!$I$2:$I$631,$I458))/$L458,0))</f>
        <v>80</v>
      </c>
      <c r="P458" s="22"/>
      <c r="Q458" s="19" t="n">
        <f aca="false">SUMIFS(المرجع!$G$2:$G$19,المرجع!$B$2:$B$19,$G458,المرجع!$E$2:$E$19,$I458)</f>
        <v>15</v>
      </c>
      <c r="R458" s="26" t="n">
        <f aca="false">ROUND($Q458*$N458/100,2)</f>
        <v>11.55</v>
      </c>
      <c r="S458" s="27" t="str">
        <f aca="false">IF($N458&gt;المرجع!$K$3,"متقدم",IF($N458&lt;=المرجع!$K$2,"أولي","جزئي"))</f>
        <v>متقدم</v>
      </c>
      <c r="T458" s="28" t="n">
        <f aca="false">ROUND($Q458*$O458/100,2)</f>
        <v>12</v>
      </c>
    </row>
    <row r="459" customFormat="false" ht="15" hidden="false" customHeight="true" outlineLevel="0" collapsed="false">
      <c r="A459" s="20" t="s">
        <v>1911</v>
      </c>
      <c r="B459" s="20" t="s">
        <v>208</v>
      </c>
      <c r="C459" s="19" t="str">
        <f aca="false">IFERROR(INDEX('قائمة الوحدات'!$B$2:$B$41,MATCH($B459,'قائمة الوحدات'!$A$2:$A$41,0)),"")</f>
        <v>MIL</v>
      </c>
      <c r="D459" s="18" t="str">
        <f aca="false">IFERROR(INDEX('قائمة الوحدات'!$C$2:$C$41,MATCH($B459,'قائمة الوحدات'!$A$2:$A$41,0)),"")</f>
        <v>الجهاز العسكري</v>
      </c>
      <c r="E459" s="18" t="str">
        <f aca="false">IFERROR(INDEX('قائمة الوحدات'!$D$2:$D$41,MATCH($B459,'قائمة الوحدات'!$A$2:$A$41,0)),"")</f>
        <v>الإدارة العامة للاستخبارات العسكرية</v>
      </c>
      <c r="F459" s="18" t="str">
        <f aca="false">IFERROR(INDEX('قائمة الوحدات'!$F$2:$F$41,MATCH($B459,'قائمة الوحدات'!$A$2:$A$41,0)),"")</f>
        <v>الإدارة العامة للاستخبارات العسكرية</v>
      </c>
      <c r="G459" s="20" t="s">
        <v>62</v>
      </c>
      <c r="H459" s="18" t="str">
        <f aca="false">IFERROR(INDEX(المرجع!$A$2:$A$19,MATCH($G459,المرجع!$B$2:$B$19,0)),"")</f>
        <v>البناء المؤسسي</v>
      </c>
      <c r="I459" s="20" t="s">
        <v>49</v>
      </c>
      <c r="J459" s="18" t="str">
        <f aca="false">IFERROR(INDEX(المرجع!$D$2:$D$19,MATCH($I459,المرجع!$E$2:$E$19,0)),"")</f>
        <v>الأهداف ومؤشرات الأداء</v>
      </c>
      <c r="K459" s="19" t="n">
        <f aca="false">IFERROR(INDEX(المرجع!$F$2:$F$19,MATCH($I459,المرجع!$E$2:$E$19,0)),"")</f>
        <v>2</v>
      </c>
      <c r="L459" s="19" t="n">
        <f aca="false">SUMIFS(المرجع!$H$2:$H$19,المرجع!$B$2:$B$19,$G459,المرجع!$E$2:$E$19,$I459)</f>
        <v>2</v>
      </c>
      <c r="M459" s="19" t="n">
        <f aca="false">COUNTIFS('المرتبطة بسمو الوزير'!$B$2:$B$151,$B459,'المرتبطة بسمو الوزير'!$G$2:$G$151,$G459,'المرتبطة بسمو الوزير'!$I$2:$I$151,$I459,'المرتبطة بسمو الوزير'!$M$2:$M$151,"&lt;&gt;")+COUNTIFS('الشؤون التنفيذية'!$B$2:$B$421,$B459,'الشؤون التنفيذية'!$G$2:$G$421,$G459,'الشؤون التنفيذية'!$I$2:$I$421,$I459,'الشؤون التنفيذية'!$N$2:$N$421,"&lt;&gt;")+COUNTIFS('الجهاز العسكري'!$B$2:$B$631,$B459,'الجهاز العسكري'!$G$2:$G$631,$G459,'الجهاز العسكري'!$I$2:$I$631,$I459,'الجهاز العسكري'!$M$2:$M$631,"&lt;&gt;")</f>
        <v>2</v>
      </c>
      <c r="N459" s="24" t="n">
        <f aca="false">IF($L459=0,0,ROUND((SUMIFS('المرتبطة بسمو الوزير'!$M$2:$M$151,'المرتبطة بسمو الوزير'!$B$2:$B$151,$B459,'المرتبطة بسمو الوزير'!$G$2:$G$151,$G459,'المرتبطة بسمو الوزير'!$I$2:$I$151,$I459)+SUMIFS('الشؤون التنفيذية'!$N$2:$N$421,'الشؤون التنفيذية'!$B$2:$B$421,$B459,'الشؤون التنفيذية'!$G$2:$G$421,$G459,'الشؤون التنفيذية'!$I$2:$I$421,$I459)+SUMIFS('الجهاز العسكري'!$M$2:$M$631,'الجهاز العسكري'!$B$2:$B$631,$B459,'الجهاز العسكري'!$G$2:$G$631,$G459,'الجهاز العسكري'!$I$2:$I$631,$I459))/$L459,0))</f>
        <v>55</v>
      </c>
      <c r="O459" s="25" t="n">
        <f aca="false">IF($L459=0,0,ROUND((SUMIFS('المرتبطة بسمو الوزير'!$N$2:$N$151,'المرتبطة بسمو الوزير'!$B$2:$B$151,$B459,'المرتبطة بسمو الوزير'!$G$2:$G$151,$G459,'المرتبطة بسمو الوزير'!$I$2:$I$151,$I459)+SUMIFS('الشؤون التنفيذية'!$O$2:$O$421,'الشؤون التنفيذية'!$B$2:$B$421,$B459,'الشؤون التنفيذية'!$G$2:$G$421,$G459,'الشؤون التنفيذية'!$I$2:$I$421,$I459)+SUMIFS('الجهاز العسكري'!$N$2:$N$631,'الجهاز العسكري'!$B$2:$B$631,$B459,'الجهاز العسكري'!$G$2:$G$631,$G459,'الجهاز العسكري'!$I$2:$I$631,$I459))/$L459,0))</f>
        <v>100</v>
      </c>
      <c r="P459" s="22"/>
      <c r="Q459" s="19" t="n">
        <f aca="false">SUMIFS(المرجع!$G$2:$G$19,المرجع!$B$2:$B$19,$G459,المرجع!$E$2:$E$19,$I459)</f>
        <v>15</v>
      </c>
      <c r="R459" s="26" t="n">
        <f aca="false">ROUND($Q459*$N459/100,2)</f>
        <v>8.25</v>
      </c>
      <c r="S459" s="27" t="str">
        <f aca="false">IF($N459&gt;المرجع!$K$3,"متقدم",IF($N459&lt;=المرجع!$K$2,"أولي","جزئي"))</f>
        <v>جزئي</v>
      </c>
      <c r="T459" s="28" t="n">
        <f aca="false">ROUND($Q459*$O459/100,2)</f>
        <v>15</v>
      </c>
    </row>
    <row r="460" customFormat="false" ht="15" hidden="false" customHeight="true" outlineLevel="0" collapsed="false">
      <c r="A460" s="20" t="s">
        <v>1912</v>
      </c>
      <c r="B460" s="20" t="s">
        <v>208</v>
      </c>
      <c r="C460" s="19" t="str">
        <f aca="false">IFERROR(INDEX('قائمة الوحدات'!$B$2:$B$41,MATCH($B460,'قائمة الوحدات'!$A$2:$A$41,0)),"")</f>
        <v>MIL</v>
      </c>
      <c r="D460" s="18" t="str">
        <f aca="false">IFERROR(INDEX('قائمة الوحدات'!$C$2:$C$41,MATCH($B460,'قائمة الوحدات'!$A$2:$A$41,0)),"")</f>
        <v>الجهاز العسكري</v>
      </c>
      <c r="E460" s="18" t="str">
        <f aca="false">IFERROR(INDEX('قائمة الوحدات'!$D$2:$D$41,MATCH($B460,'قائمة الوحدات'!$A$2:$A$41,0)),"")</f>
        <v>الإدارة العامة للاستخبارات العسكرية</v>
      </c>
      <c r="F460" s="18" t="str">
        <f aca="false">IFERROR(INDEX('قائمة الوحدات'!$F$2:$F$41,MATCH($B460,'قائمة الوحدات'!$A$2:$A$41,0)),"")</f>
        <v>الإدارة العامة للاستخبارات العسكرية</v>
      </c>
      <c r="G460" s="20" t="s">
        <v>62</v>
      </c>
      <c r="H460" s="18" t="str">
        <f aca="false">IFERROR(INDEX(المرجع!$A$2:$A$19,MATCH($G460,المرجع!$B$2:$B$19,0)),"")</f>
        <v>البناء المؤسسي</v>
      </c>
      <c r="I460" s="20" t="s">
        <v>52</v>
      </c>
      <c r="J460" s="18" t="str">
        <f aca="false">IFERROR(INDEX(المرجع!$D$2:$D$19,MATCH($I460,المرجع!$E$2:$E$19,0)),"")</f>
        <v>الحوكمة</v>
      </c>
      <c r="K460" s="19" t="n">
        <f aca="false">IFERROR(INDEX(المرجع!$F$2:$F$19,MATCH($I460,المرجع!$E$2:$E$19,0)),"")</f>
        <v>3</v>
      </c>
      <c r="L460" s="19" t="n">
        <f aca="false">SUMIFS(المرجع!$H$2:$H$19,المرجع!$B$2:$B$19,$G460,المرجع!$E$2:$E$19,$I460)</f>
        <v>3</v>
      </c>
      <c r="M460" s="19" t="n">
        <f aca="false">COUNTIFS('المرتبطة بسمو الوزير'!$B$2:$B$151,$B460,'المرتبطة بسمو الوزير'!$G$2:$G$151,$G460,'المرتبطة بسمو الوزير'!$I$2:$I$151,$I460,'المرتبطة بسمو الوزير'!$M$2:$M$151,"&lt;&gt;")+COUNTIFS('الشؤون التنفيذية'!$B$2:$B$421,$B460,'الشؤون التنفيذية'!$G$2:$G$421,$G460,'الشؤون التنفيذية'!$I$2:$I$421,$I460,'الشؤون التنفيذية'!$N$2:$N$421,"&lt;&gt;")+COUNTIFS('الجهاز العسكري'!$B$2:$B$631,$B460,'الجهاز العسكري'!$G$2:$G$631,$G460,'الجهاز العسكري'!$I$2:$I$631,$I460,'الجهاز العسكري'!$M$2:$M$631,"&lt;&gt;")</f>
        <v>3</v>
      </c>
      <c r="N460" s="24" t="n">
        <f aca="false">IF($L460=0,0,ROUND((SUMIFS('المرتبطة بسمو الوزير'!$M$2:$M$151,'المرتبطة بسمو الوزير'!$B$2:$B$151,$B460,'المرتبطة بسمو الوزير'!$G$2:$G$151,$G460,'المرتبطة بسمو الوزير'!$I$2:$I$151,$I460)+SUMIFS('الشؤون التنفيذية'!$N$2:$N$421,'الشؤون التنفيذية'!$B$2:$B$421,$B460,'الشؤون التنفيذية'!$G$2:$G$421,$G460,'الشؤون التنفيذية'!$I$2:$I$421,$I460)+SUMIFS('الجهاز العسكري'!$M$2:$M$631,'الجهاز العسكري'!$B$2:$B$631,$B460,'الجهاز العسكري'!$G$2:$G$631,$G460,'الجهاز العسكري'!$I$2:$I$631,$I460))/$L460,0))</f>
        <v>60</v>
      </c>
      <c r="O460" s="25" t="n">
        <f aca="false">IF($L460=0,0,ROUND((SUMIFS('المرتبطة بسمو الوزير'!$N$2:$N$151,'المرتبطة بسمو الوزير'!$B$2:$B$151,$B460,'المرتبطة بسمو الوزير'!$G$2:$G$151,$G460,'المرتبطة بسمو الوزير'!$I$2:$I$151,$I460)+SUMIFS('الشؤون التنفيذية'!$O$2:$O$421,'الشؤون التنفيذية'!$B$2:$B$421,$B460,'الشؤون التنفيذية'!$G$2:$G$421,$G460,'الشؤون التنفيذية'!$I$2:$I$421,$I460)+SUMIFS('الجهاز العسكري'!$N$2:$N$631,'الجهاز العسكري'!$B$2:$B$631,$B460,'الجهاز العسكري'!$G$2:$G$631,$G460,'الجهاز العسكري'!$I$2:$I$631,$I460))/$L460,0))</f>
        <v>95</v>
      </c>
      <c r="P460" s="22"/>
      <c r="Q460" s="19" t="n">
        <f aca="false">SUMIFS(المرجع!$G$2:$G$19,المرجع!$B$2:$B$19,$G460,المرجع!$E$2:$E$19,$I460)</f>
        <v>15</v>
      </c>
      <c r="R460" s="26" t="n">
        <f aca="false">ROUND($Q460*$N460/100,2)</f>
        <v>9</v>
      </c>
      <c r="S460" s="27" t="str">
        <f aca="false">IF($N460&gt;المرجع!$K$3,"متقدم",IF($N460&lt;=المرجع!$K$2,"أولي","جزئي"))</f>
        <v>جزئي</v>
      </c>
      <c r="T460" s="28" t="n">
        <f aca="false">ROUND($Q460*$O460/100,2)</f>
        <v>14.25</v>
      </c>
    </row>
    <row r="461" customFormat="false" ht="15" hidden="false" customHeight="true" outlineLevel="0" collapsed="false">
      <c r="A461" s="20" t="s">
        <v>1913</v>
      </c>
      <c r="B461" s="20" t="s">
        <v>208</v>
      </c>
      <c r="C461" s="19" t="str">
        <f aca="false">IFERROR(INDEX('قائمة الوحدات'!$B$2:$B$41,MATCH($B461,'قائمة الوحدات'!$A$2:$A$41,0)),"")</f>
        <v>MIL</v>
      </c>
      <c r="D461" s="18" t="str">
        <f aca="false">IFERROR(INDEX('قائمة الوحدات'!$C$2:$C$41,MATCH($B461,'قائمة الوحدات'!$A$2:$A$41,0)),"")</f>
        <v>الجهاز العسكري</v>
      </c>
      <c r="E461" s="18" t="str">
        <f aca="false">IFERROR(INDEX('قائمة الوحدات'!$D$2:$D$41,MATCH($B461,'قائمة الوحدات'!$A$2:$A$41,0)),"")</f>
        <v>الإدارة العامة للاستخبارات العسكرية</v>
      </c>
      <c r="F461" s="18" t="str">
        <f aca="false">IFERROR(INDEX('قائمة الوحدات'!$F$2:$F$41,MATCH($B461,'قائمة الوحدات'!$A$2:$A$41,0)),"")</f>
        <v>الإدارة العامة للاستخبارات العسكرية</v>
      </c>
      <c r="G461" s="20" t="s">
        <v>62</v>
      </c>
      <c r="H461" s="18" t="str">
        <f aca="false">IFERROR(INDEX(المرجع!$A$2:$A$19,MATCH($G461,المرجع!$B$2:$B$19,0)),"")</f>
        <v>البناء المؤسسي</v>
      </c>
      <c r="I461" s="20" t="s">
        <v>55</v>
      </c>
      <c r="J461" s="18" t="str">
        <f aca="false">IFERROR(INDEX(المرجع!$D$2:$D$19,MATCH($I461,المرجع!$E$2:$E$19,0)),"")</f>
        <v>التنظيم</v>
      </c>
      <c r="K461" s="19" t="n">
        <f aca="false">IFERROR(INDEX(المرجع!$F$2:$F$19,MATCH($I461,المرجع!$E$2:$E$19,0)),"")</f>
        <v>4</v>
      </c>
      <c r="L461" s="19" t="n">
        <f aca="false">SUMIFS(المرجع!$H$2:$H$19,المرجع!$B$2:$B$19,$G461,المرجع!$E$2:$E$19,$I461)</f>
        <v>3</v>
      </c>
      <c r="M461" s="19" t="n">
        <f aca="false">COUNTIFS('المرتبطة بسمو الوزير'!$B$2:$B$151,$B461,'المرتبطة بسمو الوزير'!$G$2:$G$151,$G461,'المرتبطة بسمو الوزير'!$I$2:$I$151,$I461,'المرتبطة بسمو الوزير'!$M$2:$M$151,"&lt;&gt;")+COUNTIFS('الشؤون التنفيذية'!$B$2:$B$421,$B461,'الشؤون التنفيذية'!$G$2:$G$421,$G461,'الشؤون التنفيذية'!$I$2:$I$421,$I461,'الشؤون التنفيذية'!$N$2:$N$421,"&lt;&gt;")+COUNTIFS('الجهاز العسكري'!$B$2:$B$631,$B461,'الجهاز العسكري'!$G$2:$G$631,$G461,'الجهاز العسكري'!$I$2:$I$631,$I461,'الجهاز العسكري'!$M$2:$M$631,"&lt;&gt;")</f>
        <v>3</v>
      </c>
      <c r="N461" s="24" t="n">
        <f aca="false">IF($L461=0,0,ROUND((SUMIFS('المرتبطة بسمو الوزير'!$M$2:$M$151,'المرتبطة بسمو الوزير'!$B$2:$B$151,$B461,'المرتبطة بسمو الوزير'!$G$2:$G$151,$G461,'المرتبطة بسمو الوزير'!$I$2:$I$151,$I461)+SUMIFS('الشؤون التنفيذية'!$N$2:$N$421,'الشؤون التنفيذية'!$B$2:$B$421,$B461,'الشؤون التنفيذية'!$G$2:$G$421,$G461,'الشؤون التنفيذية'!$I$2:$I$421,$I461)+SUMIFS('الجهاز العسكري'!$M$2:$M$631,'الجهاز العسكري'!$B$2:$B$631,$B461,'الجهاز العسكري'!$G$2:$G$631,$G461,'الجهاز العسكري'!$I$2:$I$631,$I461))/$L461,0))</f>
        <v>85</v>
      </c>
      <c r="O461" s="25" t="n">
        <f aca="false">IF($L461=0,0,ROUND((SUMIFS('المرتبطة بسمو الوزير'!$N$2:$N$151,'المرتبطة بسمو الوزير'!$B$2:$B$151,$B461,'المرتبطة بسمو الوزير'!$G$2:$G$151,$G461,'المرتبطة بسمو الوزير'!$I$2:$I$151,$I461)+SUMIFS('الشؤون التنفيذية'!$O$2:$O$421,'الشؤون التنفيذية'!$B$2:$B$421,$B461,'الشؤون التنفيذية'!$G$2:$G$421,$G461,'الشؤون التنفيذية'!$I$2:$I$421,$I461)+SUMIFS('الجهاز العسكري'!$N$2:$N$631,'الجهاز العسكري'!$B$2:$B$631,$B461,'الجهاز العسكري'!$G$2:$G$631,$G461,'الجهاز العسكري'!$I$2:$I$631,$I461))/$L461,0))</f>
        <v>100</v>
      </c>
      <c r="P461" s="22"/>
      <c r="Q461" s="19" t="n">
        <f aca="false">SUMIFS(المرجع!$G$2:$G$19,المرجع!$B$2:$B$19,$G461,المرجع!$E$2:$E$19,$I461)</f>
        <v>20</v>
      </c>
      <c r="R461" s="26" t="n">
        <f aca="false">ROUND($Q461*$N461/100,2)</f>
        <v>17</v>
      </c>
      <c r="S461" s="27" t="str">
        <f aca="false">IF($N461&gt;المرجع!$K$3,"متقدم",IF($N461&lt;=المرجع!$K$2,"أولي","جزئي"))</f>
        <v>متقدم</v>
      </c>
      <c r="T461" s="28" t="n">
        <f aca="false">ROUND($Q461*$O461/100,2)</f>
        <v>20</v>
      </c>
    </row>
    <row r="462" customFormat="false" ht="15" hidden="false" customHeight="true" outlineLevel="0" collapsed="false">
      <c r="A462" s="20" t="s">
        <v>1914</v>
      </c>
      <c r="B462" s="20" t="s">
        <v>208</v>
      </c>
      <c r="C462" s="19" t="str">
        <f aca="false">IFERROR(INDEX('قائمة الوحدات'!$B$2:$B$41,MATCH($B462,'قائمة الوحدات'!$A$2:$A$41,0)),"")</f>
        <v>MIL</v>
      </c>
      <c r="D462" s="18" t="str">
        <f aca="false">IFERROR(INDEX('قائمة الوحدات'!$C$2:$C$41,MATCH($B462,'قائمة الوحدات'!$A$2:$A$41,0)),"")</f>
        <v>الجهاز العسكري</v>
      </c>
      <c r="E462" s="18" t="str">
        <f aca="false">IFERROR(INDEX('قائمة الوحدات'!$D$2:$D$41,MATCH($B462,'قائمة الوحدات'!$A$2:$A$41,0)),"")</f>
        <v>الإدارة العامة للاستخبارات العسكرية</v>
      </c>
      <c r="F462" s="18" t="str">
        <f aca="false">IFERROR(INDEX('قائمة الوحدات'!$F$2:$F$41,MATCH($B462,'قائمة الوحدات'!$A$2:$A$41,0)),"")</f>
        <v>الإدارة العامة للاستخبارات العسكرية</v>
      </c>
      <c r="G462" s="20" t="s">
        <v>62</v>
      </c>
      <c r="H462" s="18" t="str">
        <f aca="false">IFERROR(INDEX(المرجع!$A$2:$A$19,MATCH($G462,المرجع!$B$2:$B$19,0)),"")</f>
        <v>البناء المؤسسي</v>
      </c>
      <c r="I462" s="20" t="s">
        <v>57</v>
      </c>
      <c r="J462" s="18" t="str">
        <f aca="false">IFERROR(INDEX(المرجع!$D$2:$D$19,MATCH($I462,المرجع!$E$2:$E$19,0)),"")</f>
        <v>الموارد</v>
      </c>
      <c r="K462" s="19" t="n">
        <f aca="false">IFERROR(INDEX(المرجع!$F$2:$F$19,MATCH($I462,المرجع!$E$2:$E$19,0)),"")</f>
        <v>5</v>
      </c>
      <c r="L462" s="19" t="n">
        <f aca="false">SUMIFS(المرجع!$H$2:$H$19,المرجع!$B$2:$B$19,$G462,المرجع!$E$2:$E$19,$I462)</f>
        <v>4</v>
      </c>
      <c r="M462" s="19" t="n">
        <f aca="false">COUNTIFS('المرتبطة بسمو الوزير'!$B$2:$B$151,$B462,'المرتبطة بسمو الوزير'!$G$2:$G$151,$G462,'المرتبطة بسمو الوزير'!$I$2:$I$151,$I462,'المرتبطة بسمو الوزير'!$M$2:$M$151,"&lt;&gt;")+COUNTIFS('الشؤون التنفيذية'!$B$2:$B$421,$B462,'الشؤون التنفيذية'!$G$2:$G$421,$G462,'الشؤون التنفيذية'!$I$2:$I$421,$I462,'الشؤون التنفيذية'!$N$2:$N$421,"&lt;&gt;")+COUNTIFS('الجهاز العسكري'!$B$2:$B$631,$B462,'الجهاز العسكري'!$G$2:$G$631,$G462,'الجهاز العسكري'!$I$2:$I$631,$I462,'الجهاز العسكري'!$M$2:$M$631,"&lt;&gt;")</f>
        <v>4</v>
      </c>
      <c r="N462" s="24" t="n">
        <f aca="false">IF($L462=0,0,ROUND((SUMIFS('المرتبطة بسمو الوزير'!$M$2:$M$151,'المرتبطة بسمو الوزير'!$B$2:$B$151,$B462,'المرتبطة بسمو الوزير'!$G$2:$G$151,$G462,'المرتبطة بسمو الوزير'!$I$2:$I$151,$I462)+SUMIFS('الشؤون التنفيذية'!$N$2:$N$421,'الشؤون التنفيذية'!$B$2:$B$421,$B462,'الشؤون التنفيذية'!$G$2:$G$421,$G462,'الشؤون التنفيذية'!$I$2:$I$421,$I462)+SUMIFS('الجهاز العسكري'!$M$2:$M$631,'الجهاز العسكري'!$B$2:$B$631,$B462,'الجهاز العسكري'!$G$2:$G$631,$G462,'الجهاز العسكري'!$I$2:$I$631,$I462))/$L462,0))</f>
        <v>79</v>
      </c>
      <c r="O462" s="25" t="n">
        <f aca="false">IF($L462=0,0,ROUND((SUMIFS('المرتبطة بسمو الوزير'!$N$2:$N$151,'المرتبطة بسمو الوزير'!$B$2:$B$151,$B462,'المرتبطة بسمو الوزير'!$G$2:$G$151,$G462,'المرتبطة بسمو الوزير'!$I$2:$I$151,$I462)+SUMIFS('الشؤون التنفيذية'!$O$2:$O$421,'الشؤون التنفيذية'!$B$2:$B$421,$B462,'الشؤون التنفيذية'!$G$2:$G$421,$G462,'الشؤون التنفيذية'!$I$2:$I$421,$I462)+SUMIFS('الجهاز العسكري'!$N$2:$N$631,'الجهاز العسكري'!$B$2:$B$631,$B462,'الجهاز العسكري'!$G$2:$G$631,$G462,'الجهاز العسكري'!$I$2:$I$631,$I462))/$L462,0))</f>
        <v>96</v>
      </c>
      <c r="P462" s="22"/>
      <c r="Q462" s="19" t="n">
        <f aca="false">SUMIFS(المرجع!$G$2:$G$19,المرجع!$B$2:$B$19,$G462,المرجع!$E$2:$E$19,$I462)</f>
        <v>25</v>
      </c>
      <c r="R462" s="26" t="n">
        <f aca="false">ROUND($Q462*$N462/100,2)</f>
        <v>19.75</v>
      </c>
      <c r="S462" s="27" t="str">
        <f aca="false">IF($N462&gt;المرجع!$K$3,"متقدم",IF($N462&lt;=المرجع!$K$2,"أولي","جزئي"))</f>
        <v>متقدم</v>
      </c>
      <c r="T462" s="28" t="n">
        <f aca="false">ROUND($Q462*$O462/100,2)</f>
        <v>24</v>
      </c>
    </row>
    <row r="463" customFormat="false" ht="15" hidden="false" customHeight="true" outlineLevel="0" collapsed="false">
      <c r="A463" s="20" t="s">
        <v>1915</v>
      </c>
      <c r="B463" s="20" t="s">
        <v>208</v>
      </c>
      <c r="C463" s="19" t="str">
        <f aca="false">IFERROR(INDEX('قائمة الوحدات'!$B$2:$B$41,MATCH($B463,'قائمة الوحدات'!$A$2:$A$41,0)),"")</f>
        <v>MIL</v>
      </c>
      <c r="D463" s="18" t="str">
        <f aca="false">IFERROR(INDEX('قائمة الوحدات'!$C$2:$C$41,MATCH($B463,'قائمة الوحدات'!$A$2:$A$41,0)),"")</f>
        <v>الجهاز العسكري</v>
      </c>
      <c r="E463" s="18" t="str">
        <f aca="false">IFERROR(INDEX('قائمة الوحدات'!$D$2:$D$41,MATCH($B463,'قائمة الوحدات'!$A$2:$A$41,0)),"")</f>
        <v>الإدارة العامة للاستخبارات العسكرية</v>
      </c>
      <c r="F463" s="18" t="str">
        <f aca="false">IFERROR(INDEX('قائمة الوحدات'!$F$2:$F$41,MATCH($B463,'قائمة الوحدات'!$A$2:$A$41,0)),"")</f>
        <v>الإدارة العامة للاستخبارات العسكرية</v>
      </c>
      <c r="G463" s="20" t="s">
        <v>62</v>
      </c>
      <c r="H463" s="18" t="str">
        <f aca="false">IFERROR(INDEX(المرجع!$A$2:$A$19,MATCH($G463,المرجع!$B$2:$B$19,0)),"")</f>
        <v>البناء المؤسسي</v>
      </c>
      <c r="I463" s="20" t="s">
        <v>60</v>
      </c>
      <c r="J463" s="18" t="str">
        <f aca="false">IFERROR(INDEX(المرجع!$D$2:$D$19,MATCH($I463,المرجع!$E$2:$E$19,0)),"")</f>
        <v>الإجراءات</v>
      </c>
      <c r="K463" s="19" t="n">
        <f aca="false">IFERROR(INDEX(المرجع!$F$2:$F$19,MATCH($I463,المرجع!$E$2:$E$19,0)),"")</f>
        <v>6</v>
      </c>
      <c r="L463" s="19" t="n">
        <f aca="false">SUMIFS(المرجع!$H$2:$H$19,المرجع!$B$2:$B$19,$G463,المرجع!$E$2:$E$19,$I463)</f>
        <v>1</v>
      </c>
      <c r="M463" s="19" t="n">
        <f aca="false">COUNTIFS('المرتبطة بسمو الوزير'!$B$2:$B$151,$B463,'المرتبطة بسمو الوزير'!$G$2:$G$151,$G463,'المرتبطة بسمو الوزير'!$I$2:$I$151,$I463,'المرتبطة بسمو الوزير'!$M$2:$M$151,"&lt;&gt;")+COUNTIFS('الشؤون التنفيذية'!$B$2:$B$421,$B463,'الشؤون التنفيذية'!$G$2:$G$421,$G463,'الشؤون التنفيذية'!$I$2:$I$421,$I463,'الشؤون التنفيذية'!$N$2:$N$421,"&lt;&gt;")+COUNTIFS('الجهاز العسكري'!$B$2:$B$631,$B463,'الجهاز العسكري'!$G$2:$G$631,$G463,'الجهاز العسكري'!$I$2:$I$631,$I463,'الجهاز العسكري'!$M$2:$M$631,"&lt;&gt;")</f>
        <v>1</v>
      </c>
      <c r="N463" s="24" t="n">
        <f aca="false">IF($L463=0,0,ROUND((SUMIFS('المرتبطة بسمو الوزير'!$M$2:$M$151,'المرتبطة بسمو الوزير'!$B$2:$B$151,$B463,'المرتبطة بسمو الوزير'!$G$2:$G$151,$G463,'المرتبطة بسمو الوزير'!$I$2:$I$151,$I463)+SUMIFS('الشؤون التنفيذية'!$N$2:$N$421,'الشؤون التنفيذية'!$B$2:$B$421,$B463,'الشؤون التنفيذية'!$G$2:$G$421,$G463,'الشؤون التنفيذية'!$I$2:$I$421,$I463)+SUMIFS('الجهاز العسكري'!$M$2:$M$631,'الجهاز العسكري'!$B$2:$B$631,$B463,'الجهاز العسكري'!$G$2:$G$631,$G463,'الجهاز العسكري'!$I$2:$I$631,$I463))/$L463,0))</f>
        <v>87</v>
      </c>
      <c r="O463" s="25" t="n">
        <f aca="false">IF($L463=0,0,ROUND((SUMIFS('المرتبطة بسمو الوزير'!$N$2:$N$151,'المرتبطة بسمو الوزير'!$B$2:$B$151,$B463,'المرتبطة بسمو الوزير'!$G$2:$G$151,$G463,'المرتبطة بسمو الوزير'!$I$2:$I$151,$I463)+SUMIFS('الشؤون التنفيذية'!$O$2:$O$421,'الشؤون التنفيذية'!$B$2:$B$421,$B463,'الشؤون التنفيذية'!$G$2:$G$421,$G463,'الشؤون التنفيذية'!$I$2:$I$421,$I463)+SUMIFS('الجهاز العسكري'!$N$2:$N$631,'الجهاز العسكري'!$B$2:$B$631,$B463,'الجهاز العسكري'!$G$2:$G$631,$G463,'الجهاز العسكري'!$I$2:$I$631,$I463))/$L463,0))</f>
        <v>100</v>
      </c>
      <c r="P463" s="22"/>
      <c r="Q463" s="19" t="n">
        <f aca="false">SUMIFS(المرجع!$G$2:$G$19,المرجع!$B$2:$B$19,$G463,المرجع!$E$2:$E$19,$I463)</f>
        <v>5</v>
      </c>
      <c r="R463" s="26" t="n">
        <f aca="false">ROUND($Q463*$N463/100,2)</f>
        <v>4.35</v>
      </c>
      <c r="S463" s="27" t="str">
        <f aca="false">IF($N463&gt;المرجع!$K$3,"متقدم",IF($N463&lt;=المرجع!$K$2,"أولي","جزئي"))</f>
        <v>متقدم</v>
      </c>
      <c r="T463" s="28" t="n">
        <f aca="false">ROUND($Q463*$O463/100,2)</f>
        <v>5</v>
      </c>
    </row>
    <row r="464" customFormat="false" ht="15" hidden="false" customHeight="true" outlineLevel="0" collapsed="false">
      <c r="A464" s="20" t="s">
        <v>1916</v>
      </c>
      <c r="B464" s="20" t="s">
        <v>208</v>
      </c>
      <c r="C464" s="19" t="str">
        <f aca="false">IFERROR(INDEX('قائمة الوحدات'!$B$2:$B$41,MATCH($B464,'قائمة الوحدات'!$A$2:$A$41,0)),"")</f>
        <v>MIL</v>
      </c>
      <c r="D464" s="18" t="str">
        <f aca="false">IFERROR(INDEX('قائمة الوحدات'!$C$2:$C$41,MATCH($B464,'قائمة الوحدات'!$A$2:$A$41,0)),"")</f>
        <v>الجهاز العسكري</v>
      </c>
      <c r="E464" s="18" t="str">
        <f aca="false">IFERROR(INDEX('قائمة الوحدات'!$D$2:$D$41,MATCH($B464,'قائمة الوحدات'!$A$2:$A$41,0)),"")</f>
        <v>الإدارة العامة للاستخبارات العسكرية</v>
      </c>
      <c r="F464" s="18" t="str">
        <f aca="false">IFERROR(INDEX('قائمة الوحدات'!$F$2:$F$41,MATCH($B464,'قائمة الوحدات'!$A$2:$A$41,0)),"")</f>
        <v>الإدارة العامة للاستخبارات العسكرية</v>
      </c>
      <c r="G464" s="20" t="s">
        <v>62</v>
      </c>
      <c r="H464" s="18" t="str">
        <f aca="false">IFERROR(INDEX(المرجع!$A$2:$A$19,MATCH($G464,المرجع!$B$2:$B$19,0)),"")</f>
        <v>البناء المؤسسي</v>
      </c>
      <c r="I464" s="20" t="s">
        <v>69</v>
      </c>
      <c r="J464" s="18" t="str">
        <f aca="false">IFERROR(INDEX(المرجع!$D$2:$D$19,MATCH($I464,المرجع!$E$2:$E$19,0)),"")</f>
        <v>إنتاج المخرج الأول</v>
      </c>
      <c r="K464" s="19" t="n">
        <f aca="false">IFERROR(INDEX(المرجع!$F$2:$F$19,MATCH($I464,المرجع!$E$2:$E$19,0)),"")</f>
        <v>7</v>
      </c>
      <c r="L464" s="19" t="n">
        <f aca="false">SUMIFS(المرجع!$H$2:$H$19,المرجع!$B$2:$B$19,$G464,المرجع!$E$2:$E$19,$I464)</f>
        <v>1</v>
      </c>
      <c r="M464" s="19" t="n">
        <f aca="false">COUNTIFS('المرتبطة بسمو الوزير'!$B$2:$B$151,$B464,'المرتبطة بسمو الوزير'!$G$2:$G$151,$G464,'المرتبطة بسمو الوزير'!$I$2:$I$151,$I464,'المرتبطة بسمو الوزير'!$M$2:$M$151,"&lt;&gt;")+COUNTIFS('الشؤون التنفيذية'!$B$2:$B$421,$B464,'الشؤون التنفيذية'!$G$2:$G$421,$G464,'الشؤون التنفيذية'!$I$2:$I$421,$I464,'الشؤون التنفيذية'!$N$2:$N$421,"&lt;&gt;")+COUNTIFS('الجهاز العسكري'!$B$2:$B$631,$B464,'الجهاز العسكري'!$G$2:$G$631,$G464,'الجهاز العسكري'!$I$2:$I$631,$I464,'الجهاز العسكري'!$M$2:$M$631,"&lt;&gt;")</f>
        <v>1</v>
      </c>
      <c r="N464" s="24" t="n">
        <f aca="false">IF($L464=0,0,ROUND((SUMIFS('المرتبطة بسمو الوزير'!$M$2:$M$151,'المرتبطة بسمو الوزير'!$B$2:$B$151,$B464,'المرتبطة بسمو الوزير'!$G$2:$G$151,$G464,'المرتبطة بسمو الوزير'!$I$2:$I$151,$I464)+SUMIFS('الشؤون التنفيذية'!$N$2:$N$421,'الشؤون التنفيذية'!$B$2:$B$421,$B464,'الشؤون التنفيذية'!$G$2:$G$421,$G464,'الشؤون التنفيذية'!$I$2:$I$421,$I464)+SUMIFS('الجهاز العسكري'!$M$2:$M$631,'الجهاز العسكري'!$B$2:$B$631,$B464,'الجهاز العسكري'!$G$2:$G$631,$G464,'الجهاز العسكري'!$I$2:$I$631,$I464))/$L464,0))</f>
        <v>86</v>
      </c>
      <c r="O464" s="25" t="n">
        <f aca="false">IF($L464=0,0,ROUND((SUMIFS('المرتبطة بسمو الوزير'!$N$2:$N$151,'المرتبطة بسمو الوزير'!$B$2:$B$151,$B464,'المرتبطة بسمو الوزير'!$G$2:$G$151,$G464,'المرتبطة بسمو الوزير'!$I$2:$I$151,$I464)+SUMIFS('الشؤون التنفيذية'!$O$2:$O$421,'الشؤون التنفيذية'!$B$2:$B$421,$B464,'الشؤون التنفيذية'!$G$2:$G$421,$G464,'الشؤون التنفيذية'!$I$2:$I$421,$I464)+SUMIFS('الجهاز العسكري'!$N$2:$N$631,'الجهاز العسكري'!$B$2:$B$631,$B464,'الجهاز العسكري'!$G$2:$G$631,$G464,'الجهاز العسكري'!$I$2:$I$631,$I464))/$L464,0))</f>
        <v>95</v>
      </c>
      <c r="P464" s="22"/>
      <c r="Q464" s="19" t="n">
        <f aca="false">SUMIFS(المرجع!$G$2:$G$19,المرجع!$B$2:$B$19,$G464,المرجع!$E$2:$E$19,$I464)</f>
        <v>5</v>
      </c>
      <c r="R464" s="26" t="n">
        <f aca="false">ROUND($Q464*$N464/100,2)</f>
        <v>4.3</v>
      </c>
      <c r="S464" s="27" t="str">
        <f aca="false">IF($N464&gt;المرجع!$K$3,"متقدم",IF($N464&lt;=المرجع!$K$2,"أولي","جزئي"))</f>
        <v>متقدم</v>
      </c>
      <c r="T464" s="28" t="n">
        <f aca="false">ROUND($Q464*$O464/100,2)</f>
        <v>4.75</v>
      </c>
    </row>
    <row r="465" customFormat="false" ht="15" hidden="false" customHeight="true" outlineLevel="0" collapsed="false">
      <c r="A465" s="20" t="s">
        <v>1917</v>
      </c>
      <c r="B465" s="20" t="s">
        <v>208</v>
      </c>
      <c r="C465" s="19" t="str">
        <f aca="false">IFERROR(INDEX('قائمة الوحدات'!$B$2:$B$41,MATCH($B465,'قائمة الوحدات'!$A$2:$A$41,0)),"")</f>
        <v>MIL</v>
      </c>
      <c r="D465" s="18" t="str">
        <f aca="false">IFERROR(INDEX('قائمة الوحدات'!$C$2:$C$41,MATCH($B465,'قائمة الوحدات'!$A$2:$A$41,0)),"")</f>
        <v>الجهاز العسكري</v>
      </c>
      <c r="E465" s="18" t="str">
        <f aca="false">IFERROR(INDEX('قائمة الوحدات'!$D$2:$D$41,MATCH($B465,'قائمة الوحدات'!$A$2:$A$41,0)),"")</f>
        <v>الإدارة العامة للاستخبارات العسكرية</v>
      </c>
      <c r="F465" s="18" t="str">
        <f aca="false">IFERROR(INDEX('قائمة الوحدات'!$F$2:$F$41,MATCH($B465,'قائمة الوحدات'!$A$2:$A$41,0)),"")</f>
        <v>الإدارة العامة للاستخبارات العسكرية</v>
      </c>
      <c r="G465" s="20" t="s">
        <v>66</v>
      </c>
      <c r="H465" s="18" t="str">
        <f aca="false">IFERROR(INDEX(المرجع!$A$2:$A$19,MATCH($G465,المرجع!$B$2:$B$19,0)),"")</f>
        <v>التشغيل</v>
      </c>
      <c r="I465" s="20" t="s">
        <v>49</v>
      </c>
      <c r="J465" s="18" t="str">
        <f aca="false">IFERROR(INDEX(المرجع!$D$2:$D$19,MATCH($I465,المرجع!$E$2:$E$19,0)),"")</f>
        <v>الأهداف ومؤشرات الأداء</v>
      </c>
      <c r="K465" s="19" t="n">
        <f aca="false">IFERROR(INDEX(المرجع!$F$2:$F$19,MATCH($I465,المرجع!$E$2:$E$19,0)),"")</f>
        <v>2</v>
      </c>
      <c r="L465" s="19" t="n">
        <f aca="false">SUMIFS(المرجع!$H$2:$H$19,المرجع!$B$2:$B$19,$G465,المرجع!$E$2:$E$19,$I465)</f>
        <v>2</v>
      </c>
      <c r="M465" s="19" t="n">
        <f aca="false">COUNTIFS('المرتبطة بسمو الوزير'!$B$2:$B$151,$B465,'المرتبطة بسمو الوزير'!$G$2:$G$151,$G465,'المرتبطة بسمو الوزير'!$I$2:$I$151,$I465,'المرتبطة بسمو الوزير'!$M$2:$M$151,"&lt;&gt;")+COUNTIFS('الشؤون التنفيذية'!$B$2:$B$421,$B465,'الشؤون التنفيذية'!$G$2:$G$421,$G465,'الشؤون التنفيذية'!$I$2:$I$421,$I465,'الشؤون التنفيذية'!$N$2:$N$421,"&lt;&gt;")+COUNTIFS('الجهاز العسكري'!$B$2:$B$631,$B465,'الجهاز العسكري'!$G$2:$G$631,$G465,'الجهاز العسكري'!$I$2:$I$631,$I465,'الجهاز العسكري'!$M$2:$M$631,"&lt;&gt;")</f>
        <v>2</v>
      </c>
      <c r="N465" s="24" t="n">
        <f aca="false">IF($L465=0,0,ROUND((SUMIFS('المرتبطة بسمو الوزير'!$M$2:$M$151,'المرتبطة بسمو الوزير'!$B$2:$B$151,$B465,'المرتبطة بسمو الوزير'!$G$2:$G$151,$G465,'المرتبطة بسمو الوزير'!$I$2:$I$151,$I465)+SUMIFS('الشؤون التنفيذية'!$N$2:$N$421,'الشؤون التنفيذية'!$B$2:$B$421,$B465,'الشؤون التنفيذية'!$G$2:$G$421,$G465,'الشؤون التنفيذية'!$I$2:$I$421,$I465)+SUMIFS('الجهاز العسكري'!$M$2:$M$631,'الجهاز العسكري'!$B$2:$B$631,$B465,'الجهاز العسكري'!$G$2:$G$631,$G465,'الجهاز العسكري'!$I$2:$I$631,$I465))/$L465,0))</f>
        <v>43</v>
      </c>
      <c r="O465" s="25" t="n">
        <f aca="false">IF($L465=0,0,ROUND((SUMIFS('المرتبطة بسمو الوزير'!$N$2:$N$151,'المرتبطة بسمو الوزير'!$B$2:$B$151,$B465,'المرتبطة بسمو الوزير'!$G$2:$G$151,$G465,'المرتبطة بسمو الوزير'!$I$2:$I$151,$I465)+SUMIFS('الشؤون التنفيذية'!$O$2:$O$421,'الشؤون التنفيذية'!$B$2:$B$421,$B465,'الشؤون التنفيذية'!$G$2:$G$421,$G465,'الشؤون التنفيذية'!$I$2:$I$421,$I465)+SUMIFS('الجهاز العسكري'!$N$2:$N$631,'الجهاز العسكري'!$B$2:$B$631,$B465,'الجهاز العسكري'!$G$2:$G$631,$G465,'الجهاز العسكري'!$I$2:$I$631,$I465))/$L465,0))</f>
        <v>88</v>
      </c>
      <c r="P465" s="22"/>
      <c r="Q465" s="19" t="n">
        <f aca="false">SUMIFS(المرجع!$G$2:$G$19,المرجع!$B$2:$B$19,$G465,المرجع!$E$2:$E$19,$I465)</f>
        <v>25</v>
      </c>
      <c r="R465" s="26" t="n">
        <f aca="false">ROUND($Q465*$N465/100,2)</f>
        <v>10.75</v>
      </c>
      <c r="S465" s="27" t="str">
        <f aca="false">IF($N465&gt;المرجع!$K$3,"متقدم",IF($N465&lt;=المرجع!$K$2,"أولي","جزئي"))</f>
        <v>جزئي</v>
      </c>
      <c r="T465" s="28" t="n">
        <f aca="false">ROUND($Q465*$O465/100,2)</f>
        <v>22</v>
      </c>
    </row>
    <row r="466" customFormat="false" ht="15" hidden="false" customHeight="true" outlineLevel="0" collapsed="false">
      <c r="A466" s="20" t="s">
        <v>1918</v>
      </c>
      <c r="B466" s="20" t="s">
        <v>208</v>
      </c>
      <c r="C466" s="19" t="str">
        <f aca="false">IFERROR(INDEX('قائمة الوحدات'!$B$2:$B$41,MATCH($B466,'قائمة الوحدات'!$A$2:$A$41,0)),"")</f>
        <v>MIL</v>
      </c>
      <c r="D466" s="18" t="str">
        <f aca="false">IFERROR(INDEX('قائمة الوحدات'!$C$2:$C$41,MATCH($B466,'قائمة الوحدات'!$A$2:$A$41,0)),"")</f>
        <v>الجهاز العسكري</v>
      </c>
      <c r="E466" s="18" t="str">
        <f aca="false">IFERROR(INDEX('قائمة الوحدات'!$D$2:$D$41,MATCH($B466,'قائمة الوحدات'!$A$2:$A$41,0)),"")</f>
        <v>الإدارة العامة للاستخبارات العسكرية</v>
      </c>
      <c r="F466" s="18" t="str">
        <f aca="false">IFERROR(INDEX('قائمة الوحدات'!$F$2:$F$41,MATCH($B466,'قائمة الوحدات'!$A$2:$A$41,0)),"")</f>
        <v>الإدارة العامة للاستخبارات العسكرية</v>
      </c>
      <c r="G466" s="20" t="s">
        <v>66</v>
      </c>
      <c r="H466" s="18" t="str">
        <f aca="false">IFERROR(INDEX(المرجع!$A$2:$A$19,MATCH($G466,المرجع!$B$2:$B$19,0)),"")</f>
        <v>التشغيل</v>
      </c>
      <c r="I466" s="20" t="s">
        <v>52</v>
      </c>
      <c r="J466" s="18" t="str">
        <f aca="false">IFERROR(INDEX(المرجع!$D$2:$D$19,MATCH($I466,المرجع!$E$2:$E$19,0)),"")</f>
        <v>الحوكمة</v>
      </c>
      <c r="K466" s="19" t="n">
        <f aca="false">IFERROR(INDEX(المرجع!$F$2:$F$19,MATCH($I466,المرجع!$E$2:$E$19,0)),"")</f>
        <v>3</v>
      </c>
      <c r="L466" s="19" t="n">
        <f aca="false">SUMIFS(المرجع!$H$2:$H$19,المرجع!$B$2:$B$19,$G466,المرجع!$E$2:$E$19,$I466)</f>
        <v>3</v>
      </c>
      <c r="M466" s="19" t="n">
        <f aca="false">COUNTIFS('المرتبطة بسمو الوزير'!$B$2:$B$151,$B466,'المرتبطة بسمو الوزير'!$G$2:$G$151,$G466,'المرتبطة بسمو الوزير'!$I$2:$I$151,$I466,'المرتبطة بسمو الوزير'!$M$2:$M$151,"&lt;&gt;")+COUNTIFS('الشؤون التنفيذية'!$B$2:$B$421,$B466,'الشؤون التنفيذية'!$G$2:$G$421,$G466,'الشؤون التنفيذية'!$I$2:$I$421,$I466,'الشؤون التنفيذية'!$N$2:$N$421,"&lt;&gt;")+COUNTIFS('الجهاز العسكري'!$B$2:$B$631,$B466,'الجهاز العسكري'!$G$2:$G$631,$G466,'الجهاز العسكري'!$I$2:$I$631,$I466,'الجهاز العسكري'!$M$2:$M$631,"&lt;&gt;")</f>
        <v>3</v>
      </c>
      <c r="N466" s="24" t="n">
        <f aca="false">IF($L466=0,0,ROUND((SUMIFS('المرتبطة بسمو الوزير'!$M$2:$M$151,'المرتبطة بسمو الوزير'!$B$2:$B$151,$B466,'المرتبطة بسمو الوزير'!$G$2:$G$151,$G466,'المرتبطة بسمو الوزير'!$I$2:$I$151,$I466)+SUMIFS('الشؤون التنفيذية'!$N$2:$N$421,'الشؤون التنفيذية'!$B$2:$B$421,$B466,'الشؤون التنفيذية'!$G$2:$G$421,$G466,'الشؤون التنفيذية'!$I$2:$I$421,$I466)+SUMIFS('الجهاز العسكري'!$M$2:$M$631,'الجهاز العسكري'!$B$2:$B$631,$B466,'الجهاز العسكري'!$G$2:$G$631,$G466,'الجهاز العسكري'!$I$2:$I$631,$I466))/$L466,0))</f>
        <v>45</v>
      </c>
      <c r="O466" s="25" t="n">
        <f aca="false">IF($L466=0,0,ROUND((SUMIFS('المرتبطة بسمو الوزير'!$N$2:$N$151,'المرتبطة بسمو الوزير'!$B$2:$B$151,$B466,'المرتبطة بسمو الوزير'!$G$2:$G$151,$G466,'المرتبطة بسمو الوزير'!$I$2:$I$151,$I466)+SUMIFS('الشؤون التنفيذية'!$O$2:$O$421,'الشؤون التنفيذية'!$B$2:$B$421,$B466,'الشؤون التنفيذية'!$G$2:$G$421,$G466,'الشؤون التنفيذية'!$I$2:$I$421,$I466)+SUMIFS('الجهاز العسكري'!$N$2:$N$631,'الجهاز العسكري'!$B$2:$B$631,$B466,'الجهاز العسكري'!$G$2:$G$631,$G466,'الجهاز العسكري'!$I$2:$I$631,$I466))/$L466,0))</f>
        <v>100</v>
      </c>
      <c r="P466" s="22"/>
      <c r="Q466" s="19" t="n">
        <f aca="false">SUMIFS(المرجع!$G$2:$G$19,المرجع!$B$2:$B$19,$G466,المرجع!$E$2:$E$19,$I466)</f>
        <v>15</v>
      </c>
      <c r="R466" s="26" t="n">
        <f aca="false">ROUND($Q466*$N466/100,2)</f>
        <v>6.75</v>
      </c>
      <c r="S466" s="27" t="str">
        <f aca="false">IF($N466&gt;المرجع!$K$3,"متقدم",IF($N466&lt;=المرجع!$K$2,"أولي","جزئي"))</f>
        <v>جزئي</v>
      </c>
      <c r="T466" s="28" t="n">
        <f aca="false">ROUND($Q466*$O466/100,2)</f>
        <v>15</v>
      </c>
    </row>
    <row r="467" customFormat="false" ht="15" hidden="false" customHeight="true" outlineLevel="0" collapsed="false">
      <c r="A467" s="20" t="s">
        <v>1919</v>
      </c>
      <c r="B467" s="20" t="s">
        <v>208</v>
      </c>
      <c r="C467" s="19" t="str">
        <f aca="false">IFERROR(INDEX('قائمة الوحدات'!$B$2:$B$41,MATCH($B467,'قائمة الوحدات'!$A$2:$A$41,0)),"")</f>
        <v>MIL</v>
      </c>
      <c r="D467" s="18" t="str">
        <f aca="false">IFERROR(INDEX('قائمة الوحدات'!$C$2:$C$41,MATCH($B467,'قائمة الوحدات'!$A$2:$A$41,0)),"")</f>
        <v>الجهاز العسكري</v>
      </c>
      <c r="E467" s="18" t="str">
        <f aca="false">IFERROR(INDEX('قائمة الوحدات'!$D$2:$D$41,MATCH($B467,'قائمة الوحدات'!$A$2:$A$41,0)),"")</f>
        <v>الإدارة العامة للاستخبارات العسكرية</v>
      </c>
      <c r="F467" s="18" t="str">
        <f aca="false">IFERROR(INDEX('قائمة الوحدات'!$F$2:$F$41,MATCH($B467,'قائمة الوحدات'!$A$2:$A$41,0)),"")</f>
        <v>الإدارة العامة للاستخبارات العسكرية</v>
      </c>
      <c r="G467" s="20" t="s">
        <v>66</v>
      </c>
      <c r="H467" s="18" t="str">
        <f aca="false">IFERROR(INDEX(المرجع!$A$2:$A$19,MATCH($G467,المرجع!$B$2:$B$19,0)),"")</f>
        <v>التشغيل</v>
      </c>
      <c r="I467" s="20" t="s">
        <v>57</v>
      </c>
      <c r="J467" s="18" t="str">
        <f aca="false">IFERROR(INDEX(المرجع!$D$2:$D$19,MATCH($I467,المرجع!$E$2:$E$19,0)),"")</f>
        <v>الموارد</v>
      </c>
      <c r="K467" s="19" t="n">
        <f aca="false">IFERROR(INDEX(المرجع!$F$2:$F$19,MATCH($I467,المرجع!$E$2:$E$19,0)),"")</f>
        <v>5</v>
      </c>
      <c r="L467" s="19" t="n">
        <f aca="false">SUMIFS(المرجع!$H$2:$H$19,المرجع!$B$2:$B$19,$G467,المرجع!$E$2:$E$19,$I467)</f>
        <v>1</v>
      </c>
      <c r="M467" s="19" t="n">
        <f aca="false">COUNTIFS('المرتبطة بسمو الوزير'!$B$2:$B$151,$B467,'المرتبطة بسمو الوزير'!$G$2:$G$151,$G467,'المرتبطة بسمو الوزير'!$I$2:$I$151,$I467,'المرتبطة بسمو الوزير'!$M$2:$M$151,"&lt;&gt;")+COUNTIFS('الشؤون التنفيذية'!$B$2:$B$421,$B467,'الشؤون التنفيذية'!$G$2:$G$421,$G467,'الشؤون التنفيذية'!$I$2:$I$421,$I467,'الشؤون التنفيذية'!$N$2:$N$421,"&lt;&gt;")+COUNTIFS('الجهاز العسكري'!$B$2:$B$631,$B467,'الجهاز العسكري'!$G$2:$G$631,$G467,'الجهاز العسكري'!$I$2:$I$631,$I467,'الجهاز العسكري'!$M$2:$M$631,"&lt;&gt;")</f>
        <v>1</v>
      </c>
      <c r="N467" s="24" t="n">
        <f aca="false">IF($L467=0,0,ROUND((SUMIFS('المرتبطة بسمو الوزير'!$M$2:$M$151,'المرتبطة بسمو الوزير'!$B$2:$B$151,$B467,'المرتبطة بسمو الوزير'!$G$2:$G$151,$G467,'المرتبطة بسمو الوزير'!$I$2:$I$151,$I467)+SUMIFS('الشؤون التنفيذية'!$N$2:$N$421,'الشؤون التنفيذية'!$B$2:$B$421,$B467,'الشؤون التنفيذية'!$G$2:$G$421,$G467,'الشؤون التنفيذية'!$I$2:$I$421,$I467)+SUMIFS('الجهاز العسكري'!$M$2:$M$631,'الجهاز العسكري'!$B$2:$B$631,$B467,'الجهاز العسكري'!$G$2:$G$631,$G467,'الجهاز العسكري'!$I$2:$I$631,$I467))/$L467,0))</f>
        <v>52</v>
      </c>
      <c r="O467" s="25" t="n">
        <f aca="false">IF($L467=0,0,ROUND((SUMIFS('المرتبطة بسمو الوزير'!$N$2:$N$151,'المرتبطة بسمو الوزير'!$B$2:$B$151,$B467,'المرتبطة بسمو الوزير'!$G$2:$G$151,$G467,'المرتبطة بسمو الوزير'!$I$2:$I$151,$I467)+SUMIFS('الشؤون التنفيذية'!$O$2:$O$421,'الشؤون التنفيذية'!$B$2:$B$421,$B467,'الشؤون التنفيذية'!$G$2:$G$421,$G467,'الشؤون التنفيذية'!$I$2:$I$421,$I467)+SUMIFS('الجهاز العسكري'!$N$2:$N$631,'الجهاز العسكري'!$B$2:$B$631,$B467,'الجهاز العسكري'!$G$2:$G$631,$G467,'الجهاز العسكري'!$I$2:$I$631,$I467))/$L467,0))</f>
        <v>85</v>
      </c>
      <c r="P467" s="22"/>
      <c r="Q467" s="19" t="n">
        <f aca="false">SUMIFS(المرجع!$G$2:$G$19,المرجع!$B$2:$B$19,$G467,المرجع!$E$2:$E$19,$I467)</f>
        <v>15</v>
      </c>
      <c r="R467" s="26" t="n">
        <f aca="false">ROUND($Q467*$N467/100,2)</f>
        <v>7.8</v>
      </c>
      <c r="S467" s="27" t="str">
        <f aca="false">IF($N467&gt;المرجع!$K$3,"متقدم",IF($N467&lt;=المرجع!$K$2,"أولي","جزئي"))</f>
        <v>جزئي</v>
      </c>
      <c r="T467" s="28" t="n">
        <f aca="false">ROUND($Q467*$O467/100,2)</f>
        <v>12.75</v>
      </c>
    </row>
    <row r="468" customFormat="false" ht="15" hidden="false" customHeight="true" outlineLevel="0" collapsed="false">
      <c r="A468" s="20" t="s">
        <v>1920</v>
      </c>
      <c r="B468" s="20" t="s">
        <v>208</v>
      </c>
      <c r="C468" s="19" t="str">
        <f aca="false">IFERROR(INDEX('قائمة الوحدات'!$B$2:$B$41,MATCH($B468,'قائمة الوحدات'!$A$2:$A$41,0)),"")</f>
        <v>MIL</v>
      </c>
      <c r="D468" s="18" t="str">
        <f aca="false">IFERROR(INDEX('قائمة الوحدات'!$C$2:$C$41,MATCH($B468,'قائمة الوحدات'!$A$2:$A$41,0)),"")</f>
        <v>الجهاز العسكري</v>
      </c>
      <c r="E468" s="18" t="str">
        <f aca="false">IFERROR(INDEX('قائمة الوحدات'!$D$2:$D$41,MATCH($B468,'قائمة الوحدات'!$A$2:$A$41,0)),"")</f>
        <v>الإدارة العامة للاستخبارات العسكرية</v>
      </c>
      <c r="F468" s="18" t="str">
        <f aca="false">IFERROR(INDEX('قائمة الوحدات'!$F$2:$F$41,MATCH($B468,'قائمة الوحدات'!$A$2:$A$41,0)),"")</f>
        <v>الإدارة العامة للاستخبارات العسكرية</v>
      </c>
      <c r="G468" s="20" t="s">
        <v>66</v>
      </c>
      <c r="H468" s="18" t="str">
        <f aca="false">IFERROR(INDEX(المرجع!$A$2:$A$19,MATCH($G468,المرجع!$B$2:$B$19,0)),"")</f>
        <v>التشغيل</v>
      </c>
      <c r="I468" s="20" t="s">
        <v>60</v>
      </c>
      <c r="J468" s="18" t="str">
        <f aca="false">IFERROR(INDEX(المرجع!$D$2:$D$19,MATCH($I468,المرجع!$E$2:$E$19,0)),"")</f>
        <v>الإجراءات</v>
      </c>
      <c r="K468" s="19" t="n">
        <f aca="false">IFERROR(INDEX(المرجع!$F$2:$F$19,MATCH($I468,المرجع!$E$2:$E$19,0)),"")</f>
        <v>6</v>
      </c>
      <c r="L468" s="19" t="n">
        <f aca="false">SUMIFS(المرجع!$H$2:$H$19,المرجع!$B$2:$B$19,$G468,المرجع!$E$2:$E$19,$I468)</f>
        <v>1</v>
      </c>
      <c r="M468" s="19" t="n">
        <f aca="false">COUNTIFS('المرتبطة بسمو الوزير'!$B$2:$B$151,$B468,'المرتبطة بسمو الوزير'!$G$2:$G$151,$G468,'المرتبطة بسمو الوزير'!$I$2:$I$151,$I468,'المرتبطة بسمو الوزير'!$M$2:$M$151,"&lt;&gt;")+COUNTIFS('الشؤون التنفيذية'!$B$2:$B$421,$B468,'الشؤون التنفيذية'!$G$2:$G$421,$G468,'الشؤون التنفيذية'!$I$2:$I$421,$I468,'الشؤون التنفيذية'!$N$2:$N$421,"&lt;&gt;")+COUNTIFS('الجهاز العسكري'!$B$2:$B$631,$B468,'الجهاز العسكري'!$G$2:$G$631,$G468,'الجهاز العسكري'!$I$2:$I$631,$I468,'الجهاز العسكري'!$M$2:$M$631,"&lt;&gt;")</f>
        <v>1</v>
      </c>
      <c r="N468" s="24" t="n">
        <f aca="false">IF($L468=0,0,ROUND((SUMIFS('المرتبطة بسمو الوزير'!$M$2:$M$151,'المرتبطة بسمو الوزير'!$B$2:$B$151,$B468,'المرتبطة بسمو الوزير'!$G$2:$G$151,$G468,'المرتبطة بسمو الوزير'!$I$2:$I$151,$I468)+SUMIFS('الشؤون التنفيذية'!$N$2:$N$421,'الشؤون التنفيذية'!$B$2:$B$421,$B468,'الشؤون التنفيذية'!$G$2:$G$421,$G468,'الشؤون التنفيذية'!$I$2:$I$421,$I468)+SUMIFS('الجهاز العسكري'!$M$2:$M$631,'الجهاز العسكري'!$B$2:$B$631,$B468,'الجهاز العسكري'!$G$2:$G$631,$G468,'الجهاز العسكري'!$I$2:$I$631,$I468))/$L468,0))</f>
        <v>27</v>
      </c>
      <c r="O468" s="25" t="n">
        <f aca="false">IF($L468=0,0,ROUND((SUMIFS('المرتبطة بسمو الوزير'!$N$2:$N$151,'المرتبطة بسمو الوزير'!$B$2:$B$151,$B468,'المرتبطة بسمو الوزير'!$G$2:$G$151,$G468,'المرتبطة بسمو الوزير'!$I$2:$I$151,$I468)+SUMIFS('الشؤون التنفيذية'!$O$2:$O$421,'الشؤون التنفيذية'!$B$2:$B$421,$B468,'الشؤون التنفيذية'!$G$2:$G$421,$G468,'الشؤون التنفيذية'!$I$2:$I$421,$I468)+SUMIFS('الجهاز العسكري'!$N$2:$N$631,'الجهاز العسكري'!$B$2:$B$631,$B468,'الجهاز العسكري'!$G$2:$G$631,$G468,'الجهاز العسكري'!$I$2:$I$631,$I468))/$L468,0))</f>
        <v>80</v>
      </c>
      <c r="P468" s="22"/>
      <c r="Q468" s="19" t="n">
        <f aca="false">SUMIFS(المرجع!$G$2:$G$19,المرجع!$B$2:$B$19,$G468,المرجع!$E$2:$E$19,$I468)</f>
        <v>15</v>
      </c>
      <c r="R468" s="26" t="n">
        <f aca="false">ROUND($Q468*$N468/100,2)</f>
        <v>4.05</v>
      </c>
      <c r="S468" s="27" t="str">
        <f aca="false">IF($N468&gt;المرجع!$K$3,"متقدم",IF($N468&lt;=المرجع!$K$2,"أولي","جزئي"))</f>
        <v>أولي</v>
      </c>
      <c r="T468" s="28" t="n">
        <f aca="false">ROUND($Q468*$O468/100,2)</f>
        <v>12</v>
      </c>
    </row>
    <row r="469" customFormat="false" ht="15" hidden="false" customHeight="true" outlineLevel="0" collapsed="false">
      <c r="A469" s="20" t="s">
        <v>1921</v>
      </c>
      <c r="B469" s="20" t="s">
        <v>208</v>
      </c>
      <c r="C469" s="19" t="str">
        <f aca="false">IFERROR(INDEX('قائمة الوحدات'!$B$2:$B$41,MATCH($B469,'قائمة الوحدات'!$A$2:$A$41,0)),"")</f>
        <v>MIL</v>
      </c>
      <c r="D469" s="18" t="str">
        <f aca="false">IFERROR(INDEX('قائمة الوحدات'!$C$2:$C$41,MATCH($B469,'قائمة الوحدات'!$A$2:$A$41,0)),"")</f>
        <v>الجهاز العسكري</v>
      </c>
      <c r="E469" s="18" t="str">
        <f aca="false">IFERROR(INDEX('قائمة الوحدات'!$D$2:$D$41,MATCH($B469,'قائمة الوحدات'!$A$2:$A$41,0)),"")</f>
        <v>الإدارة العامة للاستخبارات العسكرية</v>
      </c>
      <c r="F469" s="18" t="str">
        <f aca="false">IFERROR(INDEX('قائمة الوحدات'!$F$2:$F$41,MATCH($B469,'قائمة الوحدات'!$A$2:$A$41,0)),"")</f>
        <v>الإدارة العامة للاستخبارات العسكرية</v>
      </c>
      <c r="G469" s="20" t="s">
        <v>66</v>
      </c>
      <c r="H469" s="18" t="str">
        <f aca="false">IFERROR(INDEX(المرجع!$A$2:$A$19,MATCH($G469,المرجع!$B$2:$B$19,0)),"")</f>
        <v>التشغيل</v>
      </c>
      <c r="I469" s="20" t="s">
        <v>71</v>
      </c>
      <c r="J469" s="18" t="str">
        <f aca="false">IFERROR(INDEX(المرجع!$D$2:$D$19,MATCH($I469,المرجع!$E$2:$E$19,0)),"")</f>
        <v>اكتمال المخرجات المستهدفة</v>
      </c>
      <c r="K469" s="19" t="n">
        <f aca="false">IFERROR(INDEX(المرجع!$F$2:$F$19,MATCH($I469,المرجع!$E$2:$E$19,0)),"")</f>
        <v>8</v>
      </c>
      <c r="L469" s="19" t="n">
        <f aca="false">SUMIFS(المرجع!$H$2:$H$19,المرجع!$B$2:$B$19,$G469,المرجع!$E$2:$E$19,$I469)</f>
        <v>1</v>
      </c>
      <c r="M469" s="19" t="n">
        <f aca="false">COUNTIFS('المرتبطة بسمو الوزير'!$B$2:$B$151,$B469,'المرتبطة بسمو الوزير'!$G$2:$G$151,$G469,'المرتبطة بسمو الوزير'!$I$2:$I$151,$I469,'المرتبطة بسمو الوزير'!$M$2:$M$151,"&lt;&gt;")+COUNTIFS('الشؤون التنفيذية'!$B$2:$B$421,$B469,'الشؤون التنفيذية'!$G$2:$G$421,$G469,'الشؤون التنفيذية'!$I$2:$I$421,$I469,'الشؤون التنفيذية'!$N$2:$N$421,"&lt;&gt;")+COUNTIFS('الجهاز العسكري'!$B$2:$B$631,$B469,'الجهاز العسكري'!$G$2:$G$631,$G469,'الجهاز العسكري'!$I$2:$I$631,$I469,'الجهاز العسكري'!$M$2:$M$631,"&lt;&gt;")</f>
        <v>1</v>
      </c>
      <c r="N469" s="24" t="n">
        <f aca="false">IF($L469=0,0,ROUND((SUMIFS('المرتبطة بسمو الوزير'!$M$2:$M$151,'المرتبطة بسمو الوزير'!$B$2:$B$151,$B469,'المرتبطة بسمو الوزير'!$G$2:$G$151,$G469,'المرتبطة بسمو الوزير'!$I$2:$I$151,$I469)+SUMIFS('الشؤون التنفيذية'!$N$2:$N$421,'الشؤون التنفيذية'!$B$2:$B$421,$B469,'الشؤون التنفيذية'!$G$2:$G$421,$G469,'الشؤون التنفيذية'!$I$2:$I$421,$I469)+SUMIFS('الجهاز العسكري'!$M$2:$M$631,'الجهاز العسكري'!$B$2:$B$631,$B469,'الجهاز العسكري'!$G$2:$G$631,$G469,'الجهاز العسكري'!$I$2:$I$631,$I469))/$L469,0))</f>
        <v>27</v>
      </c>
      <c r="O469" s="25" t="n">
        <f aca="false">IF($L469=0,0,ROUND((SUMIFS('المرتبطة بسمو الوزير'!$N$2:$N$151,'المرتبطة بسمو الوزير'!$B$2:$B$151,$B469,'المرتبطة بسمو الوزير'!$G$2:$G$151,$G469,'المرتبطة بسمو الوزير'!$I$2:$I$151,$I469)+SUMIFS('الشؤون التنفيذية'!$O$2:$O$421,'الشؤون التنفيذية'!$B$2:$B$421,$B469,'الشؤون التنفيذية'!$G$2:$G$421,$G469,'الشؤون التنفيذية'!$I$2:$I$421,$I469)+SUMIFS('الجهاز العسكري'!$N$2:$N$631,'الجهاز العسكري'!$B$2:$B$631,$B469,'الجهاز العسكري'!$G$2:$G$631,$G469,'الجهاز العسكري'!$I$2:$I$631,$I469))/$L469,0))</f>
        <v>100</v>
      </c>
      <c r="P469" s="22"/>
      <c r="Q469" s="19" t="n">
        <f aca="false">SUMIFS(المرجع!$G$2:$G$19,المرجع!$B$2:$B$19,$G469,المرجع!$E$2:$E$19,$I469)</f>
        <v>30</v>
      </c>
      <c r="R469" s="26" t="n">
        <f aca="false">ROUND($Q469*$N469/100,2)</f>
        <v>8.1</v>
      </c>
      <c r="S469" s="27" t="str">
        <f aca="false">IF($N469&gt;المرجع!$K$3,"متقدم",IF($N469&lt;=المرجع!$K$2,"أولي","جزئي"))</f>
        <v>أولي</v>
      </c>
      <c r="T469" s="28" t="n">
        <f aca="false">ROUND($Q469*$O469/100,2)</f>
        <v>30</v>
      </c>
    </row>
    <row r="470" customFormat="false" ht="15" hidden="false" customHeight="true" outlineLevel="0" collapsed="false">
      <c r="A470" s="20" t="s">
        <v>1922</v>
      </c>
      <c r="B470" s="20" t="s">
        <v>210</v>
      </c>
      <c r="C470" s="19" t="str">
        <f aca="false">IFERROR(INDEX('قائمة الوحدات'!$B$2:$B$41,MATCH($B470,'قائمة الوحدات'!$A$2:$A$41,0)),"")</f>
        <v>MIL</v>
      </c>
      <c r="D470" s="18" t="str">
        <f aca="false">IFERROR(INDEX('قائمة الوحدات'!$C$2:$C$41,MATCH($B470,'قائمة الوحدات'!$A$2:$A$41,0)),"")</f>
        <v>الجهاز العسكري</v>
      </c>
      <c r="E470" s="18" t="str">
        <f aca="false">IFERROR(INDEX('قائمة الوحدات'!$D$2:$D$41,MATCH($B470,'قائمة الوحدات'!$A$2:$A$41,0)),"")</f>
        <v>الإدارة العامة للعمليات المشتركة</v>
      </c>
      <c r="F470" s="18" t="str">
        <f aca="false">IFERROR(INDEX('قائمة الوحدات'!$F$2:$F$41,MATCH($B470,'قائمة الوحدات'!$A$2:$A$41,0)),"")</f>
        <v>الإدارة العامة للعمليات المشتركة</v>
      </c>
      <c r="G470" s="20" t="s">
        <v>44</v>
      </c>
      <c r="H470" s="18" t="str">
        <f aca="false">IFERROR(INDEX(المرجع!$A$2:$A$19,MATCH($G470,المرجع!$B$2:$B$19,0)),"")</f>
        <v>التصميم</v>
      </c>
      <c r="I470" s="20" t="s">
        <v>46</v>
      </c>
      <c r="J470" s="18" t="str">
        <f aca="false">IFERROR(INDEX(المرجع!$D$2:$D$19,MATCH($I470,المرجع!$E$2:$E$19,0)),"")</f>
        <v>الدور</v>
      </c>
      <c r="K470" s="19" t="n">
        <f aca="false">IFERROR(INDEX(المرجع!$F$2:$F$19,MATCH($I470,المرجع!$E$2:$E$19,0)),"")</f>
        <v>1</v>
      </c>
      <c r="L470" s="19" t="n">
        <f aca="false">SUMIFS(المرجع!$H$2:$H$19,المرجع!$B$2:$B$19,$G470,المرجع!$E$2:$E$19,$I470)</f>
        <v>1</v>
      </c>
      <c r="M470" s="19" t="n">
        <f aca="false">COUNTIFS('المرتبطة بسمو الوزير'!$B$2:$B$151,$B470,'المرتبطة بسمو الوزير'!$G$2:$G$151,$G470,'المرتبطة بسمو الوزير'!$I$2:$I$151,$I470,'المرتبطة بسمو الوزير'!$M$2:$M$151,"&lt;&gt;")+COUNTIFS('الشؤون التنفيذية'!$B$2:$B$421,$B470,'الشؤون التنفيذية'!$G$2:$G$421,$G470,'الشؤون التنفيذية'!$I$2:$I$421,$I470,'الشؤون التنفيذية'!$N$2:$N$421,"&lt;&gt;")+COUNTIFS('الجهاز العسكري'!$B$2:$B$631,$B470,'الجهاز العسكري'!$G$2:$G$631,$G470,'الجهاز العسكري'!$I$2:$I$631,$I470,'الجهاز العسكري'!$M$2:$M$631,"&lt;&gt;")</f>
        <v>1</v>
      </c>
      <c r="N470" s="24" t="n">
        <f aca="false">IF($L470=0,0,ROUND((SUMIFS('المرتبطة بسمو الوزير'!$M$2:$M$151,'المرتبطة بسمو الوزير'!$B$2:$B$151,$B470,'المرتبطة بسمو الوزير'!$G$2:$G$151,$G470,'المرتبطة بسمو الوزير'!$I$2:$I$151,$I470)+SUMIFS('الشؤون التنفيذية'!$N$2:$N$421,'الشؤون التنفيذية'!$B$2:$B$421,$B470,'الشؤون التنفيذية'!$G$2:$G$421,$G470,'الشؤون التنفيذية'!$I$2:$I$421,$I470)+SUMIFS('الجهاز العسكري'!$M$2:$M$631,'الجهاز العسكري'!$B$2:$B$631,$B470,'الجهاز العسكري'!$G$2:$G$631,$G470,'الجهاز العسكري'!$I$2:$I$631,$I470))/$L470,0))</f>
        <v>72</v>
      </c>
      <c r="O470" s="25" t="n">
        <f aca="false">IF($L470=0,0,ROUND((SUMIFS('المرتبطة بسمو الوزير'!$N$2:$N$151,'المرتبطة بسمو الوزير'!$B$2:$B$151,$B470,'المرتبطة بسمو الوزير'!$G$2:$G$151,$G470,'المرتبطة بسمو الوزير'!$I$2:$I$151,$I470)+SUMIFS('الشؤون التنفيذية'!$O$2:$O$421,'الشؤون التنفيذية'!$B$2:$B$421,$B470,'الشؤون التنفيذية'!$G$2:$G$421,$G470,'الشؤون التنفيذية'!$I$2:$I$421,$I470)+SUMIFS('الجهاز العسكري'!$N$2:$N$631,'الجهاز العسكري'!$B$2:$B$631,$B470,'الجهاز العسكري'!$G$2:$G$631,$G470,'الجهاز العسكري'!$I$2:$I$631,$I470))/$L470,0))</f>
        <v>100</v>
      </c>
      <c r="P470" s="22"/>
      <c r="Q470" s="19" t="n">
        <f aca="false">SUMIFS(المرجع!$G$2:$G$19,المرجع!$B$2:$B$19,$G470,المرجع!$E$2:$E$19,$I470)</f>
        <v>25</v>
      </c>
      <c r="R470" s="26" t="n">
        <f aca="false">ROUND($Q470*$N470/100,2)</f>
        <v>18</v>
      </c>
      <c r="S470" s="27" t="str">
        <f aca="false">IF($N470&gt;المرجع!$K$3,"متقدم",IF($N470&lt;=المرجع!$K$2,"أولي","جزئي"))</f>
        <v>متقدم</v>
      </c>
      <c r="T470" s="28" t="n">
        <f aca="false">ROUND($Q470*$O470/100,2)</f>
        <v>25</v>
      </c>
    </row>
    <row r="471" customFormat="false" ht="15" hidden="false" customHeight="true" outlineLevel="0" collapsed="false">
      <c r="A471" s="20" t="s">
        <v>1923</v>
      </c>
      <c r="B471" s="20" t="s">
        <v>210</v>
      </c>
      <c r="C471" s="19" t="str">
        <f aca="false">IFERROR(INDEX('قائمة الوحدات'!$B$2:$B$41,MATCH($B471,'قائمة الوحدات'!$A$2:$A$41,0)),"")</f>
        <v>MIL</v>
      </c>
      <c r="D471" s="18" t="str">
        <f aca="false">IFERROR(INDEX('قائمة الوحدات'!$C$2:$C$41,MATCH($B471,'قائمة الوحدات'!$A$2:$A$41,0)),"")</f>
        <v>الجهاز العسكري</v>
      </c>
      <c r="E471" s="18" t="str">
        <f aca="false">IFERROR(INDEX('قائمة الوحدات'!$D$2:$D$41,MATCH($B471,'قائمة الوحدات'!$A$2:$A$41,0)),"")</f>
        <v>الإدارة العامة للعمليات المشتركة</v>
      </c>
      <c r="F471" s="18" t="str">
        <f aca="false">IFERROR(INDEX('قائمة الوحدات'!$F$2:$F$41,MATCH($B471,'قائمة الوحدات'!$A$2:$A$41,0)),"")</f>
        <v>الإدارة العامة للعمليات المشتركة</v>
      </c>
      <c r="G471" s="20" t="s">
        <v>44</v>
      </c>
      <c r="H471" s="18" t="str">
        <f aca="false">IFERROR(INDEX(المرجع!$A$2:$A$19,MATCH($G471,المرجع!$B$2:$B$19,0)),"")</f>
        <v>التصميم</v>
      </c>
      <c r="I471" s="20" t="s">
        <v>49</v>
      </c>
      <c r="J471" s="18" t="str">
        <f aca="false">IFERROR(INDEX(المرجع!$D$2:$D$19,MATCH($I471,المرجع!$E$2:$E$19,0)),"")</f>
        <v>الأهداف ومؤشرات الأداء</v>
      </c>
      <c r="K471" s="19" t="n">
        <f aca="false">IFERROR(INDEX(المرجع!$F$2:$F$19,MATCH($I471,المرجع!$E$2:$E$19,0)),"")</f>
        <v>2</v>
      </c>
      <c r="L471" s="19" t="n">
        <f aca="false">SUMIFS(المرجع!$H$2:$H$19,المرجع!$B$2:$B$19,$G471,المرجع!$E$2:$E$19,$I471)</f>
        <v>2</v>
      </c>
      <c r="M471" s="19" t="n">
        <f aca="false">COUNTIFS('المرتبطة بسمو الوزير'!$B$2:$B$151,$B471,'المرتبطة بسمو الوزير'!$G$2:$G$151,$G471,'المرتبطة بسمو الوزير'!$I$2:$I$151,$I471,'المرتبطة بسمو الوزير'!$M$2:$M$151,"&lt;&gt;")+COUNTIFS('الشؤون التنفيذية'!$B$2:$B$421,$B471,'الشؤون التنفيذية'!$G$2:$G$421,$G471,'الشؤون التنفيذية'!$I$2:$I$421,$I471,'الشؤون التنفيذية'!$N$2:$N$421,"&lt;&gt;")+COUNTIFS('الجهاز العسكري'!$B$2:$B$631,$B471,'الجهاز العسكري'!$G$2:$G$631,$G471,'الجهاز العسكري'!$I$2:$I$631,$I471,'الجهاز العسكري'!$M$2:$M$631,"&lt;&gt;")</f>
        <v>2</v>
      </c>
      <c r="N471" s="24" t="n">
        <f aca="false">IF($L471=0,0,ROUND((SUMIFS('المرتبطة بسمو الوزير'!$M$2:$M$151,'المرتبطة بسمو الوزير'!$B$2:$B$151,$B471,'المرتبطة بسمو الوزير'!$G$2:$G$151,$G471,'المرتبطة بسمو الوزير'!$I$2:$I$151,$I471)+SUMIFS('الشؤون التنفيذية'!$N$2:$N$421,'الشؤون التنفيذية'!$B$2:$B$421,$B471,'الشؤون التنفيذية'!$G$2:$G$421,$G471,'الشؤون التنفيذية'!$I$2:$I$421,$I471)+SUMIFS('الجهاز العسكري'!$M$2:$M$631,'الجهاز العسكري'!$B$2:$B$631,$B471,'الجهاز العسكري'!$G$2:$G$631,$G471,'الجهاز العسكري'!$I$2:$I$631,$I471))/$L471,0))</f>
        <v>88</v>
      </c>
      <c r="O471" s="25" t="n">
        <f aca="false">IF($L471=0,0,ROUND((SUMIFS('المرتبطة بسمو الوزير'!$N$2:$N$151,'المرتبطة بسمو الوزير'!$B$2:$B$151,$B471,'المرتبطة بسمو الوزير'!$G$2:$G$151,$G471,'المرتبطة بسمو الوزير'!$I$2:$I$151,$I471)+SUMIFS('الشؤون التنفيذية'!$O$2:$O$421,'الشؤون التنفيذية'!$B$2:$B$421,$B471,'الشؤون التنفيذية'!$G$2:$G$421,$G471,'الشؤون التنفيذية'!$I$2:$I$421,$I471)+SUMIFS('الجهاز العسكري'!$N$2:$N$631,'الجهاز العسكري'!$B$2:$B$631,$B471,'الجهاز العسكري'!$G$2:$G$631,$G471,'الجهاز العسكري'!$I$2:$I$631,$I471))/$L471,0))</f>
        <v>100</v>
      </c>
      <c r="P471" s="22"/>
      <c r="Q471" s="19" t="n">
        <f aca="false">SUMIFS(المرجع!$G$2:$G$19,المرجع!$B$2:$B$19,$G471,المرجع!$E$2:$E$19,$I471)</f>
        <v>15</v>
      </c>
      <c r="R471" s="26" t="n">
        <f aca="false">ROUND($Q471*$N471/100,2)</f>
        <v>13.2</v>
      </c>
      <c r="S471" s="27" t="str">
        <f aca="false">IF($N471&gt;المرجع!$K$3,"متقدم",IF($N471&lt;=المرجع!$K$2,"أولي","جزئي"))</f>
        <v>متقدم</v>
      </c>
      <c r="T471" s="28" t="n">
        <f aca="false">ROUND($Q471*$O471/100,2)</f>
        <v>15</v>
      </c>
    </row>
    <row r="472" customFormat="false" ht="15" hidden="false" customHeight="true" outlineLevel="0" collapsed="false">
      <c r="A472" s="20" t="s">
        <v>1924</v>
      </c>
      <c r="B472" s="20" t="s">
        <v>210</v>
      </c>
      <c r="C472" s="19" t="str">
        <f aca="false">IFERROR(INDEX('قائمة الوحدات'!$B$2:$B$41,MATCH($B472,'قائمة الوحدات'!$A$2:$A$41,0)),"")</f>
        <v>MIL</v>
      </c>
      <c r="D472" s="18" t="str">
        <f aca="false">IFERROR(INDEX('قائمة الوحدات'!$C$2:$C$41,MATCH($B472,'قائمة الوحدات'!$A$2:$A$41,0)),"")</f>
        <v>الجهاز العسكري</v>
      </c>
      <c r="E472" s="18" t="str">
        <f aca="false">IFERROR(INDEX('قائمة الوحدات'!$D$2:$D$41,MATCH($B472,'قائمة الوحدات'!$A$2:$A$41,0)),"")</f>
        <v>الإدارة العامة للعمليات المشتركة</v>
      </c>
      <c r="F472" s="18" t="str">
        <f aca="false">IFERROR(INDEX('قائمة الوحدات'!$F$2:$F$41,MATCH($B472,'قائمة الوحدات'!$A$2:$A$41,0)),"")</f>
        <v>الإدارة العامة للعمليات المشتركة</v>
      </c>
      <c r="G472" s="20" t="s">
        <v>44</v>
      </c>
      <c r="H472" s="18" t="str">
        <f aca="false">IFERROR(INDEX(المرجع!$A$2:$A$19,MATCH($G472,المرجع!$B$2:$B$19,0)),"")</f>
        <v>التصميم</v>
      </c>
      <c r="I472" s="20" t="s">
        <v>52</v>
      </c>
      <c r="J472" s="18" t="str">
        <f aca="false">IFERROR(INDEX(المرجع!$D$2:$D$19,MATCH($I472,المرجع!$E$2:$E$19,0)),"")</f>
        <v>الحوكمة</v>
      </c>
      <c r="K472" s="19" t="n">
        <f aca="false">IFERROR(INDEX(المرجع!$F$2:$F$19,MATCH($I472,المرجع!$E$2:$E$19,0)),"")</f>
        <v>3</v>
      </c>
      <c r="L472" s="19" t="n">
        <f aca="false">SUMIFS(المرجع!$H$2:$H$19,المرجع!$B$2:$B$19,$G472,المرجع!$E$2:$E$19,$I472)</f>
        <v>1</v>
      </c>
      <c r="M472" s="19" t="n">
        <f aca="false">COUNTIFS('المرتبطة بسمو الوزير'!$B$2:$B$151,$B472,'المرتبطة بسمو الوزير'!$G$2:$G$151,$G472,'المرتبطة بسمو الوزير'!$I$2:$I$151,$I472,'المرتبطة بسمو الوزير'!$M$2:$M$151,"&lt;&gt;")+COUNTIFS('الشؤون التنفيذية'!$B$2:$B$421,$B472,'الشؤون التنفيذية'!$G$2:$G$421,$G472,'الشؤون التنفيذية'!$I$2:$I$421,$I472,'الشؤون التنفيذية'!$N$2:$N$421,"&lt;&gt;")+COUNTIFS('الجهاز العسكري'!$B$2:$B$631,$B472,'الجهاز العسكري'!$G$2:$G$631,$G472,'الجهاز العسكري'!$I$2:$I$631,$I472,'الجهاز العسكري'!$M$2:$M$631,"&lt;&gt;")</f>
        <v>1</v>
      </c>
      <c r="N472" s="24" t="n">
        <f aca="false">IF($L472=0,0,ROUND((SUMIFS('المرتبطة بسمو الوزير'!$M$2:$M$151,'المرتبطة بسمو الوزير'!$B$2:$B$151,$B472,'المرتبطة بسمو الوزير'!$G$2:$G$151,$G472,'المرتبطة بسمو الوزير'!$I$2:$I$151,$I472)+SUMIFS('الشؤون التنفيذية'!$N$2:$N$421,'الشؤون التنفيذية'!$B$2:$B$421,$B472,'الشؤون التنفيذية'!$G$2:$G$421,$G472,'الشؤون التنفيذية'!$I$2:$I$421,$I472)+SUMIFS('الجهاز العسكري'!$M$2:$M$631,'الجهاز العسكري'!$B$2:$B$631,$B472,'الجهاز العسكري'!$G$2:$G$631,$G472,'الجهاز العسكري'!$I$2:$I$631,$I472))/$L472,0))</f>
        <v>68</v>
      </c>
      <c r="O472" s="25" t="n">
        <f aca="false">IF($L472=0,0,ROUND((SUMIFS('المرتبطة بسمو الوزير'!$N$2:$N$151,'المرتبطة بسمو الوزير'!$B$2:$B$151,$B472,'المرتبطة بسمو الوزير'!$G$2:$G$151,$G472,'المرتبطة بسمو الوزير'!$I$2:$I$151,$I472)+SUMIFS('الشؤون التنفيذية'!$O$2:$O$421,'الشؤون التنفيذية'!$B$2:$B$421,$B472,'الشؤون التنفيذية'!$G$2:$G$421,$G472,'الشؤون التنفيذية'!$I$2:$I$421,$I472)+SUMIFS('الجهاز العسكري'!$N$2:$N$631,'الجهاز العسكري'!$B$2:$B$631,$B472,'الجهاز العسكري'!$G$2:$G$631,$G472,'الجهاز العسكري'!$I$2:$I$631,$I472))/$L472,0))</f>
        <v>100</v>
      </c>
      <c r="P472" s="22"/>
      <c r="Q472" s="19" t="n">
        <f aca="false">SUMIFS(المرجع!$G$2:$G$19,المرجع!$B$2:$B$19,$G472,المرجع!$E$2:$E$19,$I472)</f>
        <v>15</v>
      </c>
      <c r="R472" s="26" t="n">
        <f aca="false">ROUND($Q472*$N472/100,2)</f>
        <v>10.2</v>
      </c>
      <c r="S472" s="27" t="str">
        <f aca="false">IF($N472&gt;المرجع!$K$3,"متقدم",IF($N472&lt;=المرجع!$K$2,"أولي","جزئي"))</f>
        <v>جزئي</v>
      </c>
      <c r="T472" s="28" t="n">
        <f aca="false">ROUND($Q472*$O472/100,2)</f>
        <v>15</v>
      </c>
    </row>
    <row r="473" customFormat="false" ht="15" hidden="false" customHeight="true" outlineLevel="0" collapsed="false">
      <c r="A473" s="20" t="s">
        <v>1925</v>
      </c>
      <c r="B473" s="20" t="s">
        <v>210</v>
      </c>
      <c r="C473" s="19" t="str">
        <f aca="false">IFERROR(INDEX('قائمة الوحدات'!$B$2:$B$41,MATCH($B473,'قائمة الوحدات'!$A$2:$A$41,0)),"")</f>
        <v>MIL</v>
      </c>
      <c r="D473" s="18" t="str">
        <f aca="false">IFERROR(INDEX('قائمة الوحدات'!$C$2:$C$41,MATCH($B473,'قائمة الوحدات'!$A$2:$A$41,0)),"")</f>
        <v>الجهاز العسكري</v>
      </c>
      <c r="E473" s="18" t="str">
        <f aca="false">IFERROR(INDEX('قائمة الوحدات'!$D$2:$D$41,MATCH($B473,'قائمة الوحدات'!$A$2:$A$41,0)),"")</f>
        <v>الإدارة العامة للعمليات المشتركة</v>
      </c>
      <c r="F473" s="18" t="str">
        <f aca="false">IFERROR(INDEX('قائمة الوحدات'!$F$2:$F$41,MATCH($B473,'قائمة الوحدات'!$A$2:$A$41,0)),"")</f>
        <v>الإدارة العامة للعمليات المشتركة</v>
      </c>
      <c r="G473" s="20" t="s">
        <v>44</v>
      </c>
      <c r="H473" s="18" t="str">
        <f aca="false">IFERROR(INDEX(المرجع!$A$2:$A$19,MATCH($G473,المرجع!$B$2:$B$19,0)),"")</f>
        <v>التصميم</v>
      </c>
      <c r="I473" s="20" t="s">
        <v>55</v>
      </c>
      <c r="J473" s="18" t="str">
        <f aca="false">IFERROR(INDEX(المرجع!$D$2:$D$19,MATCH($I473,المرجع!$E$2:$E$19,0)),"")</f>
        <v>التنظيم</v>
      </c>
      <c r="K473" s="19" t="n">
        <f aca="false">IFERROR(INDEX(المرجع!$F$2:$F$19,MATCH($I473,المرجع!$E$2:$E$19,0)),"")</f>
        <v>4</v>
      </c>
      <c r="L473" s="19" t="n">
        <f aca="false">SUMIFS(المرجع!$H$2:$H$19,المرجع!$B$2:$B$19,$G473,المرجع!$E$2:$E$19,$I473)</f>
        <v>1</v>
      </c>
      <c r="M473" s="19" t="n">
        <f aca="false">COUNTIFS('المرتبطة بسمو الوزير'!$B$2:$B$151,$B473,'المرتبطة بسمو الوزير'!$G$2:$G$151,$G473,'المرتبطة بسمو الوزير'!$I$2:$I$151,$I473,'المرتبطة بسمو الوزير'!$M$2:$M$151,"&lt;&gt;")+COUNTIFS('الشؤون التنفيذية'!$B$2:$B$421,$B473,'الشؤون التنفيذية'!$G$2:$G$421,$G473,'الشؤون التنفيذية'!$I$2:$I$421,$I473,'الشؤون التنفيذية'!$N$2:$N$421,"&lt;&gt;")+COUNTIFS('الجهاز العسكري'!$B$2:$B$631,$B473,'الجهاز العسكري'!$G$2:$G$631,$G473,'الجهاز العسكري'!$I$2:$I$631,$I473,'الجهاز العسكري'!$M$2:$M$631,"&lt;&gt;")</f>
        <v>1</v>
      </c>
      <c r="N473" s="24" t="n">
        <f aca="false">IF($L473=0,0,ROUND((SUMIFS('المرتبطة بسمو الوزير'!$M$2:$M$151,'المرتبطة بسمو الوزير'!$B$2:$B$151,$B473,'المرتبطة بسمو الوزير'!$G$2:$G$151,$G473,'المرتبطة بسمو الوزير'!$I$2:$I$151,$I473)+SUMIFS('الشؤون التنفيذية'!$N$2:$N$421,'الشؤون التنفيذية'!$B$2:$B$421,$B473,'الشؤون التنفيذية'!$G$2:$G$421,$G473,'الشؤون التنفيذية'!$I$2:$I$421,$I473)+SUMIFS('الجهاز العسكري'!$M$2:$M$631,'الجهاز العسكري'!$B$2:$B$631,$B473,'الجهاز العسكري'!$G$2:$G$631,$G473,'الجهاز العسكري'!$I$2:$I$631,$I473))/$L473,0))</f>
        <v>84</v>
      </c>
      <c r="O473" s="25" t="n">
        <f aca="false">IF($L473=0,0,ROUND((SUMIFS('المرتبطة بسمو الوزير'!$N$2:$N$151,'المرتبطة بسمو الوزير'!$B$2:$B$151,$B473,'المرتبطة بسمو الوزير'!$G$2:$G$151,$G473,'المرتبطة بسمو الوزير'!$I$2:$I$151,$I473)+SUMIFS('الشؤون التنفيذية'!$O$2:$O$421,'الشؤون التنفيذية'!$B$2:$B$421,$B473,'الشؤون التنفيذية'!$G$2:$G$421,$G473,'الشؤون التنفيذية'!$I$2:$I$421,$I473)+SUMIFS('الجهاز العسكري'!$N$2:$N$631,'الجهاز العسكري'!$B$2:$B$631,$B473,'الجهاز العسكري'!$G$2:$G$631,$G473,'الجهاز العسكري'!$I$2:$I$631,$I473))/$L473,0))</f>
        <v>95</v>
      </c>
      <c r="P473" s="22"/>
      <c r="Q473" s="19" t="n">
        <f aca="false">SUMIFS(المرجع!$G$2:$G$19,المرجع!$B$2:$B$19,$G473,المرجع!$E$2:$E$19,$I473)</f>
        <v>20</v>
      </c>
      <c r="R473" s="26" t="n">
        <f aca="false">ROUND($Q473*$N473/100,2)</f>
        <v>16.8</v>
      </c>
      <c r="S473" s="27" t="str">
        <f aca="false">IF($N473&gt;المرجع!$K$3,"متقدم",IF($N473&lt;=المرجع!$K$2,"أولي","جزئي"))</f>
        <v>متقدم</v>
      </c>
      <c r="T473" s="28" t="n">
        <f aca="false">ROUND($Q473*$O473/100,2)</f>
        <v>19</v>
      </c>
    </row>
    <row r="474" customFormat="false" ht="15" hidden="false" customHeight="true" outlineLevel="0" collapsed="false">
      <c r="A474" s="20" t="s">
        <v>1926</v>
      </c>
      <c r="B474" s="20" t="s">
        <v>210</v>
      </c>
      <c r="C474" s="19" t="str">
        <f aca="false">IFERROR(INDEX('قائمة الوحدات'!$B$2:$B$41,MATCH($B474,'قائمة الوحدات'!$A$2:$A$41,0)),"")</f>
        <v>MIL</v>
      </c>
      <c r="D474" s="18" t="str">
        <f aca="false">IFERROR(INDEX('قائمة الوحدات'!$C$2:$C$41,MATCH($B474,'قائمة الوحدات'!$A$2:$A$41,0)),"")</f>
        <v>الجهاز العسكري</v>
      </c>
      <c r="E474" s="18" t="str">
        <f aca="false">IFERROR(INDEX('قائمة الوحدات'!$D$2:$D$41,MATCH($B474,'قائمة الوحدات'!$A$2:$A$41,0)),"")</f>
        <v>الإدارة العامة للعمليات المشتركة</v>
      </c>
      <c r="F474" s="18" t="str">
        <f aca="false">IFERROR(INDEX('قائمة الوحدات'!$F$2:$F$41,MATCH($B474,'قائمة الوحدات'!$A$2:$A$41,0)),"")</f>
        <v>الإدارة العامة للعمليات المشتركة</v>
      </c>
      <c r="G474" s="20" t="s">
        <v>44</v>
      </c>
      <c r="H474" s="18" t="str">
        <f aca="false">IFERROR(INDEX(المرجع!$A$2:$A$19,MATCH($G474,المرجع!$B$2:$B$19,0)),"")</f>
        <v>التصميم</v>
      </c>
      <c r="I474" s="20" t="s">
        <v>57</v>
      </c>
      <c r="J474" s="18" t="str">
        <f aca="false">IFERROR(INDEX(المرجع!$D$2:$D$19,MATCH($I474,المرجع!$E$2:$E$19,0)),"")</f>
        <v>الموارد</v>
      </c>
      <c r="K474" s="19" t="n">
        <f aca="false">IFERROR(INDEX(المرجع!$F$2:$F$19,MATCH($I474,المرجع!$E$2:$E$19,0)),"")</f>
        <v>5</v>
      </c>
      <c r="L474" s="19" t="n">
        <f aca="false">SUMIFS(المرجع!$H$2:$H$19,المرجع!$B$2:$B$19,$G474,المرجع!$E$2:$E$19,$I474)</f>
        <v>1</v>
      </c>
      <c r="M474" s="19" t="n">
        <f aca="false">COUNTIFS('المرتبطة بسمو الوزير'!$B$2:$B$151,$B474,'المرتبطة بسمو الوزير'!$G$2:$G$151,$G474,'المرتبطة بسمو الوزير'!$I$2:$I$151,$I474,'المرتبطة بسمو الوزير'!$M$2:$M$151,"&lt;&gt;")+COUNTIFS('الشؤون التنفيذية'!$B$2:$B$421,$B474,'الشؤون التنفيذية'!$G$2:$G$421,$G474,'الشؤون التنفيذية'!$I$2:$I$421,$I474,'الشؤون التنفيذية'!$N$2:$N$421,"&lt;&gt;")+COUNTIFS('الجهاز العسكري'!$B$2:$B$631,$B474,'الجهاز العسكري'!$G$2:$G$631,$G474,'الجهاز العسكري'!$I$2:$I$631,$I474,'الجهاز العسكري'!$M$2:$M$631,"&lt;&gt;")</f>
        <v>1</v>
      </c>
      <c r="N474" s="24" t="n">
        <f aca="false">IF($L474=0,0,ROUND((SUMIFS('المرتبطة بسمو الوزير'!$M$2:$M$151,'المرتبطة بسمو الوزير'!$B$2:$B$151,$B474,'المرتبطة بسمو الوزير'!$G$2:$G$151,$G474,'المرتبطة بسمو الوزير'!$I$2:$I$151,$I474)+SUMIFS('الشؤون التنفيذية'!$N$2:$N$421,'الشؤون التنفيذية'!$B$2:$B$421,$B474,'الشؤون التنفيذية'!$G$2:$G$421,$G474,'الشؤون التنفيذية'!$I$2:$I$421,$I474)+SUMIFS('الجهاز العسكري'!$M$2:$M$631,'الجهاز العسكري'!$B$2:$B$631,$B474,'الجهاز العسكري'!$G$2:$G$631,$G474,'الجهاز العسكري'!$I$2:$I$631,$I474))/$L474,0))</f>
        <v>90</v>
      </c>
      <c r="O474" s="25" t="n">
        <f aca="false">IF($L474=0,0,ROUND((SUMIFS('المرتبطة بسمو الوزير'!$N$2:$N$151,'المرتبطة بسمو الوزير'!$B$2:$B$151,$B474,'المرتبطة بسمو الوزير'!$G$2:$G$151,$G474,'المرتبطة بسمو الوزير'!$I$2:$I$151,$I474)+SUMIFS('الشؤون التنفيذية'!$O$2:$O$421,'الشؤون التنفيذية'!$B$2:$B$421,$B474,'الشؤون التنفيذية'!$G$2:$G$421,$G474,'الشؤون التنفيذية'!$I$2:$I$421,$I474)+SUMIFS('الجهاز العسكري'!$N$2:$N$631,'الجهاز العسكري'!$B$2:$B$631,$B474,'الجهاز العسكري'!$G$2:$G$631,$G474,'الجهاز العسكري'!$I$2:$I$631,$I474))/$L474,0))</f>
        <v>100</v>
      </c>
      <c r="P474" s="22"/>
      <c r="Q474" s="19" t="n">
        <f aca="false">SUMIFS(المرجع!$G$2:$G$19,المرجع!$B$2:$B$19,$G474,المرجع!$E$2:$E$19,$I474)</f>
        <v>20</v>
      </c>
      <c r="R474" s="26" t="n">
        <f aca="false">ROUND($Q474*$N474/100,2)</f>
        <v>18</v>
      </c>
      <c r="S474" s="27" t="str">
        <f aca="false">IF($N474&gt;المرجع!$K$3,"متقدم",IF($N474&lt;=المرجع!$K$2,"أولي","جزئي"))</f>
        <v>متقدم</v>
      </c>
      <c r="T474" s="28" t="n">
        <f aca="false">ROUND($Q474*$O474/100,2)</f>
        <v>20</v>
      </c>
    </row>
    <row r="475" customFormat="false" ht="15" hidden="false" customHeight="true" outlineLevel="0" collapsed="false">
      <c r="A475" s="20" t="s">
        <v>1927</v>
      </c>
      <c r="B475" s="20" t="s">
        <v>210</v>
      </c>
      <c r="C475" s="19" t="str">
        <f aca="false">IFERROR(INDEX('قائمة الوحدات'!$B$2:$B$41,MATCH($B475,'قائمة الوحدات'!$A$2:$A$41,0)),"")</f>
        <v>MIL</v>
      </c>
      <c r="D475" s="18" t="str">
        <f aca="false">IFERROR(INDEX('قائمة الوحدات'!$C$2:$C$41,MATCH($B475,'قائمة الوحدات'!$A$2:$A$41,0)),"")</f>
        <v>الجهاز العسكري</v>
      </c>
      <c r="E475" s="18" t="str">
        <f aca="false">IFERROR(INDEX('قائمة الوحدات'!$D$2:$D$41,MATCH($B475,'قائمة الوحدات'!$A$2:$A$41,0)),"")</f>
        <v>الإدارة العامة للعمليات المشتركة</v>
      </c>
      <c r="F475" s="18" t="str">
        <f aca="false">IFERROR(INDEX('قائمة الوحدات'!$F$2:$F$41,MATCH($B475,'قائمة الوحدات'!$A$2:$A$41,0)),"")</f>
        <v>الإدارة العامة للعمليات المشتركة</v>
      </c>
      <c r="G475" s="20" t="s">
        <v>44</v>
      </c>
      <c r="H475" s="18" t="str">
        <f aca="false">IFERROR(INDEX(المرجع!$A$2:$A$19,MATCH($G475,المرجع!$B$2:$B$19,0)),"")</f>
        <v>التصميم</v>
      </c>
      <c r="I475" s="20" t="s">
        <v>60</v>
      </c>
      <c r="J475" s="18" t="str">
        <f aca="false">IFERROR(INDEX(المرجع!$D$2:$D$19,MATCH($I475,المرجع!$E$2:$E$19,0)),"")</f>
        <v>الإجراءات</v>
      </c>
      <c r="K475" s="19" t="n">
        <f aca="false">IFERROR(INDEX(المرجع!$F$2:$F$19,MATCH($I475,المرجع!$E$2:$E$19,0)),"")</f>
        <v>6</v>
      </c>
      <c r="L475" s="19" t="n">
        <f aca="false">SUMIFS(المرجع!$H$2:$H$19,المرجع!$B$2:$B$19,$G475,المرجع!$E$2:$E$19,$I475)</f>
        <v>1</v>
      </c>
      <c r="M475" s="19" t="n">
        <f aca="false">COUNTIFS('المرتبطة بسمو الوزير'!$B$2:$B$151,$B475,'المرتبطة بسمو الوزير'!$G$2:$G$151,$G475,'المرتبطة بسمو الوزير'!$I$2:$I$151,$I475,'المرتبطة بسمو الوزير'!$M$2:$M$151,"&lt;&gt;")+COUNTIFS('الشؤون التنفيذية'!$B$2:$B$421,$B475,'الشؤون التنفيذية'!$G$2:$G$421,$G475,'الشؤون التنفيذية'!$I$2:$I$421,$I475,'الشؤون التنفيذية'!$N$2:$N$421,"&lt;&gt;")+COUNTIFS('الجهاز العسكري'!$B$2:$B$631,$B475,'الجهاز العسكري'!$G$2:$G$631,$G475,'الجهاز العسكري'!$I$2:$I$631,$I475,'الجهاز العسكري'!$M$2:$M$631,"&lt;&gt;")</f>
        <v>1</v>
      </c>
      <c r="N475" s="24" t="n">
        <f aca="false">IF($L475=0,0,ROUND((SUMIFS('المرتبطة بسمو الوزير'!$M$2:$M$151,'المرتبطة بسمو الوزير'!$B$2:$B$151,$B475,'المرتبطة بسمو الوزير'!$G$2:$G$151,$G475,'المرتبطة بسمو الوزير'!$I$2:$I$151,$I475)+SUMIFS('الشؤون التنفيذية'!$N$2:$N$421,'الشؤون التنفيذية'!$B$2:$B$421,$B475,'الشؤون التنفيذية'!$G$2:$G$421,$G475,'الشؤون التنفيذية'!$I$2:$I$421,$I475)+SUMIFS('الجهاز العسكري'!$M$2:$M$631,'الجهاز العسكري'!$B$2:$B$631,$B475,'الجهاز العسكري'!$G$2:$G$631,$G475,'الجهاز العسكري'!$I$2:$I$631,$I475))/$L475,0))</f>
        <v>89</v>
      </c>
      <c r="O475" s="25" t="n">
        <f aca="false">IF($L475=0,0,ROUND((SUMIFS('المرتبطة بسمو الوزير'!$N$2:$N$151,'المرتبطة بسمو الوزير'!$B$2:$B$151,$B475,'المرتبطة بسمو الوزير'!$G$2:$G$151,$G475,'المرتبطة بسمو الوزير'!$I$2:$I$151,$I475)+SUMIFS('الشؤون التنفيذية'!$O$2:$O$421,'الشؤون التنفيذية'!$B$2:$B$421,$B475,'الشؤون التنفيذية'!$G$2:$G$421,$G475,'الشؤون التنفيذية'!$I$2:$I$421,$I475)+SUMIFS('الجهاز العسكري'!$N$2:$N$631,'الجهاز العسكري'!$B$2:$B$631,$B475,'الجهاز العسكري'!$G$2:$G$631,$G475,'الجهاز العسكري'!$I$2:$I$631,$I475))/$L475,0))</f>
        <v>100</v>
      </c>
      <c r="P475" s="22"/>
      <c r="Q475" s="19" t="n">
        <f aca="false">SUMIFS(المرجع!$G$2:$G$19,المرجع!$B$2:$B$19,$G475,المرجع!$E$2:$E$19,$I475)</f>
        <v>5</v>
      </c>
      <c r="R475" s="26" t="n">
        <f aca="false">ROUND($Q475*$N475/100,2)</f>
        <v>4.45</v>
      </c>
      <c r="S475" s="27" t="str">
        <f aca="false">IF($N475&gt;المرجع!$K$3,"متقدم",IF($N475&lt;=المرجع!$K$2,"أولي","جزئي"))</f>
        <v>متقدم</v>
      </c>
      <c r="T475" s="28" t="n">
        <f aca="false">ROUND($Q475*$O475/100,2)</f>
        <v>5</v>
      </c>
    </row>
    <row r="476" customFormat="false" ht="15" hidden="false" customHeight="true" outlineLevel="0" collapsed="false">
      <c r="A476" s="20" t="s">
        <v>1928</v>
      </c>
      <c r="B476" s="20" t="s">
        <v>210</v>
      </c>
      <c r="C476" s="19" t="str">
        <f aca="false">IFERROR(INDEX('قائمة الوحدات'!$B$2:$B$41,MATCH($B476,'قائمة الوحدات'!$A$2:$A$41,0)),"")</f>
        <v>MIL</v>
      </c>
      <c r="D476" s="18" t="str">
        <f aca="false">IFERROR(INDEX('قائمة الوحدات'!$C$2:$C$41,MATCH($B476,'قائمة الوحدات'!$A$2:$A$41,0)),"")</f>
        <v>الجهاز العسكري</v>
      </c>
      <c r="E476" s="18" t="str">
        <f aca="false">IFERROR(INDEX('قائمة الوحدات'!$D$2:$D$41,MATCH($B476,'قائمة الوحدات'!$A$2:$A$41,0)),"")</f>
        <v>الإدارة العامة للعمليات المشتركة</v>
      </c>
      <c r="F476" s="18" t="str">
        <f aca="false">IFERROR(INDEX('قائمة الوحدات'!$F$2:$F$41,MATCH($B476,'قائمة الوحدات'!$A$2:$A$41,0)),"")</f>
        <v>الإدارة العامة للعمليات المشتركة</v>
      </c>
      <c r="G476" s="20" t="s">
        <v>62</v>
      </c>
      <c r="H476" s="18" t="str">
        <f aca="false">IFERROR(INDEX(المرجع!$A$2:$A$19,MATCH($G476,المرجع!$B$2:$B$19,0)),"")</f>
        <v>البناء المؤسسي</v>
      </c>
      <c r="I476" s="20" t="s">
        <v>46</v>
      </c>
      <c r="J476" s="18" t="str">
        <f aca="false">IFERROR(INDEX(المرجع!$D$2:$D$19,MATCH($I476,المرجع!$E$2:$E$19,0)),"")</f>
        <v>الدور</v>
      </c>
      <c r="K476" s="19" t="n">
        <f aca="false">IFERROR(INDEX(المرجع!$F$2:$F$19,MATCH($I476,المرجع!$E$2:$E$19,0)),"")</f>
        <v>1</v>
      </c>
      <c r="L476" s="19" t="n">
        <f aca="false">SUMIFS(المرجع!$H$2:$H$19,المرجع!$B$2:$B$19,$G476,المرجع!$E$2:$E$19,$I476)</f>
        <v>1</v>
      </c>
      <c r="M476" s="19" t="n">
        <f aca="false">COUNTIFS('المرتبطة بسمو الوزير'!$B$2:$B$151,$B476,'المرتبطة بسمو الوزير'!$G$2:$G$151,$G476,'المرتبطة بسمو الوزير'!$I$2:$I$151,$I476,'المرتبطة بسمو الوزير'!$M$2:$M$151,"&lt;&gt;")+COUNTIFS('الشؤون التنفيذية'!$B$2:$B$421,$B476,'الشؤون التنفيذية'!$G$2:$G$421,$G476,'الشؤون التنفيذية'!$I$2:$I$421,$I476,'الشؤون التنفيذية'!$N$2:$N$421,"&lt;&gt;")+COUNTIFS('الجهاز العسكري'!$B$2:$B$631,$B476,'الجهاز العسكري'!$G$2:$G$631,$G476,'الجهاز العسكري'!$I$2:$I$631,$I476,'الجهاز العسكري'!$M$2:$M$631,"&lt;&gt;")</f>
        <v>1</v>
      </c>
      <c r="N476" s="24" t="n">
        <f aca="false">IF($L476=0,0,ROUND((SUMIFS('المرتبطة بسمو الوزير'!$M$2:$M$151,'المرتبطة بسمو الوزير'!$B$2:$B$151,$B476,'المرتبطة بسمو الوزير'!$G$2:$G$151,$G476,'المرتبطة بسمو الوزير'!$I$2:$I$151,$I476)+SUMIFS('الشؤون التنفيذية'!$N$2:$N$421,'الشؤون التنفيذية'!$B$2:$B$421,$B476,'الشؤون التنفيذية'!$G$2:$G$421,$G476,'الشؤون التنفيذية'!$I$2:$I$421,$I476)+SUMIFS('الجهاز العسكري'!$M$2:$M$631,'الجهاز العسكري'!$B$2:$B$631,$B476,'الجهاز العسكري'!$G$2:$G$631,$G476,'الجهاز العسكري'!$I$2:$I$631,$I476))/$L476,0))</f>
        <v>70</v>
      </c>
      <c r="O476" s="25" t="n">
        <f aca="false">IF($L476=0,0,ROUND((SUMIFS('المرتبطة بسمو الوزير'!$N$2:$N$151,'المرتبطة بسمو الوزير'!$B$2:$B$151,$B476,'المرتبطة بسمو الوزير'!$G$2:$G$151,$G476,'المرتبطة بسمو الوزير'!$I$2:$I$151,$I476)+SUMIFS('الشؤون التنفيذية'!$O$2:$O$421,'الشؤون التنفيذية'!$B$2:$B$421,$B476,'الشؤون التنفيذية'!$G$2:$G$421,$G476,'الشؤون التنفيذية'!$I$2:$I$421,$I476)+SUMIFS('الجهاز العسكري'!$N$2:$N$631,'الجهاز العسكري'!$B$2:$B$631,$B476,'الجهاز العسكري'!$G$2:$G$631,$G476,'الجهاز العسكري'!$I$2:$I$631,$I476))/$L476,0))</f>
        <v>100</v>
      </c>
      <c r="P476" s="22"/>
      <c r="Q476" s="19" t="n">
        <f aca="false">SUMIFS(المرجع!$G$2:$G$19,المرجع!$B$2:$B$19,$G476,المرجع!$E$2:$E$19,$I476)</f>
        <v>15</v>
      </c>
      <c r="R476" s="26" t="n">
        <f aca="false">ROUND($Q476*$N476/100,2)</f>
        <v>10.5</v>
      </c>
      <c r="S476" s="27" t="str">
        <f aca="false">IF($N476&gt;المرجع!$K$3,"متقدم",IF($N476&lt;=المرجع!$K$2,"أولي","جزئي"))</f>
        <v>جزئي</v>
      </c>
      <c r="T476" s="28" t="n">
        <f aca="false">ROUND($Q476*$O476/100,2)</f>
        <v>15</v>
      </c>
    </row>
    <row r="477" customFormat="false" ht="15" hidden="false" customHeight="true" outlineLevel="0" collapsed="false">
      <c r="A477" s="20" t="s">
        <v>1929</v>
      </c>
      <c r="B477" s="20" t="s">
        <v>210</v>
      </c>
      <c r="C477" s="19" t="str">
        <f aca="false">IFERROR(INDEX('قائمة الوحدات'!$B$2:$B$41,MATCH($B477,'قائمة الوحدات'!$A$2:$A$41,0)),"")</f>
        <v>MIL</v>
      </c>
      <c r="D477" s="18" t="str">
        <f aca="false">IFERROR(INDEX('قائمة الوحدات'!$C$2:$C$41,MATCH($B477,'قائمة الوحدات'!$A$2:$A$41,0)),"")</f>
        <v>الجهاز العسكري</v>
      </c>
      <c r="E477" s="18" t="str">
        <f aca="false">IFERROR(INDEX('قائمة الوحدات'!$D$2:$D$41,MATCH($B477,'قائمة الوحدات'!$A$2:$A$41,0)),"")</f>
        <v>الإدارة العامة للعمليات المشتركة</v>
      </c>
      <c r="F477" s="18" t="str">
        <f aca="false">IFERROR(INDEX('قائمة الوحدات'!$F$2:$F$41,MATCH($B477,'قائمة الوحدات'!$A$2:$A$41,0)),"")</f>
        <v>الإدارة العامة للعمليات المشتركة</v>
      </c>
      <c r="G477" s="20" t="s">
        <v>62</v>
      </c>
      <c r="H477" s="18" t="str">
        <f aca="false">IFERROR(INDEX(المرجع!$A$2:$A$19,MATCH($G477,المرجع!$B$2:$B$19,0)),"")</f>
        <v>البناء المؤسسي</v>
      </c>
      <c r="I477" s="20" t="s">
        <v>49</v>
      </c>
      <c r="J477" s="18" t="str">
        <f aca="false">IFERROR(INDEX(المرجع!$D$2:$D$19,MATCH($I477,المرجع!$E$2:$E$19,0)),"")</f>
        <v>الأهداف ومؤشرات الأداء</v>
      </c>
      <c r="K477" s="19" t="n">
        <f aca="false">IFERROR(INDEX(المرجع!$F$2:$F$19,MATCH($I477,المرجع!$E$2:$E$19,0)),"")</f>
        <v>2</v>
      </c>
      <c r="L477" s="19" t="n">
        <f aca="false">SUMIFS(المرجع!$H$2:$H$19,المرجع!$B$2:$B$19,$G477,المرجع!$E$2:$E$19,$I477)</f>
        <v>2</v>
      </c>
      <c r="M477" s="19" t="n">
        <f aca="false">COUNTIFS('المرتبطة بسمو الوزير'!$B$2:$B$151,$B477,'المرتبطة بسمو الوزير'!$G$2:$G$151,$G477,'المرتبطة بسمو الوزير'!$I$2:$I$151,$I477,'المرتبطة بسمو الوزير'!$M$2:$M$151,"&lt;&gt;")+COUNTIFS('الشؤون التنفيذية'!$B$2:$B$421,$B477,'الشؤون التنفيذية'!$G$2:$G$421,$G477,'الشؤون التنفيذية'!$I$2:$I$421,$I477,'الشؤون التنفيذية'!$N$2:$N$421,"&lt;&gt;")+COUNTIFS('الجهاز العسكري'!$B$2:$B$631,$B477,'الجهاز العسكري'!$G$2:$G$631,$G477,'الجهاز العسكري'!$I$2:$I$631,$I477,'الجهاز العسكري'!$M$2:$M$631,"&lt;&gt;")</f>
        <v>2</v>
      </c>
      <c r="N477" s="24" t="n">
        <f aca="false">IF($L477=0,0,ROUND((SUMIFS('المرتبطة بسمو الوزير'!$M$2:$M$151,'المرتبطة بسمو الوزير'!$B$2:$B$151,$B477,'المرتبطة بسمو الوزير'!$G$2:$G$151,$G477,'المرتبطة بسمو الوزير'!$I$2:$I$151,$I477)+SUMIFS('الشؤون التنفيذية'!$N$2:$N$421,'الشؤون التنفيذية'!$B$2:$B$421,$B477,'الشؤون التنفيذية'!$G$2:$G$421,$G477,'الشؤون التنفيذية'!$I$2:$I$421,$I477)+SUMIFS('الجهاز العسكري'!$M$2:$M$631,'الجهاز العسكري'!$B$2:$B$631,$B477,'الجهاز العسكري'!$G$2:$G$631,$G477,'الجهاز العسكري'!$I$2:$I$631,$I477))/$L477,0))</f>
        <v>70</v>
      </c>
      <c r="O477" s="25" t="n">
        <f aca="false">IF($L477=0,0,ROUND((SUMIFS('المرتبطة بسمو الوزير'!$N$2:$N$151,'المرتبطة بسمو الوزير'!$B$2:$B$151,$B477,'المرتبطة بسمو الوزير'!$G$2:$G$151,$G477,'المرتبطة بسمو الوزير'!$I$2:$I$151,$I477)+SUMIFS('الشؤون التنفيذية'!$O$2:$O$421,'الشؤون التنفيذية'!$B$2:$B$421,$B477,'الشؤون التنفيذية'!$G$2:$G$421,$G477,'الشؤون التنفيذية'!$I$2:$I$421,$I477)+SUMIFS('الجهاز العسكري'!$N$2:$N$631,'الجهاز العسكري'!$B$2:$B$631,$B477,'الجهاز العسكري'!$G$2:$G$631,$G477,'الجهاز العسكري'!$I$2:$I$631,$I477))/$L477,0))</f>
        <v>93</v>
      </c>
      <c r="P477" s="22"/>
      <c r="Q477" s="19" t="n">
        <f aca="false">SUMIFS(المرجع!$G$2:$G$19,المرجع!$B$2:$B$19,$G477,المرجع!$E$2:$E$19,$I477)</f>
        <v>15</v>
      </c>
      <c r="R477" s="26" t="n">
        <f aca="false">ROUND($Q477*$N477/100,2)</f>
        <v>10.5</v>
      </c>
      <c r="S477" s="27" t="str">
        <f aca="false">IF($N477&gt;المرجع!$K$3,"متقدم",IF($N477&lt;=المرجع!$K$2,"أولي","جزئي"))</f>
        <v>جزئي</v>
      </c>
      <c r="T477" s="28" t="n">
        <f aca="false">ROUND($Q477*$O477/100,2)</f>
        <v>13.95</v>
      </c>
    </row>
    <row r="478" customFormat="false" ht="15" hidden="false" customHeight="true" outlineLevel="0" collapsed="false">
      <c r="A478" s="20" t="s">
        <v>1930</v>
      </c>
      <c r="B478" s="20" t="s">
        <v>210</v>
      </c>
      <c r="C478" s="19" t="str">
        <f aca="false">IFERROR(INDEX('قائمة الوحدات'!$B$2:$B$41,MATCH($B478,'قائمة الوحدات'!$A$2:$A$41,0)),"")</f>
        <v>MIL</v>
      </c>
      <c r="D478" s="18" t="str">
        <f aca="false">IFERROR(INDEX('قائمة الوحدات'!$C$2:$C$41,MATCH($B478,'قائمة الوحدات'!$A$2:$A$41,0)),"")</f>
        <v>الجهاز العسكري</v>
      </c>
      <c r="E478" s="18" t="str">
        <f aca="false">IFERROR(INDEX('قائمة الوحدات'!$D$2:$D$41,MATCH($B478,'قائمة الوحدات'!$A$2:$A$41,0)),"")</f>
        <v>الإدارة العامة للعمليات المشتركة</v>
      </c>
      <c r="F478" s="18" t="str">
        <f aca="false">IFERROR(INDEX('قائمة الوحدات'!$F$2:$F$41,MATCH($B478,'قائمة الوحدات'!$A$2:$A$41,0)),"")</f>
        <v>الإدارة العامة للعمليات المشتركة</v>
      </c>
      <c r="G478" s="20" t="s">
        <v>62</v>
      </c>
      <c r="H478" s="18" t="str">
        <f aca="false">IFERROR(INDEX(المرجع!$A$2:$A$19,MATCH($G478,المرجع!$B$2:$B$19,0)),"")</f>
        <v>البناء المؤسسي</v>
      </c>
      <c r="I478" s="20" t="s">
        <v>52</v>
      </c>
      <c r="J478" s="18" t="str">
        <f aca="false">IFERROR(INDEX(المرجع!$D$2:$D$19,MATCH($I478,المرجع!$E$2:$E$19,0)),"")</f>
        <v>الحوكمة</v>
      </c>
      <c r="K478" s="19" t="n">
        <f aca="false">IFERROR(INDEX(المرجع!$F$2:$F$19,MATCH($I478,المرجع!$E$2:$E$19,0)),"")</f>
        <v>3</v>
      </c>
      <c r="L478" s="19" t="n">
        <f aca="false">SUMIFS(المرجع!$H$2:$H$19,المرجع!$B$2:$B$19,$G478,المرجع!$E$2:$E$19,$I478)</f>
        <v>3</v>
      </c>
      <c r="M478" s="19" t="n">
        <f aca="false">COUNTIFS('المرتبطة بسمو الوزير'!$B$2:$B$151,$B478,'المرتبطة بسمو الوزير'!$G$2:$G$151,$G478,'المرتبطة بسمو الوزير'!$I$2:$I$151,$I478,'المرتبطة بسمو الوزير'!$M$2:$M$151,"&lt;&gt;")+COUNTIFS('الشؤون التنفيذية'!$B$2:$B$421,$B478,'الشؤون التنفيذية'!$G$2:$G$421,$G478,'الشؤون التنفيذية'!$I$2:$I$421,$I478,'الشؤون التنفيذية'!$N$2:$N$421,"&lt;&gt;")+COUNTIFS('الجهاز العسكري'!$B$2:$B$631,$B478,'الجهاز العسكري'!$G$2:$G$631,$G478,'الجهاز العسكري'!$I$2:$I$631,$I478,'الجهاز العسكري'!$M$2:$M$631,"&lt;&gt;")</f>
        <v>3</v>
      </c>
      <c r="N478" s="24" t="n">
        <f aca="false">IF($L478=0,0,ROUND((SUMIFS('المرتبطة بسمو الوزير'!$M$2:$M$151,'المرتبطة بسمو الوزير'!$B$2:$B$151,$B478,'المرتبطة بسمو الوزير'!$G$2:$G$151,$G478,'المرتبطة بسمو الوزير'!$I$2:$I$151,$I478)+SUMIFS('الشؤون التنفيذية'!$N$2:$N$421,'الشؤون التنفيذية'!$B$2:$B$421,$B478,'الشؤون التنفيذية'!$G$2:$G$421,$G478,'الشؤون التنفيذية'!$I$2:$I$421,$I478)+SUMIFS('الجهاز العسكري'!$M$2:$M$631,'الجهاز العسكري'!$B$2:$B$631,$B478,'الجهاز العسكري'!$G$2:$G$631,$G478,'الجهاز العسكري'!$I$2:$I$631,$I478))/$L478,0))</f>
        <v>75</v>
      </c>
      <c r="O478" s="25" t="n">
        <f aca="false">IF($L478=0,0,ROUND((SUMIFS('المرتبطة بسمو الوزير'!$N$2:$N$151,'المرتبطة بسمو الوزير'!$B$2:$B$151,$B478,'المرتبطة بسمو الوزير'!$G$2:$G$151,$G478,'المرتبطة بسمو الوزير'!$I$2:$I$151,$I478)+SUMIFS('الشؤون التنفيذية'!$O$2:$O$421,'الشؤون التنفيذية'!$B$2:$B$421,$B478,'الشؤون التنفيذية'!$G$2:$G$421,$G478,'الشؤون التنفيذية'!$I$2:$I$421,$I478)+SUMIFS('الجهاز العسكري'!$N$2:$N$631,'الجهاز العسكري'!$B$2:$B$631,$B478,'الجهاز العسكري'!$G$2:$G$631,$G478,'الجهاز العسكري'!$I$2:$I$631,$I478))/$L478,0))</f>
        <v>100</v>
      </c>
      <c r="P478" s="22"/>
      <c r="Q478" s="19" t="n">
        <f aca="false">SUMIFS(المرجع!$G$2:$G$19,المرجع!$B$2:$B$19,$G478,المرجع!$E$2:$E$19,$I478)</f>
        <v>15</v>
      </c>
      <c r="R478" s="26" t="n">
        <f aca="false">ROUND($Q478*$N478/100,2)</f>
        <v>11.25</v>
      </c>
      <c r="S478" s="27" t="str">
        <f aca="false">IF($N478&gt;المرجع!$K$3,"متقدم",IF($N478&lt;=المرجع!$K$2,"أولي","جزئي"))</f>
        <v>متقدم</v>
      </c>
      <c r="T478" s="28" t="n">
        <f aca="false">ROUND($Q478*$O478/100,2)</f>
        <v>15</v>
      </c>
    </row>
    <row r="479" customFormat="false" ht="15" hidden="false" customHeight="true" outlineLevel="0" collapsed="false">
      <c r="A479" s="20" t="s">
        <v>1931</v>
      </c>
      <c r="B479" s="20" t="s">
        <v>210</v>
      </c>
      <c r="C479" s="19" t="str">
        <f aca="false">IFERROR(INDEX('قائمة الوحدات'!$B$2:$B$41,MATCH($B479,'قائمة الوحدات'!$A$2:$A$41,0)),"")</f>
        <v>MIL</v>
      </c>
      <c r="D479" s="18" t="str">
        <f aca="false">IFERROR(INDEX('قائمة الوحدات'!$C$2:$C$41,MATCH($B479,'قائمة الوحدات'!$A$2:$A$41,0)),"")</f>
        <v>الجهاز العسكري</v>
      </c>
      <c r="E479" s="18" t="str">
        <f aca="false">IFERROR(INDEX('قائمة الوحدات'!$D$2:$D$41,MATCH($B479,'قائمة الوحدات'!$A$2:$A$41,0)),"")</f>
        <v>الإدارة العامة للعمليات المشتركة</v>
      </c>
      <c r="F479" s="18" t="str">
        <f aca="false">IFERROR(INDEX('قائمة الوحدات'!$F$2:$F$41,MATCH($B479,'قائمة الوحدات'!$A$2:$A$41,0)),"")</f>
        <v>الإدارة العامة للعمليات المشتركة</v>
      </c>
      <c r="G479" s="20" t="s">
        <v>62</v>
      </c>
      <c r="H479" s="18" t="str">
        <f aca="false">IFERROR(INDEX(المرجع!$A$2:$A$19,MATCH($G479,المرجع!$B$2:$B$19,0)),"")</f>
        <v>البناء المؤسسي</v>
      </c>
      <c r="I479" s="20" t="s">
        <v>55</v>
      </c>
      <c r="J479" s="18" t="str">
        <f aca="false">IFERROR(INDEX(المرجع!$D$2:$D$19,MATCH($I479,المرجع!$E$2:$E$19,0)),"")</f>
        <v>التنظيم</v>
      </c>
      <c r="K479" s="19" t="n">
        <f aca="false">IFERROR(INDEX(المرجع!$F$2:$F$19,MATCH($I479,المرجع!$E$2:$E$19,0)),"")</f>
        <v>4</v>
      </c>
      <c r="L479" s="19" t="n">
        <f aca="false">SUMIFS(المرجع!$H$2:$H$19,المرجع!$B$2:$B$19,$G479,المرجع!$E$2:$E$19,$I479)</f>
        <v>3</v>
      </c>
      <c r="M479" s="19" t="n">
        <f aca="false">COUNTIFS('المرتبطة بسمو الوزير'!$B$2:$B$151,$B479,'المرتبطة بسمو الوزير'!$G$2:$G$151,$G479,'المرتبطة بسمو الوزير'!$I$2:$I$151,$I479,'المرتبطة بسمو الوزير'!$M$2:$M$151,"&lt;&gt;")+COUNTIFS('الشؤون التنفيذية'!$B$2:$B$421,$B479,'الشؤون التنفيذية'!$G$2:$G$421,$G479,'الشؤون التنفيذية'!$I$2:$I$421,$I479,'الشؤون التنفيذية'!$N$2:$N$421,"&lt;&gt;")+COUNTIFS('الجهاز العسكري'!$B$2:$B$631,$B479,'الجهاز العسكري'!$G$2:$G$631,$G479,'الجهاز العسكري'!$I$2:$I$631,$I479,'الجهاز العسكري'!$M$2:$M$631,"&lt;&gt;")</f>
        <v>3</v>
      </c>
      <c r="N479" s="24" t="n">
        <f aca="false">IF($L479=0,0,ROUND((SUMIFS('المرتبطة بسمو الوزير'!$M$2:$M$151,'المرتبطة بسمو الوزير'!$B$2:$B$151,$B479,'المرتبطة بسمو الوزير'!$G$2:$G$151,$G479,'المرتبطة بسمو الوزير'!$I$2:$I$151,$I479)+SUMIFS('الشؤون التنفيذية'!$N$2:$N$421,'الشؤون التنفيذية'!$B$2:$B$421,$B479,'الشؤون التنفيذية'!$G$2:$G$421,$G479,'الشؤون التنفيذية'!$I$2:$I$421,$I479)+SUMIFS('الجهاز العسكري'!$M$2:$M$631,'الجهاز العسكري'!$B$2:$B$631,$B479,'الجهاز العسكري'!$G$2:$G$631,$G479,'الجهاز العسكري'!$I$2:$I$631,$I479))/$L479,0))</f>
        <v>73</v>
      </c>
      <c r="O479" s="25" t="n">
        <f aca="false">IF($L479=0,0,ROUND((SUMIFS('المرتبطة بسمو الوزير'!$N$2:$N$151,'المرتبطة بسمو الوزير'!$B$2:$B$151,$B479,'المرتبطة بسمو الوزير'!$G$2:$G$151,$G479,'المرتبطة بسمو الوزير'!$I$2:$I$151,$I479)+SUMIFS('الشؤون التنفيذية'!$O$2:$O$421,'الشؤون التنفيذية'!$B$2:$B$421,$B479,'الشؤون التنفيذية'!$G$2:$G$421,$G479,'الشؤون التنفيذية'!$I$2:$I$421,$I479)+SUMIFS('الجهاز العسكري'!$N$2:$N$631,'الجهاز العسكري'!$B$2:$B$631,$B479,'الجهاز العسكري'!$G$2:$G$631,$G479,'الجهاز العسكري'!$I$2:$I$631,$I479))/$L479,0))</f>
        <v>100</v>
      </c>
      <c r="P479" s="22"/>
      <c r="Q479" s="19" t="n">
        <f aca="false">SUMIFS(المرجع!$G$2:$G$19,المرجع!$B$2:$B$19,$G479,المرجع!$E$2:$E$19,$I479)</f>
        <v>20</v>
      </c>
      <c r="R479" s="26" t="n">
        <f aca="false">ROUND($Q479*$N479/100,2)</f>
        <v>14.6</v>
      </c>
      <c r="S479" s="27" t="str">
        <f aca="false">IF($N479&gt;المرجع!$K$3,"متقدم",IF($N479&lt;=المرجع!$K$2,"أولي","جزئي"))</f>
        <v>متقدم</v>
      </c>
      <c r="T479" s="28" t="n">
        <f aca="false">ROUND($Q479*$O479/100,2)</f>
        <v>20</v>
      </c>
    </row>
    <row r="480" customFormat="false" ht="15" hidden="false" customHeight="true" outlineLevel="0" collapsed="false">
      <c r="A480" s="20" t="s">
        <v>1932</v>
      </c>
      <c r="B480" s="20" t="s">
        <v>210</v>
      </c>
      <c r="C480" s="19" t="str">
        <f aca="false">IFERROR(INDEX('قائمة الوحدات'!$B$2:$B$41,MATCH($B480,'قائمة الوحدات'!$A$2:$A$41,0)),"")</f>
        <v>MIL</v>
      </c>
      <c r="D480" s="18" t="str">
        <f aca="false">IFERROR(INDEX('قائمة الوحدات'!$C$2:$C$41,MATCH($B480,'قائمة الوحدات'!$A$2:$A$41,0)),"")</f>
        <v>الجهاز العسكري</v>
      </c>
      <c r="E480" s="18" t="str">
        <f aca="false">IFERROR(INDEX('قائمة الوحدات'!$D$2:$D$41,MATCH($B480,'قائمة الوحدات'!$A$2:$A$41,0)),"")</f>
        <v>الإدارة العامة للعمليات المشتركة</v>
      </c>
      <c r="F480" s="18" t="str">
        <f aca="false">IFERROR(INDEX('قائمة الوحدات'!$F$2:$F$41,MATCH($B480,'قائمة الوحدات'!$A$2:$A$41,0)),"")</f>
        <v>الإدارة العامة للعمليات المشتركة</v>
      </c>
      <c r="G480" s="20" t="s">
        <v>62</v>
      </c>
      <c r="H480" s="18" t="str">
        <f aca="false">IFERROR(INDEX(المرجع!$A$2:$A$19,MATCH($G480,المرجع!$B$2:$B$19,0)),"")</f>
        <v>البناء المؤسسي</v>
      </c>
      <c r="I480" s="20" t="s">
        <v>57</v>
      </c>
      <c r="J480" s="18" t="str">
        <f aca="false">IFERROR(INDEX(المرجع!$D$2:$D$19,MATCH($I480,المرجع!$E$2:$E$19,0)),"")</f>
        <v>الموارد</v>
      </c>
      <c r="K480" s="19" t="n">
        <f aca="false">IFERROR(INDEX(المرجع!$F$2:$F$19,MATCH($I480,المرجع!$E$2:$E$19,0)),"")</f>
        <v>5</v>
      </c>
      <c r="L480" s="19" t="n">
        <f aca="false">SUMIFS(المرجع!$H$2:$H$19,المرجع!$B$2:$B$19,$G480,المرجع!$E$2:$E$19,$I480)</f>
        <v>4</v>
      </c>
      <c r="M480" s="19" t="n">
        <f aca="false">COUNTIFS('المرتبطة بسمو الوزير'!$B$2:$B$151,$B480,'المرتبطة بسمو الوزير'!$G$2:$G$151,$G480,'المرتبطة بسمو الوزير'!$I$2:$I$151,$I480,'المرتبطة بسمو الوزير'!$M$2:$M$151,"&lt;&gt;")+COUNTIFS('الشؤون التنفيذية'!$B$2:$B$421,$B480,'الشؤون التنفيذية'!$G$2:$G$421,$G480,'الشؤون التنفيذية'!$I$2:$I$421,$I480,'الشؤون التنفيذية'!$N$2:$N$421,"&lt;&gt;")+COUNTIFS('الجهاز العسكري'!$B$2:$B$631,$B480,'الجهاز العسكري'!$G$2:$G$631,$G480,'الجهاز العسكري'!$I$2:$I$631,$I480,'الجهاز العسكري'!$M$2:$M$631,"&lt;&gt;")</f>
        <v>4</v>
      </c>
      <c r="N480" s="24" t="n">
        <f aca="false">IF($L480=0,0,ROUND((SUMIFS('المرتبطة بسمو الوزير'!$M$2:$M$151,'المرتبطة بسمو الوزير'!$B$2:$B$151,$B480,'المرتبطة بسمو الوزير'!$G$2:$G$151,$G480,'المرتبطة بسمو الوزير'!$I$2:$I$151,$I480)+SUMIFS('الشؤون التنفيذية'!$N$2:$N$421,'الشؤون التنفيذية'!$B$2:$B$421,$B480,'الشؤون التنفيذية'!$G$2:$G$421,$G480,'الشؤون التنفيذية'!$I$2:$I$421,$I480)+SUMIFS('الجهاز العسكري'!$M$2:$M$631,'الجهاز العسكري'!$B$2:$B$631,$B480,'الجهاز العسكري'!$G$2:$G$631,$G480,'الجهاز العسكري'!$I$2:$I$631,$I480))/$L480,0))</f>
        <v>89</v>
      </c>
      <c r="O480" s="25" t="n">
        <f aca="false">IF($L480=0,0,ROUND((SUMIFS('المرتبطة بسمو الوزير'!$N$2:$N$151,'المرتبطة بسمو الوزير'!$B$2:$B$151,$B480,'المرتبطة بسمو الوزير'!$G$2:$G$151,$G480,'المرتبطة بسمو الوزير'!$I$2:$I$151,$I480)+SUMIFS('الشؤون التنفيذية'!$O$2:$O$421,'الشؤون التنفيذية'!$B$2:$B$421,$B480,'الشؤون التنفيذية'!$G$2:$G$421,$G480,'الشؤون التنفيذية'!$I$2:$I$421,$I480)+SUMIFS('الجهاز العسكري'!$N$2:$N$631,'الجهاز العسكري'!$B$2:$B$631,$B480,'الجهاز العسكري'!$G$2:$G$631,$G480,'الجهاز العسكري'!$I$2:$I$631,$I480))/$L480,0))</f>
        <v>96</v>
      </c>
      <c r="P480" s="22"/>
      <c r="Q480" s="19" t="n">
        <f aca="false">SUMIFS(المرجع!$G$2:$G$19,المرجع!$B$2:$B$19,$G480,المرجع!$E$2:$E$19,$I480)</f>
        <v>25</v>
      </c>
      <c r="R480" s="26" t="n">
        <f aca="false">ROUND($Q480*$N480/100,2)</f>
        <v>22.25</v>
      </c>
      <c r="S480" s="27" t="str">
        <f aca="false">IF($N480&gt;المرجع!$K$3,"متقدم",IF($N480&lt;=المرجع!$K$2,"أولي","جزئي"))</f>
        <v>متقدم</v>
      </c>
      <c r="T480" s="28" t="n">
        <f aca="false">ROUND($Q480*$O480/100,2)</f>
        <v>24</v>
      </c>
    </row>
    <row r="481" customFormat="false" ht="15" hidden="false" customHeight="true" outlineLevel="0" collapsed="false">
      <c r="A481" s="20" t="s">
        <v>1933</v>
      </c>
      <c r="B481" s="20" t="s">
        <v>210</v>
      </c>
      <c r="C481" s="19" t="str">
        <f aca="false">IFERROR(INDEX('قائمة الوحدات'!$B$2:$B$41,MATCH($B481,'قائمة الوحدات'!$A$2:$A$41,0)),"")</f>
        <v>MIL</v>
      </c>
      <c r="D481" s="18" t="str">
        <f aca="false">IFERROR(INDEX('قائمة الوحدات'!$C$2:$C$41,MATCH($B481,'قائمة الوحدات'!$A$2:$A$41,0)),"")</f>
        <v>الجهاز العسكري</v>
      </c>
      <c r="E481" s="18" t="str">
        <f aca="false">IFERROR(INDEX('قائمة الوحدات'!$D$2:$D$41,MATCH($B481,'قائمة الوحدات'!$A$2:$A$41,0)),"")</f>
        <v>الإدارة العامة للعمليات المشتركة</v>
      </c>
      <c r="F481" s="18" t="str">
        <f aca="false">IFERROR(INDEX('قائمة الوحدات'!$F$2:$F$41,MATCH($B481,'قائمة الوحدات'!$A$2:$A$41,0)),"")</f>
        <v>الإدارة العامة للعمليات المشتركة</v>
      </c>
      <c r="G481" s="20" t="s">
        <v>62</v>
      </c>
      <c r="H481" s="18" t="str">
        <f aca="false">IFERROR(INDEX(المرجع!$A$2:$A$19,MATCH($G481,المرجع!$B$2:$B$19,0)),"")</f>
        <v>البناء المؤسسي</v>
      </c>
      <c r="I481" s="20" t="s">
        <v>60</v>
      </c>
      <c r="J481" s="18" t="str">
        <f aca="false">IFERROR(INDEX(المرجع!$D$2:$D$19,MATCH($I481,المرجع!$E$2:$E$19,0)),"")</f>
        <v>الإجراءات</v>
      </c>
      <c r="K481" s="19" t="n">
        <f aca="false">IFERROR(INDEX(المرجع!$F$2:$F$19,MATCH($I481,المرجع!$E$2:$E$19,0)),"")</f>
        <v>6</v>
      </c>
      <c r="L481" s="19" t="n">
        <f aca="false">SUMIFS(المرجع!$H$2:$H$19,المرجع!$B$2:$B$19,$G481,المرجع!$E$2:$E$19,$I481)</f>
        <v>1</v>
      </c>
      <c r="M481" s="19" t="n">
        <f aca="false">COUNTIFS('المرتبطة بسمو الوزير'!$B$2:$B$151,$B481,'المرتبطة بسمو الوزير'!$G$2:$G$151,$G481,'المرتبطة بسمو الوزير'!$I$2:$I$151,$I481,'المرتبطة بسمو الوزير'!$M$2:$M$151,"&lt;&gt;")+COUNTIFS('الشؤون التنفيذية'!$B$2:$B$421,$B481,'الشؤون التنفيذية'!$G$2:$G$421,$G481,'الشؤون التنفيذية'!$I$2:$I$421,$I481,'الشؤون التنفيذية'!$N$2:$N$421,"&lt;&gt;")+COUNTIFS('الجهاز العسكري'!$B$2:$B$631,$B481,'الجهاز العسكري'!$G$2:$G$631,$G481,'الجهاز العسكري'!$I$2:$I$631,$I481,'الجهاز العسكري'!$M$2:$M$631,"&lt;&gt;")</f>
        <v>1</v>
      </c>
      <c r="N481" s="24" t="n">
        <f aca="false">IF($L481=0,0,ROUND((SUMIFS('المرتبطة بسمو الوزير'!$M$2:$M$151,'المرتبطة بسمو الوزير'!$B$2:$B$151,$B481,'المرتبطة بسمو الوزير'!$G$2:$G$151,$G481,'المرتبطة بسمو الوزير'!$I$2:$I$151,$I481)+SUMIFS('الشؤون التنفيذية'!$N$2:$N$421,'الشؤون التنفيذية'!$B$2:$B$421,$B481,'الشؤون التنفيذية'!$G$2:$G$421,$G481,'الشؤون التنفيذية'!$I$2:$I$421,$I481)+SUMIFS('الجهاز العسكري'!$M$2:$M$631,'الجهاز العسكري'!$B$2:$B$631,$B481,'الجهاز العسكري'!$G$2:$G$631,$G481,'الجهاز العسكري'!$I$2:$I$631,$I481))/$L481,0))</f>
        <v>62</v>
      </c>
      <c r="O481" s="25" t="n">
        <f aca="false">IF($L481=0,0,ROUND((SUMIFS('المرتبطة بسمو الوزير'!$N$2:$N$151,'المرتبطة بسمو الوزير'!$B$2:$B$151,$B481,'المرتبطة بسمو الوزير'!$G$2:$G$151,$G481,'المرتبطة بسمو الوزير'!$I$2:$I$151,$I481)+SUMIFS('الشؤون التنفيذية'!$O$2:$O$421,'الشؤون التنفيذية'!$B$2:$B$421,$B481,'الشؤون التنفيذية'!$G$2:$G$421,$G481,'الشؤون التنفيذية'!$I$2:$I$421,$I481)+SUMIFS('الجهاز العسكري'!$N$2:$N$631,'الجهاز العسكري'!$B$2:$B$631,$B481,'الجهاز العسكري'!$G$2:$G$631,$G481,'الجهاز العسكري'!$I$2:$I$631,$I481))/$L481,0))</f>
        <v>100</v>
      </c>
      <c r="P481" s="22"/>
      <c r="Q481" s="19" t="n">
        <f aca="false">SUMIFS(المرجع!$G$2:$G$19,المرجع!$B$2:$B$19,$G481,المرجع!$E$2:$E$19,$I481)</f>
        <v>5</v>
      </c>
      <c r="R481" s="26" t="n">
        <f aca="false">ROUND($Q481*$N481/100,2)</f>
        <v>3.1</v>
      </c>
      <c r="S481" s="27" t="str">
        <f aca="false">IF($N481&gt;المرجع!$K$3,"متقدم",IF($N481&lt;=المرجع!$K$2,"أولي","جزئي"))</f>
        <v>جزئي</v>
      </c>
      <c r="T481" s="28" t="n">
        <f aca="false">ROUND($Q481*$O481/100,2)</f>
        <v>5</v>
      </c>
    </row>
    <row r="482" customFormat="false" ht="15" hidden="false" customHeight="true" outlineLevel="0" collapsed="false">
      <c r="A482" s="20" t="s">
        <v>1934</v>
      </c>
      <c r="B482" s="20" t="s">
        <v>210</v>
      </c>
      <c r="C482" s="19" t="str">
        <f aca="false">IFERROR(INDEX('قائمة الوحدات'!$B$2:$B$41,MATCH($B482,'قائمة الوحدات'!$A$2:$A$41,0)),"")</f>
        <v>MIL</v>
      </c>
      <c r="D482" s="18" t="str">
        <f aca="false">IFERROR(INDEX('قائمة الوحدات'!$C$2:$C$41,MATCH($B482,'قائمة الوحدات'!$A$2:$A$41,0)),"")</f>
        <v>الجهاز العسكري</v>
      </c>
      <c r="E482" s="18" t="str">
        <f aca="false">IFERROR(INDEX('قائمة الوحدات'!$D$2:$D$41,MATCH($B482,'قائمة الوحدات'!$A$2:$A$41,0)),"")</f>
        <v>الإدارة العامة للعمليات المشتركة</v>
      </c>
      <c r="F482" s="18" t="str">
        <f aca="false">IFERROR(INDEX('قائمة الوحدات'!$F$2:$F$41,MATCH($B482,'قائمة الوحدات'!$A$2:$A$41,0)),"")</f>
        <v>الإدارة العامة للعمليات المشتركة</v>
      </c>
      <c r="G482" s="20" t="s">
        <v>62</v>
      </c>
      <c r="H482" s="18" t="str">
        <f aca="false">IFERROR(INDEX(المرجع!$A$2:$A$19,MATCH($G482,المرجع!$B$2:$B$19,0)),"")</f>
        <v>البناء المؤسسي</v>
      </c>
      <c r="I482" s="20" t="s">
        <v>69</v>
      </c>
      <c r="J482" s="18" t="str">
        <f aca="false">IFERROR(INDEX(المرجع!$D$2:$D$19,MATCH($I482,المرجع!$E$2:$E$19,0)),"")</f>
        <v>إنتاج المخرج الأول</v>
      </c>
      <c r="K482" s="19" t="n">
        <f aca="false">IFERROR(INDEX(المرجع!$F$2:$F$19,MATCH($I482,المرجع!$E$2:$E$19,0)),"")</f>
        <v>7</v>
      </c>
      <c r="L482" s="19" t="n">
        <f aca="false">SUMIFS(المرجع!$H$2:$H$19,المرجع!$B$2:$B$19,$G482,المرجع!$E$2:$E$19,$I482)</f>
        <v>1</v>
      </c>
      <c r="M482" s="19" t="n">
        <f aca="false">COUNTIFS('المرتبطة بسمو الوزير'!$B$2:$B$151,$B482,'المرتبطة بسمو الوزير'!$G$2:$G$151,$G482,'المرتبطة بسمو الوزير'!$I$2:$I$151,$I482,'المرتبطة بسمو الوزير'!$M$2:$M$151,"&lt;&gt;")+COUNTIFS('الشؤون التنفيذية'!$B$2:$B$421,$B482,'الشؤون التنفيذية'!$G$2:$G$421,$G482,'الشؤون التنفيذية'!$I$2:$I$421,$I482,'الشؤون التنفيذية'!$N$2:$N$421,"&lt;&gt;")+COUNTIFS('الجهاز العسكري'!$B$2:$B$631,$B482,'الجهاز العسكري'!$G$2:$G$631,$G482,'الجهاز العسكري'!$I$2:$I$631,$I482,'الجهاز العسكري'!$M$2:$M$631,"&lt;&gt;")</f>
        <v>1</v>
      </c>
      <c r="N482" s="24" t="n">
        <f aca="false">IF($L482=0,0,ROUND((SUMIFS('المرتبطة بسمو الوزير'!$M$2:$M$151,'المرتبطة بسمو الوزير'!$B$2:$B$151,$B482,'المرتبطة بسمو الوزير'!$G$2:$G$151,$G482,'المرتبطة بسمو الوزير'!$I$2:$I$151,$I482)+SUMIFS('الشؤون التنفيذية'!$N$2:$N$421,'الشؤون التنفيذية'!$B$2:$B$421,$B482,'الشؤون التنفيذية'!$G$2:$G$421,$G482,'الشؤون التنفيذية'!$I$2:$I$421,$I482)+SUMIFS('الجهاز العسكري'!$M$2:$M$631,'الجهاز العسكري'!$B$2:$B$631,$B482,'الجهاز العسكري'!$G$2:$G$631,$G482,'الجهاز العسكري'!$I$2:$I$631,$I482))/$L482,0))</f>
        <v>55</v>
      </c>
      <c r="O482" s="25" t="n">
        <f aca="false">IF($L482=0,0,ROUND((SUMIFS('المرتبطة بسمو الوزير'!$N$2:$N$151,'المرتبطة بسمو الوزير'!$B$2:$B$151,$B482,'المرتبطة بسمو الوزير'!$G$2:$G$151,$G482,'المرتبطة بسمو الوزير'!$I$2:$I$151,$I482)+SUMIFS('الشؤون التنفيذية'!$O$2:$O$421,'الشؤون التنفيذية'!$B$2:$B$421,$B482,'الشؤون التنفيذية'!$G$2:$G$421,$G482,'الشؤون التنفيذية'!$I$2:$I$421,$I482)+SUMIFS('الجهاز العسكري'!$N$2:$N$631,'الجهاز العسكري'!$B$2:$B$631,$B482,'الجهاز العسكري'!$G$2:$G$631,$G482,'الجهاز العسكري'!$I$2:$I$631,$I482))/$L482,0))</f>
        <v>100</v>
      </c>
      <c r="P482" s="22"/>
      <c r="Q482" s="19" t="n">
        <f aca="false">SUMIFS(المرجع!$G$2:$G$19,المرجع!$B$2:$B$19,$G482,المرجع!$E$2:$E$19,$I482)</f>
        <v>5</v>
      </c>
      <c r="R482" s="26" t="n">
        <f aca="false">ROUND($Q482*$N482/100,2)</f>
        <v>2.75</v>
      </c>
      <c r="S482" s="27" t="str">
        <f aca="false">IF($N482&gt;المرجع!$K$3,"متقدم",IF($N482&lt;=المرجع!$K$2,"أولي","جزئي"))</f>
        <v>جزئي</v>
      </c>
      <c r="T482" s="28" t="n">
        <f aca="false">ROUND($Q482*$O482/100,2)</f>
        <v>5</v>
      </c>
    </row>
    <row r="483" customFormat="false" ht="15" hidden="false" customHeight="true" outlineLevel="0" collapsed="false">
      <c r="A483" s="20" t="s">
        <v>1935</v>
      </c>
      <c r="B483" s="20" t="s">
        <v>210</v>
      </c>
      <c r="C483" s="19" t="str">
        <f aca="false">IFERROR(INDEX('قائمة الوحدات'!$B$2:$B$41,MATCH($B483,'قائمة الوحدات'!$A$2:$A$41,0)),"")</f>
        <v>MIL</v>
      </c>
      <c r="D483" s="18" t="str">
        <f aca="false">IFERROR(INDEX('قائمة الوحدات'!$C$2:$C$41,MATCH($B483,'قائمة الوحدات'!$A$2:$A$41,0)),"")</f>
        <v>الجهاز العسكري</v>
      </c>
      <c r="E483" s="18" t="str">
        <f aca="false">IFERROR(INDEX('قائمة الوحدات'!$D$2:$D$41,MATCH($B483,'قائمة الوحدات'!$A$2:$A$41,0)),"")</f>
        <v>الإدارة العامة للعمليات المشتركة</v>
      </c>
      <c r="F483" s="18" t="str">
        <f aca="false">IFERROR(INDEX('قائمة الوحدات'!$F$2:$F$41,MATCH($B483,'قائمة الوحدات'!$A$2:$A$41,0)),"")</f>
        <v>الإدارة العامة للعمليات المشتركة</v>
      </c>
      <c r="G483" s="20" t="s">
        <v>66</v>
      </c>
      <c r="H483" s="18" t="str">
        <f aca="false">IFERROR(INDEX(المرجع!$A$2:$A$19,MATCH($G483,المرجع!$B$2:$B$19,0)),"")</f>
        <v>التشغيل</v>
      </c>
      <c r="I483" s="20" t="s">
        <v>49</v>
      </c>
      <c r="J483" s="18" t="str">
        <f aca="false">IFERROR(INDEX(المرجع!$D$2:$D$19,MATCH($I483,المرجع!$E$2:$E$19,0)),"")</f>
        <v>الأهداف ومؤشرات الأداء</v>
      </c>
      <c r="K483" s="19" t="n">
        <f aca="false">IFERROR(INDEX(المرجع!$F$2:$F$19,MATCH($I483,المرجع!$E$2:$E$19,0)),"")</f>
        <v>2</v>
      </c>
      <c r="L483" s="19" t="n">
        <f aca="false">SUMIFS(المرجع!$H$2:$H$19,المرجع!$B$2:$B$19,$G483,المرجع!$E$2:$E$19,$I483)</f>
        <v>2</v>
      </c>
      <c r="M483" s="19" t="n">
        <f aca="false">COUNTIFS('المرتبطة بسمو الوزير'!$B$2:$B$151,$B483,'المرتبطة بسمو الوزير'!$G$2:$G$151,$G483,'المرتبطة بسمو الوزير'!$I$2:$I$151,$I483,'المرتبطة بسمو الوزير'!$M$2:$M$151,"&lt;&gt;")+COUNTIFS('الشؤون التنفيذية'!$B$2:$B$421,$B483,'الشؤون التنفيذية'!$G$2:$G$421,$G483,'الشؤون التنفيذية'!$I$2:$I$421,$I483,'الشؤون التنفيذية'!$N$2:$N$421,"&lt;&gt;")+COUNTIFS('الجهاز العسكري'!$B$2:$B$631,$B483,'الجهاز العسكري'!$G$2:$G$631,$G483,'الجهاز العسكري'!$I$2:$I$631,$I483,'الجهاز العسكري'!$M$2:$M$631,"&lt;&gt;")</f>
        <v>2</v>
      </c>
      <c r="N483" s="24" t="n">
        <f aca="false">IF($L483=0,0,ROUND((SUMIFS('المرتبطة بسمو الوزير'!$M$2:$M$151,'المرتبطة بسمو الوزير'!$B$2:$B$151,$B483,'المرتبطة بسمو الوزير'!$G$2:$G$151,$G483,'المرتبطة بسمو الوزير'!$I$2:$I$151,$I483)+SUMIFS('الشؤون التنفيذية'!$N$2:$N$421,'الشؤون التنفيذية'!$B$2:$B$421,$B483,'الشؤون التنفيذية'!$G$2:$G$421,$G483,'الشؤون التنفيذية'!$I$2:$I$421,$I483)+SUMIFS('الجهاز العسكري'!$M$2:$M$631,'الجهاز العسكري'!$B$2:$B$631,$B483,'الجهاز العسكري'!$G$2:$G$631,$G483,'الجهاز العسكري'!$I$2:$I$631,$I483))/$L483,0))</f>
        <v>33</v>
      </c>
      <c r="O483" s="25" t="n">
        <f aca="false">IF($L483=0,0,ROUND((SUMIFS('المرتبطة بسمو الوزير'!$N$2:$N$151,'المرتبطة بسمو الوزير'!$B$2:$B$151,$B483,'المرتبطة بسمو الوزير'!$G$2:$G$151,$G483,'المرتبطة بسمو الوزير'!$I$2:$I$151,$I483)+SUMIFS('الشؤون التنفيذية'!$O$2:$O$421,'الشؤون التنفيذية'!$B$2:$B$421,$B483,'الشؤون التنفيذية'!$G$2:$G$421,$G483,'الشؤون التنفيذية'!$I$2:$I$421,$I483)+SUMIFS('الجهاز العسكري'!$N$2:$N$631,'الجهاز العسكري'!$B$2:$B$631,$B483,'الجهاز العسكري'!$G$2:$G$631,$G483,'الجهاز العسكري'!$I$2:$I$631,$I483))/$L483,0))</f>
        <v>100</v>
      </c>
      <c r="P483" s="22"/>
      <c r="Q483" s="19" t="n">
        <f aca="false">SUMIFS(المرجع!$G$2:$G$19,المرجع!$B$2:$B$19,$G483,المرجع!$E$2:$E$19,$I483)</f>
        <v>25</v>
      </c>
      <c r="R483" s="26" t="n">
        <f aca="false">ROUND($Q483*$N483/100,2)</f>
        <v>8.25</v>
      </c>
      <c r="S483" s="27" t="str">
        <f aca="false">IF($N483&gt;المرجع!$K$3,"متقدم",IF($N483&lt;=المرجع!$K$2,"أولي","جزئي"))</f>
        <v>جزئي</v>
      </c>
      <c r="T483" s="28" t="n">
        <f aca="false">ROUND($Q483*$O483/100,2)</f>
        <v>25</v>
      </c>
    </row>
    <row r="484" customFormat="false" ht="15" hidden="false" customHeight="true" outlineLevel="0" collapsed="false">
      <c r="A484" s="20" t="s">
        <v>1936</v>
      </c>
      <c r="B484" s="20" t="s">
        <v>210</v>
      </c>
      <c r="C484" s="19" t="str">
        <f aca="false">IFERROR(INDEX('قائمة الوحدات'!$B$2:$B$41,MATCH($B484,'قائمة الوحدات'!$A$2:$A$41,0)),"")</f>
        <v>MIL</v>
      </c>
      <c r="D484" s="18" t="str">
        <f aca="false">IFERROR(INDEX('قائمة الوحدات'!$C$2:$C$41,MATCH($B484,'قائمة الوحدات'!$A$2:$A$41,0)),"")</f>
        <v>الجهاز العسكري</v>
      </c>
      <c r="E484" s="18" t="str">
        <f aca="false">IFERROR(INDEX('قائمة الوحدات'!$D$2:$D$41,MATCH($B484,'قائمة الوحدات'!$A$2:$A$41,0)),"")</f>
        <v>الإدارة العامة للعمليات المشتركة</v>
      </c>
      <c r="F484" s="18" t="str">
        <f aca="false">IFERROR(INDEX('قائمة الوحدات'!$F$2:$F$41,MATCH($B484,'قائمة الوحدات'!$A$2:$A$41,0)),"")</f>
        <v>الإدارة العامة للعمليات المشتركة</v>
      </c>
      <c r="G484" s="20" t="s">
        <v>66</v>
      </c>
      <c r="H484" s="18" t="str">
        <f aca="false">IFERROR(INDEX(المرجع!$A$2:$A$19,MATCH($G484,المرجع!$B$2:$B$19,0)),"")</f>
        <v>التشغيل</v>
      </c>
      <c r="I484" s="20" t="s">
        <v>52</v>
      </c>
      <c r="J484" s="18" t="str">
        <f aca="false">IFERROR(INDEX(المرجع!$D$2:$D$19,MATCH($I484,المرجع!$E$2:$E$19,0)),"")</f>
        <v>الحوكمة</v>
      </c>
      <c r="K484" s="19" t="n">
        <f aca="false">IFERROR(INDEX(المرجع!$F$2:$F$19,MATCH($I484,المرجع!$E$2:$E$19,0)),"")</f>
        <v>3</v>
      </c>
      <c r="L484" s="19" t="n">
        <f aca="false">SUMIFS(المرجع!$H$2:$H$19,المرجع!$B$2:$B$19,$G484,المرجع!$E$2:$E$19,$I484)</f>
        <v>3</v>
      </c>
      <c r="M484" s="19" t="n">
        <f aca="false">COUNTIFS('المرتبطة بسمو الوزير'!$B$2:$B$151,$B484,'المرتبطة بسمو الوزير'!$G$2:$G$151,$G484,'المرتبطة بسمو الوزير'!$I$2:$I$151,$I484,'المرتبطة بسمو الوزير'!$M$2:$M$151,"&lt;&gt;")+COUNTIFS('الشؤون التنفيذية'!$B$2:$B$421,$B484,'الشؤون التنفيذية'!$G$2:$G$421,$G484,'الشؤون التنفيذية'!$I$2:$I$421,$I484,'الشؤون التنفيذية'!$N$2:$N$421,"&lt;&gt;")+COUNTIFS('الجهاز العسكري'!$B$2:$B$631,$B484,'الجهاز العسكري'!$G$2:$G$631,$G484,'الجهاز العسكري'!$I$2:$I$631,$I484,'الجهاز العسكري'!$M$2:$M$631,"&lt;&gt;")</f>
        <v>3</v>
      </c>
      <c r="N484" s="24" t="n">
        <f aca="false">IF($L484=0,0,ROUND((SUMIFS('المرتبطة بسمو الوزير'!$M$2:$M$151,'المرتبطة بسمو الوزير'!$B$2:$B$151,$B484,'المرتبطة بسمو الوزير'!$G$2:$G$151,$G484,'المرتبطة بسمو الوزير'!$I$2:$I$151,$I484)+SUMIFS('الشؤون التنفيذية'!$N$2:$N$421,'الشؤون التنفيذية'!$B$2:$B$421,$B484,'الشؤون التنفيذية'!$G$2:$G$421,$G484,'الشؤون التنفيذية'!$I$2:$I$421,$I484)+SUMIFS('الجهاز العسكري'!$M$2:$M$631,'الجهاز العسكري'!$B$2:$B$631,$B484,'الجهاز العسكري'!$G$2:$G$631,$G484,'الجهاز العسكري'!$I$2:$I$631,$I484))/$L484,0))</f>
        <v>43</v>
      </c>
      <c r="O484" s="25" t="n">
        <f aca="false">IF($L484=0,0,ROUND((SUMIFS('المرتبطة بسمو الوزير'!$N$2:$N$151,'المرتبطة بسمو الوزير'!$B$2:$B$151,$B484,'المرتبطة بسمو الوزير'!$G$2:$G$151,$G484,'المرتبطة بسمو الوزير'!$I$2:$I$151,$I484)+SUMIFS('الشؤون التنفيذية'!$O$2:$O$421,'الشؤون التنفيذية'!$B$2:$B$421,$B484,'الشؤون التنفيذية'!$G$2:$G$421,$G484,'الشؤون التنفيذية'!$I$2:$I$421,$I484)+SUMIFS('الجهاز العسكري'!$N$2:$N$631,'الجهاز العسكري'!$B$2:$B$631,$B484,'الجهاز العسكري'!$G$2:$G$631,$G484,'الجهاز العسكري'!$I$2:$I$631,$I484))/$L484,0))</f>
        <v>95</v>
      </c>
      <c r="P484" s="22"/>
      <c r="Q484" s="19" t="n">
        <f aca="false">SUMIFS(المرجع!$G$2:$G$19,المرجع!$B$2:$B$19,$G484,المرجع!$E$2:$E$19,$I484)</f>
        <v>15</v>
      </c>
      <c r="R484" s="26" t="n">
        <f aca="false">ROUND($Q484*$N484/100,2)</f>
        <v>6.45</v>
      </c>
      <c r="S484" s="27" t="str">
        <f aca="false">IF($N484&gt;المرجع!$K$3,"متقدم",IF($N484&lt;=المرجع!$K$2,"أولي","جزئي"))</f>
        <v>جزئي</v>
      </c>
      <c r="T484" s="28" t="n">
        <f aca="false">ROUND($Q484*$O484/100,2)</f>
        <v>14.25</v>
      </c>
    </row>
    <row r="485" customFormat="false" ht="15" hidden="false" customHeight="true" outlineLevel="0" collapsed="false">
      <c r="A485" s="20" t="s">
        <v>1937</v>
      </c>
      <c r="B485" s="20" t="s">
        <v>210</v>
      </c>
      <c r="C485" s="19" t="str">
        <f aca="false">IFERROR(INDEX('قائمة الوحدات'!$B$2:$B$41,MATCH($B485,'قائمة الوحدات'!$A$2:$A$41,0)),"")</f>
        <v>MIL</v>
      </c>
      <c r="D485" s="18" t="str">
        <f aca="false">IFERROR(INDEX('قائمة الوحدات'!$C$2:$C$41,MATCH($B485,'قائمة الوحدات'!$A$2:$A$41,0)),"")</f>
        <v>الجهاز العسكري</v>
      </c>
      <c r="E485" s="18" t="str">
        <f aca="false">IFERROR(INDEX('قائمة الوحدات'!$D$2:$D$41,MATCH($B485,'قائمة الوحدات'!$A$2:$A$41,0)),"")</f>
        <v>الإدارة العامة للعمليات المشتركة</v>
      </c>
      <c r="F485" s="18" t="str">
        <f aca="false">IFERROR(INDEX('قائمة الوحدات'!$F$2:$F$41,MATCH($B485,'قائمة الوحدات'!$A$2:$A$41,0)),"")</f>
        <v>الإدارة العامة للعمليات المشتركة</v>
      </c>
      <c r="G485" s="20" t="s">
        <v>66</v>
      </c>
      <c r="H485" s="18" t="str">
        <f aca="false">IFERROR(INDEX(المرجع!$A$2:$A$19,MATCH($G485,المرجع!$B$2:$B$19,0)),"")</f>
        <v>التشغيل</v>
      </c>
      <c r="I485" s="20" t="s">
        <v>57</v>
      </c>
      <c r="J485" s="18" t="str">
        <f aca="false">IFERROR(INDEX(المرجع!$D$2:$D$19,MATCH($I485,المرجع!$E$2:$E$19,0)),"")</f>
        <v>الموارد</v>
      </c>
      <c r="K485" s="19" t="n">
        <f aca="false">IFERROR(INDEX(المرجع!$F$2:$F$19,MATCH($I485,المرجع!$E$2:$E$19,0)),"")</f>
        <v>5</v>
      </c>
      <c r="L485" s="19" t="n">
        <f aca="false">SUMIFS(المرجع!$H$2:$H$19,المرجع!$B$2:$B$19,$G485,المرجع!$E$2:$E$19,$I485)</f>
        <v>1</v>
      </c>
      <c r="M485" s="19" t="n">
        <f aca="false">COUNTIFS('المرتبطة بسمو الوزير'!$B$2:$B$151,$B485,'المرتبطة بسمو الوزير'!$G$2:$G$151,$G485,'المرتبطة بسمو الوزير'!$I$2:$I$151,$I485,'المرتبطة بسمو الوزير'!$M$2:$M$151,"&lt;&gt;")+COUNTIFS('الشؤون التنفيذية'!$B$2:$B$421,$B485,'الشؤون التنفيذية'!$G$2:$G$421,$G485,'الشؤون التنفيذية'!$I$2:$I$421,$I485,'الشؤون التنفيذية'!$N$2:$N$421,"&lt;&gt;")+COUNTIFS('الجهاز العسكري'!$B$2:$B$631,$B485,'الجهاز العسكري'!$G$2:$G$631,$G485,'الجهاز العسكري'!$I$2:$I$631,$I485,'الجهاز العسكري'!$M$2:$M$631,"&lt;&gt;")</f>
        <v>1</v>
      </c>
      <c r="N485" s="24" t="n">
        <f aca="false">IF($L485=0,0,ROUND((SUMIFS('المرتبطة بسمو الوزير'!$M$2:$M$151,'المرتبطة بسمو الوزير'!$B$2:$B$151,$B485,'المرتبطة بسمو الوزير'!$G$2:$G$151,$G485,'المرتبطة بسمو الوزير'!$I$2:$I$151,$I485)+SUMIFS('الشؤون التنفيذية'!$N$2:$N$421,'الشؤون التنفيذية'!$B$2:$B$421,$B485,'الشؤون التنفيذية'!$G$2:$G$421,$G485,'الشؤون التنفيذية'!$I$2:$I$421,$I485)+SUMIFS('الجهاز العسكري'!$M$2:$M$631,'الجهاز العسكري'!$B$2:$B$631,$B485,'الجهاز العسكري'!$G$2:$G$631,$G485,'الجهاز العسكري'!$I$2:$I$631,$I485))/$L485,0))</f>
        <v>29</v>
      </c>
      <c r="O485" s="25" t="n">
        <f aca="false">IF($L485=0,0,ROUND((SUMIFS('المرتبطة بسمو الوزير'!$N$2:$N$151,'المرتبطة بسمو الوزير'!$B$2:$B$151,$B485,'المرتبطة بسمو الوزير'!$G$2:$G$151,$G485,'المرتبطة بسمو الوزير'!$I$2:$I$151,$I485)+SUMIFS('الشؤون التنفيذية'!$O$2:$O$421,'الشؤون التنفيذية'!$B$2:$B$421,$B485,'الشؤون التنفيذية'!$G$2:$G$421,$G485,'الشؤون التنفيذية'!$I$2:$I$421,$I485)+SUMIFS('الجهاز العسكري'!$N$2:$N$631,'الجهاز العسكري'!$B$2:$B$631,$B485,'الجهاز العسكري'!$G$2:$G$631,$G485,'الجهاز العسكري'!$I$2:$I$631,$I485))/$L485,0))</f>
        <v>80</v>
      </c>
      <c r="P485" s="22"/>
      <c r="Q485" s="19" t="n">
        <f aca="false">SUMIFS(المرجع!$G$2:$G$19,المرجع!$B$2:$B$19,$G485,المرجع!$E$2:$E$19,$I485)</f>
        <v>15</v>
      </c>
      <c r="R485" s="26" t="n">
        <f aca="false">ROUND($Q485*$N485/100,2)</f>
        <v>4.35</v>
      </c>
      <c r="S485" s="27" t="str">
        <f aca="false">IF($N485&gt;المرجع!$K$3,"متقدم",IF($N485&lt;=المرجع!$K$2,"أولي","جزئي"))</f>
        <v>أولي</v>
      </c>
      <c r="T485" s="28" t="n">
        <f aca="false">ROUND($Q485*$O485/100,2)</f>
        <v>12</v>
      </c>
    </row>
    <row r="486" customFormat="false" ht="15" hidden="false" customHeight="true" outlineLevel="0" collapsed="false">
      <c r="A486" s="20" t="s">
        <v>1938</v>
      </c>
      <c r="B486" s="20" t="s">
        <v>210</v>
      </c>
      <c r="C486" s="19" t="str">
        <f aca="false">IFERROR(INDEX('قائمة الوحدات'!$B$2:$B$41,MATCH($B486,'قائمة الوحدات'!$A$2:$A$41,0)),"")</f>
        <v>MIL</v>
      </c>
      <c r="D486" s="18" t="str">
        <f aca="false">IFERROR(INDEX('قائمة الوحدات'!$C$2:$C$41,MATCH($B486,'قائمة الوحدات'!$A$2:$A$41,0)),"")</f>
        <v>الجهاز العسكري</v>
      </c>
      <c r="E486" s="18" t="str">
        <f aca="false">IFERROR(INDEX('قائمة الوحدات'!$D$2:$D$41,MATCH($B486,'قائمة الوحدات'!$A$2:$A$41,0)),"")</f>
        <v>الإدارة العامة للعمليات المشتركة</v>
      </c>
      <c r="F486" s="18" t="str">
        <f aca="false">IFERROR(INDEX('قائمة الوحدات'!$F$2:$F$41,MATCH($B486,'قائمة الوحدات'!$A$2:$A$41,0)),"")</f>
        <v>الإدارة العامة للعمليات المشتركة</v>
      </c>
      <c r="G486" s="20" t="s">
        <v>66</v>
      </c>
      <c r="H486" s="18" t="str">
        <f aca="false">IFERROR(INDEX(المرجع!$A$2:$A$19,MATCH($G486,المرجع!$B$2:$B$19,0)),"")</f>
        <v>التشغيل</v>
      </c>
      <c r="I486" s="20" t="s">
        <v>60</v>
      </c>
      <c r="J486" s="18" t="str">
        <f aca="false">IFERROR(INDEX(المرجع!$D$2:$D$19,MATCH($I486,المرجع!$E$2:$E$19,0)),"")</f>
        <v>الإجراءات</v>
      </c>
      <c r="K486" s="19" t="n">
        <f aca="false">IFERROR(INDEX(المرجع!$F$2:$F$19,MATCH($I486,المرجع!$E$2:$E$19,0)),"")</f>
        <v>6</v>
      </c>
      <c r="L486" s="19" t="n">
        <f aca="false">SUMIFS(المرجع!$H$2:$H$19,المرجع!$B$2:$B$19,$G486,المرجع!$E$2:$E$19,$I486)</f>
        <v>1</v>
      </c>
      <c r="M486" s="19" t="n">
        <f aca="false">COUNTIFS('المرتبطة بسمو الوزير'!$B$2:$B$151,$B486,'المرتبطة بسمو الوزير'!$G$2:$G$151,$G486,'المرتبطة بسمو الوزير'!$I$2:$I$151,$I486,'المرتبطة بسمو الوزير'!$M$2:$M$151,"&lt;&gt;")+COUNTIFS('الشؤون التنفيذية'!$B$2:$B$421,$B486,'الشؤون التنفيذية'!$G$2:$G$421,$G486,'الشؤون التنفيذية'!$I$2:$I$421,$I486,'الشؤون التنفيذية'!$N$2:$N$421,"&lt;&gt;")+COUNTIFS('الجهاز العسكري'!$B$2:$B$631,$B486,'الجهاز العسكري'!$G$2:$G$631,$G486,'الجهاز العسكري'!$I$2:$I$631,$I486,'الجهاز العسكري'!$M$2:$M$631,"&lt;&gt;")</f>
        <v>1</v>
      </c>
      <c r="N486" s="24" t="n">
        <f aca="false">IF($L486=0,0,ROUND((SUMIFS('المرتبطة بسمو الوزير'!$M$2:$M$151,'المرتبطة بسمو الوزير'!$B$2:$B$151,$B486,'المرتبطة بسمو الوزير'!$G$2:$G$151,$G486,'المرتبطة بسمو الوزير'!$I$2:$I$151,$I486)+SUMIFS('الشؤون التنفيذية'!$N$2:$N$421,'الشؤون التنفيذية'!$B$2:$B$421,$B486,'الشؤون التنفيذية'!$G$2:$G$421,$G486,'الشؤون التنفيذية'!$I$2:$I$421,$I486)+SUMIFS('الجهاز العسكري'!$M$2:$M$631,'الجهاز العسكري'!$B$2:$B$631,$B486,'الجهاز العسكري'!$G$2:$G$631,$G486,'الجهاز العسكري'!$I$2:$I$631,$I486))/$L486,0))</f>
        <v>44</v>
      </c>
      <c r="O486" s="25" t="n">
        <f aca="false">IF($L486=0,0,ROUND((SUMIFS('المرتبطة بسمو الوزير'!$N$2:$N$151,'المرتبطة بسمو الوزير'!$B$2:$B$151,$B486,'المرتبطة بسمو الوزير'!$G$2:$G$151,$G486,'المرتبطة بسمو الوزير'!$I$2:$I$151,$I486)+SUMIFS('الشؤون التنفيذية'!$O$2:$O$421,'الشؤون التنفيذية'!$B$2:$B$421,$B486,'الشؤون التنفيذية'!$G$2:$G$421,$G486,'الشؤون التنفيذية'!$I$2:$I$421,$I486)+SUMIFS('الجهاز العسكري'!$N$2:$N$631,'الجهاز العسكري'!$B$2:$B$631,$B486,'الجهاز العسكري'!$G$2:$G$631,$G486,'الجهاز العسكري'!$I$2:$I$631,$I486))/$L486,0))</f>
        <v>80</v>
      </c>
      <c r="P486" s="22"/>
      <c r="Q486" s="19" t="n">
        <f aca="false">SUMIFS(المرجع!$G$2:$G$19,المرجع!$B$2:$B$19,$G486,المرجع!$E$2:$E$19,$I486)</f>
        <v>15</v>
      </c>
      <c r="R486" s="26" t="n">
        <f aca="false">ROUND($Q486*$N486/100,2)</f>
        <v>6.6</v>
      </c>
      <c r="S486" s="27" t="str">
        <f aca="false">IF($N486&gt;المرجع!$K$3,"متقدم",IF($N486&lt;=المرجع!$K$2,"أولي","جزئي"))</f>
        <v>جزئي</v>
      </c>
      <c r="T486" s="28" t="n">
        <f aca="false">ROUND($Q486*$O486/100,2)</f>
        <v>12</v>
      </c>
    </row>
    <row r="487" customFormat="false" ht="15" hidden="false" customHeight="true" outlineLevel="0" collapsed="false">
      <c r="A487" s="20" t="s">
        <v>1939</v>
      </c>
      <c r="B487" s="20" t="s">
        <v>210</v>
      </c>
      <c r="C487" s="19" t="str">
        <f aca="false">IFERROR(INDEX('قائمة الوحدات'!$B$2:$B$41,MATCH($B487,'قائمة الوحدات'!$A$2:$A$41,0)),"")</f>
        <v>MIL</v>
      </c>
      <c r="D487" s="18" t="str">
        <f aca="false">IFERROR(INDEX('قائمة الوحدات'!$C$2:$C$41,MATCH($B487,'قائمة الوحدات'!$A$2:$A$41,0)),"")</f>
        <v>الجهاز العسكري</v>
      </c>
      <c r="E487" s="18" t="str">
        <f aca="false">IFERROR(INDEX('قائمة الوحدات'!$D$2:$D$41,MATCH($B487,'قائمة الوحدات'!$A$2:$A$41,0)),"")</f>
        <v>الإدارة العامة للعمليات المشتركة</v>
      </c>
      <c r="F487" s="18" t="str">
        <f aca="false">IFERROR(INDEX('قائمة الوحدات'!$F$2:$F$41,MATCH($B487,'قائمة الوحدات'!$A$2:$A$41,0)),"")</f>
        <v>الإدارة العامة للعمليات المشتركة</v>
      </c>
      <c r="G487" s="20" t="s">
        <v>66</v>
      </c>
      <c r="H487" s="18" t="str">
        <f aca="false">IFERROR(INDEX(المرجع!$A$2:$A$19,MATCH($G487,المرجع!$B$2:$B$19,0)),"")</f>
        <v>التشغيل</v>
      </c>
      <c r="I487" s="20" t="s">
        <v>71</v>
      </c>
      <c r="J487" s="18" t="str">
        <f aca="false">IFERROR(INDEX(المرجع!$D$2:$D$19,MATCH($I487,المرجع!$E$2:$E$19,0)),"")</f>
        <v>اكتمال المخرجات المستهدفة</v>
      </c>
      <c r="K487" s="19" t="n">
        <f aca="false">IFERROR(INDEX(المرجع!$F$2:$F$19,MATCH($I487,المرجع!$E$2:$E$19,0)),"")</f>
        <v>8</v>
      </c>
      <c r="L487" s="19" t="n">
        <f aca="false">SUMIFS(المرجع!$H$2:$H$19,المرجع!$B$2:$B$19,$G487,المرجع!$E$2:$E$19,$I487)</f>
        <v>1</v>
      </c>
      <c r="M487" s="19" t="n">
        <f aca="false">COUNTIFS('المرتبطة بسمو الوزير'!$B$2:$B$151,$B487,'المرتبطة بسمو الوزير'!$G$2:$G$151,$G487,'المرتبطة بسمو الوزير'!$I$2:$I$151,$I487,'المرتبطة بسمو الوزير'!$M$2:$M$151,"&lt;&gt;")+COUNTIFS('الشؤون التنفيذية'!$B$2:$B$421,$B487,'الشؤون التنفيذية'!$G$2:$G$421,$G487,'الشؤون التنفيذية'!$I$2:$I$421,$I487,'الشؤون التنفيذية'!$N$2:$N$421,"&lt;&gt;")+COUNTIFS('الجهاز العسكري'!$B$2:$B$631,$B487,'الجهاز العسكري'!$G$2:$G$631,$G487,'الجهاز العسكري'!$I$2:$I$631,$I487,'الجهاز العسكري'!$M$2:$M$631,"&lt;&gt;")</f>
        <v>1</v>
      </c>
      <c r="N487" s="24" t="n">
        <f aca="false">IF($L487=0,0,ROUND((SUMIFS('المرتبطة بسمو الوزير'!$M$2:$M$151,'المرتبطة بسمو الوزير'!$B$2:$B$151,$B487,'المرتبطة بسمو الوزير'!$G$2:$G$151,$G487,'المرتبطة بسمو الوزير'!$I$2:$I$151,$I487)+SUMIFS('الشؤون التنفيذية'!$N$2:$N$421,'الشؤون التنفيذية'!$B$2:$B$421,$B487,'الشؤون التنفيذية'!$G$2:$G$421,$G487,'الشؤون التنفيذية'!$I$2:$I$421,$I487)+SUMIFS('الجهاز العسكري'!$M$2:$M$631,'الجهاز العسكري'!$B$2:$B$631,$B487,'الجهاز العسكري'!$G$2:$G$631,$G487,'الجهاز العسكري'!$I$2:$I$631,$I487))/$L487,0))</f>
        <v>56</v>
      </c>
      <c r="O487" s="25" t="n">
        <f aca="false">IF($L487=0,0,ROUND((SUMIFS('المرتبطة بسمو الوزير'!$N$2:$N$151,'المرتبطة بسمو الوزير'!$B$2:$B$151,$B487,'المرتبطة بسمو الوزير'!$G$2:$G$151,$G487,'المرتبطة بسمو الوزير'!$I$2:$I$151,$I487)+SUMIFS('الشؤون التنفيذية'!$O$2:$O$421,'الشؤون التنفيذية'!$B$2:$B$421,$B487,'الشؤون التنفيذية'!$G$2:$G$421,$G487,'الشؤون التنفيذية'!$I$2:$I$421,$I487)+SUMIFS('الجهاز العسكري'!$N$2:$N$631,'الجهاز العسكري'!$B$2:$B$631,$B487,'الجهاز العسكري'!$G$2:$G$631,$G487,'الجهاز العسكري'!$I$2:$I$631,$I487))/$L487,0))</f>
        <v>80</v>
      </c>
      <c r="P487" s="22"/>
      <c r="Q487" s="19" t="n">
        <f aca="false">SUMIFS(المرجع!$G$2:$G$19,المرجع!$B$2:$B$19,$G487,المرجع!$E$2:$E$19,$I487)</f>
        <v>30</v>
      </c>
      <c r="R487" s="26" t="n">
        <f aca="false">ROUND($Q487*$N487/100,2)</f>
        <v>16.8</v>
      </c>
      <c r="S487" s="27" t="str">
        <f aca="false">IF($N487&gt;المرجع!$K$3,"متقدم",IF($N487&lt;=المرجع!$K$2,"أولي","جزئي"))</f>
        <v>جزئي</v>
      </c>
      <c r="T487" s="28" t="n">
        <f aca="false">ROUND($Q487*$O487/100,2)</f>
        <v>24</v>
      </c>
    </row>
    <row r="488" customFormat="false" ht="15" hidden="false" customHeight="true" outlineLevel="0" collapsed="false">
      <c r="A488" s="20" t="s">
        <v>1940</v>
      </c>
      <c r="B488" s="20" t="s">
        <v>212</v>
      </c>
      <c r="C488" s="19" t="str">
        <f aca="false">IFERROR(INDEX('قائمة الوحدات'!$B$2:$B$41,MATCH($B488,'قائمة الوحدات'!$A$2:$A$41,0)),"")</f>
        <v>MIL</v>
      </c>
      <c r="D488" s="18" t="str">
        <f aca="false">IFERROR(INDEX('قائمة الوحدات'!$C$2:$C$41,MATCH($B488,'قائمة الوحدات'!$A$2:$A$41,0)),"")</f>
        <v>الجهاز العسكري</v>
      </c>
      <c r="E488" s="18" t="str">
        <f aca="false">IFERROR(INDEX('قائمة الوحدات'!$D$2:$D$41,MATCH($B488,'قائمة الوحدات'!$A$2:$A$41,0)),"")</f>
        <v>الإدارة العامة للتخطيط والتنظيم العسكري</v>
      </c>
      <c r="F488" s="18" t="str">
        <f aca="false">IFERROR(INDEX('قائمة الوحدات'!$F$2:$F$41,MATCH($B488,'قائمة الوحدات'!$A$2:$A$41,0)),"")</f>
        <v>الإدارة العامة للتخطيط والتنظيم العسكري</v>
      </c>
      <c r="G488" s="20" t="s">
        <v>44</v>
      </c>
      <c r="H488" s="18" t="str">
        <f aca="false">IFERROR(INDEX(المرجع!$A$2:$A$19,MATCH($G488,المرجع!$B$2:$B$19,0)),"")</f>
        <v>التصميم</v>
      </c>
      <c r="I488" s="20" t="s">
        <v>46</v>
      </c>
      <c r="J488" s="18" t="str">
        <f aca="false">IFERROR(INDEX(المرجع!$D$2:$D$19,MATCH($I488,المرجع!$E$2:$E$19,0)),"")</f>
        <v>الدور</v>
      </c>
      <c r="K488" s="19" t="n">
        <f aca="false">IFERROR(INDEX(المرجع!$F$2:$F$19,MATCH($I488,المرجع!$E$2:$E$19,0)),"")</f>
        <v>1</v>
      </c>
      <c r="L488" s="19" t="n">
        <f aca="false">SUMIFS(المرجع!$H$2:$H$19,المرجع!$B$2:$B$19,$G488,المرجع!$E$2:$E$19,$I488)</f>
        <v>1</v>
      </c>
      <c r="M488" s="19" t="n">
        <f aca="false">COUNTIFS('المرتبطة بسمو الوزير'!$B$2:$B$151,$B488,'المرتبطة بسمو الوزير'!$G$2:$G$151,$G488,'المرتبطة بسمو الوزير'!$I$2:$I$151,$I488,'المرتبطة بسمو الوزير'!$M$2:$M$151,"&lt;&gt;")+COUNTIFS('الشؤون التنفيذية'!$B$2:$B$421,$B488,'الشؤون التنفيذية'!$G$2:$G$421,$G488,'الشؤون التنفيذية'!$I$2:$I$421,$I488,'الشؤون التنفيذية'!$N$2:$N$421,"&lt;&gt;")+COUNTIFS('الجهاز العسكري'!$B$2:$B$631,$B488,'الجهاز العسكري'!$G$2:$G$631,$G488,'الجهاز العسكري'!$I$2:$I$631,$I488,'الجهاز العسكري'!$M$2:$M$631,"&lt;&gt;")</f>
        <v>1</v>
      </c>
      <c r="N488" s="24" t="n">
        <f aca="false">IF($L488=0,0,ROUND((SUMIFS('المرتبطة بسمو الوزير'!$M$2:$M$151,'المرتبطة بسمو الوزير'!$B$2:$B$151,$B488,'المرتبطة بسمو الوزير'!$G$2:$G$151,$G488,'المرتبطة بسمو الوزير'!$I$2:$I$151,$I488)+SUMIFS('الشؤون التنفيذية'!$N$2:$N$421,'الشؤون التنفيذية'!$B$2:$B$421,$B488,'الشؤون التنفيذية'!$G$2:$G$421,$G488,'الشؤون التنفيذية'!$I$2:$I$421,$I488)+SUMIFS('الجهاز العسكري'!$M$2:$M$631,'الجهاز العسكري'!$B$2:$B$631,$B488,'الجهاز العسكري'!$G$2:$G$631,$G488,'الجهاز العسكري'!$I$2:$I$631,$I488))/$L488,0))</f>
        <v>80</v>
      </c>
      <c r="O488" s="25" t="n">
        <f aca="false">IF($L488=0,0,ROUND((SUMIFS('المرتبطة بسمو الوزير'!$N$2:$N$151,'المرتبطة بسمو الوزير'!$B$2:$B$151,$B488,'المرتبطة بسمو الوزير'!$G$2:$G$151,$G488,'المرتبطة بسمو الوزير'!$I$2:$I$151,$I488)+SUMIFS('الشؤون التنفيذية'!$O$2:$O$421,'الشؤون التنفيذية'!$B$2:$B$421,$B488,'الشؤون التنفيذية'!$G$2:$G$421,$G488,'الشؤون التنفيذية'!$I$2:$I$421,$I488)+SUMIFS('الجهاز العسكري'!$N$2:$N$631,'الجهاز العسكري'!$B$2:$B$631,$B488,'الجهاز العسكري'!$G$2:$G$631,$G488,'الجهاز العسكري'!$I$2:$I$631,$I488))/$L488,0))</f>
        <v>85</v>
      </c>
      <c r="P488" s="22"/>
      <c r="Q488" s="19" t="n">
        <f aca="false">SUMIFS(المرجع!$G$2:$G$19,المرجع!$B$2:$B$19,$G488,المرجع!$E$2:$E$19,$I488)</f>
        <v>25</v>
      </c>
      <c r="R488" s="26" t="n">
        <f aca="false">ROUND($Q488*$N488/100,2)</f>
        <v>20</v>
      </c>
      <c r="S488" s="27" t="str">
        <f aca="false">IF($N488&gt;المرجع!$K$3,"متقدم",IF($N488&lt;=المرجع!$K$2,"أولي","جزئي"))</f>
        <v>متقدم</v>
      </c>
      <c r="T488" s="28" t="n">
        <f aca="false">ROUND($Q488*$O488/100,2)</f>
        <v>21.25</v>
      </c>
    </row>
    <row r="489" customFormat="false" ht="15" hidden="false" customHeight="true" outlineLevel="0" collapsed="false">
      <c r="A489" s="20" t="s">
        <v>1941</v>
      </c>
      <c r="B489" s="20" t="s">
        <v>212</v>
      </c>
      <c r="C489" s="19" t="str">
        <f aca="false">IFERROR(INDEX('قائمة الوحدات'!$B$2:$B$41,MATCH($B489,'قائمة الوحدات'!$A$2:$A$41,0)),"")</f>
        <v>MIL</v>
      </c>
      <c r="D489" s="18" t="str">
        <f aca="false">IFERROR(INDEX('قائمة الوحدات'!$C$2:$C$41,MATCH($B489,'قائمة الوحدات'!$A$2:$A$41,0)),"")</f>
        <v>الجهاز العسكري</v>
      </c>
      <c r="E489" s="18" t="str">
        <f aca="false">IFERROR(INDEX('قائمة الوحدات'!$D$2:$D$41,MATCH($B489,'قائمة الوحدات'!$A$2:$A$41,0)),"")</f>
        <v>الإدارة العامة للتخطيط والتنظيم العسكري</v>
      </c>
      <c r="F489" s="18" t="str">
        <f aca="false">IFERROR(INDEX('قائمة الوحدات'!$F$2:$F$41,MATCH($B489,'قائمة الوحدات'!$A$2:$A$41,0)),"")</f>
        <v>الإدارة العامة للتخطيط والتنظيم العسكري</v>
      </c>
      <c r="G489" s="20" t="s">
        <v>44</v>
      </c>
      <c r="H489" s="18" t="str">
        <f aca="false">IFERROR(INDEX(المرجع!$A$2:$A$19,MATCH($G489,المرجع!$B$2:$B$19,0)),"")</f>
        <v>التصميم</v>
      </c>
      <c r="I489" s="20" t="s">
        <v>49</v>
      </c>
      <c r="J489" s="18" t="str">
        <f aca="false">IFERROR(INDEX(المرجع!$D$2:$D$19,MATCH($I489,المرجع!$E$2:$E$19,0)),"")</f>
        <v>الأهداف ومؤشرات الأداء</v>
      </c>
      <c r="K489" s="19" t="n">
        <f aca="false">IFERROR(INDEX(المرجع!$F$2:$F$19,MATCH($I489,المرجع!$E$2:$E$19,0)),"")</f>
        <v>2</v>
      </c>
      <c r="L489" s="19" t="n">
        <f aca="false">SUMIFS(المرجع!$H$2:$H$19,المرجع!$B$2:$B$19,$G489,المرجع!$E$2:$E$19,$I489)</f>
        <v>2</v>
      </c>
      <c r="M489" s="19" t="n">
        <f aca="false">COUNTIFS('المرتبطة بسمو الوزير'!$B$2:$B$151,$B489,'المرتبطة بسمو الوزير'!$G$2:$G$151,$G489,'المرتبطة بسمو الوزير'!$I$2:$I$151,$I489,'المرتبطة بسمو الوزير'!$M$2:$M$151,"&lt;&gt;")+COUNTIFS('الشؤون التنفيذية'!$B$2:$B$421,$B489,'الشؤون التنفيذية'!$G$2:$G$421,$G489,'الشؤون التنفيذية'!$I$2:$I$421,$I489,'الشؤون التنفيذية'!$N$2:$N$421,"&lt;&gt;")+COUNTIFS('الجهاز العسكري'!$B$2:$B$631,$B489,'الجهاز العسكري'!$G$2:$G$631,$G489,'الجهاز العسكري'!$I$2:$I$631,$I489,'الجهاز العسكري'!$M$2:$M$631,"&lt;&gt;")</f>
        <v>2</v>
      </c>
      <c r="N489" s="24" t="n">
        <f aca="false">IF($L489=0,0,ROUND((SUMIFS('المرتبطة بسمو الوزير'!$M$2:$M$151,'المرتبطة بسمو الوزير'!$B$2:$B$151,$B489,'المرتبطة بسمو الوزير'!$G$2:$G$151,$G489,'المرتبطة بسمو الوزير'!$I$2:$I$151,$I489)+SUMIFS('الشؤون التنفيذية'!$N$2:$N$421,'الشؤون التنفيذية'!$B$2:$B$421,$B489,'الشؤون التنفيذية'!$G$2:$G$421,$G489,'الشؤون التنفيذية'!$I$2:$I$421,$I489)+SUMIFS('الجهاز العسكري'!$M$2:$M$631,'الجهاز العسكري'!$B$2:$B$631,$B489,'الجهاز العسكري'!$G$2:$G$631,$G489,'الجهاز العسكري'!$I$2:$I$631,$I489))/$L489,0))</f>
        <v>75</v>
      </c>
      <c r="O489" s="25" t="n">
        <f aca="false">IF($L489=0,0,ROUND((SUMIFS('المرتبطة بسمو الوزير'!$N$2:$N$151,'المرتبطة بسمو الوزير'!$B$2:$B$151,$B489,'المرتبطة بسمو الوزير'!$G$2:$G$151,$G489,'المرتبطة بسمو الوزير'!$I$2:$I$151,$I489)+SUMIFS('الشؤون التنفيذية'!$O$2:$O$421,'الشؤون التنفيذية'!$B$2:$B$421,$B489,'الشؤون التنفيذية'!$G$2:$G$421,$G489,'الشؤون التنفيذية'!$I$2:$I$421,$I489)+SUMIFS('الجهاز العسكري'!$N$2:$N$631,'الجهاز العسكري'!$B$2:$B$631,$B489,'الجهاز العسكري'!$G$2:$G$631,$G489,'الجهاز العسكري'!$I$2:$I$631,$I489))/$L489,0))</f>
        <v>95</v>
      </c>
      <c r="P489" s="22"/>
      <c r="Q489" s="19" t="n">
        <f aca="false">SUMIFS(المرجع!$G$2:$G$19,المرجع!$B$2:$B$19,$G489,المرجع!$E$2:$E$19,$I489)</f>
        <v>15</v>
      </c>
      <c r="R489" s="26" t="n">
        <f aca="false">ROUND($Q489*$N489/100,2)</f>
        <v>11.25</v>
      </c>
      <c r="S489" s="27" t="str">
        <f aca="false">IF($N489&gt;المرجع!$K$3,"متقدم",IF($N489&lt;=المرجع!$K$2,"أولي","جزئي"))</f>
        <v>متقدم</v>
      </c>
      <c r="T489" s="28" t="n">
        <f aca="false">ROUND($Q489*$O489/100,2)</f>
        <v>14.25</v>
      </c>
    </row>
    <row r="490" customFormat="false" ht="15" hidden="false" customHeight="true" outlineLevel="0" collapsed="false">
      <c r="A490" s="20" t="s">
        <v>1942</v>
      </c>
      <c r="B490" s="20" t="s">
        <v>212</v>
      </c>
      <c r="C490" s="19" t="str">
        <f aca="false">IFERROR(INDEX('قائمة الوحدات'!$B$2:$B$41,MATCH($B490,'قائمة الوحدات'!$A$2:$A$41,0)),"")</f>
        <v>MIL</v>
      </c>
      <c r="D490" s="18" t="str">
        <f aca="false">IFERROR(INDEX('قائمة الوحدات'!$C$2:$C$41,MATCH($B490,'قائمة الوحدات'!$A$2:$A$41,0)),"")</f>
        <v>الجهاز العسكري</v>
      </c>
      <c r="E490" s="18" t="str">
        <f aca="false">IFERROR(INDEX('قائمة الوحدات'!$D$2:$D$41,MATCH($B490,'قائمة الوحدات'!$A$2:$A$41,0)),"")</f>
        <v>الإدارة العامة للتخطيط والتنظيم العسكري</v>
      </c>
      <c r="F490" s="18" t="str">
        <f aca="false">IFERROR(INDEX('قائمة الوحدات'!$F$2:$F$41,MATCH($B490,'قائمة الوحدات'!$A$2:$A$41,0)),"")</f>
        <v>الإدارة العامة للتخطيط والتنظيم العسكري</v>
      </c>
      <c r="G490" s="20" t="s">
        <v>44</v>
      </c>
      <c r="H490" s="18" t="str">
        <f aca="false">IFERROR(INDEX(المرجع!$A$2:$A$19,MATCH($G490,المرجع!$B$2:$B$19,0)),"")</f>
        <v>التصميم</v>
      </c>
      <c r="I490" s="20" t="s">
        <v>52</v>
      </c>
      <c r="J490" s="18" t="str">
        <f aca="false">IFERROR(INDEX(المرجع!$D$2:$D$19,MATCH($I490,المرجع!$E$2:$E$19,0)),"")</f>
        <v>الحوكمة</v>
      </c>
      <c r="K490" s="19" t="n">
        <f aca="false">IFERROR(INDEX(المرجع!$F$2:$F$19,MATCH($I490,المرجع!$E$2:$E$19,0)),"")</f>
        <v>3</v>
      </c>
      <c r="L490" s="19" t="n">
        <f aca="false">SUMIFS(المرجع!$H$2:$H$19,المرجع!$B$2:$B$19,$G490,المرجع!$E$2:$E$19,$I490)</f>
        <v>1</v>
      </c>
      <c r="M490" s="19" t="n">
        <f aca="false">COUNTIFS('المرتبطة بسمو الوزير'!$B$2:$B$151,$B490,'المرتبطة بسمو الوزير'!$G$2:$G$151,$G490,'المرتبطة بسمو الوزير'!$I$2:$I$151,$I490,'المرتبطة بسمو الوزير'!$M$2:$M$151,"&lt;&gt;")+COUNTIFS('الشؤون التنفيذية'!$B$2:$B$421,$B490,'الشؤون التنفيذية'!$G$2:$G$421,$G490,'الشؤون التنفيذية'!$I$2:$I$421,$I490,'الشؤون التنفيذية'!$N$2:$N$421,"&lt;&gt;")+COUNTIFS('الجهاز العسكري'!$B$2:$B$631,$B490,'الجهاز العسكري'!$G$2:$G$631,$G490,'الجهاز العسكري'!$I$2:$I$631,$I490,'الجهاز العسكري'!$M$2:$M$631,"&lt;&gt;")</f>
        <v>1</v>
      </c>
      <c r="N490" s="24" t="n">
        <f aca="false">IF($L490=0,0,ROUND((SUMIFS('المرتبطة بسمو الوزير'!$M$2:$M$151,'المرتبطة بسمو الوزير'!$B$2:$B$151,$B490,'المرتبطة بسمو الوزير'!$G$2:$G$151,$G490,'المرتبطة بسمو الوزير'!$I$2:$I$151,$I490)+SUMIFS('الشؤون التنفيذية'!$N$2:$N$421,'الشؤون التنفيذية'!$B$2:$B$421,$B490,'الشؤون التنفيذية'!$G$2:$G$421,$G490,'الشؤون التنفيذية'!$I$2:$I$421,$I490)+SUMIFS('الجهاز العسكري'!$M$2:$M$631,'الجهاز العسكري'!$B$2:$B$631,$B490,'الجهاز العسكري'!$G$2:$G$631,$G490,'الجهاز العسكري'!$I$2:$I$631,$I490))/$L490,0))</f>
        <v>80</v>
      </c>
      <c r="O490" s="25" t="n">
        <f aca="false">IF($L490=0,0,ROUND((SUMIFS('المرتبطة بسمو الوزير'!$N$2:$N$151,'المرتبطة بسمو الوزير'!$B$2:$B$151,$B490,'المرتبطة بسمو الوزير'!$G$2:$G$151,$G490,'المرتبطة بسمو الوزير'!$I$2:$I$151,$I490)+SUMIFS('الشؤون التنفيذية'!$O$2:$O$421,'الشؤون التنفيذية'!$B$2:$B$421,$B490,'الشؤون التنفيذية'!$G$2:$G$421,$G490,'الشؤون التنفيذية'!$I$2:$I$421,$I490)+SUMIFS('الجهاز العسكري'!$N$2:$N$631,'الجهاز العسكري'!$B$2:$B$631,$B490,'الجهاز العسكري'!$G$2:$G$631,$G490,'الجهاز العسكري'!$I$2:$I$631,$I490))/$L490,0))</f>
        <v>80</v>
      </c>
      <c r="P490" s="22"/>
      <c r="Q490" s="19" t="n">
        <f aca="false">SUMIFS(المرجع!$G$2:$G$19,المرجع!$B$2:$B$19,$G490,المرجع!$E$2:$E$19,$I490)</f>
        <v>15</v>
      </c>
      <c r="R490" s="26" t="n">
        <f aca="false">ROUND($Q490*$N490/100,2)</f>
        <v>12</v>
      </c>
      <c r="S490" s="27" t="str">
        <f aca="false">IF($N490&gt;المرجع!$K$3,"متقدم",IF($N490&lt;=المرجع!$K$2,"أولي","جزئي"))</f>
        <v>متقدم</v>
      </c>
      <c r="T490" s="28" t="n">
        <f aca="false">ROUND($Q490*$O490/100,2)</f>
        <v>12</v>
      </c>
    </row>
    <row r="491" customFormat="false" ht="15" hidden="false" customHeight="true" outlineLevel="0" collapsed="false">
      <c r="A491" s="20" t="s">
        <v>1943</v>
      </c>
      <c r="B491" s="20" t="s">
        <v>212</v>
      </c>
      <c r="C491" s="19" t="str">
        <f aca="false">IFERROR(INDEX('قائمة الوحدات'!$B$2:$B$41,MATCH($B491,'قائمة الوحدات'!$A$2:$A$41,0)),"")</f>
        <v>MIL</v>
      </c>
      <c r="D491" s="18" t="str">
        <f aca="false">IFERROR(INDEX('قائمة الوحدات'!$C$2:$C$41,MATCH($B491,'قائمة الوحدات'!$A$2:$A$41,0)),"")</f>
        <v>الجهاز العسكري</v>
      </c>
      <c r="E491" s="18" t="str">
        <f aca="false">IFERROR(INDEX('قائمة الوحدات'!$D$2:$D$41,MATCH($B491,'قائمة الوحدات'!$A$2:$A$41,0)),"")</f>
        <v>الإدارة العامة للتخطيط والتنظيم العسكري</v>
      </c>
      <c r="F491" s="18" t="str">
        <f aca="false">IFERROR(INDEX('قائمة الوحدات'!$F$2:$F$41,MATCH($B491,'قائمة الوحدات'!$A$2:$A$41,0)),"")</f>
        <v>الإدارة العامة للتخطيط والتنظيم العسكري</v>
      </c>
      <c r="G491" s="20" t="s">
        <v>44</v>
      </c>
      <c r="H491" s="18" t="str">
        <f aca="false">IFERROR(INDEX(المرجع!$A$2:$A$19,MATCH($G491,المرجع!$B$2:$B$19,0)),"")</f>
        <v>التصميم</v>
      </c>
      <c r="I491" s="20" t="s">
        <v>55</v>
      </c>
      <c r="J491" s="18" t="str">
        <f aca="false">IFERROR(INDEX(المرجع!$D$2:$D$19,MATCH($I491,المرجع!$E$2:$E$19,0)),"")</f>
        <v>التنظيم</v>
      </c>
      <c r="K491" s="19" t="n">
        <f aca="false">IFERROR(INDEX(المرجع!$F$2:$F$19,MATCH($I491,المرجع!$E$2:$E$19,0)),"")</f>
        <v>4</v>
      </c>
      <c r="L491" s="19" t="n">
        <f aca="false">SUMIFS(المرجع!$H$2:$H$19,المرجع!$B$2:$B$19,$G491,المرجع!$E$2:$E$19,$I491)</f>
        <v>1</v>
      </c>
      <c r="M491" s="19" t="n">
        <f aca="false">COUNTIFS('المرتبطة بسمو الوزير'!$B$2:$B$151,$B491,'المرتبطة بسمو الوزير'!$G$2:$G$151,$G491,'المرتبطة بسمو الوزير'!$I$2:$I$151,$I491,'المرتبطة بسمو الوزير'!$M$2:$M$151,"&lt;&gt;")+COUNTIFS('الشؤون التنفيذية'!$B$2:$B$421,$B491,'الشؤون التنفيذية'!$G$2:$G$421,$G491,'الشؤون التنفيذية'!$I$2:$I$421,$I491,'الشؤون التنفيذية'!$N$2:$N$421,"&lt;&gt;")+COUNTIFS('الجهاز العسكري'!$B$2:$B$631,$B491,'الجهاز العسكري'!$G$2:$G$631,$G491,'الجهاز العسكري'!$I$2:$I$631,$I491,'الجهاز العسكري'!$M$2:$M$631,"&lt;&gt;")</f>
        <v>1</v>
      </c>
      <c r="N491" s="24" t="n">
        <f aca="false">IF($L491=0,0,ROUND((SUMIFS('المرتبطة بسمو الوزير'!$M$2:$M$151,'المرتبطة بسمو الوزير'!$B$2:$B$151,$B491,'المرتبطة بسمو الوزير'!$G$2:$G$151,$G491,'المرتبطة بسمو الوزير'!$I$2:$I$151,$I491)+SUMIFS('الشؤون التنفيذية'!$N$2:$N$421,'الشؤون التنفيذية'!$B$2:$B$421,$B491,'الشؤون التنفيذية'!$G$2:$G$421,$G491,'الشؤون التنفيذية'!$I$2:$I$421,$I491)+SUMIFS('الجهاز العسكري'!$M$2:$M$631,'الجهاز العسكري'!$B$2:$B$631,$B491,'الجهاز العسكري'!$G$2:$G$631,$G491,'الجهاز العسكري'!$I$2:$I$631,$I491))/$L491,0))</f>
        <v>68</v>
      </c>
      <c r="O491" s="25" t="n">
        <f aca="false">IF($L491=0,0,ROUND((SUMIFS('المرتبطة بسمو الوزير'!$N$2:$N$151,'المرتبطة بسمو الوزير'!$B$2:$B$151,$B491,'المرتبطة بسمو الوزير'!$G$2:$G$151,$G491,'المرتبطة بسمو الوزير'!$I$2:$I$151,$I491)+SUMIFS('الشؤون التنفيذية'!$O$2:$O$421,'الشؤون التنفيذية'!$B$2:$B$421,$B491,'الشؤون التنفيذية'!$G$2:$G$421,$G491,'الشؤون التنفيذية'!$I$2:$I$421,$I491)+SUMIFS('الجهاز العسكري'!$N$2:$N$631,'الجهاز العسكري'!$B$2:$B$631,$B491,'الجهاز العسكري'!$G$2:$G$631,$G491,'الجهاز العسكري'!$I$2:$I$631,$I491))/$L491,0))</f>
        <v>95</v>
      </c>
      <c r="P491" s="22"/>
      <c r="Q491" s="19" t="n">
        <f aca="false">SUMIFS(المرجع!$G$2:$G$19,المرجع!$B$2:$B$19,$G491,المرجع!$E$2:$E$19,$I491)</f>
        <v>20</v>
      </c>
      <c r="R491" s="26" t="n">
        <f aca="false">ROUND($Q491*$N491/100,2)</f>
        <v>13.6</v>
      </c>
      <c r="S491" s="27" t="str">
        <f aca="false">IF($N491&gt;المرجع!$K$3,"متقدم",IF($N491&lt;=المرجع!$K$2,"أولي","جزئي"))</f>
        <v>جزئي</v>
      </c>
      <c r="T491" s="28" t="n">
        <f aca="false">ROUND($Q491*$O491/100,2)</f>
        <v>19</v>
      </c>
    </row>
    <row r="492" customFormat="false" ht="15" hidden="false" customHeight="true" outlineLevel="0" collapsed="false">
      <c r="A492" s="20" t="s">
        <v>1944</v>
      </c>
      <c r="B492" s="20" t="s">
        <v>212</v>
      </c>
      <c r="C492" s="19" t="str">
        <f aca="false">IFERROR(INDEX('قائمة الوحدات'!$B$2:$B$41,MATCH($B492,'قائمة الوحدات'!$A$2:$A$41,0)),"")</f>
        <v>MIL</v>
      </c>
      <c r="D492" s="18" t="str">
        <f aca="false">IFERROR(INDEX('قائمة الوحدات'!$C$2:$C$41,MATCH($B492,'قائمة الوحدات'!$A$2:$A$41,0)),"")</f>
        <v>الجهاز العسكري</v>
      </c>
      <c r="E492" s="18" t="str">
        <f aca="false">IFERROR(INDEX('قائمة الوحدات'!$D$2:$D$41,MATCH($B492,'قائمة الوحدات'!$A$2:$A$41,0)),"")</f>
        <v>الإدارة العامة للتخطيط والتنظيم العسكري</v>
      </c>
      <c r="F492" s="18" t="str">
        <f aca="false">IFERROR(INDEX('قائمة الوحدات'!$F$2:$F$41,MATCH($B492,'قائمة الوحدات'!$A$2:$A$41,0)),"")</f>
        <v>الإدارة العامة للتخطيط والتنظيم العسكري</v>
      </c>
      <c r="G492" s="20" t="s">
        <v>44</v>
      </c>
      <c r="H492" s="18" t="str">
        <f aca="false">IFERROR(INDEX(المرجع!$A$2:$A$19,MATCH($G492,المرجع!$B$2:$B$19,0)),"")</f>
        <v>التصميم</v>
      </c>
      <c r="I492" s="20" t="s">
        <v>57</v>
      </c>
      <c r="J492" s="18" t="str">
        <f aca="false">IFERROR(INDEX(المرجع!$D$2:$D$19,MATCH($I492,المرجع!$E$2:$E$19,0)),"")</f>
        <v>الموارد</v>
      </c>
      <c r="K492" s="19" t="n">
        <f aca="false">IFERROR(INDEX(المرجع!$F$2:$F$19,MATCH($I492,المرجع!$E$2:$E$19,0)),"")</f>
        <v>5</v>
      </c>
      <c r="L492" s="19" t="n">
        <f aca="false">SUMIFS(المرجع!$H$2:$H$19,المرجع!$B$2:$B$19,$G492,المرجع!$E$2:$E$19,$I492)</f>
        <v>1</v>
      </c>
      <c r="M492" s="19" t="n">
        <f aca="false">COUNTIFS('المرتبطة بسمو الوزير'!$B$2:$B$151,$B492,'المرتبطة بسمو الوزير'!$G$2:$G$151,$G492,'المرتبطة بسمو الوزير'!$I$2:$I$151,$I492,'المرتبطة بسمو الوزير'!$M$2:$M$151,"&lt;&gt;")+COUNTIFS('الشؤون التنفيذية'!$B$2:$B$421,$B492,'الشؤون التنفيذية'!$G$2:$G$421,$G492,'الشؤون التنفيذية'!$I$2:$I$421,$I492,'الشؤون التنفيذية'!$N$2:$N$421,"&lt;&gt;")+COUNTIFS('الجهاز العسكري'!$B$2:$B$631,$B492,'الجهاز العسكري'!$G$2:$G$631,$G492,'الجهاز العسكري'!$I$2:$I$631,$I492,'الجهاز العسكري'!$M$2:$M$631,"&lt;&gt;")</f>
        <v>1</v>
      </c>
      <c r="N492" s="24" t="n">
        <f aca="false">IF($L492=0,0,ROUND((SUMIFS('المرتبطة بسمو الوزير'!$M$2:$M$151,'المرتبطة بسمو الوزير'!$B$2:$B$151,$B492,'المرتبطة بسمو الوزير'!$G$2:$G$151,$G492,'المرتبطة بسمو الوزير'!$I$2:$I$151,$I492)+SUMIFS('الشؤون التنفيذية'!$N$2:$N$421,'الشؤون التنفيذية'!$B$2:$B$421,$B492,'الشؤون التنفيذية'!$G$2:$G$421,$G492,'الشؤون التنفيذية'!$I$2:$I$421,$I492)+SUMIFS('الجهاز العسكري'!$M$2:$M$631,'الجهاز العسكري'!$B$2:$B$631,$B492,'الجهاز العسكري'!$G$2:$G$631,$G492,'الجهاز العسكري'!$I$2:$I$631,$I492))/$L492,0))</f>
        <v>95</v>
      </c>
      <c r="O492" s="25" t="n">
        <f aca="false">IF($L492=0,0,ROUND((SUMIFS('المرتبطة بسمو الوزير'!$N$2:$N$151,'المرتبطة بسمو الوزير'!$B$2:$B$151,$B492,'المرتبطة بسمو الوزير'!$G$2:$G$151,$G492,'المرتبطة بسمو الوزير'!$I$2:$I$151,$I492)+SUMIFS('الشؤون التنفيذية'!$O$2:$O$421,'الشؤون التنفيذية'!$B$2:$B$421,$B492,'الشؤون التنفيذية'!$G$2:$G$421,$G492,'الشؤون التنفيذية'!$I$2:$I$421,$I492)+SUMIFS('الجهاز العسكري'!$N$2:$N$631,'الجهاز العسكري'!$B$2:$B$631,$B492,'الجهاز العسكري'!$G$2:$G$631,$G492,'الجهاز العسكري'!$I$2:$I$631,$I492))/$L492,0))</f>
        <v>100</v>
      </c>
      <c r="P492" s="22"/>
      <c r="Q492" s="19" t="n">
        <f aca="false">SUMIFS(المرجع!$G$2:$G$19,المرجع!$B$2:$B$19,$G492,المرجع!$E$2:$E$19,$I492)</f>
        <v>20</v>
      </c>
      <c r="R492" s="26" t="n">
        <f aca="false">ROUND($Q492*$N492/100,2)</f>
        <v>19</v>
      </c>
      <c r="S492" s="27" t="str">
        <f aca="false">IF($N492&gt;المرجع!$K$3,"متقدم",IF($N492&lt;=المرجع!$K$2,"أولي","جزئي"))</f>
        <v>متقدم</v>
      </c>
      <c r="T492" s="28" t="n">
        <f aca="false">ROUND($Q492*$O492/100,2)</f>
        <v>20</v>
      </c>
    </row>
    <row r="493" customFormat="false" ht="15" hidden="false" customHeight="true" outlineLevel="0" collapsed="false">
      <c r="A493" s="20" t="s">
        <v>1945</v>
      </c>
      <c r="B493" s="20" t="s">
        <v>212</v>
      </c>
      <c r="C493" s="19" t="str">
        <f aca="false">IFERROR(INDEX('قائمة الوحدات'!$B$2:$B$41,MATCH($B493,'قائمة الوحدات'!$A$2:$A$41,0)),"")</f>
        <v>MIL</v>
      </c>
      <c r="D493" s="18" t="str">
        <f aca="false">IFERROR(INDEX('قائمة الوحدات'!$C$2:$C$41,MATCH($B493,'قائمة الوحدات'!$A$2:$A$41,0)),"")</f>
        <v>الجهاز العسكري</v>
      </c>
      <c r="E493" s="18" t="str">
        <f aca="false">IFERROR(INDEX('قائمة الوحدات'!$D$2:$D$41,MATCH($B493,'قائمة الوحدات'!$A$2:$A$41,0)),"")</f>
        <v>الإدارة العامة للتخطيط والتنظيم العسكري</v>
      </c>
      <c r="F493" s="18" t="str">
        <f aca="false">IFERROR(INDEX('قائمة الوحدات'!$F$2:$F$41,MATCH($B493,'قائمة الوحدات'!$A$2:$A$41,0)),"")</f>
        <v>الإدارة العامة للتخطيط والتنظيم العسكري</v>
      </c>
      <c r="G493" s="20" t="s">
        <v>44</v>
      </c>
      <c r="H493" s="18" t="str">
        <f aca="false">IFERROR(INDEX(المرجع!$A$2:$A$19,MATCH($G493,المرجع!$B$2:$B$19,0)),"")</f>
        <v>التصميم</v>
      </c>
      <c r="I493" s="20" t="s">
        <v>60</v>
      </c>
      <c r="J493" s="18" t="str">
        <f aca="false">IFERROR(INDEX(المرجع!$D$2:$D$19,MATCH($I493,المرجع!$E$2:$E$19,0)),"")</f>
        <v>الإجراءات</v>
      </c>
      <c r="K493" s="19" t="n">
        <f aca="false">IFERROR(INDEX(المرجع!$F$2:$F$19,MATCH($I493,المرجع!$E$2:$E$19,0)),"")</f>
        <v>6</v>
      </c>
      <c r="L493" s="19" t="n">
        <f aca="false">SUMIFS(المرجع!$H$2:$H$19,المرجع!$B$2:$B$19,$G493,المرجع!$E$2:$E$19,$I493)</f>
        <v>1</v>
      </c>
      <c r="M493" s="19" t="n">
        <f aca="false">COUNTIFS('المرتبطة بسمو الوزير'!$B$2:$B$151,$B493,'المرتبطة بسمو الوزير'!$G$2:$G$151,$G493,'المرتبطة بسمو الوزير'!$I$2:$I$151,$I493,'المرتبطة بسمو الوزير'!$M$2:$M$151,"&lt;&gt;")+COUNTIFS('الشؤون التنفيذية'!$B$2:$B$421,$B493,'الشؤون التنفيذية'!$G$2:$G$421,$G493,'الشؤون التنفيذية'!$I$2:$I$421,$I493,'الشؤون التنفيذية'!$N$2:$N$421,"&lt;&gt;")+COUNTIFS('الجهاز العسكري'!$B$2:$B$631,$B493,'الجهاز العسكري'!$G$2:$G$631,$G493,'الجهاز العسكري'!$I$2:$I$631,$I493,'الجهاز العسكري'!$M$2:$M$631,"&lt;&gt;")</f>
        <v>1</v>
      </c>
      <c r="N493" s="24" t="n">
        <f aca="false">IF($L493=0,0,ROUND((SUMIFS('المرتبطة بسمو الوزير'!$M$2:$M$151,'المرتبطة بسمو الوزير'!$B$2:$B$151,$B493,'المرتبطة بسمو الوزير'!$G$2:$G$151,$G493,'المرتبطة بسمو الوزير'!$I$2:$I$151,$I493)+SUMIFS('الشؤون التنفيذية'!$N$2:$N$421,'الشؤون التنفيذية'!$B$2:$B$421,$B493,'الشؤون التنفيذية'!$G$2:$G$421,$G493,'الشؤون التنفيذية'!$I$2:$I$421,$I493)+SUMIFS('الجهاز العسكري'!$M$2:$M$631,'الجهاز العسكري'!$B$2:$B$631,$B493,'الجهاز العسكري'!$G$2:$G$631,$G493,'الجهاز العسكري'!$I$2:$I$631,$I493))/$L493,0))</f>
        <v>88</v>
      </c>
      <c r="O493" s="25" t="n">
        <f aca="false">IF($L493=0,0,ROUND((SUMIFS('المرتبطة بسمو الوزير'!$N$2:$N$151,'المرتبطة بسمو الوزير'!$B$2:$B$151,$B493,'المرتبطة بسمو الوزير'!$G$2:$G$151,$G493,'المرتبطة بسمو الوزير'!$I$2:$I$151,$I493)+SUMIFS('الشؤون التنفيذية'!$O$2:$O$421,'الشؤون التنفيذية'!$B$2:$B$421,$B493,'الشؤون التنفيذية'!$G$2:$G$421,$G493,'الشؤون التنفيذية'!$I$2:$I$421,$I493)+SUMIFS('الجهاز العسكري'!$N$2:$N$631,'الجهاز العسكري'!$B$2:$B$631,$B493,'الجهاز العسكري'!$G$2:$G$631,$G493,'الجهاز العسكري'!$I$2:$I$631,$I493))/$L493,0))</f>
        <v>95</v>
      </c>
      <c r="P493" s="22"/>
      <c r="Q493" s="19" t="n">
        <f aca="false">SUMIFS(المرجع!$G$2:$G$19,المرجع!$B$2:$B$19,$G493,المرجع!$E$2:$E$19,$I493)</f>
        <v>5</v>
      </c>
      <c r="R493" s="26" t="n">
        <f aca="false">ROUND($Q493*$N493/100,2)</f>
        <v>4.4</v>
      </c>
      <c r="S493" s="27" t="str">
        <f aca="false">IF($N493&gt;المرجع!$K$3,"متقدم",IF($N493&lt;=المرجع!$K$2,"أولي","جزئي"))</f>
        <v>متقدم</v>
      </c>
      <c r="T493" s="28" t="n">
        <f aca="false">ROUND($Q493*$O493/100,2)</f>
        <v>4.75</v>
      </c>
    </row>
    <row r="494" customFormat="false" ht="15" hidden="false" customHeight="true" outlineLevel="0" collapsed="false">
      <c r="A494" s="20" t="s">
        <v>1946</v>
      </c>
      <c r="B494" s="20" t="s">
        <v>212</v>
      </c>
      <c r="C494" s="19" t="str">
        <f aca="false">IFERROR(INDEX('قائمة الوحدات'!$B$2:$B$41,MATCH($B494,'قائمة الوحدات'!$A$2:$A$41,0)),"")</f>
        <v>MIL</v>
      </c>
      <c r="D494" s="18" t="str">
        <f aca="false">IFERROR(INDEX('قائمة الوحدات'!$C$2:$C$41,MATCH($B494,'قائمة الوحدات'!$A$2:$A$41,0)),"")</f>
        <v>الجهاز العسكري</v>
      </c>
      <c r="E494" s="18" t="str">
        <f aca="false">IFERROR(INDEX('قائمة الوحدات'!$D$2:$D$41,MATCH($B494,'قائمة الوحدات'!$A$2:$A$41,0)),"")</f>
        <v>الإدارة العامة للتخطيط والتنظيم العسكري</v>
      </c>
      <c r="F494" s="18" t="str">
        <f aca="false">IFERROR(INDEX('قائمة الوحدات'!$F$2:$F$41,MATCH($B494,'قائمة الوحدات'!$A$2:$A$41,0)),"")</f>
        <v>الإدارة العامة للتخطيط والتنظيم العسكري</v>
      </c>
      <c r="G494" s="20" t="s">
        <v>62</v>
      </c>
      <c r="H494" s="18" t="str">
        <f aca="false">IFERROR(INDEX(المرجع!$A$2:$A$19,MATCH($G494,المرجع!$B$2:$B$19,0)),"")</f>
        <v>البناء المؤسسي</v>
      </c>
      <c r="I494" s="20" t="s">
        <v>46</v>
      </c>
      <c r="J494" s="18" t="str">
        <f aca="false">IFERROR(INDEX(المرجع!$D$2:$D$19,MATCH($I494,المرجع!$E$2:$E$19,0)),"")</f>
        <v>الدور</v>
      </c>
      <c r="K494" s="19" t="n">
        <f aca="false">IFERROR(INDEX(المرجع!$F$2:$F$19,MATCH($I494,المرجع!$E$2:$E$19,0)),"")</f>
        <v>1</v>
      </c>
      <c r="L494" s="19" t="n">
        <f aca="false">SUMIFS(المرجع!$H$2:$H$19,المرجع!$B$2:$B$19,$G494,المرجع!$E$2:$E$19,$I494)</f>
        <v>1</v>
      </c>
      <c r="M494" s="19" t="n">
        <f aca="false">COUNTIFS('المرتبطة بسمو الوزير'!$B$2:$B$151,$B494,'المرتبطة بسمو الوزير'!$G$2:$G$151,$G494,'المرتبطة بسمو الوزير'!$I$2:$I$151,$I494,'المرتبطة بسمو الوزير'!$M$2:$M$151,"&lt;&gt;")+COUNTIFS('الشؤون التنفيذية'!$B$2:$B$421,$B494,'الشؤون التنفيذية'!$G$2:$G$421,$G494,'الشؤون التنفيذية'!$I$2:$I$421,$I494,'الشؤون التنفيذية'!$N$2:$N$421,"&lt;&gt;")+COUNTIFS('الجهاز العسكري'!$B$2:$B$631,$B494,'الجهاز العسكري'!$G$2:$G$631,$G494,'الجهاز العسكري'!$I$2:$I$631,$I494,'الجهاز العسكري'!$M$2:$M$631,"&lt;&gt;")</f>
        <v>1</v>
      </c>
      <c r="N494" s="24" t="n">
        <f aca="false">IF($L494=0,0,ROUND((SUMIFS('المرتبطة بسمو الوزير'!$M$2:$M$151,'المرتبطة بسمو الوزير'!$B$2:$B$151,$B494,'المرتبطة بسمو الوزير'!$G$2:$G$151,$G494,'المرتبطة بسمو الوزير'!$I$2:$I$151,$I494)+SUMIFS('الشؤون التنفيذية'!$N$2:$N$421,'الشؤون التنفيذية'!$B$2:$B$421,$B494,'الشؤون التنفيذية'!$G$2:$G$421,$G494,'الشؤون التنفيذية'!$I$2:$I$421,$I494)+SUMIFS('الجهاز العسكري'!$M$2:$M$631,'الجهاز العسكري'!$B$2:$B$631,$B494,'الجهاز العسكري'!$G$2:$G$631,$G494,'الجهاز العسكري'!$I$2:$I$631,$I494))/$L494,0))</f>
        <v>48</v>
      </c>
      <c r="O494" s="25" t="n">
        <f aca="false">IF($L494=0,0,ROUND((SUMIFS('المرتبطة بسمو الوزير'!$N$2:$N$151,'المرتبطة بسمو الوزير'!$B$2:$B$151,$B494,'المرتبطة بسمو الوزير'!$G$2:$G$151,$G494,'المرتبطة بسمو الوزير'!$I$2:$I$151,$I494)+SUMIFS('الشؤون التنفيذية'!$O$2:$O$421,'الشؤون التنفيذية'!$B$2:$B$421,$B494,'الشؤون التنفيذية'!$G$2:$G$421,$G494,'الشؤون التنفيذية'!$I$2:$I$421,$I494)+SUMIFS('الجهاز العسكري'!$N$2:$N$631,'الجهاز العسكري'!$B$2:$B$631,$B494,'الجهاز العسكري'!$G$2:$G$631,$G494,'الجهاز العسكري'!$I$2:$I$631,$I494))/$L494,0))</f>
        <v>100</v>
      </c>
      <c r="P494" s="22"/>
      <c r="Q494" s="19" t="n">
        <f aca="false">SUMIFS(المرجع!$G$2:$G$19,المرجع!$B$2:$B$19,$G494,المرجع!$E$2:$E$19,$I494)</f>
        <v>15</v>
      </c>
      <c r="R494" s="26" t="n">
        <f aca="false">ROUND($Q494*$N494/100,2)</f>
        <v>7.2</v>
      </c>
      <c r="S494" s="27" t="str">
        <f aca="false">IF($N494&gt;المرجع!$K$3,"متقدم",IF($N494&lt;=المرجع!$K$2,"أولي","جزئي"))</f>
        <v>جزئي</v>
      </c>
      <c r="T494" s="28" t="n">
        <f aca="false">ROUND($Q494*$O494/100,2)</f>
        <v>15</v>
      </c>
    </row>
    <row r="495" customFormat="false" ht="15" hidden="false" customHeight="true" outlineLevel="0" collapsed="false">
      <c r="A495" s="20" t="s">
        <v>1947</v>
      </c>
      <c r="B495" s="20" t="s">
        <v>212</v>
      </c>
      <c r="C495" s="19" t="str">
        <f aca="false">IFERROR(INDEX('قائمة الوحدات'!$B$2:$B$41,MATCH($B495,'قائمة الوحدات'!$A$2:$A$41,0)),"")</f>
        <v>MIL</v>
      </c>
      <c r="D495" s="18" t="str">
        <f aca="false">IFERROR(INDEX('قائمة الوحدات'!$C$2:$C$41,MATCH($B495,'قائمة الوحدات'!$A$2:$A$41,0)),"")</f>
        <v>الجهاز العسكري</v>
      </c>
      <c r="E495" s="18" t="str">
        <f aca="false">IFERROR(INDEX('قائمة الوحدات'!$D$2:$D$41,MATCH($B495,'قائمة الوحدات'!$A$2:$A$41,0)),"")</f>
        <v>الإدارة العامة للتخطيط والتنظيم العسكري</v>
      </c>
      <c r="F495" s="18" t="str">
        <f aca="false">IFERROR(INDEX('قائمة الوحدات'!$F$2:$F$41,MATCH($B495,'قائمة الوحدات'!$A$2:$A$41,0)),"")</f>
        <v>الإدارة العامة للتخطيط والتنظيم العسكري</v>
      </c>
      <c r="G495" s="20" t="s">
        <v>62</v>
      </c>
      <c r="H495" s="18" t="str">
        <f aca="false">IFERROR(INDEX(المرجع!$A$2:$A$19,MATCH($G495,المرجع!$B$2:$B$19,0)),"")</f>
        <v>البناء المؤسسي</v>
      </c>
      <c r="I495" s="20" t="s">
        <v>49</v>
      </c>
      <c r="J495" s="18" t="str">
        <f aca="false">IFERROR(INDEX(المرجع!$D$2:$D$19,MATCH($I495,المرجع!$E$2:$E$19,0)),"")</f>
        <v>الأهداف ومؤشرات الأداء</v>
      </c>
      <c r="K495" s="19" t="n">
        <f aca="false">IFERROR(INDEX(المرجع!$F$2:$F$19,MATCH($I495,المرجع!$E$2:$E$19,0)),"")</f>
        <v>2</v>
      </c>
      <c r="L495" s="19" t="n">
        <f aca="false">SUMIFS(المرجع!$H$2:$H$19,المرجع!$B$2:$B$19,$G495,المرجع!$E$2:$E$19,$I495)</f>
        <v>2</v>
      </c>
      <c r="M495" s="19" t="n">
        <f aca="false">COUNTIFS('المرتبطة بسمو الوزير'!$B$2:$B$151,$B495,'المرتبطة بسمو الوزير'!$G$2:$G$151,$G495,'المرتبطة بسمو الوزير'!$I$2:$I$151,$I495,'المرتبطة بسمو الوزير'!$M$2:$M$151,"&lt;&gt;")+COUNTIFS('الشؤون التنفيذية'!$B$2:$B$421,$B495,'الشؤون التنفيذية'!$G$2:$G$421,$G495,'الشؤون التنفيذية'!$I$2:$I$421,$I495,'الشؤون التنفيذية'!$N$2:$N$421,"&lt;&gt;")+COUNTIFS('الجهاز العسكري'!$B$2:$B$631,$B495,'الجهاز العسكري'!$G$2:$G$631,$G495,'الجهاز العسكري'!$I$2:$I$631,$I495,'الجهاز العسكري'!$M$2:$M$631,"&lt;&gt;")</f>
        <v>2</v>
      </c>
      <c r="N495" s="24" t="n">
        <f aca="false">IF($L495=0,0,ROUND((SUMIFS('المرتبطة بسمو الوزير'!$M$2:$M$151,'المرتبطة بسمو الوزير'!$B$2:$B$151,$B495,'المرتبطة بسمو الوزير'!$G$2:$G$151,$G495,'المرتبطة بسمو الوزير'!$I$2:$I$151,$I495)+SUMIFS('الشؤون التنفيذية'!$N$2:$N$421,'الشؤون التنفيذية'!$B$2:$B$421,$B495,'الشؤون التنفيذية'!$G$2:$G$421,$G495,'الشؤون التنفيذية'!$I$2:$I$421,$I495)+SUMIFS('الجهاز العسكري'!$M$2:$M$631,'الجهاز العسكري'!$B$2:$B$631,$B495,'الجهاز العسكري'!$G$2:$G$631,$G495,'الجهاز العسكري'!$I$2:$I$631,$I495))/$L495,0))</f>
        <v>88</v>
      </c>
      <c r="O495" s="25" t="n">
        <f aca="false">IF($L495=0,0,ROUND((SUMIFS('المرتبطة بسمو الوزير'!$N$2:$N$151,'المرتبطة بسمو الوزير'!$B$2:$B$151,$B495,'المرتبطة بسمو الوزير'!$G$2:$G$151,$G495,'المرتبطة بسمو الوزير'!$I$2:$I$151,$I495)+SUMIFS('الشؤون التنفيذية'!$O$2:$O$421,'الشؤون التنفيذية'!$B$2:$B$421,$B495,'الشؤون التنفيذية'!$G$2:$G$421,$G495,'الشؤون التنفيذية'!$I$2:$I$421,$I495)+SUMIFS('الجهاز العسكري'!$N$2:$N$631,'الجهاز العسكري'!$B$2:$B$631,$B495,'الجهاز العسكري'!$G$2:$G$631,$G495,'الجهاز العسكري'!$I$2:$I$631,$I495))/$L495,0))</f>
        <v>95</v>
      </c>
      <c r="P495" s="22"/>
      <c r="Q495" s="19" t="n">
        <f aca="false">SUMIFS(المرجع!$G$2:$G$19,المرجع!$B$2:$B$19,$G495,المرجع!$E$2:$E$19,$I495)</f>
        <v>15</v>
      </c>
      <c r="R495" s="26" t="n">
        <f aca="false">ROUND($Q495*$N495/100,2)</f>
        <v>13.2</v>
      </c>
      <c r="S495" s="27" t="str">
        <f aca="false">IF($N495&gt;المرجع!$K$3,"متقدم",IF($N495&lt;=المرجع!$K$2,"أولي","جزئي"))</f>
        <v>متقدم</v>
      </c>
      <c r="T495" s="28" t="n">
        <f aca="false">ROUND($Q495*$O495/100,2)</f>
        <v>14.25</v>
      </c>
    </row>
    <row r="496" customFormat="false" ht="15" hidden="false" customHeight="true" outlineLevel="0" collapsed="false">
      <c r="A496" s="20" t="s">
        <v>1948</v>
      </c>
      <c r="B496" s="20" t="s">
        <v>212</v>
      </c>
      <c r="C496" s="19" t="str">
        <f aca="false">IFERROR(INDEX('قائمة الوحدات'!$B$2:$B$41,MATCH($B496,'قائمة الوحدات'!$A$2:$A$41,0)),"")</f>
        <v>MIL</v>
      </c>
      <c r="D496" s="18" t="str">
        <f aca="false">IFERROR(INDEX('قائمة الوحدات'!$C$2:$C$41,MATCH($B496,'قائمة الوحدات'!$A$2:$A$41,0)),"")</f>
        <v>الجهاز العسكري</v>
      </c>
      <c r="E496" s="18" t="str">
        <f aca="false">IFERROR(INDEX('قائمة الوحدات'!$D$2:$D$41,MATCH($B496,'قائمة الوحدات'!$A$2:$A$41,0)),"")</f>
        <v>الإدارة العامة للتخطيط والتنظيم العسكري</v>
      </c>
      <c r="F496" s="18" t="str">
        <f aca="false">IFERROR(INDEX('قائمة الوحدات'!$F$2:$F$41,MATCH($B496,'قائمة الوحدات'!$A$2:$A$41,0)),"")</f>
        <v>الإدارة العامة للتخطيط والتنظيم العسكري</v>
      </c>
      <c r="G496" s="20" t="s">
        <v>62</v>
      </c>
      <c r="H496" s="18" t="str">
        <f aca="false">IFERROR(INDEX(المرجع!$A$2:$A$19,MATCH($G496,المرجع!$B$2:$B$19,0)),"")</f>
        <v>البناء المؤسسي</v>
      </c>
      <c r="I496" s="20" t="s">
        <v>52</v>
      </c>
      <c r="J496" s="18" t="str">
        <f aca="false">IFERROR(INDEX(المرجع!$D$2:$D$19,MATCH($I496,المرجع!$E$2:$E$19,0)),"")</f>
        <v>الحوكمة</v>
      </c>
      <c r="K496" s="19" t="n">
        <f aca="false">IFERROR(INDEX(المرجع!$F$2:$F$19,MATCH($I496,المرجع!$E$2:$E$19,0)),"")</f>
        <v>3</v>
      </c>
      <c r="L496" s="19" t="n">
        <f aca="false">SUMIFS(المرجع!$H$2:$H$19,المرجع!$B$2:$B$19,$G496,المرجع!$E$2:$E$19,$I496)</f>
        <v>3</v>
      </c>
      <c r="M496" s="19" t="n">
        <f aca="false">COUNTIFS('المرتبطة بسمو الوزير'!$B$2:$B$151,$B496,'المرتبطة بسمو الوزير'!$G$2:$G$151,$G496,'المرتبطة بسمو الوزير'!$I$2:$I$151,$I496,'المرتبطة بسمو الوزير'!$M$2:$M$151,"&lt;&gt;")+COUNTIFS('الشؤون التنفيذية'!$B$2:$B$421,$B496,'الشؤون التنفيذية'!$G$2:$G$421,$G496,'الشؤون التنفيذية'!$I$2:$I$421,$I496,'الشؤون التنفيذية'!$N$2:$N$421,"&lt;&gt;")+COUNTIFS('الجهاز العسكري'!$B$2:$B$631,$B496,'الجهاز العسكري'!$G$2:$G$631,$G496,'الجهاز العسكري'!$I$2:$I$631,$I496,'الجهاز العسكري'!$M$2:$M$631,"&lt;&gt;")</f>
        <v>3</v>
      </c>
      <c r="N496" s="24" t="n">
        <f aca="false">IF($L496=0,0,ROUND((SUMIFS('المرتبطة بسمو الوزير'!$M$2:$M$151,'المرتبطة بسمو الوزير'!$B$2:$B$151,$B496,'المرتبطة بسمو الوزير'!$G$2:$G$151,$G496,'المرتبطة بسمو الوزير'!$I$2:$I$151,$I496)+SUMIFS('الشؤون التنفيذية'!$N$2:$N$421,'الشؤون التنفيذية'!$B$2:$B$421,$B496,'الشؤون التنفيذية'!$G$2:$G$421,$G496,'الشؤون التنفيذية'!$I$2:$I$421,$I496)+SUMIFS('الجهاز العسكري'!$M$2:$M$631,'الجهاز العسكري'!$B$2:$B$631,$B496,'الجهاز العسكري'!$G$2:$G$631,$G496,'الجهاز العسكري'!$I$2:$I$631,$I496))/$L496,0))</f>
        <v>50</v>
      </c>
      <c r="O496" s="25" t="n">
        <f aca="false">IF($L496=0,0,ROUND((SUMIFS('المرتبطة بسمو الوزير'!$N$2:$N$151,'المرتبطة بسمو الوزير'!$B$2:$B$151,$B496,'المرتبطة بسمو الوزير'!$G$2:$G$151,$G496,'المرتبطة بسمو الوزير'!$I$2:$I$151,$I496)+SUMIFS('الشؤون التنفيذية'!$O$2:$O$421,'الشؤون التنفيذية'!$B$2:$B$421,$B496,'الشؤون التنفيذية'!$G$2:$G$421,$G496,'الشؤون التنفيذية'!$I$2:$I$421,$I496)+SUMIFS('الجهاز العسكري'!$N$2:$N$631,'الجهاز العسكري'!$B$2:$B$631,$B496,'الجهاز العسكري'!$G$2:$G$631,$G496,'الجهاز العسكري'!$I$2:$I$631,$I496))/$L496,0))</f>
        <v>93</v>
      </c>
      <c r="P496" s="22"/>
      <c r="Q496" s="19" t="n">
        <f aca="false">SUMIFS(المرجع!$G$2:$G$19,المرجع!$B$2:$B$19,$G496,المرجع!$E$2:$E$19,$I496)</f>
        <v>15</v>
      </c>
      <c r="R496" s="26" t="n">
        <f aca="false">ROUND($Q496*$N496/100,2)</f>
        <v>7.5</v>
      </c>
      <c r="S496" s="27" t="str">
        <f aca="false">IF($N496&gt;المرجع!$K$3,"متقدم",IF($N496&lt;=المرجع!$K$2,"أولي","جزئي"))</f>
        <v>جزئي</v>
      </c>
      <c r="T496" s="28" t="n">
        <f aca="false">ROUND($Q496*$O496/100,2)</f>
        <v>13.95</v>
      </c>
    </row>
    <row r="497" customFormat="false" ht="15" hidden="false" customHeight="true" outlineLevel="0" collapsed="false">
      <c r="A497" s="20" t="s">
        <v>1949</v>
      </c>
      <c r="B497" s="20" t="s">
        <v>212</v>
      </c>
      <c r="C497" s="19" t="str">
        <f aca="false">IFERROR(INDEX('قائمة الوحدات'!$B$2:$B$41,MATCH($B497,'قائمة الوحدات'!$A$2:$A$41,0)),"")</f>
        <v>MIL</v>
      </c>
      <c r="D497" s="18" t="str">
        <f aca="false">IFERROR(INDEX('قائمة الوحدات'!$C$2:$C$41,MATCH($B497,'قائمة الوحدات'!$A$2:$A$41,0)),"")</f>
        <v>الجهاز العسكري</v>
      </c>
      <c r="E497" s="18" t="str">
        <f aca="false">IFERROR(INDEX('قائمة الوحدات'!$D$2:$D$41,MATCH($B497,'قائمة الوحدات'!$A$2:$A$41,0)),"")</f>
        <v>الإدارة العامة للتخطيط والتنظيم العسكري</v>
      </c>
      <c r="F497" s="18" t="str">
        <f aca="false">IFERROR(INDEX('قائمة الوحدات'!$F$2:$F$41,MATCH($B497,'قائمة الوحدات'!$A$2:$A$41,0)),"")</f>
        <v>الإدارة العامة للتخطيط والتنظيم العسكري</v>
      </c>
      <c r="G497" s="20" t="s">
        <v>62</v>
      </c>
      <c r="H497" s="18" t="str">
        <f aca="false">IFERROR(INDEX(المرجع!$A$2:$A$19,MATCH($G497,المرجع!$B$2:$B$19,0)),"")</f>
        <v>البناء المؤسسي</v>
      </c>
      <c r="I497" s="20" t="s">
        <v>55</v>
      </c>
      <c r="J497" s="18" t="str">
        <f aca="false">IFERROR(INDEX(المرجع!$D$2:$D$19,MATCH($I497,المرجع!$E$2:$E$19,0)),"")</f>
        <v>التنظيم</v>
      </c>
      <c r="K497" s="19" t="n">
        <f aca="false">IFERROR(INDEX(المرجع!$F$2:$F$19,MATCH($I497,المرجع!$E$2:$E$19,0)),"")</f>
        <v>4</v>
      </c>
      <c r="L497" s="19" t="n">
        <f aca="false">SUMIFS(المرجع!$H$2:$H$19,المرجع!$B$2:$B$19,$G497,المرجع!$E$2:$E$19,$I497)</f>
        <v>3</v>
      </c>
      <c r="M497" s="19" t="n">
        <f aca="false">COUNTIFS('المرتبطة بسمو الوزير'!$B$2:$B$151,$B497,'المرتبطة بسمو الوزير'!$G$2:$G$151,$G497,'المرتبطة بسمو الوزير'!$I$2:$I$151,$I497,'المرتبطة بسمو الوزير'!$M$2:$M$151,"&lt;&gt;")+COUNTIFS('الشؤون التنفيذية'!$B$2:$B$421,$B497,'الشؤون التنفيذية'!$G$2:$G$421,$G497,'الشؤون التنفيذية'!$I$2:$I$421,$I497,'الشؤون التنفيذية'!$N$2:$N$421,"&lt;&gt;")+COUNTIFS('الجهاز العسكري'!$B$2:$B$631,$B497,'الجهاز العسكري'!$G$2:$G$631,$G497,'الجهاز العسكري'!$I$2:$I$631,$I497,'الجهاز العسكري'!$M$2:$M$631,"&lt;&gt;")</f>
        <v>3</v>
      </c>
      <c r="N497" s="24" t="n">
        <f aca="false">IF($L497=0,0,ROUND((SUMIFS('المرتبطة بسمو الوزير'!$M$2:$M$151,'المرتبطة بسمو الوزير'!$B$2:$B$151,$B497,'المرتبطة بسمو الوزير'!$G$2:$G$151,$G497,'المرتبطة بسمو الوزير'!$I$2:$I$151,$I497)+SUMIFS('الشؤون التنفيذية'!$N$2:$N$421,'الشؤون التنفيذية'!$B$2:$B$421,$B497,'الشؤون التنفيذية'!$G$2:$G$421,$G497,'الشؤون التنفيذية'!$I$2:$I$421,$I497)+SUMIFS('الجهاز العسكري'!$M$2:$M$631,'الجهاز العسكري'!$B$2:$B$631,$B497,'الجهاز العسكري'!$G$2:$G$631,$G497,'الجهاز العسكري'!$I$2:$I$631,$I497))/$L497,0))</f>
        <v>43</v>
      </c>
      <c r="O497" s="25" t="n">
        <f aca="false">IF($L497=0,0,ROUND((SUMIFS('المرتبطة بسمو الوزير'!$N$2:$N$151,'المرتبطة بسمو الوزير'!$B$2:$B$151,$B497,'المرتبطة بسمو الوزير'!$G$2:$G$151,$G497,'المرتبطة بسمو الوزير'!$I$2:$I$151,$I497)+SUMIFS('الشؤون التنفيذية'!$O$2:$O$421,'الشؤون التنفيذية'!$B$2:$B$421,$B497,'الشؤون التنفيذية'!$G$2:$G$421,$G497,'الشؤون التنفيذية'!$I$2:$I$421,$I497)+SUMIFS('الجهاز العسكري'!$N$2:$N$631,'الجهاز العسكري'!$B$2:$B$631,$B497,'الجهاز العسكري'!$G$2:$G$631,$G497,'الجهاز العسكري'!$I$2:$I$631,$I497))/$L497,0))</f>
        <v>93</v>
      </c>
      <c r="P497" s="22"/>
      <c r="Q497" s="19" t="n">
        <f aca="false">SUMIFS(المرجع!$G$2:$G$19,المرجع!$B$2:$B$19,$G497,المرجع!$E$2:$E$19,$I497)</f>
        <v>20</v>
      </c>
      <c r="R497" s="26" t="n">
        <f aca="false">ROUND($Q497*$N497/100,2)</f>
        <v>8.6</v>
      </c>
      <c r="S497" s="27" t="str">
        <f aca="false">IF($N497&gt;المرجع!$K$3,"متقدم",IF($N497&lt;=المرجع!$K$2,"أولي","جزئي"))</f>
        <v>جزئي</v>
      </c>
      <c r="T497" s="28" t="n">
        <f aca="false">ROUND($Q497*$O497/100,2)</f>
        <v>18.6</v>
      </c>
    </row>
    <row r="498" customFormat="false" ht="15" hidden="false" customHeight="true" outlineLevel="0" collapsed="false">
      <c r="A498" s="20" t="s">
        <v>1950</v>
      </c>
      <c r="B498" s="20" t="s">
        <v>212</v>
      </c>
      <c r="C498" s="19" t="str">
        <f aca="false">IFERROR(INDEX('قائمة الوحدات'!$B$2:$B$41,MATCH($B498,'قائمة الوحدات'!$A$2:$A$41,0)),"")</f>
        <v>MIL</v>
      </c>
      <c r="D498" s="18" t="str">
        <f aca="false">IFERROR(INDEX('قائمة الوحدات'!$C$2:$C$41,MATCH($B498,'قائمة الوحدات'!$A$2:$A$41,0)),"")</f>
        <v>الجهاز العسكري</v>
      </c>
      <c r="E498" s="18" t="str">
        <f aca="false">IFERROR(INDEX('قائمة الوحدات'!$D$2:$D$41,MATCH($B498,'قائمة الوحدات'!$A$2:$A$41,0)),"")</f>
        <v>الإدارة العامة للتخطيط والتنظيم العسكري</v>
      </c>
      <c r="F498" s="18" t="str">
        <f aca="false">IFERROR(INDEX('قائمة الوحدات'!$F$2:$F$41,MATCH($B498,'قائمة الوحدات'!$A$2:$A$41,0)),"")</f>
        <v>الإدارة العامة للتخطيط والتنظيم العسكري</v>
      </c>
      <c r="G498" s="20" t="s">
        <v>62</v>
      </c>
      <c r="H498" s="18" t="str">
        <f aca="false">IFERROR(INDEX(المرجع!$A$2:$A$19,MATCH($G498,المرجع!$B$2:$B$19,0)),"")</f>
        <v>البناء المؤسسي</v>
      </c>
      <c r="I498" s="20" t="s">
        <v>57</v>
      </c>
      <c r="J498" s="18" t="str">
        <f aca="false">IFERROR(INDEX(المرجع!$D$2:$D$19,MATCH($I498,المرجع!$E$2:$E$19,0)),"")</f>
        <v>الموارد</v>
      </c>
      <c r="K498" s="19" t="n">
        <f aca="false">IFERROR(INDEX(المرجع!$F$2:$F$19,MATCH($I498,المرجع!$E$2:$E$19,0)),"")</f>
        <v>5</v>
      </c>
      <c r="L498" s="19" t="n">
        <f aca="false">SUMIFS(المرجع!$H$2:$H$19,المرجع!$B$2:$B$19,$G498,المرجع!$E$2:$E$19,$I498)</f>
        <v>4</v>
      </c>
      <c r="M498" s="19" t="n">
        <f aca="false">COUNTIFS('المرتبطة بسمو الوزير'!$B$2:$B$151,$B498,'المرتبطة بسمو الوزير'!$G$2:$G$151,$G498,'المرتبطة بسمو الوزير'!$I$2:$I$151,$I498,'المرتبطة بسمو الوزير'!$M$2:$M$151,"&lt;&gt;")+COUNTIFS('الشؤون التنفيذية'!$B$2:$B$421,$B498,'الشؤون التنفيذية'!$G$2:$G$421,$G498,'الشؤون التنفيذية'!$I$2:$I$421,$I498,'الشؤون التنفيذية'!$N$2:$N$421,"&lt;&gt;")+COUNTIFS('الجهاز العسكري'!$B$2:$B$631,$B498,'الجهاز العسكري'!$G$2:$G$631,$G498,'الجهاز العسكري'!$I$2:$I$631,$I498,'الجهاز العسكري'!$M$2:$M$631,"&lt;&gt;")</f>
        <v>4</v>
      </c>
      <c r="N498" s="24" t="n">
        <f aca="false">IF($L498=0,0,ROUND((SUMIFS('المرتبطة بسمو الوزير'!$M$2:$M$151,'المرتبطة بسمو الوزير'!$B$2:$B$151,$B498,'المرتبطة بسمو الوزير'!$G$2:$G$151,$G498,'المرتبطة بسمو الوزير'!$I$2:$I$151,$I498)+SUMIFS('الشؤون التنفيذية'!$N$2:$N$421,'الشؤون التنفيذية'!$B$2:$B$421,$B498,'الشؤون التنفيذية'!$G$2:$G$421,$G498,'الشؤون التنفيذية'!$I$2:$I$421,$I498)+SUMIFS('الجهاز العسكري'!$M$2:$M$631,'الجهاز العسكري'!$B$2:$B$631,$B498,'الجهاز العسكري'!$G$2:$G$631,$G498,'الجهاز العسكري'!$I$2:$I$631,$I498))/$L498,0))</f>
        <v>75</v>
      </c>
      <c r="O498" s="25" t="n">
        <f aca="false">IF($L498=0,0,ROUND((SUMIFS('المرتبطة بسمو الوزير'!$N$2:$N$151,'المرتبطة بسمو الوزير'!$B$2:$B$151,$B498,'المرتبطة بسمو الوزير'!$G$2:$G$151,$G498,'المرتبطة بسمو الوزير'!$I$2:$I$151,$I498)+SUMIFS('الشؤون التنفيذية'!$O$2:$O$421,'الشؤون التنفيذية'!$B$2:$B$421,$B498,'الشؤون التنفيذية'!$G$2:$G$421,$G498,'الشؤون التنفيذية'!$I$2:$I$421,$I498)+SUMIFS('الجهاز العسكري'!$N$2:$N$631,'الجهاز العسكري'!$B$2:$B$631,$B498,'الجهاز العسكري'!$G$2:$G$631,$G498,'الجهاز العسكري'!$I$2:$I$631,$I498))/$L498,0))</f>
        <v>94</v>
      </c>
      <c r="P498" s="22"/>
      <c r="Q498" s="19" t="n">
        <f aca="false">SUMIFS(المرجع!$G$2:$G$19,المرجع!$B$2:$B$19,$G498,المرجع!$E$2:$E$19,$I498)</f>
        <v>25</v>
      </c>
      <c r="R498" s="26" t="n">
        <f aca="false">ROUND($Q498*$N498/100,2)</f>
        <v>18.75</v>
      </c>
      <c r="S498" s="27" t="str">
        <f aca="false">IF($N498&gt;المرجع!$K$3,"متقدم",IF($N498&lt;=المرجع!$K$2,"أولي","جزئي"))</f>
        <v>متقدم</v>
      </c>
      <c r="T498" s="28" t="n">
        <f aca="false">ROUND($Q498*$O498/100,2)</f>
        <v>23.5</v>
      </c>
    </row>
    <row r="499" customFormat="false" ht="15" hidden="false" customHeight="true" outlineLevel="0" collapsed="false">
      <c r="A499" s="20" t="s">
        <v>1951</v>
      </c>
      <c r="B499" s="20" t="s">
        <v>212</v>
      </c>
      <c r="C499" s="19" t="str">
        <f aca="false">IFERROR(INDEX('قائمة الوحدات'!$B$2:$B$41,MATCH($B499,'قائمة الوحدات'!$A$2:$A$41,0)),"")</f>
        <v>MIL</v>
      </c>
      <c r="D499" s="18" t="str">
        <f aca="false">IFERROR(INDEX('قائمة الوحدات'!$C$2:$C$41,MATCH($B499,'قائمة الوحدات'!$A$2:$A$41,0)),"")</f>
        <v>الجهاز العسكري</v>
      </c>
      <c r="E499" s="18" t="str">
        <f aca="false">IFERROR(INDEX('قائمة الوحدات'!$D$2:$D$41,MATCH($B499,'قائمة الوحدات'!$A$2:$A$41,0)),"")</f>
        <v>الإدارة العامة للتخطيط والتنظيم العسكري</v>
      </c>
      <c r="F499" s="18" t="str">
        <f aca="false">IFERROR(INDEX('قائمة الوحدات'!$F$2:$F$41,MATCH($B499,'قائمة الوحدات'!$A$2:$A$41,0)),"")</f>
        <v>الإدارة العامة للتخطيط والتنظيم العسكري</v>
      </c>
      <c r="G499" s="20" t="s">
        <v>62</v>
      </c>
      <c r="H499" s="18" t="str">
        <f aca="false">IFERROR(INDEX(المرجع!$A$2:$A$19,MATCH($G499,المرجع!$B$2:$B$19,0)),"")</f>
        <v>البناء المؤسسي</v>
      </c>
      <c r="I499" s="20" t="s">
        <v>60</v>
      </c>
      <c r="J499" s="18" t="str">
        <f aca="false">IFERROR(INDEX(المرجع!$D$2:$D$19,MATCH($I499,المرجع!$E$2:$E$19,0)),"")</f>
        <v>الإجراءات</v>
      </c>
      <c r="K499" s="19" t="n">
        <f aca="false">IFERROR(INDEX(المرجع!$F$2:$F$19,MATCH($I499,المرجع!$E$2:$E$19,0)),"")</f>
        <v>6</v>
      </c>
      <c r="L499" s="19" t="n">
        <f aca="false">SUMIFS(المرجع!$H$2:$H$19,المرجع!$B$2:$B$19,$G499,المرجع!$E$2:$E$19,$I499)</f>
        <v>1</v>
      </c>
      <c r="M499" s="19" t="n">
        <f aca="false">COUNTIFS('المرتبطة بسمو الوزير'!$B$2:$B$151,$B499,'المرتبطة بسمو الوزير'!$G$2:$G$151,$G499,'المرتبطة بسمو الوزير'!$I$2:$I$151,$I499,'المرتبطة بسمو الوزير'!$M$2:$M$151,"&lt;&gt;")+COUNTIFS('الشؤون التنفيذية'!$B$2:$B$421,$B499,'الشؤون التنفيذية'!$G$2:$G$421,$G499,'الشؤون التنفيذية'!$I$2:$I$421,$I499,'الشؤون التنفيذية'!$N$2:$N$421,"&lt;&gt;")+COUNTIFS('الجهاز العسكري'!$B$2:$B$631,$B499,'الجهاز العسكري'!$G$2:$G$631,$G499,'الجهاز العسكري'!$I$2:$I$631,$I499,'الجهاز العسكري'!$M$2:$M$631,"&lt;&gt;")</f>
        <v>1</v>
      </c>
      <c r="N499" s="24" t="n">
        <f aca="false">IF($L499=0,0,ROUND((SUMIFS('المرتبطة بسمو الوزير'!$M$2:$M$151,'المرتبطة بسمو الوزير'!$B$2:$B$151,$B499,'المرتبطة بسمو الوزير'!$G$2:$G$151,$G499,'المرتبطة بسمو الوزير'!$I$2:$I$151,$I499)+SUMIFS('الشؤون التنفيذية'!$N$2:$N$421,'الشؤون التنفيذية'!$B$2:$B$421,$B499,'الشؤون التنفيذية'!$G$2:$G$421,$G499,'الشؤون التنفيذية'!$I$2:$I$421,$I499)+SUMIFS('الجهاز العسكري'!$M$2:$M$631,'الجهاز العسكري'!$B$2:$B$631,$B499,'الجهاز العسكري'!$G$2:$G$631,$G499,'الجهاز العسكري'!$I$2:$I$631,$I499))/$L499,0))</f>
        <v>49</v>
      </c>
      <c r="O499" s="25" t="n">
        <f aca="false">IF($L499=0,0,ROUND((SUMIFS('المرتبطة بسمو الوزير'!$N$2:$N$151,'المرتبطة بسمو الوزير'!$B$2:$B$151,$B499,'المرتبطة بسمو الوزير'!$G$2:$G$151,$G499,'المرتبطة بسمو الوزير'!$I$2:$I$151,$I499)+SUMIFS('الشؤون التنفيذية'!$O$2:$O$421,'الشؤون التنفيذية'!$B$2:$B$421,$B499,'الشؤون التنفيذية'!$G$2:$G$421,$G499,'الشؤون التنفيذية'!$I$2:$I$421,$I499)+SUMIFS('الجهاز العسكري'!$N$2:$N$631,'الجهاز العسكري'!$B$2:$B$631,$B499,'الجهاز العسكري'!$G$2:$G$631,$G499,'الجهاز العسكري'!$I$2:$I$631,$I499))/$L499,0))</f>
        <v>80</v>
      </c>
      <c r="P499" s="22"/>
      <c r="Q499" s="19" t="n">
        <f aca="false">SUMIFS(المرجع!$G$2:$G$19,المرجع!$B$2:$B$19,$G499,المرجع!$E$2:$E$19,$I499)</f>
        <v>5</v>
      </c>
      <c r="R499" s="26" t="n">
        <f aca="false">ROUND($Q499*$N499/100,2)</f>
        <v>2.45</v>
      </c>
      <c r="S499" s="27" t="str">
        <f aca="false">IF($N499&gt;المرجع!$K$3,"متقدم",IF($N499&lt;=المرجع!$K$2,"أولي","جزئي"))</f>
        <v>جزئي</v>
      </c>
      <c r="T499" s="28" t="n">
        <f aca="false">ROUND($Q499*$O499/100,2)</f>
        <v>4</v>
      </c>
    </row>
    <row r="500" customFormat="false" ht="15" hidden="false" customHeight="true" outlineLevel="0" collapsed="false">
      <c r="A500" s="20" t="s">
        <v>1952</v>
      </c>
      <c r="B500" s="20" t="s">
        <v>212</v>
      </c>
      <c r="C500" s="19" t="str">
        <f aca="false">IFERROR(INDEX('قائمة الوحدات'!$B$2:$B$41,MATCH($B500,'قائمة الوحدات'!$A$2:$A$41,0)),"")</f>
        <v>MIL</v>
      </c>
      <c r="D500" s="18" t="str">
        <f aca="false">IFERROR(INDEX('قائمة الوحدات'!$C$2:$C$41,MATCH($B500,'قائمة الوحدات'!$A$2:$A$41,0)),"")</f>
        <v>الجهاز العسكري</v>
      </c>
      <c r="E500" s="18" t="str">
        <f aca="false">IFERROR(INDEX('قائمة الوحدات'!$D$2:$D$41,MATCH($B500,'قائمة الوحدات'!$A$2:$A$41,0)),"")</f>
        <v>الإدارة العامة للتخطيط والتنظيم العسكري</v>
      </c>
      <c r="F500" s="18" t="str">
        <f aca="false">IFERROR(INDEX('قائمة الوحدات'!$F$2:$F$41,MATCH($B500,'قائمة الوحدات'!$A$2:$A$41,0)),"")</f>
        <v>الإدارة العامة للتخطيط والتنظيم العسكري</v>
      </c>
      <c r="G500" s="20" t="s">
        <v>62</v>
      </c>
      <c r="H500" s="18" t="str">
        <f aca="false">IFERROR(INDEX(المرجع!$A$2:$A$19,MATCH($G500,المرجع!$B$2:$B$19,0)),"")</f>
        <v>البناء المؤسسي</v>
      </c>
      <c r="I500" s="20" t="s">
        <v>69</v>
      </c>
      <c r="J500" s="18" t="str">
        <f aca="false">IFERROR(INDEX(المرجع!$D$2:$D$19,MATCH($I500,المرجع!$E$2:$E$19,0)),"")</f>
        <v>إنتاج المخرج الأول</v>
      </c>
      <c r="K500" s="19" t="n">
        <f aca="false">IFERROR(INDEX(المرجع!$F$2:$F$19,MATCH($I500,المرجع!$E$2:$E$19,0)),"")</f>
        <v>7</v>
      </c>
      <c r="L500" s="19" t="n">
        <f aca="false">SUMIFS(المرجع!$H$2:$H$19,المرجع!$B$2:$B$19,$G500,المرجع!$E$2:$E$19,$I500)</f>
        <v>1</v>
      </c>
      <c r="M500" s="19" t="n">
        <f aca="false">COUNTIFS('المرتبطة بسمو الوزير'!$B$2:$B$151,$B500,'المرتبطة بسمو الوزير'!$G$2:$G$151,$G500,'المرتبطة بسمو الوزير'!$I$2:$I$151,$I500,'المرتبطة بسمو الوزير'!$M$2:$M$151,"&lt;&gt;")+COUNTIFS('الشؤون التنفيذية'!$B$2:$B$421,$B500,'الشؤون التنفيذية'!$G$2:$G$421,$G500,'الشؤون التنفيذية'!$I$2:$I$421,$I500,'الشؤون التنفيذية'!$N$2:$N$421,"&lt;&gt;")+COUNTIFS('الجهاز العسكري'!$B$2:$B$631,$B500,'الجهاز العسكري'!$G$2:$G$631,$G500,'الجهاز العسكري'!$I$2:$I$631,$I500,'الجهاز العسكري'!$M$2:$M$631,"&lt;&gt;")</f>
        <v>1</v>
      </c>
      <c r="N500" s="24" t="n">
        <f aca="false">IF($L500=0,0,ROUND((SUMIFS('المرتبطة بسمو الوزير'!$M$2:$M$151,'المرتبطة بسمو الوزير'!$B$2:$B$151,$B500,'المرتبطة بسمو الوزير'!$G$2:$G$151,$G500,'المرتبطة بسمو الوزير'!$I$2:$I$151,$I500)+SUMIFS('الشؤون التنفيذية'!$N$2:$N$421,'الشؤون التنفيذية'!$B$2:$B$421,$B500,'الشؤون التنفيذية'!$G$2:$G$421,$G500,'الشؤون التنفيذية'!$I$2:$I$421,$I500)+SUMIFS('الجهاز العسكري'!$M$2:$M$631,'الجهاز العسكري'!$B$2:$B$631,$B500,'الجهاز العسكري'!$G$2:$G$631,$G500,'الجهاز العسكري'!$I$2:$I$631,$I500))/$L500,0))</f>
        <v>49</v>
      </c>
      <c r="O500" s="25" t="n">
        <f aca="false">IF($L500=0,0,ROUND((SUMIFS('المرتبطة بسمو الوزير'!$N$2:$N$151,'المرتبطة بسمو الوزير'!$B$2:$B$151,$B500,'المرتبطة بسمو الوزير'!$G$2:$G$151,$G500,'المرتبطة بسمو الوزير'!$I$2:$I$151,$I500)+SUMIFS('الشؤون التنفيذية'!$O$2:$O$421,'الشؤون التنفيذية'!$B$2:$B$421,$B500,'الشؤون التنفيذية'!$G$2:$G$421,$G500,'الشؤون التنفيذية'!$I$2:$I$421,$I500)+SUMIFS('الجهاز العسكري'!$N$2:$N$631,'الجهاز العسكري'!$B$2:$B$631,$B500,'الجهاز العسكري'!$G$2:$G$631,$G500,'الجهاز العسكري'!$I$2:$I$631,$I500))/$L500,0))</f>
        <v>100</v>
      </c>
      <c r="P500" s="22"/>
      <c r="Q500" s="19" t="n">
        <f aca="false">SUMIFS(المرجع!$G$2:$G$19,المرجع!$B$2:$B$19,$G500,المرجع!$E$2:$E$19,$I500)</f>
        <v>5</v>
      </c>
      <c r="R500" s="26" t="n">
        <f aca="false">ROUND($Q500*$N500/100,2)</f>
        <v>2.45</v>
      </c>
      <c r="S500" s="27" t="str">
        <f aca="false">IF($N500&gt;المرجع!$K$3,"متقدم",IF($N500&lt;=المرجع!$K$2,"أولي","جزئي"))</f>
        <v>جزئي</v>
      </c>
      <c r="T500" s="28" t="n">
        <f aca="false">ROUND($Q500*$O500/100,2)</f>
        <v>5</v>
      </c>
    </row>
    <row r="501" customFormat="false" ht="15" hidden="false" customHeight="true" outlineLevel="0" collapsed="false">
      <c r="A501" s="20" t="s">
        <v>1953</v>
      </c>
      <c r="B501" s="20" t="s">
        <v>212</v>
      </c>
      <c r="C501" s="19" t="str">
        <f aca="false">IFERROR(INDEX('قائمة الوحدات'!$B$2:$B$41,MATCH($B501,'قائمة الوحدات'!$A$2:$A$41,0)),"")</f>
        <v>MIL</v>
      </c>
      <c r="D501" s="18" t="str">
        <f aca="false">IFERROR(INDEX('قائمة الوحدات'!$C$2:$C$41,MATCH($B501,'قائمة الوحدات'!$A$2:$A$41,0)),"")</f>
        <v>الجهاز العسكري</v>
      </c>
      <c r="E501" s="18" t="str">
        <f aca="false">IFERROR(INDEX('قائمة الوحدات'!$D$2:$D$41,MATCH($B501,'قائمة الوحدات'!$A$2:$A$41,0)),"")</f>
        <v>الإدارة العامة للتخطيط والتنظيم العسكري</v>
      </c>
      <c r="F501" s="18" t="str">
        <f aca="false">IFERROR(INDEX('قائمة الوحدات'!$F$2:$F$41,MATCH($B501,'قائمة الوحدات'!$A$2:$A$41,0)),"")</f>
        <v>الإدارة العامة للتخطيط والتنظيم العسكري</v>
      </c>
      <c r="G501" s="20" t="s">
        <v>66</v>
      </c>
      <c r="H501" s="18" t="str">
        <f aca="false">IFERROR(INDEX(المرجع!$A$2:$A$19,MATCH($G501,المرجع!$B$2:$B$19,0)),"")</f>
        <v>التشغيل</v>
      </c>
      <c r="I501" s="20" t="s">
        <v>49</v>
      </c>
      <c r="J501" s="18" t="str">
        <f aca="false">IFERROR(INDEX(المرجع!$D$2:$D$19,MATCH($I501,المرجع!$E$2:$E$19,0)),"")</f>
        <v>الأهداف ومؤشرات الأداء</v>
      </c>
      <c r="K501" s="19" t="n">
        <f aca="false">IFERROR(INDEX(المرجع!$F$2:$F$19,MATCH($I501,المرجع!$E$2:$E$19,0)),"")</f>
        <v>2</v>
      </c>
      <c r="L501" s="19" t="n">
        <f aca="false">SUMIFS(المرجع!$H$2:$H$19,المرجع!$B$2:$B$19,$G501,المرجع!$E$2:$E$19,$I501)</f>
        <v>2</v>
      </c>
      <c r="M501" s="19" t="n">
        <f aca="false">COUNTIFS('المرتبطة بسمو الوزير'!$B$2:$B$151,$B501,'المرتبطة بسمو الوزير'!$G$2:$G$151,$G501,'المرتبطة بسمو الوزير'!$I$2:$I$151,$I501,'المرتبطة بسمو الوزير'!$M$2:$M$151,"&lt;&gt;")+COUNTIFS('الشؤون التنفيذية'!$B$2:$B$421,$B501,'الشؤون التنفيذية'!$G$2:$G$421,$G501,'الشؤون التنفيذية'!$I$2:$I$421,$I501,'الشؤون التنفيذية'!$N$2:$N$421,"&lt;&gt;")+COUNTIFS('الجهاز العسكري'!$B$2:$B$631,$B501,'الجهاز العسكري'!$G$2:$G$631,$G501,'الجهاز العسكري'!$I$2:$I$631,$I501,'الجهاز العسكري'!$M$2:$M$631,"&lt;&gt;")</f>
        <v>2</v>
      </c>
      <c r="N501" s="24" t="n">
        <f aca="false">IF($L501=0,0,ROUND((SUMIFS('المرتبطة بسمو الوزير'!$M$2:$M$151,'المرتبطة بسمو الوزير'!$B$2:$B$151,$B501,'المرتبطة بسمو الوزير'!$G$2:$G$151,$G501,'المرتبطة بسمو الوزير'!$I$2:$I$151,$I501)+SUMIFS('الشؤون التنفيذية'!$N$2:$N$421,'الشؤون التنفيذية'!$B$2:$B$421,$B501,'الشؤون التنفيذية'!$G$2:$G$421,$G501,'الشؤون التنفيذية'!$I$2:$I$421,$I501)+SUMIFS('الجهاز العسكري'!$M$2:$M$631,'الجهاز العسكري'!$B$2:$B$631,$B501,'الجهاز العسكري'!$G$2:$G$631,$G501,'الجهاز العسكري'!$I$2:$I$631,$I501))/$L501,0))</f>
        <v>28</v>
      </c>
      <c r="O501" s="25" t="n">
        <f aca="false">IF($L501=0,0,ROUND((SUMIFS('المرتبطة بسمو الوزير'!$N$2:$N$151,'المرتبطة بسمو الوزير'!$B$2:$B$151,$B501,'المرتبطة بسمو الوزير'!$G$2:$G$151,$G501,'المرتبطة بسمو الوزير'!$I$2:$I$151,$I501)+SUMIFS('الشؤون التنفيذية'!$O$2:$O$421,'الشؤون التنفيذية'!$B$2:$B$421,$B501,'الشؤون التنفيذية'!$G$2:$G$421,$G501,'الشؤون التنفيذية'!$I$2:$I$421,$I501)+SUMIFS('الجهاز العسكري'!$N$2:$N$631,'الجهاز العسكري'!$B$2:$B$631,$B501,'الجهاز العسكري'!$G$2:$G$631,$G501,'الجهاز العسكري'!$I$2:$I$631,$I501))/$L501,0))</f>
        <v>100</v>
      </c>
      <c r="P501" s="22"/>
      <c r="Q501" s="19" t="n">
        <f aca="false">SUMIFS(المرجع!$G$2:$G$19,المرجع!$B$2:$B$19,$G501,المرجع!$E$2:$E$19,$I501)</f>
        <v>25</v>
      </c>
      <c r="R501" s="26" t="n">
        <f aca="false">ROUND($Q501*$N501/100,2)</f>
        <v>7</v>
      </c>
      <c r="S501" s="27" t="str">
        <f aca="false">IF($N501&gt;المرجع!$K$3,"متقدم",IF($N501&lt;=المرجع!$K$2,"أولي","جزئي"))</f>
        <v>أولي</v>
      </c>
      <c r="T501" s="28" t="n">
        <f aca="false">ROUND($Q501*$O501/100,2)</f>
        <v>25</v>
      </c>
    </row>
    <row r="502" customFormat="false" ht="15" hidden="false" customHeight="true" outlineLevel="0" collapsed="false">
      <c r="A502" s="20" t="s">
        <v>1954</v>
      </c>
      <c r="B502" s="20" t="s">
        <v>212</v>
      </c>
      <c r="C502" s="19" t="str">
        <f aca="false">IFERROR(INDEX('قائمة الوحدات'!$B$2:$B$41,MATCH($B502,'قائمة الوحدات'!$A$2:$A$41,0)),"")</f>
        <v>MIL</v>
      </c>
      <c r="D502" s="18" t="str">
        <f aca="false">IFERROR(INDEX('قائمة الوحدات'!$C$2:$C$41,MATCH($B502,'قائمة الوحدات'!$A$2:$A$41,0)),"")</f>
        <v>الجهاز العسكري</v>
      </c>
      <c r="E502" s="18" t="str">
        <f aca="false">IFERROR(INDEX('قائمة الوحدات'!$D$2:$D$41,MATCH($B502,'قائمة الوحدات'!$A$2:$A$41,0)),"")</f>
        <v>الإدارة العامة للتخطيط والتنظيم العسكري</v>
      </c>
      <c r="F502" s="18" t="str">
        <f aca="false">IFERROR(INDEX('قائمة الوحدات'!$F$2:$F$41,MATCH($B502,'قائمة الوحدات'!$A$2:$A$41,0)),"")</f>
        <v>الإدارة العامة للتخطيط والتنظيم العسكري</v>
      </c>
      <c r="G502" s="20" t="s">
        <v>66</v>
      </c>
      <c r="H502" s="18" t="str">
        <f aca="false">IFERROR(INDEX(المرجع!$A$2:$A$19,MATCH($G502,المرجع!$B$2:$B$19,0)),"")</f>
        <v>التشغيل</v>
      </c>
      <c r="I502" s="20" t="s">
        <v>52</v>
      </c>
      <c r="J502" s="18" t="str">
        <f aca="false">IFERROR(INDEX(المرجع!$D$2:$D$19,MATCH($I502,المرجع!$E$2:$E$19,0)),"")</f>
        <v>الحوكمة</v>
      </c>
      <c r="K502" s="19" t="n">
        <f aca="false">IFERROR(INDEX(المرجع!$F$2:$F$19,MATCH($I502,المرجع!$E$2:$E$19,0)),"")</f>
        <v>3</v>
      </c>
      <c r="L502" s="19" t="n">
        <f aca="false">SUMIFS(المرجع!$H$2:$H$19,المرجع!$B$2:$B$19,$G502,المرجع!$E$2:$E$19,$I502)</f>
        <v>3</v>
      </c>
      <c r="M502" s="19" t="n">
        <f aca="false">COUNTIFS('المرتبطة بسمو الوزير'!$B$2:$B$151,$B502,'المرتبطة بسمو الوزير'!$G$2:$G$151,$G502,'المرتبطة بسمو الوزير'!$I$2:$I$151,$I502,'المرتبطة بسمو الوزير'!$M$2:$M$151,"&lt;&gt;")+COUNTIFS('الشؤون التنفيذية'!$B$2:$B$421,$B502,'الشؤون التنفيذية'!$G$2:$G$421,$G502,'الشؤون التنفيذية'!$I$2:$I$421,$I502,'الشؤون التنفيذية'!$N$2:$N$421,"&lt;&gt;")+COUNTIFS('الجهاز العسكري'!$B$2:$B$631,$B502,'الجهاز العسكري'!$G$2:$G$631,$G502,'الجهاز العسكري'!$I$2:$I$631,$I502,'الجهاز العسكري'!$M$2:$M$631,"&lt;&gt;")</f>
        <v>3</v>
      </c>
      <c r="N502" s="24" t="n">
        <f aca="false">IF($L502=0,0,ROUND((SUMIFS('المرتبطة بسمو الوزير'!$M$2:$M$151,'المرتبطة بسمو الوزير'!$B$2:$B$151,$B502,'المرتبطة بسمو الوزير'!$G$2:$G$151,$G502,'المرتبطة بسمو الوزير'!$I$2:$I$151,$I502)+SUMIFS('الشؤون التنفيذية'!$N$2:$N$421,'الشؤون التنفيذية'!$B$2:$B$421,$B502,'الشؤون التنفيذية'!$G$2:$G$421,$G502,'الشؤون التنفيذية'!$I$2:$I$421,$I502)+SUMIFS('الجهاز العسكري'!$M$2:$M$631,'الجهاز العسكري'!$B$2:$B$631,$B502,'الجهاز العسكري'!$G$2:$G$631,$G502,'الجهاز العسكري'!$I$2:$I$631,$I502))/$L502,0))</f>
        <v>62</v>
      </c>
      <c r="O502" s="25" t="n">
        <f aca="false">IF($L502=0,0,ROUND((SUMIFS('المرتبطة بسمو الوزير'!$N$2:$N$151,'المرتبطة بسمو الوزير'!$B$2:$B$151,$B502,'المرتبطة بسمو الوزير'!$G$2:$G$151,$G502,'المرتبطة بسمو الوزير'!$I$2:$I$151,$I502)+SUMIFS('الشؤون التنفيذية'!$O$2:$O$421,'الشؤون التنفيذية'!$B$2:$B$421,$B502,'الشؤون التنفيذية'!$G$2:$G$421,$G502,'الشؤون التنفيذية'!$I$2:$I$421,$I502)+SUMIFS('الجهاز العسكري'!$N$2:$N$631,'الجهاز العسكري'!$B$2:$B$631,$B502,'الجهاز العسكري'!$G$2:$G$631,$G502,'الجهاز العسكري'!$I$2:$I$631,$I502))/$L502,0))</f>
        <v>93</v>
      </c>
      <c r="P502" s="22"/>
      <c r="Q502" s="19" t="n">
        <f aca="false">SUMIFS(المرجع!$G$2:$G$19,المرجع!$B$2:$B$19,$G502,المرجع!$E$2:$E$19,$I502)</f>
        <v>15</v>
      </c>
      <c r="R502" s="26" t="n">
        <f aca="false">ROUND($Q502*$N502/100,2)</f>
        <v>9.3</v>
      </c>
      <c r="S502" s="27" t="str">
        <f aca="false">IF($N502&gt;المرجع!$K$3,"متقدم",IF($N502&lt;=المرجع!$K$2,"أولي","جزئي"))</f>
        <v>جزئي</v>
      </c>
      <c r="T502" s="28" t="n">
        <f aca="false">ROUND($Q502*$O502/100,2)</f>
        <v>13.95</v>
      </c>
    </row>
    <row r="503" customFormat="false" ht="15" hidden="false" customHeight="true" outlineLevel="0" collapsed="false">
      <c r="A503" s="20" t="s">
        <v>1955</v>
      </c>
      <c r="B503" s="20" t="s">
        <v>212</v>
      </c>
      <c r="C503" s="19" t="str">
        <f aca="false">IFERROR(INDEX('قائمة الوحدات'!$B$2:$B$41,MATCH($B503,'قائمة الوحدات'!$A$2:$A$41,0)),"")</f>
        <v>MIL</v>
      </c>
      <c r="D503" s="18" t="str">
        <f aca="false">IFERROR(INDEX('قائمة الوحدات'!$C$2:$C$41,MATCH($B503,'قائمة الوحدات'!$A$2:$A$41,0)),"")</f>
        <v>الجهاز العسكري</v>
      </c>
      <c r="E503" s="18" t="str">
        <f aca="false">IFERROR(INDEX('قائمة الوحدات'!$D$2:$D$41,MATCH($B503,'قائمة الوحدات'!$A$2:$A$41,0)),"")</f>
        <v>الإدارة العامة للتخطيط والتنظيم العسكري</v>
      </c>
      <c r="F503" s="18" t="str">
        <f aca="false">IFERROR(INDEX('قائمة الوحدات'!$F$2:$F$41,MATCH($B503,'قائمة الوحدات'!$A$2:$A$41,0)),"")</f>
        <v>الإدارة العامة للتخطيط والتنظيم العسكري</v>
      </c>
      <c r="G503" s="20" t="s">
        <v>66</v>
      </c>
      <c r="H503" s="18" t="str">
        <f aca="false">IFERROR(INDEX(المرجع!$A$2:$A$19,MATCH($G503,المرجع!$B$2:$B$19,0)),"")</f>
        <v>التشغيل</v>
      </c>
      <c r="I503" s="20" t="s">
        <v>57</v>
      </c>
      <c r="J503" s="18" t="str">
        <f aca="false">IFERROR(INDEX(المرجع!$D$2:$D$19,MATCH($I503,المرجع!$E$2:$E$19,0)),"")</f>
        <v>الموارد</v>
      </c>
      <c r="K503" s="19" t="n">
        <f aca="false">IFERROR(INDEX(المرجع!$F$2:$F$19,MATCH($I503,المرجع!$E$2:$E$19,0)),"")</f>
        <v>5</v>
      </c>
      <c r="L503" s="19" t="n">
        <f aca="false">SUMIFS(المرجع!$H$2:$H$19,المرجع!$B$2:$B$19,$G503,المرجع!$E$2:$E$19,$I503)</f>
        <v>1</v>
      </c>
      <c r="M503" s="19" t="n">
        <f aca="false">COUNTIFS('المرتبطة بسمو الوزير'!$B$2:$B$151,$B503,'المرتبطة بسمو الوزير'!$G$2:$G$151,$G503,'المرتبطة بسمو الوزير'!$I$2:$I$151,$I503,'المرتبطة بسمو الوزير'!$M$2:$M$151,"&lt;&gt;")+COUNTIFS('الشؤون التنفيذية'!$B$2:$B$421,$B503,'الشؤون التنفيذية'!$G$2:$G$421,$G503,'الشؤون التنفيذية'!$I$2:$I$421,$I503,'الشؤون التنفيذية'!$N$2:$N$421,"&lt;&gt;")+COUNTIFS('الجهاز العسكري'!$B$2:$B$631,$B503,'الجهاز العسكري'!$G$2:$G$631,$G503,'الجهاز العسكري'!$I$2:$I$631,$I503,'الجهاز العسكري'!$M$2:$M$631,"&lt;&gt;")</f>
        <v>1</v>
      </c>
      <c r="N503" s="24" t="n">
        <f aca="false">IF($L503=0,0,ROUND((SUMIFS('المرتبطة بسمو الوزير'!$M$2:$M$151,'المرتبطة بسمو الوزير'!$B$2:$B$151,$B503,'المرتبطة بسمو الوزير'!$G$2:$G$151,$G503,'المرتبطة بسمو الوزير'!$I$2:$I$151,$I503)+SUMIFS('الشؤون التنفيذية'!$N$2:$N$421,'الشؤون التنفيذية'!$B$2:$B$421,$B503,'الشؤون التنفيذية'!$G$2:$G$421,$G503,'الشؤون التنفيذية'!$I$2:$I$421,$I503)+SUMIFS('الجهاز العسكري'!$M$2:$M$631,'الجهاز العسكري'!$B$2:$B$631,$B503,'الجهاز العسكري'!$G$2:$G$631,$G503,'الجهاز العسكري'!$I$2:$I$631,$I503))/$L503,0))</f>
        <v>37</v>
      </c>
      <c r="O503" s="25" t="n">
        <f aca="false">IF($L503=0,0,ROUND((SUMIFS('المرتبطة بسمو الوزير'!$N$2:$N$151,'المرتبطة بسمو الوزير'!$B$2:$B$151,$B503,'المرتبطة بسمو الوزير'!$G$2:$G$151,$G503,'المرتبطة بسمو الوزير'!$I$2:$I$151,$I503)+SUMIFS('الشؤون التنفيذية'!$O$2:$O$421,'الشؤون التنفيذية'!$B$2:$B$421,$B503,'الشؤون التنفيذية'!$G$2:$G$421,$G503,'الشؤون التنفيذية'!$I$2:$I$421,$I503)+SUMIFS('الجهاز العسكري'!$N$2:$N$631,'الجهاز العسكري'!$B$2:$B$631,$B503,'الجهاز العسكري'!$G$2:$G$631,$G503,'الجهاز العسكري'!$I$2:$I$631,$I503))/$L503,0))</f>
        <v>80</v>
      </c>
      <c r="P503" s="22"/>
      <c r="Q503" s="19" t="n">
        <f aca="false">SUMIFS(المرجع!$G$2:$G$19,المرجع!$B$2:$B$19,$G503,المرجع!$E$2:$E$19,$I503)</f>
        <v>15</v>
      </c>
      <c r="R503" s="26" t="n">
        <f aca="false">ROUND($Q503*$N503/100,2)</f>
        <v>5.55</v>
      </c>
      <c r="S503" s="27" t="str">
        <f aca="false">IF($N503&gt;المرجع!$K$3,"متقدم",IF($N503&lt;=المرجع!$K$2,"أولي","جزئي"))</f>
        <v>جزئي</v>
      </c>
      <c r="T503" s="28" t="n">
        <f aca="false">ROUND($Q503*$O503/100,2)</f>
        <v>12</v>
      </c>
    </row>
    <row r="504" customFormat="false" ht="15" hidden="false" customHeight="true" outlineLevel="0" collapsed="false">
      <c r="A504" s="20" t="s">
        <v>1956</v>
      </c>
      <c r="B504" s="20" t="s">
        <v>212</v>
      </c>
      <c r="C504" s="19" t="str">
        <f aca="false">IFERROR(INDEX('قائمة الوحدات'!$B$2:$B$41,MATCH($B504,'قائمة الوحدات'!$A$2:$A$41,0)),"")</f>
        <v>MIL</v>
      </c>
      <c r="D504" s="18" t="str">
        <f aca="false">IFERROR(INDEX('قائمة الوحدات'!$C$2:$C$41,MATCH($B504,'قائمة الوحدات'!$A$2:$A$41,0)),"")</f>
        <v>الجهاز العسكري</v>
      </c>
      <c r="E504" s="18" t="str">
        <f aca="false">IFERROR(INDEX('قائمة الوحدات'!$D$2:$D$41,MATCH($B504,'قائمة الوحدات'!$A$2:$A$41,0)),"")</f>
        <v>الإدارة العامة للتخطيط والتنظيم العسكري</v>
      </c>
      <c r="F504" s="18" t="str">
        <f aca="false">IFERROR(INDEX('قائمة الوحدات'!$F$2:$F$41,MATCH($B504,'قائمة الوحدات'!$A$2:$A$41,0)),"")</f>
        <v>الإدارة العامة للتخطيط والتنظيم العسكري</v>
      </c>
      <c r="G504" s="20" t="s">
        <v>66</v>
      </c>
      <c r="H504" s="18" t="str">
        <f aca="false">IFERROR(INDEX(المرجع!$A$2:$A$19,MATCH($G504,المرجع!$B$2:$B$19,0)),"")</f>
        <v>التشغيل</v>
      </c>
      <c r="I504" s="20" t="s">
        <v>60</v>
      </c>
      <c r="J504" s="18" t="str">
        <f aca="false">IFERROR(INDEX(المرجع!$D$2:$D$19,MATCH($I504,المرجع!$E$2:$E$19,0)),"")</f>
        <v>الإجراءات</v>
      </c>
      <c r="K504" s="19" t="n">
        <f aca="false">IFERROR(INDEX(المرجع!$F$2:$F$19,MATCH($I504,المرجع!$E$2:$E$19,0)),"")</f>
        <v>6</v>
      </c>
      <c r="L504" s="19" t="n">
        <f aca="false">SUMIFS(المرجع!$H$2:$H$19,المرجع!$B$2:$B$19,$G504,المرجع!$E$2:$E$19,$I504)</f>
        <v>1</v>
      </c>
      <c r="M504" s="19" t="n">
        <f aca="false">COUNTIFS('المرتبطة بسمو الوزير'!$B$2:$B$151,$B504,'المرتبطة بسمو الوزير'!$G$2:$G$151,$G504,'المرتبطة بسمو الوزير'!$I$2:$I$151,$I504,'المرتبطة بسمو الوزير'!$M$2:$M$151,"&lt;&gt;")+COUNTIFS('الشؤون التنفيذية'!$B$2:$B$421,$B504,'الشؤون التنفيذية'!$G$2:$G$421,$G504,'الشؤون التنفيذية'!$I$2:$I$421,$I504,'الشؤون التنفيذية'!$N$2:$N$421,"&lt;&gt;")+COUNTIFS('الجهاز العسكري'!$B$2:$B$631,$B504,'الجهاز العسكري'!$G$2:$G$631,$G504,'الجهاز العسكري'!$I$2:$I$631,$I504,'الجهاز العسكري'!$M$2:$M$631,"&lt;&gt;")</f>
        <v>1</v>
      </c>
      <c r="N504" s="24" t="n">
        <f aca="false">IF($L504=0,0,ROUND((SUMIFS('المرتبطة بسمو الوزير'!$M$2:$M$151,'المرتبطة بسمو الوزير'!$B$2:$B$151,$B504,'المرتبطة بسمو الوزير'!$G$2:$G$151,$G504,'المرتبطة بسمو الوزير'!$I$2:$I$151,$I504)+SUMIFS('الشؤون التنفيذية'!$N$2:$N$421,'الشؤون التنفيذية'!$B$2:$B$421,$B504,'الشؤون التنفيذية'!$G$2:$G$421,$G504,'الشؤون التنفيذية'!$I$2:$I$421,$I504)+SUMIFS('الجهاز العسكري'!$M$2:$M$631,'الجهاز العسكري'!$B$2:$B$631,$B504,'الجهاز العسكري'!$G$2:$G$631,$G504,'الجهاز العسكري'!$I$2:$I$631,$I504))/$L504,0))</f>
        <v>23</v>
      </c>
      <c r="O504" s="25" t="n">
        <f aca="false">IF($L504=0,0,ROUND((SUMIFS('المرتبطة بسمو الوزير'!$N$2:$N$151,'المرتبطة بسمو الوزير'!$B$2:$B$151,$B504,'المرتبطة بسمو الوزير'!$G$2:$G$151,$G504,'المرتبطة بسمو الوزير'!$I$2:$I$151,$I504)+SUMIFS('الشؤون التنفيذية'!$O$2:$O$421,'الشؤون التنفيذية'!$B$2:$B$421,$B504,'الشؤون التنفيذية'!$G$2:$G$421,$G504,'الشؤون التنفيذية'!$I$2:$I$421,$I504)+SUMIFS('الجهاز العسكري'!$N$2:$N$631,'الجهاز العسكري'!$B$2:$B$631,$B504,'الجهاز العسكري'!$G$2:$G$631,$G504,'الجهاز العسكري'!$I$2:$I$631,$I504))/$L504,0))</f>
        <v>100</v>
      </c>
      <c r="P504" s="22"/>
      <c r="Q504" s="19" t="n">
        <f aca="false">SUMIFS(المرجع!$G$2:$G$19,المرجع!$B$2:$B$19,$G504,المرجع!$E$2:$E$19,$I504)</f>
        <v>15</v>
      </c>
      <c r="R504" s="26" t="n">
        <f aca="false">ROUND($Q504*$N504/100,2)</f>
        <v>3.45</v>
      </c>
      <c r="S504" s="27" t="str">
        <f aca="false">IF($N504&gt;المرجع!$K$3,"متقدم",IF($N504&lt;=المرجع!$K$2,"أولي","جزئي"))</f>
        <v>أولي</v>
      </c>
      <c r="T504" s="28" t="n">
        <f aca="false">ROUND($Q504*$O504/100,2)</f>
        <v>15</v>
      </c>
    </row>
    <row r="505" customFormat="false" ht="15" hidden="false" customHeight="true" outlineLevel="0" collapsed="false">
      <c r="A505" s="20" t="s">
        <v>1957</v>
      </c>
      <c r="B505" s="20" t="s">
        <v>212</v>
      </c>
      <c r="C505" s="19" t="str">
        <f aca="false">IFERROR(INDEX('قائمة الوحدات'!$B$2:$B$41,MATCH($B505,'قائمة الوحدات'!$A$2:$A$41,0)),"")</f>
        <v>MIL</v>
      </c>
      <c r="D505" s="18" t="str">
        <f aca="false">IFERROR(INDEX('قائمة الوحدات'!$C$2:$C$41,MATCH($B505,'قائمة الوحدات'!$A$2:$A$41,0)),"")</f>
        <v>الجهاز العسكري</v>
      </c>
      <c r="E505" s="18" t="str">
        <f aca="false">IFERROR(INDEX('قائمة الوحدات'!$D$2:$D$41,MATCH($B505,'قائمة الوحدات'!$A$2:$A$41,0)),"")</f>
        <v>الإدارة العامة للتخطيط والتنظيم العسكري</v>
      </c>
      <c r="F505" s="18" t="str">
        <f aca="false">IFERROR(INDEX('قائمة الوحدات'!$F$2:$F$41,MATCH($B505,'قائمة الوحدات'!$A$2:$A$41,0)),"")</f>
        <v>الإدارة العامة للتخطيط والتنظيم العسكري</v>
      </c>
      <c r="G505" s="20" t="s">
        <v>66</v>
      </c>
      <c r="H505" s="18" t="str">
        <f aca="false">IFERROR(INDEX(المرجع!$A$2:$A$19,MATCH($G505,المرجع!$B$2:$B$19,0)),"")</f>
        <v>التشغيل</v>
      </c>
      <c r="I505" s="20" t="s">
        <v>71</v>
      </c>
      <c r="J505" s="18" t="str">
        <f aca="false">IFERROR(INDEX(المرجع!$D$2:$D$19,MATCH($I505,المرجع!$E$2:$E$19,0)),"")</f>
        <v>اكتمال المخرجات المستهدفة</v>
      </c>
      <c r="K505" s="19" t="n">
        <f aca="false">IFERROR(INDEX(المرجع!$F$2:$F$19,MATCH($I505,المرجع!$E$2:$E$19,0)),"")</f>
        <v>8</v>
      </c>
      <c r="L505" s="19" t="n">
        <f aca="false">SUMIFS(المرجع!$H$2:$H$19,المرجع!$B$2:$B$19,$G505,المرجع!$E$2:$E$19,$I505)</f>
        <v>1</v>
      </c>
      <c r="M505" s="19" t="n">
        <f aca="false">COUNTIFS('المرتبطة بسمو الوزير'!$B$2:$B$151,$B505,'المرتبطة بسمو الوزير'!$G$2:$G$151,$G505,'المرتبطة بسمو الوزير'!$I$2:$I$151,$I505,'المرتبطة بسمو الوزير'!$M$2:$M$151,"&lt;&gt;")+COUNTIFS('الشؤون التنفيذية'!$B$2:$B$421,$B505,'الشؤون التنفيذية'!$G$2:$G$421,$G505,'الشؤون التنفيذية'!$I$2:$I$421,$I505,'الشؤون التنفيذية'!$N$2:$N$421,"&lt;&gt;")+COUNTIFS('الجهاز العسكري'!$B$2:$B$631,$B505,'الجهاز العسكري'!$G$2:$G$631,$G505,'الجهاز العسكري'!$I$2:$I$631,$I505,'الجهاز العسكري'!$M$2:$M$631,"&lt;&gt;")</f>
        <v>1</v>
      </c>
      <c r="N505" s="24" t="n">
        <f aca="false">IF($L505=0,0,ROUND((SUMIFS('المرتبطة بسمو الوزير'!$M$2:$M$151,'المرتبطة بسمو الوزير'!$B$2:$B$151,$B505,'المرتبطة بسمو الوزير'!$G$2:$G$151,$G505,'المرتبطة بسمو الوزير'!$I$2:$I$151,$I505)+SUMIFS('الشؤون التنفيذية'!$N$2:$N$421,'الشؤون التنفيذية'!$B$2:$B$421,$B505,'الشؤون التنفيذية'!$G$2:$G$421,$G505,'الشؤون التنفيذية'!$I$2:$I$421,$I505)+SUMIFS('الجهاز العسكري'!$M$2:$M$631,'الجهاز العسكري'!$B$2:$B$631,$B505,'الجهاز العسكري'!$G$2:$G$631,$G505,'الجهاز العسكري'!$I$2:$I$631,$I505))/$L505,0))</f>
        <v>21</v>
      </c>
      <c r="O505" s="25" t="n">
        <f aca="false">IF($L505=0,0,ROUND((SUMIFS('المرتبطة بسمو الوزير'!$N$2:$N$151,'المرتبطة بسمو الوزير'!$B$2:$B$151,$B505,'المرتبطة بسمو الوزير'!$G$2:$G$151,$G505,'المرتبطة بسمو الوزير'!$I$2:$I$151,$I505)+SUMIFS('الشؤون التنفيذية'!$O$2:$O$421,'الشؤون التنفيذية'!$B$2:$B$421,$B505,'الشؤون التنفيذية'!$G$2:$G$421,$G505,'الشؤون التنفيذية'!$I$2:$I$421,$I505)+SUMIFS('الجهاز العسكري'!$N$2:$N$631,'الجهاز العسكري'!$B$2:$B$631,$B505,'الجهاز العسكري'!$G$2:$G$631,$G505,'الجهاز العسكري'!$I$2:$I$631,$I505))/$L505,0))</f>
        <v>100</v>
      </c>
      <c r="P505" s="22"/>
      <c r="Q505" s="19" t="n">
        <f aca="false">SUMIFS(المرجع!$G$2:$G$19,المرجع!$B$2:$B$19,$G505,المرجع!$E$2:$E$19,$I505)</f>
        <v>30</v>
      </c>
      <c r="R505" s="26" t="n">
        <f aca="false">ROUND($Q505*$N505/100,2)</f>
        <v>6.3</v>
      </c>
      <c r="S505" s="27" t="str">
        <f aca="false">IF($N505&gt;المرجع!$K$3,"متقدم",IF($N505&lt;=المرجع!$K$2,"أولي","جزئي"))</f>
        <v>أولي</v>
      </c>
      <c r="T505" s="28" t="n">
        <f aca="false">ROUND($Q505*$O505/100,2)</f>
        <v>30</v>
      </c>
    </row>
    <row r="506" customFormat="false" ht="15" hidden="false" customHeight="true" outlineLevel="0" collapsed="false">
      <c r="A506" s="20" t="s">
        <v>1958</v>
      </c>
      <c r="B506" s="20" t="s">
        <v>214</v>
      </c>
      <c r="C506" s="19" t="str">
        <f aca="false">IFERROR(INDEX('قائمة الوحدات'!$B$2:$B$41,MATCH($B506,'قائمة الوحدات'!$A$2:$A$41,0)),"")</f>
        <v>MIL</v>
      </c>
      <c r="D506" s="18" t="str">
        <f aca="false">IFERROR(INDEX('قائمة الوحدات'!$C$2:$C$41,MATCH($B506,'قائمة الوحدات'!$A$2:$A$41,0)),"")</f>
        <v>الجهاز العسكري</v>
      </c>
      <c r="E506" s="18" t="str">
        <f aca="false">IFERROR(INDEX('قائمة الوحدات'!$D$2:$D$41,MATCH($B506,'قائمة الوحدات'!$A$2:$A$41,0)),"")</f>
        <v>الإدارة العامة للإمداد والتموين</v>
      </c>
      <c r="F506" s="18" t="str">
        <f aca="false">IFERROR(INDEX('قائمة الوحدات'!$F$2:$F$41,MATCH($B506,'قائمة الوحدات'!$A$2:$A$41,0)),"")</f>
        <v>الإدارة العامة للإمداد والتموين</v>
      </c>
      <c r="G506" s="20" t="s">
        <v>44</v>
      </c>
      <c r="H506" s="18" t="str">
        <f aca="false">IFERROR(INDEX(المرجع!$A$2:$A$19,MATCH($G506,المرجع!$B$2:$B$19,0)),"")</f>
        <v>التصميم</v>
      </c>
      <c r="I506" s="20" t="s">
        <v>46</v>
      </c>
      <c r="J506" s="18" t="str">
        <f aca="false">IFERROR(INDEX(المرجع!$D$2:$D$19,MATCH($I506,المرجع!$E$2:$E$19,0)),"")</f>
        <v>الدور</v>
      </c>
      <c r="K506" s="19" t="n">
        <f aca="false">IFERROR(INDEX(المرجع!$F$2:$F$19,MATCH($I506,المرجع!$E$2:$E$19,0)),"")</f>
        <v>1</v>
      </c>
      <c r="L506" s="19" t="n">
        <f aca="false">SUMIFS(المرجع!$H$2:$H$19,المرجع!$B$2:$B$19,$G506,المرجع!$E$2:$E$19,$I506)</f>
        <v>1</v>
      </c>
      <c r="M506" s="19" t="n">
        <f aca="false">COUNTIFS('المرتبطة بسمو الوزير'!$B$2:$B$151,$B506,'المرتبطة بسمو الوزير'!$G$2:$G$151,$G506,'المرتبطة بسمو الوزير'!$I$2:$I$151,$I506,'المرتبطة بسمو الوزير'!$M$2:$M$151,"&lt;&gt;")+COUNTIFS('الشؤون التنفيذية'!$B$2:$B$421,$B506,'الشؤون التنفيذية'!$G$2:$G$421,$G506,'الشؤون التنفيذية'!$I$2:$I$421,$I506,'الشؤون التنفيذية'!$N$2:$N$421,"&lt;&gt;")+COUNTIFS('الجهاز العسكري'!$B$2:$B$631,$B506,'الجهاز العسكري'!$G$2:$G$631,$G506,'الجهاز العسكري'!$I$2:$I$631,$I506,'الجهاز العسكري'!$M$2:$M$631,"&lt;&gt;")</f>
        <v>1</v>
      </c>
      <c r="N506" s="24" t="n">
        <f aca="false">IF($L506=0,0,ROUND((SUMIFS('المرتبطة بسمو الوزير'!$M$2:$M$151,'المرتبطة بسمو الوزير'!$B$2:$B$151,$B506,'المرتبطة بسمو الوزير'!$G$2:$G$151,$G506,'المرتبطة بسمو الوزير'!$I$2:$I$151,$I506)+SUMIFS('الشؤون التنفيذية'!$N$2:$N$421,'الشؤون التنفيذية'!$B$2:$B$421,$B506,'الشؤون التنفيذية'!$G$2:$G$421,$G506,'الشؤون التنفيذية'!$I$2:$I$421,$I506)+SUMIFS('الجهاز العسكري'!$M$2:$M$631,'الجهاز العسكري'!$B$2:$B$631,$B506,'الجهاز العسكري'!$G$2:$G$631,$G506,'الجهاز العسكري'!$I$2:$I$631,$I506))/$L506,0))</f>
        <v>71</v>
      </c>
      <c r="O506" s="25" t="n">
        <f aca="false">IF($L506=0,0,ROUND((SUMIFS('المرتبطة بسمو الوزير'!$N$2:$N$151,'المرتبطة بسمو الوزير'!$B$2:$B$151,$B506,'المرتبطة بسمو الوزير'!$G$2:$G$151,$G506,'المرتبطة بسمو الوزير'!$I$2:$I$151,$I506)+SUMIFS('الشؤون التنفيذية'!$O$2:$O$421,'الشؤون التنفيذية'!$B$2:$B$421,$B506,'الشؤون التنفيذية'!$G$2:$G$421,$G506,'الشؤون التنفيذية'!$I$2:$I$421,$I506)+SUMIFS('الجهاز العسكري'!$N$2:$N$631,'الجهاز العسكري'!$B$2:$B$631,$B506,'الجهاز العسكري'!$G$2:$G$631,$G506,'الجهاز العسكري'!$I$2:$I$631,$I506))/$L506,0))</f>
        <v>95</v>
      </c>
      <c r="P506" s="22"/>
      <c r="Q506" s="19" t="n">
        <f aca="false">SUMIFS(المرجع!$G$2:$G$19,المرجع!$B$2:$B$19,$G506,المرجع!$E$2:$E$19,$I506)</f>
        <v>25</v>
      </c>
      <c r="R506" s="26" t="n">
        <f aca="false">ROUND($Q506*$N506/100,2)</f>
        <v>17.75</v>
      </c>
      <c r="S506" s="27" t="str">
        <f aca="false">IF($N506&gt;المرجع!$K$3,"متقدم",IF($N506&lt;=المرجع!$K$2,"أولي","جزئي"))</f>
        <v>متقدم</v>
      </c>
      <c r="T506" s="28" t="n">
        <f aca="false">ROUND($Q506*$O506/100,2)</f>
        <v>23.75</v>
      </c>
    </row>
    <row r="507" customFormat="false" ht="15" hidden="false" customHeight="true" outlineLevel="0" collapsed="false">
      <c r="A507" s="20" t="s">
        <v>1959</v>
      </c>
      <c r="B507" s="20" t="s">
        <v>214</v>
      </c>
      <c r="C507" s="19" t="str">
        <f aca="false">IFERROR(INDEX('قائمة الوحدات'!$B$2:$B$41,MATCH($B507,'قائمة الوحدات'!$A$2:$A$41,0)),"")</f>
        <v>MIL</v>
      </c>
      <c r="D507" s="18" t="str">
        <f aca="false">IFERROR(INDEX('قائمة الوحدات'!$C$2:$C$41,MATCH($B507,'قائمة الوحدات'!$A$2:$A$41,0)),"")</f>
        <v>الجهاز العسكري</v>
      </c>
      <c r="E507" s="18" t="str">
        <f aca="false">IFERROR(INDEX('قائمة الوحدات'!$D$2:$D$41,MATCH($B507,'قائمة الوحدات'!$A$2:$A$41,0)),"")</f>
        <v>الإدارة العامة للإمداد والتموين</v>
      </c>
      <c r="F507" s="18" t="str">
        <f aca="false">IFERROR(INDEX('قائمة الوحدات'!$F$2:$F$41,MATCH($B507,'قائمة الوحدات'!$A$2:$A$41,0)),"")</f>
        <v>الإدارة العامة للإمداد والتموين</v>
      </c>
      <c r="G507" s="20" t="s">
        <v>44</v>
      </c>
      <c r="H507" s="18" t="str">
        <f aca="false">IFERROR(INDEX(المرجع!$A$2:$A$19,MATCH($G507,المرجع!$B$2:$B$19,0)),"")</f>
        <v>التصميم</v>
      </c>
      <c r="I507" s="20" t="s">
        <v>49</v>
      </c>
      <c r="J507" s="18" t="str">
        <f aca="false">IFERROR(INDEX(المرجع!$D$2:$D$19,MATCH($I507,المرجع!$E$2:$E$19,0)),"")</f>
        <v>الأهداف ومؤشرات الأداء</v>
      </c>
      <c r="K507" s="19" t="n">
        <f aca="false">IFERROR(INDEX(المرجع!$F$2:$F$19,MATCH($I507,المرجع!$E$2:$E$19,0)),"")</f>
        <v>2</v>
      </c>
      <c r="L507" s="19" t="n">
        <f aca="false">SUMIFS(المرجع!$H$2:$H$19,المرجع!$B$2:$B$19,$G507,المرجع!$E$2:$E$19,$I507)</f>
        <v>2</v>
      </c>
      <c r="M507" s="19" t="n">
        <f aca="false">COUNTIFS('المرتبطة بسمو الوزير'!$B$2:$B$151,$B507,'المرتبطة بسمو الوزير'!$G$2:$G$151,$G507,'المرتبطة بسمو الوزير'!$I$2:$I$151,$I507,'المرتبطة بسمو الوزير'!$M$2:$M$151,"&lt;&gt;")+COUNTIFS('الشؤون التنفيذية'!$B$2:$B$421,$B507,'الشؤون التنفيذية'!$G$2:$G$421,$G507,'الشؤون التنفيذية'!$I$2:$I$421,$I507,'الشؤون التنفيذية'!$N$2:$N$421,"&lt;&gt;")+COUNTIFS('الجهاز العسكري'!$B$2:$B$631,$B507,'الجهاز العسكري'!$G$2:$G$631,$G507,'الجهاز العسكري'!$I$2:$I$631,$I507,'الجهاز العسكري'!$M$2:$M$631,"&lt;&gt;")</f>
        <v>2</v>
      </c>
      <c r="N507" s="24" t="n">
        <f aca="false">IF($L507=0,0,ROUND((SUMIFS('المرتبطة بسمو الوزير'!$M$2:$M$151,'المرتبطة بسمو الوزير'!$B$2:$B$151,$B507,'المرتبطة بسمو الوزير'!$G$2:$G$151,$G507,'المرتبطة بسمو الوزير'!$I$2:$I$151,$I507)+SUMIFS('الشؤون التنفيذية'!$N$2:$N$421,'الشؤون التنفيذية'!$B$2:$B$421,$B507,'الشؤون التنفيذية'!$G$2:$G$421,$G507,'الشؤون التنفيذية'!$I$2:$I$421,$I507)+SUMIFS('الجهاز العسكري'!$M$2:$M$631,'الجهاز العسكري'!$B$2:$B$631,$B507,'الجهاز العسكري'!$G$2:$G$631,$G507,'الجهاز العسكري'!$I$2:$I$631,$I507))/$L507,0))</f>
        <v>100</v>
      </c>
      <c r="O507" s="25" t="n">
        <f aca="false">IF($L507=0,0,ROUND((SUMIFS('المرتبطة بسمو الوزير'!$N$2:$N$151,'المرتبطة بسمو الوزير'!$B$2:$B$151,$B507,'المرتبطة بسمو الوزير'!$G$2:$G$151,$G507,'المرتبطة بسمو الوزير'!$I$2:$I$151,$I507)+SUMIFS('الشؤون التنفيذية'!$O$2:$O$421,'الشؤون التنفيذية'!$B$2:$B$421,$B507,'الشؤون التنفيذية'!$G$2:$G$421,$G507,'الشؤون التنفيذية'!$I$2:$I$421,$I507)+SUMIFS('الجهاز العسكري'!$N$2:$N$631,'الجهاز العسكري'!$B$2:$B$631,$B507,'الجهاز العسكري'!$G$2:$G$631,$G507,'الجهاز العسكري'!$I$2:$I$631,$I507))/$L507,0))</f>
        <v>100</v>
      </c>
      <c r="P507" s="22"/>
      <c r="Q507" s="19" t="n">
        <f aca="false">SUMIFS(المرجع!$G$2:$G$19,المرجع!$B$2:$B$19,$G507,المرجع!$E$2:$E$19,$I507)</f>
        <v>15</v>
      </c>
      <c r="R507" s="26" t="n">
        <f aca="false">ROUND($Q507*$N507/100,2)</f>
        <v>15</v>
      </c>
      <c r="S507" s="27" t="str">
        <f aca="false">IF($N507&gt;المرجع!$K$3,"متقدم",IF($N507&lt;=المرجع!$K$2,"أولي","جزئي"))</f>
        <v>متقدم</v>
      </c>
      <c r="T507" s="28" t="n">
        <f aca="false">ROUND($Q507*$O507/100,2)</f>
        <v>15</v>
      </c>
    </row>
    <row r="508" customFormat="false" ht="15" hidden="false" customHeight="true" outlineLevel="0" collapsed="false">
      <c r="A508" s="20" t="s">
        <v>1960</v>
      </c>
      <c r="B508" s="20" t="s">
        <v>214</v>
      </c>
      <c r="C508" s="19" t="str">
        <f aca="false">IFERROR(INDEX('قائمة الوحدات'!$B$2:$B$41,MATCH($B508,'قائمة الوحدات'!$A$2:$A$41,0)),"")</f>
        <v>MIL</v>
      </c>
      <c r="D508" s="18" t="str">
        <f aca="false">IFERROR(INDEX('قائمة الوحدات'!$C$2:$C$41,MATCH($B508,'قائمة الوحدات'!$A$2:$A$41,0)),"")</f>
        <v>الجهاز العسكري</v>
      </c>
      <c r="E508" s="18" t="str">
        <f aca="false">IFERROR(INDEX('قائمة الوحدات'!$D$2:$D$41,MATCH($B508,'قائمة الوحدات'!$A$2:$A$41,0)),"")</f>
        <v>الإدارة العامة للإمداد والتموين</v>
      </c>
      <c r="F508" s="18" t="str">
        <f aca="false">IFERROR(INDEX('قائمة الوحدات'!$F$2:$F$41,MATCH($B508,'قائمة الوحدات'!$A$2:$A$41,0)),"")</f>
        <v>الإدارة العامة للإمداد والتموين</v>
      </c>
      <c r="G508" s="20" t="s">
        <v>44</v>
      </c>
      <c r="H508" s="18" t="str">
        <f aca="false">IFERROR(INDEX(المرجع!$A$2:$A$19,MATCH($G508,المرجع!$B$2:$B$19,0)),"")</f>
        <v>التصميم</v>
      </c>
      <c r="I508" s="20" t="s">
        <v>52</v>
      </c>
      <c r="J508" s="18" t="str">
        <f aca="false">IFERROR(INDEX(المرجع!$D$2:$D$19,MATCH($I508,المرجع!$E$2:$E$19,0)),"")</f>
        <v>الحوكمة</v>
      </c>
      <c r="K508" s="19" t="n">
        <f aca="false">IFERROR(INDEX(المرجع!$F$2:$F$19,MATCH($I508,المرجع!$E$2:$E$19,0)),"")</f>
        <v>3</v>
      </c>
      <c r="L508" s="19" t="n">
        <f aca="false">SUMIFS(المرجع!$H$2:$H$19,المرجع!$B$2:$B$19,$G508,المرجع!$E$2:$E$19,$I508)</f>
        <v>1</v>
      </c>
      <c r="M508" s="19" t="n">
        <f aca="false">COUNTIFS('المرتبطة بسمو الوزير'!$B$2:$B$151,$B508,'المرتبطة بسمو الوزير'!$G$2:$G$151,$G508,'المرتبطة بسمو الوزير'!$I$2:$I$151,$I508,'المرتبطة بسمو الوزير'!$M$2:$M$151,"&lt;&gt;")+COUNTIFS('الشؤون التنفيذية'!$B$2:$B$421,$B508,'الشؤون التنفيذية'!$G$2:$G$421,$G508,'الشؤون التنفيذية'!$I$2:$I$421,$I508,'الشؤون التنفيذية'!$N$2:$N$421,"&lt;&gt;")+COUNTIFS('الجهاز العسكري'!$B$2:$B$631,$B508,'الجهاز العسكري'!$G$2:$G$631,$G508,'الجهاز العسكري'!$I$2:$I$631,$I508,'الجهاز العسكري'!$M$2:$M$631,"&lt;&gt;")</f>
        <v>1</v>
      </c>
      <c r="N508" s="24" t="n">
        <f aca="false">IF($L508=0,0,ROUND((SUMIFS('المرتبطة بسمو الوزير'!$M$2:$M$151,'المرتبطة بسمو الوزير'!$B$2:$B$151,$B508,'المرتبطة بسمو الوزير'!$G$2:$G$151,$G508,'المرتبطة بسمو الوزير'!$I$2:$I$151,$I508)+SUMIFS('الشؤون التنفيذية'!$N$2:$N$421,'الشؤون التنفيذية'!$B$2:$B$421,$B508,'الشؤون التنفيذية'!$G$2:$G$421,$G508,'الشؤون التنفيذية'!$I$2:$I$421,$I508)+SUMIFS('الجهاز العسكري'!$M$2:$M$631,'الجهاز العسكري'!$B$2:$B$631,$B508,'الجهاز العسكري'!$G$2:$G$631,$G508,'الجهاز العسكري'!$I$2:$I$631,$I508))/$L508,0))</f>
        <v>96</v>
      </c>
      <c r="O508" s="25" t="n">
        <f aca="false">IF($L508=0,0,ROUND((SUMIFS('المرتبطة بسمو الوزير'!$N$2:$N$151,'المرتبطة بسمو الوزير'!$B$2:$B$151,$B508,'المرتبطة بسمو الوزير'!$G$2:$G$151,$G508,'المرتبطة بسمو الوزير'!$I$2:$I$151,$I508)+SUMIFS('الشؤون التنفيذية'!$O$2:$O$421,'الشؤون التنفيذية'!$B$2:$B$421,$B508,'الشؤون التنفيذية'!$G$2:$G$421,$G508,'الشؤون التنفيذية'!$I$2:$I$421,$I508)+SUMIFS('الجهاز العسكري'!$N$2:$N$631,'الجهاز العسكري'!$B$2:$B$631,$B508,'الجهاز العسكري'!$G$2:$G$631,$G508,'الجهاز العسكري'!$I$2:$I$631,$I508))/$L508,0))</f>
        <v>96</v>
      </c>
      <c r="P508" s="22"/>
      <c r="Q508" s="19" t="n">
        <f aca="false">SUMIFS(المرجع!$G$2:$G$19,المرجع!$B$2:$B$19,$G508,المرجع!$E$2:$E$19,$I508)</f>
        <v>15</v>
      </c>
      <c r="R508" s="26" t="n">
        <f aca="false">ROUND($Q508*$N508/100,2)</f>
        <v>14.4</v>
      </c>
      <c r="S508" s="27" t="str">
        <f aca="false">IF($N508&gt;المرجع!$K$3,"متقدم",IF($N508&lt;=المرجع!$K$2,"أولي","جزئي"))</f>
        <v>متقدم</v>
      </c>
      <c r="T508" s="28" t="n">
        <f aca="false">ROUND($Q508*$O508/100,2)</f>
        <v>14.4</v>
      </c>
    </row>
    <row r="509" customFormat="false" ht="15" hidden="false" customHeight="true" outlineLevel="0" collapsed="false">
      <c r="A509" s="20" t="s">
        <v>1961</v>
      </c>
      <c r="B509" s="20" t="s">
        <v>214</v>
      </c>
      <c r="C509" s="19" t="str">
        <f aca="false">IFERROR(INDEX('قائمة الوحدات'!$B$2:$B$41,MATCH($B509,'قائمة الوحدات'!$A$2:$A$41,0)),"")</f>
        <v>MIL</v>
      </c>
      <c r="D509" s="18" t="str">
        <f aca="false">IFERROR(INDEX('قائمة الوحدات'!$C$2:$C$41,MATCH($B509,'قائمة الوحدات'!$A$2:$A$41,0)),"")</f>
        <v>الجهاز العسكري</v>
      </c>
      <c r="E509" s="18" t="str">
        <f aca="false">IFERROR(INDEX('قائمة الوحدات'!$D$2:$D$41,MATCH($B509,'قائمة الوحدات'!$A$2:$A$41,0)),"")</f>
        <v>الإدارة العامة للإمداد والتموين</v>
      </c>
      <c r="F509" s="18" t="str">
        <f aca="false">IFERROR(INDEX('قائمة الوحدات'!$F$2:$F$41,MATCH($B509,'قائمة الوحدات'!$A$2:$A$41,0)),"")</f>
        <v>الإدارة العامة للإمداد والتموين</v>
      </c>
      <c r="G509" s="20" t="s">
        <v>44</v>
      </c>
      <c r="H509" s="18" t="str">
        <f aca="false">IFERROR(INDEX(المرجع!$A$2:$A$19,MATCH($G509,المرجع!$B$2:$B$19,0)),"")</f>
        <v>التصميم</v>
      </c>
      <c r="I509" s="20" t="s">
        <v>55</v>
      </c>
      <c r="J509" s="18" t="str">
        <f aca="false">IFERROR(INDEX(المرجع!$D$2:$D$19,MATCH($I509,المرجع!$E$2:$E$19,0)),"")</f>
        <v>التنظيم</v>
      </c>
      <c r="K509" s="19" t="n">
        <f aca="false">IFERROR(INDEX(المرجع!$F$2:$F$19,MATCH($I509,المرجع!$E$2:$E$19,0)),"")</f>
        <v>4</v>
      </c>
      <c r="L509" s="19" t="n">
        <f aca="false">SUMIFS(المرجع!$H$2:$H$19,المرجع!$B$2:$B$19,$G509,المرجع!$E$2:$E$19,$I509)</f>
        <v>1</v>
      </c>
      <c r="M509" s="19" t="n">
        <f aca="false">COUNTIFS('المرتبطة بسمو الوزير'!$B$2:$B$151,$B509,'المرتبطة بسمو الوزير'!$G$2:$G$151,$G509,'المرتبطة بسمو الوزير'!$I$2:$I$151,$I509,'المرتبطة بسمو الوزير'!$M$2:$M$151,"&lt;&gt;")+COUNTIFS('الشؤون التنفيذية'!$B$2:$B$421,$B509,'الشؤون التنفيذية'!$G$2:$G$421,$G509,'الشؤون التنفيذية'!$I$2:$I$421,$I509,'الشؤون التنفيذية'!$N$2:$N$421,"&lt;&gt;")+COUNTIFS('الجهاز العسكري'!$B$2:$B$631,$B509,'الجهاز العسكري'!$G$2:$G$631,$G509,'الجهاز العسكري'!$I$2:$I$631,$I509,'الجهاز العسكري'!$M$2:$M$631,"&lt;&gt;")</f>
        <v>1</v>
      </c>
      <c r="N509" s="24" t="n">
        <f aca="false">IF($L509=0,0,ROUND((SUMIFS('المرتبطة بسمو الوزير'!$M$2:$M$151,'المرتبطة بسمو الوزير'!$B$2:$B$151,$B509,'المرتبطة بسمو الوزير'!$G$2:$G$151,$G509,'المرتبطة بسمو الوزير'!$I$2:$I$151,$I509)+SUMIFS('الشؤون التنفيذية'!$N$2:$N$421,'الشؤون التنفيذية'!$B$2:$B$421,$B509,'الشؤون التنفيذية'!$G$2:$G$421,$G509,'الشؤون التنفيذية'!$I$2:$I$421,$I509)+SUMIFS('الجهاز العسكري'!$M$2:$M$631,'الجهاز العسكري'!$B$2:$B$631,$B509,'الجهاز العسكري'!$G$2:$G$631,$G509,'الجهاز العسكري'!$I$2:$I$631,$I509))/$L509,0))</f>
        <v>94</v>
      </c>
      <c r="O509" s="25" t="n">
        <f aca="false">IF($L509=0,0,ROUND((SUMIFS('المرتبطة بسمو الوزير'!$N$2:$N$151,'المرتبطة بسمو الوزير'!$B$2:$B$151,$B509,'المرتبطة بسمو الوزير'!$G$2:$G$151,$G509,'المرتبطة بسمو الوزير'!$I$2:$I$151,$I509)+SUMIFS('الشؤون التنفيذية'!$O$2:$O$421,'الشؤون التنفيذية'!$B$2:$B$421,$B509,'الشؤون التنفيذية'!$G$2:$G$421,$G509,'الشؤون التنفيذية'!$I$2:$I$421,$I509)+SUMIFS('الجهاز العسكري'!$N$2:$N$631,'الجهاز العسكري'!$B$2:$B$631,$B509,'الجهاز العسكري'!$G$2:$G$631,$G509,'الجهاز العسكري'!$I$2:$I$631,$I509))/$L509,0))</f>
        <v>100</v>
      </c>
      <c r="P509" s="22"/>
      <c r="Q509" s="19" t="n">
        <f aca="false">SUMIFS(المرجع!$G$2:$G$19,المرجع!$B$2:$B$19,$G509,المرجع!$E$2:$E$19,$I509)</f>
        <v>20</v>
      </c>
      <c r="R509" s="26" t="n">
        <f aca="false">ROUND($Q509*$N509/100,2)</f>
        <v>18.8</v>
      </c>
      <c r="S509" s="27" t="str">
        <f aca="false">IF($N509&gt;المرجع!$K$3,"متقدم",IF($N509&lt;=المرجع!$K$2,"أولي","جزئي"))</f>
        <v>متقدم</v>
      </c>
      <c r="T509" s="28" t="n">
        <f aca="false">ROUND($Q509*$O509/100,2)</f>
        <v>20</v>
      </c>
    </row>
    <row r="510" customFormat="false" ht="15" hidden="false" customHeight="true" outlineLevel="0" collapsed="false">
      <c r="A510" s="20" t="s">
        <v>1962</v>
      </c>
      <c r="B510" s="20" t="s">
        <v>214</v>
      </c>
      <c r="C510" s="19" t="str">
        <f aca="false">IFERROR(INDEX('قائمة الوحدات'!$B$2:$B$41,MATCH($B510,'قائمة الوحدات'!$A$2:$A$41,0)),"")</f>
        <v>MIL</v>
      </c>
      <c r="D510" s="18" t="str">
        <f aca="false">IFERROR(INDEX('قائمة الوحدات'!$C$2:$C$41,MATCH($B510,'قائمة الوحدات'!$A$2:$A$41,0)),"")</f>
        <v>الجهاز العسكري</v>
      </c>
      <c r="E510" s="18" t="str">
        <f aca="false">IFERROR(INDEX('قائمة الوحدات'!$D$2:$D$41,MATCH($B510,'قائمة الوحدات'!$A$2:$A$41,0)),"")</f>
        <v>الإدارة العامة للإمداد والتموين</v>
      </c>
      <c r="F510" s="18" t="str">
        <f aca="false">IFERROR(INDEX('قائمة الوحدات'!$F$2:$F$41,MATCH($B510,'قائمة الوحدات'!$A$2:$A$41,0)),"")</f>
        <v>الإدارة العامة للإمداد والتموين</v>
      </c>
      <c r="G510" s="20" t="s">
        <v>44</v>
      </c>
      <c r="H510" s="18" t="str">
        <f aca="false">IFERROR(INDEX(المرجع!$A$2:$A$19,MATCH($G510,المرجع!$B$2:$B$19,0)),"")</f>
        <v>التصميم</v>
      </c>
      <c r="I510" s="20" t="s">
        <v>57</v>
      </c>
      <c r="J510" s="18" t="str">
        <f aca="false">IFERROR(INDEX(المرجع!$D$2:$D$19,MATCH($I510,المرجع!$E$2:$E$19,0)),"")</f>
        <v>الموارد</v>
      </c>
      <c r="K510" s="19" t="n">
        <f aca="false">IFERROR(INDEX(المرجع!$F$2:$F$19,MATCH($I510,المرجع!$E$2:$E$19,0)),"")</f>
        <v>5</v>
      </c>
      <c r="L510" s="19" t="n">
        <f aca="false">SUMIFS(المرجع!$H$2:$H$19,المرجع!$B$2:$B$19,$G510,المرجع!$E$2:$E$19,$I510)</f>
        <v>1</v>
      </c>
      <c r="M510" s="19" t="n">
        <f aca="false">COUNTIFS('المرتبطة بسمو الوزير'!$B$2:$B$151,$B510,'المرتبطة بسمو الوزير'!$G$2:$G$151,$G510,'المرتبطة بسمو الوزير'!$I$2:$I$151,$I510,'المرتبطة بسمو الوزير'!$M$2:$M$151,"&lt;&gt;")+COUNTIFS('الشؤون التنفيذية'!$B$2:$B$421,$B510,'الشؤون التنفيذية'!$G$2:$G$421,$G510,'الشؤون التنفيذية'!$I$2:$I$421,$I510,'الشؤون التنفيذية'!$N$2:$N$421,"&lt;&gt;")+COUNTIFS('الجهاز العسكري'!$B$2:$B$631,$B510,'الجهاز العسكري'!$G$2:$G$631,$G510,'الجهاز العسكري'!$I$2:$I$631,$I510,'الجهاز العسكري'!$M$2:$M$631,"&lt;&gt;")</f>
        <v>1</v>
      </c>
      <c r="N510" s="24" t="n">
        <f aca="false">IF($L510=0,0,ROUND((SUMIFS('المرتبطة بسمو الوزير'!$M$2:$M$151,'المرتبطة بسمو الوزير'!$B$2:$B$151,$B510,'المرتبطة بسمو الوزير'!$G$2:$G$151,$G510,'المرتبطة بسمو الوزير'!$I$2:$I$151,$I510)+SUMIFS('الشؤون التنفيذية'!$N$2:$N$421,'الشؤون التنفيذية'!$B$2:$B$421,$B510,'الشؤون التنفيذية'!$G$2:$G$421,$G510,'الشؤون التنفيذية'!$I$2:$I$421,$I510)+SUMIFS('الجهاز العسكري'!$M$2:$M$631,'الجهاز العسكري'!$B$2:$B$631,$B510,'الجهاز العسكري'!$G$2:$G$631,$G510,'الجهاز العسكري'!$I$2:$I$631,$I510))/$L510,0))</f>
        <v>97</v>
      </c>
      <c r="O510" s="25" t="n">
        <f aca="false">IF($L510=0,0,ROUND((SUMIFS('المرتبطة بسمو الوزير'!$N$2:$N$151,'المرتبطة بسمو الوزير'!$B$2:$B$151,$B510,'المرتبطة بسمو الوزير'!$G$2:$G$151,$G510,'المرتبطة بسمو الوزير'!$I$2:$I$151,$I510)+SUMIFS('الشؤون التنفيذية'!$O$2:$O$421,'الشؤون التنفيذية'!$B$2:$B$421,$B510,'الشؤون التنفيذية'!$G$2:$G$421,$G510,'الشؤون التنفيذية'!$I$2:$I$421,$I510)+SUMIFS('الجهاز العسكري'!$N$2:$N$631,'الجهاز العسكري'!$B$2:$B$631,$B510,'الجهاز العسكري'!$G$2:$G$631,$G510,'الجهاز العسكري'!$I$2:$I$631,$I510))/$L510,0))</f>
        <v>97</v>
      </c>
      <c r="P510" s="22"/>
      <c r="Q510" s="19" t="n">
        <f aca="false">SUMIFS(المرجع!$G$2:$G$19,المرجع!$B$2:$B$19,$G510,المرجع!$E$2:$E$19,$I510)</f>
        <v>20</v>
      </c>
      <c r="R510" s="26" t="n">
        <f aca="false">ROUND($Q510*$N510/100,2)</f>
        <v>19.4</v>
      </c>
      <c r="S510" s="27" t="str">
        <f aca="false">IF($N510&gt;المرجع!$K$3,"متقدم",IF($N510&lt;=المرجع!$K$2,"أولي","جزئي"))</f>
        <v>متقدم</v>
      </c>
      <c r="T510" s="28" t="n">
        <f aca="false">ROUND($Q510*$O510/100,2)</f>
        <v>19.4</v>
      </c>
    </row>
    <row r="511" customFormat="false" ht="15" hidden="false" customHeight="true" outlineLevel="0" collapsed="false">
      <c r="A511" s="20" t="s">
        <v>1963</v>
      </c>
      <c r="B511" s="20" t="s">
        <v>214</v>
      </c>
      <c r="C511" s="19" t="str">
        <f aca="false">IFERROR(INDEX('قائمة الوحدات'!$B$2:$B$41,MATCH($B511,'قائمة الوحدات'!$A$2:$A$41,0)),"")</f>
        <v>MIL</v>
      </c>
      <c r="D511" s="18" t="str">
        <f aca="false">IFERROR(INDEX('قائمة الوحدات'!$C$2:$C$41,MATCH($B511,'قائمة الوحدات'!$A$2:$A$41,0)),"")</f>
        <v>الجهاز العسكري</v>
      </c>
      <c r="E511" s="18" t="str">
        <f aca="false">IFERROR(INDEX('قائمة الوحدات'!$D$2:$D$41,MATCH($B511,'قائمة الوحدات'!$A$2:$A$41,0)),"")</f>
        <v>الإدارة العامة للإمداد والتموين</v>
      </c>
      <c r="F511" s="18" t="str">
        <f aca="false">IFERROR(INDEX('قائمة الوحدات'!$F$2:$F$41,MATCH($B511,'قائمة الوحدات'!$A$2:$A$41,0)),"")</f>
        <v>الإدارة العامة للإمداد والتموين</v>
      </c>
      <c r="G511" s="20" t="s">
        <v>44</v>
      </c>
      <c r="H511" s="18" t="str">
        <f aca="false">IFERROR(INDEX(المرجع!$A$2:$A$19,MATCH($G511,المرجع!$B$2:$B$19,0)),"")</f>
        <v>التصميم</v>
      </c>
      <c r="I511" s="20" t="s">
        <v>60</v>
      </c>
      <c r="J511" s="18" t="str">
        <f aca="false">IFERROR(INDEX(المرجع!$D$2:$D$19,MATCH($I511,المرجع!$E$2:$E$19,0)),"")</f>
        <v>الإجراءات</v>
      </c>
      <c r="K511" s="19" t="n">
        <f aca="false">IFERROR(INDEX(المرجع!$F$2:$F$19,MATCH($I511,المرجع!$E$2:$E$19,0)),"")</f>
        <v>6</v>
      </c>
      <c r="L511" s="19" t="n">
        <f aca="false">SUMIFS(المرجع!$H$2:$H$19,المرجع!$B$2:$B$19,$G511,المرجع!$E$2:$E$19,$I511)</f>
        <v>1</v>
      </c>
      <c r="M511" s="19" t="n">
        <f aca="false">COUNTIFS('المرتبطة بسمو الوزير'!$B$2:$B$151,$B511,'المرتبطة بسمو الوزير'!$G$2:$G$151,$G511,'المرتبطة بسمو الوزير'!$I$2:$I$151,$I511,'المرتبطة بسمو الوزير'!$M$2:$M$151,"&lt;&gt;")+COUNTIFS('الشؤون التنفيذية'!$B$2:$B$421,$B511,'الشؤون التنفيذية'!$G$2:$G$421,$G511,'الشؤون التنفيذية'!$I$2:$I$421,$I511,'الشؤون التنفيذية'!$N$2:$N$421,"&lt;&gt;")+COUNTIFS('الجهاز العسكري'!$B$2:$B$631,$B511,'الجهاز العسكري'!$G$2:$G$631,$G511,'الجهاز العسكري'!$I$2:$I$631,$I511,'الجهاز العسكري'!$M$2:$M$631,"&lt;&gt;")</f>
        <v>1</v>
      </c>
      <c r="N511" s="24" t="n">
        <f aca="false">IF($L511=0,0,ROUND((SUMIFS('المرتبطة بسمو الوزير'!$M$2:$M$151,'المرتبطة بسمو الوزير'!$B$2:$B$151,$B511,'المرتبطة بسمو الوزير'!$G$2:$G$151,$G511,'المرتبطة بسمو الوزير'!$I$2:$I$151,$I511)+SUMIFS('الشؤون التنفيذية'!$N$2:$N$421,'الشؤون التنفيذية'!$B$2:$B$421,$B511,'الشؤون التنفيذية'!$G$2:$G$421,$G511,'الشؤون التنفيذية'!$I$2:$I$421,$I511)+SUMIFS('الجهاز العسكري'!$M$2:$M$631,'الجهاز العسكري'!$B$2:$B$631,$B511,'الجهاز العسكري'!$G$2:$G$631,$G511,'الجهاز العسكري'!$I$2:$I$631,$I511))/$L511,0))</f>
        <v>68</v>
      </c>
      <c r="O511" s="25" t="n">
        <f aca="false">IF($L511=0,0,ROUND((SUMIFS('المرتبطة بسمو الوزير'!$N$2:$N$151,'المرتبطة بسمو الوزير'!$B$2:$B$151,$B511,'المرتبطة بسمو الوزير'!$G$2:$G$151,$G511,'المرتبطة بسمو الوزير'!$I$2:$I$151,$I511)+SUMIFS('الشؤون التنفيذية'!$O$2:$O$421,'الشؤون التنفيذية'!$B$2:$B$421,$B511,'الشؤون التنفيذية'!$G$2:$G$421,$G511,'الشؤون التنفيذية'!$I$2:$I$421,$I511)+SUMIFS('الجهاز العسكري'!$N$2:$N$631,'الجهاز العسكري'!$B$2:$B$631,$B511,'الجهاز العسكري'!$G$2:$G$631,$G511,'الجهاز العسكري'!$I$2:$I$631,$I511))/$L511,0))</f>
        <v>85</v>
      </c>
      <c r="P511" s="22"/>
      <c r="Q511" s="19" t="n">
        <f aca="false">SUMIFS(المرجع!$G$2:$G$19,المرجع!$B$2:$B$19,$G511,المرجع!$E$2:$E$19,$I511)</f>
        <v>5</v>
      </c>
      <c r="R511" s="26" t="n">
        <f aca="false">ROUND($Q511*$N511/100,2)</f>
        <v>3.4</v>
      </c>
      <c r="S511" s="27" t="str">
        <f aca="false">IF($N511&gt;المرجع!$K$3,"متقدم",IF($N511&lt;=المرجع!$K$2,"أولي","جزئي"))</f>
        <v>جزئي</v>
      </c>
      <c r="T511" s="28" t="n">
        <f aca="false">ROUND($Q511*$O511/100,2)</f>
        <v>4.25</v>
      </c>
    </row>
    <row r="512" customFormat="false" ht="15" hidden="false" customHeight="true" outlineLevel="0" collapsed="false">
      <c r="A512" s="20" t="s">
        <v>1964</v>
      </c>
      <c r="B512" s="20" t="s">
        <v>214</v>
      </c>
      <c r="C512" s="19" t="str">
        <f aca="false">IFERROR(INDEX('قائمة الوحدات'!$B$2:$B$41,MATCH($B512,'قائمة الوحدات'!$A$2:$A$41,0)),"")</f>
        <v>MIL</v>
      </c>
      <c r="D512" s="18" t="str">
        <f aca="false">IFERROR(INDEX('قائمة الوحدات'!$C$2:$C$41,MATCH($B512,'قائمة الوحدات'!$A$2:$A$41,0)),"")</f>
        <v>الجهاز العسكري</v>
      </c>
      <c r="E512" s="18" t="str">
        <f aca="false">IFERROR(INDEX('قائمة الوحدات'!$D$2:$D$41,MATCH($B512,'قائمة الوحدات'!$A$2:$A$41,0)),"")</f>
        <v>الإدارة العامة للإمداد والتموين</v>
      </c>
      <c r="F512" s="18" t="str">
        <f aca="false">IFERROR(INDEX('قائمة الوحدات'!$F$2:$F$41,MATCH($B512,'قائمة الوحدات'!$A$2:$A$41,0)),"")</f>
        <v>الإدارة العامة للإمداد والتموين</v>
      </c>
      <c r="G512" s="20" t="s">
        <v>62</v>
      </c>
      <c r="H512" s="18" t="str">
        <f aca="false">IFERROR(INDEX(المرجع!$A$2:$A$19,MATCH($G512,المرجع!$B$2:$B$19,0)),"")</f>
        <v>البناء المؤسسي</v>
      </c>
      <c r="I512" s="20" t="s">
        <v>46</v>
      </c>
      <c r="J512" s="18" t="str">
        <f aca="false">IFERROR(INDEX(المرجع!$D$2:$D$19,MATCH($I512,المرجع!$E$2:$E$19,0)),"")</f>
        <v>الدور</v>
      </c>
      <c r="K512" s="19" t="n">
        <f aca="false">IFERROR(INDEX(المرجع!$F$2:$F$19,MATCH($I512,المرجع!$E$2:$E$19,0)),"")</f>
        <v>1</v>
      </c>
      <c r="L512" s="19" t="n">
        <f aca="false">SUMIFS(المرجع!$H$2:$H$19,المرجع!$B$2:$B$19,$G512,المرجع!$E$2:$E$19,$I512)</f>
        <v>1</v>
      </c>
      <c r="M512" s="19" t="n">
        <f aca="false">COUNTIFS('المرتبطة بسمو الوزير'!$B$2:$B$151,$B512,'المرتبطة بسمو الوزير'!$G$2:$G$151,$G512,'المرتبطة بسمو الوزير'!$I$2:$I$151,$I512,'المرتبطة بسمو الوزير'!$M$2:$M$151,"&lt;&gt;")+COUNTIFS('الشؤون التنفيذية'!$B$2:$B$421,$B512,'الشؤون التنفيذية'!$G$2:$G$421,$G512,'الشؤون التنفيذية'!$I$2:$I$421,$I512,'الشؤون التنفيذية'!$N$2:$N$421,"&lt;&gt;")+COUNTIFS('الجهاز العسكري'!$B$2:$B$631,$B512,'الجهاز العسكري'!$G$2:$G$631,$G512,'الجهاز العسكري'!$I$2:$I$631,$I512,'الجهاز العسكري'!$M$2:$M$631,"&lt;&gt;")</f>
        <v>1</v>
      </c>
      <c r="N512" s="24" t="n">
        <f aca="false">IF($L512=0,0,ROUND((SUMIFS('المرتبطة بسمو الوزير'!$M$2:$M$151,'المرتبطة بسمو الوزير'!$B$2:$B$151,$B512,'المرتبطة بسمو الوزير'!$G$2:$G$151,$G512,'المرتبطة بسمو الوزير'!$I$2:$I$151,$I512)+SUMIFS('الشؤون التنفيذية'!$N$2:$N$421,'الشؤون التنفيذية'!$B$2:$B$421,$B512,'الشؤون التنفيذية'!$G$2:$G$421,$G512,'الشؤون التنفيذية'!$I$2:$I$421,$I512)+SUMIFS('الجهاز العسكري'!$M$2:$M$631,'الجهاز العسكري'!$B$2:$B$631,$B512,'الجهاز العسكري'!$G$2:$G$631,$G512,'الجهاز العسكري'!$I$2:$I$631,$I512))/$L512,0))</f>
        <v>70</v>
      </c>
      <c r="O512" s="25" t="n">
        <f aca="false">IF($L512=0,0,ROUND((SUMIFS('المرتبطة بسمو الوزير'!$N$2:$N$151,'المرتبطة بسمو الوزير'!$B$2:$B$151,$B512,'المرتبطة بسمو الوزير'!$G$2:$G$151,$G512,'المرتبطة بسمو الوزير'!$I$2:$I$151,$I512)+SUMIFS('الشؤون التنفيذية'!$O$2:$O$421,'الشؤون التنفيذية'!$B$2:$B$421,$B512,'الشؤون التنفيذية'!$G$2:$G$421,$G512,'الشؤون التنفيذية'!$I$2:$I$421,$I512)+SUMIFS('الجهاز العسكري'!$N$2:$N$631,'الجهاز العسكري'!$B$2:$B$631,$B512,'الجهاز العسكري'!$G$2:$G$631,$G512,'الجهاز العسكري'!$I$2:$I$631,$I512))/$L512,0))</f>
        <v>100</v>
      </c>
      <c r="P512" s="22"/>
      <c r="Q512" s="19" t="n">
        <f aca="false">SUMIFS(المرجع!$G$2:$G$19,المرجع!$B$2:$B$19,$G512,المرجع!$E$2:$E$19,$I512)</f>
        <v>15</v>
      </c>
      <c r="R512" s="26" t="n">
        <f aca="false">ROUND($Q512*$N512/100,2)</f>
        <v>10.5</v>
      </c>
      <c r="S512" s="27" t="str">
        <f aca="false">IF($N512&gt;المرجع!$K$3,"متقدم",IF($N512&lt;=المرجع!$K$2,"أولي","جزئي"))</f>
        <v>جزئي</v>
      </c>
      <c r="T512" s="28" t="n">
        <f aca="false">ROUND($Q512*$O512/100,2)</f>
        <v>15</v>
      </c>
    </row>
    <row r="513" customFormat="false" ht="15" hidden="false" customHeight="true" outlineLevel="0" collapsed="false">
      <c r="A513" s="20" t="s">
        <v>1965</v>
      </c>
      <c r="B513" s="20" t="s">
        <v>214</v>
      </c>
      <c r="C513" s="19" t="str">
        <f aca="false">IFERROR(INDEX('قائمة الوحدات'!$B$2:$B$41,MATCH($B513,'قائمة الوحدات'!$A$2:$A$41,0)),"")</f>
        <v>MIL</v>
      </c>
      <c r="D513" s="18" t="str">
        <f aca="false">IFERROR(INDEX('قائمة الوحدات'!$C$2:$C$41,MATCH($B513,'قائمة الوحدات'!$A$2:$A$41,0)),"")</f>
        <v>الجهاز العسكري</v>
      </c>
      <c r="E513" s="18" t="str">
        <f aca="false">IFERROR(INDEX('قائمة الوحدات'!$D$2:$D$41,MATCH($B513,'قائمة الوحدات'!$A$2:$A$41,0)),"")</f>
        <v>الإدارة العامة للإمداد والتموين</v>
      </c>
      <c r="F513" s="18" t="str">
        <f aca="false">IFERROR(INDEX('قائمة الوحدات'!$F$2:$F$41,MATCH($B513,'قائمة الوحدات'!$A$2:$A$41,0)),"")</f>
        <v>الإدارة العامة للإمداد والتموين</v>
      </c>
      <c r="G513" s="20" t="s">
        <v>62</v>
      </c>
      <c r="H513" s="18" t="str">
        <f aca="false">IFERROR(INDEX(المرجع!$A$2:$A$19,MATCH($G513,المرجع!$B$2:$B$19,0)),"")</f>
        <v>البناء المؤسسي</v>
      </c>
      <c r="I513" s="20" t="s">
        <v>49</v>
      </c>
      <c r="J513" s="18" t="str">
        <f aca="false">IFERROR(INDEX(المرجع!$D$2:$D$19,MATCH($I513,المرجع!$E$2:$E$19,0)),"")</f>
        <v>الأهداف ومؤشرات الأداء</v>
      </c>
      <c r="K513" s="19" t="n">
        <f aca="false">IFERROR(INDEX(المرجع!$F$2:$F$19,MATCH($I513,المرجع!$E$2:$E$19,0)),"")</f>
        <v>2</v>
      </c>
      <c r="L513" s="19" t="n">
        <f aca="false">SUMIFS(المرجع!$H$2:$H$19,المرجع!$B$2:$B$19,$G513,المرجع!$E$2:$E$19,$I513)</f>
        <v>2</v>
      </c>
      <c r="M513" s="19" t="n">
        <f aca="false">COUNTIFS('المرتبطة بسمو الوزير'!$B$2:$B$151,$B513,'المرتبطة بسمو الوزير'!$G$2:$G$151,$G513,'المرتبطة بسمو الوزير'!$I$2:$I$151,$I513,'المرتبطة بسمو الوزير'!$M$2:$M$151,"&lt;&gt;")+COUNTIFS('الشؤون التنفيذية'!$B$2:$B$421,$B513,'الشؤون التنفيذية'!$G$2:$G$421,$G513,'الشؤون التنفيذية'!$I$2:$I$421,$I513,'الشؤون التنفيذية'!$N$2:$N$421,"&lt;&gt;")+COUNTIFS('الجهاز العسكري'!$B$2:$B$631,$B513,'الجهاز العسكري'!$G$2:$G$631,$G513,'الجهاز العسكري'!$I$2:$I$631,$I513,'الجهاز العسكري'!$M$2:$M$631,"&lt;&gt;")</f>
        <v>2</v>
      </c>
      <c r="N513" s="24" t="n">
        <f aca="false">IF($L513=0,0,ROUND((SUMIFS('المرتبطة بسمو الوزير'!$M$2:$M$151,'المرتبطة بسمو الوزير'!$B$2:$B$151,$B513,'المرتبطة بسمو الوزير'!$G$2:$G$151,$G513,'المرتبطة بسمو الوزير'!$I$2:$I$151,$I513)+SUMIFS('الشؤون التنفيذية'!$N$2:$N$421,'الشؤون التنفيذية'!$B$2:$B$421,$B513,'الشؤون التنفيذية'!$G$2:$G$421,$G513,'الشؤون التنفيذية'!$I$2:$I$421,$I513)+SUMIFS('الجهاز العسكري'!$M$2:$M$631,'الجهاز العسكري'!$B$2:$B$631,$B513,'الجهاز العسكري'!$G$2:$G$631,$G513,'الجهاز العسكري'!$I$2:$I$631,$I513))/$L513,0))</f>
        <v>75</v>
      </c>
      <c r="O513" s="25" t="n">
        <f aca="false">IF($L513=0,0,ROUND((SUMIFS('المرتبطة بسمو الوزير'!$N$2:$N$151,'المرتبطة بسمو الوزير'!$B$2:$B$151,$B513,'المرتبطة بسمو الوزير'!$G$2:$G$151,$G513,'المرتبطة بسمو الوزير'!$I$2:$I$151,$I513)+SUMIFS('الشؤون التنفيذية'!$O$2:$O$421,'الشؤون التنفيذية'!$B$2:$B$421,$B513,'الشؤون التنفيذية'!$G$2:$G$421,$G513,'الشؤون التنفيذية'!$I$2:$I$421,$I513)+SUMIFS('الجهاز العسكري'!$N$2:$N$631,'الجهاز العسكري'!$B$2:$B$631,$B513,'الجهاز العسكري'!$G$2:$G$631,$G513,'الجهاز العسكري'!$I$2:$I$631,$I513))/$L513,0))</f>
        <v>93</v>
      </c>
      <c r="P513" s="22"/>
      <c r="Q513" s="19" t="n">
        <f aca="false">SUMIFS(المرجع!$G$2:$G$19,المرجع!$B$2:$B$19,$G513,المرجع!$E$2:$E$19,$I513)</f>
        <v>15</v>
      </c>
      <c r="R513" s="26" t="n">
        <f aca="false">ROUND($Q513*$N513/100,2)</f>
        <v>11.25</v>
      </c>
      <c r="S513" s="27" t="str">
        <f aca="false">IF($N513&gt;المرجع!$K$3,"متقدم",IF($N513&lt;=المرجع!$K$2,"أولي","جزئي"))</f>
        <v>متقدم</v>
      </c>
      <c r="T513" s="28" t="n">
        <f aca="false">ROUND($Q513*$O513/100,2)</f>
        <v>13.95</v>
      </c>
    </row>
    <row r="514" customFormat="false" ht="15" hidden="false" customHeight="true" outlineLevel="0" collapsed="false">
      <c r="A514" s="20" t="s">
        <v>1966</v>
      </c>
      <c r="B514" s="20" t="s">
        <v>214</v>
      </c>
      <c r="C514" s="19" t="str">
        <f aca="false">IFERROR(INDEX('قائمة الوحدات'!$B$2:$B$41,MATCH($B514,'قائمة الوحدات'!$A$2:$A$41,0)),"")</f>
        <v>MIL</v>
      </c>
      <c r="D514" s="18" t="str">
        <f aca="false">IFERROR(INDEX('قائمة الوحدات'!$C$2:$C$41,MATCH($B514,'قائمة الوحدات'!$A$2:$A$41,0)),"")</f>
        <v>الجهاز العسكري</v>
      </c>
      <c r="E514" s="18" t="str">
        <f aca="false">IFERROR(INDEX('قائمة الوحدات'!$D$2:$D$41,MATCH($B514,'قائمة الوحدات'!$A$2:$A$41,0)),"")</f>
        <v>الإدارة العامة للإمداد والتموين</v>
      </c>
      <c r="F514" s="18" t="str">
        <f aca="false">IFERROR(INDEX('قائمة الوحدات'!$F$2:$F$41,MATCH($B514,'قائمة الوحدات'!$A$2:$A$41,0)),"")</f>
        <v>الإدارة العامة للإمداد والتموين</v>
      </c>
      <c r="G514" s="20" t="s">
        <v>62</v>
      </c>
      <c r="H514" s="18" t="str">
        <f aca="false">IFERROR(INDEX(المرجع!$A$2:$A$19,MATCH($G514,المرجع!$B$2:$B$19,0)),"")</f>
        <v>البناء المؤسسي</v>
      </c>
      <c r="I514" s="20" t="s">
        <v>52</v>
      </c>
      <c r="J514" s="18" t="str">
        <f aca="false">IFERROR(INDEX(المرجع!$D$2:$D$19,MATCH($I514,المرجع!$E$2:$E$19,0)),"")</f>
        <v>الحوكمة</v>
      </c>
      <c r="K514" s="19" t="n">
        <f aca="false">IFERROR(INDEX(المرجع!$F$2:$F$19,MATCH($I514,المرجع!$E$2:$E$19,0)),"")</f>
        <v>3</v>
      </c>
      <c r="L514" s="19" t="n">
        <f aca="false">SUMIFS(المرجع!$H$2:$H$19,المرجع!$B$2:$B$19,$G514,المرجع!$E$2:$E$19,$I514)</f>
        <v>3</v>
      </c>
      <c r="M514" s="19" t="n">
        <f aca="false">COUNTIFS('المرتبطة بسمو الوزير'!$B$2:$B$151,$B514,'المرتبطة بسمو الوزير'!$G$2:$G$151,$G514,'المرتبطة بسمو الوزير'!$I$2:$I$151,$I514,'المرتبطة بسمو الوزير'!$M$2:$M$151,"&lt;&gt;")+COUNTIFS('الشؤون التنفيذية'!$B$2:$B$421,$B514,'الشؤون التنفيذية'!$G$2:$G$421,$G514,'الشؤون التنفيذية'!$I$2:$I$421,$I514,'الشؤون التنفيذية'!$N$2:$N$421,"&lt;&gt;")+COUNTIFS('الجهاز العسكري'!$B$2:$B$631,$B514,'الجهاز العسكري'!$G$2:$G$631,$G514,'الجهاز العسكري'!$I$2:$I$631,$I514,'الجهاز العسكري'!$M$2:$M$631,"&lt;&gt;")</f>
        <v>3</v>
      </c>
      <c r="N514" s="24" t="n">
        <f aca="false">IF($L514=0,0,ROUND((SUMIFS('المرتبطة بسمو الوزير'!$M$2:$M$151,'المرتبطة بسمو الوزير'!$B$2:$B$151,$B514,'المرتبطة بسمو الوزير'!$G$2:$G$151,$G514,'المرتبطة بسمو الوزير'!$I$2:$I$151,$I514)+SUMIFS('الشؤون التنفيذية'!$N$2:$N$421,'الشؤون التنفيذية'!$B$2:$B$421,$B514,'الشؤون التنفيذية'!$G$2:$G$421,$G514,'الشؤون التنفيذية'!$I$2:$I$421,$I514)+SUMIFS('الجهاز العسكري'!$M$2:$M$631,'الجهاز العسكري'!$B$2:$B$631,$B514,'الجهاز العسكري'!$G$2:$G$631,$G514,'الجهاز العسكري'!$I$2:$I$631,$I514))/$L514,0))</f>
        <v>87</v>
      </c>
      <c r="O514" s="25" t="n">
        <f aca="false">IF($L514=0,0,ROUND((SUMIFS('المرتبطة بسمو الوزير'!$N$2:$N$151,'المرتبطة بسمو الوزير'!$B$2:$B$151,$B514,'المرتبطة بسمو الوزير'!$G$2:$G$151,$G514,'المرتبطة بسمو الوزير'!$I$2:$I$151,$I514)+SUMIFS('الشؤون التنفيذية'!$O$2:$O$421,'الشؤون التنفيذية'!$B$2:$B$421,$B514,'الشؤون التنفيذية'!$G$2:$G$421,$G514,'الشؤون التنفيذية'!$I$2:$I$421,$I514)+SUMIFS('الجهاز العسكري'!$N$2:$N$631,'الجهاز العسكري'!$B$2:$B$631,$B514,'الجهاز العسكري'!$G$2:$G$631,$G514,'الجهاز العسكري'!$I$2:$I$631,$I514))/$L514,0))</f>
        <v>100</v>
      </c>
      <c r="P514" s="22"/>
      <c r="Q514" s="19" t="n">
        <f aca="false">SUMIFS(المرجع!$G$2:$G$19,المرجع!$B$2:$B$19,$G514,المرجع!$E$2:$E$19,$I514)</f>
        <v>15</v>
      </c>
      <c r="R514" s="26" t="n">
        <f aca="false">ROUND($Q514*$N514/100,2)</f>
        <v>13.05</v>
      </c>
      <c r="S514" s="27" t="str">
        <f aca="false">IF($N514&gt;المرجع!$K$3,"متقدم",IF($N514&lt;=المرجع!$K$2,"أولي","جزئي"))</f>
        <v>متقدم</v>
      </c>
      <c r="T514" s="28" t="n">
        <f aca="false">ROUND($Q514*$O514/100,2)</f>
        <v>15</v>
      </c>
    </row>
    <row r="515" customFormat="false" ht="15" hidden="false" customHeight="true" outlineLevel="0" collapsed="false">
      <c r="A515" s="20" t="s">
        <v>1967</v>
      </c>
      <c r="B515" s="20" t="s">
        <v>214</v>
      </c>
      <c r="C515" s="19" t="str">
        <f aca="false">IFERROR(INDEX('قائمة الوحدات'!$B$2:$B$41,MATCH($B515,'قائمة الوحدات'!$A$2:$A$41,0)),"")</f>
        <v>MIL</v>
      </c>
      <c r="D515" s="18" t="str">
        <f aca="false">IFERROR(INDEX('قائمة الوحدات'!$C$2:$C$41,MATCH($B515,'قائمة الوحدات'!$A$2:$A$41,0)),"")</f>
        <v>الجهاز العسكري</v>
      </c>
      <c r="E515" s="18" t="str">
        <f aca="false">IFERROR(INDEX('قائمة الوحدات'!$D$2:$D$41,MATCH($B515,'قائمة الوحدات'!$A$2:$A$41,0)),"")</f>
        <v>الإدارة العامة للإمداد والتموين</v>
      </c>
      <c r="F515" s="18" t="str">
        <f aca="false">IFERROR(INDEX('قائمة الوحدات'!$F$2:$F$41,MATCH($B515,'قائمة الوحدات'!$A$2:$A$41,0)),"")</f>
        <v>الإدارة العامة للإمداد والتموين</v>
      </c>
      <c r="G515" s="20" t="s">
        <v>62</v>
      </c>
      <c r="H515" s="18" t="str">
        <f aca="false">IFERROR(INDEX(المرجع!$A$2:$A$19,MATCH($G515,المرجع!$B$2:$B$19,0)),"")</f>
        <v>البناء المؤسسي</v>
      </c>
      <c r="I515" s="20" t="s">
        <v>55</v>
      </c>
      <c r="J515" s="18" t="str">
        <f aca="false">IFERROR(INDEX(المرجع!$D$2:$D$19,MATCH($I515,المرجع!$E$2:$E$19,0)),"")</f>
        <v>التنظيم</v>
      </c>
      <c r="K515" s="19" t="n">
        <f aca="false">IFERROR(INDEX(المرجع!$F$2:$F$19,MATCH($I515,المرجع!$E$2:$E$19,0)),"")</f>
        <v>4</v>
      </c>
      <c r="L515" s="19" t="n">
        <f aca="false">SUMIFS(المرجع!$H$2:$H$19,المرجع!$B$2:$B$19,$G515,المرجع!$E$2:$E$19,$I515)</f>
        <v>3</v>
      </c>
      <c r="M515" s="19" t="n">
        <f aca="false">COUNTIFS('المرتبطة بسمو الوزير'!$B$2:$B$151,$B515,'المرتبطة بسمو الوزير'!$G$2:$G$151,$G515,'المرتبطة بسمو الوزير'!$I$2:$I$151,$I515,'المرتبطة بسمو الوزير'!$M$2:$M$151,"&lt;&gt;")+COUNTIFS('الشؤون التنفيذية'!$B$2:$B$421,$B515,'الشؤون التنفيذية'!$G$2:$G$421,$G515,'الشؤون التنفيذية'!$I$2:$I$421,$I515,'الشؤون التنفيذية'!$N$2:$N$421,"&lt;&gt;")+COUNTIFS('الجهاز العسكري'!$B$2:$B$631,$B515,'الجهاز العسكري'!$G$2:$G$631,$G515,'الجهاز العسكري'!$I$2:$I$631,$I515,'الجهاز العسكري'!$M$2:$M$631,"&lt;&gt;")</f>
        <v>3</v>
      </c>
      <c r="N515" s="24" t="n">
        <f aca="false">IF($L515=0,0,ROUND((SUMIFS('المرتبطة بسمو الوزير'!$M$2:$M$151,'المرتبطة بسمو الوزير'!$B$2:$B$151,$B515,'المرتبطة بسمو الوزير'!$G$2:$G$151,$G515,'المرتبطة بسمو الوزير'!$I$2:$I$151,$I515)+SUMIFS('الشؤون التنفيذية'!$N$2:$N$421,'الشؤون التنفيذية'!$B$2:$B$421,$B515,'الشؤون التنفيذية'!$G$2:$G$421,$G515,'الشؤون التنفيذية'!$I$2:$I$421,$I515)+SUMIFS('الجهاز العسكري'!$M$2:$M$631,'الجهاز العسكري'!$B$2:$B$631,$B515,'الجهاز العسكري'!$G$2:$G$631,$G515,'الجهاز العسكري'!$I$2:$I$631,$I515))/$L515,0))</f>
        <v>85</v>
      </c>
      <c r="O515" s="25" t="n">
        <f aca="false">IF($L515=0,0,ROUND((SUMIFS('المرتبطة بسمو الوزير'!$N$2:$N$151,'المرتبطة بسمو الوزير'!$B$2:$B$151,$B515,'المرتبطة بسمو الوزير'!$G$2:$G$151,$G515,'المرتبطة بسمو الوزير'!$I$2:$I$151,$I515)+SUMIFS('الشؤون التنفيذية'!$O$2:$O$421,'الشؤون التنفيذية'!$B$2:$B$421,$B515,'الشؤون التنفيذية'!$G$2:$G$421,$G515,'الشؤون التنفيذية'!$I$2:$I$421,$I515)+SUMIFS('الجهاز العسكري'!$N$2:$N$631,'الجهاز العسكري'!$B$2:$B$631,$B515,'الجهاز العسكري'!$G$2:$G$631,$G515,'الجهاز العسكري'!$I$2:$I$631,$I515))/$L515,0))</f>
        <v>97</v>
      </c>
      <c r="P515" s="22"/>
      <c r="Q515" s="19" t="n">
        <f aca="false">SUMIFS(المرجع!$G$2:$G$19,المرجع!$B$2:$B$19,$G515,المرجع!$E$2:$E$19,$I515)</f>
        <v>20</v>
      </c>
      <c r="R515" s="26" t="n">
        <f aca="false">ROUND($Q515*$N515/100,2)</f>
        <v>17</v>
      </c>
      <c r="S515" s="27" t="str">
        <f aca="false">IF($N515&gt;المرجع!$K$3,"متقدم",IF($N515&lt;=المرجع!$K$2,"أولي","جزئي"))</f>
        <v>متقدم</v>
      </c>
      <c r="T515" s="28" t="n">
        <f aca="false">ROUND($Q515*$O515/100,2)</f>
        <v>19.4</v>
      </c>
    </row>
    <row r="516" customFormat="false" ht="15" hidden="false" customHeight="true" outlineLevel="0" collapsed="false">
      <c r="A516" s="20" t="s">
        <v>1968</v>
      </c>
      <c r="B516" s="20" t="s">
        <v>214</v>
      </c>
      <c r="C516" s="19" t="str">
        <f aca="false">IFERROR(INDEX('قائمة الوحدات'!$B$2:$B$41,MATCH($B516,'قائمة الوحدات'!$A$2:$A$41,0)),"")</f>
        <v>MIL</v>
      </c>
      <c r="D516" s="18" t="str">
        <f aca="false">IFERROR(INDEX('قائمة الوحدات'!$C$2:$C$41,MATCH($B516,'قائمة الوحدات'!$A$2:$A$41,0)),"")</f>
        <v>الجهاز العسكري</v>
      </c>
      <c r="E516" s="18" t="str">
        <f aca="false">IFERROR(INDEX('قائمة الوحدات'!$D$2:$D$41,MATCH($B516,'قائمة الوحدات'!$A$2:$A$41,0)),"")</f>
        <v>الإدارة العامة للإمداد والتموين</v>
      </c>
      <c r="F516" s="18" t="str">
        <f aca="false">IFERROR(INDEX('قائمة الوحدات'!$F$2:$F$41,MATCH($B516,'قائمة الوحدات'!$A$2:$A$41,0)),"")</f>
        <v>الإدارة العامة للإمداد والتموين</v>
      </c>
      <c r="G516" s="20" t="s">
        <v>62</v>
      </c>
      <c r="H516" s="18" t="str">
        <f aca="false">IFERROR(INDEX(المرجع!$A$2:$A$19,MATCH($G516,المرجع!$B$2:$B$19,0)),"")</f>
        <v>البناء المؤسسي</v>
      </c>
      <c r="I516" s="20" t="s">
        <v>57</v>
      </c>
      <c r="J516" s="18" t="str">
        <f aca="false">IFERROR(INDEX(المرجع!$D$2:$D$19,MATCH($I516,المرجع!$E$2:$E$19,0)),"")</f>
        <v>الموارد</v>
      </c>
      <c r="K516" s="19" t="n">
        <f aca="false">IFERROR(INDEX(المرجع!$F$2:$F$19,MATCH($I516,المرجع!$E$2:$E$19,0)),"")</f>
        <v>5</v>
      </c>
      <c r="L516" s="19" t="n">
        <f aca="false">SUMIFS(المرجع!$H$2:$H$19,المرجع!$B$2:$B$19,$G516,المرجع!$E$2:$E$19,$I516)</f>
        <v>4</v>
      </c>
      <c r="M516" s="19" t="n">
        <f aca="false">COUNTIFS('المرتبطة بسمو الوزير'!$B$2:$B$151,$B516,'المرتبطة بسمو الوزير'!$G$2:$G$151,$G516,'المرتبطة بسمو الوزير'!$I$2:$I$151,$I516,'المرتبطة بسمو الوزير'!$M$2:$M$151,"&lt;&gt;")+COUNTIFS('الشؤون التنفيذية'!$B$2:$B$421,$B516,'الشؤون التنفيذية'!$G$2:$G$421,$G516,'الشؤون التنفيذية'!$I$2:$I$421,$I516,'الشؤون التنفيذية'!$N$2:$N$421,"&lt;&gt;")+COUNTIFS('الجهاز العسكري'!$B$2:$B$631,$B516,'الجهاز العسكري'!$G$2:$G$631,$G516,'الجهاز العسكري'!$I$2:$I$631,$I516,'الجهاز العسكري'!$M$2:$M$631,"&lt;&gt;")</f>
        <v>4</v>
      </c>
      <c r="N516" s="24" t="n">
        <f aca="false">IF($L516=0,0,ROUND((SUMIFS('المرتبطة بسمو الوزير'!$M$2:$M$151,'المرتبطة بسمو الوزير'!$B$2:$B$151,$B516,'المرتبطة بسمو الوزير'!$G$2:$G$151,$G516,'المرتبطة بسمو الوزير'!$I$2:$I$151,$I516)+SUMIFS('الشؤون التنفيذية'!$N$2:$N$421,'الشؤون التنفيذية'!$B$2:$B$421,$B516,'الشؤون التنفيذية'!$G$2:$G$421,$G516,'الشؤون التنفيذية'!$I$2:$I$421,$I516)+SUMIFS('الجهاز العسكري'!$M$2:$M$631,'الجهاز العسكري'!$B$2:$B$631,$B516,'الجهاز العسكري'!$G$2:$G$631,$G516,'الجهاز العسكري'!$I$2:$I$631,$I516))/$L516,0))</f>
        <v>40</v>
      </c>
      <c r="O516" s="25" t="n">
        <f aca="false">IF($L516=0,0,ROUND((SUMIFS('المرتبطة بسمو الوزير'!$N$2:$N$151,'المرتبطة بسمو الوزير'!$B$2:$B$151,$B516,'المرتبطة بسمو الوزير'!$G$2:$G$151,$G516,'المرتبطة بسمو الوزير'!$I$2:$I$151,$I516)+SUMIFS('الشؤون التنفيذية'!$O$2:$O$421,'الشؤون التنفيذية'!$B$2:$B$421,$B516,'الشؤون التنفيذية'!$G$2:$G$421,$G516,'الشؤون التنفيذية'!$I$2:$I$421,$I516)+SUMIFS('الجهاز العسكري'!$N$2:$N$631,'الجهاز العسكري'!$B$2:$B$631,$B516,'الجهاز العسكري'!$G$2:$G$631,$G516,'الجهاز العسكري'!$I$2:$I$631,$I516))/$L516,0))</f>
        <v>93</v>
      </c>
      <c r="P516" s="22"/>
      <c r="Q516" s="19" t="n">
        <f aca="false">SUMIFS(المرجع!$G$2:$G$19,المرجع!$B$2:$B$19,$G516,المرجع!$E$2:$E$19,$I516)</f>
        <v>25</v>
      </c>
      <c r="R516" s="26" t="n">
        <f aca="false">ROUND($Q516*$N516/100,2)</f>
        <v>10</v>
      </c>
      <c r="S516" s="27" t="str">
        <f aca="false">IF($N516&gt;المرجع!$K$3,"متقدم",IF($N516&lt;=المرجع!$K$2,"أولي","جزئي"))</f>
        <v>جزئي</v>
      </c>
      <c r="T516" s="28" t="n">
        <f aca="false">ROUND($Q516*$O516/100,2)</f>
        <v>23.25</v>
      </c>
    </row>
    <row r="517" customFormat="false" ht="15" hidden="false" customHeight="true" outlineLevel="0" collapsed="false">
      <c r="A517" s="20" t="s">
        <v>1969</v>
      </c>
      <c r="B517" s="20" t="s">
        <v>214</v>
      </c>
      <c r="C517" s="19" t="str">
        <f aca="false">IFERROR(INDEX('قائمة الوحدات'!$B$2:$B$41,MATCH($B517,'قائمة الوحدات'!$A$2:$A$41,0)),"")</f>
        <v>MIL</v>
      </c>
      <c r="D517" s="18" t="str">
        <f aca="false">IFERROR(INDEX('قائمة الوحدات'!$C$2:$C$41,MATCH($B517,'قائمة الوحدات'!$A$2:$A$41,0)),"")</f>
        <v>الجهاز العسكري</v>
      </c>
      <c r="E517" s="18" t="str">
        <f aca="false">IFERROR(INDEX('قائمة الوحدات'!$D$2:$D$41,MATCH($B517,'قائمة الوحدات'!$A$2:$A$41,0)),"")</f>
        <v>الإدارة العامة للإمداد والتموين</v>
      </c>
      <c r="F517" s="18" t="str">
        <f aca="false">IFERROR(INDEX('قائمة الوحدات'!$F$2:$F$41,MATCH($B517,'قائمة الوحدات'!$A$2:$A$41,0)),"")</f>
        <v>الإدارة العامة للإمداد والتموين</v>
      </c>
      <c r="G517" s="20" t="s">
        <v>62</v>
      </c>
      <c r="H517" s="18" t="str">
        <f aca="false">IFERROR(INDEX(المرجع!$A$2:$A$19,MATCH($G517,المرجع!$B$2:$B$19,0)),"")</f>
        <v>البناء المؤسسي</v>
      </c>
      <c r="I517" s="20" t="s">
        <v>60</v>
      </c>
      <c r="J517" s="18" t="str">
        <f aca="false">IFERROR(INDEX(المرجع!$D$2:$D$19,MATCH($I517,المرجع!$E$2:$E$19,0)),"")</f>
        <v>الإجراءات</v>
      </c>
      <c r="K517" s="19" t="n">
        <f aca="false">IFERROR(INDEX(المرجع!$F$2:$F$19,MATCH($I517,المرجع!$E$2:$E$19,0)),"")</f>
        <v>6</v>
      </c>
      <c r="L517" s="19" t="n">
        <f aca="false">SUMIFS(المرجع!$H$2:$H$19,المرجع!$B$2:$B$19,$G517,المرجع!$E$2:$E$19,$I517)</f>
        <v>1</v>
      </c>
      <c r="M517" s="19" t="n">
        <f aca="false">COUNTIFS('المرتبطة بسمو الوزير'!$B$2:$B$151,$B517,'المرتبطة بسمو الوزير'!$G$2:$G$151,$G517,'المرتبطة بسمو الوزير'!$I$2:$I$151,$I517,'المرتبطة بسمو الوزير'!$M$2:$M$151,"&lt;&gt;")+COUNTIFS('الشؤون التنفيذية'!$B$2:$B$421,$B517,'الشؤون التنفيذية'!$G$2:$G$421,$G517,'الشؤون التنفيذية'!$I$2:$I$421,$I517,'الشؤون التنفيذية'!$N$2:$N$421,"&lt;&gt;")+COUNTIFS('الجهاز العسكري'!$B$2:$B$631,$B517,'الجهاز العسكري'!$G$2:$G$631,$G517,'الجهاز العسكري'!$I$2:$I$631,$I517,'الجهاز العسكري'!$M$2:$M$631,"&lt;&gt;")</f>
        <v>1</v>
      </c>
      <c r="N517" s="24" t="n">
        <f aca="false">IF($L517=0,0,ROUND((SUMIFS('المرتبطة بسمو الوزير'!$M$2:$M$151,'المرتبطة بسمو الوزير'!$B$2:$B$151,$B517,'المرتبطة بسمو الوزير'!$G$2:$G$151,$G517,'المرتبطة بسمو الوزير'!$I$2:$I$151,$I517)+SUMIFS('الشؤون التنفيذية'!$N$2:$N$421,'الشؤون التنفيذية'!$B$2:$B$421,$B517,'الشؤون التنفيذية'!$G$2:$G$421,$G517,'الشؤون التنفيذية'!$I$2:$I$421,$I517)+SUMIFS('الجهاز العسكري'!$M$2:$M$631,'الجهاز العسكري'!$B$2:$B$631,$B517,'الجهاز العسكري'!$G$2:$G$631,$G517,'الجهاز العسكري'!$I$2:$I$631,$I517))/$L517,0))</f>
        <v>44</v>
      </c>
      <c r="O517" s="25" t="n">
        <f aca="false">IF($L517=0,0,ROUND((SUMIFS('المرتبطة بسمو الوزير'!$N$2:$N$151,'المرتبطة بسمو الوزير'!$B$2:$B$151,$B517,'المرتبطة بسمو الوزير'!$G$2:$G$151,$G517,'المرتبطة بسمو الوزير'!$I$2:$I$151,$I517)+SUMIFS('الشؤون التنفيذية'!$O$2:$O$421,'الشؤون التنفيذية'!$B$2:$B$421,$B517,'الشؤون التنفيذية'!$G$2:$G$421,$G517,'الشؤون التنفيذية'!$I$2:$I$421,$I517)+SUMIFS('الجهاز العسكري'!$N$2:$N$631,'الجهاز العسكري'!$B$2:$B$631,$B517,'الجهاز العسكري'!$G$2:$G$631,$G517,'الجهاز العسكري'!$I$2:$I$631,$I517))/$L517,0))</f>
        <v>90</v>
      </c>
      <c r="P517" s="22"/>
      <c r="Q517" s="19" t="n">
        <f aca="false">SUMIFS(المرجع!$G$2:$G$19,المرجع!$B$2:$B$19,$G517,المرجع!$E$2:$E$19,$I517)</f>
        <v>5</v>
      </c>
      <c r="R517" s="26" t="n">
        <f aca="false">ROUND($Q517*$N517/100,2)</f>
        <v>2.2</v>
      </c>
      <c r="S517" s="27" t="str">
        <f aca="false">IF($N517&gt;المرجع!$K$3,"متقدم",IF($N517&lt;=المرجع!$K$2,"أولي","جزئي"))</f>
        <v>جزئي</v>
      </c>
      <c r="T517" s="28" t="n">
        <f aca="false">ROUND($Q517*$O517/100,2)</f>
        <v>4.5</v>
      </c>
    </row>
    <row r="518" customFormat="false" ht="15" hidden="false" customHeight="true" outlineLevel="0" collapsed="false">
      <c r="A518" s="20" t="s">
        <v>1970</v>
      </c>
      <c r="B518" s="20" t="s">
        <v>214</v>
      </c>
      <c r="C518" s="19" t="str">
        <f aca="false">IFERROR(INDEX('قائمة الوحدات'!$B$2:$B$41,MATCH($B518,'قائمة الوحدات'!$A$2:$A$41,0)),"")</f>
        <v>MIL</v>
      </c>
      <c r="D518" s="18" t="str">
        <f aca="false">IFERROR(INDEX('قائمة الوحدات'!$C$2:$C$41,MATCH($B518,'قائمة الوحدات'!$A$2:$A$41,0)),"")</f>
        <v>الجهاز العسكري</v>
      </c>
      <c r="E518" s="18" t="str">
        <f aca="false">IFERROR(INDEX('قائمة الوحدات'!$D$2:$D$41,MATCH($B518,'قائمة الوحدات'!$A$2:$A$41,0)),"")</f>
        <v>الإدارة العامة للإمداد والتموين</v>
      </c>
      <c r="F518" s="18" t="str">
        <f aca="false">IFERROR(INDEX('قائمة الوحدات'!$F$2:$F$41,MATCH($B518,'قائمة الوحدات'!$A$2:$A$41,0)),"")</f>
        <v>الإدارة العامة للإمداد والتموين</v>
      </c>
      <c r="G518" s="20" t="s">
        <v>62</v>
      </c>
      <c r="H518" s="18" t="str">
        <f aca="false">IFERROR(INDEX(المرجع!$A$2:$A$19,MATCH($G518,المرجع!$B$2:$B$19,0)),"")</f>
        <v>البناء المؤسسي</v>
      </c>
      <c r="I518" s="20" t="s">
        <v>69</v>
      </c>
      <c r="J518" s="18" t="str">
        <f aca="false">IFERROR(INDEX(المرجع!$D$2:$D$19,MATCH($I518,المرجع!$E$2:$E$19,0)),"")</f>
        <v>إنتاج المخرج الأول</v>
      </c>
      <c r="K518" s="19" t="n">
        <f aca="false">IFERROR(INDEX(المرجع!$F$2:$F$19,MATCH($I518,المرجع!$E$2:$E$19,0)),"")</f>
        <v>7</v>
      </c>
      <c r="L518" s="19" t="n">
        <f aca="false">SUMIFS(المرجع!$H$2:$H$19,المرجع!$B$2:$B$19,$G518,المرجع!$E$2:$E$19,$I518)</f>
        <v>1</v>
      </c>
      <c r="M518" s="19" t="n">
        <f aca="false">COUNTIFS('المرتبطة بسمو الوزير'!$B$2:$B$151,$B518,'المرتبطة بسمو الوزير'!$G$2:$G$151,$G518,'المرتبطة بسمو الوزير'!$I$2:$I$151,$I518,'المرتبطة بسمو الوزير'!$M$2:$M$151,"&lt;&gt;")+COUNTIFS('الشؤون التنفيذية'!$B$2:$B$421,$B518,'الشؤون التنفيذية'!$G$2:$G$421,$G518,'الشؤون التنفيذية'!$I$2:$I$421,$I518,'الشؤون التنفيذية'!$N$2:$N$421,"&lt;&gt;")+COUNTIFS('الجهاز العسكري'!$B$2:$B$631,$B518,'الجهاز العسكري'!$G$2:$G$631,$G518,'الجهاز العسكري'!$I$2:$I$631,$I518,'الجهاز العسكري'!$M$2:$M$631,"&lt;&gt;")</f>
        <v>1</v>
      </c>
      <c r="N518" s="24" t="n">
        <f aca="false">IF($L518=0,0,ROUND((SUMIFS('المرتبطة بسمو الوزير'!$M$2:$M$151,'المرتبطة بسمو الوزير'!$B$2:$B$151,$B518,'المرتبطة بسمو الوزير'!$G$2:$G$151,$G518,'المرتبطة بسمو الوزير'!$I$2:$I$151,$I518)+SUMIFS('الشؤون التنفيذية'!$N$2:$N$421,'الشؤون التنفيذية'!$B$2:$B$421,$B518,'الشؤون التنفيذية'!$G$2:$G$421,$G518,'الشؤون التنفيذية'!$I$2:$I$421,$I518)+SUMIFS('الجهاز العسكري'!$M$2:$M$631,'الجهاز العسكري'!$B$2:$B$631,$B518,'الجهاز العسكري'!$G$2:$G$631,$G518,'الجهاز العسكري'!$I$2:$I$631,$I518))/$L518,0))</f>
        <v>46</v>
      </c>
      <c r="O518" s="25" t="n">
        <f aca="false">IF($L518=0,0,ROUND((SUMIFS('المرتبطة بسمو الوزير'!$N$2:$N$151,'المرتبطة بسمو الوزير'!$B$2:$B$151,$B518,'المرتبطة بسمو الوزير'!$G$2:$G$151,$G518,'المرتبطة بسمو الوزير'!$I$2:$I$151,$I518)+SUMIFS('الشؤون التنفيذية'!$O$2:$O$421,'الشؤون التنفيذية'!$B$2:$B$421,$B518,'الشؤون التنفيذية'!$G$2:$G$421,$G518,'الشؤون التنفيذية'!$I$2:$I$421,$I518)+SUMIFS('الجهاز العسكري'!$N$2:$N$631,'الجهاز العسكري'!$B$2:$B$631,$B518,'الجهاز العسكري'!$G$2:$G$631,$G518,'الجهاز العسكري'!$I$2:$I$631,$I518))/$L518,0))</f>
        <v>100</v>
      </c>
      <c r="P518" s="22"/>
      <c r="Q518" s="19" t="n">
        <f aca="false">SUMIFS(المرجع!$G$2:$G$19,المرجع!$B$2:$B$19,$G518,المرجع!$E$2:$E$19,$I518)</f>
        <v>5</v>
      </c>
      <c r="R518" s="26" t="n">
        <f aca="false">ROUND($Q518*$N518/100,2)</f>
        <v>2.3</v>
      </c>
      <c r="S518" s="27" t="str">
        <f aca="false">IF($N518&gt;المرجع!$K$3,"متقدم",IF($N518&lt;=المرجع!$K$2,"أولي","جزئي"))</f>
        <v>جزئي</v>
      </c>
      <c r="T518" s="28" t="n">
        <f aca="false">ROUND($Q518*$O518/100,2)</f>
        <v>5</v>
      </c>
    </row>
    <row r="519" customFormat="false" ht="15" hidden="false" customHeight="true" outlineLevel="0" collapsed="false">
      <c r="A519" s="20" t="s">
        <v>1971</v>
      </c>
      <c r="B519" s="20" t="s">
        <v>214</v>
      </c>
      <c r="C519" s="19" t="str">
        <f aca="false">IFERROR(INDEX('قائمة الوحدات'!$B$2:$B$41,MATCH($B519,'قائمة الوحدات'!$A$2:$A$41,0)),"")</f>
        <v>MIL</v>
      </c>
      <c r="D519" s="18" t="str">
        <f aca="false">IFERROR(INDEX('قائمة الوحدات'!$C$2:$C$41,MATCH($B519,'قائمة الوحدات'!$A$2:$A$41,0)),"")</f>
        <v>الجهاز العسكري</v>
      </c>
      <c r="E519" s="18" t="str">
        <f aca="false">IFERROR(INDEX('قائمة الوحدات'!$D$2:$D$41,MATCH($B519,'قائمة الوحدات'!$A$2:$A$41,0)),"")</f>
        <v>الإدارة العامة للإمداد والتموين</v>
      </c>
      <c r="F519" s="18" t="str">
        <f aca="false">IFERROR(INDEX('قائمة الوحدات'!$F$2:$F$41,MATCH($B519,'قائمة الوحدات'!$A$2:$A$41,0)),"")</f>
        <v>الإدارة العامة للإمداد والتموين</v>
      </c>
      <c r="G519" s="20" t="s">
        <v>66</v>
      </c>
      <c r="H519" s="18" t="str">
        <f aca="false">IFERROR(INDEX(المرجع!$A$2:$A$19,MATCH($G519,المرجع!$B$2:$B$19,0)),"")</f>
        <v>التشغيل</v>
      </c>
      <c r="I519" s="20" t="s">
        <v>49</v>
      </c>
      <c r="J519" s="18" t="str">
        <f aca="false">IFERROR(INDEX(المرجع!$D$2:$D$19,MATCH($I519,المرجع!$E$2:$E$19,0)),"")</f>
        <v>الأهداف ومؤشرات الأداء</v>
      </c>
      <c r="K519" s="19" t="n">
        <f aca="false">IFERROR(INDEX(المرجع!$F$2:$F$19,MATCH($I519,المرجع!$E$2:$E$19,0)),"")</f>
        <v>2</v>
      </c>
      <c r="L519" s="19" t="n">
        <f aca="false">SUMIFS(المرجع!$H$2:$H$19,المرجع!$B$2:$B$19,$G519,المرجع!$E$2:$E$19,$I519)</f>
        <v>2</v>
      </c>
      <c r="M519" s="19" t="n">
        <f aca="false">COUNTIFS('المرتبطة بسمو الوزير'!$B$2:$B$151,$B519,'المرتبطة بسمو الوزير'!$G$2:$G$151,$G519,'المرتبطة بسمو الوزير'!$I$2:$I$151,$I519,'المرتبطة بسمو الوزير'!$M$2:$M$151,"&lt;&gt;")+COUNTIFS('الشؤون التنفيذية'!$B$2:$B$421,$B519,'الشؤون التنفيذية'!$G$2:$G$421,$G519,'الشؤون التنفيذية'!$I$2:$I$421,$I519,'الشؤون التنفيذية'!$N$2:$N$421,"&lt;&gt;")+COUNTIFS('الجهاز العسكري'!$B$2:$B$631,$B519,'الجهاز العسكري'!$G$2:$G$631,$G519,'الجهاز العسكري'!$I$2:$I$631,$I519,'الجهاز العسكري'!$M$2:$M$631,"&lt;&gt;")</f>
        <v>2</v>
      </c>
      <c r="N519" s="24" t="n">
        <f aca="false">IF($L519=0,0,ROUND((SUMIFS('المرتبطة بسمو الوزير'!$M$2:$M$151,'المرتبطة بسمو الوزير'!$B$2:$B$151,$B519,'المرتبطة بسمو الوزير'!$G$2:$G$151,$G519,'المرتبطة بسمو الوزير'!$I$2:$I$151,$I519)+SUMIFS('الشؤون التنفيذية'!$N$2:$N$421,'الشؤون التنفيذية'!$B$2:$B$421,$B519,'الشؤون التنفيذية'!$G$2:$G$421,$G519,'الشؤون التنفيذية'!$I$2:$I$421,$I519)+SUMIFS('الجهاز العسكري'!$M$2:$M$631,'الجهاز العسكري'!$B$2:$B$631,$B519,'الجهاز العسكري'!$G$2:$G$631,$G519,'الجهاز العسكري'!$I$2:$I$631,$I519))/$L519,0))</f>
        <v>60</v>
      </c>
      <c r="O519" s="25" t="n">
        <f aca="false">IF($L519=0,0,ROUND((SUMIFS('المرتبطة بسمو الوزير'!$N$2:$N$151,'المرتبطة بسمو الوزير'!$B$2:$B$151,$B519,'المرتبطة بسمو الوزير'!$G$2:$G$151,$G519,'المرتبطة بسمو الوزير'!$I$2:$I$151,$I519)+SUMIFS('الشؤون التنفيذية'!$O$2:$O$421,'الشؤون التنفيذية'!$B$2:$B$421,$B519,'الشؤون التنفيذية'!$G$2:$G$421,$G519,'الشؤون التنفيذية'!$I$2:$I$421,$I519)+SUMIFS('الجهاز العسكري'!$N$2:$N$631,'الجهاز العسكري'!$B$2:$B$631,$B519,'الجهاز العسكري'!$G$2:$G$631,$G519,'الجهاز العسكري'!$I$2:$I$631,$I519))/$L519,0))</f>
        <v>90</v>
      </c>
      <c r="P519" s="22"/>
      <c r="Q519" s="19" t="n">
        <f aca="false">SUMIFS(المرجع!$G$2:$G$19,المرجع!$B$2:$B$19,$G519,المرجع!$E$2:$E$19,$I519)</f>
        <v>25</v>
      </c>
      <c r="R519" s="26" t="n">
        <f aca="false">ROUND($Q519*$N519/100,2)</f>
        <v>15</v>
      </c>
      <c r="S519" s="27" t="str">
        <f aca="false">IF($N519&gt;المرجع!$K$3,"متقدم",IF($N519&lt;=المرجع!$K$2,"أولي","جزئي"))</f>
        <v>جزئي</v>
      </c>
      <c r="T519" s="28" t="n">
        <f aca="false">ROUND($Q519*$O519/100,2)</f>
        <v>22.5</v>
      </c>
    </row>
    <row r="520" customFormat="false" ht="15" hidden="false" customHeight="true" outlineLevel="0" collapsed="false">
      <c r="A520" s="20" t="s">
        <v>1972</v>
      </c>
      <c r="B520" s="20" t="s">
        <v>214</v>
      </c>
      <c r="C520" s="19" t="str">
        <f aca="false">IFERROR(INDEX('قائمة الوحدات'!$B$2:$B$41,MATCH($B520,'قائمة الوحدات'!$A$2:$A$41,0)),"")</f>
        <v>MIL</v>
      </c>
      <c r="D520" s="18" t="str">
        <f aca="false">IFERROR(INDEX('قائمة الوحدات'!$C$2:$C$41,MATCH($B520,'قائمة الوحدات'!$A$2:$A$41,0)),"")</f>
        <v>الجهاز العسكري</v>
      </c>
      <c r="E520" s="18" t="str">
        <f aca="false">IFERROR(INDEX('قائمة الوحدات'!$D$2:$D$41,MATCH($B520,'قائمة الوحدات'!$A$2:$A$41,0)),"")</f>
        <v>الإدارة العامة للإمداد والتموين</v>
      </c>
      <c r="F520" s="18" t="str">
        <f aca="false">IFERROR(INDEX('قائمة الوحدات'!$F$2:$F$41,MATCH($B520,'قائمة الوحدات'!$A$2:$A$41,0)),"")</f>
        <v>الإدارة العامة للإمداد والتموين</v>
      </c>
      <c r="G520" s="20" t="s">
        <v>66</v>
      </c>
      <c r="H520" s="18" t="str">
        <f aca="false">IFERROR(INDEX(المرجع!$A$2:$A$19,MATCH($G520,المرجع!$B$2:$B$19,0)),"")</f>
        <v>التشغيل</v>
      </c>
      <c r="I520" s="20" t="s">
        <v>52</v>
      </c>
      <c r="J520" s="18" t="str">
        <f aca="false">IFERROR(INDEX(المرجع!$D$2:$D$19,MATCH($I520,المرجع!$E$2:$E$19,0)),"")</f>
        <v>الحوكمة</v>
      </c>
      <c r="K520" s="19" t="n">
        <f aca="false">IFERROR(INDEX(المرجع!$F$2:$F$19,MATCH($I520,المرجع!$E$2:$E$19,0)),"")</f>
        <v>3</v>
      </c>
      <c r="L520" s="19" t="n">
        <f aca="false">SUMIFS(المرجع!$H$2:$H$19,المرجع!$B$2:$B$19,$G520,المرجع!$E$2:$E$19,$I520)</f>
        <v>3</v>
      </c>
      <c r="M520" s="19" t="n">
        <f aca="false">COUNTIFS('المرتبطة بسمو الوزير'!$B$2:$B$151,$B520,'المرتبطة بسمو الوزير'!$G$2:$G$151,$G520,'المرتبطة بسمو الوزير'!$I$2:$I$151,$I520,'المرتبطة بسمو الوزير'!$M$2:$M$151,"&lt;&gt;")+COUNTIFS('الشؤون التنفيذية'!$B$2:$B$421,$B520,'الشؤون التنفيذية'!$G$2:$G$421,$G520,'الشؤون التنفيذية'!$I$2:$I$421,$I520,'الشؤون التنفيذية'!$N$2:$N$421,"&lt;&gt;")+COUNTIFS('الجهاز العسكري'!$B$2:$B$631,$B520,'الجهاز العسكري'!$G$2:$G$631,$G520,'الجهاز العسكري'!$I$2:$I$631,$I520,'الجهاز العسكري'!$M$2:$M$631,"&lt;&gt;")</f>
        <v>3</v>
      </c>
      <c r="N520" s="24" t="n">
        <f aca="false">IF($L520=0,0,ROUND((SUMIFS('المرتبطة بسمو الوزير'!$M$2:$M$151,'المرتبطة بسمو الوزير'!$B$2:$B$151,$B520,'المرتبطة بسمو الوزير'!$G$2:$G$151,$G520,'المرتبطة بسمو الوزير'!$I$2:$I$151,$I520)+SUMIFS('الشؤون التنفيذية'!$N$2:$N$421,'الشؤون التنفيذية'!$B$2:$B$421,$B520,'الشؤون التنفيذية'!$G$2:$G$421,$G520,'الشؤون التنفيذية'!$I$2:$I$421,$I520)+SUMIFS('الجهاز العسكري'!$M$2:$M$631,'الجهاز العسكري'!$B$2:$B$631,$B520,'الجهاز العسكري'!$G$2:$G$631,$G520,'الجهاز العسكري'!$I$2:$I$631,$I520))/$L520,0))</f>
        <v>28</v>
      </c>
      <c r="O520" s="25" t="n">
        <f aca="false">IF($L520=0,0,ROUND((SUMIFS('المرتبطة بسمو الوزير'!$N$2:$N$151,'المرتبطة بسمو الوزير'!$B$2:$B$151,$B520,'المرتبطة بسمو الوزير'!$G$2:$G$151,$G520,'المرتبطة بسمو الوزير'!$I$2:$I$151,$I520)+SUMIFS('الشؤون التنفيذية'!$O$2:$O$421,'الشؤون التنفيذية'!$B$2:$B$421,$B520,'الشؤون التنفيذية'!$G$2:$G$421,$G520,'الشؤون التنفيذية'!$I$2:$I$421,$I520)+SUMIFS('الجهاز العسكري'!$N$2:$N$631,'الجهاز العسكري'!$B$2:$B$631,$B520,'الجهاز العسكري'!$G$2:$G$631,$G520,'الجهاز العسكري'!$I$2:$I$631,$I520))/$L520,0))</f>
        <v>95</v>
      </c>
      <c r="P520" s="22"/>
      <c r="Q520" s="19" t="n">
        <f aca="false">SUMIFS(المرجع!$G$2:$G$19,المرجع!$B$2:$B$19,$G520,المرجع!$E$2:$E$19,$I520)</f>
        <v>15</v>
      </c>
      <c r="R520" s="26" t="n">
        <f aca="false">ROUND($Q520*$N520/100,2)</f>
        <v>4.2</v>
      </c>
      <c r="S520" s="27" t="str">
        <f aca="false">IF($N520&gt;المرجع!$K$3,"متقدم",IF($N520&lt;=المرجع!$K$2,"أولي","جزئي"))</f>
        <v>أولي</v>
      </c>
      <c r="T520" s="28" t="n">
        <f aca="false">ROUND($Q520*$O520/100,2)</f>
        <v>14.25</v>
      </c>
    </row>
    <row r="521" customFormat="false" ht="15" hidden="false" customHeight="true" outlineLevel="0" collapsed="false">
      <c r="A521" s="20" t="s">
        <v>1973</v>
      </c>
      <c r="B521" s="20" t="s">
        <v>214</v>
      </c>
      <c r="C521" s="19" t="str">
        <f aca="false">IFERROR(INDEX('قائمة الوحدات'!$B$2:$B$41,MATCH($B521,'قائمة الوحدات'!$A$2:$A$41,0)),"")</f>
        <v>MIL</v>
      </c>
      <c r="D521" s="18" t="str">
        <f aca="false">IFERROR(INDEX('قائمة الوحدات'!$C$2:$C$41,MATCH($B521,'قائمة الوحدات'!$A$2:$A$41,0)),"")</f>
        <v>الجهاز العسكري</v>
      </c>
      <c r="E521" s="18" t="str">
        <f aca="false">IFERROR(INDEX('قائمة الوحدات'!$D$2:$D$41,MATCH($B521,'قائمة الوحدات'!$A$2:$A$41,0)),"")</f>
        <v>الإدارة العامة للإمداد والتموين</v>
      </c>
      <c r="F521" s="18" t="str">
        <f aca="false">IFERROR(INDEX('قائمة الوحدات'!$F$2:$F$41,MATCH($B521,'قائمة الوحدات'!$A$2:$A$41,0)),"")</f>
        <v>الإدارة العامة للإمداد والتموين</v>
      </c>
      <c r="G521" s="20" t="s">
        <v>66</v>
      </c>
      <c r="H521" s="18" t="str">
        <f aca="false">IFERROR(INDEX(المرجع!$A$2:$A$19,MATCH($G521,المرجع!$B$2:$B$19,0)),"")</f>
        <v>التشغيل</v>
      </c>
      <c r="I521" s="20" t="s">
        <v>57</v>
      </c>
      <c r="J521" s="18" t="str">
        <f aca="false">IFERROR(INDEX(المرجع!$D$2:$D$19,MATCH($I521,المرجع!$E$2:$E$19,0)),"")</f>
        <v>الموارد</v>
      </c>
      <c r="K521" s="19" t="n">
        <f aca="false">IFERROR(INDEX(المرجع!$F$2:$F$19,MATCH($I521,المرجع!$E$2:$E$19,0)),"")</f>
        <v>5</v>
      </c>
      <c r="L521" s="19" t="n">
        <f aca="false">SUMIFS(المرجع!$H$2:$H$19,المرجع!$B$2:$B$19,$G521,المرجع!$E$2:$E$19,$I521)</f>
        <v>1</v>
      </c>
      <c r="M521" s="19" t="n">
        <f aca="false">COUNTIFS('المرتبطة بسمو الوزير'!$B$2:$B$151,$B521,'المرتبطة بسمو الوزير'!$G$2:$G$151,$G521,'المرتبطة بسمو الوزير'!$I$2:$I$151,$I521,'المرتبطة بسمو الوزير'!$M$2:$M$151,"&lt;&gt;")+COUNTIFS('الشؤون التنفيذية'!$B$2:$B$421,$B521,'الشؤون التنفيذية'!$G$2:$G$421,$G521,'الشؤون التنفيذية'!$I$2:$I$421,$I521,'الشؤون التنفيذية'!$N$2:$N$421,"&lt;&gt;")+COUNTIFS('الجهاز العسكري'!$B$2:$B$631,$B521,'الجهاز العسكري'!$G$2:$G$631,$G521,'الجهاز العسكري'!$I$2:$I$631,$I521,'الجهاز العسكري'!$M$2:$M$631,"&lt;&gt;")</f>
        <v>1</v>
      </c>
      <c r="N521" s="24" t="n">
        <f aca="false">IF($L521=0,0,ROUND((SUMIFS('المرتبطة بسمو الوزير'!$M$2:$M$151,'المرتبطة بسمو الوزير'!$B$2:$B$151,$B521,'المرتبطة بسمو الوزير'!$G$2:$G$151,$G521,'المرتبطة بسمو الوزير'!$I$2:$I$151,$I521)+SUMIFS('الشؤون التنفيذية'!$N$2:$N$421,'الشؤون التنفيذية'!$B$2:$B$421,$B521,'الشؤون التنفيذية'!$G$2:$G$421,$G521,'الشؤون التنفيذية'!$I$2:$I$421,$I521)+SUMIFS('الجهاز العسكري'!$M$2:$M$631,'الجهاز العسكري'!$B$2:$B$631,$B521,'الجهاز العسكري'!$G$2:$G$631,$G521,'الجهاز العسكري'!$I$2:$I$631,$I521))/$L521,0))</f>
        <v>41</v>
      </c>
      <c r="O521" s="25" t="n">
        <f aca="false">IF($L521=0,0,ROUND((SUMIFS('المرتبطة بسمو الوزير'!$N$2:$N$151,'المرتبطة بسمو الوزير'!$B$2:$B$151,$B521,'المرتبطة بسمو الوزير'!$G$2:$G$151,$G521,'المرتبطة بسمو الوزير'!$I$2:$I$151,$I521)+SUMIFS('الشؤون التنفيذية'!$O$2:$O$421,'الشؤون التنفيذية'!$B$2:$B$421,$B521,'الشؤون التنفيذية'!$G$2:$G$421,$G521,'الشؤون التنفيذية'!$I$2:$I$421,$I521)+SUMIFS('الجهاز العسكري'!$N$2:$N$631,'الجهاز العسكري'!$B$2:$B$631,$B521,'الجهاز العسكري'!$G$2:$G$631,$G521,'الجهاز العسكري'!$I$2:$I$631,$I521))/$L521,0))</f>
        <v>80</v>
      </c>
      <c r="P521" s="22"/>
      <c r="Q521" s="19" t="n">
        <f aca="false">SUMIFS(المرجع!$G$2:$G$19,المرجع!$B$2:$B$19,$G521,المرجع!$E$2:$E$19,$I521)</f>
        <v>15</v>
      </c>
      <c r="R521" s="26" t="n">
        <f aca="false">ROUND($Q521*$N521/100,2)</f>
        <v>6.15</v>
      </c>
      <c r="S521" s="27" t="str">
        <f aca="false">IF($N521&gt;المرجع!$K$3,"متقدم",IF($N521&lt;=المرجع!$K$2,"أولي","جزئي"))</f>
        <v>جزئي</v>
      </c>
      <c r="T521" s="28" t="n">
        <f aca="false">ROUND($Q521*$O521/100,2)</f>
        <v>12</v>
      </c>
    </row>
    <row r="522" customFormat="false" ht="15" hidden="false" customHeight="true" outlineLevel="0" collapsed="false">
      <c r="A522" s="20" t="s">
        <v>1974</v>
      </c>
      <c r="B522" s="20" t="s">
        <v>214</v>
      </c>
      <c r="C522" s="19" t="str">
        <f aca="false">IFERROR(INDEX('قائمة الوحدات'!$B$2:$B$41,MATCH($B522,'قائمة الوحدات'!$A$2:$A$41,0)),"")</f>
        <v>MIL</v>
      </c>
      <c r="D522" s="18" t="str">
        <f aca="false">IFERROR(INDEX('قائمة الوحدات'!$C$2:$C$41,MATCH($B522,'قائمة الوحدات'!$A$2:$A$41,0)),"")</f>
        <v>الجهاز العسكري</v>
      </c>
      <c r="E522" s="18" t="str">
        <f aca="false">IFERROR(INDEX('قائمة الوحدات'!$D$2:$D$41,MATCH($B522,'قائمة الوحدات'!$A$2:$A$41,0)),"")</f>
        <v>الإدارة العامة للإمداد والتموين</v>
      </c>
      <c r="F522" s="18" t="str">
        <f aca="false">IFERROR(INDEX('قائمة الوحدات'!$F$2:$F$41,MATCH($B522,'قائمة الوحدات'!$A$2:$A$41,0)),"")</f>
        <v>الإدارة العامة للإمداد والتموين</v>
      </c>
      <c r="G522" s="20" t="s">
        <v>66</v>
      </c>
      <c r="H522" s="18" t="str">
        <f aca="false">IFERROR(INDEX(المرجع!$A$2:$A$19,MATCH($G522,المرجع!$B$2:$B$19,0)),"")</f>
        <v>التشغيل</v>
      </c>
      <c r="I522" s="20" t="s">
        <v>60</v>
      </c>
      <c r="J522" s="18" t="str">
        <f aca="false">IFERROR(INDEX(المرجع!$D$2:$D$19,MATCH($I522,المرجع!$E$2:$E$19,0)),"")</f>
        <v>الإجراءات</v>
      </c>
      <c r="K522" s="19" t="n">
        <f aca="false">IFERROR(INDEX(المرجع!$F$2:$F$19,MATCH($I522,المرجع!$E$2:$E$19,0)),"")</f>
        <v>6</v>
      </c>
      <c r="L522" s="19" t="n">
        <f aca="false">SUMIFS(المرجع!$H$2:$H$19,المرجع!$B$2:$B$19,$G522,المرجع!$E$2:$E$19,$I522)</f>
        <v>1</v>
      </c>
      <c r="M522" s="19" t="n">
        <f aca="false">COUNTIFS('المرتبطة بسمو الوزير'!$B$2:$B$151,$B522,'المرتبطة بسمو الوزير'!$G$2:$G$151,$G522,'المرتبطة بسمو الوزير'!$I$2:$I$151,$I522,'المرتبطة بسمو الوزير'!$M$2:$M$151,"&lt;&gt;")+COUNTIFS('الشؤون التنفيذية'!$B$2:$B$421,$B522,'الشؤون التنفيذية'!$G$2:$G$421,$G522,'الشؤون التنفيذية'!$I$2:$I$421,$I522,'الشؤون التنفيذية'!$N$2:$N$421,"&lt;&gt;")+COUNTIFS('الجهاز العسكري'!$B$2:$B$631,$B522,'الجهاز العسكري'!$G$2:$G$631,$G522,'الجهاز العسكري'!$I$2:$I$631,$I522,'الجهاز العسكري'!$M$2:$M$631,"&lt;&gt;")</f>
        <v>1</v>
      </c>
      <c r="N522" s="24" t="n">
        <f aca="false">IF($L522=0,0,ROUND((SUMIFS('المرتبطة بسمو الوزير'!$M$2:$M$151,'المرتبطة بسمو الوزير'!$B$2:$B$151,$B522,'المرتبطة بسمو الوزير'!$G$2:$G$151,$G522,'المرتبطة بسمو الوزير'!$I$2:$I$151,$I522)+SUMIFS('الشؤون التنفيذية'!$N$2:$N$421,'الشؤون التنفيذية'!$B$2:$B$421,$B522,'الشؤون التنفيذية'!$G$2:$G$421,$G522,'الشؤون التنفيذية'!$I$2:$I$421,$I522)+SUMIFS('الجهاز العسكري'!$M$2:$M$631,'الجهاز العسكري'!$B$2:$B$631,$B522,'الجهاز العسكري'!$G$2:$G$631,$G522,'الجهاز العسكري'!$I$2:$I$631,$I522))/$L522,0))</f>
        <v>55</v>
      </c>
      <c r="O522" s="25" t="n">
        <f aca="false">IF($L522=0,0,ROUND((SUMIFS('المرتبطة بسمو الوزير'!$N$2:$N$151,'المرتبطة بسمو الوزير'!$B$2:$B$151,$B522,'المرتبطة بسمو الوزير'!$G$2:$G$151,$G522,'المرتبطة بسمو الوزير'!$I$2:$I$151,$I522)+SUMIFS('الشؤون التنفيذية'!$O$2:$O$421,'الشؤون التنفيذية'!$B$2:$B$421,$B522,'الشؤون التنفيذية'!$G$2:$G$421,$G522,'الشؤون التنفيذية'!$I$2:$I$421,$I522)+SUMIFS('الجهاز العسكري'!$N$2:$N$631,'الجهاز العسكري'!$B$2:$B$631,$B522,'الجهاز العسكري'!$G$2:$G$631,$G522,'الجهاز العسكري'!$I$2:$I$631,$I522))/$L522,0))</f>
        <v>100</v>
      </c>
      <c r="P522" s="22"/>
      <c r="Q522" s="19" t="n">
        <f aca="false">SUMIFS(المرجع!$G$2:$G$19,المرجع!$B$2:$B$19,$G522,المرجع!$E$2:$E$19,$I522)</f>
        <v>15</v>
      </c>
      <c r="R522" s="26" t="n">
        <f aca="false">ROUND($Q522*$N522/100,2)</f>
        <v>8.25</v>
      </c>
      <c r="S522" s="27" t="str">
        <f aca="false">IF($N522&gt;المرجع!$K$3,"متقدم",IF($N522&lt;=المرجع!$K$2,"أولي","جزئي"))</f>
        <v>جزئي</v>
      </c>
      <c r="T522" s="28" t="n">
        <f aca="false">ROUND($Q522*$O522/100,2)</f>
        <v>15</v>
      </c>
    </row>
    <row r="523" customFormat="false" ht="15" hidden="false" customHeight="true" outlineLevel="0" collapsed="false">
      <c r="A523" s="20" t="s">
        <v>1975</v>
      </c>
      <c r="B523" s="20" t="s">
        <v>214</v>
      </c>
      <c r="C523" s="19" t="str">
        <f aca="false">IFERROR(INDEX('قائمة الوحدات'!$B$2:$B$41,MATCH($B523,'قائمة الوحدات'!$A$2:$A$41,0)),"")</f>
        <v>MIL</v>
      </c>
      <c r="D523" s="18" t="str">
        <f aca="false">IFERROR(INDEX('قائمة الوحدات'!$C$2:$C$41,MATCH($B523,'قائمة الوحدات'!$A$2:$A$41,0)),"")</f>
        <v>الجهاز العسكري</v>
      </c>
      <c r="E523" s="18" t="str">
        <f aca="false">IFERROR(INDEX('قائمة الوحدات'!$D$2:$D$41,MATCH($B523,'قائمة الوحدات'!$A$2:$A$41,0)),"")</f>
        <v>الإدارة العامة للإمداد والتموين</v>
      </c>
      <c r="F523" s="18" t="str">
        <f aca="false">IFERROR(INDEX('قائمة الوحدات'!$F$2:$F$41,MATCH($B523,'قائمة الوحدات'!$A$2:$A$41,0)),"")</f>
        <v>الإدارة العامة للإمداد والتموين</v>
      </c>
      <c r="G523" s="20" t="s">
        <v>66</v>
      </c>
      <c r="H523" s="18" t="str">
        <f aca="false">IFERROR(INDEX(المرجع!$A$2:$A$19,MATCH($G523,المرجع!$B$2:$B$19,0)),"")</f>
        <v>التشغيل</v>
      </c>
      <c r="I523" s="20" t="s">
        <v>71</v>
      </c>
      <c r="J523" s="18" t="str">
        <f aca="false">IFERROR(INDEX(المرجع!$D$2:$D$19,MATCH($I523,المرجع!$E$2:$E$19,0)),"")</f>
        <v>اكتمال المخرجات المستهدفة</v>
      </c>
      <c r="K523" s="19" t="n">
        <f aca="false">IFERROR(INDEX(المرجع!$F$2:$F$19,MATCH($I523,المرجع!$E$2:$E$19,0)),"")</f>
        <v>8</v>
      </c>
      <c r="L523" s="19" t="n">
        <f aca="false">SUMIFS(المرجع!$H$2:$H$19,المرجع!$B$2:$B$19,$G523,المرجع!$E$2:$E$19,$I523)</f>
        <v>1</v>
      </c>
      <c r="M523" s="19" t="n">
        <f aca="false">COUNTIFS('المرتبطة بسمو الوزير'!$B$2:$B$151,$B523,'المرتبطة بسمو الوزير'!$G$2:$G$151,$G523,'المرتبطة بسمو الوزير'!$I$2:$I$151,$I523,'المرتبطة بسمو الوزير'!$M$2:$M$151,"&lt;&gt;")+COUNTIFS('الشؤون التنفيذية'!$B$2:$B$421,$B523,'الشؤون التنفيذية'!$G$2:$G$421,$G523,'الشؤون التنفيذية'!$I$2:$I$421,$I523,'الشؤون التنفيذية'!$N$2:$N$421,"&lt;&gt;")+COUNTIFS('الجهاز العسكري'!$B$2:$B$631,$B523,'الجهاز العسكري'!$G$2:$G$631,$G523,'الجهاز العسكري'!$I$2:$I$631,$I523,'الجهاز العسكري'!$M$2:$M$631,"&lt;&gt;")</f>
        <v>1</v>
      </c>
      <c r="N523" s="24" t="n">
        <f aca="false">IF($L523=0,0,ROUND((SUMIFS('المرتبطة بسمو الوزير'!$M$2:$M$151,'المرتبطة بسمو الوزير'!$B$2:$B$151,$B523,'المرتبطة بسمو الوزير'!$G$2:$G$151,$G523,'المرتبطة بسمو الوزير'!$I$2:$I$151,$I523)+SUMIFS('الشؤون التنفيذية'!$N$2:$N$421,'الشؤون التنفيذية'!$B$2:$B$421,$B523,'الشؤون التنفيذية'!$G$2:$G$421,$G523,'الشؤون التنفيذية'!$I$2:$I$421,$I523)+SUMIFS('الجهاز العسكري'!$M$2:$M$631,'الجهاز العسكري'!$B$2:$B$631,$B523,'الجهاز العسكري'!$G$2:$G$631,$G523,'الجهاز العسكري'!$I$2:$I$631,$I523))/$L523,0))</f>
        <v>45</v>
      </c>
      <c r="O523" s="25" t="n">
        <f aca="false">IF($L523=0,0,ROUND((SUMIFS('المرتبطة بسمو الوزير'!$N$2:$N$151,'المرتبطة بسمو الوزير'!$B$2:$B$151,$B523,'المرتبطة بسمو الوزير'!$G$2:$G$151,$G523,'المرتبطة بسمو الوزير'!$I$2:$I$151,$I523)+SUMIFS('الشؤون التنفيذية'!$O$2:$O$421,'الشؤون التنفيذية'!$B$2:$B$421,$B523,'الشؤون التنفيذية'!$G$2:$G$421,$G523,'الشؤون التنفيذية'!$I$2:$I$421,$I523)+SUMIFS('الجهاز العسكري'!$N$2:$N$631,'الجهاز العسكري'!$B$2:$B$631,$B523,'الجهاز العسكري'!$G$2:$G$631,$G523,'الجهاز العسكري'!$I$2:$I$631,$I523))/$L523,0))</f>
        <v>85</v>
      </c>
      <c r="P523" s="22"/>
      <c r="Q523" s="19" t="n">
        <f aca="false">SUMIFS(المرجع!$G$2:$G$19,المرجع!$B$2:$B$19,$G523,المرجع!$E$2:$E$19,$I523)</f>
        <v>30</v>
      </c>
      <c r="R523" s="26" t="n">
        <f aca="false">ROUND($Q523*$N523/100,2)</f>
        <v>13.5</v>
      </c>
      <c r="S523" s="27" t="str">
        <f aca="false">IF($N523&gt;المرجع!$K$3,"متقدم",IF($N523&lt;=المرجع!$K$2,"أولي","جزئي"))</f>
        <v>جزئي</v>
      </c>
      <c r="T523" s="28" t="n">
        <f aca="false">ROUND($Q523*$O523/100,2)</f>
        <v>25.5</v>
      </c>
    </row>
    <row r="524" customFormat="false" ht="15" hidden="false" customHeight="true" outlineLevel="0" collapsed="false">
      <c r="A524" s="20" t="s">
        <v>1976</v>
      </c>
      <c r="B524" s="20" t="s">
        <v>216</v>
      </c>
      <c r="C524" s="19" t="str">
        <f aca="false">IFERROR(INDEX('قائمة الوحدات'!$B$2:$B$41,MATCH($B524,'قائمة الوحدات'!$A$2:$A$41,0)),"")</f>
        <v>MIL</v>
      </c>
      <c r="D524" s="18" t="str">
        <f aca="false">IFERROR(INDEX('قائمة الوحدات'!$C$2:$C$41,MATCH($B524,'قائمة الوحدات'!$A$2:$A$41,0)),"")</f>
        <v>الجهاز العسكري</v>
      </c>
      <c r="E524" s="18" t="str">
        <f aca="false">IFERROR(INDEX('قائمة الوحدات'!$D$2:$D$41,MATCH($B524,'قائمة الوحدات'!$A$2:$A$41,0)),"")</f>
        <v>الإدارة العامة للاتصالات وتقنية المعلومات العسكرية</v>
      </c>
      <c r="F524" s="18" t="str">
        <f aca="false">IFERROR(INDEX('قائمة الوحدات'!$F$2:$F$41,MATCH($B524,'قائمة الوحدات'!$A$2:$A$41,0)),"")</f>
        <v>الإدارة العامة للاتصالات وتقنية المعلومات العسكرية</v>
      </c>
      <c r="G524" s="20" t="s">
        <v>44</v>
      </c>
      <c r="H524" s="18" t="str">
        <f aca="false">IFERROR(INDEX(المرجع!$A$2:$A$19,MATCH($G524,المرجع!$B$2:$B$19,0)),"")</f>
        <v>التصميم</v>
      </c>
      <c r="I524" s="20" t="s">
        <v>46</v>
      </c>
      <c r="J524" s="18" t="str">
        <f aca="false">IFERROR(INDEX(المرجع!$D$2:$D$19,MATCH($I524,المرجع!$E$2:$E$19,0)),"")</f>
        <v>الدور</v>
      </c>
      <c r="K524" s="19" t="n">
        <f aca="false">IFERROR(INDEX(المرجع!$F$2:$F$19,MATCH($I524,المرجع!$E$2:$E$19,0)),"")</f>
        <v>1</v>
      </c>
      <c r="L524" s="19" t="n">
        <f aca="false">SUMIFS(المرجع!$H$2:$H$19,المرجع!$B$2:$B$19,$G524,المرجع!$E$2:$E$19,$I524)</f>
        <v>1</v>
      </c>
      <c r="M524" s="19" t="n">
        <f aca="false">COUNTIFS('المرتبطة بسمو الوزير'!$B$2:$B$151,$B524,'المرتبطة بسمو الوزير'!$G$2:$G$151,$G524,'المرتبطة بسمو الوزير'!$I$2:$I$151,$I524,'المرتبطة بسمو الوزير'!$M$2:$M$151,"&lt;&gt;")+COUNTIFS('الشؤون التنفيذية'!$B$2:$B$421,$B524,'الشؤون التنفيذية'!$G$2:$G$421,$G524,'الشؤون التنفيذية'!$I$2:$I$421,$I524,'الشؤون التنفيذية'!$N$2:$N$421,"&lt;&gt;")+COUNTIFS('الجهاز العسكري'!$B$2:$B$631,$B524,'الجهاز العسكري'!$G$2:$G$631,$G524,'الجهاز العسكري'!$I$2:$I$631,$I524,'الجهاز العسكري'!$M$2:$M$631,"&lt;&gt;")</f>
        <v>1</v>
      </c>
      <c r="N524" s="24" t="n">
        <f aca="false">IF($L524=0,0,ROUND((SUMIFS('المرتبطة بسمو الوزير'!$M$2:$M$151,'المرتبطة بسمو الوزير'!$B$2:$B$151,$B524,'المرتبطة بسمو الوزير'!$G$2:$G$151,$G524,'المرتبطة بسمو الوزير'!$I$2:$I$151,$I524)+SUMIFS('الشؤون التنفيذية'!$N$2:$N$421,'الشؤون التنفيذية'!$B$2:$B$421,$B524,'الشؤون التنفيذية'!$G$2:$G$421,$G524,'الشؤون التنفيذية'!$I$2:$I$421,$I524)+SUMIFS('الجهاز العسكري'!$M$2:$M$631,'الجهاز العسكري'!$B$2:$B$631,$B524,'الجهاز العسكري'!$G$2:$G$631,$G524,'الجهاز العسكري'!$I$2:$I$631,$I524))/$L524,0))</f>
        <v>84</v>
      </c>
      <c r="O524" s="25" t="n">
        <f aca="false">IF($L524=0,0,ROUND((SUMIFS('المرتبطة بسمو الوزير'!$N$2:$N$151,'المرتبطة بسمو الوزير'!$B$2:$B$151,$B524,'المرتبطة بسمو الوزير'!$G$2:$G$151,$G524,'المرتبطة بسمو الوزير'!$I$2:$I$151,$I524)+SUMIFS('الشؤون التنفيذية'!$O$2:$O$421,'الشؤون التنفيذية'!$B$2:$B$421,$B524,'الشؤون التنفيذية'!$G$2:$G$421,$G524,'الشؤون التنفيذية'!$I$2:$I$421,$I524)+SUMIFS('الجهاز العسكري'!$N$2:$N$631,'الجهاز العسكري'!$B$2:$B$631,$B524,'الجهاز العسكري'!$G$2:$G$631,$G524,'الجهاز العسكري'!$I$2:$I$631,$I524))/$L524,0))</f>
        <v>90</v>
      </c>
      <c r="P524" s="22"/>
      <c r="Q524" s="19" t="n">
        <f aca="false">SUMIFS(المرجع!$G$2:$G$19,المرجع!$B$2:$B$19,$G524,المرجع!$E$2:$E$19,$I524)</f>
        <v>25</v>
      </c>
      <c r="R524" s="26" t="n">
        <f aca="false">ROUND($Q524*$N524/100,2)</f>
        <v>21</v>
      </c>
      <c r="S524" s="27" t="str">
        <f aca="false">IF($N524&gt;المرجع!$K$3,"متقدم",IF($N524&lt;=المرجع!$K$2,"أولي","جزئي"))</f>
        <v>متقدم</v>
      </c>
      <c r="T524" s="28" t="n">
        <f aca="false">ROUND($Q524*$O524/100,2)</f>
        <v>22.5</v>
      </c>
    </row>
    <row r="525" customFormat="false" ht="15" hidden="false" customHeight="true" outlineLevel="0" collapsed="false">
      <c r="A525" s="20" t="s">
        <v>1977</v>
      </c>
      <c r="B525" s="20" t="s">
        <v>216</v>
      </c>
      <c r="C525" s="19" t="str">
        <f aca="false">IFERROR(INDEX('قائمة الوحدات'!$B$2:$B$41,MATCH($B525,'قائمة الوحدات'!$A$2:$A$41,0)),"")</f>
        <v>MIL</v>
      </c>
      <c r="D525" s="18" t="str">
        <f aca="false">IFERROR(INDEX('قائمة الوحدات'!$C$2:$C$41,MATCH($B525,'قائمة الوحدات'!$A$2:$A$41,0)),"")</f>
        <v>الجهاز العسكري</v>
      </c>
      <c r="E525" s="18" t="str">
        <f aca="false">IFERROR(INDEX('قائمة الوحدات'!$D$2:$D$41,MATCH($B525,'قائمة الوحدات'!$A$2:$A$41,0)),"")</f>
        <v>الإدارة العامة للاتصالات وتقنية المعلومات العسكرية</v>
      </c>
      <c r="F525" s="18" t="str">
        <f aca="false">IFERROR(INDEX('قائمة الوحدات'!$F$2:$F$41,MATCH($B525,'قائمة الوحدات'!$A$2:$A$41,0)),"")</f>
        <v>الإدارة العامة للاتصالات وتقنية المعلومات العسكرية</v>
      </c>
      <c r="G525" s="20" t="s">
        <v>44</v>
      </c>
      <c r="H525" s="18" t="str">
        <f aca="false">IFERROR(INDEX(المرجع!$A$2:$A$19,MATCH($G525,المرجع!$B$2:$B$19,0)),"")</f>
        <v>التصميم</v>
      </c>
      <c r="I525" s="20" t="s">
        <v>49</v>
      </c>
      <c r="J525" s="18" t="str">
        <f aca="false">IFERROR(INDEX(المرجع!$D$2:$D$19,MATCH($I525,المرجع!$E$2:$E$19,0)),"")</f>
        <v>الأهداف ومؤشرات الأداء</v>
      </c>
      <c r="K525" s="19" t="n">
        <f aca="false">IFERROR(INDEX(المرجع!$F$2:$F$19,MATCH($I525,المرجع!$E$2:$E$19,0)),"")</f>
        <v>2</v>
      </c>
      <c r="L525" s="19" t="n">
        <f aca="false">SUMIFS(المرجع!$H$2:$H$19,المرجع!$B$2:$B$19,$G525,المرجع!$E$2:$E$19,$I525)</f>
        <v>2</v>
      </c>
      <c r="M525" s="19" t="n">
        <f aca="false">COUNTIFS('المرتبطة بسمو الوزير'!$B$2:$B$151,$B525,'المرتبطة بسمو الوزير'!$G$2:$G$151,$G525,'المرتبطة بسمو الوزير'!$I$2:$I$151,$I525,'المرتبطة بسمو الوزير'!$M$2:$M$151,"&lt;&gt;")+COUNTIFS('الشؤون التنفيذية'!$B$2:$B$421,$B525,'الشؤون التنفيذية'!$G$2:$G$421,$G525,'الشؤون التنفيذية'!$I$2:$I$421,$I525,'الشؤون التنفيذية'!$N$2:$N$421,"&lt;&gt;")+COUNTIFS('الجهاز العسكري'!$B$2:$B$631,$B525,'الجهاز العسكري'!$G$2:$G$631,$G525,'الجهاز العسكري'!$I$2:$I$631,$I525,'الجهاز العسكري'!$M$2:$M$631,"&lt;&gt;")</f>
        <v>2</v>
      </c>
      <c r="N525" s="24" t="n">
        <f aca="false">IF($L525=0,0,ROUND((SUMIFS('المرتبطة بسمو الوزير'!$M$2:$M$151,'المرتبطة بسمو الوزير'!$B$2:$B$151,$B525,'المرتبطة بسمو الوزير'!$G$2:$G$151,$G525,'المرتبطة بسمو الوزير'!$I$2:$I$151,$I525)+SUMIFS('الشؤون التنفيذية'!$N$2:$N$421,'الشؤون التنفيذية'!$B$2:$B$421,$B525,'الشؤون التنفيذية'!$G$2:$G$421,$G525,'الشؤون التنفيذية'!$I$2:$I$421,$I525)+SUMIFS('الجهاز العسكري'!$M$2:$M$631,'الجهاز العسكري'!$B$2:$B$631,$B525,'الجهاز العسكري'!$G$2:$G$631,$G525,'الجهاز العسكري'!$I$2:$I$631,$I525))/$L525,0))</f>
        <v>73</v>
      </c>
      <c r="O525" s="25" t="n">
        <f aca="false">IF($L525=0,0,ROUND((SUMIFS('المرتبطة بسمو الوزير'!$N$2:$N$151,'المرتبطة بسمو الوزير'!$B$2:$B$151,$B525,'المرتبطة بسمو الوزير'!$G$2:$G$151,$G525,'المرتبطة بسمو الوزير'!$I$2:$I$151,$I525)+SUMIFS('الشؤون التنفيذية'!$O$2:$O$421,'الشؤون التنفيذية'!$B$2:$B$421,$B525,'الشؤون التنفيذية'!$G$2:$G$421,$G525,'الشؤون التنفيذية'!$I$2:$I$421,$I525)+SUMIFS('الجهاز العسكري'!$N$2:$N$631,'الجهاز العسكري'!$B$2:$B$631,$B525,'الجهاز العسكري'!$G$2:$G$631,$G525,'الجهاز العسكري'!$I$2:$I$631,$I525))/$L525,0))</f>
        <v>95</v>
      </c>
      <c r="P525" s="22"/>
      <c r="Q525" s="19" t="n">
        <f aca="false">SUMIFS(المرجع!$G$2:$G$19,المرجع!$B$2:$B$19,$G525,المرجع!$E$2:$E$19,$I525)</f>
        <v>15</v>
      </c>
      <c r="R525" s="26" t="n">
        <f aca="false">ROUND($Q525*$N525/100,2)</f>
        <v>10.95</v>
      </c>
      <c r="S525" s="27" t="str">
        <f aca="false">IF($N525&gt;المرجع!$K$3,"متقدم",IF($N525&lt;=المرجع!$K$2,"أولي","جزئي"))</f>
        <v>متقدم</v>
      </c>
      <c r="T525" s="28" t="n">
        <f aca="false">ROUND($Q525*$O525/100,2)</f>
        <v>14.25</v>
      </c>
    </row>
    <row r="526" customFormat="false" ht="15" hidden="false" customHeight="true" outlineLevel="0" collapsed="false">
      <c r="A526" s="20" t="s">
        <v>1978</v>
      </c>
      <c r="B526" s="20" t="s">
        <v>216</v>
      </c>
      <c r="C526" s="19" t="str">
        <f aca="false">IFERROR(INDEX('قائمة الوحدات'!$B$2:$B$41,MATCH($B526,'قائمة الوحدات'!$A$2:$A$41,0)),"")</f>
        <v>MIL</v>
      </c>
      <c r="D526" s="18" t="str">
        <f aca="false">IFERROR(INDEX('قائمة الوحدات'!$C$2:$C$41,MATCH($B526,'قائمة الوحدات'!$A$2:$A$41,0)),"")</f>
        <v>الجهاز العسكري</v>
      </c>
      <c r="E526" s="18" t="str">
        <f aca="false">IFERROR(INDEX('قائمة الوحدات'!$D$2:$D$41,MATCH($B526,'قائمة الوحدات'!$A$2:$A$41,0)),"")</f>
        <v>الإدارة العامة للاتصالات وتقنية المعلومات العسكرية</v>
      </c>
      <c r="F526" s="18" t="str">
        <f aca="false">IFERROR(INDEX('قائمة الوحدات'!$F$2:$F$41,MATCH($B526,'قائمة الوحدات'!$A$2:$A$41,0)),"")</f>
        <v>الإدارة العامة للاتصالات وتقنية المعلومات العسكرية</v>
      </c>
      <c r="G526" s="20" t="s">
        <v>44</v>
      </c>
      <c r="H526" s="18" t="str">
        <f aca="false">IFERROR(INDEX(المرجع!$A$2:$A$19,MATCH($G526,المرجع!$B$2:$B$19,0)),"")</f>
        <v>التصميم</v>
      </c>
      <c r="I526" s="20" t="s">
        <v>52</v>
      </c>
      <c r="J526" s="18" t="str">
        <f aca="false">IFERROR(INDEX(المرجع!$D$2:$D$19,MATCH($I526,المرجع!$E$2:$E$19,0)),"")</f>
        <v>الحوكمة</v>
      </c>
      <c r="K526" s="19" t="n">
        <f aca="false">IFERROR(INDEX(المرجع!$F$2:$F$19,MATCH($I526,المرجع!$E$2:$E$19,0)),"")</f>
        <v>3</v>
      </c>
      <c r="L526" s="19" t="n">
        <f aca="false">SUMIFS(المرجع!$H$2:$H$19,المرجع!$B$2:$B$19,$G526,المرجع!$E$2:$E$19,$I526)</f>
        <v>1</v>
      </c>
      <c r="M526" s="19" t="n">
        <f aca="false">COUNTIFS('المرتبطة بسمو الوزير'!$B$2:$B$151,$B526,'المرتبطة بسمو الوزير'!$G$2:$G$151,$G526,'المرتبطة بسمو الوزير'!$I$2:$I$151,$I526,'المرتبطة بسمو الوزير'!$M$2:$M$151,"&lt;&gt;")+COUNTIFS('الشؤون التنفيذية'!$B$2:$B$421,$B526,'الشؤون التنفيذية'!$G$2:$G$421,$G526,'الشؤون التنفيذية'!$I$2:$I$421,$I526,'الشؤون التنفيذية'!$N$2:$N$421,"&lt;&gt;")+COUNTIFS('الجهاز العسكري'!$B$2:$B$631,$B526,'الجهاز العسكري'!$G$2:$G$631,$G526,'الجهاز العسكري'!$I$2:$I$631,$I526,'الجهاز العسكري'!$M$2:$M$631,"&lt;&gt;")</f>
        <v>1</v>
      </c>
      <c r="N526" s="24" t="n">
        <f aca="false">IF($L526=0,0,ROUND((SUMIFS('المرتبطة بسمو الوزير'!$M$2:$M$151,'المرتبطة بسمو الوزير'!$B$2:$B$151,$B526,'المرتبطة بسمو الوزير'!$G$2:$G$151,$G526,'المرتبطة بسمو الوزير'!$I$2:$I$151,$I526)+SUMIFS('الشؤون التنفيذية'!$N$2:$N$421,'الشؤون التنفيذية'!$B$2:$B$421,$B526,'الشؤون التنفيذية'!$G$2:$G$421,$G526,'الشؤون التنفيذية'!$I$2:$I$421,$I526)+SUMIFS('الجهاز العسكري'!$M$2:$M$631,'الجهاز العسكري'!$B$2:$B$631,$B526,'الجهاز العسكري'!$G$2:$G$631,$G526,'الجهاز العسكري'!$I$2:$I$631,$I526))/$L526,0))</f>
        <v>97</v>
      </c>
      <c r="O526" s="25" t="n">
        <f aca="false">IF($L526=0,0,ROUND((SUMIFS('المرتبطة بسمو الوزير'!$N$2:$N$151,'المرتبطة بسمو الوزير'!$B$2:$B$151,$B526,'المرتبطة بسمو الوزير'!$G$2:$G$151,$G526,'المرتبطة بسمو الوزير'!$I$2:$I$151,$I526)+SUMIFS('الشؤون التنفيذية'!$O$2:$O$421,'الشؤون التنفيذية'!$B$2:$B$421,$B526,'الشؤون التنفيذية'!$G$2:$G$421,$G526,'الشؤون التنفيذية'!$I$2:$I$421,$I526)+SUMIFS('الجهاز العسكري'!$N$2:$N$631,'الجهاز العسكري'!$B$2:$B$631,$B526,'الجهاز العسكري'!$G$2:$G$631,$G526,'الجهاز العسكري'!$I$2:$I$631,$I526))/$L526,0))</f>
        <v>100</v>
      </c>
      <c r="P526" s="22"/>
      <c r="Q526" s="19" t="n">
        <f aca="false">SUMIFS(المرجع!$G$2:$G$19,المرجع!$B$2:$B$19,$G526,المرجع!$E$2:$E$19,$I526)</f>
        <v>15</v>
      </c>
      <c r="R526" s="26" t="n">
        <f aca="false">ROUND($Q526*$N526/100,2)</f>
        <v>14.55</v>
      </c>
      <c r="S526" s="27" t="str">
        <f aca="false">IF($N526&gt;المرجع!$K$3,"متقدم",IF($N526&lt;=المرجع!$K$2,"أولي","جزئي"))</f>
        <v>متقدم</v>
      </c>
      <c r="T526" s="28" t="n">
        <f aca="false">ROUND($Q526*$O526/100,2)</f>
        <v>15</v>
      </c>
    </row>
    <row r="527" customFormat="false" ht="15" hidden="false" customHeight="true" outlineLevel="0" collapsed="false">
      <c r="A527" s="20" t="s">
        <v>1979</v>
      </c>
      <c r="B527" s="20" t="s">
        <v>216</v>
      </c>
      <c r="C527" s="19" t="str">
        <f aca="false">IFERROR(INDEX('قائمة الوحدات'!$B$2:$B$41,MATCH($B527,'قائمة الوحدات'!$A$2:$A$41,0)),"")</f>
        <v>MIL</v>
      </c>
      <c r="D527" s="18" t="str">
        <f aca="false">IFERROR(INDEX('قائمة الوحدات'!$C$2:$C$41,MATCH($B527,'قائمة الوحدات'!$A$2:$A$41,0)),"")</f>
        <v>الجهاز العسكري</v>
      </c>
      <c r="E527" s="18" t="str">
        <f aca="false">IFERROR(INDEX('قائمة الوحدات'!$D$2:$D$41,MATCH($B527,'قائمة الوحدات'!$A$2:$A$41,0)),"")</f>
        <v>الإدارة العامة للاتصالات وتقنية المعلومات العسكرية</v>
      </c>
      <c r="F527" s="18" t="str">
        <f aca="false">IFERROR(INDEX('قائمة الوحدات'!$F$2:$F$41,MATCH($B527,'قائمة الوحدات'!$A$2:$A$41,0)),"")</f>
        <v>الإدارة العامة للاتصالات وتقنية المعلومات العسكرية</v>
      </c>
      <c r="G527" s="20" t="s">
        <v>44</v>
      </c>
      <c r="H527" s="18" t="str">
        <f aca="false">IFERROR(INDEX(المرجع!$A$2:$A$19,MATCH($G527,المرجع!$B$2:$B$19,0)),"")</f>
        <v>التصميم</v>
      </c>
      <c r="I527" s="20" t="s">
        <v>55</v>
      </c>
      <c r="J527" s="18" t="str">
        <f aca="false">IFERROR(INDEX(المرجع!$D$2:$D$19,MATCH($I527,المرجع!$E$2:$E$19,0)),"")</f>
        <v>التنظيم</v>
      </c>
      <c r="K527" s="19" t="n">
        <f aca="false">IFERROR(INDEX(المرجع!$F$2:$F$19,MATCH($I527,المرجع!$E$2:$E$19,0)),"")</f>
        <v>4</v>
      </c>
      <c r="L527" s="19" t="n">
        <f aca="false">SUMIFS(المرجع!$H$2:$H$19,المرجع!$B$2:$B$19,$G527,المرجع!$E$2:$E$19,$I527)</f>
        <v>1</v>
      </c>
      <c r="M527" s="19" t="n">
        <f aca="false">COUNTIFS('المرتبطة بسمو الوزير'!$B$2:$B$151,$B527,'المرتبطة بسمو الوزير'!$G$2:$G$151,$G527,'المرتبطة بسمو الوزير'!$I$2:$I$151,$I527,'المرتبطة بسمو الوزير'!$M$2:$M$151,"&lt;&gt;")+COUNTIFS('الشؤون التنفيذية'!$B$2:$B$421,$B527,'الشؤون التنفيذية'!$G$2:$G$421,$G527,'الشؤون التنفيذية'!$I$2:$I$421,$I527,'الشؤون التنفيذية'!$N$2:$N$421,"&lt;&gt;")+COUNTIFS('الجهاز العسكري'!$B$2:$B$631,$B527,'الجهاز العسكري'!$G$2:$G$631,$G527,'الجهاز العسكري'!$I$2:$I$631,$I527,'الجهاز العسكري'!$M$2:$M$631,"&lt;&gt;")</f>
        <v>1</v>
      </c>
      <c r="N527" s="24" t="n">
        <f aca="false">IF($L527=0,0,ROUND((SUMIFS('المرتبطة بسمو الوزير'!$M$2:$M$151,'المرتبطة بسمو الوزير'!$B$2:$B$151,$B527,'المرتبطة بسمو الوزير'!$G$2:$G$151,$G527,'المرتبطة بسمو الوزير'!$I$2:$I$151,$I527)+SUMIFS('الشؤون التنفيذية'!$N$2:$N$421,'الشؤون التنفيذية'!$B$2:$B$421,$B527,'الشؤون التنفيذية'!$G$2:$G$421,$G527,'الشؤون التنفيذية'!$I$2:$I$421,$I527)+SUMIFS('الجهاز العسكري'!$M$2:$M$631,'الجهاز العسكري'!$B$2:$B$631,$B527,'الجهاز العسكري'!$G$2:$G$631,$G527,'الجهاز العسكري'!$I$2:$I$631,$I527))/$L527,0))</f>
        <v>98</v>
      </c>
      <c r="O527" s="25" t="n">
        <f aca="false">IF($L527=0,0,ROUND((SUMIFS('المرتبطة بسمو الوزير'!$N$2:$N$151,'المرتبطة بسمو الوزير'!$B$2:$B$151,$B527,'المرتبطة بسمو الوزير'!$G$2:$G$151,$G527,'المرتبطة بسمو الوزير'!$I$2:$I$151,$I527)+SUMIFS('الشؤون التنفيذية'!$O$2:$O$421,'الشؤون التنفيذية'!$B$2:$B$421,$B527,'الشؤون التنفيذية'!$G$2:$G$421,$G527,'الشؤون التنفيذية'!$I$2:$I$421,$I527)+SUMIFS('الجهاز العسكري'!$N$2:$N$631,'الجهاز العسكري'!$B$2:$B$631,$B527,'الجهاز العسكري'!$G$2:$G$631,$G527,'الجهاز العسكري'!$I$2:$I$631,$I527))/$L527,0))</f>
        <v>100</v>
      </c>
      <c r="P527" s="22"/>
      <c r="Q527" s="19" t="n">
        <f aca="false">SUMIFS(المرجع!$G$2:$G$19,المرجع!$B$2:$B$19,$G527,المرجع!$E$2:$E$19,$I527)</f>
        <v>20</v>
      </c>
      <c r="R527" s="26" t="n">
        <f aca="false">ROUND($Q527*$N527/100,2)</f>
        <v>19.6</v>
      </c>
      <c r="S527" s="27" t="str">
        <f aca="false">IF($N527&gt;المرجع!$K$3,"متقدم",IF($N527&lt;=المرجع!$K$2,"أولي","جزئي"))</f>
        <v>متقدم</v>
      </c>
      <c r="T527" s="28" t="n">
        <f aca="false">ROUND($Q527*$O527/100,2)</f>
        <v>20</v>
      </c>
    </row>
    <row r="528" customFormat="false" ht="15" hidden="false" customHeight="true" outlineLevel="0" collapsed="false">
      <c r="A528" s="20" t="s">
        <v>1980</v>
      </c>
      <c r="B528" s="20" t="s">
        <v>216</v>
      </c>
      <c r="C528" s="19" t="str">
        <f aca="false">IFERROR(INDEX('قائمة الوحدات'!$B$2:$B$41,MATCH($B528,'قائمة الوحدات'!$A$2:$A$41,0)),"")</f>
        <v>MIL</v>
      </c>
      <c r="D528" s="18" t="str">
        <f aca="false">IFERROR(INDEX('قائمة الوحدات'!$C$2:$C$41,MATCH($B528,'قائمة الوحدات'!$A$2:$A$41,0)),"")</f>
        <v>الجهاز العسكري</v>
      </c>
      <c r="E528" s="18" t="str">
        <f aca="false">IFERROR(INDEX('قائمة الوحدات'!$D$2:$D$41,MATCH($B528,'قائمة الوحدات'!$A$2:$A$41,0)),"")</f>
        <v>الإدارة العامة للاتصالات وتقنية المعلومات العسكرية</v>
      </c>
      <c r="F528" s="18" t="str">
        <f aca="false">IFERROR(INDEX('قائمة الوحدات'!$F$2:$F$41,MATCH($B528,'قائمة الوحدات'!$A$2:$A$41,0)),"")</f>
        <v>الإدارة العامة للاتصالات وتقنية المعلومات العسكرية</v>
      </c>
      <c r="G528" s="20" t="s">
        <v>44</v>
      </c>
      <c r="H528" s="18" t="str">
        <f aca="false">IFERROR(INDEX(المرجع!$A$2:$A$19,MATCH($G528,المرجع!$B$2:$B$19,0)),"")</f>
        <v>التصميم</v>
      </c>
      <c r="I528" s="20" t="s">
        <v>57</v>
      </c>
      <c r="J528" s="18" t="str">
        <f aca="false">IFERROR(INDEX(المرجع!$D$2:$D$19,MATCH($I528,المرجع!$E$2:$E$19,0)),"")</f>
        <v>الموارد</v>
      </c>
      <c r="K528" s="19" t="n">
        <f aca="false">IFERROR(INDEX(المرجع!$F$2:$F$19,MATCH($I528,المرجع!$E$2:$E$19,0)),"")</f>
        <v>5</v>
      </c>
      <c r="L528" s="19" t="n">
        <f aca="false">SUMIFS(المرجع!$H$2:$H$19,المرجع!$B$2:$B$19,$G528,المرجع!$E$2:$E$19,$I528)</f>
        <v>1</v>
      </c>
      <c r="M528" s="19" t="n">
        <f aca="false">COUNTIFS('المرتبطة بسمو الوزير'!$B$2:$B$151,$B528,'المرتبطة بسمو الوزير'!$G$2:$G$151,$G528,'المرتبطة بسمو الوزير'!$I$2:$I$151,$I528,'المرتبطة بسمو الوزير'!$M$2:$M$151,"&lt;&gt;")+COUNTIFS('الشؤون التنفيذية'!$B$2:$B$421,$B528,'الشؤون التنفيذية'!$G$2:$G$421,$G528,'الشؤون التنفيذية'!$I$2:$I$421,$I528,'الشؤون التنفيذية'!$N$2:$N$421,"&lt;&gt;")+COUNTIFS('الجهاز العسكري'!$B$2:$B$631,$B528,'الجهاز العسكري'!$G$2:$G$631,$G528,'الجهاز العسكري'!$I$2:$I$631,$I528,'الجهاز العسكري'!$M$2:$M$631,"&lt;&gt;")</f>
        <v>1</v>
      </c>
      <c r="N528" s="24" t="n">
        <f aca="false">IF($L528=0,0,ROUND((SUMIFS('المرتبطة بسمو الوزير'!$M$2:$M$151,'المرتبطة بسمو الوزير'!$B$2:$B$151,$B528,'المرتبطة بسمو الوزير'!$G$2:$G$151,$G528,'المرتبطة بسمو الوزير'!$I$2:$I$151,$I528)+SUMIFS('الشؤون التنفيذية'!$N$2:$N$421,'الشؤون التنفيذية'!$B$2:$B$421,$B528,'الشؤون التنفيذية'!$G$2:$G$421,$G528,'الشؤون التنفيذية'!$I$2:$I$421,$I528)+SUMIFS('الجهاز العسكري'!$M$2:$M$631,'الجهاز العسكري'!$B$2:$B$631,$B528,'الجهاز العسكري'!$G$2:$G$631,$G528,'الجهاز العسكري'!$I$2:$I$631,$I528))/$L528,0))</f>
        <v>80</v>
      </c>
      <c r="O528" s="25" t="n">
        <f aca="false">IF($L528=0,0,ROUND((SUMIFS('المرتبطة بسمو الوزير'!$N$2:$N$151,'المرتبطة بسمو الوزير'!$B$2:$B$151,$B528,'المرتبطة بسمو الوزير'!$G$2:$G$151,$G528,'المرتبطة بسمو الوزير'!$I$2:$I$151,$I528)+SUMIFS('الشؤون التنفيذية'!$O$2:$O$421,'الشؤون التنفيذية'!$B$2:$B$421,$B528,'الشؤون التنفيذية'!$G$2:$G$421,$G528,'الشؤون التنفيذية'!$I$2:$I$421,$I528)+SUMIFS('الجهاز العسكري'!$N$2:$N$631,'الجهاز العسكري'!$B$2:$B$631,$B528,'الجهاز العسكري'!$G$2:$G$631,$G528,'الجهاز العسكري'!$I$2:$I$631,$I528))/$L528,0))</f>
        <v>90</v>
      </c>
      <c r="P528" s="22"/>
      <c r="Q528" s="19" t="n">
        <f aca="false">SUMIFS(المرجع!$G$2:$G$19,المرجع!$B$2:$B$19,$G528,المرجع!$E$2:$E$19,$I528)</f>
        <v>20</v>
      </c>
      <c r="R528" s="26" t="n">
        <f aca="false">ROUND($Q528*$N528/100,2)</f>
        <v>16</v>
      </c>
      <c r="S528" s="27" t="str">
        <f aca="false">IF($N528&gt;المرجع!$K$3,"متقدم",IF($N528&lt;=المرجع!$K$2,"أولي","جزئي"))</f>
        <v>متقدم</v>
      </c>
      <c r="T528" s="28" t="n">
        <f aca="false">ROUND($Q528*$O528/100,2)</f>
        <v>18</v>
      </c>
    </row>
    <row r="529" customFormat="false" ht="15" hidden="false" customHeight="true" outlineLevel="0" collapsed="false">
      <c r="A529" s="20" t="s">
        <v>1981</v>
      </c>
      <c r="B529" s="20" t="s">
        <v>216</v>
      </c>
      <c r="C529" s="19" t="str">
        <f aca="false">IFERROR(INDEX('قائمة الوحدات'!$B$2:$B$41,MATCH($B529,'قائمة الوحدات'!$A$2:$A$41,0)),"")</f>
        <v>MIL</v>
      </c>
      <c r="D529" s="18" t="str">
        <f aca="false">IFERROR(INDEX('قائمة الوحدات'!$C$2:$C$41,MATCH($B529,'قائمة الوحدات'!$A$2:$A$41,0)),"")</f>
        <v>الجهاز العسكري</v>
      </c>
      <c r="E529" s="18" t="str">
        <f aca="false">IFERROR(INDEX('قائمة الوحدات'!$D$2:$D$41,MATCH($B529,'قائمة الوحدات'!$A$2:$A$41,0)),"")</f>
        <v>الإدارة العامة للاتصالات وتقنية المعلومات العسكرية</v>
      </c>
      <c r="F529" s="18" t="str">
        <f aca="false">IFERROR(INDEX('قائمة الوحدات'!$F$2:$F$41,MATCH($B529,'قائمة الوحدات'!$A$2:$A$41,0)),"")</f>
        <v>الإدارة العامة للاتصالات وتقنية المعلومات العسكرية</v>
      </c>
      <c r="G529" s="20" t="s">
        <v>44</v>
      </c>
      <c r="H529" s="18" t="str">
        <f aca="false">IFERROR(INDEX(المرجع!$A$2:$A$19,MATCH($G529,المرجع!$B$2:$B$19,0)),"")</f>
        <v>التصميم</v>
      </c>
      <c r="I529" s="20" t="s">
        <v>60</v>
      </c>
      <c r="J529" s="18" t="str">
        <f aca="false">IFERROR(INDEX(المرجع!$D$2:$D$19,MATCH($I529,المرجع!$E$2:$E$19,0)),"")</f>
        <v>الإجراءات</v>
      </c>
      <c r="K529" s="19" t="n">
        <f aca="false">IFERROR(INDEX(المرجع!$F$2:$F$19,MATCH($I529,المرجع!$E$2:$E$19,0)),"")</f>
        <v>6</v>
      </c>
      <c r="L529" s="19" t="n">
        <f aca="false">SUMIFS(المرجع!$H$2:$H$19,المرجع!$B$2:$B$19,$G529,المرجع!$E$2:$E$19,$I529)</f>
        <v>1</v>
      </c>
      <c r="M529" s="19" t="n">
        <f aca="false">COUNTIFS('المرتبطة بسمو الوزير'!$B$2:$B$151,$B529,'المرتبطة بسمو الوزير'!$G$2:$G$151,$G529,'المرتبطة بسمو الوزير'!$I$2:$I$151,$I529,'المرتبطة بسمو الوزير'!$M$2:$M$151,"&lt;&gt;")+COUNTIFS('الشؤون التنفيذية'!$B$2:$B$421,$B529,'الشؤون التنفيذية'!$G$2:$G$421,$G529,'الشؤون التنفيذية'!$I$2:$I$421,$I529,'الشؤون التنفيذية'!$N$2:$N$421,"&lt;&gt;")+COUNTIFS('الجهاز العسكري'!$B$2:$B$631,$B529,'الجهاز العسكري'!$G$2:$G$631,$G529,'الجهاز العسكري'!$I$2:$I$631,$I529,'الجهاز العسكري'!$M$2:$M$631,"&lt;&gt;")</f>
        <v>1</v>
      </c>
      <c r="N529" s="24" t="n">
        <f aca="false">IF($L529=0,0,ROUND((SUMIFS('المرتبطة بسمو الوزير'!$M$2:$M$151,'المرتبطة بسمو الوزير'!$B$2:$B$151,$B529,'المرتبطة بسمو الوزير'!$G$2:$G$151,$G529,'المرتبطة بسمو الوزير'!$I$2:$I$151,$I529)+SUMIFS('الشؤون التنفيذية'!$N$2:$N$421,'الشؤون التنفيذية'!$B$2:$B$421,$B529,'الشؤون التنفيذية'!$G$2:$G$421,$G529,'الشؤون التنفيذية'!$I$2:$I$421,$I529)+SUMIFS('الجهاز العسكري'!$M$2:$M$631,'الجهاز العسكري'!$B$2:$B$631,$B529,'الجهاز العسكري'!$G$2:$G$631,$G529,'الجهاز العسكري'!$I$2:$I$631,$I529))/$L529,0))</f>
        <v>68</v>
      </c>
      <c r="O529" s="25" t="n">
        <f aca="false">IF($L529=0,0,ROUND((SUMIFS('المرتبطة بسمو الوزير'!$N$2:$N$151,'المرتبطة بسمو الوزير'!$B$2:$B$151,$B529,'المرتبطة بسمو الوزير'!$G$2:$G$151,$G529,'المرتبطة بسمو الوزير'!$I$2:$I$151,$I529)+SUMIFS('الشؤون التنفيذية'!$O$2:$O$421,'الشؤون التنفيذية'!$B$2:$B$421,$B529,'الشؤون التنفيذية'!$G$2:$G$421,$G529,'الشؤون التنفيذية'!$I$2:$I$421,$I529)+SUMIFS('الجهاز العسكري'!$N$2:$N$631,'الجهاز العسكري'!$B$2:$B$631,$B529,'الجهاز العسكري'!$G$2:$G$631,$G529,'الجهاز العسكري'!$I$2:$I$631,$I529))/$L529,0))</f>
        <v>100</v>
      </c>
      <c r="P529" s="22"/>
      <c r="Q529" s="19" t="n">
        <f aca="false">SUMIFS(المرجع!$G$2:$G$19,المرجع!$B$2:$B$19,$G529,المرجع!$E$2:$E$19,$I529)</f>
        <v>5</v>
      </c>
      <c r="R529" s="26" t="n">
        <f aca="false">ROUND($Q529*$N529/100,2)</f>
        <v>3.4</v>
      </c>
      <c r="S529" s="27" t="str">
        <f aca="false">IF($N529&gt;المرجع!$K$3,"متقدم",IF($N529&lt;=المرجع!$K$2,"أولي","جزئي"))</f>
        <v>جزئي</v>
      </c>
      <c r="T529" s="28" t="n">
        <f aca="false">ROUND($Q529*$O529/100,2)</f>
        <v>5</v>
      </c>
    </row>
    <row r="530" customFormat="false" ht="15" hidden="false" customHeight="true" outlineLevel="0" collapsed="false">
      <c r="A530" s="20" t="s">
        <v>1982</v>
      </c>
      <c r="B530" s="20" t="s">
        <v>216</v>
      </c>
      <c r="C530" s="19" t="str">
        <f aca="false">IFERROR(INDEX('قائمة الوحدات'!$B$2:$B$41,MATCH($B530,'قائمة الوحدات'!$A$2:$A$41,0)),"")</f>
        <v>MIL</v>
      </c>
      <c r="D530" s="18" t="str">
        <f aca="false">IFERROR(INDEX('قائمة الوحدات'!$C$2:$C$41,MATCH($B530,'قائمة الوحدات'!$A$2:$A$41,0)),"")</f>
        <v>الجهاز العسكري</v>
      </c>
      <c r="E530" s="18" t="str">
        <f aca="false">IFERROR(INDEX('قائمة الوحدات'!$D$2:$D$41,MATCH($B530,'قائمة الوحدات'!$A$2:$A$41,0)),"")</f>
        <v>الإدارة العامة للاتصالات وتقنية المعلومات العسكرية</v>
      </c>
      <c r="F530" s="18" t="str">
        <f aca="false">IFERROR(INDEX('قائمة الوحدات'!$F$2:$F$41,MATCH($B530,'قائمة الوحدات'!$A$2:$A$41,0)),"")</f>
        <v>الإدارة العامة للاتصالات وتقنية المعلومات العسكرية</v>
      </c>
      <c r="G530" s="20" t="s">
        <v>62</v>
      </c>
      <c r="H530" s="18" t="str">
        <f aca="false">IFERROR(INDEX(المرجع!$A$2:$A$19,MATCH($G530,المرجع!$B$2:$B$19,0)),"")</f>
        <v>البناء المؤسسي</v>
      </c>
      <c r="I530" s="20" t="s">
        <v>46</v>
      </c>
      <c r="J530" s="18" t="str">
        <f aca="false">IFERROR(INDEX(المرجع!$D$2:$D$19,MATCH($I530,المرجع!$E$2:$E$19,0)),"")</f>
        <v>الدور</v>
      </c>
      <c r="K530" s="19" t="n">
        <f aca="false">IFERROR(INDEX(المرجع!$F$2:$F$19,MATCH($I530,المرجع!$E$2:$E$19,0)),"")</f>
        <v>1</v>
      </c>
      <c r="L530" s="19" t="n">
        <f aca="false">SUMIFS(المرجع!$H$2:$H$19,المرجع!$B$2:$B$19,$G530,المرجع!$E$2:$E$19,$I530)</f>
        <v>1</v>
      </c>
      <c r="M530" s="19" t="n">
        <f aca="false">COUNTIFS('المرتبطة بسمو الوزير'!$B$2:$B$151,$B530,'المرتبطة بسمو الوزير'!$G$2:$G$151,$G530,'المرتبطة بسمو الوزير'!$I$2:$I$151,$I530,'المرتبطة بسمو الوزير'!$M$2:$M$151,"&lt;&gt;")+COUNTIFS('الشؤون التنفيذية'!$B$2:$B$421,$B530,'الشؤون التنفيذية'!$G$2:$G$421,$G530,'الشؤون التنفيذية'!$I$2:$I$421,$I530,'الشؤون التنفيذية'!$N$2:$N$421,"&lt;&gt;")+COUNTIFS('الجهاز العسكري'!$B$2:$B$631,$B530,'الجهاز العسكري'!$G$2:$G$631,$G530,'الجهاز العسكري'!$I$2:$I$631,$I530,'الجهاز العسكري'!$M$2:$M$631,"&lt;&gt;")</f>
        <v>1</v>
      </c>
      <c r="N530" s="24" t="n">
        <f aca="false">IF($L530=0,0,ROUND((SUMIFS('المرتبطة بسمو الوزير'!$M$2:$M$151,'المرتبطة بسمو الوزير'!$B$2:$B$151,$B530,'المرتبطة بسمو الوزير'!$G$2:$G$151,$G530,'المرتبطة بسمو الوزير'!$I$2:$I$151,$I530)+SUMIFS('الشؤون التنفيذية'!$N$2:$N$421,'الشؤون التنفيذية'!$B$2:$B$421,$B530,'الشؤون التنفيذية'!$G$2:$G$421,$G530,'الشؤون التنفيذية'!$I$2:$I$421,$I530)+SUMIFS('الجهاز العسكري'!$M$2:$M$631,'الجهاز العسكري'!$B$2:$B$631,$B530,'الجهاز العسكري'!$G$2:$G$631,$G530,'الجهاز العسكري'!$I$2:$I$631,$I530))/$L530,0))</f>
        <v>53</v>
      </c>
      <c r="O530" s="25" t="n">
        <f aca="false">IF($L530=0,0,ROUND((SUMIFS('المرتبطة بسمو الوزير'!$N$2:$N$151,'المرتبطة بسمو الوزير'!$B$2:$B$151,$B530,'المرتبطة بسمو الوزير'!$G$2:$G$151,$G530,'المرتبطة بسمو الوزير'!$I$2:$I$151,$I530)+SUMIFS('الشؤون التنفيذية'!$O$2:$O$421,'الشؤون التنفيذية'!$B$2:$B$421,$B530,'الشؤون التنفيذية'!$G$2:$G$421,$G530,'الشؤون التنفيذية'!$I$2:$I$421,$I530)+SUMIFS('الجهاز العسكري'!$N$2:$N$631,'الجهاز العسكري'!$B$2:$B$631,$B530,'الجهاز العسكري'!$G$2:$G$631,$G530,'الجهاز العسكري'!$I$2:$I$631,$I530))/$L530,0))</f>
        <v>100</v>
      </c>
      <c r="P530" s="22"/>
      <c r="Q530" s="19" t="n">
        <f aca="false">SUMIFS(المرجع!$G$2:$G$19,المرجع!$B$2:$B$19,$G530,المرجع!$E$2:$E$19,$I530)</f>
        <v>15</v>
      </c>
      <c r="R530" s="26" t="n">
        <f aca="false">ROUND($Q530*$N530/100,2)</f>
        <v>7.95</v>
      </c>
      <c r="S530" s="27" t="str">
        <f aca="false">IF($N530&gt;المرجع!$K$3,"متقدم",IF($N530&lt;=المرجع!$K$2,"أولي","جزئي"))</f>
        <v>جزئي</v>
      </c>
      <c r="T530" s="28" t="n">
        <f aca="false">ROUND($Q530*$O530/100,2)</f>
        <v>15</v>
      </c>
    </row>
    <row r="531" customFormat="false" ht="15" hidden="false" customHeight="true" outlineLevel="0" collapsed="false">
      <c r="A531" s="20" t="s">
        <v>1983</v>
      </c>
      <c r="B531" s="20" t="s">
        <v>216</v>
      </c>
      <c r="C531" s="19" t="str">
        <f aca="false">IFERROR(INDEX('قائمة الوحدات'!$B$2:$B$41,MATCH($B531,'قائمة الوحدات'!$A$2:$A$41,0)),"")</f>
        <v>MIL</v>
      </c>
      <c r="D531" s="18" t="str">
        <f aca="false">IFERROR(INDEX('قائمة الوحدات'!$C$2:$C$41,MATCH($B531,'قائمة الوحدات'!$A$2:$A$41,0)),"")</f>
        <v>الجهاز العسكري</v>
      </c>
      <c r="E531" s="18" t="str">
        <f aca="false">IFERROR(INDEX('قائمة الوحدات'!$D$2:$D$41,MATCH($B531,'قائمة الوحدات'!$A$2:$A$41,0)),"")</f>
        <v>الإدارة العامة للاتصالات وتقنية المعلومات العسكرية</v>
      </c>
      <c r="F531" s="18" t="str">
        <f aca="false">IFERROR(INDEX('قائمة الوحدات'!$F$2:$F$41,MATCH($B531,'قائمة الوحدات'!$A$2:$A$41,0)),"")</f>
        <v>الإدارة العامة للاتصالات وتقنية المعلومات العسكرية</v>
      </c>
      <c r="G531" s="20" t="s">
        <v>62</v>
      </c>
      <c r="H531" s="18" t="str">
        <f aca="false">IFERROR(INDEX(المرجع!$A$2:$A$19,MATCH($G531,المرجع!$B$2:$B$19,0)),"")</f>
        <v>البناء المؤسسي</v>
      </c>
      <c r="I531" s="20" t="s">
        <v>49</v>
      </c>
      <c r="J531" s="18" t="str">
        <f aca="false">IFERROR(INDEX(المرجع!$D$2:$D$19,MATCH($I531,المرجع!$E$2:$E$19,0)),"")</f>
        <v>الأهداف ومؤشرات الأداء</v>
      </c>
      <c r="K531" s="19" t="n">
        <f aca="false">IFERROR(INDEX(المرجع!$F$2:$F$19,MATCH($I531,المرجع!$E$2:$E$19,0)),"")</f>
        <v>2</v>
      </c>
      <c r="L531" s="19" t="n">
        <f aca="false">SUMIFS(المرجع!$H$2:$H$19,المرجع!$B$2:$B$19,$G531,المرجع!$E$2:$E$19,$I531)</f>
        <v>2</v>
      </c>
      <c r="M531" s="19" t="n">
        <f aca="false">COUNTIFS('المرتبطة بسمو الوزير'!$B$2:$B$151,$B531,'المرتبطة بسمو الوزير'!$G$2:$G$151,$G531,'المرتبطة بسمو الوزير'!$I$2:$I$151,$I531,'المرتبطة بسمو الوزير'!$M$2:$M$151,"&lt;&gt;")+COUNTIFS('الشؤون التنفيذية'!$B$2:$B$421,$B531,'الشؤون التنفيذية'!$G$2:$G$421,$G531,'الشؤون التنفيذية'!$I$2:$I$421,$I531,'الشؤون التنفيذية'!$N$2:$N$421,"&lt;&gt;")+COUNTIFS('الجهاز العسكري'!$B$2:$B$631,$B531,'الجهاز العسكري'!$G$2:$G$631,$G531,'الجهاز العسكري'!$I$2:$I$631,$I531,'الجهاز العسكري'!$M$2:$M$631,"&lt;&gt;")</f>
        <v>2</v>
      </c>
      <c r="N531" s="24" t="n">
        <f aca="false">IF($L531=0,0,ROUND((SUMIFS('المرتبطة بسمو الوزير'!$M$2:$M$151,'المرتبطة بسمو الوزير'!$B$2:$B$151,$B531,'المرتبطة بسمو الوزير'!$G$2:$G$151,$G531,'المرتبطة بسمو الوزير'!$I$2:$I$151,$I531)+SUMIFS('الشؤون التنفيذية'!$N$2:$N$421,'الشؤون التنفيذية'!$B$2:$B$421,$B531,'الشؤون التنفيذية'!$G$2:$G$421,$G531,'الشؤون التنفيذية'!$I$2:$I$421,$I531)+SUMIFS('الجهاز العسكري'!$M$2:$M$631,'الجهاز العسكري'!$B$2:$B$631,$B531,'الجهاز العسكري'!$G$2:$G$631,$G531,'الجهاز العسكري'!$I$2:$I$631,$I531))/$L531,0))</f>
        <v>70</v>
      </c>
      <c r="O531" s="25" t="n">
        <f aca="false">IF($L531=0,0,ROUND((SUMIFS('المرتبطة بسمو الوزير'!$N$2:$N$151,'المرتبطة بسمو الوزير'!$B$2:$B$151,$B531,'المرتبطة بسمو الوزير'!$G$2:$G$151,$G531,'المرتبطة بسمو الوزير'!$I$2:$I$151,$I531)+SUMIFS('الشؤون التنفيذية'!$O$2:$O$421,'الشؤون التنفيذية'!$B$2:$B$421,$B531,'الشؤون التنفيذية'!$G$2:$G$421,$G531,'الشؤون التنفيذية'!$I$2:$I$421,$I531)+SUMIFS('الجهاز العسكري'!$N$2:$N$631,'الجهاز العسكري'!$B$2:$B$631,$B531,'الجهاز العسكري'!$G$2:$G$631,$G531,'الجهاز العسكري'!$I$2:$I$631,$I531))/$L531,0))</f>
        <v>83</v>
      </c>
      <c r="P531" s="22"/>
      <c r="Q531" s="19" t="n">
        <f aca="false">SUMIFS(المرجع!$G$2:$G$19,المرجع!$B$2:$B$19,$G531,المرجع!$E$2:$E$19,$I531)</f>
        <v>15</v>
      </c>
      <c r="R531" s="26" t="n">
        <f aca="false">ROUND($Q531*$N531/100,2)</f>
        <v>10.5</v>
      </c>
      <c r="S531" s="27" t="str">
        <f aca="false">IF($N531&gt;المرجع!$K$3,"متقدم",IF($N531&lt;=المرجع!$K$2,"أولي","جزئي"))</f>
        <v>جزئي</v>
      </c>
      <c r="T531" s="28" t="n">
        <f aca="false">ROUND($Q531*$O531/100,2)</f>
        <v>12.45</v>
      </c>
    </row>
    <row r="532" customFormat="false" ht="15" hidden="false" customHeight="true" outlineLevel="0" collapsed="false">
      <c r="A532" s="20" t="s">
        <v>1984</v>
      </c>
      <c r="B532" s="20" t="s">
        <v>216</v>
      </c>
      <c r="C532" s="19" t="str">
        <f aca="false">IFERROR(INDEX('قائمة الوحدات'!$B$2:$B$41,MATCH($B532,'قائمة الوحدات'!$A$2:$A$41,0)),"")</f>
        <v>MIL</v>
      </c>
      <c r="D532" s="18" t="str">
        <f aca="false">IFERROR(INDEX('قائمة الوحدات'!$C$2:$C$41,MATCH($B532,'قائمة الوحدات'!$A$2:$A$41,0)),"")</f>
        <v>الجهاز العسكري</v>
      </c>
      <c r="E532" s="18" t="str">
        <f aca="false">IFERROR(INDEX('قائمة الوحدات'!$D$2:$D$41,MATCH($B532,'قائمة الوحدات'!$A$2:$A$41,0)),"")</f>
        <v>الإدارة العامة للاتصالات وتقنية المعلومات العسكرية</v>
      </c>
      <c r="F532" s="18" t="str">
        <f aca="false">IFERROR(INDEX('قائمة الوحدات'!$F$2:$F$41,MATCH($B532,'قائمة الوحدات'!$A$2:$A$41,0)),"")</f>
        <v>الإدارة العامة للاتصالات وتقنية المعلومات العسكرية</v>
      </c>
      <c r="G532" s="20" t="s">
        <v>62</v>
      </c>
      <c r="H532" s="18" t="str">
        <f aca="false">IFERROR(INDEX(المرجع!$A$2:$A$19,MATCH($G532,المرجع!$B$2:$B$19,0)),"")</f>
        <v>البناء المؤسسي</v>
      </c>
      <c r="I532" s="20" t="s">
        <v>52</v>
      </c>
      <c r="J532" s="18" t="str">
        <f aca="false">IFERROR(INDEX(المرجع!$D$2:$D$19,MATCH($I532,المرجع!$E$2:$E$19,0)),"")</f>
        <v>الحوكمة</v>
      </c>
      <c r="K532" s="19" t="n">
        <f aca="false">IFERROR(INDEX(المرجع!$F$2:$F$19,MATCH($I532,المرجع!$E$2:$E$19,0)),"")</f>
        <v>3</v>
      </c>
      <c r="L532" s="19" t="n">
        <f aca="false">SUMIFS(المرجع!$H$2:$H$19,المرجع!$B$2:$B$19,$G532,المرجع!$E$2:$E$19,$I532)</f>
        <v>3</v>
      </c>
      <c r="M532" s="19" t="n">
        <f aca="false">COUNTIFS('المرتبطة بسمو الوزير'!$B$2:$B$151,$B532,'المرتبطة بسمو الوزير'!$G$2:$G$151,$G532,'المرتبطة بسمو الوزير'!$I$2:$I$151,$I532,'المرتبطة بسمو الوزير'!$M$2:$M$151,"&lt;&gt;")+COUNTIFS('الشؤون التنفيذية'!$B$2:$B$421,$B532,'الشؤون التنفيذية'!$G$2:$G$421,$G532,'الشؤون التنفيذية'!$I$2:$I$421,$I532,'الشؤون التنفيذية'!$N$2:$N$421,"&lt;&gt;")+COUNTIFS('الجهاز العسكري'!$B$2:$B$631,$B532,'الجهاز العسكري'!$G$2:$G$631,$G532,'الجهاز العسكري'!$I$2:$I$631,$I532,'الجهاز العسكري'!$M$2:$M$631,"&lt;&gt;")</f>
        <v>3</v>
      </c>
      <c r="N532" s="24" t="n">
        <f aca="false">IF($L532=0,0,ROUND((SUMIFS('المرتبطة بسمو الوزير'!$M$2:$M$151,'المرتبطة بسمو الوزير'!$B$2:$B$151,$B532,'المرتبطة بسمو الوزير'!$G$2:$G$151,$G532,'المرتبطة بسمو الوزير'!$I$2:$I$151,$I532)+SUMIFS('الشؤون التنفيذية'!$N$2:$N$421,'الشؤون التنفيذية'!$B$2:$B$421,$B532,'الشؤون التنفيذية'!$G$2:$G$421,$G532,'الشؤون التنفيذية'!$I$2:$I$421,$I532)+SUMIFS('الجهاز العسكري'!$M$2:$M$631,'الجهاز العسكري'!$B$2:$B$631,$B532,'الجهاز العسكري'!$G$2:$G$631,$G532,'الجهاز العسكري'!$I$2:$I$631,$I532))/$L532,0))</f>
        <v>85</v>
      </c>
      <c r="O532" s="25" t="n">
        <f aca="false">IF($L532=0,0,ROUND((SUMIFS('المرتبطة بسمو الوزير'!$N$2:$N$151,'المرتبطة بسمو الوزير'!$B$2:$B$151,$B532,'المرتبطة بسمو الوزير'!$G$2:$G$151,$G532,'المرتبطة بسمو الوزير'!$I$2:$I$151,$I532)+SUMIFS('الشؤون التنفيذية'!$O$2:$O$421,'الشؤون التنفيذية'!$B$2:$B$421,$B532,'الشؤون التنفيذية'!$G$2:$G$421,$G532,'الشؤون التنفيذية'!$I$2:$I$421,$I532)+SUMIFS('الجهاز العسكري'!$N$2:$N$631,'الجهاز العسكري'!$B$2:$B$631,$B532,'الجهاز العسكري'!$G$2:$G$631,$G532,'الجهاز العسكري'!$I$2:$I$631,$I532))/$L532,0))</f>
        <v>95</v>
      </c>
      <c r="P532" s="22"/>
      <c r="Q532" s="19" t="n">
        <f aca="false">SUMIFS(المرجع!$G$2:$G$19,المرجع!$B$2:$B$19,$G532,المرجع!$E$2:$E$19,$I532)</f>
        <v>15</v>
      </c>
      <c r="R532" s="26" t="n">
        <f aca="false">ROUND($Q532*$N532/100,2)</f>
        <v>12.75</v>
      </c>
      <c r="S532" s="27" t="str">
        <f aca="false">IF($N532&gt;المرجع!$K$3,"متقدم",IF($N532&lt;=المرجع!$K$2,"أولي","جزئي"))</f>
        <v>متقدم</v>
      </c>
      <c r="T532" s="28" t="n">
        <f aca="false">ROUND($Q532*$O532/100,2)</f>
        <v>14.25</v>
      </c>
    </row>
    <row r="533" customFormat="false" ht="15" hidden="false" customHeight="true" outlineLevel="0" collapsed="false">
      <c r="A533" s="20" t="s">
        <v>1985</v>
      </c>
      <c r="B533" s="20" t="s">
        <v>216</v>
      </c>
      <c r="C533" s="19" t="str">
        <f aca="false">IFERROR(INDEX('قائمة الوحدات'!$B$2:$B$41,MATCH($B533,'قائمة الوحدات'!$A$2:$A$41,0)),"")</f>
        <v>MIL</v>
      </c>
      <c r="D533" s="18" t="str">
        <f aca="false">IFERROR(INDEX('قائمة الوحدات'!$C$2:$C$41,MATCH($B533,'قائمة الوحدات'!$A$2:$A$41,0)),"")</f>
        <v>الجهاز العسكري</v>
      </c>
      <c r="E533" s="18" t="str">
        <f aca="false">IFERROR(INDEX('قائمة الوحدات'!$D$2:$D$41,MATCH($B533,'قائمة الوحدات'!$A$2:$A$41,0)),"")</f>
        <v>الإدارة العامة للاتصالات وتقنية المعلومات العسكرية</v>
      </c>
      <c r="F533" s="18" t="str">
        <f aca="false">IFERROR(INDEX('قائمة الوحدات'!$F$2:$F$41,MATCH($B533,'قائمة الوحدات'!$A$2:$A$41,0)),"")</f>
        <v>الإدارة العامة للاتصالات وتقنية المعلومات العسكرية</v>
      </c>
      <c r="G533" s="20" t="s">
        <v>62</v>
      </c>
      <c r="H533" s="18" t="str">
        <f aca="false">IFERROR(INDEX(المرجع!$A$2:$A$19,MATCH($G533,المرجع!$B$2:$B$19,0)),"")</f>
        <v>البناء المؤسسي</v>
      </c>
      <c r="I533" s="20" t="s">
        <v>55</v>
      </c>
      <c r="J533" s="18" t="str">
        <f aca="false">IFERROR(INDEX(المرجع!$D$2:$D$19,MATCH($I533,المرجع!$E$2:$E$19,0)),"")</f>
        <v>التنظيم</v>
      </c>
      <c r="K533" s="19" t="n">
        <f aca="false">IFERROR(INDEX(المرجع!$F$2:$F$19,MATCH($I533,المرجع!$E$2:$E$19,0)),"")</f>
        <v>4</v>
      </c>
      <c r="L533" s="19" t="n">
        <f aca="false">SUMIFS(المرجع!$H$2:$H$19,المرجع!$B$2:$B$19,$G533,المرجع!$E$2:$E$19,$I533)</f>
        <v>3</v>
      </c>
      <c r="M533" s="19" t="n">
        <f aca="false">COUNTIFS('المرتبطة بسمو الوزير'!$B$2:$B$151,$B533,'المرتبطة بسمو الوزير'!$G$2:$G$151,$G533,'المرتبطة بسمو الوزير'!$I$2:$I$151,$I533,'المرتبطة بسمو الوزير'!$M$2:$M$151,"&lt;&gt;")+COUNTIFS('الشؤون التنفيذية'!$B$2:$B$421,$B533,'الشؤون التنفيذية'!$G$2:$G$421,$G533,'الشؤون التنفيذية'!$I$2:$I$421,$I533,'الشؤون التنفيذية'!$N$2:$N$421,"&lt;&gt;")+COUNTIFS('الجهاز العسكري'!$B$2:$B$631,$B533,'الجهاز العسكري'!$G$2:$G$631,$G533,'الجهاز العسكري'!$I$2:$I$631,$I533,'الجهاز العسكري'!$M$2:$M$631,"&lt;&gt;")</f>
        <v>3</v>
      </c>
      <c r="N533" s="24" t="n">
        <f aca="false">IF($L533=0,0,ROUND((SUMIFS('المرتبطة بسمو الوزير'!$M$2:$M$151,'المرتبطة بسمو الوزير'!$B$2:$B$151,$B533,'المرتبطة بسمو الوزير'!$G$2:$G$151,$G533,'المرتبطة بسمو الوزير'!$I$2:$I$151,$I533)+SUMIFS('الشؤون التنفيذية'!$N$2:$N$421,'الشؤون التنفيذية'!$B$2:$B$421,$B533,'الشؤون التنفيذية'!$G$2:$G$421,$G533,'الشؤون التنفيذية'!$I$2:$I$421,$I533)+SUMIFS('الجهاز العسكري'!$M$2:$M$631,'الجهاز العسكري'!$B$2:$B$631,$B533,'الجهاز العسكري'!$G$2:$G$631,$G533,'الجهاز العسكري'!$I$2:$I$631,$I533))/$L533,0))</f>
        <v>55</v>
      </c>
      <c r="O533" s="25" t="n">
        <f aca="false">IF($L533=0,0,ROUND((SUMIFS('المرتبطة بسمو الوزير'!$N$2:$N$151,'المرتبطة بسمو الوزير'!$B$2:$B$151,$B533,'المرتبطة بسمو الوزير'!$G$2:$G$151,$G533,'المرتبطة بسمو الوزير'!$I$2:$I$151,$I533)+SUMIFS('الشؤون التنفيذية'!$O$2:$O$421,'الشؤون التنفيذية'!$B$2:$B$421,$B533,'الشؤون التنفيذية'!$G$2:$G$421,$G533,'الشؤون التنفيذية'!$I$2:$I$421,$I533)+SUMIFS('الجهاز العسكري'!$N$2:$N$631,'الجهاز العسكري'!$B$2:$B$631,$B533,'الجهاز العسكري'!$G$2:$G$631,$G533,'الجهاز العسكري'!$I$2:$I$631,$I533))/$L533,0))</f>
        <v>90</v>
      </c>
      <c r="P533" s="22"/>
      <c r="Q533" s="19" t="n">
        <f aca="false">SUMIFS(المرجع!$G$2:$G$19,المرجع!$B$2:$B$19,$G533,المرجع!$E$2:$E$19,$I533)</f>
        <v>20</v>
      </c>
      <c r="R533" s="26" t="n">
        <f aca="false">ROUND($Q533*$N533/100,2)</f>
        <v>11</v>
      </c>
      <c r="S533" s="27" t="str">
        <f aca="false">IF($N533&gt;المرجع!$K$3,"متقدم",IF($N533&lt;=المرجع!$K$2,"أولي","جزئي"))</f>
        <v>جزئي</v>
      </c>
      <c r="T533" s="28" t="n">
        <f aca="false">ROUND($Q533*$O533/100,2)</f>
        <v>18</v>
      </c>
    </row>
    <row r="534" customFormat="false" ht="15" hidden="false" customHeight="true" outlineLevel="0" collapsed="false">
      <c r="A534" s="20" t="s">
        <v>1986</v>
      </c>
      <c r="B534" s="20" t="s">
        <v>216</v>
      </c>
      <c r="C534" s="19" t="str">
        <f aca="false">IFERROR(INDEX('قائمة الوحدات'!$B$2:$B$41,MATCH($B534,'قائمة الوحدات'!$A$2:$A$41,0)),"")</f>
        <v>MIL</v>
      </c>
      <c r="D534" s="18" t="str">
        <f aca="false">IFERROR(INDEX('قائمة الوحدات'!$C$2:$C$41,MATCH($B534,'قائمة الوحدات'!$A$2:$A$41,0)),"")</f>
        <v>الجهاز العسكري</v>
      </c>
      <c r="E534" s="18" t="str">
        <f aca="false">IFERROR(INDEX('قائمة الوحدات'!$D$2:$D$41,MATCH($B534,'قائمة الوحدات'!$A$2:$A$41,0)),"")</f>
        <v>الإدارة العامة للاتصالات وتقنية المعلومات العسكرية</v>
      </c>
      <c r="F534" s="18" t="str">
        <f aca="false">IFERROR(INDEX('قائمة الوحدات'!$F$2:$F$41,MATCH($B534,'قائمة الوحدات'!$A$2:$A$41,0)),"")</f>
        <v>الإدارة العامة للاتصالات وتقنية المعلومات العسكرية</v>
      </c>
      <c r="G534" s="20" t="s">
        <v>62</v>
      </c>
      <c r="H534" s="18" t="str">
        <f aca="false">IFERROR(INDEX(المرجع!$A$2:$A$19,MATCH($G534,المرجع!$B$2:$B$19,0)),"")</f>
        <v>البناء المؤسسي</v>
      </c>
      <c r="I534" s="20" t="s">
        <v>57</v>
      </c>
      <c r="J534" s="18" t="str">
        <f aca="false">IFERROR(INDEX(المرجع!$D$2:$D$19,MATCH($I534,المرجع!$E$2:$E$19,0)),"")</f>
        <v>الموارد</v>
      </c>
      <c r="K534" s="19" t="n">
        <f aca="false">IFERROR(INDEX(المرجع!$F$2:$F$19,MATCH($I534,المرجع!$E$2:$E$19,0)),"")</f>
        <v>5</v>
      </c>
      <c r="L534" s="19" t="n">
        <f aca="false">SUMIFS(المرجع!$H$2:$H$19,المرجع!$B$2:$B$19,$G534,المرجع!$E$2:$E$19,$I534)</f>
        <v>4</v>
      </c>
      <c r="M534" s="19" t="n">
        <f aca="false">COUNTIFS('المرتبطة بسمو الوزير'!$B$2:$B$151,$B534,'المرتبطة بسمو الوزير'!$G$2:$G$151,$G534,'المرتبطة بسمو الوزير'!$I$2:$I$151,$I534,'المرتبطة بسمو الوزير'!$M$2:$M$151,"&lt;&gt;")+COUNTIFS('الشؤون التنفيذية'!$B$2:$B$421,$B534,'الشؤون التنفيذية'!$G$2:$G$421,$G534,'الشؤون التنفيذية'!$I$2:$I$421,$I534,'الشؤون التنفيذية'!$N$2:$N$421,"&lt;&gt;")+COUNTIFS('الجهاز العسكري'!$B$2:$B$631,$B534,'الجهاز العسكري'!$G$2:$G$631,$G534,'الجهاز العسكري'!$I$2:$I$631,$I534,'الجهاز العسكري'!$M$2:$M$631,"&lt;&gt;")</f>
        <v>4</v>
      </c>
      <c r="N534" s="24" t="n">
        <f aca="false">IF($L534=0,0,ROUND((SUMIFS('المرتبطة بسمو الوزير'!$M$2:$M$151,'المرتبطة بسمو الوزير'!$B$2:$B$151,$B534,'المرتبطة بسمو الوزير'!$G$2:$G$151,$G534,'المرتبطة بسمو الوزير'!$I$2:$I$151,$I534)+SUMIFS('الشؤون التنفيذية'!$N$2:$N$421,'الشؤون التنفيذية'!$B$2:$B$421,$B534,'الشؤون التنفيذية'!$G$2:$G$421,$G534,'الشؤون التنفيذية'!$I$2:$I$421,$I534)+SUMIFS('الجهاز العسكري'!$M$2:$M$631,'الجهاز العسكري'!$B$2:$B$631,$B534,'الجهاز العسكري'!$G$2:$G$631,$G534,'الجهاز العسكري'!$I$2:$I$631,$I534))/$L534,0))</f>
        <v>76</v>
      </c>
      <c r="O534" s="25" t="n">
        <f aca="false">IF($L534=0,0,ROUND((SUMIFS('المرتبطة بسمو الوزير'!$N$2:$N$151,'المرتبطة بسمو الوزير'!$B$2:$B$151,$B534,'المرتبطة بسمو الوزير'!$G$2:$G$151,$G534,'المرتبطة بسمو الوزير'!$I$2:$I$151,$I534)+SUMIFS('الشؤون التنفيذية'!$O$2:$O$421,'الشؤون التنفيذية'!$B$2:$B$421,$B534,'الشؤون التنفيذية'!$G$2:$G$421,$G534,'الشؤون التنفيذية'!$I$2:$I$421,$I534)+SUMIFS('الجهاز العسكري'!$N$2:$N$631,'الجهاز العسكري'!$B$2:$B$631,$B534,'الجهاز العسكري'!$G$2:$G$631,$G534,'الجهاز العسكري'!$I$2:$I$631,$I534))/$L534,0))</f>
        <v>95</v>
      </c>
      <c r="P534" s="22"/>
      <c r="Q534" s="19" t="n">
        <f aca="false">SUMIFS(المرجع!$G$2:$G$19,المرجع!$B$2:$B$19,$G534,المرجع!$E$2:$E$19,$I534)</f>
        <v>25</v>
      </c>
      <c r="R534" s="26" t="n">
        <f aca="false">ROUND($Q534*$N534/100,2)</f>
        <v>19</v>
      </c>
      <c r="S534" s="27" t="str">
        <f aca="false">IF($N534&gt;المرجع!$K$3,"متقدم",IF($N534&lt;=المرجع!$K$2,"أولي","جزئي"))</f>
        <v>متقدم</v>
      </c>
      <c r="T534" s="28" t="n">
        <f aca="false">ROUND($Q534*$O534/100,2)</f>
        <v>23.75</v>
      </c>
    </row>
    <row r="535" customFormat="false" ht="15" hidden="false" customHeight="true" outlineLevel="0" collapsed="false">
      <c r="A535" s="20" t="s">
        <v>1987</v>
      </c>
      <c r="B535" s="20" t="s">
        <v>216</v>
      </c>
      <c r="C535" s="19" t="str">
        <f aca="false">IFERROR(INDEX('قائمة الوحدات'!$B$2:$B$41,MATCH($B535,'قائمة الوحدات'!$A$2:$A$41,0)),"")</f>
        <v>MIL</v>
      </c>
      <c r="D535" s="18" t="str">
        <f aca="false">IFERROR(INDEX('قائمة الوحدات'!$C$2:$C$41,MATCH($B535,'قائمة الوحدات'!$A$2:$A$41,0)),"")</f>
        <v>الجهاز العسكري</v>
      </c>
      <c r="E535" s="18" t="str">
        <f aca="false">IFERROR(INDEX('قائمة الوحدات'!$D$2:$D$41,MATCH($B535,'قائمة الوحدات'!$A$2:$A$41,0)),"")</f>
        <v>الإدارة العامة للاتصالات وتقنية المعلومات العسكرية</v>
      </c>
      <c r="F535" s="18" t="str">
        <f aca="false">IFERROR(INDEX('قائمة الوحدات'!$F$2:$F$41,MATCH($B535,'قائمة الوحدات'!$A$2:$A$41,0)),"")</f>
        <v>الإدارة العامة للاتصالات وتقنية المعلومات العسكرية</v>
      </c>
      <c r="G535" s="20" t="s">
        <v>62</v>
      </c>
      <c r="H535" s="18" t="str">
        <f aca="false">IFERROR(INDEX(المرجع!$A$2:$A$19,MATCH($G535,المرجع!$B$2:$B$19,0)),"")</f>
        <v>البناء المؤسسي</v>
      </c>
      <c r="I535" s="20" t="s">
        <v>60</v>
      </c>
      <c r="J535" s="18" t="str">
        <f aca="false">IFERROR(INDEX(المرجع!$D$2:$D$19,MATCH($I535,المرجع!$E$2:$E$19,0)),"")</f>
        <v>الإجراءات</v>
      </c>
      <c r="K535" s="19" t="n">
        <f aca="false">IFERROR(INDEX(المرجع!$F$2:$F$19,MATCH($I535,المرجع!$E$2:$E$19,0)),"")</f>
        <v>6</v>
      </c>
      <c r="L535" s="19" t="n">
        <f aca="false">SUMIFS(المرجع!$H$2:$H$19,المرجع!$B$2:$B$19,$G535,المرجع!$E$2:$E$19,$I535)</f>
        <v>1</v>
      </c>
      <c r="M535" s="19" t="n">
        <f aca="false">COUNTIFS('المرتبطة بسمو الوزير'!$B$2:$B$151,$B535,'المرتبطة بسمو الوزير'!$G$2:$G$151,$G535,'المرتبطة بسمو الوزير'!$I$2:$I$151,$I535,'المرتبطة بسمو الوزير'!$M$2:$M$151,"&lt;&gt;")+COUNTIFS('الشؤون التنفيذية'!$B$2:$B$421,$B535,'الشؤون التنفيذية'!$G$2:$G$421,$G535,'الشؤون التنفيذية'!$I$2:$I$421,$I535,'الشؤون التنفيذية'!$N$2:$N$421,"&lt;&gt;")+COUNTIFS('الجهاز العسكري'!$B$2:$B$631,$B535,'الجهاز العسكري'!$G$2:$G$631,$G535,'الجهاز العسكري'!$I$2:$I$631,$I535,'الجهاز العسكري'!$M$2:$M$631,"&lt;&gt;")</f>
        <v>1</v>
      </c>
      <c r="N535" s="24" t="n">
        <f aca="false">IF($L535=0,0,ROUND((SUMIFS('المرتبطة بسمو الوزير'!$M$2:$M$151,'المرتبطة بسمو الوزير'!$B$2:$B$151,$B535,'المرتبطة بسمو الوزير'!$G$2:$G$151,$G535,'المرتبطة بسمو الوزير'!$I$2:$I$151,$I535)+SUMIFS('الشؤون التنفيذية'!$N$2:$N$421,'الشؤون التنفيذية'!$B$2:$B$421,$B535,'الشؤون التنفيذية'!$G$2:$G$421,$G535,'الشؤون التنفيذية'!$I$2:$I$421,$I535)+SUMIFS('الجهاز العسكري'!$M$2:$M$631,'الجهاز العسكري'!$B$2:$B$631,$B535,'الجهاز العسكري'!$G$2:$G$631,$G535,'الجهاز العسكري'!$I$2:$I$631,$I535))/$L535,0))</f>
        <v>77</v>
      </c>
      <c r="O535" s="25" t="n">
        <f aca="false">IF($L535=0,0,ROUND((SUMIFS('المرتبطة بسمو الوزير'!$N$2:$N$151,'المرتبطة بسمو الوزير'!$B$2:$B$151,$B535,'المرتبطة بسمو الوزير'!$G$2:$G$151,$G535,'المرتبطة بسمو الوزير'!$I$2:$I$151,$I535)+SUMIFS('الشؤون التنفيذية'!$O$2:$O$421,'الشؤون التنفيذية'!$B$2:$B$421,$B535,'الشؤون التنفيذية'!$G$2:$G$421,$G535,'الشؤون التنفيذية'!$I$2:$I$421,$I535)+SUMIFS('الجهاز العسكري'!$N$2:$N$631,'الجهاز العسكري'!$B$2:$B$631,$B535,'الجهاز العسكري'!$G$2:$G$631,$G535,'الجهاز العسكري'!$I$2:$I$631,$I535))/$L535,0))</f>
        <v>90</v>
      </c>
      <c r="P535" s="22"/>
      <c r="Q535" s="19" t="n">
        <f aca="false">SUMIFS(المرجع!$G$2:$G$19,المرجع!$B$2:$B$19,$G535,المرجع!$E$2:$E$19,$I535)</f>
        <v>5</v>
      </c>
      <c r="R535" s="26" t="n">
        <f aca="false">ROUND($Q535*$N535/100,2)</f>
        <v>3.85</v>
      </c>
      <c r="S535" s="27" t="str">
        <f aca="false">IF($N535&gt;المرجع!$K$3,"متقدم",IF($N535&lt;=المرجع!$K$2,"أولي","جزئي"))</f>
        <v>متقدم</v>
      </c>
      <c r="T535" s="28" t="n">
        <f aca="false">ROUND($Q535*$O535/100,2)</f>
        <v>4.5</v>
      </c>
    </row>
    <row r="536" customFormat="false" ht="15" hidden="false" customHeight="true" outlineLevel="0" collapsed="false">
      <c r="A536" s="20" t="s">
        <v>1988</v>
      </c>
      <c r="B536" s="20" t="s">
        <v>216</v>
      </c>
      <c r="C536" s="19" t="str">
        <f aca="false">IFERROR(INDEX('قائمة الوحدات'!$B$2:$B$41,MATCH($B536,'قائمة الوحدات'!$A$2:$A$41,0)),"")</f>
        <v>MIL</v>
      </c>
      <c r="D536" s="18" t="str">
        <f aca="false">IFERROR(INDEX('قائمة الوحدات'!$C$2:$C$41,MATCH($B536,'قائمة الوحدات'!$A$2:$A$41,0)),"")</f>
        <v>الجهاز العسكري</v>
      </c>
      <c r="E536" s="18" t="str">
        <f aca="false">IFERROR(INDEX('قائمة الوحدات'!$D$2:$D$41,MATCH($B536,'قائمة الوحدات'!$A$2:$A$41,0)),"")</f>
        <v>الإدارة العامة للاتصالات وتقنية المعلومات العسكرية</v>
      </c>
      <c r="F536" s="18" t="str">
        <f aca="false">IFERROR(INDEX('قائمة الوحدات'!$F$2:$F$41,MATCH($B536,'قائمة الوحدات'!$A$2:$A$41,0)),"")</f>
        <v>الإدارة العامة للاتصالات وتقنية المعلومات العسكرية</v>
      </c>
      <c r="G536" s="20" t="s">
        <v>62</v>
      </c>
      <c r="H536" s="18" t="str">
        <f aca="false">IFERROR(INDEX(المرجع!$A$2:$A$19,MATCH($G536,المرجع!$B$2:$B$19,0)),"")</f>
        <v>البناء المؤسسي</v>
      </c>
      <c r="I536" s="20" t="s">
        <v>69</v>
      </c>
      <c r="J536" s="18" t="str">
        <f aca="false">IFERROR(INDEX(المرجع!$D$2:$D$19,MATCH($I536,المرجع!$E$2:$E$19,0)),"")</f>
        <v>إنتاج المخرج الأول</v>
      </c>
      <c r="K536" s="19" t="n">
        <f aca="false">IFERROR(INDEX(المرجع!$F$2:$F$19,MATCH($I536,المرجع!$E$2:$E$19,0)),"")</f>
        <v>7</v>
      </c>
      <c r="L536" s="19" t="n">
        <f aca="false">SUMIFS(المرجع!$H$2:$H$19,المرجع!$B$2:$B$19,$G536,المرجع!$E$2:$E$19,$I536)</f>
        <v>1</v>
      </c>
      <c r="M536" s="19" t="n">
        <f aca="false">COUNTIFS('المرتبطة بسمو الوزير'!$B$2:$B$151,$B536,'المرتبطة بسمو الوزير'!$G$2:$G$151,$G536,'المرتبطة بسمو الوزير'!$I$2:$I$151,$I536,'المرتبطة بسمو الوزير'!$M$2:$M$151,"&lt;&gt;")+COUNTIFS('الشؤون التنفيذية'!$B$2:$B$421,$B536,'الشؤون التنفيذية'!$G$2:$G$421,$G536,'الشؤون التنفيذية'!$I$2:$I$421,$I536,'الشؤون التنفيذية'!$N$2:$N$421,"&lt;&gt;")+COUNTIFS('الجهاز العسكري'!$B$2:$B$631,$B536,'الجهاز العسكري'!$G$2:$G$631,$G536,'الجهاز العسكري'!$I$2:$I$631,$I536,'الجهاز العسكري'!$M$2:$M$631,"&lt;&gt;")</f>
        <v>1</v>
      </c>
      <c r="N536" s="24" t="n">
        <f aca="false">IF($L536=0,0,ROUND((SUMIFS('المرتبطة بسمو الوزير'!$M$2:$M$151,'المرتبطة بسمو الوزير'!$B$2:$B$151,$B536,'المرتبطة بسمو الوزير'!$G$2:$G$151,$G536,'المرتبطة بسمو الوزير'!$I$2:$I$151,$I536)+SUMIFS('الشؤون التنفيذية'!$N$2:$N$421,'الشؤون التنفيذية'!$B$2:$B$421,$B536,'الشؤون التنفيذية'!$G$2:$G$421,$G536,'الشؤون التنفيذية'!$I$2:$I$421,$I536)+SUMIFS('الجهاز العسكري'!$M$2:$M$631,'الجهاز العسكري'!$B$2:$B$631,$B536,'الجهاز العسكري'!$G$2:$G$631,$G536,'الجهاز العسكري'!$I$2:$I$631,$I536))/$L536,0))</f>
        <v>83</v>
      </c>
      <c r="O536" s="25" t="n">
        <f aca="false">IF($L536=0,0,ROUND((SUMIFS('المرتبطة بسمو الوزير'!$N$2:$N$151,'المرتبطة بسمو الوزير'!$B$2:$B$151,$B536,'المرتبطة بسمو الوزير'!$G$2:$G$151,$G536,'المرتبطة بسمو الوزير'!$I$2:$I$151,$I536)+SUMIFS('الشؤون التنفيذية'!$O$2:$O$421,'الشؤون التنفيذية'!$B$2:$B$421,$B536,'الشؤون التنفيذية'!$G$2:$G$421,$G536,'الشؤون التنفيذية'!$I$2:$I$421,$I536)+SUMIFS('الجهاز العسكري'!$N$2:$N$631,'الجهاز العسكري'!$B$2:$B$631,$B536,'الجهاز العسكري'!$G$2:$G$631,$G536,'الجهاز العسكري'!$I$2:$I$631,$I536))/$L536,0))</f>
        <v>100</v>
      </c>
      <c r="P536" s="22"/>
      <c r="Q536" s="19" t="n">
        <f aca="false">SUMIFS(المرجع!$G$2:$G$19,المرجع!$B$2:$B$19,$G536,المرجع!$E$2:$E$19,$I536)</f>
        <v>5</v>
      </c>
      <c r="R536" s="26" t="n">
        <f aca="false">ROUND($Q536*$N536/100,2)</f>
        <v>4.15</v>
      </c>
      <c r="S536" s="27" t="str">
        <f aca="false">IF($N536&gt;المرجع!$K$3,"متقدم",IF($N536&lt;=المرجع!$K$2,"أولي","جزئي"))</f>
        <v>متقدم</v>
      </c>
      <c r="T536" s="28" t="n">
        <f aca="false">ROUND($Q536*$O536/100,2)</f>
        <v>5</v>
      </c>
    </row>
    <row r="537" customFormat="false" ht="15" hidden="false" customHeight="true" outlineLevel="0" collapsed="false">
      <c r="A537" s="20" t="s">
        <v>1989</v>
      </c>
      <c r="B537" s="20" t="s">
        <v>216</v>
      </c>
      <c r="C537" s="19" t="str">
        <f aca="false">IFERROR(INDEX('قائمة الوحدات'!$B$2:$B$41,MATCH($B537,'قائمة الوحدات'!$A$2:$A$41,0)),"")</f>
        <v>MIL</v>
      </c>
      <c r="D537" s="18" t="str">
        <f aca="false">IFERROR(INDEX('قائمة الوحدات'!$C$2:$C$41,MATCH($B537,'قائمة الوحدات'!$A$2:$A$41,0)),"")</f>
        <v>الجهاز العسكري</v>
      </c>
      <c r="E537" s="18" t="str">
        <f aca="false">IFERROR(INDEX('قائمة الوحدات'!$D$2:$D$41,MATCH($B537,'قائمة الوحدات'!$A$2:$A$41,0)),"")</f>
        <v>الإدارة العامة للاتصالات وتقنية المعلومات العسكرية</v>
      </c>
      <c r="F537" s="18" t="str">
        <f aca="false">IFERROR(INDEX('قائمة الوحدات'!$F$2:$F$41,MATCH($B537,'قائمة الوحدات'!$A$2:$A$41,0)),"")</f>
        <v>الإدارة العامة للاتصالات وتقنية المعلومات العسكرية</v>
      </c>
      <c r="G537" s="20" t="s">
        <v>66</v>
      </c>
      <c r="H537" s="18" t="str">
        <f aca="false">IFERROR(INDEX(المرجع!$A$2:$A$19,MATCH($G537,المرجع!$B$2:$B$19,0)),"")</f>
        <v>التشغيل</v>
      </c>
      <c r="I537" s="20" t="s">
        <v>49</v>
      </c>
      <c r="J537" s="18" t="str">
        <f aca="false">IFERROR(INDEX(المرجع!$D$2:$D$19,MATCH($I537,المرجع!$E$2:$E$19,0)),"")</f>
        <v>الأهداف ومؤشرات الأداء</v>
      </c>
      <c r="K537" s="19" t="n">
        <f aca="false">IFERROR(INDEX(المرجع!$F$2:$F$19,MATCH($I537,المرجع!$E$2:$E$19,0)),"")</f>
        <v>2</v>
      </c>
      <c r="L537" s="19" t="n">
        <f aca="false">SUMIFS(المرجع!$H$2:$H$19,المرجع!$B$2:$B$19,$G537,المرجع!$E$2:$E$19,$I537)</f>
        <v>2</v>
      </c>
      <c r="M537" s="19" t="n">
        <f aca="false">COUNTIFS('المرتبطة بسمو الوزير'!$B$2:$B$151,$B537,'المرتبطة بسمو الوزير'!$G$2:$G$151,$G537,'المرتبطة بسمو الوزير'!$I$2:$I$151,$I537,'المرتبطة بسمو الوزير'!$M$2:$M$151,"&lt;&gt;")+COUNTIFS('الشؤون التنفيذية'!$B$2:$B$421,$B537,'الشؤون التنفيذية'!$G$2:$G$421,$G537,'الشؤون التنفيذية'!$I$2:$I$421,$I537,'الشؤون التنفيذية'!$N$2:$N$421,"&lt;&gt;")+COUNTIFS('الجهاز العسكري'!$B$2:$B$631,$B537,'الجهاز العسكري'!$G$2:$G$631,$G537,'الجهاز العسكري'!$I$2:$I$631,$I537,'الجهاز العسكري'!$M$2:$M$631,"&lt;&gt;")</f>
        <v>2</v>
      </c>
      <c r="N537" s="24" t="n">
        <f aca="false">IF($L537=0,0,ROUND((SUMIFS('المرتبطة بسمو الوزير'!$M$2:$M$151,'المرتبطة بسمو الوزير'!$B$2:$B$151,$B537,'المرتبطة بسمو الوزير'!$G$2:$G$151,$G537,'المرتبطة بسمو الوزير'!$I$2:$I$151,$I537)+SUMIFS('الشؤون التنفيذية'!$N$2:$N$421,'الشؤون التنفيذية'!$B$2:$B$421,$B537,'الشؤون التنفيذية'!$G$2:$G$421,$G537,'الشؤون التنفيذية'!$I$2:$I$421,$I537)+SUMIFS('الجهاز العسكري'!$M$2:$M$631,'الجهاز العسكري'!$B$2:$B$631,$B537,'الجهاز العسكري'!$G$2:$G$631,$G537,'الجهاز العسكري'!$I$2:$I$631,$I537))/$L537,0))</f>
        <v>38</v>
      </c>
      <c r="O537" s="25" t="n">
        <f aca="false">IF($L537=0,0,ROUND((SUMIFS('المرتبطة بسمو الوزير'!$N$2:$N$151,'المرتبطة بسمو الوزير'!$B$2:$B$151,$B537,'المرتبطة بسمو الوزير'!$G$2:$G$151,$G537,'المرتبطة بسمو الوزير'!$I$2:$I$151,$I537)+SUMIFS('الشؤون التنفيذية'!$O$2:$O$421,'الشؤون التنفيذية'!$B$2:$B$421,$B537,'الشؤون التنفيذية'!$G$2:$G$421,$G537,'الشؤون التنفيذية'!$I$2:$I$421,$I537)+SUMIFS('الجهاز العسكري'!$N$2:$N$631,'الجهاز العسكري'!$B$2:$B$631,$B537,'الجهاز العسكري'!$G$2:$G$631,$G537,'الجهاز العسكري'!$I$2:$I$631,$I537))/$L537,0))</f>
        <v>95</v>
      </c>
      <c r="P537" s="22"/>
      <c r="Q537" s="19" t="n">
        <f aca="false">SUMIFS(المرجع!$G$2:$G$19,المرجع!$B$2:$B$19,$G537,المرجع!$E$2:$E$19,$I537)</f>
        <v>25</v>
      </c>
      <c r="R537" s="26" t="n">
        <f aca="false">ROUND($Q537*$N537/100,2)</f>
        <v>9.5</v>
      </c>
      <c r="S537" s="27" t="str">
        <f aca="false">IF($N537&gt;المرجع!$K$3,"متقدم",IF($N537&lt;=المرجع!$K$2,"أولي","جزئي"))</f>
        <v>جزئي</v>
      </c>
      <c r="T537" s="28" t="n">
        <f aca="false">ROUND($Q537*$O537/100,2)</f>
        <v>23.75</v>
      </c>
    </row>
    <row r="538" customFormat="false" ht="15" hidden="false" customHeight="true" outlineLevel="0" collapsed="false">
      <c r="A538" s="20" t="s">
        <v>1990</v>
      </c>
      <c r="B538" s="20" t="s">
        <v>216</v>
      </c>
      <c r="C538" s="19" t="str">
        <f aca="false">IFERROR(INDEX('قائمة الوحدات'!$B$2:$B$41,MATCH($B538,'قائمة الوحدات'!$A$2:$A$41,0)),"")</f>
        <v>MIL</v>
      </c>
      <c r="D538" s="18" t="str">
        <f aca="false">IFERROR(INDEX('قائمة الوحدات'!$C$2:$C$41,MATCH($B538,'قائمة الوحدات'!$A$2:$A$41,0)),"")</f>
        <v>الجهاز العسكري</v>
      </c>
      <c r="E538" s="18" t="str">
        <f aca="false">IFERROR(INDEX('قائمة الوحدات'!$D$2:$D$41,MATCH($B538,'قائمة الوحدات'!$A$2:$A$41,0)),"")</f>
        <v>الإدارة العامة للاتصالات وتقنية المعلومات العسكرية</v>
      </c>
      <c r="F538" s="18" t="str">
        <f aca="false">IFERROR(INDEX('قائمة الوحدات'!$F$2:$F$41,MATCH($B538,'قائمة الوحدات'!$A$2:$A$41,0)),"")</f>
        <v>الإدارة العامة للاتصالات وتقنية المعلومات العسكرية</v>
      </c>
      <c r="G538" s="20" t="s">
        <v>66</v>
      </c>
      <c r="H538" s="18" t="str">
        <f aca="false">IFERROR(INDEX(المرجع!$A$2:$A$19,MATCH($G538,المرجع!$B$2:$B$19,0)),"")</f>
        <v>التشغيل</v>
      </c>
      <c r="I538" s="20" t="s">
        <v>52</v>
      </c>
      <c r="J538" s="18" t="str">
        <f aca="false">IFERROR(INDEX(المرجع!$D$2:$D$19,MATCH($I538,المرجع!$E$2:$E$19,0)),"")</f>
        <v>الحوكمة</v>
      </c>
      <c r="K538" s="19" t="n">
        <f aca="false">IFERROR(INDEX(المرجع!$F$2:$F$19,MATCH($I538,المرجع!$E$2:$E$19,0)),"")</f>
        <v>3</v>
      </c>
      <c r="L538" s="19" t="n">
        <f aca="false">SUMIFS(المرجع!$H$2:$H$19,المرجع!$B$2:$B$19,$G538,المرجع!$E$2:$E$19,$I538)</f>
        <v>3</v>
      </c>
      <c r="M538" s="19" t="n">
        <f aca="false">COUNTIFS('المرتبطة بسمو الوزير'!$B$2:$B$151,$B538,'المرتبطة بسمو الوزير'!$G$2:$G$151,$G538,'المرتبطة بسمو الوزير'!$I$2:$I$151,$I538,'المرتبطة بسمو الوزير'!$M$2:$M$151,"&lt;&gt;")+COUNTIFS('الشؤون التنفيذية'!$B$2:$B$421,$B538,'الشؤون التنفيذية'!$G$2:$G$421,$G538,'الشؤون التنفيذية'!$I$2:$I$421,$I538,'الشؤون التنفيذية'!$N$2:$N$421,"&lt;&gt;")+COUNTIFS('الجهاز العسكري'!$B$2:$B$631,$B538,'الجهاز العسكري'!$G$2:$G$631,$G538,'الجهاز العسكري'!$I$2:$I$631,$I538,'الجهاز العسكري'!$M$2:$M$631,"&lt;&gt;")</f>
        <v>3</v>
      </c>
      <c r="N538" s="24" t="n">
        <f aca="false">IF($L538=0,0,ROUND((SUMIFS('المرتبطة بسمو الوزير'!$M$2:$M$151,'المرتبطة بسمو الوزير'!$B$2:$B$151,$B538,'المرتبطة بسمو الوزير'!$G$2:$G$151,$G538,'المرتبطة بسمو الوزير'!$I$2:$I$151,$I538)+SUMIFS('الشؤون التنفيذية'!$N$2:$N$421,'الشؤون التنفيذية'!$B$2:$B$421,$B538,'الشؤون التنفيذية'!$G$2:$G$421,$G538,'الشؤون التنفيذية'!$I$2:$I$421,$I538)+SUMIFS('الجهاز العسكري'!$M$2:$M$631,'الجهاز العسكري'!$B$2:$B$631,$B538,'الجهاز العسكري'!$G$2:$G$631,$G538,'الجهاز العسكري'!$I$2:$I$631,$I538))/$L538,0))</f>
        <v>60</v>
      </c>
      <c r="O538" s="25" t="n">
        <f aca="false">IF($L538=0,0,ROUND((SUMIFS('المرتبطة بسمو الوزير'!$N$2:$N$151,'المرتبطة بسمو الوزير'!$B$2:$B$151,$B538,'المرتبطة بسمو الوزير'!$G$2:$G$151,$G538,'المرتبطة بسمو الوزير'!$I$2:$I$151,$I538)+SUMIFS('الشؤون التنفيذية'!$O$2:$O$421,'الشؤون التنفيذية'!$B$2:$B$421,$B538,'الشؤون التنفيذية'!$G$2:$G$421,$G538,'الشؤون التنفيذية'!$I$2:$I$421,$I538)+SUMIFS('الجهاز العسكري'!$N$2:$N$631,'الجهاز العسكري'!$B$2:$B$631,$B538,'الجهاز العسكري'!$G$2:$G$631,$G538,'الجهاز العسكري'!$I$2:$I$631,$I538))/$L538,0))</f>
        <v>95</v>
      </c>
      <c r="P538" s="22"/>
      <c r="Q538" s="19" t="n">
        <f aca="false">SUMIFS(المرجع!$G$2:$G$19,المرجع!$B$2:$B$19,$G538,المرجع!$E$2:$E$19,$I538)</f>
        <v>15</v>
      </c>
      <c r="R538" s="26" t="n">
        <f aca="false">ROUND($Q538*$N538/100,2)</f>
        <v>9</v>
      </c>
      <c r="S538" s="27" t="str">
        <f aca="false">IF($N538&gt;المرجع!$K$3,"متقدم",IF($N538&lt;=المرجع!$K$2,"أولي","جزئي"))</f>
        <v>جزئي</v>
      </c>
      <c r="T538" s="28" t="n">
        <f aca="false">ROUND($Q538*$O538/100,2)</f>
        <v>14.25</v>
      </c>
    </row>
    <row r="539" customFormat="false" ht="15" hidden="false" customHeight="true" outlineLevel="0" collapsed="false">
      <c r="A539" s="20" t="s">
        <v>1991</v>
      </c>
      <c r="B539" s="20" t="s">
        <v>216</v>
      </c>
      <c r="C539" s="19" t="str">
        <f aca="false">IFERROR(INDEX('قائمة الوحدات'!$B$2:$B$41,MATCH($B539,'قائمة الوحدات'!$A$2:$A$41,0)),"")</f>
        <v>MIL</v>
      </c>
      <c r="D539" s="18" t="str">
        <f aca="false">IFERROR(INDEX('قائمة الوحدات'!$C$2:$C$41,MATCH($B539,'قائمة الوحدات'!$A$2:$A$41,0)),"")</f>
        <v>الجهاز العسكري</v>
      </c>
      <c r="E539" s="18" t="str">
        <f aca="false">IFERROR(INDEX('قائمة الوحدات'!$D$2:$D$41,MATCH($B539,'قائمة الوحدات'!$A$2:$A$41,0)),"")</f>
        <v>الإدارة العامة للاتصالات وتقنية المعلومات العسكرية</v>
      </c>
      <c r="F539" s="18" t="str">
        <f aca="false">IFERROR(INDEX('قائمة الوحدات'!$F$2:$F$41,MATCH($B539,'قائمة الوحدات'!$A$2:$A$41,0)),"")</f>
        <v>الإدارة العامة للاتصالات وتقنية المعلومات العسكرية</v>
      </c>
      <c r="G539" s="20" t="s">
        <v>66</v>
      </c>
      <c r="H539" s="18" t="str">
        <f aca="false">IFERROR(INDEX(المرجع!$A$2:$A$19,MATCH($G539,المرجع!$B$2:$B$19,0)),"")</f>
        <v>التشغيل</v>
      </c>
      <c r="I539" s="20" t="s">
        <v>57</v>
      </c>
      <c r="J539" s="18" t="str">
        <f aca="false">IFERROR(INDEX(المرجع!$D$2:$D$19,MATCH($I539,المرجع!$E$2:$E$19,0)),"")</f>
        <v>الموارد</v>
      </c>
      <c r="K539" s="19" t="n">
        <f aca="false">IFERROR(INDEX(المرجع!$F$2:$F$19,MATCH($I539,المرجع!$E$2:$E$19,0)),"")</f>
        <v>5</v>
      </c>
      <c r="L539" s="19" t="n">
        <f aca="false">SUMIFS(المرجع!$H$2:$H$19,المرجع!$B$2:$B$19,$G539,المرجع!$E$2:$E$19,$I539)</f>
        <v>1</v>
      </c>
      <c r="M539" s="19" t="n">
        <f aca="false">COUNTIFS('المرتبطة بسمو الوزير'!$B$2:$B$151,$B539,'المرتبطة بسمو الوزير'!$G$2:$G$151,$G539,'المرتبطة بسمو الوزير'!$I$2:$I$151,$I539,'المرتبطة بسمو الوزير'!$M$2:$M$151,"&lt;&gt;")+COUNTIFS('الشؤون التنفيذية'!$B$2:$B$421,$B539,'الشؤون التنفيذية'!$G$2:$G$421,$G539,'الشؤون التنفيذية'!$I$2:$I$421,$I539,'الشؤون التنفيذية'!$N$2:$N$421,"&lt;&gt;")+COUNTIFS('الجهاز العسكري'!$B$2:$B$631,$B539,'الجهاز العسكري'!$G$2:$G$631,$G539,'الجهاز العسكري'!$I$2:$I$631,$I539,'الجهاز العسكري'!$M$2:$M$631,"&lt;&gt;")</f>
        <v>1</v>
      </c>
      <c r="N539" s="24" t="n">
        <f aca="false">IF($L539=0,0,ROUND((SUMIFS('المرتبطة بسمو الوزير'!$M$2:$M$151,'المرتبطة بسمو الوزير'!$B$2:$B$151,$B539,'المرتبطة بسمو الوزير'!$G$2:$G$151,$G539,'المرتبطة بسمو الوزير'!$I$2:$I$151,$I539)+SUMIFS('الشؤون التنفيذية'!$N$2:$N$421,'الشؤون التنفيذية'!$B$2:$B$421,$B539,'الشؤون التنفيذية'!$G$2:$G$421,$G539,'الشؤون التنفيذية'!$I$2:$I$421,$I539)+SUMIFS('الجهاز العسكري'!$M$2:$M$631,'الجهاز العسكري'!$B$2:$B$631,$B539,'الجهاز العسكري'!$G$2:$G$631,$G539,'الجهاز العسكري'!$I$2:$I$631,$I539))/$L539,0))</f>
        <v>37</v>
      </c>
      <c r="O539" s="25" t="n">
        <f aca="false">IF($L539=0,0,ROUND((SUMIFS('المرتبطة بسمو الوزير'!$N$2:$N$151,'المرتبطة بسمو الوزير'!$B$2:$B$151,$B539,'المرتبطة بسمو الوزير'!$G$2:$G$151,$G539,'المرتبطة بسمو الوزير'!$I$2:$I$151,$I539)+SUMIFS('الشؤون التنفيذية'!$O$2:$O$421,'الشؤون التنفيذية'!$B$2:$B$421,$B539,'الشؤون التنفيذية'!$G$2:$G$421,$G539,'الشؤون التنفيذية'!$I$2:$I$421,$I539)+SUMIFS('الجهاز العسكري'!$N$2:$N$631,'الجهاز العسكري'!$B$2:$B$631,$B539,'الجهاز العسكري'!$G$2:$G$631,$G539,'الجهاز العسكري'!$I$2:$I$631,$I539))/$L539,0))</f>
        <v>100</v>
      </c>
      <c r="P539" s="22"/>
      <c r="Q539" s="19" t="n">
        <f aca="false">SUMIFS(المرجع!$G$2:$G$19,المرجع!$B$2:$B$19,$G539,المرجع!$E$2:$E$19,$I539)</f>
        <v>15</v>
      </c>
      <c r="R539" s="26" t="n">
        <f aca="false">ROUND($Q539*$N539/100,2)</f>
        <v>5.55</v>
      </c>
      <c r="S539" s="27" t="str">
        <f aca="false">IF($N539&gt;المرجع!$K$3,"متقدم",IF($N539&lt;=المرجع!$K$2,"أولي","جزئي"))</f>
        <v>جزئي</v>
      </c>
      <c r="T539" s="28" t="n">
        <f aca="false">ROUND($Q539*$O539/100,2)</f>
        <v>15</v>
      </c>
    </row>
    <row r="540" customFormat="false" ht="15" hidden="false" customHeight="true" outlineLevel="0" collapsed="false">
      <c r="A540" s="20" t="s">
        <v>1992</v>
      </c>
      <c r="B540" s="20" t="s">
        <v>216</v>
      </c>
      <c r="C540" s="19" t="str">
        <f aca="false">IFERROR(INDEX('قائمة الوحدات'!$B$2:$B$41,MATCH($B540,'قائمة الوحدات'!$A$2:$A$41,0)),"")</f>
        <v>MIL</v>
      </c>
      <c r="D540" s="18" t="str">
        <f aca="false">IFERROR(INDEX('قائمة الوحدات'!$C$2:$C$41,MATCH($B540,'قائمة الوحدات'!$A$2:$A$41,0)),"")</f>
        <v>الجهاز العسكري</v>
      </c>
      <c r="E540" s="18" t="str">
        <f aca="false">IFERROR(INDEX('قائمة الوحدات'!$D$2:$D$41,MATCH($B540,'قائمة الوحدات'!$A$2:$A$41,0)),"")</f>
        <v>الإدارة العامة للاتصالات وتقنية المعلومات العسكرية</v>
      </c>
      <c r="F540" s="18" t="str">
        <f aca="false">IFERROR(INDEX('قائمة الوحدات'!$F$2:$F$41,MATCH($B540,'قائمة الوحدات'!$A$2:$A$41,0)),"")</f>
        <v>الإدارة العامة للاتصالات وتقنية المعلومات العسكرية</v>
      </c>
      <c r="G540" s="20" t="s">
        <v>66</v>
      </c>
      <c r="H540" s="18" t="str">
        <f aca="false">IFERROR(INDEX(المرجع!$A$2:$A$19,MATCH($G540,المرجع!$B$2:$B$19,0)),"")</f>
        <v>التشغيل</v>
      </c>
      <c r="I540" s="20" t="s">
        <v>60</v>
      </c>
      <c r="J540" s="18" t="str">
        <f aca="false">IFERROR(INDEX(المرجع!$D$2:$D$19,MATCH($I540,المرجع!$E$2:$E$19,0)),"")</f>
        <v>الإجراءات</v>
      </c>
      <c r="K540" s="19" t="n">
        <f aca="false">IFERROR(INDEX(المرجع!$F$2:$F$19,MATCH($I540,المرجع!$E$2:$E$19,0)),"")</f>
        <v>6</v>
      </c>
      <c r="L540" s="19" t="n">
        <f aca="false">SUMIFS(المرجع!$H$2:$H$19,المرجع!$B$2:$B$19,$G540,المرجع!$E$2:$E$19,$I540)</f>
        <v>1</v>
      </c>
      <c r="M540" s="19" t="n">
        <f aca="false">COUNTIFS('المرتبطة بسمو الوزير'!$B$2:$B$151,$B540,'المرتبطة بسمو الوزير'!$G$2:$G$151,$G540,'المرتبطة بسمو الوزير'!$I$2:$I$151,$I540,'المرتبطة بسمو الوزير'!$M$2:$M$151,"&lt;&gt;")+COUNTIFS('الشؤون التنفيذية'!$B$2:$B$421,$B540,'الشؤون التنفيذية'!$G$2:$G$421,$G540,'الشؤون التنفيذية'!$I$2:$I$421,$I540,'الشؤون التنفيذية'!$N$2:$N$421,"&lt;&gt;")+COUNTIFS('الجهاز العسكري'!$B$2:$B$631,$B540,'الجهاز العسكري'!$G$2:$G$631,$G540,'الجهاز العسكري'!$I$2:$I$631,$I540,'الجهاز العسكري'!$M$2:$M$631,"&lt;&gt;")</f>
        <v>1</v>
      </c>
      <c r="N540" s="24" t="n">
        <f aca="false">IF($L540=0,0,ROUND((SUMIFS('المرتبطة بسمو الوزير'!$M$2:$M$151,'المرتبطة بسمو الوزير'!$B$2:$B$151,$B540,'المرتبطة بسمو الوزير'!$G$2:$G$151,$G540,'المرتبطة بسمو الوزير'!$I$2:$I$151,$I540)+SUMIFS('الشؤون التنفيذية'!$N$2:$N$421,'الشؤون التنفيذية'!$B$2:$B$421,$B540,'الشؤون التنفيذية'!$G$2:$G$421,$G540,'الشؤون التنفيذية'!$I$2:$I$421,$I540)+SUMIFS('الجهاز العسكري'!$M$2:$M$631,'الجهاز العسكري'!$B$2:$B$631,$B540,'الجهاز العسكري'!$G$2:$G$631,$G540,'الجهاز العسكري'!$I$2:$I$631,$I540))/$L540,0))</f>
        <v>28</v>
      </c>
      <c r="O540" s="25" t="n">
        <f aca="false">IF($L540=0,0,ROUND((SUMIFS('المرتبطة بسمو الوزير'!$N$2:$N$151,'المرتبطة بسمو الوزير'!$B$2:$B$151,$B540,'المرتبطة بسمو الوزير'!$G$2:$G$151,$G540,'المرتبطة بسمو الوزير'!$I$2:$I$151,$I540)+SUMIFS('الشؤون التنفيذية'!$O$2:$O$421,'الشؤون التنفيذية'!$B$2:$B$421,$B540,'الشؤون التنفيذية'!$G$2:$G$421,$G540,'الشؤون التنفيذية'!$I$2:$I$421,$I540)+SUMIFS('الجهاز العسكري'!$N$2:$N$631,'الجهاز العسكري'!$B$2:$B$631,$B540,'الجهاز العسكري'!$G$2:$G$631,$G540,'الجهاز العسكري'!$I$2:$I$631,$I540))/$L540,0))</f>
        <v>80</v>
      </c>
      <c r="P540" s="22"/>
      <c r="Q540" s="19" t="n">
        <f aca="false">SUMIFS(المرجع!$G$2:$G$19,المرجع!$B$2:$B$19,$G540,المرجع!$E$2:$E$19,$I540)</f>
        <v>15</v>
      </c>
      <c r="R540" s="26" t="n">
        <f aca="false">ROUND($Q540*$N540/100,2)</f>
        <v>4.2</v>
      </c>
      <c r="S540" s="27" t="str">
        <f aca="false">IF($N540&gt;المرجع!$K$3,"متقدم",IF($N540&lt;=المرجع!$K$2,"أولي","جزئي"))</f>
        <v>أولي</v>
      </c>
      <c r="T540" s="28" t="n">
        <f aca="false">ROUND($Q540*$O540/100,2)</f>
        <v>12</v>
      </c>
    </row>
    <row r="541" customFormat="false" ht="15" hidden="false" customHeight="true" outlineLevel="0" collapsed="false">
      <c r="A541" s="20" t="s">
        <v>1993</v>
      </c>
      <c r="B541" s="20" t="s">
        <v>216</v>
      </c>
      <c r="C541" s="19" t="str">
        <f aca="false">IFERROR(INDEX('قائمة الوحدات'!$B$2:$B$41,MATCH($B541,'قائمة الوحدات'!$A$2:$A$41,0)),"")</f>
        <v>MIL</v>
      </c>
      <c r="D541" s="18" t="str">
        <f aca="false">IFERROR(INDEX('قائمة الوحدات'!$C$2:$C$41,MATCH($B541,'قائمة الوحدات'!$A$2:$A$41,0)),"")</f>
        <v>الجهاز العسكري</v>
      </c>
      <c r="E541" s="18" t="str">
        <f aca="false">IFERROR(INDEX('قائمة الوحدات'!$D$2:$D$41,MATCH($B541,'قائمة الوحدات'!$A$2:$A$41,0)),"")</f>
        <v>الإدارة العامة للاتصالات وتقنية المعلومات العسكرية</v>
      </c>
      <c r="F541" s="18" t="str">
        <f aca="false">IFERROR(INDEX('قائمة الوحدات'!$F$2:$F$41,MATCH($B541,'قائمة الوحدات'!$A$2:$A$41,0)),"")</f>
        <v>الإدارة العامة للاتصالات وتقنية المعلومات العسكرية</v>
      </c>
      <c r="G541" s="20" t="s">
        <v>66</v>
      </c>
      <c r="H541" s="18" t="str">
        <f aca="false">IFERROR(INDEX(المرجع!$A$2:$A$19,MATCH($G541,المرجع!$B$2:$B$19,0)),"")</f>
        <v>التشغيل</v>
      </c>
      <c r="I541" s="20" t="s">
        <v>71</v>
      </c>
      <c r="J541" s="18" t="str">
        <f aca="false">IFERROR(INDEX(المرجع!$D$2:$D$19,MATCH($I541,المرجع!$E$2:$E$19,0)),"")</f>
        <v>اكتمال المخرجات المستهدفة</v>
      </c>
      <c r="K541" s="19" t="n">
        <f aca="false">IFERROR(INDEX(المرجع!$F$2:$F$19,MATCH($I541,المرجع!$E$2:$E$19,0)),"")</f>
        <v>8</v>
      </c>
      <c r="L541" s="19" t="n">
        <f aca="false">SUMIFS(المرجع!$H$2:$H$19,المرجع!$B$2:$B$19,$G541,المرجع!$E$2:$E$19,$I541)</f>
        <v>1</v>
      </c>
      <c r="M541" s="19" t="n">
        <f aca="false">COUNTIFS('المرتبطة بسمو الوزير'!$B$2:$B$151,$B541,'المرتبطة بسمو الوزير'!$G$2:$G$151,$G541,'المرتبطة بسمو الوزير'!$I$2:$I$151,$I541,'المرتبطة بسمو الوزير'!$M$2:$M$151,"&lt;&gt;")+COUNTIFS('الشؤون التنفيذية'!$B$2:$B$421,$B541,'الشؤون التنفيذية'!$G$2:$G$421,$G541,'الشؤون التنفيذية'!$I$2:$I$421,$I541,'الشؤون التنفيذية'!$N$2:$N$421,"&lt;&gt;")+COUNTIFS('الجهاز العسكري'!$B$2:$B$631,$B541,'الجهاز العسكري'!$G$2:$G$631,$G541,'الجهاز العسكري'!$I$2:$I$631,$I541,'الجهاز العسكري'!$M$2:$M$631,"&lt;&gt;")</f>
        <v>1</v>
      </c>
      <c r="N541" s="24" t="n">
        <f aca="false">IF($L541=0,0,ROUND((SUMIFS('المرتبطة بسمو الوزير'!$M$2:$M$151,'المرتبطة بسمو الوزير'!$B$2:$B$151,$B541,'المرتبطة بسمو الوزير'!$G$2:$G$151,$G541,'المرتبطة بسمو الوزير'!$I$2:$I$151,$I541)+SUMIFS('الشؤون التنفيذية'!$N$2:$N$421,'الشؤون التنفيذية'!$B$2:$B$421,$B541,'الشؤون التنفيذية'!$G$2:$G$421,$G541,'الشؤون التنفيذية'!$I$2:$I$421,$I541)+SUMIFS('الجهاز العسكري'!$M$2:$M$631,'الجهاز العسكري'!$B$2:$B$631,$B541,'الجهاز العسكري'!$G$2:$G$631,$G541,'الجهاز العسكري'!$I$2:$I$631,$I541))/$L541,0))</f>
        <v>44</v>
      </c>
      <c r="O541" s="25" t="n">
        <f aca="false">IF($L541=0,0,ROUND((SUMIFS('المرتبطة بسمو الوزير'!$N$2:$N$151,'المرتبطة بسمو الوزير'!$B$2:$B$151,$B541,'المرتبطة بسمو الوزير'!$G$2:$G$151,$G541,'المرتبطة بسمو الوزير'!$I$2:$I$151,$I541)+SUMIFS('الشؤون التنفيذية'!$O$2:$O$421,'الشؤون التنفيذية'!$B$2:$B$421,$B541,'الشؤون التنفيذية'!$G$2:$G$421,$G541,'الشؤون التنفيذية'!$I$2:$I$421,$I541)+SUMIFS('الجهاز العسكري'!$N$2:$N$631,'الجهاز العسكري'!$B$2:$B$631,$B541,'الجهاز العسكري'!$G$2:$G$631,$G541,'الجهاز العسكري'!$I$2:$I$631,$I541))/$L541,0))</f>
        <v>100</v>
      </c>
      <c r="P541" s="22"/>
      <c r="Q541" s="19" t="n">
        <f aca="false">SUMIFS(المرجع!$G$2:$G$19,المرجع!$B$2:$B$19,$G541,المرجع!$E$2:$E$19,$I541)</f>
        <v>30</v>
      </c>
      <c r="R541" s="26" t="n">
        <f aca="false">ROUND($Q541*$N541/100,2)</f>
        <v>13.2</v>
      </c>
      <c r="S541" s="27" t="str">
        <f aca="false">IF($N541&gt;المرجع!$K$3,"متقدم",IF($N541&lt;=المرجع!$K$2,"أولي","جزئي"))</f>
        <v>جزئي</v>
      </c>
      <c r="T541" s="28" t="n">
        <f aca="false">ROUND($Q541*$O541/100,2)</f>
        <v>30</v>
      </c>
    </row>
    <row r="542" customFormat="false" ht="15" hidden="false" customHeight="true" outlineLevel="0" collapsed="false">
      <c r="A542" s="20" t="s">
        <v>1994</v>
      </c>
      <c r="B542" s="20" t="s">
        <v>218</v>
      </c>
      <c r="C542" s="19" t="str">
        <f aca="false">IFERROR(INDEX('قائمة الوحدات'!$B$2:$B$41,MATCH($B542,'قائمة الوحدات'!$A$2:$A$41,0)),"")</f>
        <v>MIL</v>
      </c>
      <c r="D542" s="18" t="str">
        <f aca="false">IFERROR(INDEX('قائمة الوحدات'!$C$2:$C$41,MATCH($B542,'قائمة الوحدات'!$A$2:$A$41,0)),"")</f>
        <v>الجهاز العسكري</v>
      </c>
      <c r="E542" s="18" t="str">
        <f aca="false">IFERROR(INDEX('قائمة الوحدات'!$D$2:$D$41,MATCH($B542,'قائمة الوحدات'!$A$2:$A$41,0)),"")</f>
        <v>الإدارة العامة للشؤون الهندسية العسكرية</v>
      </c>
      <c r="F542" s="18" t="str">
        <f aca="false">IFERROR(INDEX('قائمة الوحدات'!$F$2:$F$41,MATCH($B542,'قائمة الوحدات'!$A$2:$A$41,0)),"")</f>
        <v>الإدارة العامة للشؤون الهندسية العسكرية</v>
      </c>
      <c r="G542" s="20" t="s">
        <v>44</v>
      </c>
      <c r="H542" s="18" t="str">
        <f aca="false">IFERROR(INDEX(المرجع!$A$2:$A$19,MATCH($G542,المرجع!$B$2:$B$19,0)),"")</f>
        <v>التصميم</v>
      </c>
      <c r="I542" s="20" t="s">
        <v>46</v>
      </c>
      <c r="J542" s="18" t="str">
        <f aca="false">IFERROR(INDEX(المرجع!$D$2:$D$19,MATCH($I542,المرجع!$E$2:$E$19,0)),"")</f>
        <v>الدور</v>
      </c>
      <c r="K542" s="19" t="n">
        <f aca="false">IFERROR(INDEX(المرجع!$F$2:$F$19,MATCH($I542,المرجع!$E$2:$E$19,0)),"")</f>
        <v>1</v>
      </c>
      <c r="L542" s="19" t="n">
        <f aca="false">SUMIFS(المرجع!$H$2:$H$19,المرجع!$B$2:$B$19,$G542,المرجع!$E$2:$E$19,$I542)</f>
        <v>1</v>
      </c>
      <c r="M542" s="19" t="n">
        <f aca="false">COUNTIFS('المرتبطة بسمو الوزير'!$B$2:$B$151,$B542,'المرتبطة بسمو الوزير'!$G$2:$G$151,$G542,'المرتبطة بسمو الوزير'!$I$2:$I$151,$I542,'المرتبطة بسمو الوزير'!$M$2:$M$151,"&lt;&gt;")+COUNTIFS('الشؤون التنفيذية'!$B$2:$B$421,$B542,'الشؤون التنفيذية'!$G$2:$G$421,$G542,'الشؤون التنفيذية'!$I$2:$I$421,$I542,'الشؤون التنفيذية'!$N$2:$N$421,"&lt;&gt;")+COUNTIFS('الجهاز العسكري'!$B$2:$B$631,$B542,'الجهاز العسكري'!$G$2:$G$631,$G542,'الجهاز العسكري'!$I$2:$I$631,$I542,'الجهاز العسكري'!$M$2:$M$631,"&lt;&gt;")</f>
        <v>1</v>
      </c>
      <c r="N542" s="24" t="n">
        <f aca="false">IF($L542=0,0,ROUND((SUMIFS('المرتبطة بسمو الوزير'!$M$2:$M$151,'المرتبطة بسمو الوزير'!$B$2:$B$151,$B542,'المرتبطة بسمو الوزير'!$G$2:$G$151,$G542,'المرتبطة بسمو الوزير'!$I$2:$I$151,$I542)+SUMIFS('الشؤون التنفيذية'!$N$2:$N$421,'الشؤون التنفيذية'!$B$2:$B$421,$B542,'الشؤون التنفيذية'!$G$2:$G$421,$G542,'الشؤون التنفيذية'!$I$2:$I$421,$I542)+SUMIFS('الجهاز العسكري'!$M$2:$M$631,'الجهاز العسكري'!$B$2:$B$631,$B542,'الجهاز العسكري'!$G$2:$G$631,$G542,'الجهاز العسكري'!$I$2:$I$631,$I542))/$L542,0))</f>
        <v>86</v>
      </c>
      <c r="O542" s="25" t="n">
        <f aca="false">IF($L542=0,0,ROUND((SUMIFS('المرتبطة بسمو الوزير'!$N$2:$N$151,'المرتبطة بسمو الوزير'!$B$2:$B$151,$B542,'المرتبطة بسمو الوزير'!$G$2:$G$151,$G542,'المرتبطة بسمو الوزير'!$I$2:$I$151,$I542)+SUMIFS('الشؤون التنفيذية'!$O$2:$O$421,'الشؤون التنفيذية'!$B$2:$B$421,$B542,'الشؤون التنفيذية'!$G$2:$G$421,$G542,'الشؤون التنفيذية'!$I$2:$I$421,$I542)+SUMIFS('الجهاز العسكري'!$N$2:$N$631,'الجهاز العسكري'!$B$2:$B$631,$B542,'الجهاز العسكري'!$G$2:$G$631,$G542,'الجهاز العسكري'!$I$2:$I$631,$I542))/$L542,0))</f>
        <v>86</v>
      </c>
      <c r="P542" s="22"/>
      <c r="Q542" s="19" t="n">
        <f aca="false">SUMIFS(المرجع!$G$2:$G$19,المرجع!$B$2:$B$19,$G542,المرجع!$E$2:$E$19,$I542)</f>
        <v>25</v>
      </c>
      <c r="R542" s="26" t="n">
        <f aca="false">ROUND($Q542*$N542/100,2)</f>
        <v>21.5</v>
      </c>
      <c r="S542" s="27" t="str">
        <f aca="false">IF($N542&gt;المرجع!$K$3,"متقدم",IF($N542&lt;=المرجع!$K$2,"أولي","جزئي"))</f>
        <v>متقدم</v>
      </c>
      <c r="T542" s="28" t="n">
        <f aca="false">ROUND($Q542*$O542/100,2)</f>
        <v>21.5</v>
      </c>
    </row>
    <row r="543" customFormat="false" ht="15" hidden="false" customHeight="true" outlineLevel="0" collapsed="false">
      <c r="A543" s="20" t="s">
        <v>1995</v>
      </c>
      <c r="B543" s="20" t="s">
        <v>218</v>
      </c>
      <c r="C543" s="19" t="str">
        <f aca="false">IFERROR(INDEX('قائمة الوحدات'!$B$2:$B$41,MATCH($B543,'قائمة الوحدات'!$A$2:$A$41,0)),"")</f>
        <v>MIL</v>
      </c>
      <c r="D543" s="18" t="str">
        <f aca="false">IFERROR(INDEX('قائمة الوحدات'!$C$2:$C$41,MATCH($B543,'قائمة الوحدات'!$A$2:$A$41,0)),"")</f>
        <v>الجهاز العسكري</v>
      </c>
      <c r="E543" s="18" t="str">
        <f aca="false">IFERROR(INDEX('قائمة الوحدات'!$D$2:$D$41,MATCH($B543,'قائمة الوحدات'!$A$2:$A$41,0)),"")</f>
        <v>الإدارة العامة للشؤون الهندسية العسكرية</v>
      </c>
      <c r="F543" s="18" t="str">
        <f aca="false">IFERROR(INDEX('قائمة الوحدات'!$F$2:$F$41,MATCH($B543,'قائمة الوحدات'!$A$2:$A$41,0)),"")</f>
        <v>الإدارة العامة للشؤون الهندسية العسكرية</v>
      </c>
      <c r="G543" s="20" t="s">
        <v>44</v>
      </c>
      <c r="H543" s="18" t="str">
        <f aca="false">IFERROR(INDEX(المرجع!$A$2:$A$19,MATCH($G543,المرجع!$B$2:$B$19,0)),"")</f>
        <v>التصميم</v>
      </c>
      <c r="I543" s="20" t="s">
        <v>49</v>
      </c>
      <c r="J543" s="18" t="str">
        <f aca="false">IFERROR(INDEX(المرجع!$D$2:$D$19,MATCH($I543,المرجع!$E$2:$E$19,0)),"")</f>
        <v>الأهداف ومؤشرات الأداء</v>
      </c>
      <c r="K543" s="19" t="n">
        <f aca="false">IFERROR(INDEX(المرجع!$F$2:$F$19,MATCH($I543,المرجع!$E$2:$E$19,0)),"")</f>
        <v>2</v>
      </c>
      <c r="L543" s="19" t="n">
        <f aca="false">SUMIFS(المرجع!$H$2:$H$19,المرجع!$B$2:$B$19,$G543,المرجع!$E$2:$E$19,$I543)</f>
        <v>2</v>
      </c>
      <c r="M543" s="19" t="n">
        <f aca="false">COUNTIFS('المرتبطة بسمو الوزير'!$B$2:$B$151,$B543,'المرتبطة بسمو الوزير'!$G$2:$G$151,$G543,'المرتبطة بسمو الوزير'!$I$2:$I$151,$I543,'المرتبطة بسمو الوزير'!$M$2:$M$151,"&lt;&gt;")+COUNTIFS('الشؤون التنفيذية'!$B$2:$B$421,$B543,'الشؤون التنفيذية'!$G$2:$G$421,$G543,'الشؤون التنفيذية'!$I$2:$I$421,$I543,'الشؤون التنفيذية'!$N$2:$N$421,"&lt;&gt;")+COUNTIFS('الجهاز العسكري'!$B$2:$B$631,$B543,'الجهاز العسكري'!$G$2:$G$631,$G543,'الجهاز العسكري'!$I$2:$I$631,$I543,'الجهاز العسكري'!$M$2:$M$631,"&lt;&gt;")</f>
        <v>2</v>
      </c>
      <c r="N543" s="24" t="n">
        <f aca="false">IF($L543=0,0,ROUND((SUMIFS('المرتبطة بسمو الوزير'!$M$2:$M$151,'المرتبطة بسمو الوزير'!$B$2:$B$151,$B543,'المرتبطة بسمو الوزير'!$G$2:$G$151,$G543,'المرتبطة بسمو الوزير'!$I$2:$I$151,$I543)+SUMIFS('الشؤون التنفيذية'!$N$2:$N$421,'الشؤون التنفيذية'!$B$2:$B$421,$B543,'الشؤون التنفيذية'!$G$2:$G$421,$G543,'الشؤون التنفيذية'!$I$2:$I$421,$I543)+SUMIFS('الجهاز العسكري'!$M$2:$M$631,'الجهاز العسكري'!$B$2:$B$631,$B543,'الجهاز العسكري'!$G$2:$G$631,$G543,'الجهاز العسكري'!$I$2:$I$631,$I543))/$L543,0))</f>
        <v>78</v>
      </c>
      <c r="O543" s="25" t="n">
        <f aca="false">IF($L543=0,0,ROUND((SUMIFS('المرتبطة بسمو الوزير'!$N$2:$N$151,'المرتبطة بسمو الوزير'!$B$2:$B$151,$B543,'المرتبطة بسمو الوزير'!$G$2:$G$151,$G543,'المرتبطة بسمو الوزير'!$I$2:$I$151,$I543)+SUMIFS('الشؤون التنفيذية'!$O$2:$O$421,'الشؤون التنفيذية'!$B$2:$B$421,$B543,'الشؤون التنفيذية'!$G$2:$G$421,$G543,'الشؤون التنفيذية'!$I$2:$I$421,$I543)+SUMIFS('الجهاز العسكري'!$N$2:$N$631,'الجهاز العسكري'!$B$2:$B$631,$B543,'الجهاز العسكري'!$G$2:$G$631,$G543,'الجهاز العسكري'!$I$2:$I$631,$I543))/$L543,0))</f>
        <v>85</v>
      </c>
      <c r="P543" s="22"/>
      <c r="Q543" s="19" t="n">
        <f aca="false">SUMIFS(المرجع!$G$2:$G$19,المرجع!$B$2:$B$19,$G543,المرجع!$E$2:$E$19,$I543)</f>
        <v>15</v>
      </c>
      <c r="R543" s="26" t="n">
        <f aca="false">ROUND($Q543*$N543/100,2)</f>
        <v>11.7</v>
      </c>
      <c r="S543" s="27" t="str">
        <f aca="false">IF($N543&gt;المرجع!$K$3,"متقدم",IF($N543&lt;=المرجع!$K$2,"أولي","جزئي"))</f>
        <v>متقدم</v>
      </c>
      <c r="T543" s="28" t="n">
        <f aca="false">ROUND($Q543*$O543/100,2)</f>
        <v>12.75</v>
      </c>
    </row>
    <row r="544" customFormat="false" ht="15" hidden="false" customHeight="true" outlineLevel="0" collapsed="false">
      <c r="A544" s="20" t="s">
        <v>1996</v>
      </c>
      <c r="B544" s="20" t="s">
        <v>218</v>
      </c>
      <c r="C544" s="19" t="str">
        <f aca="false">IFERROR(INDEX('قائمة الوحدات'!$B$2:$B$41,MATCH($B544,'قائمة الوحدات'!$A$2:$A$41,0)),"")</f>
        <v>MIL</v>
      </c>
      <c r="D544" s="18" t="str">
        <f aca="false">IFERROR(INDEX('قائمة الوحدات'!$C$2:$C$41,MATCH($B544,'قائمة الوحدات'!$A$2:$A$41,0)),"")</f>
        <v>الجهاز العسكري</v>
      </c>
      <c r="E544" s="18" t="str">
        <f aca="false">IFERROR(INDEX('قائمة الوحدات'!$D$2:$D$41,MATCH($B544,'قائمة الوحدات'!$A$2:$A$41,0)),"")</f>
        <v>الإدارة العامة للشؤون الهندسية العسكرية</v>
      </c>
      <c r="F544" s="18" t="str">
        <f aca="false">IFERROR(INDEX('قائمة الوحدات'!$F$2:$F$41,MATCH($B544,'قائمة الوحدات'!$A$2:$A$41,0)),"")</f>
        <v>الإدارة العامة للشؤون الهندسية العسكرية</v>
      </c>
      <c r="G544" s="20" t="s">
        <v>44</v>
      </c>
      <c r="H544" s="18" t="str">
        <f aca="false">IFERROR(INDEX(المرجع!$A$2:$A$19,MATCH($G544,المرجع!$B$2:$B$19,0)),"")</f>
        <v>التصميم</v>
      </c>
      <c r="I544" s="20" t="s">
        <v>52</v>
      </c>
      <c r="J544" s="18" t="str">
        <f aca="false">IFERROR(INDEX(المرجع!$D$2:$D$19,MATCH($I544,المرجع!$E$2:$E$19,0)),"")</f>
        <v>الحوكمة</v>
      </c>
      <c r="K544" s="19" t="n">
        <f aca="false">IFERROR(INDEX(المرجع!$F$2:$F$19,MATCH($I544,المرجع!$E$2:$E$19,0)),"")</f>
        <v>3</v>
      </c>
      <c r="L544" s="19" t="n">
        <f aca="false">SUMIFS(المرجع!$H$2:$H$19,المرجع!$B$2:$B$19,$G544,المرجع!$E$2:$E$19,$I544)</f>
        <v>1</v>
      </c>
      <c r="M544" s="19" t="n">
        <f aca="false">COUNTIFS('المرتبطة بسمو الوزير'!$B$2:$B$151,$B544,'المرتبطة بسمو الوزير'!$G$2:$G$151,$G544,'المرتبطة بسمو الوزير'!$I$2:$I$151,$I544,'المرتبطة بسمو الوزير'!$M$2:$M$151,"&lt;&gt;")+COUNTIFS('الشؤون التنفيذية'!$B$2:$B$421,$B544,'الشؤون التنفيذية'!$G$2:$G$421,$G544,'الشؤون التنفيذية'!$I$2:$I$421,$I544,'الشؤون التنفيذية'!$N$2:$N$421,"&lt;&gt;")+COUNTIFS('الجهاز العسكري'!$B$2:$B$631,$B544,'الجهاز العسكري'!$G$2:$G$631,$G544,'الجهاز العسكري'!$I$2:$I$631,$I544,'الجهاز العسكري'!$M$2:$M$631,"&lt;&gt;")</f>
        <v>1</v>
      </c>
      <c r="N544" s="24" t="n">
        <f aca="false">IF($L544=0,0,ROUND((SUMIFS('المرتبطة بسمو الوزير'!$M$2:$M$151,'المرتبطة بسمو الوزير'!$B$2:$B$151,$B544,'المرتبطة بسمو الوزير'!$G$2:$G$151,$G544,'المرتبطة بسمو الوزير'!$I$2:$I$151,$I544)+SUMIFS('الشؤون التنفيذية'!$N$2:$N$421,'الشؤون التنفيذية'!$B$2:$B$421,$B544,'الشؤون التنفيذية'!$G$2:$G$421,$G544,'الشؤون التنفيذية'!$I$2:$I$421,$I544)+SUMIFS('الجهاز العسكري'!$M$2:$M$631,'الجهاز العسكري'!$B$2:$B$631,$B544,'الجهاز العسكري'!$G$2:$G$631,$G544,'الجهاز العسكري'!$I$2:$I$631,$I544))/$L544,0))</f>
        <v>74</v>
      </c>
      <c r="O544" s="25" t="n">
        <f aca="false">IF($L544=0,0,ROUND((SUMIFS('المرتبطة بسمو الوزير'!$N$2:$N$151,'المرتبطة بسمو الوزير'!$B$2:$B$151,$B544,'المرتبطة بسمو الوزير'!$G$2:$G$151,$G544,'المرتبطة بسمو الوزير'!$I$2:$I$151,$I544)+SUMIFS('الشؤون التنفيذية'!$O$2:$O$421,'الشؤون التنفيذية'!$B$2:$B$421,$B544,'الشؤون التنفيذية'!$G$2:$G$421,$G544,'الشؤون التنفيذية'!$I$2:$I$421,$I544)+SUMIFS('الجهاز العسكري'!$N$2:$N$631,'الجهاز العسكري'!$B$2:$B$631,$B544,'الجهاز العسكري'!$G$2:$G$631,$G544,'الجهاز العسكري'!$I$2:$I$631,$I544))/$L544,0))</f>
        <v>95</v>
      </c>
      <c r="P544" s="22"/>
      <c r="Q544" s="19" t="n">
        <f aca="false">SUMIFS(المرجع!$G$2:$G$19,المرجع!$B$2:$B$19,$G544,المرجع!$E$2:$E$19,$I544)</f>
        <v>15</v>
      </c>
      <c r="R544" s="26" t="n">
        <f aca="false">ROUND($Q544*$N544/100,2)</f>
        <v>11.1</v>
      </c>
      <c r="S544" s="27" t="str">
        <f aca="false">IF($N544&gt;المرجع!$K$3,"متقدم",IF($N544&lt;=المرجع!$K$2,"أولي","جزئي"))</f>
        <v>متقدم</v>
      </c>
      <c r="T544" s="28" t="n">
        <f aca="false">ROUND($Q544*$O544/100,2)</f>
        <v>14.25</v>
      </c>
    </row>
    <row r="545" customFormat="false" ht="15" hidden="false" customHeight="true" outlineLevel="0" collapsed="false">
      <c r="A545" s="20" t="s">
        <v>1997</v>
      </c>
      <c r="B545" s="20" t="s">
        <v>218</v>
      </c>
      <c r="C545" s="19" t="str">
        <f aca="false">IFERROR(INDEX('قائمة الوحدات'!$B$2:$B$41,MATCH($B545,'قائمة الوحدات'!$A$2:$A$41,0)),"")</f>
        <v>MIL</v>
      </c>
      <c r="D545" s="18" t="str">
        <f aca="false">IFERROR(INDEX('قائمة الوحدات'!$C$2:$C$41,MATCH($B545,'قائمة الوحدات'!$A$2:$A$41,0)),"")</f>
        <v>الجهاز العسكري</v>
      </c>
      <c r="E545" s="18" t="str">
        <f aca="false">IFERROR(INDEX('قائمة الوحدات'!$D$2:$D$41,MATCH($B545,'قائمة الوحدات'!$A$2:$A$41,0)),"")</f>
        <v>الإدارة العامة للشؤون الهندسية العسكرية</v>
      </c>
      <c r="F545" s="18" t="str">
        <f aca="false">IFERROR(INDEX('قائمة الوحدات'!$F$2:$F$41,MATCH($B545,'قائمة الوحدات'!$A$2:$A$41,0)),"")</f>
        <v>الإدارة العامة للشؤون الهندسية العسكرية</v>
      </c>
      <c r="G545" s="20" t="s">
        <v>44</v>
      </c>
      <c r="H545" s="18" t="str">
        <f aca="false">IFERROR(INDEX(المرجع!$A$2:$A$19,MATCH($G545,المرجع!$B$2:$B$19,0)),"")</f>
        <v>التصميم</v>
      </c>
      <c r="I545" s="20" t="s">
        <v>55</v>
      </c>
      <c r="J545" s="18" t="str">
        <f aca="false">IFERROR(INDEX(المرجع!$D$2:$D$19,MATCH($I545,المرجع!$E$2:$E$19,0)),"")</f>
        <v>التنظيم</v>
      </c>
      <c r="K545" s="19" t="n">
        <f aca="false">IFERROR(INDEX(المرجع!$F$2:$F$19,MATCH($I545,المرجع!$E$2:$E$19,0)),"")</f>
        <v>4</v>
      </c>
      <c r="L545" s="19" t="n">
        <f aca="false">SUMIFS(المرجع!$H$2:$H$19,المرجع!$B$2:$B$19,$G545,المرجع!$E$2:$E$19,$I545)</f>
        <v>1</v>
      </c>
      <c r="M545" s="19" t="n">
        <f aca="false">COUNTIFS('المرتبطة بسمو الوزير'!$B$2:$B$151,$B545,'المرتبطة بسمو الوزير'!$G$2:$G$151,$G545,'المرتبطة بسمو الوزير'!$I$2:$I$151,$I545,'المرتبطة بسمو الوزير'!$M$2:$M$151,"&lt;&gt;")+COUNTIFS('الشؤون التنفيذية'!$B$2:$B$421,$B545,'الشؤون التنفيذية'!$G$2:$G$421,$G545,'الشؤون التنفيذية'!$I$2:$I$421,$I545,'الشؤون التنفيذية'!$N$2:$N$421,"&lt;&gt;")+COUNTIFS('الجهاز العسكري'!$B$2:$B$631,$B545,'الجهاز العسكري'!$G$2:$G$631,$G545,'الجهاز العسكري'!$I$2:$I$631,$I545,'الجهاز العسكري'!$M$2:$M$631,"&lt;&gt;")</f>
        <v>1</v>
      </c>
      <c r="N545" s="24" t="n">
        <f aca="false">IF($L545=0,0,ROUND((SUMIFS('المرتبطة بسمو الوزير'!$M$2:$M$151,'المرتبطة بسمو الوزير'!$B$2:$B$151,$B545,'المرتبطة بسمو الوزير'!$G$2:$G$151,$G545,'المرتبطة بسمو الوزير'!$I$2:$I$151,$I545)+SUMIFS('الشؤون التنفيذية'!$N$2:$N$421,'الشؤون التنفيذية'!$B$2:$B$421,$B545,'الشؤون التنفيذية'!$G$2:$G$421,$G545,'الشؤون التنفيذية'!$I$2:$I$421,$I545)+SUMIFS('الجهاز العسكري'!$M$2:$M$631,'الجهاز العسكري'!$B$2:$B$631,$B545,'الجهاز العسكري'!$G$2:$G$631,$G545,'الجهاز العسكري'!$I$2:$I$631,$I545))/$L545,0))</f>
        <v>83</v>
      </c>
      <c r="O545" s="25" t="n">
        <f aca="false">IF($L545=0,0,ROUND((SUMIFS('المرتبطة بسمو الوزير'!$N$2:$N$151,'المرتبطة بسمو الوزير'!$B$2:$B$151,$B545,'المرتبطة بسمو الوزير'!$G$2:$G$151,$G545,'المرتبطة بسمو الوزير'!$I$2:$I$151,$I545)+SUMIFS('الشؤون التنفيذية'!$O$2:$O$421,'الشؤون التنفيذية'!$B$2:$B$421,$B545,'الشؤون التنفيذية'!$G$2:$G$421,$G545,'الشؤون التنفيذية'!$I$2:$I$421,$I545)+SUMIFS('الجهاز العسكري'!$N$2:$N$631,'الجهاز العسكري'!$B$2:$B$631,$B545,'الجهاز العسكري'!$G$2:$G$631,$G545,'الجهاز العسكري'!$I$2:$I$631,$I545))/$L545,0))</f>
        <v>83</v>
      </c>
      <c r="P545" s="22"/>
      <c r="Q545" s="19" t="n">
        <f aca="false">SUMIFS(المرجع!$G$2:$G$19,المرجع!$B$2:$B$19,$G545,المرجع!$E$2:$E$19,$I545)</f>
        <v>20</v>
      </c>
      <c r="R545" s="26" t="n">
        <f aca="false">ROUND($Q545*$N545/100,2)</f>
        <v>16.6</v>
      </c>
      <c r="S545" s="27" t="str">
        <f aca="false">IF($N545&gt;المرجع!$K$3,"متقدم",IF($N545&lt;=المرجع!$K$2,"أولي","جزئي"))</f>
        <v>متقدم</v>
      </c>
      <c r="T545" s="28" t="n">
        <f aca="false">ROUND($Q545*$O545/100,2)</f>
        <v>16.6</v>
      </c>
    </row>
    <row r="546" customFormat="false" ht="15" hidden="false" customHeight="true" outlineLevel="0" collapsed="false">
      <c r="A546" s="20" t="s">
        <v>1998</v>
      </c>
      <c r="B546" s="20" t="s">
        <v>218</v>
      </c>
      <c r="C546" s="19" t="str">
        <f aca="false">IFERROR(INDEX('قائمة الوحدات'!$B$2:$B$41,MATCH($B546,'قائمة الوحدات'!$A$2:$A$41,0)),"")</f>
        <v>MIL</v>
      </c>
      <c r="D546" s="18" t="str">
        <f aca="false">IFERROR(INDEX('قائمة الوحدات'!$C$2:$C$41,MATCH($B546,'قائمة الوحدات'!$A$2:$A$41,0)),"")</f>
        <v>الجهاز العسكري</v>
      </c>
      <c r="E546" s="18" t="str">
        <f aca="false">IFERROR(INDEX('قائمة الوحدات'!$D$2:$D$41,MATCH($B546,'قائمة الوحدات'!$A$2:$A$41,0)),"")</f>
        <v>الإدارة العامة للشؤون الهندسية العسكرية</v>
      </c>
      <c r="F546" s="18" t="str">
        <f aca="false">IFERROR(INDEX('قائمة الوحدات'!$F$2:$F$41,MATCH($B546,'قائمة الوحدات'!$A$2:$A$41,0)),"")</f>
        <v>الإدارة العامة للشؤون الهندسية العسكرية</v>
      </c>
      <c r="G546" s="20" t="s">
        <v>44</v>
      </c>
      <c r="H546" s="18" t="str">
        <f aca="false">IFERROR(INDEX(المرجع!$A$2:$A$19,MATCH($G546,المرجع!$B$2:$B$19,0)),"")</f>
        <v>التصميم</v>
      </c>
      <c r="I546" s="20" t="s">
        <v>57</v>
      </c>
      <c r="J546" s="18" t="str">
        <f aca="false">IFERROR(INDEX(المرجع!$D$2:$D$19,MATCH($I546,المرجع!$E$2:$E$19,0)),"")</f>
        <v>الموارد</v>
      </c>
      <c r="K546" s="19" t="n">
        <f aca="false">IFERROR(INDEX(المرجع!$F$2:$F$19,MATCH($I546,المرجع!$E$2:$E$19,0)),"")</f>
        <v>5</v>
      </c>
      <c r="L546" s="19" t="n">
        <f aca="false">SUMIFS(المرجع!$H$2:$H$19,المرجع!$B$2:$B$19,$G546,المرجع!$E$2:$E$19,$I546)</f>
        <v>1</v>
      </c>
      <c r="M546" s="19" t="n">
        <f aca="false">COUNTIFS('المرتبطة بسمو الوزير'!$B$2:$B$151,$B546,'المرتبطة بسمو الوزير'!$G$2:$G$151,$G546,'المرتبطة بسمو الوزير'!$I$2:$I$151,$I546,'المرتبطة بسمو الوزير'!$M$2:$M$151,"&lt;&gt;")+COUNTIFS('الشؤون التنفيذية'!$B$2:$B$421,$B546,'الشؤون التنفيذية'!$G$2:$G$421,$G546,'الشؤون التنفيذية'!$I$2:$I$421,$I546,'الشؤون التنفيذية'!$N$2:$N$421,"&lt;&gt;")+COUNTIFS('الجهاز العسكري'!$B$2:$B$631,$B546,'الجهاز العسكري'!$G$2:$G$631,$G546,'الجهاز العسكري'!$I$2:$I$631,$I546,'الجهاز العسكري'!$M$2:$M$631,"&lt;&gt;")</f>
        <v>1</v>
      </c>
      <c r="N546" s="24" t="n">
        <f aca="false">IF($L546=0,0,ROUND((SUMIFS('المرتبطة بسمو الوزير'!$M$2:$M$151,'المرتبطة بسمو الوزير'!$B$2:$B$151,$B546,'المرتبطة بسمو الوزير'!$G$2:$G$151,$G546,'المرتبطة بسمو الوزير'!$I$2:$I$151,$I546)+SUMIFS('الشؤون التنفيذية'!$N$2:$N$421,'الشؤون التنفيذية'!$B$2:$B$421,$B546,'الشؤون التنفيذية'!$G$2:$G$421,$G546,'الشؤون التنفيذية'!$I$2:$I$421,$I546)+SUMIFS('الجهاز العسكري'!$M$2:$M$631,'الجهاز العسكري'!$B$2:$B$631,$B546,'الجهاز العسكري'!$G$2:$G$631,$G546,'الجهاز العسكري'!$I$2:$I$631,$I546))/$L546,0))</f>
        <v>80</v>
      </c>
      <c r="O546" s="25" t="n">
        <f aca="false">IF($L546=0,0,ROUND((SUMIFS('المرتبطة بسمو الوزير'!$N$2:$N$151,'المرتبطة بسمو الوزير'!$B$2:$B$151,$B546,'المرتبطة بسمو الوزير'!$G$2:$G$151,$G546,'المرتبطة بسمو الوزير'!$I$2:$I$151,$I546)+SUMIFS('الشؤون التنفيذية'!$O$2:$O$421,'الشؤون التنفيذية'!$B$2:$B$421,$B546,'الشؤون التنفيذية'!$G$2:$G$421,$G546,'الشؤون التنفيذية'!$I$2:$I$421,$I546)+SUMIFS('الجهاز العسكري'!$N$2:$N$631,'الجهاز العسكري'!$B$2:$B$631,$B546,'الجهاز العسكري'!$G$2:$G$631,$G546,'الجهاز العسكري'!$I$2:$I$631,$I546))/$L546,0))</f>
        <v>90</v>
      </c>
      <c r="P546" s="22"/>
      <c r="Q546" s="19" t="n">
        <f aca="false">SUMIFS(المرجع!$G$2:$G$19,المرجع!$B$2:$B$19,$G546,المرجع!$E$2:$E$19,$I546)</f>
        <v>20</v>
      </c>
      <c r="R546" s="26" t="n">
        <f aca="false">ROUND($Q546*$N546/100,2)</f>
        <v>16</v>
      </c>
      <c r="S546" s="27" t="str">
        <f aca="false">IF($N546&gt;المرجع!$K$3,"متقدم",IF($N546&lt;=المرجع!$K$2,"أولي","جزئي"))</f>
        <v>متقدم</v>
      </c>
      <c r="T546" s="28" t="n">
        <f aca="false">ROUND($Q546*$O546/100,2)</f>
        <v>18</v>
      </c>
    </row>
    <row r="547" customFormat="false" ht="15" hidden="false" customHeight="true" outlineLevel="0" collapsed="false">
      <c r="A547" s="20" t="s">
        <v>1999</v>
      </c>
      <c r="B547" s="20" t="s">
        <v>218</v>
      </c>
      <c r="C547" s="19" t="str">
        <f aca="false">IFERROR(INDEX('قائمة الوحدات'!$B$2:$B$41,MATCH($B547,'قائمة الوحدات'!$A$2:$A$41,0)),"")</f>
        <v>MIL</v>
      </c>
      <c r="D547" s="18" t="str">
        <f aca="false">IFERROR(INDEX('قائمة الوحدات'!$C$2:$C$41,MATCH($B547,'قائمة الوحدات'!$A$2:$A$41,0)),"")</f>
        <v>الجهاز العسكري</v>
      </c>
      <c r="E547" s="18" t="str">
        <f aca="false">IFERROR(INDEX('قائمة الوحدات'!$D$2:$D$41,MATCH($B547,'قائمة الوحدات'!$A$2:$A$41,0)),"")</f>
        <v>الإدارة العامة للشؤون الهندسية العسكرية</v>
      </c>
      <c r="F547" s="18" t="str">
        <f aca="false">IFERROR(INDEX('قائمة الوحدات'!$F$2:$F$41,MATCH($B547,'قائمة الوحدات'!$A$2:$A$41,0)),"")</f>
        <v>الإدارة العامة للشؤون الهندسية العسكرية</v>
      </c>
      <c r="G547" s="20" t="s">
        <v>44</v>
      </c>
      <c r="H547" s="18" t="str">
        <f aca="false">IFERROR(INDEX(المرجع!$A$2:$A$19,MATCH($G547,المرجع!$B$2:$B$19,0)),"")</f>
        <v>التصميم</v>
      </c>
      <c r="I547" s="20" t="s">
        <v>60</v>
      </c>
      <c r="J547" s="18" t="str">
        <f aca="false">IFERROR(INDEX(المرجع!$D$2:$D$19,MATCH($I547,المرجع!$E$2:$E$19,0)),"")</f>
        <v>الإجراءات</v>
      </c>
      <c r="K547" s="19" t="n">
        <f aca="false">IFERROR(INDEX(المرجع!$F$2:$F$19,MATCH($I547,المرجع!$E$2:$E$19,0)),"")</f>
        <v>6</v>
      </c>
      <c r="L547" s="19" t="n">
        <f aca="false">SUMIFS(المرجع!$H$2:$H$19,المرجع!$B$2:$B$19,$G547,المرجع!$E$2:$E$19,$I547)</f>
        <v>1</v>
      </c>
      <c r="M547" s="19" t="n">
        <f aca="false">COUNTIFS('المرتبطة بسمو الوزير'!$B$2:$B$151,$B547,'المرتبطة بسمو الوزير'!$G$2:$G$151,$G547,'المرتبطة بسمو الوزير'!$I$2:$I$151,$I547,'المرتبطة بسمو الوزير'!$M$2:$M$151,"&lt;&gt;")+COUNTIFS('الشؤون التنفيذية'!$B$2:$B$421,$B547,'الشؤون التنفيذية'!$G$2:$G$421,$G547,'الشؤون التنفيذية'!$I$2:$I$421,$I547,'الشؤون التنفيذية'!$N$2:$N$421,"&lt;&gt;")+COUNTIFS('الجهاز العسكري'!$B$2:$B$631,$B547,'الجهاز العسكري'!$G$2:$G$631,$G547,'الجهاز العسكري'!$I$2:$I$631,$I547,'الجهاز العسكري'!$M$2:$M$631,"&lt;&gt;")</f>
        <v>1</v>
      </c>
      <c r="N547" s="24" t="n">
        <f aca="false">IF($L547=0,0,ROUND((SUMIFS('المرتبطة بسمو الوزير'!$M$2:$M$151,'المرتبطة بسمو الوزير'!$B$2:$B$151,$B547,'المرتبطة بسمو الوزير'!$G$2:$G$151,$G547,'المرتبطة بسمو الوزير'!$I$2:$I$151,$I547)+SUMIFS('الشؤون التنفيذية'!$N$2:$N$421,'الشؤون التنفيذية'!$B$2:$B$421,$B547,'الشؤون التنفيذية'!$G$2:$G$421,$G547,'الشؤون التنفيذية'!$I$2:$I$421,$I547)+SUMIFS('الجهاز العسكري'!$M$2:$M$631,'الجهاز العسكري'!$B$2:$B$631,$B547,'الجهاز العسكري'!$G$2:$G$631,$G547,'الجهاز العسكري'!$I$2:$I$631,$I547))/$L547,0))</f>
        <v>89</v>
      </c>
      <c r="O547" s="25" t="n">
        <f aca="false">IF($L547=0,0,ROUND((SUMIFS('المرتبطة بسمو الوزير'!$N$2:$N$151,'المرتبطة بسمو الوزير'!$B$2:$B$151,$B547,'المرتبطة بسمو الوزير'!$G$2:$G$151,$G547,'المرتبطة بسمو الوزير'!$I$2:$I$151,$I547)+SUMIFS('الشؤون التنفيذية'!$O$2:$O$421,'الشؤون التنفيذية'!$B$2:$B$421,$B547,'الشؤون التنفيذية'!$G$2:$G$421,$G547,'الشؤون التنفيذية'!$I$2:$I$421,$I547)+SUMIFS('الجهاز العسكري'!$N$2:$N$631,'الجهاز العسكري'!$B$2:$B$631,$B547,'الجهاز العسكري'!$G$2:$G$631,$G547,'الجهاز العسكري'!$I$2:$I$631,$I547))/$L547,0))</f>
        <v>95</v>
      </c>
      <c r="P547" s="22"/>
      <c r="Q547" s="19" t="n">
        <f aca="false">SUMIFS(المرجع!$G$2:$G$19,المرجع!$B$2:$B$19,$G547,المرجع!$E$2:$E$19,$I547)</f>
        <v>5</v>
      </c>
      <c r="R547" s="26" t="n">
        <f aca="false">ROUND($Q547*$N547/100,2)</f>
        <v>4.45</v>
      </c>
      <c r="S547" s="27" t="str">
        <f aca="false">IF($N547&gt;المرجع!$K$3,"متقدم",IF($N547&lt;=المرجع!$K$2,"أولي","جزئي"))</f>
        <v>متقدم</v>
      </c>
      <c r="T547" s="28" t="n">
        <f aca="false">ROUND($Q547*$O547/100,2)</f>
        <v>4.75</v>
      </c>
    </row>
    <row r="548" customFormat="false" ht="15" hidden="false" customHeight="true" outlineLevel="0" collapsed="false">
      <c r="A548" s="20" t="s">
        <v>2000</v>
      </c>
      <c r="B548" s="20" t="s">
        <v>218</v>
      </c>
      <c r="C548" s="19" t="str">
        <f aca="false">IFERROR(INDEX('قائمة الوحدات'!$B$2:$B$41,MATCH($B548,'قائمة الوحدات'!$A$2:$A$41,0)),"")</f>
        <v>MIL</v>
      </c>
      <c r="D548" s="18" t="str">
        <f aca="false">IFERROR(INDEX('قائمة الوحدات'!$C$2:$C$41,MATCH($B548,'قائمة الوحدات'!$A$2:$A$41,0)),"")</f>
        <v>الجهاز العسكري</v>
      </c>
      <c r="E548" s="18" t="str">
        <f aca="false">IFERROR(INDEX('قائمة الوحدات'!$D$2:$D$41,MATCH($B548,'قائمة الوحدات'!$A$2:$A$41,0)),"")</f>
        <v>الإدارة العامة للشؤون الهندسية العسكرية</v>
      </c>
      <c r="F548" s="18" t="str">
        <f aca="false">IFERROR(INDEX('قائمة الوحدات'!$F$2:$F$41,MATCH($B548,'قائمة الوحدات'!$A$2:$A$41,0)),"")</f>
        <v>الإدارة العامة للشؤون الهندسية العسكرية</v>
      </c>
      <c r="G548" s="20" t="s">
        <v>62</v>
      </c>
      <c r="H548" s="18" t="str">
        <f aca="false">IFERROR(INDEX(المرجع!$A$2:$A$19,MATCH($G548,المرجع!$B$2:$B$19,0)),"")</f>
        <v>البناء المؤسسي</v>
      </c>
      <c r="I548" s="20" t="s">
        <v>46</v>
      </c>
      <c r="J548" s="18" t="str">
        <f aca="false">IFERROR(INDEX(المرجع!$D$2:$D$19,MATCH($I548,المرجع!$E$2:$E$19,0)),"")</f>
        <v>الدور</v>
      </c>
      <c r="K548" s="19" t="n">
        <f aca="false">IFERROR(INDEX(المرجع!$F$2:$F$19,MATCH($I548,المرجع!$E$2:$E$19,0)),"")</f>
        <v>1</v>
      </c>
      <c r="L548" s="19" t="n">
        <f aca="false">SUMIFS(المرجع!$H$2:$H$19,المرجع!$B$2:$B$19,$G548,المرجع!$E$2:$E$19,$I548)</f>
        <v>1</v>
      </c>
      <c r="M548" s="19" t="n">
        <f aca="false">COUNTIFS('المرتبطة بسمو الوزير'!$B$2:$B$151,$B548,'المرتبطة بسمو الوزير'!$G$2:$G$151,$G548,'المرتبطة بسمو الوزير'!$I$2:$I$151,$I548,'المرتبطة بسمو الوزير'!$M$2:$M$151,"&lt;&gt;")+COUNTIFS('الشؤون التنفيذية'!$B$2:$B$421,$B548,'الشؤون التنفيذية'!$G$2:$G$421,$G548,'الشؤون التنفيذية'!$I$2:$I$421,$I548,'الشؤون التنفيذية'!$N$2:$N$421,"&lt;&gt;")+COUNTIFS('الجهاز العسكري'!$B$2:$B$631,$B548,'الجهاز العسكري'!$G$2:$G$631,$G548,'الجهاز العسكري'!$I$2:$I$631,$I548,'الجهاز العسكري'!$M$2:$M$631,"&lt;&gt;")</f>
        <v>1</v>
      </c>
      <c r="N548" s="24" t="n">
        <f aca="false">IF($L548=0,0,ROUND((SUMIFS('المرتبطة بسمو الوزير'!$M$2:$M$151,'المرتبطة بسمو الوزير'!$B$2:$B$151,$B548,'المرتبطة بسمو الوزير'!$G$2:$G$151,$G548,'المرتبطة بسمو الوزير'!$I$2:$I$151,$I548)+SUMIFS('الشؤون التنفيذية'!$N$2:$N$421,'الشؤون التنفيذية'!$B$2:$B$421,$B548,'الشؤون التنفيذية'!$G$2:$G$421,$G548,'الشؤون التنفيذية'!$I$2:$I$421,$I548)+SUMIFS('الجهاز العسكري'!$M$2:$M$631,'الجهاز العسكري'!$B$2:$B$631,$B548,'الجهاز العسكري'!$G$2:$G$631,$G548,'الجهاز العسكري'!$I$2:$I$631,$I548))/$L548,0))</f>
        <v>52</v>
      </c>
      <c r="O548" s="25" t="n">
        <f aca="false">IF($L548=0,0,ROUND((SUMIFS('المرتبطة بسمو الوزير'!$N$2:$N$151,'المرتبطة بسمو الوزير'!$B$2:$B$151,$B548,'المرتبطة بسمو الوزير'!$G$2:$G$151,$G548,'المرتبطة بسمو الوزير'!$I$2:$I$151,$I548)+SUMIFS('الشؤون التنفيذية'!$O$2:$O$421,'الشؤون التنفيذية'!$B$2:$B$421,$B548,'الشؤون التنفيذية'!$G$2:$G$421,$G548,'الشؤون التنفيذية'!$I$2:$I$421,$I548)+SUMIFS('الجهاز العسكري'!$N$2:$N$631,'الجهاز العسكري'!$B$2:$B$631,$B548,'الجهاز العسكري'!$G$2:$G$631,$G548,'الجهاز العسكري'!$I$2:$I$631,$I548))/$L548,0))</f>
        <v>80</v>
      </c>
      <c r="P548" s="22"/>
      <c r="Q548" s="19" t="n">
        <f aca="false">SUMIFS(المرجع!$G$2:$G$19,المرجع!$B$2:$B$19,$G548,المرجع!$E$2:$E$19,$I548)</f>
        <v>15</v>
      </c>
      <c r="R548" s="26" t="n">
        <f aca="false">ROUND($Q548*$N548/100,2)</f>
        <v>7.8</v>
      </c>
      <c r="S548" s="27" t="str">
        <f aca="false">IF($N548&gt;المرجع!$K$3,"متقدم",IF($N548&lt;=المرجع!$K$2,"أولي","جزئي"))</f>
        <v>جزئي</v>
      </c>
      <c r="T548" s="28" t="n">
        <f aca="false">ROUND($Q548*$O548/100,2)</f>
        <v>12</v>
      </c>
    </row>
    <row r="549" customFormat="false" ht="15" hidden="false" customHeight="true" outlineLevel="0" collapsed="false">
      <c r="A549" s="20" t="s">
        <v>2001</v>
      </c>
      <c r="B549" s="20" t="s">
        <v>218</v>
      </c>
      <c r="C549" s="19" t="str">
        <f aca="false">IFERROR(INDEX('قائمة الوحدات'!$B$2:$B$41,MATCH($B549,'قائمة الوحدات'!$A$2:$A$41,0)),"")</f>
        <v>MIL</v>
      </c>
      <c r="D549" s="18" t="str">
        <f aca="false">IFERROR(INDEX('قائمة الوحدات'!$C$2:$C$41,MATCH($B549,'قائمة الوحدات'!$A$2:$A$41,0)),"")</f>
        <v>الجهاز العسكري</v>
      </c>
      <c r="E549" s="18" t="str">
        <f aca="false">IFERROR(INDEX('قائمة الوحدات'!$D$2:$D$41,MATCH($B549,'قائمة الوحدات'!$A$2:$A$41,0)),"")</f>
        <v>الإدارة العامة للشؤون الهندسية العسكرية</v>
      </c>
      <c r="F549" s="18" t="str">
        <f aca="false">IFERROR(INDEX('قائمة الوحدات'!$F$2:$F$41,MATCH($B549,'قائمة الوحدات'!$A$2:$A$41,0)),"")</f>
        <v>الإدارة العامة للشؤون الهندسية العسكرية</v>
      </c>
      <c r="G549" s="20" t="s">
        <v>62</v>
      </c>
      <c r="H549" s="18" t="str">
        <f aca="false">IFERROR(INDEX(المرجع!$A$2:$A$19,MATCH($G549,المرجع!$B$2:$B$19,0)),"")</f>
        <v>البناء المؤسسي</v>
      </c>
      <c r="I549" s="20" t="s">
        <v>49</v>
      </c>
      <c r="J549" s="18" t="str">
        <f aca="false">IFERROR(INDEX(المرجع!$D$2:$D$19,MATCH($I549,المرجع!$E$2:$E$19,0)),"")</f>
        <v>الأهداف ومؤشرات الأداء</v>
      </c>
      <c r="K549" s="19" t="n">
        <f aca="false">IFERROR(INDEX(المرجع!$F$2:$F$19,MATCH($I549,المرجع!$E$2:$E$19,0)),"")</f>
        <v>2</v>
      </c>
      <c r="L549" s="19" t="n">
        <f aca="false">SUMIFS(المرجع!$H$2:$H$19,المرجع!$B$2:$B$19,$G549,المرجع!$E$2:$E$19,$I549)</f>
        <v>2</v>
      </c>
      <c r="M549" s="19" t="n">
        <f aca="false">COUNTIFS('المرتبطة بسمو الوزير'!$B$2:$B$151,$B549,'المرتبطة بسمو الوزير'!$G$2:$G$151,$G549,'المرتبطة بسمو الوزير'!$I$2:$I$151,$I549,'المرتبطة بسمو الوزير'!$M$2:$M$151,"&lt;&gt;")+COUNTIFS('الشؤون التنفيذية'!$B$2:$B$421,$B549,'الشؤون التنفيذية'!$G$2:$G$421,$G549,'الشؤون التنفيذية'!$I$2:$I$421,$I549,'الشؤون التنفيذية'!$N$2:$N$421,"&lt;&gt;")+COUNTIFS('الجهاز العسكري'!$B$2:$B$631,$B549,'الجهاز العسكري'!$G$2:$G$631,$G549,'الجهاز العسكري'!$I$2:$I$631,$I549,'الجهاز العسكري'!$M$2:$M$631,"&lt;&gt;")</f>
        <v>2</v>
      </c>
      <c r="N549" s="24" t="n">
        <f aca="false">IF($L549=0,0,ROUND((SUMIFS('المرتبطة بسمو الوزير'!$M$2:$M$151,'المرتبطة بسمو الوزير'!$B$2:$B$151,$B549,'المرتبطة بسمو الوزير'!$G$2:$G$151,$G549,'المرتبطة بسمو الوزير'!$I$2:$I$151,$I549)+SUMIFS('الشؤون التنفيذية'!$N$2:$N$421,'الشؤون التنفيذية'!$B$2:$B$421,$B549,'الشؤون التنفيذية'!$G$2:$G$421,$G549,'الشؤون التنفيذية'!$I$2:$I$421,$I549)+SUMIFS('الجهاز العسكري'!$M$2:$M$631,'الجهاز العسكري'!$B$2:$B$631,$B549,'الجهاز العسكري'!$G$2:$G$631,$G549,'الجهاز العسكري'!$I$2:$I$631,$I549))/$L549,0))</f>
        <v>65</v>
      </c>
      <c r="O549" s="25" t="n">
        <f aca="false">IF($L549=0,0,ROUND((SUMIFS('المرتبطة بسمو الوزير'!$N$2:$N$151,'المرتبطة بسمو الوزير'!$B$2:$B$151,$B549,'المرتبطة بسمو الوزير'!$G$2:$G$151,$G549,'المرتبطة بسمو الوزير'!$I$2:$I$151,$I549)+SUMIFS('الشؤون التنفيذية'!$O$2:$O$421,'الشؤون التنفيذية'!$B$2:$B$421,$B549,'الشؤون التنفيذية'!$G$2:$G$421,$G549,'الشؤون التنفيذية'!$I$2:$I$421,$I549)+SUMIFS('الجهاز العسكري'!$N$2:$N$631,'الجهاز العسكري'!$B$2:$B$631,$B549,'الجهاز العسكري'!$G$2:$G$631,$G549,'الجهاز العسكري'!$I$2:$I$631,$I549))/$L549,0))</f>
        <v>100</v>
      </c>
      <c r="P549" s="22"/>
      <c r="Q549" s="19" t="n">
        <f aca="false">SUMIFS(المرجع!$G$2:$G$19,المرجع!$B$2:$B$19,$G549,المرجع!$E$2:$E$19,$I549)</f>
        <v>15</v>
      </c>
      <c r="R549" s="26" t="n">
        <f aca="false">ROUND($Q549*$N549/100,2)</f>
        <v>9.75</v>
      </c>
      <c r="S549" s="27" t="str">
        <f aca="false">IF($N549&gt;المرجع!$K$3,"متقدم",IF($N549&lt;=المرجع!$K$2,"أولي","جزئي"))</f>
        <v>جزئي</v>
      </c>
      <c r="T549" s="28" t="n">
        <f aca="false">ROUND($Q549*$O549/100,2)</f>
        <v>15</v>
      </c>
    </row>
    <row r="550" customFormat="false" ht="15" hidden="false" customHeight="true" outlineLevel="0" collapsed="false">
      <c r="A550" s="20" t="s">
        <v>2002</v>
      </c>
      <c r="B550" s="20" t="s">
        <v>218</v>
      </c>
      <c r="C550" s="19" t="str">
        <f aca="false">IFERROR(INDEX('قائمة الوحدات'!$B$2:$B$41,MATCH($B550,'قائمة الوحدات'!$A$2:$A$41,0)),"")</f>
        <v>MIL</v>
      </c>
      <c r="D550" s="18" t="str">
        <f aca="false">IFERROR(INDEX('قائمة الوحدات'!$C$2:$C$41,MATCH($B550,'قائمة الوحدات'!$A$2:$A$41,0)),"")</f>
        <v>الجهاز العسكري</v>
      </c>
      <c r="E550" s="18" t="str">
        <f aca="false">IFERROR(INDEX('قائمة الوحدات'!$D$2:$D$41,MATCH($B550,'قائمة الوحدات'!$A$2:$A$41,0)),"")</f>
        <v>الإدارة العامة للشؤون الهندسية العسكرية</v>
      </c>
      <c r="F550" s="18" t="str">
        <f aca="false">IFERROR(INDEX('قائمة الوحدات'!$F$2:$F$41,MATCH($B550,'قائمة الوحدات'!$A$2:$A$41,0)),"")</f>
        <v>الإدارة العامة للشؤون الهندسية العسكرية</v>
      </c>
      <c r="G550" s="20" t="s">
        <v>62</v>
      </c>
      <c r="H550" s="18" t="str">
        <f aca="false">IFERROR(INDEX(المرجع!$A$2:$A$19,MATCH($G550,المرجع!$B$2:$B$19,0)),"")</f>
        <v>البناء المؤسسي</v>
      </c>
      <c r="I550" s="20" t="s">
        <v>52</v>
      </c>
      <c r="J550" s="18" t="str">
        <f aca="false">IFERROR(INDEX(المرجع!$D$2:$D$19,MATCH($I550,المرجع!$E$2:$E$19,0)),"")</f>
        <v>الحوكمة</v>
      </c>
      <c r="K550" s="19" t="n">
        <f aca="false">IFERROR(INDEX(المرجع!$F$2:$F$19,MATCH($I550,المرجع!$E$2:$E$19,0)),"")</f>
        <v>3</v>
      </c>
      <c r="L550" s="19" t="n">
        <f aca="false">SUMIFS(المرجع!$H$2:$H$19,المرجع!$B$2:$B$19,$G550,المرجع!$E$2:$E$19,$I550)</f>
        <v>3</v>
      </c>
      <c r="M550" s="19" t="n">
        <f aca="false">COUNTIFS('المرتبطة بسمو الوزير'!$B$2:$B$151,$B550,'المرتبطة بسمو الوزير'!$G$2:$G$151,$G550,'المرتبطة بسمو الوزير'!$I$2:$I$151,$I550,'المرتبطة بسمو الوزير'!$M$2:$M$151,"&lt;&gt;")+COUNTIFS('الشؤون التنفيذية'!$B$2:$B$421,$B550,'الشؤون التنفيذية'!$G$2:$G$421,$G550,'الشؤون التنفيذية'!$I$2:$I$421,$I550,'الشؤون التنفيذية'!$N$2:$N$421,"&lt;&gt;")+COUNTIFS('الجهاز العسكري'!$B$2:$B$631,$B550,'الجهاز العسكري'!$G$2:$G$631,$G550,'الجهاز العسكري'!$I$2:$I$631,$I550,'الجهاز العسكري'!$M$2:$M$631,"&lt;&gt;")</f>
        <v>3</v>
      </c>
      <c r="N550" s="24" t="n">
        <f aca="false">IF($L550=0,0,ROUND((SUMIFS('المرتبطة بسمو الوزير'!$M$2:$M$151,'المرتبطة بسمو الوزير'!$B$2:$B$151,$B550,'المرتبطة بسمو الوزير'!$G$2:$G$151,$G550,'المرتبطة بسمو الوزير'!$I$2:$I$151,$I550)+SUMIFS('الشؤون التنفيذية'!$N$2:$N$421,'الشؤون التنفيذية'!$B$2:$B$421,$B550,'الشؤون التنفيذية'!$G$2:$G$421,$G550,'الشؤون التنفيذية'!$I$2:$I$421,$I550)+SUMIFS('الجهاز العسكري'!$M$2:$M$631,'الجهاز العسكري'!$B$2:$B$631,$B550,'الجهاز العسكري'!$G$2:$G$631,$G550,'الجهاز العسكري'!$I$2:$I$631,$I550))/$L550,0))</f>
        <v>67</v>
      </c>
      <c r="O550" s="25" t="n">
        <f aca="false">IF($L550=0,0,ROUND((SUMIFS('المرتبطة بسمو الوزير'!$N$2:$N$151,'المرتبطة بسمو الوزير'!$B$2:$B$151,$B550,'المرتبطة بسمو الوزير'!$G$2:$G$151,$G550,'المرتبطة بسمو الوزير'!$I$2:$I$151,$I550)+SUMIFS('الشؤون التنفيذية'!$O$2:$O$421,'الشؤون التنفيذية'!$B$2:$B$421,$B550,'الشؤون التنفيذية'!$G$2:$G$421,$G550,'الشؤون التنفيذية'!$I$2:$I$421,$I550)+SUMIFS('الجهاز العسكري'!$N$2:$N$631,'الجهاز العسكري'!$B$2:$B$631,$B550,'الجهاز العسكري'!$G$2:$G$631,$G550,'الجهاز العسكري'!$I$2:$I$631,$I550))/$L550,0))</f>
        <v>93</v>
      </c>
      <c r="P550" s="22"/>
      <c r="Q550" s="19" t="n">
        <f aca="false">SUMIFS(المرجع!$G$2:$G$19,المرجع!$B$2:$B$19,$G550,المرجع!$E$2:$E$19,$I550)</f>
        <v>15</v>
      </c>
      <c r="R550" s="26" t="n">
        <f aca="false">ROUND($Q550*$N550/100,2)</f>
        <v>10.05</v>
      </c>
      <c r="S550" s="27" t="str">
        <f aca="false">IF($N550&gt;المرجع!$K$3,"متقدم",IF($N550&lt;=المرجع!$K$2,"أولي","جزئي"))</f>
        <v>جزئي</v>
      </c>
      <c r="T550" s="28" t="n">
        <f aca="false">ROUND($Q550*$O550/100,2)</f>
        <v>13.95</v>
      </c>
    </row>
    <row r="551" customFormat="false" ht="15" hidden="false" customHeight="true" outlineLevel="0" collapsed="false">
      <c r="A551" s="20" t="s">
        <v>2003</v>
      </c>
      <c r="B551" s="20" t="s">
        <v>218</v>
      </c>
      <c r="C551" s="19" t="str">
        <f aca="false">IFERROR(INDEX('قائمة الوحدات'!$B$2:$B$41,MATCH($B551,'قائمة الوحدات'!$A$2:$A$41,0)),"")</f>
        <v>MIL</v>
      </c>
      <c r="D551" s="18" t="str">
        <f aca="false">IFERROR(INDEX('قائمة الوحدات'!$C$2:$C$41,MATCH($B551,'قائمة الوحدات'!$A$2:$A$41,0)),"")</f>
        <v>الجهاز العسكري</v>
      </c>
      <c r="E551" s="18" t="str">
        <f aca="false">IFERROR(INDEX('قائمة الوحدات'!$D$2:$D$41,MATCH($B551,'قائمة الوحدات'!$A$2:$A$41,0)),"")</f>
        <v>الإدارة العامة للشؤون الهندسية العسكرية</v>
      </c>
      <c r="F551" s="18" t="str">
        <f aca="false">IFERROR(INDEX('قائمة الوحدات'!$F$2:$F$41,MATCH($B551,'قائمة الوحدات'!$A$2:$A$41,0)),"")</f>
        <v>الإدارة العامة للشؤون الهندسية العسكرية</v>
      </c>
      <c r="G551" s="20" t="s">
        <v>62</v>
      </c>
      <c r="H551" s="18" t="str">
        <f aca="false">IFERROR(INDEX(المرجع!$A$2:$A$19,MATCH($G551,المرجع!$B$2:$B$19,0)),"")</f>
        <v>البناء المؤسسي</v>
      </c>
      <c r="I551" s="20" t="s">
        <v>55</v>
      </c>
      <c r="J551" s="18" t="str">
        <f aca="false">IFERROR(INDEX(المرجع!$D$2:$D$19,MATCH($I551,المرجع!$E$2:$E$19,0)),"")</f>
        <v>التنظيم</v>
      </c>
      <c r="K551" s="19" t="n">
        <f aca="false">IFERROR(INDEX(المرجع!$F$2:$F$19,MATCH($I551,المرجع!$E$2:$E$19,0)),"")</f>
        <v>4</v>
      </c>
      <c r="L551" s="19" t="n">
        <f aca="false">SUMIFS(المرجع!$H$2:$H$19,المرجع!$B$2:$B$19,$G551,المرجع!$E$2:$E$19,$I551)</f>
        <v>3</v>
      </c>
      <c r="M551" s="19" t="n">
        <f aca="false">COUNTIFS('المرتبطة بسمو الوزير'!$B$2:$B$151,$B551,'المرتبطة بسمو الوزير'!$G$2:$G$151,$G551,'المرتبطة بسمو الوزير'!$I$2:$I$151,$I551,'المرتبطة بسمو الوزير'!$M$2:$M$151,"&lt;&gt;")+COUNTIFS('الشؤون التنفيذية'!$B$2:$B$421,$B551,'الشؤون التنفيذية'!$G$2:$G$421,$G551,'الشؤون التنفيذية'!$I$2:$I$421,$I551,'الشؤون التنفيذية'!$N$2:$N$421,"&lt;&gt;")+COUNTIFS('الجهاز العسكري'!$B$2:$B$631,$B551,'الجهاز العسكري'!$G$2:$G$631,$G551,'الجهاز العسكري'!$I$2:$I$631,$I551,'الجهاز العسكري'!$M$2:$M$631,"&lt;&gt;")</f>
        <v>3</v>
      </c>
      <c r="N551" s="24" t="n">
        <f aca="false">IF($L551=0,0,ROUND((SUMIFS('المرتبطة بسمو الوزير'!$M$2:$M$151,'المرتبطة بسمو الوزير'!$B$2:$B$151,$B551,'المرتبطة بسمو الوزير'!$G$2:$G$151,$G551,'المرتبطة بسمو الوزير'!$I$2:$I$151,$I551)+SUMIFS('الشؤون التنفيذية'!$N$2:$N$421,'الشؤون التنفيذية'!$B$2:$B$421,$B551,'الشؤون التنفيذية'!$G$2:$G$421,$G551,'الشؤون التنفيذية'!$I$2:$I$421,$I551)+SUMIFS('الجهاز العسكري'!$M$2:$M$631,'الجهاز العسكري'!$B$2:$B$631,$B551,'الجهاز العسكري'!$G$2:$G$631,$G551,'الجهاز العسكري'!$I$2:$I$631,$I551))/$L551,0))</f>
        <v>35</v>
      </c>
      <c r="O551" s="25" t="n">
        <f aca="false">IF($L551=0,0,ROUND((SUMIFS('المرتبطة بسمو الوزير'!$N$2:$N$151,'المرتبطة بسمو الوزير'!$B$2:$B$151,$B551,'المرتبطة بسمو الوزير'!$G$2:$G$151,$G551,'المرتبطة بسمو الوزير'!$I$2:$I$151,$I551)+SUMIFS('الشؤون التنفيذية'!$O$2:$O$421,'الشؤون التنفيذية'!$B$2:$B$421,$B551,'الشؤون التنفيذية'!$G$2:$G$421,$G551,'الشؤون التنفيذية'!$I$2:$I$421,$I551)+SUMIFS('الجهاز العسكري'!$N$2:$N$631,'الجهاز العسكري'!$B$2:$B$631,$B551,'الجهاز العسكري'!$G$2:$G$631,$G551,'الجهاز العسكري'!$I$2:$I$631,$I551))/$L551,0))</f>
        <v>83</v>
      </c>
      <c r="P551" s="22"/>
      <c r="Q551" s="19" t="n">
        <f aca="false">SUMIFS(المرجع!$G$2:$G$19,المرجع!$B$2:$B$19,$G551,المرجع!$E$2:$E$19,$I551)</f>
        <v>20</v>
      </c>
      <c r="R551" s="26" t="n">
        <f aca="false">ROUND($Q551*$N551/100,2)</f>
        <v>7</v>
      </c>
      <c r="S551" s="27" t="str">
        <f aca="false">IF($N551&gt;المرجع!$K$3,"متقدم",IF($N551&lt;=المرجع!$K$2,"أولي","جزئي"))</f>
        <v>جزئي</v>
      </c>
      <c r="T551" s="28" t="n">
        <f aca="false">ROUND($Q551*$O551/100,2)</f>
        <v>16.6</v>
      </c>
    </row>
    <row r="552" customFormat="false" ht="15" hidden="false" customHeight="true" outlineLevel="0" collapsed="false">
      <c r="A552" s="20" t="s">
        <v>2004</v>
      </c>
      <c r="B552" s="20" t="s">
        <v>218</v>
      </c>
      <c r="C552" s="19" t="str">
        <f aca="false">IFERROR(INDEX('قائمة الوحدات'!$B$2:$B$41,MATCH($B552,'قائمة الوحدات'!$A$2:$A$41,0)),"")</f>
        <v>MIL</v>
      </c>
      <c r="D552" s="18" t="str">
        <f aca="false">IFERROR(INDEX('قائمة الوحدات'!$C$2:$C$41,MATCH($B552,'قائمة الوحدات'!$A$2:$A$41,0)),"")</f>
        <v>الجهاز العسكري</v>
      </c>
      <c r="E552" s="18" t="str">
        <f aca="false">IFERROR(INDEX('قائمة الوحدات'!$D$2:$D$41,MATCH($B552,'قائمة الوحدات'!$A$2:$A$41,0)),"")</f>
        <v>الإدارة العامة للشؤون الهندسية العسكرية</v>
      </c>
      <c r="F552" s="18" t="str">
        <f aca="false">IFERROR(INDEX('قائمة الوحدات'!$F$2:$F$41,MATCH($B552,'قائمة الوحدات'!$A$2:$A$41,0)),"")</f>
        <v>الإدارة العامة للشؤون الهندسية العسكرية</v>
      </c>
      <c r="G552" s="20" t="s">
        <v>62</v>
      </c>
      <c r="H552" s="18" t="str">
        <f aca="false">IFERROR(INDEX(المرجع!$A$2:$A$19,MATCH($G552,المرجع!$B$2:$B$19,0)),"")</f>
        <v>البناء المؤسسي</v>
      </c>
      <c r="I552" s="20" t="s">
        <v>57</v>
      </c>
      <c r="J552" s="18" t="str">
        <f aca="false">IFERROR(INDEX(المرجع!$D$2:$D$19,MATCH($I552,المرجع!$E$2:$E$19,0)),"")</f>
        <v>الموارد</v>
      </c>
      <c r="K552" s="19" t="n">
        <f aca="false">IFERROR(INDEX(المرجع!$F$2:$F$19,MATCH($I552,المرجع!$E$2:$E$19,0)),"")</f>
        <v>5</v>
      </c>
      <c r="L552" s="19" t="n">
        <f aca="false">SUMIFS(المرجع!$H$2:$H$19,المرجع!$B$2:$B$19,$G552,المرجع!$E$2:$E$19,$I552)</f>
        <v>4</v>
      </c>
      <c r="M552" s="19" t="n">
        <f aca="false">COUNTIFS('المرتبطة بسمو الوزير'!$B$2:$B$151,$B552,'المرتبطة بسمو الوزير'!$G$2:$G$151,$G552,'المرتبطة بسمو الوزير'!$I$2:$I$151,$I552,'المرتبطة بسمو الوزير'!$M$2:$M$151,"&lt;&gt;")+COUNTIFS('الشؤون التنفيذية'!$B$2:$B$421,$B552,'الشؤون التنفيذية'!$G$2:$G$421,$G552,'الشؤون التنفيذية'!$I$2:$I$421,$I552,'الشؤون التنفيذية'!$N$2:$N$421,"&lt;&gt;")+COUNTIFS('الجهاز العسكري'!$B$2:$B$631,$B552,'الجهاز العسكري'!$G$2:$G$631,$G552,'الجهاز العسكري'!$I$2:$I$631,$I552,'الجهاز العسكري'!$M$2:$M$631,"&lt;&gt;")</f>
        <v>4</v>
      </c>
      <c r="N552" s="24" t="n">
        <f aca="false">IF($L552=0,0,ROUND((SUMIFS('المرتبطة بسمو الوزير'!$M$2:$M$151,'المرتبطة بسمو الوزير'!$B$2:$B$151,$B552,'المرتبطة بسمو الوزير'!$G$2:$G$151,$G552,'المرتبطة بسمو الوزير'!$I$2:$I$151,$I552)+SUMIFS('الشؤون التنفيذية'!$N$2:$N$421,'الشؤون التنفيذية'!$B$2:$B$421,$B552,'الشؤون التنفيذية'!$G$2:$G$421,$G552,'الشؤون التنفيذية'!$I$2:$I$421,$I552)+SUMIFS('الجهاز العسكري'!$M$2:$M$631,'الجهاز العسكري'!$B$2:$B$631,$B552,'الجهاز العسكري'!$G$2:$G$631,$G552,'الجهاز العسكري'!$I$2:$I$631,$I552))/$L552,0))</f>
        <v>70</v>
      </c>
      <c r="O552" s="25" t="n">
        <f aca="false">IF($L552=0,0,ROUND((SUMIFS('المرتبطة بسمو الوزير'!$N$2:$N$151,'المرتبطة بسمو الوزير'!$B$2:$B$151,$B552,'المرتبطة بسمو الوزير'!$G$2:$G$151,$G552,'المرتبطة بسمو الوزير'!$I$2:$I$151,$I552)+SUMIFS('الشؤون التنفيذية'!$O$2:$O$421,'الشؤون التنفيذية'!$B$2:$B$421,$B552,'الشؤون التنفيذية'!$G$2:$G$421,$G552,'الشؤون التنفيذية'!$I$2:$I$421,$I552)+SUMIFS('الجهاز العسكري'!$N$2:$N$631,'الجهاز العسكري'!$B$2:$B$631,$B552,'الجهاز العسكري'!$G$2:$G$631,$G552,'الجهاز العسكري'!$I$2:$I$631,$I552))/$L552,0))</f>
        <v>91</v>
      </c>
      <c r="P552" s="22"/>
      <c r="Q552" s="19" t="n">
        <f aca="false">SUMIFS(المرجع!$G$2:$G$19,المرجع!$B$2:$B$19,$G552,المرجع!$E$2:$E$19,$I552)</f>
        <v>25</v>
      </c>
      <c r="R552" s="26" t="n">
        <f aca="false">ROUND($Q552*$N552/100,2)</f>
        <v>17.5</v>
      </c>
      <c r="S552" s="27" t="str">
        <f aca="false">IF($N552&gt;المرجع!$K$3,"متقدم",IF($N552&lt;=المرجع!$K$2,"أولي","جزئي"))</f>
        <v>جزئي</v>
      </c>
      <c r="T552" s="28" t="n">
        <f aca="false">ROUND($Q552*$O552/100,2)</f>
        <v>22.75</v>
      </c>
    </row>
    <row r="553" customFormat="false" ht="15" hidden="false" customHeight="true" outlineLevel="0" collapsed="false">
      <c r="A553" s="20" t="s">
        <v>2005</v>
      </c>
      <c r="B553" s="20" t="s">
        <v>218</v>
      </c>
      <c r="C553" s="19" t="str">
        <f aca="false">IFERROR(INDEX('قائمة الوحدات'!$B$2:$B$41,MATCH($B553,'قائمة الوحدات'!$A$2:$A$41,0)),"")</f>
        <v>MIL</v>
      </c>
      <c r="D553" s="18" t="str">
        <f aca="false">IFERROR(INDEX('قائمة الوحدات'!$C$2:$C$41,MATCH($B553,'قائمة الوحدات'!$A$2:$A$41,0)),"")</f>
        <v>الجهاز العسكري</v>
      </c>
      <c r="E553" s="18" t="str">
        <f aca="false">IFERROR(INDEX('قائمة الوحدات'!$D$2:$D$41,MATCH($B553,'قائمة الوحدات'!$A$2:$A$41,0)),"")</f>
        <v>الإدارة العامة للشؤون الهندسية العسكرية</v>
      </c>
      <c r="F553" s="18" t="str">
        <f aca="false">IFERROR(INDEX('قائمة الوحدات'!$F$2:$F$41,MATCH($B553,'قائمة الوحدات'!$A$2:$A$41,0)),"")</f>
        <v>الإدارة العامة للشؤون الهندسية العسكرية</v>
      </c>
      <c r="G553" s="20" t="s">
        <v>62</v>
      </c>
      <c r="H553" s="18" t="str">
        <f aca="false">IFERROR(INDEX(المرجع!$A$2:$A$19,MATCH($G553,المرجع!$B$2:$B$19,0)),"")</f>
        <v>البناء المؤسسي</v>
      </c>
      <c r="I553" s="20" t="s">
        <v>60</v>
      </c>
      <c r="J553" s="18" t="str">
        <f aca="false">IFERROR(INDEX(المرجع!$D$2:$D$19,MATCH($I553,المرجع!$E$2:$E$19,0)),"")</f>
        <v>الإجراءات</v>
      </c>
      <c r="K553" s="19" t="n">
        <f aca="false">IFERROR(INDEX(المرجع!$F$2:$F$19,MATCH($I553,المرجع!$E$2:$E$19,0)),"")</f>
        <v>6</v>
      </c>
      <c r="L553" s="19" t="n">
        <f aca="false">SUMIFS(المرجع!$H$2:$H$19,المرجع!$B$2:$B$19,$G553,المرجع!$E$2:$E$19,$I553)</f>
        <v>1</v>
      </c>
      <c r="M553" s="19" t="n">
        <f aca="false">COUNTIFS('المرتبطة بسمو الوزير'!$B$2:$B$151,$B553,'المرتبطة بسمو الوزير'!$G$2:$G$151,$G553,'المرتبطة بسمو الوزير'!$I$2:$I$151,$I553,'المرتبطة بسمو الوزير'!$M$2:$M$151,"&lt;&gt;")+COUNTIFS('الشؤون التنفيذية'!$B$2:$B$421,$B553,'الشؤون التنفيذية'!$G$2:$G$421,$G553,'الشؤون التنفيذية'!$I$2:$I$421,$I553,'الشؤون التنفيذية'!$N$2:$N$421,"&lt;&gt;")+COUNTIFS('الجهاز العسكري'!$B$2:$B$631,$B553,'الجهاز العسكري'!$G$2:$G$631,$G553,'الجهاز العسكري'!$I$2:$I$631,$I553,'الجهاز العسكري'!$M$2:$M$631,"&lt;&gt;")</f>
        <v>1</v>
      </c>
      <c r="N553" s="24" t="n">
        <f aca="false">IF($L553=0,0,ROUND((SUMIFS('المرتبطة بسمو الوزير'!$M$2:$M$151,'المرتبطة بسمو الوزير'!$B$2:$B$151,$B553,'المرتبطة بسمو الوزير'!$G$2:$G$151,$G553,'المرتبطة بسمو الوزير'!$I$2:$I$151,$I553)+SUMIFS('الشؤون التنفيذية'!$N$2:$N$421,'الشؤون التنفيذية'!$B$2:$B$421,$B553,'الشؤون التنفيذية'!$G$2:$G$421,$G553,'الشؤون التنفيذية'!$I$2:$I$421,$I553)+SUMIFS('الجهاز العسكري'!$M$2:$M$631,'الجهاز العسكري'!$B$2:$B$631,$B553,'الجهاز العسكري'!$G$2:$G$631,$G553,'الجهاز العسكري'!$I$2:$I$631,$I553))/$L553,0))</f>
        <v>70</v>
      </c>
      <c r="O553" s="25" t="n">
        <f aca="false">IF($L553=0,0,ROUND((SUMIFS('المرتبطة بسمو الوزير'!$N$2:$N$151,'المرتبطة بسمو الوزير'!$B$2:$B$151,$B553,'المرتبطة بسمو الوزير'!$G$2:$G$151,$G553,'المرتبطة بسمو الوزير'!$I$2:$I$151,$I553)+SUMIFS('الشؤون التنفيذية'!$O$2:$O$421,'الشؤون التنفيذية'!$B$2:$B$421,$B553,'الشؤون التنفيذية'!$G$2:$G$421,$G553,'الشؤون التنفيذية'!$I$2:$I$421,$I553)+SUMIFS('الجهاز العسكري'!$N$2:$N$631,'الجهاز العسكري'!$B$2:$B$631,$B553,'الجهاز العسكري'!$G$2:$G$631,$G553,'الجهاز العسكري'!$I$2:$I$631,$I553))/$L553,0))</f>
        <v>100</v>
      </c>
      <c r="P553" s="22"/>
      <c r="Q553" s="19" t="n">
        <f aca="false">SUMIFS(المرجع!$G$2:$G$19,المرجع!$B$2:$B$19,$G553,المرجع!$E$2:$E$19,$I553)</f>
        <v>5</v>
      </c>
      <c r="R553" s="26" t="n">
        <f aca="false">ROUND($Q553*$N553/100,2)</f>
        <v>3.5</v>
      </c>
      <c r="S553" s="27" t="str">
        <f aca="false">IF($N553&gt;المرجع!$K$3,"متقدم",IF($N553&lt;=المرجع!$K$2,"أولي","جزئي"))</f>
        <v>جزئي</v>
      </c>
      <c r="T553" s="28" t="n">
        <f aca="false">ROUND($Q553*$O553/100,2)</f>
        <v>5</v>
      </c>
    </row>
    <row r="554" customFormat="false" ht="15" hidden="false" customHeight="true" outlineLevel="0" collapsed="false">
      <c r="A554" s="20" t="s">
        <v>2006</v>
      </c>
      <c r="B554" s="20" t="s">
        <v>218</v>
      </c>
      <c r="C554" s="19" t="str">
        <f aca="false">IFERROR(INDEX('قائمة الوحدات'!$B$2:$B$41,MATCH($B554,'قائمة الوحدات'!$A$2:$A$41,0)),"")</f>
        <v>MIL</v>
      </c>
      <c r="D554" s="18" t="str">
        <f aca="false">IFERROR(INDEX('قائمة الوحدات'!$C$2:$C$41,MATCH($B554,'قائمة الوحدات'!$A$2:$A$41,0)),"")</f>
        <v>الجهاز العسكري</v>
      </c>
      <c r="E554" s="18" t="str">
        <f aca="false">IFERROR(INDEX('قائمة الوحدات'!$D$2:$D$41,MATCH($B554,'قائمة الوحدات'!$A$2:$A$41,0)),"")</f>
        <v>الإدارة العامة للشؤون الهندسية العسكرية</v>
      </c>
      <c r="F554" s="18" t="str">
        <f aca="false">IFERROR(INDEX('قائمة الوحدات'!$F$2:$F$41,MATCH($B554,'قائمة الوحدات'!$A$2:$A$41,0)),"")</f>
        <v>الإدارة العامة للشؤون الهندسية العسكرية</v>
      </c>
      <c r="G554" s="20" t="s">
        <v>62</v>
      </c>
      <c r="H554" s="18" t="str">
        <f aca="false">IFERROR(INDEX(المرجع!$A$2:$A$19,MATCH($G554,المرجع!$B$2:$B$19,0)),"")</f>
        <v>البناء المؤسسي</v>
      </c>
      <c r="I554" s="20" t="s">
        <v>69</v>
      </c>
      <c r="J554" s="18" t="str">
        <f aca="false">IFERROR(INDEX(المرجع!$D$2:$D$19,MATCH($I554,المرجع!$E$2:$E$19,0)),"")</f>
        <v>إنتاج المخرج الأول</v>
      </c>
      <c r="K554" s="19" t="n">
        <f aca="false">IFERROR(INDEX(المرجع!$F$2:$F$19,MATCH($I554,المرجع!$E$2:$E$19,0)),"")</f>
        <v>7</v>
      </c>
      <c r="L554" s="19" t="n">
        <f aca="false">SUMIFS(المرجع!$H$2:$H$19,المرجع!$B$2:$B$19,$G554,المرجع!$E$2:$E$19,$I554)</f>
        <v>1</v>
      </c>
      <c r="M554" s="19" t="n">
        <f aca="false">COUNTIFS('المرتبطة بسمو الوزير'!$B$2:$B$151,$B554,'المرتبطة بسمو الوزير'!$G$2:$G$151,$G554,'المرتبطة بسمو الوزير'!$I$2:$I$151,$I554,'المرتبطة بسمو الوزير'!$M$2:$M$151,"&lt;&gt;")+COUNTIFS('الشؤون التنفيذية'!$B$2:$B$421,$B554,'الشؤون التنفيذية'!$G$2:$G$421,$G554,'الشؤون التنفيذية'!$I$2:$I$421,$I554,'الشؤون التنفيذية'!$N$2:$N$421,"&lt;&gt;")+COUNTIFS('الجهاز العسكري'!$B$2:$B$631,$B554,'الجهاز العسكري'!$G$2:$G$631,$G554,'الجهاز العسكري'!$I$2:$I$631,$I554,'الجهاز العسكري'!$M$2:$M$631,"&lt;&gt;")</f>
        <v>1</v>
      </c>
      <c r="N554" s="24" t="n">
        <f aca="false">IF($L554=0,0,ROUND((SUMIFS('المرتبطة بسمو الوزير'!$M$2:$M$151,'المرتبطة بسمو الوزير'!$B$2:$B$151,$B554,'المرتبطة بسمو الوزير'!$G$2:$G$151,$G554,'المرتبطة بسمو الوزير'!$I$2:$I$151,$I554)+SUMIFS('الشؤون التنفيذية'!$N$2:$N$421,'الشؤون التنفيذية'!$B$2:$B$421,$B554,'الشؤون التنفيذية'!$G$2:$G$421,$G554,'الشؤون التنفيذية'!$I$2:$I$421,$I554)+SUMIFS('الجهاز العسكري'!$M$2:$M$631,'الجهاز العسكري'!$B$2:$B$631,$B554,'الجهاز العسكري'!$G$2:$G$631,$G554,'الجهاز العسكري'!$I$2:$I$631,$I554))/$L554,0))</f>
        <v>79</v>
      </c>
      <c r="O554" s="25" t="n">
        <f aca="false">IF($L554=0,0,ROUND((SUMIFS('المرتبطة بسمو الوزير'!$N$2:$N$151,'المرتبطة بسمو الوزير'!$B$2:$B$151,$B554,'المرتبطة بسمو الوزير'!$G$2:$G$151,$G554,'المرتبطة بسمو الوزير'!$I$2:$I$151,$I554)+SUMIFS('الشؤون التنفيذية'!$O$2:$O$421,'الشؤون التنفيذية'!$B$2:$B$421,$B554,'الشؤون التنفيذية'!$G$2:$G$421,$G554,'الشؤون التنفيذية'!$I$2:$I$421,$I554)+SUMIFS('الجهاز العسكري'!$N$2:$N$631,'الجهاز العسكري'!$B$2:$B$631,$B554,'الجهاز العسكري'!$G$2:$G$631,$G554,'الجهاز العسكري'!$I$2:$I$631,$I554))/$L554,0))</f>
        <v>90</v>
      </c>
      <c r="P554" s="22"/>
      <c r="Q554" s="19" t="n">
        <f aca="false">SUMIFS(المرجع!$G$2:$G$19,المرجع!$B$2:$B$19,$G554,المرجع!$E$2:$E$19,$I554)</f>
        <v>5</v>
      </c>
      <c r="R554" s="26" t="n">
        <f aca="false">ROUND($Q554*$N554/100,2)</f>
        <v>3.95</v>
      </c>
      <c r="S554" s="27" t="str">
        <f aca="false">IF($N554&gt;المرجع!$K$3,"متقدم",IF($N554&lt;=المرجع!$K$2,"أولي","جزئي"))</f>
        <v>متقدم</v>
      </c>
      <c r="T554" s="28" t="n">
        <f aca="false">ROUND($Q554*$O554/100,2)</f>
        <v>4.5</v>
      </c>
    </row>
    <row r="555" customFormat="false" ht="15" hidden="false" customHeight="true" outlineLevel="0" collapsed="false">
      <c r="A555" s="20" t="s">
        <v>2007</v>
      </c>
      <c r="B555" s="20" t="s">
        <v>218</v>
      </c>
      <c r="C555" s="19" t="str">
        <f aca="false">IFERROR(INDEX('قائمة الوحدات'!$B$2:$B$41,MATCH($B555,'قائمة الوحدات'!$A$2:$A$41,0)),"")</f>
        <v>MIL</v>
      </c>
      <c r="D555" s="18" t="str">
        <f aca="false">IFERROR(INDEX('قائمة الوحدات'!$C$2:$C$41,MATCH($B555,'قائمة الوحدات'!$A$2:$A$41,0)),"")</f>
        <v>الجهاز العسكري</v>
      </c>
      <c r="E555" s="18" t="str">
        <f aca="false">IFERROR(INDEX('قائمة الوحدات'!$D$2:$D$41,MATCH($B555,'قائمة الوحدات'!$A$2:$A$41,0)),"")</f>
        <v>الإدارة العامة للشؤون الهندسية العسكرية</v>
      </c>
      <c r="F555" s="18" t="str">
        <f aca="false">IFERROR(INDEX('قائمة الوحدات'!$F$2:$F$41,MATCH($B555,'قائمة الوحدات'!$A$2:$A$41,0)),"")</f>
        <v>الإدارة العامة للشؤون الهندسية العسكرية</v>
      </c>
      <c r="G555" s="20" t="s">
        <v>66</v>
      </c>
      <c r="H555" s="18" t="str">
        <f aca="false">IFERROR(INDEX(المرجع!$A$2:$A$19,MATCH($G555,المرجع!$B$2:$B$19,0)),"")</f>
        <v>التشغيل</v>
      </c>
      <c r="I555" s="20" t="s">
        <v>49</v>
      </c>
      <c r="J555" s="18" t="str">
        <f aca="false">IFERROR(INDEX(المرجع!$D$2:$D$19,MATCH($I555,المرجع!$E$2:$E$19,0)),"")</f>
        <v>الأهداف ومؤشرات الأداء</v>
      </c>
      <c r="K555" s="19" t="n">
        <f aca="false">IFERROR(INDEX(المرجع!$F$2:$F$19,MATCH($I555,المرجع!$E$2:$E$19,0)),"")</f>
        <v>2</v>
      </c>
      <c r="L555" s="19" t="n">
        <f aca="false">SUMIFS(المرجع!$H$2:$H$19,المرجع!$B$2:$B$19,$G555,المرجع!$E$2:$E$19,$I555)</f>
        <v>2</v>
      </c>
      <c r="M555" s="19" t="n">
        <f aca="false">COUNTIFS('المرتبطة بسمو الوزير'!$B$2:$B$151,$B555,'المرتبطة بسمو الوزير'!$G$2:$G$151,$G555,'المرتبطة بسمو الوزير'!$I$2:$I$151,$I555,'المرتبطة بسمو الوزير'!$M$2:$M$151,"&lt;&gt;")+COUNTIFS('الشؤون التنفيذية'!$B$2:$B$421,$B555,'الشؤون التنفيذية'!$G$2:$G$421,$G555,'الشؤون التنفيذية'!$I$2:$I$421,$I555,'الشؤون التنفيذية'!$N$2:$N$421,"&lt;&gt;")+COUNTIFS('الجهاز العسكري'!$B$2:$B$631,$B555,'الجهاز العسكري'!$G$2:$G$631,$G555,'الجهاز العسكري'!$I$2:$I$631,$I555,'الجهاز العسكري'!$M$2:$M$631,"&lt;&gt;")</f>
        <v>2</v>
      </c>
      <c r="N555" s="24" t="n">
        <f aca="false">IF($L555=0,0,ROUND((SUMIFS('المرتبطة بسمو الوزير'!$M$2:$M$151,'المرتبطة بسمو الوزير'!$B$2:$B$151,$B555,'المرتبطة بسمو الوزير'!$G$2:$G$151,$G555,'المرتبطة بسمو الوزير'!$I$2:$I$151,$I555)+SUMIFS('الشؤون التنفيذية'!$N$2:$N$421,'الشؤون التنفيذية'!$B$2:$B$421,$B555,'الشؤون التنفيذية'!$G$2:$G$421,$G555,'الشؤون التنفيذية'!$I$2:$I$421,$I555)+SUMIFS('الجهاز العسكري'!$M$2:$M$631,'الجهاز العسكري'!$B$2:$B$631,$B555,'الجهاز العسكري'!$G$2:$G$631,$G555,'الجهاز العسكري'!$I$2:$I$631,$I555))/$L555,0))</f>
        <v>28</v>
      </c>
      <c r="O555" s="25" t="n">
        <f aca="false">IF($L555=0,0,ROUND((SUMIFS('المرتبطة بسمو الوزير'!$N$2:$N$151,'المرتبطة بسمو الوزير'!$B$2:$B$151,$B555,'المرتبطة بسمو الوزير'!$G$2:$G$151,$G555,'المرتبطة بسمو الوزير'!$I$2:$I$151,$I555)+SUMIFS('الشؤون التنفيذية'!$O$2:$O$421,'الشؤون التنفيذية'!$B$2:$B$421,$B555,'الشؤون التنفيذية'!$G$2:$G$421,$G555,'الشؤون التنفيذية'!$I$2:$I$421,$I555)+SUMIFS('الجهاز العسكري'!$N$2:$N$631,'الجهاز العسكري'!$B$2:$B$631,$B555,'الجهاز العسكري'!$G$2:$G$631,$G555,'الجهاز العسكري'!$I$2:$I$631,$I555))/$L555,0))</f>
        <v>88</v>
      </c>
      <c r="P555" s="22"/>
      <c r="Q555" s="19" t="n">
        <f aca="false">SUMIFS(المرجع!$G$2:$G$19,المرجع!$B$2:$B$19,$G555,المرجع!$E$2:$E$19,$I555)</f>
        <v>25</v>
      </c>
      <c r="R555" s="26" t="n">
        <f aca="false">ROUND($Q555*$N555/100,2)</f>
        <v>7</v>
      </c>
      <c r="S555" s="27" t="str">
        <f aca="false">IF($N555&gt;المرجع!$K$3,"متقدم",IF($N555&lt;=المرجع!$K$2,"أولي","جزئي"))</f>
        <v>أولي</v>
      </c>
      <c r="T555" s="28" t="n">
        <f aca="false">ROUND($Q555*$O555/100,2)</f>
        <v>22</v>
      </c>
    </row>
    <row r="556" customFormat="false" ht="15" hidden="false" customHeight="true" outlineLevel="0" collapsed="false">
      <c r="A556" s="20" t="s">
        <v>2008</v>
      </c>
      <c r="B556" s="20" t="s">
        <v>218</v>
      </c>
      <c r="C556" s="19" t="str">
        <f aca="false">IFERROR(INDEX('قائمة الوحدات'!$B$2:$B$41,MATCH($B556,'قائمة الوحدات'!$A$2:$A$41,0)),"")</f>
        <v>MIL</v>
      </c>
      <c r="D556" s="18" t="str">
        <f aca="false">IFERROR(INDEX('قائمة الوحدات'!$C$2:$C$41,MATCH($B556,'قائمة الوحدات'!$A$2:$A$41,0)),"")</f>
        <v>الجهاز العسكري</v>
      </c>
      <c r="E556" s="18" t="str">
        <f aca="false">IFERROR(INDEX('قائمة الوحدات'!$D$2:$D$41,MATCH($B556,'قائمة الوحدات'!$A$2:$A$41,0)),"")</f>
        <v>الإدارة العامة للشؤون الهندسية العسكرية</v>
      </c>
      <c r="F556" s="18" t="str">
        <f aca="false">IFERROR(INDEX('قائمة الوحدات'!$F$2:$F$41,MATCH($B556,'قائمة الوحدات'!$A$2:$A$41,0)),"")</f>
        <v>الإدارة العامة للشؤون الهندسية العسكرية</v>
      </c>
      <c r="G556" s="20" t="s">
        <v>66</v>
      </c>
      <c r="H556" s="18" t="str">
        <f aca="false">IFERROR(INDEX(المرجع!$A$2:$A$19,MATCH($G556,المرجع!$B$2:$B$19,0)),"")</f>
        <v>التشغيل</v>
      </c>
      <c r="I556" s="20" t="s">
        <v>52</v>
      </c>
      <c r="J556" s="18" t="str">
        <f aca="false">IFERROR(INDEX(المرجع!$D$2:$D$19,MATCH($I556,المرجع!$E$2:$E$19,0)),"")</f>
        <v>الحوكمة</v>
      </c>
      <c r="K556" s="19" t="n">
        <f aca="false">IFERROR(INDEX(المرجع!$F$2:$F$19,MATCH($I556,المرجع!$E$2:$E$19,0)),"")</f>
        <v>3</v>
      </c>
      <c r="L556" s="19" t="n">
        <f aca="false">SUMIFS(المرجع!$H$2:$H$19,المرجع!$B$2:$B$19,$G556,المرجع!$E$2:$E$19,$I556)</f>
        <v>3</v>
      </c>
      <c r="M556" s="19" t="n">
        <f aca="false">COUNTIFS('المرتبطة بسمو الوزير'!$B$2:$B$151,$B556,'المرتبطة بسمو الوزير'!$G$2:$G$151,$G556,'المرتبطة بسمو الوزير'!$I$2:$I$151,$I556,'المرتبطة بسمو الوزير'!$M$2:$M$151,"&lt;&gt;")+COUNTIFS('الشؤون التنفيذية'!$B$2:$B$421,$B556,'الشؤون التنفيذية'!$G$2:$G$421,$G556,'الشؤون التنفيذية'!$I$2:$I$421,$I556,'الشؤون التنفيذية'!$N$2:$N$421,"&lt;&gt;")+COUNTIFS('الجهاز العسكري'!$B$2:$B$631,$B556,'الجهاز العسكري'!$G$2:$G$631,$G556,'الجهاز العسكري'!$I$2:$I$631,$I556,'الجهاز العسكري'!$M$2:$M$631,"&lt;&gt;")</f>
        <v>3</v>
      </c>
      <c r="N556" s="24" t="n">
        <f aca="false">IF($L556=0,0,ROUND((SUMIFS('المرتبطة بسمو الوزير'!$M$2:$M$151,'المرتبطة بسمو الوزير'!$B$2:$B$151,$B556,'المرتبطة بسمو الوزير'!$G$2:$G$151,$G556,'المرتبطة بسمو الوزير'!$I$2:$I$151,$I556)+SUMIFS('الشؤون التنفيذية'!$N$2:$N$421,'الشؤون التنفيذية'!$B$2:$B$421,$B556,'الشؤون التنفيذية'!$G$2:$G$421,$G556,'الشؤون التنفيذية'!$I$2:$I$421,$I556)+SUMIFS('الجهاز العسكري'!$M$2:$M$631,'الجهاز العسكري'!$B$2:$B$631,$B556,'الجهاز العسكري'!$G$2:$G$631,$G556,'الجهاز العسكري'!$I$2:$I$631,$I556))/$L556,0))</f>
        <v>47</v>
      </c>
      <c r="O556" s="25" t="n">
        <f aca="false">IF($L556=0,0,ROUND((SUMIFS('المرتبطة بسمو الوزير'!$N$2:$N$151,'المرتبطة بسمو الوزير'!$B$2:$B$151,$B556,'المرتبطة بسمو الوزير'!$G$2:$G$151,$G556,'المرتبطة بسمو الوزير'!$I$2:$I$151,$I556)+SUMIFS('الشؤون التنفيذية'!$O$2:$O$421,'الشؤون التنفيذية'!$B$2:$B$421,$B556,'الشؤون التنفيذية'!$G$2:$G$421,$G556,'الشؤون التنفيذية'!$I$2:$I$421,$I556)+SUMIFS('الجهاز العسكري'!$N$2:$N$631,'الجهاز العسكري'!$B$2:$B$631,$B556,'الجهاز العسكري'!$G$2:$G$631,$G556,'الجهاز العسكري'!$I$2:$I$631,$I556))/$L556,0))</f>
        <v>100</v>
      </c>
      <c r="P556" s="22"/>
      <c r="Q556" s="19" t="n">
        <f aca="false">SUMIFS(المرجع!$G$2:$G$19,المرجع!$B$2:$B$19,$G556,المرجع!$E$2:$E$19,$I556)</f>
        <v>15</v>
      </c>
      <c r="R556" s="26" t="n">
        <f aca="false">ROUND($Q556*$N556/100,2)</f>
        <v>7.05</v>
      </c>
      <c r="S556" s="27" t="str">
        <f aca="false">IF($N556&gt;المرجع!$K$3,"متقدم",IF($N556&lt;=المرجع!$K$2,"أولي","جزئي"))</f>
        <v>جزئي</v>
      </c>
      <c r="T556" s="28" t="n">
        <f aca="false">ROUND($Q556*$O556/100,2)</f>
        <v>15</v>
      </c>
    </row>
    <row r="557" customFormat="false" ht="15" hidden="false" customHeight="true" outlineLevel="0" collapsed="false">
      <c r="A557" s="20" t="s">
        <v>2009</v>
      </c>
      <c r="B557" s="20" t="s">
        <v>218</v>
      </c>
      <c r="C557" s="19" t="str">
        <f aca="false">IFERROR(INDEX('قائمة الوحدات'!$B$2:$B$41,MATCH($B557,'قائمة الوحدات'!$A$2:$A$41,0)),"")</f>
        <v>MIL</v>
      </c>
      <c r="D557" s="18" t="str">
        <f aca="false">IFERROR(INDEX('قائمة الوحدات'!$C$2:$C$41,MATCH($B557,'قائمة الوحدات'!$A$2:$A$41,0)),"")</f>
        <v>الجهاز العسكري</v>
      </c>
      <c r="E557" s="18" t="str">
        <f aca="false">IFERROR(INDEX('قائمة الوحدات'!$D$2:$D$41,MATCH($B557,'قائمة الوحدات'!$A$2:$A$41,0)),"")</f>
        <v>الإدارة العامة للشؤون الهندسية العسكرية</v>
      </c>
      <c r="F557" s="18" t="str">
        <f aca="false">IFERROR(INDEX('قائمة الوحدات'!$F$2:$F$41,MATCH($B557,'قائمة الوحدات'!$A$2:$A$41,0)),"")</f>
        <v>الإدارة العامة للشؤون الهندسية العسكرية</v>
      </c>
      <c r="G557" s="20" t="s">
        <v>66</v>
      </c>
      <c r="H557" s="18" t="str">
        <f aca="false">IFERROR(INDEX(المرجع!$A$2:$A$19,MATCH($G557,المرجع!$B$2:$B$19,0)),"")</f>
        <v>التشغيل</v>
      </c>
      <c r="I557" s="20" t="s">
        <v>57</v>
      </c>
      <c r="J557" s="18" t="str">
        <f aca="false">IFERROR(INDEX(المرجع!$D$2:$D$19,MATCH($I557,المرجع!$E$2:$E$19,0)),"")</f>
        <v>الموارد</v>
      </c>
      <c r="K557" s="19" t="n">
        <f aca="false">IFERROR(INDEX(المرجع!$F$2:$F$19,MATCH($I557,المرجع!$E$2:$E$19,0)),"")</f>
        <v>5</v>
      </c>
      <c r="L557" s="19" t="n">
        <f aca="false">SUMIFS(المرجع!$H$2:$H$19,المرجع!$B$2:$B$19,$G557,المرجع!$E$2:$E$19,$I557)</f>
        <v>1</v>
      </c>
      <c r="M557" s="19" t="n">
        <f aca="false">COUNTIFS('المرتبطة بسمو الوزير'!$B$2:$B$151,$B557,'المرتبطة بسمو الوزير'!$G$2:$G$151,$G557,'المرتبطة بسمو الوزير'!$I$2:$I$151,$I557,'المرتبطة بسمو الوزير'!$M$2:$M$151,"&lt;&gt;")+COUNTIFS('الشؤون التنفيذية'!$B$2:$B$421,$B557,'الشؤون التنفيذية'!$G$2:$G$421,$G557,'الشؤون التنفيذية'!$I$2:$I$421,$I557,'الشؤون التنفيذية'!$N$2:$N$421,"&lt;&gt;")+COUNTIFS('الجهاز العسكري'!$B$2:$B$631,$B557,'الجهاز العسكري'!$G$2:$G$631,$G557,'الجهاز العسكري'!$I$2:$I$631,$I557,'الجهاز العسكري'!$M$2:$M$631,"&lt;&gt;")</f>
        <v>1</v>
      </c>
      <c r="N557" s="24" t="n">
        <f aca="false">IF($L557=0,0,ROUND((SUMIFS('المرتبطة بسمو الوزير'!$M$2:$M$151,'المرتبطة بسمو الوزير'!$B$2:$B$151,$B557,'المرتبطة بسمو الوزير'!$G$2:$G$151,$G557,'المرتبطة بسمو الوزير'!$I$2:$I$151,$I557)+SUMIFS('الشؤون التنفيذية'!$N$2:$N$421,'الشؤون التنفيذية'!$B$2:$B$421,$B557,'الشؤون التنفيذية'!$G$2:$G$421,$G557,'الشؤون التنفيذية'!$I$2:$I$421,$I557)+SUMIFS('الجهاز العسكري'!$M$2:$M$631,'الجهاز العسكري'!$B$2:$B$631,$B557,'الجهاز العسكري'!$G$2:$G$631,$G557,'الجهاز العسكري'!$I$2:$I$631,$I557))/$L557,0))</f>
        <v>29</v>
      </c>
      <c r="O557" s="25" t="n">
        <f aca="false">IF($L557=0,0,ROUND((SUMIFS('المرتبطة بسمو الوزير'!$N$2:$N$151,'المرتبطة بسمو الوزير'!$B$2:$B$151,$B557,'المرتبطة بسمو الوزير'!$G$2:$G$151,$G557,'المرتبطة بسمو الوزير'!$I$2:$I$151,$I557)+SUMIFS('الشؤون التنفيذية'!$O$2:$O$421,'الشؤون التنفيذية'!$B$2:$B$421,$B557,'الشؤون التنفيذية'!$G$2:$G$421,$G557,'الشؤون التنفيذية'!$I$2:$I$421,$I557)+SUMIFS('الجهاز العسكري'!$N$2:$N$631,'الجهاز العسكري'!$B$2:$B$631,$B557,'الجهاز العسكري'!$G$2:$G$631,$G557,'الجهاز العسكري'!$I$2:$I$631,$I557))/$L557,0))</f>
        <v>100</v>
      </c>
      <c r="P557" s="22"/>
      <c r="Q557" s="19" t="n">
        <f aca="false">SUMIFS(المرجع!$G$2:$G$19,المرجع!$B$2:$B$19,$G557,المرجع!$E$2:$E$19,$I557)</f>
        <v>15</v>
      </c>
      <c r="R557" s="26" t="n">
        <f aca="false">ROUND($Q557*$N557/100,2)</f>
        <v>4.35</v>
      </c>
      <c r="S557" s="27" t="str">
        <f aca="false">IF($N557&gt;المرجع!$K$3,"متقدم",IF($N557&lt;=المرجع!$K$2,"أولي","جزئي"))</f>
        <v>أولي</v>
      </c>
      <c r="T557" s="28" t="n">
        <f aca="false">ROUND($Q557*$O557/100,2)</f>
        <v>15</v>
      </c>
    </row>
    <row r="558" customFormat="false" ht="15" hidden="false" customHeight="true" outlineLevel="0" collapsed="false">
      <c r="A558" s="20" t="s">
        <v>2010</v>
      </c>
      <c r="B558" s="20" t="s">
        <v>218</v>
      </c>
      <c r="C558" s="19" t="str">
        <f aca="false">IFERROR(INDEX('قائمة الوحدات'!$B$2:$B$41,MATCH($B558,'قائمة الوحدات'!$A$2:$A$41,0)),"")</f>
        <v>MIL</v>
      </c>
      <c r="D558" s="18" t="str">
        <f aca="false">IFERROR(INDEX('قائمة الوحدات'!$C$2:$C$41,MATCH($B558,'قائمة الوحدات'!$A$2:$A$41,0)),"")</f>
        <v>الجهاز العسكري</v>
      </c>
      <c r="E558" s="18" t="str">
        <f aca="false">IFERROR(INDEX('قائمة الوحدات'!$D$2:$D$41,MATCH($B558,'قائمة الوحدات'!$A$2:$A$41,0)),"")</f>
        <v>الإدارة العامة للشؤون الهندسية العسكرية</v>
      </c>
      <c r="F558" s="18" t="str">
        <f aca="false">IFERROR(INDEX('قائمة الوحدات'!$F$2:$F$41,MATCH($B558,'قائمة الوحدات'!$A$2:$A$41,0)),"")</f>
        <v>الإدارة العامة للشؤون الهندسية العسكرية</v>
      </c>
      <c r="G558" s="20" t="s">
        <v>66</v>
      </c>
      <c r="H558" s="18" t="str">
        <f aca="false">IFERROR(INDEX(المرجع!$A$2:$A$19,MATCH($G558,المرجع!$B$2:$B$19,0)),"")</f>
        <v>التشغيل</v>
      </c>
      <c r="I558" s="20" t="s">
        <v>60</v>
      </c>
      <c r="J558" s="18" t="str">
        <f aca="false">IFERROR(INDEX(المرجع!$D$2:$D$19,MATCH($I558,المرجع!$E$2:$E$19,0)),"")</f>
        <v>الإجراءات</v>
      </c>
      <c r="K558" s="19" t="n">
        <f aca="false">IFERROR(INDEX(المرجع!$F$2:$F$19,MATCH($I558,المرجع!$E$2:$E$19,0)),"")</f>
        <v>6</v>
      </c>
      <c r="L558" s="19" t="n">
        <f aca="false">SUMIFS(المرجع!$H$2:$H$19,المرجع!$B$2:$B$19,$G558,المرجع!$E$2:$E$19,$I558)</f>
        <v>1</v>
      </c>
      <c r="M558" s="19" t="n">
        <f aca="false">COUNTIFS('المرتبطة بسمو الوزير'!$B$2:$B$151,$B558,'المرتبطة بسمو الوزير'!$G$2:$G$151,$G558,'المرتبطة بسمو الوزير'!$I$2:$I$151,$I558,'المرتبطة بسمو الوزير'!$M$2:$M$151,"&lt;&gt;")+COUNTIFS('الشؤون التنفيذية'!$B$2:$B$421,$B558,'الشؤون التنفيذية'!$G$2:$G$421,$G558,'الشؤون التنفيذية'!$I$2:$I$421,$I558,'الشؤون التنفيذية'!$N$2:$N$421,"&lt;&gt;")+COUNTIFS('الجهاز العسكري'!$B$2:$B$631,$B558,'الجهاز العسكري'!$G$2:$G$631,$G558,'الجهاز العسكري'!$I$2:$I$631,$I558,'الجهاز العسكري'!$M$2:$M$631,"&lt;&gt;")</f>
        <v>1</v>
      </c>
      <c r="N558" s="24" t="n">
        <f aca="false">IF($L558=0,0,ROUND((SUMIFS('المرتبطة بسمو الوزير'!$M$2:$M$151,'المرتبطة بسمو الوزير'!$B$2:$B$151,$B558,'المرتبطة بسمو الوزير'!$G$2:$G$151,$G558,'المرتبطة بسمو الوزير'!$I$2:$I$151,$I558)+SUMIFS('الشؤون التنفيذية'!$N$2:$N$421,'الشؤون التنفيذية'!$B$2:$B$421,$B558,'الشؤون التنفيذية'!$G$2:$G$421,$G558,'الشؤون التنفيذية'!$I$2:$I$421,$I558)+SUMIFS('الجهاز العسكري'!$M$2:$M$631,'الجهاز العسكري'!$B$2:$B$631,$B558,'الجهاز العسكري'!$G$2:$G$631,$G558,'الجهاز العسكري'!$I$2:$I$631,$I558))/$L558,0))</f>
        <v>57</v>
      </c>
      <c r="O558" s="25" t="n">
        <f aca="false">IF($L558=0,0,ROUND((SUMIFS('المرتبطة بسمو الوزير'!$N$2:$N$151,'المرتبطة بسمو الوزير'!$B$2:$B$151,$B558,'المرتبطة بسمو الوزير'!$G$2:$G$151,$G558,'المرتبطة بسمو الوزير'!$I$2:$I$151,$I558)+SUMIFS('الشؤون التنفيذية'!$O$2:$O$421,'الشؤون التنفيذية'!$B$2:$B$421,$B558,'الشؤون التنفيذية'!$G$2:$G$421,$G558,'الشؤون التنفيذية'!$I$2:$I$421,$I558)+SUMIFS('الجهاز العسكري'!$N$2:$N$631,'الجهاز العسكري'!$B$2:$B$631,$B558,'الجهاز العسكري'!$G$2:$G$631,$G558,'الجهاز العسكري'!$I$2:$I$631,$I558))/$L558,0))</f>
        <v>90</v>
      </c>
      <c r="P558" s="22"/>
      <c r="Q558" s="19" t="n">
        <f aca="false">SUMIFS(المرجع!$G$2:$G$19,المرجع!$B$2:$B$19,$G558,المرجع!$E$2:$E$19,$I558)</f>
        <v>15</v>
      </c>
      <c r="R558" s="26" t="n">
        <f aca="false">ROUND($Q558*$N558/100,2)</f>
        <v>8.55</v>
      </c>
      <c r="S558" s="27" t="str">
        <f aca="false">IF($N558&gt;المرجع!$K$3,"متقدم",IF($N558&lt;=المرجع!$K$2,"أولي","جزئي"))</f>
        <v>جزئي</v>
      </c>
      <c r="T558" s="28" t="n">
        <f aca="false">ROUND($Q558*$O558/100,2)</f>
        <v>13.5</v>
      </c>
    </row>
    <row r="559" customFormat="false" ht="15" hidden="false" customHeight="true" outlineLevel="0" collapsed="false">
      <c r="A559" s="20" t="s">
        <v>2011</v>
      </c>
      <c r="B559" s="20" t="s">
        <v>218</v>
      </c>
      <c r="C559" s="19" t="str">
        <f aca="false">IFERROR(INDEX('قائمة الوحدات'!$B$2:$B$41,MATCH($B559,'قائمة الوحدات'!$A$2:$A$41,0)),"")</f>
        <v>MIL</v>
      </c>
      <c r="D559" s="18" t="str">
        <f aca="false">IFERROR(INDEX('قائمة الوحدات'!$C$2:$C$41,MATCH($B559,'قائمة الوحدات'!$A$2:$A$41,0)),"")</f>
        <v>الجهاز العسكري</v>
      </c>
      <c r="E559" s="18" t="str">
        <f aca="false">IFERROR(INDEX('قائمة الوحدات'!$D$2:$D$41,MATCH($B559,'قائمة الوحدات'!$A$2:$A$41,0)),"")</f>
        <v>الإدارة العامة للشؤون الهندسية العسكرية</v>
      </c>
      <c r="F559" s="18" t="str">
        <f aca="false">IFERROR(INDEX('قائمة الوحدات'!$F$2:$F$41,MATCH($B559,'قائمة الوحدات'!$A$2:$A$41,0)),"")</f>
        <v>الإدارة العامة للشؤون الهندسية العسكرية</v>
      </c>
      <c r="G559" s="20" t="s">
        <v>66</v>
      </c>
      <c r="H559" s="18" t="str">
        <f aca="false">IFERROR(INDEX(المرجع!$A$2:$A$19,MATCH($G559,المرجع!$B$2:$B$19,0)),"")</f>
        <v>التشغيل</v>
      </c>
      <c r="I559" s="20" t="s">
        <v>71</v>
      </c>
      <c r="J559" s="18" t="str">
        <f aca="false">IFERROR(INDEX(المرجع!$D$2:$D$19,MATCH($I559,المرجع!$E$2:$E$19,0)),"")</f>
        <v>اكتمال المخرجات المستهدفة</v>
      </c>
      <c r="K559" s="19" t="n">
        <f aca="false">IFERROR(INDEX(المرجع!$F$2:$F$19,MATCH($I559,المرجع!$E$2:$E$19,0)),"")</f>
        <v>8</v>
      </c>
      <c r="L559" s="19" t="n">
        <f aca="false">SUMIFS(المرجع!$H$2:$H$19,المرجع!$B$2:$B$19,$G559,المرجع!$E$2:$E$19,$I559)</f>
        <v>1</v>
      </c>
      <c r="M559" s="19" t="n">
        <f aca="false">COUNTIFS('المرتبطة بسمو الوزير'!$B$2:$B$151,$B559,'المرتبطة بسمو الوزير'!$G$2:$G$151,$G559,'المرتبطة بسمو الوزير'!$I$2:$I$151,$I559,'المرتبطة بسمو الوزير'!$M$2:$M$151,"&lt;&gt;")+COUNTIFS('الشؤون التنفيذية'!$B$2:$B$421,$B559,'الشؤون التنفيذية'!$G$2:$G$421,$G559,'الشؤون التنفيذية'!$I$2:$I$421,$I559,'الشؤون التنفيذية'!$N$2:$N$421,"&lt;&gt;")+COUNTIFS('الجهاز العسكري'!$B$2:$B$631,$B559,'الجهاز العسكري'!$G$2:$G$631,$G559,'الجهاز العسكري'!$I$2:$I$631,$I559,'الجهاز العسكري'!$M$2:$M$631,"&lt;&gt;")</f>
        <v>1</v>
      </c>
      <c r="N559" s="24" t="n">
        <f aca="false">IF($L559=0,0,ROUND((SUMIFS('المرتبطة بسمو الوزير'!$M$2:$M$151,'المرتبطة بسمو الوزير'!$B$2:$B$151,$B559,'المرتبطة بسمو الوزير'!$G$2:$G$151,$G559,'المرتبطة بسمو الوزير'!$I$2:$I$151,$I559)+SUMIFS('الشؤون التنفيذية'!$N$2:$N$421,'الشؤون التنفيذية'!$B$2:$B$421,$B559,'الشؤون التنفيذية'!$G$2:$G$421,$G559,'الشؤون التنفيذية'!$I$2:$I$421,$I559)+SUMIFS('الجهاز العسكري'!$M$2:$M$631,'الجهاز العسكري'!$B$2:$B$631,$B559,'الجهاز العسكري'!$G$2:$G$631,$G559,'الجهاز العسكري'!$I$2:$I$631,$I559))/$L559,0))</f>
        <v>36</v>
      </c>
      <c r="O559" s="25" t="n">
        <f aca="false">IF($L559=0,0,ROUND((SUMIFS('المرتبطة بسمو الوزير'!$N$2:$N$151,'المرتبطة بسمو الوزير'!$B$2:$B$151,$B559,'المرتبطة بسمو الوزير'!$G$2:$G$151,$G559,'المرتبطة بسمو الوزير'!$I$2:$I$151,$I559)+SUMIFS('الشؤون التنفيذية'!$O$2:$O$421,'الشؤون التنفيذية'!$B$2:$B$421,$B559,'الشؤون التنفيذية'!$G$2:$G$421,$G559,'الشؤون التنفيذية'!$I$2:$I$421,$I559)+SUMIFS('الجهاز العسكري'!$N$2:$N$631,'الجهاز العسكري'!$B$2:$B$631,$B559,'الجهاز العسكري'!$G$2:$G$631,$G559,'الجهاز العسكري'!$I$2:$I$631,$I559))/$L559,0))</f>
        <v>80</v>
      </c>
      <c r="P559" s="22"/>
      <c r="Q559" s="19" t="n">
        <f aca="false">SUMIFS(المرجع!$G$2:$G$19,المرجع!$B$2:$B$19,$G559,المرجع!$E$2:$E$19,$I559)</f>
        <v>30</v>
      </c>
      <c r="R559" s="26" t="n">
        <f aca="false">ROUND($Q559*$N559/100,2)</f>
        <v>10.8</v>
      </c>
      <c r="S559" s="27" t="str">
        <f aca="false">IF($N559&gt;المرجع!$K$3,"متقدم",IF($N559&lt;=المرجع!$K$2,"أولي","جزئي"))</f>
        <v>جزئي</v>
      </c>
      <c r="T559" s="28" t="n">
        <f aca="false">ROUND($Q559*$O559/100,2)</f>
        <v>24</v>
      </c>
    </row>
    <row r="560" customFormat="false" ht="15" hidden="false" customHeight="true" outlineLevel="0" collapsed="false">
      <c r="A560" s="20" t="s">
        <v>2012</v>
      </c>
      <c r="B560" s="20" t="s">
        <v>220</v>
      </c>
      <c r="C560" s="19" t="str">
        <f aca="false">IFERROR(INDEX('قائمة الوحدات'!$B$2:$B$41,MATCH($B560,'قائمة الوحدات'!$A$2:$A$41,0)),"")</f>
        <v>MIL</v>
      </c>
      <c r="D560" s="18" t="str">
        <f aca="false">IFERROR(INDEX('قائمة الوحدات'!$C$2:$C$41,MATCH($B560,'قائمة الوحدات'!$A$2:$A$41,0)),"")</f>
        <v>الجهاز العسكري</v>
      </c>
      <c r="E560" s="18" t="str">
        <f aca="false">IFERROR(INDEX('قائمة الوحدات'!$D$2:$D$41,MATCH($B560,'قائمة الوحدات'!$A$2:$A$41,0)),"")</f>
        <v>الإدارة العامة للخدمات الطبية العسكرية</v>
      </c>
      <c r="F560" s="18" t="str">
        <f aca="false">IFERROR(INDEX('قائمة الوحدات'!$F$2:$F$41,MATCH($B560,'قائمة الوحدات'!$A$2:$A$41,0)),"")</f>
        <v>الإدارة العامة للخدمات الطبية العسكرية</v>
      </c>
      <c r="G560" s="20" t="s">
        <v>44</v>
      </c>
      <c r="H560" s="18" t="str">
        <f aca="false">IFERROR(INDEX(المرجع!$A$2:$A$19,MATCH($G560,المرجع!$B$2:$B$19,0)),"")</f>
        <v>التصميم</v>
      </c>
      <c r="I560" s="20" t="s">
        <v>46</v>
      </c>
      <c r="J560" s="18" t="str">
        <f aca="false">IFERROR(INDEX(المرجع!$D$2:$D$19,MATCH($I560,المرجع!$E$2:$E$19,0)),"")</f>
        <v>الدور</v>
      </c>
      <c r="K560" s="19" t="n">
        <f aca="false">IFERROR(INDEX(المرجع!$F$2:$F$19,MATCH($I560,المرجع!$E$2:$E$19,0)),"")</f>
        <v>1</v>
      </c>
      <c r="L560" s="19" t="n">
        <f aca="false">SUMIFS(المرجع!$H$2:$H$19,المرجع!$B$2:$B$19,$G560,المرجع!$E$2:$E$19,$I560)</f>
        <v>1</v>
      </c>
      <c r="M560" s="19" t="n">
        <f aca="false">COUNTIFS('المرتبطة بسمو الوزير'!$B$2:$B$151,$B560,'المرتبطة بسمو الوزير'!$G$2:$G$151,$G560,'المرتبطة بسمو الوزير'!$I$2:$I$151,$I560,'المرتبطة بسمو الوزير'!$M$2:$M$151,"&lt;&gt;")+COUNTIFS('الشؤون التنفيذية'!$B$2:$B$421,$B560,'الشؤون التنفيذية'!$G$2:$G$421,$G560,'الشؤون التنفيذية'!$I$2:$I$421,$I560,'الشؤون التنفيذية'!$N$2:$N$421,"&lt;&gt;")+COUNTIFS('الجهاز العسكري'!$B$2:$B$631,$B560,'الجهاز العسكري'!$G$2:$G$631,$G560,'الجهاز العسكري'!$I$2:$I$631,$I560,'الجهاز العسكري'!$M$2:$M$631,"&lt;&gt;")</f>
        <v>1</v>
      </c>
      <c r="N560" s="24" t="n">
        <f aca="false">IF($L560=0,0,ROUND((SUMIFS('المرتبطة بسمو الوزير'!$M$2:$M$151,'المرتبطة بسمو الوزير'!$B$2:$B$151,$B560,'المرتبطة بسمو الوزير'!$G$2:$G$151,$G560,'المرتبطة بسمو الوزير'!$I$2:$I$151,$I560)+SUMIFS('الشؤون التنفيذية'!$N$2:$N$421,'الشؤون التنفيذية'!$B$2:$B$421,$B560,'الشؤون التنفيذية'!$G$2:$G$421,$G560,'الشؤون التنفيذية'!$I$2:$I$421,$I560)+SUMIFS('الجهاز العسكري'!$M$2:$M$631,'الجهاز العسكري'!$B$2:$B$631,$B560,'الجهاز العسكري'!$G$2:$G$631,$G560,'الجهاز العسكري'!$I$2:$I$631,$I560))/$L560,0))</f>
        <v>73</v>
      </c>
      <c r="O560" s="25" t="n">
        <f aca="false">IF($L560=0,0,ROUND((SUMIFS('المرتبطة بسمو الوزير'!$N$2:$N$151,'المرتبطة بسمو الوزير'!$B$2:$B$151,$B560,'المرتبطة بسمو الوزير'!$G$2:$G$151,$G560,'المرتبطة بسمو الوزير'!$I$2:$I$151,$I560)+SUMIFS('الشؤون التنفيذية'!$O$2:$O$421,'الشؤون التنفيذية'!$B$2:$B$421,$B560,'الشؤون التنفيذية'!$G$2:$G$421,$G560,'الشؤون التنفيذية'!$I$2:$I$421,$I560)+SUMIFS('الجهاز العسكري'!$N$2:$N$631,'الجهاز العسكري'!$B$2:$B$631,$B560,'الجهاز العسكري'!$G$2:$G$631,$G560,'الجهاز العسكري'!$I$2:$I$631,$I560))/$L560,0))</f>
        <v>100</v>
      </c>
      <c r="P560" s="22"/>
      <c r="Q560" s="19" t="n">
        <f aca="false">SUMIFS(المرجع!$G$2:$G$19,المرجع!$B$2:$B$19,$G560,المرجع!$E$2:$E$19,$I560)</f>
        <v>25</v>
      </c>
      <c r="R560" s="26" t="n">
        <f aca="false">ROUND($Q560*$N560/100,2)</f>
        <v>18.25</v>
      </c>
      <c r="S560" s="27" t="str">
        <f aca="false">IF($N560&gt;المرجع!$K$3,"متقدم",IF($N560&lt;=المرجع!$K$2,"أولي","جزئي"))</f>
        <v>متقدم</v>
      </c>
      <c r="T560" s="28" t="n">
        <f aca="false">ROUND($Q560*$O560/100,2)</f>
        <v>25</v>
      </c>
    </row>
    <row r="561" customFormat="false" ht="15" hidden="false" customHeight="true" outlineLevel="0" collapsed="false">
      <c r="A561" s="20" t="s">
        <v>2013</v>
      </c>
      <c r="B561" s="20" t="s">
        <v>220</v>
      </c>
      <c r="C561" s="19" t="str">
        <f aca="false">IFERROR(INDEX('قائمة الوحدات'!$B$2:$B$41,MATCH($B561,'قائمة الوحدات'!$A$2:$A$41,0)),"")</f>
        <v>MIL</v>
      </c>
      <c r="D561" s="18" t="str">
        <f aca="false">IFERROR(INDEX('قائمة الوحدات'!$C$2:$C$41,MATCH($B561,'قائمة الوحدات'!$A$2:$A$41,0)),"")</f>
        <v>الجهاز العسكري</v>
      </c>
      <c r="E561" s="18" t="str">
        <f aca="false">IFERROR(INDEX('قائمة الوحدات'!$D$2:$D$41,MATCH($B561,'قائمة الوحدات'!$A$2:$A$41,0)),"")</f>
        <v>الإدارة العامة للخدمات الطبية العسكرية</v>
      </c>
      <c r="F561" s="18" t="str">
        <f aca="false">IFERROR(INDEX('قائمة الوحدات'!$F$2:$F$41,MATCH($B561,'قائمة الوحدات'!$A$2:$A$41,0)),"")</f>
        <v>الإدارة العامة للخدمات الطبية العسكرية</v>
      </c>
      <c r="G561" s="20" t="s">
        <v>44</v>
      </c>
      <c r="H561" s="18" t="str">
        <f aca="false">IFERROR(INDEX(المرجع!$A$2:$A$19,MATCH($G561,المرجع!$B$2:$B$19,0)),"")</f>
        <v>التصميم</v>
      </c>
      <c r="I561" s="20" t="s">
        <v>49</v>
      </c>
      <c r="J561" s="18" t="str">
        <f aca="false">IFERROR(INDEX(المرجع!$D$2:$D$19,MATCH($I561,المرجع!$E$2:$E$19,0)),"")</f>
        <v>الأهداف ومؤشرات الأداء</v>
      </c>
      <c r="K561" s="19" t="n">
        <f aca="false">IFERROR(INDEX(المرجع!$F$2:$F$19,MATCH($I561,المرجع!$E$2:$E$19,0)),"")</f>
        <v>2</v>
      </c>
      <c r="L561" s="19" t="n">
        <f aca="false">SUMIFS(المرجع!$H$2:$H$19,المرجع!$B$2:$B$19,$G561,المرجع!$E$2:$E$19,$I561)</f>
        <v>2</v>
      </c>
      <c r="M561" s="19" t="n">
        <f aca="false">COUNTIFS('المرتبطة بسمو الوزير'!$B$2:$B$151,$B561,'المرتبطة بسمو الوزير'!$G$2:$G$151,$G561,'المرتبطة بسمو الوزير'!$I$2:$I$151,$I561,'المرتبطة بسمو الوزير'!$M$2:$M$151,"&lt;&gt;")+COUNTIFS('الشؤون التنفيذية'!$B$2:$B$421,$B561,'الشؤون التنفيذية'!$G$2:$G$421,$G561,'الشؤون التنفيذية'!$I$2:$I$421,$I561,'الشؤون التنفيذية'!$N$2:$N$421,"&lt;&gt;")+COUNTIFS('الجهاز العسكري'!$B$2:$B$631,$B561,'الجهاز العسكري'!$G$2:$G$631,$G561,'الجهاز العسكري'!$I$2:$I$631,$I561,'الجهاز العسكري'!$M$2:$M$631,"&lt;&gt;")</f>
        <v>2</v>
      </c>
      <c r="N561" s="24" t="n">
        <f aca="false">IF($L561=0,0,ROUND((SUMIFS('المرتبطة بسمو الوزير'!$M$2:$M$151,'المرتبطة بسمو الوزير'!$B$2:$B$151,$B561,'المرتبطة بسمو الوزير'!$G$2:$G$151,$G561,'المرتبطة بسمو الوزير'!$I$2:$I$151,$I561)+SUMIFS('الشؤون التنفيذية'!$N$2:$N$421,'الشؤون التنفيذية'!$B$2:$B$421,$B561,'الشؤون التنفيذية'!$G$2:$G$421,$G561,'الشؤون التنفيذية'!$I$2:$I$421,$I561)+SUMIFS('الجهاز العسكري'!$M$2:$M$631,'الجهاز العسكري'!$B$2:$B$631,$B561,'الجهاز العسكري'!$G$2:$G$631,$G561,'الجهاز العسكري'!$I$2:$I$631,$I561))/$L561,0))</f>
        <v>85</v>
      </c>
      <c r="O561" s="25" t="n">
        <f aca="false">IF($L561=0,0,ROUND((SUMIFS('المرتبطة بسمو الوزير'!$N$2:$N$151,'المرتبطة بسمو الوزير'!$B$2:$B$151,$B561,'المرتبطة بسمو الوزير'!$G$2:$G$151,$G561,'المرتبطة بسمو الوزير'!$I$2:$I$151,$I561)+SUMIFS('الشؤون التنفيذية'!$O$2:$O$421,'الشؤون التنفيذية'!$B$2:$B$421,$B561,'الشؤون التنفيذية'!$G$2:$G$421,$G561,'الشؤون التنفيذية'!$I$2:$I$421,$I561)+SUMIFS('الجهاز العسكري'!$N$2:$N$631,'الجهاز العسكري'!$B$2:$B$631,$B561,'الجهاز العسكري'!$G$2:$G$631,$G561,'الجهاز العسكري'!$I$2:$I$631,$I561))/$L561,0))</f>
        <v>90</v>
      </c>
      <c r="P561" s="22"/>
      <c r="Q561" s="19" t="n">
        <f aca="false">SUMIFS(المرجع!$G$2:$G$19,المرجع!$B$2:$B$19,$G561,المرجع!$E$2:$E$19,$I561)</f>
        <v>15</v>
      </c>
      <c r="R561" s="26" t="n">
        <f aca="false">ROUND($Q561*$N561/100,2)</f>
        <v>12.75</v>
      </c>
      <c r="S561" s="27" t="str">
        <f aca="false">IF($N561&gt;المرجع!$K$3,"متقدم",IF($N561&lt;=المرجع!$K$2,"أولي","جزئي"))</f>
        <v>متقدم</v>
      </c>
      <c r="T561" s="28" t="n">
        <f aca="false">ROUND($Q561*$O561/100,2)</f>
        <v>13.5</v>
      </c>
    </row>
    <row r="562" customFormat="false" ht="15" hidden="false" customHeight="true" outlineLevel="0" collapsed="false">
      <c r="A562" s="20" t="s">
        <v>2014</v>
      </c>
      <c r="B562" s="20" t="s">
        <v>220</v>
      </c>
      <c r="C562" s="19" t="str">
        <f aca="false">IFERROR(INDEX('قائمة الوحدات'!$B$2:$B$41,MATCH($B562,'قائمة الوحدات'!$A$2:$A$41,0)),"")</f>
        <v>MIL</v>
      </c>
      <c r="D562" s="18" t="str">
        <f aca="false">IFERROR(INDEX('قائمة الوحدات'!$C$2:$C$41,MATCH($B562,'قائمة الوحدات'!$A$2:$A$41,0)),"")</f>
        <v>الجهاز العسكري</v>
      </c>
      <c r="E562" s="18" t="str">
        <f aca="false">IFERROR(INDEX('قائمة الوحدات'!$D$2:$D$41,MATCH($B562,'قائمة الوحدات'!$A$2:$A$41,0)),"")</f>
        <v>الإدارة العامة للخدمات الطبية العسكرية</v>
      </c>
      <c r="F562" s="18" t="str">
        <f aca="false">IFERROR(INDEX('قائمة الوحدات'!$F$2:$F$41,MATCH($B562,'قائمة الوحدات'!$A$2:$A$41,0)),"")</f>
        <v>الإدارة العامة للخدمات الطبية العسكرية</v>
      </c>
      <c r="G562" s="20" t="s">
        <v>44</v>
      </c>
      <c r="H562" s="18" t="str">
        <f aca="false">IFERROR(INDEX(المرجع!$A$2:$A$19,MATCH($G562,المرجع!$B$2:$B$19,0)),"")</f>
        <v>التصميم</v>
      </c>
      <c r="I562" s="20" t="s">
        <v>52</v>
      </c>
      <c r="J562" s="18" t="str">
        <f aca="false">IFERROR(INDEX(المرجع!$D$2:$D$19,MATCH($I562,المرجع!$E$2:$E$19,0)),"")</f>
        <v>الحوكمة</v>
      </c>
      <c r="K562" s="19" t="n">
        <f aca="false">IFERROR(INDEX(المرجع!$F$2:$F$19,MATCH($I562,المرجع!$E$2:$E$19,0)),"")</f>
        <v>3</v>
      </c>
      <c r="L562" s="19" t="n">
        <f aca="false">SUMIFS(المرجع!$H$2:$H$19,المرجع!$B$2:$B$19,$G562,المرجع!$E$2:$E$19,$I562)</f>
        <v>1</v>
      </c>
      <c r="M562" s="19" t="n">
        <f aca="false">COUNTIFS('المرتبطة بسمو الوزير'!$B$2:$B$151,$B562,'المرتبطة بسمو الوزير'!$G$2:$G$151,$G562,'المرتبطة بسمو الوزير'!$I$2:$I$151,$I562,'المرتبطة بسمو الوزير'!$M$2:$M$151,"&lt;&gt;")+COUNTIFS('الشؤون التنفيذية'!$B$2:$B$421,$B562,'الشؤون التنفيذية'!$G$2:$G$421,$G562,'الشؤون التنفيذية'!$I$2:$I$421,$I562,'الشؤون التنفيذية'!$N$2:$N$421,"&lt;&gt;")+COUNTIFS('الجهاز العسكري'!$B$2:$B$631,$B562,'الجهاز العسكري'!$G$2:$G$631,$G562,'الجهاز العسكري'!$I$2:$I$631,$I562,'الجهاز العسكري'!$M$2:$M$631,"&lt;&gt;")</f>
        <v>1</v>
      </c>
      <c r="N562" s="24" t="n">
        <f aca="false">IF($L562=0,0,ROUND((SUMIFS('المرتبطة بسمو الوزير'!$M$2:$M$151,'المرتبطة بسمو الوزير'!$B$2:$B$151,$B562,'المرتبطة بسمو الوزير'!$G$2:$G$151,$G562,'المرتبطة بسمو الوزير'!$I$2:$I$151,$I562)+SUMIFS('الشؤون التنفيذية'!$N$2:$N$421,'الشؤون التنفيذية'!$B$2:$B$421,$B562,'الشؤون التنفيذية'!$G$2:$G$421,$G562,'الشؤون التنفيذية'!$I$2:$I$421,$I562)+SUMIFS('الجهاز العسكري'!$M$2:$M$631,'الجهاز العسكري'!$B$2:$B$631,$B562,'الجهاز العسكري'!$G$2:$G$631,$G562,'الجهاز العسكري'!$I$2:$I$631,$I562))/$L562,0))</f>
        <v>92</v>
      </c>
      <c r="O562" s="25" t="n">
        <f aca="false">IF($L562=0,0,ROUND((SUMIFS('المرتبطة بسمو الوزير'!$N$2:$N$151,'المرتبطة بسمو الوزير'!$B$2:$B$151,$B562,'المرتبطة بسمو الوزير'!$G$2:$G$151,$G562,'المرتبطة بسمو الوزير'!$I$2:$I$151,$I562)+SUMIFS('الشؤون التنفيذية'!$O$2:$O$421,'الشؤون التنفيذية'!$B$2:$B$421,$B562,'الشؤون التنفيذية'!$G$2:$G$421,$G562,'الشؤون التنفيذية'!$I$2:$I$421,$I562)+SUMIFS('الجهاز العسكري'!$N$2:$N$631,'الجهاز العسكري'!$B$2:$B$631,$B562,'الجهاز العسكري'!$G$2:$G$631,$G562,'الجهاز العسكري'!$I$2:$I$631,$I562))/$L562,0))</f>
        <v>95</v>
      </c>
      <c r="P562" s="22"/>
      <c r="Q562" s="19" t="n">
        <f aca="false">SUMIFS(المرجع!$G$2:$G$19,المرجع!$B$2:$B$19,$G562,المرجع!$E$2:$E$19,$I562)</f>
        <v>15</v>
      </c>
      <c r="R562" s="26" t="n">
        <f aca="false">ROUND($Q562*$N562/100,2)</f>
        <v>13.8</v>
      </c>
      <c r="S562" s="27" t="str">
        <f aca="false">IF($N562&gt;المرجع!$K$3,"متقدم",IF($N562&lt;=المرجع!$K$2,"أولي","جزئي"))</f>
        <v>متقدم</v>
      </c>
      <c r="T562" s="28" t="n">
        <f aca="false">ROUND($Q562*$O562/100,2)</f>
        <v>14.25</v>
      </c>
    </row>
    <row r="563" customFormat="false" ht="15" hidden="false" customHeight="true" outlineLevel="0" collapsed="false">
      <c r="A563" s="20" t="s">
        <v>2015</v>
      </c>
      <c r="B563" s="20" t="s">
        <v>220</v>
      </c>
      <c r="C563" s="19" t="str">
        <f aca="false">IFERROR(INDEX('قائمة الوحدات'!$B$2:$B$41,MATCH($B563,'قائمة الوحدات'!$A$2:$A$41,0)),"")</f>
        <v>MIL</v>
      </c>
      <c r="D563" s="18" t="str">
        <f aca="false">IFERROR(INDEX('قائمة الوحدات'!$C$2:$C$41,MATCH($B563,'قائمة الوحدات'!$A$2:$A$41,0)),"")</f>
        <v>الجهاز العسكري</v>
      </c>
      <c r="E563" s="18" t="str">
        <f aca="false">IFERROR(INDEX('قائمة الوحدات'!$D$2:$D$41,MATCH($B563,'قائمة الوحدات'!$A$2:$A$41,0)),"")</f>
        <v>الإدارة العامة للخدمات الطبية العسكرية</v>
      </c>
      <c r="F563" s="18" t="str">
        <f aca="false">IFERROR(INDEX('قائمة الوحدات'!$F$2:$F$41,MATCH($B563,'قائمة الوحدات'!$A$2:$A$41,0)),"")</f>
        <v>الإدارة العامة للخدمات الطبية العسكرية</v>
      </c>
      <c r="G563" s="20" t="s">
        <v>44</v>
      </c>
      <c r="H563" s="18" t="str">
        <f aca="false">IFERROR(INDEX(المرجع!$A$2:$A$19,MATCH($G563,المرجع!$B$2:$B$19,0)),"")</f>
        <v>التصميم</v>
      </c>
      <c r="I563" s="20" t="s">
        <v>55</v>
      </c>
      <c r="J563" s="18" t="str">
        <f aca="false">IFERROR(INDEX(المرجع!$D$2:$D$19,MATCH($I563,المرجع!$E$2:$E$19,0)),"")</f>
        <v>التنظيم</v>
      </c>
      <c r="K563" s="19" t="n">
        <f aca="false">IFERROR(INDEX(المرجع!$F$2:$F$19,MATCH($I563,المرجع!$E$2:$E$19,0)),"")</f>
        <v>4</v>
      </c>
      <c r="L563" s="19" t="n">
        <f aca="false">SUMIFS(المرجع!$H$2:$H$19,المرجع!$B$2:$B$19,$G563,المرجع!$E$2:$E$19,$I563)</f>
        <v>1</v>
      </c>
      <c r="M563" s="19" t="n">
        <f aca="false">COUNTIFS('المرتبطة بسمو الوزير'!$B$2:$B$151,$B563,'المرتبطة بسمو الوزير'!$G$2:$G$151,$G563,'المرتبطة بسمو الوزير'!$I$2:$I$151,$I563,'المرتبطة بسمو الوزير'!$M$2:$M$151,"&lt;&gt;")+COUNTIFS('الشؤون التنفيذية'!$B$2:$B$421,$B563,'الشؤون التنفيذية'!$G$2:$G$421,$G563,'الشؤون التنفيذية'!$I$2:$I$421,$I563,'الشؤون التنفيذية'!$N$2:$N$421,"&lt;&gt;")+COUNTIFS('الجهاز العسكري'!$B$2:$B$631,$B563,'الجهاز العسكري'!$G$2:$G$631,$G563,'الجهاز العسكري'!$I$2:$I$631,$I563,'الجهاز العسكري'!$M$2:$M$631,"&lt;&gt;")</f>
        <v>1</v>
      </c>
      <c r="N563" s="24" t="n">
        <f aca="false">IF($L563=0,0,ROUND((SUMIFS('المرتبطة بسمو الوزير'!$M$2:$M$151,'المرتبطة بسمو الوزير'!$B$2:$B$151,$B563,'المرتبطة بسمو الوزير'!$G$2:$G$151,$G563,'المرتبطة بسمو الوزير'!$I$2:$I$151,$I563)+SUMIFS('الشؤون التنفيذية'!$N$2:$N$421,'الشؤون التنفيذية'!$B$2:$B$421,$B563,'الشؤون التنفيذية'!$G$2:$G$421,$G563,'الشؤون التنفيذية'!$I$2:$I$421,$I563)+SUMIFS('الجهاز العسكري'!$M$2:$M$631,'الجهاز العسكري'!$B$2:$B$631,$B563,'الجهاز العسكري'!$G$2:$G$631,$G563,'الجهاز العسكري'!$I$2:$I$631,$I563))/$L563,0))</f>
        <v>80</v>
      </c>
      <c r="O563" s="25" t="n">
        <f aca="false">IF($L563=0,0,ROUND((SUMIFS('المرتبطة بسمو الوزير'!$N$2:$N$151,'المرتبطة بسمو الوزير'!$B$2:$B$151,$B563,'المرتبطة بسمو الوزير'!$G$2:$G$151,$G563,'المرتبطة بسمو الوزير'!$I$2:$I$151,$I563)+SUMIFS('الشؤون التنفيذية'!$O$2:$O$421,'الشؤون التنفيذية'!$B$2:$B$421,$B563,'الشؤون التنفيذية'!$G$2:$G$421,$G563,'الشؤون التنفيذية'!$I$2:$I$421,$I563)+SUMIFS('الجهاز العسكري'!$N$2:$N$631,'الجهاز العسكري'!$B$2:$B$631,$B563,'الجهاز العسكري'!$G$2:$G$631,$G563,'الجهاز العسكري'!$I$2:$I$631,$I563))/$L563,0))</f>
        <v>95</v>
      </c>
      <c r="P563" s="22"/>
      <c r="Q563" s="19" t="n">
        <f aca="false">SUMIFS(المرجع!$G$2:$G$19,المرجع!$B$2:$B$19,$G563,المرجع!$E$2:$E$19,$I563)</f>
        <v>20</v>
      </c>
      <c r="R563" s="26" t="n">
        <f aca="false">ROUND($Q563*$N563/100,2)</f>
        <v>16</v>
      </c>
      <c r="S563" s="27" t="str">
        <f aca="false">IF($N563&gt;المرجع!$K$3,"متقدم",IF($N563&lt;=المرجع!$K$2,"أولي","جزئي"))</f>
        <v>متقدم</v>
      </c>
      <c r="T563" s="28" t="n">
        <f aca="false">ROUND($Q563*$O563/100,2)</f>
        <v>19</v>
      </c>
    </row>
    <row r="564" customFormat="false" ht="15" hidden="false" customHeight="true" outlineLevel="0" collapsed="false">
      <c r="A564" s="20" t="s">
        <v>2016</v>
      </c>
      <c r="B564" s="20" t="s">
        <v>220</v>
      </c>
      <c r="C564" s="19" t="str">
        <f aca="false">IFERROR(INDEX('قائمة الوحدات'!$B$2:$B$41,MATCH($B564,'قائمة الوحدات'!$A$2:$A$41,0)),"")</f>
        <v>MIL</v>
      </c>
      <c r="D564" s="18" t="str">
        <f aca="false">IFERROR(INDEX('قائمة الوحدات'!$C$2:$C$41,MATCH($B564,'قائمة الوحدات'!$A$2:$A$41,0)),"")</f>
        <v>الجهاز العسكري</v>
      </c>
      <c r="E564" s="18" t="str">
        <f aca="false">IFERROR(INDEX('قائمة الوحدات'!$D$2:$D$41,MATCH($B564,'قائمة الوحدات'!$A$2:$A$41,0)),"")</f>
        <v>الإدارة العامة للخدمات الطبية العسكرية</v>
      </c>
      <c r="F564" s="18" t="str">
        <f aca="false">IFERROR(INDEX('قائمة الوحدات'!$F$2:$F$41,MATCH($B564,'قائمة الوحدات'!$A$2:$A$41,0)),"")</f>
        <v>الإدارة العامة للخدمات الطبية العسكرية</v>
      </c>
      <c r="G564" s="20" t="s">
        <v>44</v>
      </c>
      <c r="H564" s="18" t="str">
        <f aca="false">IFERROR(INDEX(المرجع!$A$2:$A$19,MATCH($G564,المرجع!$B$2:$B$19,0)),"")</f>
        <v>التصميم</v>
      </c>
      <c r="I564" s="20" t="s">
        <v>57</v>
      </c>
      <c r="J564" s="18" t="str">
        <f aca="false">IFERROR(INDEX(المرجع!$D$2:$D$19,MATCH($I564,المرجع!$E$2:$E$19,0)),"")</f>
        <v>الموارد</v>
      </c>
      <c r="K564" s="19" t="n">
        <f aca="false">IFERROR(INDEX(المرجع!$F$2:$F$19,MATCH($I564,المرجع!$E$2:$E$19,0)),"")</f>
        <v>5</v>
      </c>
      <c r="L564" s="19" t="n">
        <f aca="false">SUMIFS(المرجع!$H$2:$H$19,المرجع!$B$2:$B$19,$G564,المرجع!$E$2:$E$19,$I564)</f>
        <v>1</v>
      </c>
      <c r="M564" s="19" t="n">
        <f aca="false">COUNTIFS('المرتبطة بسمو الوزير'!$B$2:$B$151,$B564,'المرتبطة بسمو الوزير'!$G$2:$G$151,$G564,'المرتبطة بسمو الوزير'!$I$2:$I$151,$I564,'المرتبطة بسمو الوزير'!$M$2:$M$151,"&lt;&gt;")+COUNTIFS('الشؤون التنفيذية'!$B$2:$B$421,$B564,'الشؤون التنفيذية'!$G$2:$G$421,$G564,'الشؤون التنفيذية'!$I$2:$I$421,$I564,'الشؤون التنفيذية'!$N$2:$N$421,"&lt;&gt;")+COUNTIFS('الجهاز العسكري'!$B$2:$B$631,$B564,'الجهاز العسكري'!$G$2:$G$631,$G564,'الجهاز العسكري'!$I$2:$I$631,$I564,'الجهاز العسكري'!$M$2:$M$631,"&lt;&gt;")</f>
        <v>1</v>
      </c>
      <c r="N564" s="24" t="n">
        <f aca="false">IF($L564=0,0,ROUND((SUMIFS('المرتبطة بسمو الوزير'!$M$2:$M$151,'المرتبطة بسمو الوزير'!$B$2:$B$151,$B564,'المرتبطة بسمو الوزير'!$G$2:$G$151,$G564,'المرتبطة بسمو الوزير'!$I$2:$I$151,$I564)+SUMIFS('الشؤون التنفيذية'!$N$2:$N$421,'الشؤون التنفيذية'!$B$2:$B$421,$B564,'الشؤون التنفيذية'!$G$2:$G$421,$G564,'الشؤون التنفيذية'!$I$2:$I$421,$I564)+SUMIFS('الجهاز العسكري'!$M$2:$M$631,'الجهاز العسكري'!$B$2:$B$631,$B564,'الجهاز العسكري'!$G$2:$G$631,$G564,'الجهاز العسكري'!$I$2:$I$631,$I564))/$L564,0))</f>
        <v>95</v>
      </c>
      <c r="O564" s="25" t="n">
        <f aca="false">IF($L564=0,0,ROUND((SUMIFS('المرتبطة بسمو الوزير'!$N$2:$N$151,'المرتبطة بسمو الوزير'!$B$2:$B$151,$B564,'المرتبطة بسمو الوزير'!$G$2:$G$151,$G564,'المرتبطة بسمو الوزير'!$I$2:$I$151,$I564)+SUMIFS('الشؤون التنفيذية'!$O$2:$O$421,'الشؤون التنفيذية'!$B$2:$B$421,$B564,'الشؤون التنفيذية'!$G$2:$G$421,$G564,'الشؤون التنفيذية'!$I$2:$I$421,$I564)+SUMIFS('الجهاز العسكري'!$N$2:$N$631,'الجهاز العسكري'!$B$2:$B$631,$B564,'الجهاز العسكري'!$G$2:$G$631,$G564,'الجهاز العسكري'!$I$2:$I$631,$I564))/$L564,0))</f>
        <v>95</v>
      </c>
      <c r="P564" s="22"/>
      <c r="Q564" s="19" t="n">
        <f aca="false">SUMIFS(المرجع!$G$2:$G$19,المرجع!$B$2:$B$19,$G564,المرجع!$E$2:$E$19,$I564)</f>
        <v>20</v>
      </c>
      <c r="R564" s="26" t="n">
        <f aca="false">ROUND($Q564*$N564/100,2)</f>
        <v>19</v>
      </c>
      <c r="S564" s="27" t="str">
        <f aca="false">IF($N564&gt;المرجع!$K$3,"متقدم",IF($N564&lt;=المرجع!$K$2,"أولي","جزئي"))</f>
        <v>متقدم</v>
      </c>
      <c r="T564" s="28" t="n">
        <f aca="false">ROUND($Q564*$O564/100,2)</f>
        <v>19</v>
      </c>
    </row>
    <row r="565" customFormat="false" ht="15" hidden="false" customHeight="true" outlineLevel="0" collapsed="false">
      <c r="A565" s="20" t="s">
        <v>2017</v>
      </c>
      <c r="B565" s="20" t="s">
        <v>220</v>
      </c>
      <c r="C565" s="19" t="str">
        <f aca="false">IFERROR(INDEX('قائمة الوحدات'!$B$2:$B$41,MATCH($B565,'قائمة الوحدات'!$A$2:$A$41,0)),"")</f>
        <v>MIL</v>
      </c>
      <c r="D565" s="18" t="str">
        <f aca="false">IFERROR(INDEX('قائمة الوحدات'!$C$2:$C$41,MATCH($B565,'قائمة الوحدات'!$A$2:$A$41,0)),"")</f>
        <v>الجهاز العسكري</v>
      </c>
      <c r="E565" s="18" t="str">
        <f aca="false">IFERROR(INDEX('قائمة الوحدات'!$D$2:$D$41,MATCH($B565,'قائمة الوحدات'!$A$2:$A$41,0)),"")</f>
        <v>الإدارة العامة للخدمات الطبية العسكرية</v>
      </c>
      <c r="F565" s="18" t="str">
        <f aca="false">IFERROR(INDEX('قائمة الوحدات'!$F$2:$F$41,MATCH($B565,'قائمة الوحدات'!$A$2:$A$41,0)),"")</f>
        <v>الإدارة العامة للخدمات الطبية العسكرية</v>
      </c>
      <c r="G565" s="20" t="s">
        <v>44</v>
      </c>
      <c r="H565" s="18" t="str">
        <f aca="false">IFERROR(INDEX(المرجع!$A$2:$A$19,MATCH($G565,المرجع!$B$2:$B$19,0)),"")</f>
        <v>التصميم</v>
      </c>
      <c r="I565" s="20" t="s">
        <v>60</v>
      </c>
      <c r="J565" s="18" t="str">
        <f aca="false">IFERROR(INDEX(المرجع!$D$2:$D$19,MATCH($I565,المرجع!$E$2:$E$19,0)),"")</f>
        <v>الإجراءات</v>
      </c>
      <c r="K565" s="19" t="n">
        <f aca="false">IFERROR(INDEX(المرجع!$F$2:$F$19,MATCH($I565,المرجع!$E$2:$E$19,0)),"")</f>
        <v>6</v>
      </c>
      <c r="L565" s="19" t="n">
        <f aca="false">SUMIFS(المرجع!$H$2:$H$19,المرجع!$B$2:$B$19,$G565,المرجع!$E$2:$E$19,$I565)</f>
        <v>1</v>
      </c>
      <c r="M565" s="19" t="n">
        <f aca="false">COUNTIFS('المرتبطة بسمو الوزير'!$B$2:$B$151,$B565,'المرتبطة بسمو الوزير'!$G$2:$G$151,$G565,'المرتبطة بسمو الوزير'!$I$2:$I$151,$I565,'المرتبطة بسمو الوزير'!$M$2:$M$151,"&lt;&gt;")+COUNTIFS('الشؤون التنفيذية'!$B$2:$B$421,$B565,'الشؤون التنفيذية'!$G$2:$G$421,$G565,'الشؤون التنفيذية'!$I$2:$I$421,$I565,'الشؤون التنفيذية'!$N$2:$N$421,"&lt;&gt;")+COUNTIFS('الجهاز العسكري'!$B$2:$B$631,$B565,'الجهاز العسكري'!$G$2:$G$631,$G565,'الجهاز العسكري'!$I$2:$I$631,$I565,'الجهاز العسكري'!$M$2:$M$631,"&lt;&gt;")</f>
        <v>1</v>
      </c>
      <c r="N565" s="24" t="n">
        <f aca="false">IF($L565=0,0,ROUND((SUMIFS('المرتبطة بسمو الوزير'!$M$2:$M$151,'المرتبطة بسمو الوزير'!$B$2:$B$151,$B565,'المرتبطة بسمو الوزير'!$G$2:$G$151,$G565,'المرتبطة بسمو الوزير'!$I$2:$I$151,$I565)+SUMIFS('الشؤون التنفيذية'!$N$2:$N$421,'الشؤون التنفيذية'!$B$2:$B$421,$B565,'الشؤون التنفيذية'!$G$2:$G$421,$G565,'الشؤون التنفيذية'!$I$2:$I$421,$I565)+SUMIFS('الجهاز العسكري'!$M$2:$M$631,'الجهاز العسكري'!$B$2:$B$631,$B565,'الجهاز العسكري'!$G$2:$G$631,$G565,'الجهاز العسكري'!$I$2:$I$631,$I565))/$L565,0))</f>
        <v>76</v>
      </c>
      <c r="O565" s="25" t="n">
        <f aca="false">IF($L565=0,0,ROUND((SUMIFS('المرتبطة بسمو الوزير'!$N$2:$N$151,'المرتبطة بسمو الوزير'!$B$2:$B$151,$B565,'المرتبطة بسمو الوزير'!$G$2:$G$151,$G565,'المرتبطة بسمو الوزير'!$I$2:$I$151,$I565)+SUMIFS('الشؤون التنفيذية'!$O$2:$O$421,'الشؤون التنفيذية'!$B$2:$B$421,$B565,'الشؤون التنفيذية'!$G$2:$G$421,$G565,'الشؤون التنفيذية'!$I$2:$I$421,$I565)+SUMIFS('الجهاز العسكري'!$N$2:$N$631,'الجهاز العسكري'!$B$2:$B$631,$B565,'الجهاز العسكري'!$G$2:$G$631,$G565,'الجهاز العسكري'!$I$2:$I$631,$I565))/$L565,0))</f>
        <v>80</v>
      </c>
      <c r="P565" s="22"/>
      <c r="Q565" s="19" t="n">
        <f aca="false">SUMIFS(المرجع!$G$2:$G$19,المرجع!$B$2:$B$19,$G565,المرجع!$E$2:$E$19,$I565)</f>
        <v>5</v>
      </c>
      <c r="R565" s="26" t="n">
        <f aca="false">ROUND($Q565*$N565/100,2)</f>
        <v>3.8</v>
      </c>
      <c r="S565" s="27" t="str">
        <f aca="false">IF($N565&gt;المرجع!$K$3,"متقدم",IF($N565&lt;=المرجع!$K$2,"أولي","جزئي"))</f>
        <v>متقدم</v>
      </c>
      <c r="T565" s="28" t="n">
        <f aca="false">ROUND($Q565*$O565/100,2)</f>
        <v>4</v>
      </c>
    </row>
    <row r="566" customFormat="false" ht="15" hidden="false" customHeight="true" outlineLevel="0" collapsed="false">
      <c r="A566" s="20" t="s">
        <v>2018</v>
      </c>
      <c r="B566" s="20" t="s">
        <v>220</v>
      </c>
      <c r="C566" s="19" t="str">
        <f aca="false">IFERROR(INDEX('قائمة الوحدات'!$B$2:$B$41,MATCH($B566,'قائمة الوحدات'!$A$2:$A$41,0)),"")</f>
        <v>MIL</v>
      </c>
      <c r="D566" s="18" t="str">
        <f aca="false">IFERROR(INDEX('قائمة الوحدات'!$C$2:$C$41,MATCH($B566,'قائمة الوحدات'!$A$2:$A$41,0)),"")</f>
        <v>الجهاز العسكري</v>
      </c>
      <c r="E566" s="18" t="str">
        <f aca="false">IFERROR(INDEX('قائمة الوحدات'!$D$2:$D$41,MATCH($B566,'قائمة الوحدات'!$A$2:$A$41,0)),"")</f>
        <v>الإدارة العامة للخدمات الطبية العسكرية</v>
      </c>
      <c r="F566" s="18" t="str">
        <f aca="false">IFERROR(INDEX('قائمة الوحدات'!$F$2:$F$41,MATCH($B566,'قائمة الوحدات'!$A$2:$A$41,0)),"")</f>
        <v>الإدارة العامة للخدمات الطبية العسكرية</v>
      </c>
      <c r="G566" s="20" t="s">
        <v>62</v>
      </c>
      <c r="H566" s="18" t="str">
        <f aca="false">IFERROR(INDEX(المرجع!$A$2:$A$19,MATCH($G566,المرجع!$B$2:$B$19,0)),"")</f>
        <v>البناء المؤسسي</v>
      </c>
      <c r="I566" s="20" t="s">
        <v>46</v>
      </c>
      <c r="J566" s="18" t="str">
        <f aca="false">IFERROR(INDEX(المرجع!$D$2:$D$19,MATCH($I566,المرجع!$E$2:$E$19,0)),"")</f>
        <v>الدور</v>
      </c>
      <c r="K566" s="19" t="n">
        <f aca="false">IFERROR(INDEX(المرجع!$F$2:$F$19,MATCH($I566,المرجع!$E$2:$E$19,0)),"")</f>
        <v>1</v>
      </c>
      <c r="L566" s="19" t="n">
        <f aca="false">SUMIFS(المرجع!$H$2:$H$19,المرجع!$B$2:$B$19,$G566,المرجع!$E$2:$E$19,$I566)</f>
        <v>1</v>
      </c>
      <c r="M566" s="19" t="n">
        <f aca="false">COUNTIFS('المرتبطة بسمو الوزير'!$B$2:$B$151,$B566,'المرتبطة بسمو الوزير'!$G$2:$G$151,$G566,'المرتبطة بسمو الوزير'!$I$2:$I$151,$I566,'المرتبطة بسمو الوزير'!$M$2:$M$151,"&lt;&gt;")+COUNTIFS('الشؤون التنفيذية'!$B$2:$B$421,$B566,'الشؤون التنفيذية'!$G$2:$G$421,$G566,'الشؤون التنفيذية'!$I$2:$I$421,$I566,'الشؤون التنفيذية'!$N$2:$N$421,"&lt;&gt;")+COUNTIFS('الجهاز العسكري'!$B$2:$B$631,$B566,'الجهاز العسكري'!$G$2:$G$631,$G566,'الجهاز العسكري'!$I$2:$I$631,$I566,'الجهاز العسكري'!$M$2:$M$631,"&lt;&gt;")</f>
        <v>1</v>
      </c>
      <c r="N566" s="24" t="n">
        <f aca="false">IF($L566=0,0,ROUND((SUMIFS('المرتبطة بسمو الوزير'!$M$2:$M$151,'المرتبطة بسمو الوزير'!$B$2:$B$151,$B566,'المرتبطة بسمو الوزير'!$G$2:$G$151,$G566,'المرتبطة بسمو الوزير'!$I$2:$I$151,$I566)+SUMIFS('الشؤون التنفيذية'!$N$2:$N$421,'الشؤون التنفيذية'!$B$2:$B$421,$B566,'الشؤون التنفيذية'!$G$2:$G$421,$G566,'الشؤون التنفيذية'!$I$2:$I$421,$I566)+SUMIFS('الجهاز العسكري'!$M$2:$M$631,'الجهاز العسكري'!$B$2:$B$631,$B566,'الجهاز العسكري'!$G$2:$G$631,$G566,'الجهاز العسكري'!$I$2:$I$631,$I566))/$L566,0))</f>
        <v>65</v>
      </c>
      <c r="O566" s="25" t="n">
        <f aca="false">IF($L566=0,0,ROUND((SUMIFS('المرتبطة بسمو الوزير'!$N$2:$N$151,'المرتبطة بسمو الوزير'!$B$2:$B$151,$B566,'المرتبطة بسمو الوزير'!$G$2:$G$151,$G566,'المرتبطة بسمو الوزير'!$I$2:$I$151,$I566)+SUMIFS('الشؤون التنفيذية'!$O$2:$O$421,'الشؤون التنفيذية'!$B$2:$B$421,$B566,'الشؤون التنفيذية'!$G$2:$G$421,$G566,'الشؤون التنفيذية'!$I$2:$I$421,$I566)+SUMIFS('الجهاز العسكري'!$N$2:$N$631,'الجهاز العسكري'!$B$2:$B$631,$B566,'الجهاز العسكري'!$G$2:$G$631,$G566,'الجهاز العسكري'!$I$2:$I$631,$I566))/$L566,0))</f>
        <v>85</v>
      </c>
      <c r="P566" s="22"/>
      <c r="Q566" s="19" t="n">
        <f aca="false">SUMIFS(المرجع!$G$2:$G$19,المرجع!$B$2:$B$19,$G566,المرجع!$E$2:$E$19,$I566)</f>
        <v>15</v>
      </c>
      <c r="R566" s="26" t="n">
        <f aca="false">ROUND($Q566*$N566/100,2)</f>
        <v>9.75</v>
      </c>
      <c r="S566" s="27" t="str">
        <f aca="false">IF($N566&gt;المرجع!$K$3,"متقدم",IF($N566&lt;=المرجع!$K$2,"أولي","جزئي"))</f>
        <v>جزئي</v>
      </c>
      <c r="T566" s="28" t="n">
        <f aca="false">ROUND($Q566*$O566/100,2)</f>
        <v>12.75</v>
      </c>
    </row>
    <row r="567" customFormat="false" ht="15" hidden="false" customHeight="true" outlineLevel="0" collapsed="false">
      <c r="A567" s="20" t="s">
        <v>2019</v>
      </c>
      <c r="B567" s="20" t="s">
        <v>220</v>
      </c>
      <c r="C567" s="19" t="str">
        <f aca="false">IFERROR(INDEX('قائمة الوحدات'!$B$2:$B$41,MATCH($B567,'قائمة الوحدات'!$A$2:$A$41,0)),"")</f>
        <v>MIL</v>
      </c>
      <c r="D567" s="18" t="str">
        <f aca="false">IFERROR(INDEX('قائمة الوحدات'!$C$2:$C$41,MATCH($B567,'قائمة الوحدات'!$A$2:$A$41,0)),"")</f>
        <v>الجهاز العسكري</v>
      </c>
      <c r="E567" s="18" t="str">
        <f aca="false">IFERROR(INDEX('قائمة الوحدات'!$D$2:$D$41,MATCH($B567,'قائمة الوحدات'!$A$2:$A$41,0)),"")</f>
        <v>الإدارة العامة للخدمات الطبية العسكرية</v>
      </c>
      <c r="F567" s="18" t="str">
        <f aca="false">IFERROR(INDEX('قائمة الوحدات'!$F$2:$F$41,MATCH($B567,'قائمة الوحدات'!$A$2:$A$41,0)),"")</f>
        <v>الإدارة العامة للخدمات الطبية العسكرية</v>
      </c>
      <c r="G567" s="20" t="s">
        <v>62</v>
      </c>
      <c r="H567" s="18" t="str">
        <f aca="false">IFERROR(INDEX(المرجع!$A$2:$A$19,MATCH($G567,المرجع!$B$2:$B$19,0)),"")</f>
        <v>البناء المؤسسي</v>
      </c>
      <c r="I567" s="20" t="s">
        <v>49</v>
      </c>
      <c r="J567" s="18" t="str">
        <f aca="false">IFERROR(INDEX(المرجع!$D$2:$D$19,MATCH($I567,المرجع!$E$2:$E$19,0)),"")</f>
        <v>الأهداف ومؤشرات الأداء</v>
      </c>
      <c r="K567" s="19" t="n">
        <f aca="false">IFERROR(INDEX(المرجع!$F$2:$F$19,MATCH($I567,المرجع!$E$2:$E$19,0)),"")</f>
        <v>2</v>
      </c>
      <c r="L567" s="19" t="n">
        <f aca="false">SUMIFS(المرجع!$H$2:$H$19,المرجع!$B$2:$B$19,$G567,المرجع!$E$2:$E$19,$I567)</f>
        <v>2</v>
      </c>
      <c r="M567" s="19" t="n">
        <f aca="false">COUNTIFS('المرتبطة بسمو الوزير'!$B$2:$B$151,$B567,'المرتبطة بسمو الوزير'!$G$2:$G$151,$G567,'المرتبطة بسمو الوزير'!$I$2:$I$151,$I567,'المرتبطة بسمو الوزير'!$M$2:$M$151,"&lt;&gt;")+COUNTIFS('الشؤون التنفيذية'!$B$2:$B$421,$B567,'الشؤون التنفيذية'!$G$2:$G$421,$G567,'الشؤون التنفيذية'!$I$2:$I$421,$I567,'الشؤون التنفيذية'!$N$2:$N$421,"&lt;&gt;")+COUNTIFS('الجهاز العسكري'!$B$2:$B$631,$B567,'الجهاز العسكري'!$G$2:$G$631,$G567,'الجهاز العسكري'!$I$2:$I$631,$I567,'الجهاز العسكري'!$M$2:$M$631,"&lt;&gt;")</f>
        <v>2</v>
      </c>
      <c r="N567" s="24" t="n">
        <f aca="false">IF($L567=0,0,ROUND((SUMIFS('المرتبطة بسمو الوزير'!$M$2:$M$151,'المرتبطة بسمو الوزير'!$B$2:$B$151,$B567,'المرتبطة بسمو الوزير'!$G$2:$G$151,$G567,'المرتبطة بسمو الوزير'!$I$2:$I$151,$I567)+SUMIFS('الشؤون التنفيذية'!$N$2:$N$421,'الشؤون التنفيذية'!$B$2:$B$421,$B567,'الشؤون التنفيذية'!$G$2:$G$421,$G567,'الشؤون التنفيذية'!$I$2:$I$421,$I567)+SUMIFS('الجهاز العسكري'!$M$2:$M$631,'الجهاز العسكري'!$B$2:$B$631,$B567,'الجهاز العسكري'!$G$2:$G$631,$G567,'الجهاز العسكري'!$I$2:$I$631,$I567))/$L567,0))</f>
        <v>53</v>
      </c>
      <c r="O567" s="25" t="n">
        <f aca="false">IF($L567=0,0,ROUND((SUMIFS('المرتبطة بسمو الوزير'!$N$2:$N$151,'المرتبطة بسمو الوزير'!$B$2:$B$151,$B567,'المرتبطة بسمو الوزير'!$G$2:$G$151,$G567,'المرتبطة بسمو الوزير'!$I$2:$I$151,$I567)+SUMIFS('الشؤون التنفيذية'!$O$2:$O$421,'الشؤون التنفيذية'!$B$2:$B$421,$B567,'الشؤون التنفيذية'!$G$2:$G$421,$G567,'الشؤون التنفيذية'!$I$2:$I$421,$I567)+SUMIFS('الجهاز العسكري'!$N$2:$N$631,'الجهاز العسكري'!$B$2:$B$631,$B567,'الجهاز العسكري'!$G$2:$G$631,$G567,'الجهاز العسكري'!$I$2:$I$631,$I567))/$L567,0))</f>
        <v>88</v>
      </c>
      <c r="P567" s="22"/>
      <c r="Q567" s="19" t="n">
        <f aca="false">SUMIFS(المرجع!$G$2:$G$19,المرجع!$B$2:$B$19,$G567,المرجع!$E$2:$E$19,$I567)</f>
        <v>15</v>
      </c>
      <c r="R567" s="26" t="n">
        <f aca="false">ROUND($Q567*$N567/100,2)</f>
        <v>7.95</v>
      </c>
      <c r="S567" s="27" t="str">
        <f aca="false">IF($N567&gt;المرجع!$K$3,"متقدم",IF($N567&lt;=المرجع!$K$2,"أولي","جزئي"))</f>
        <v>جزئي</v>
      </c>
      <c r="T567" s="28" t="n">
        <f aca="false">ROUND($Q567*$O567/100,2)</f>
        <v>13.2</v>
      </c>
    </row>
    <row r="568" customFormat="false" ht="15" hidden="false" customHeight="true" outlineLevel="0" collapsed="false">
      <c r="A568" s="20" t="s">
        <v>2020</v>
      </c>
      <c r="B568" s="20" t="s">
        <v>220</v>
      </c>
      <c r="C568" s="19" t="str">
        <f aca="false">IFERROR(INDEX('قائمة الوحدات'!$B$2:$B$41,MATCH($B568,'قائمة الوحدات'!$A$2:$A$41,0)),"")</f>
        <v>MIL</v>
      </c>
      <c r="D568" s="18" t="str">
        <f aca="false">IFERROR(INDEX('قائمة الوحدات'!$C$2:$C$41,MATCH($B568,'قائمة الوحدات'!$A$2:$A$41,0)),"")</f>
        <v>الجهاز العسكري</v>
      </c>
      <c r="E568" s="18" t="str">
        <f aca="false">IFERROR(INDEX('قائمة الوحدات'!$D$2:$D$41,MATCH($B568,'قائمة الوحدات'!$A$2:$A$41,0)),"")</f>
        <v>الإدارة العامة للخدمات الطبية العسكرية</v>
      </c>
      <c r="F568" s="18" t="str">
        <f aca="false">IFERROR(INDEX('قائمة الوحدات'!$F$2:$F$41,MATCH($B568,'قائمة الوحدات'!$A$2:$A$41,0)),"")</f>
        <v>الإدارة العامة للخدمات الطبية العسكرية</v>
      </c>
      <c r="G568" s="20" t="s">
        <v>62</v>
      </c>
      <c r="H568" s="18" t="str">
        <f aca="false">IFERROR(INDEX(المرجع!$A$2:$A$19,MATCH($G568,المرجع!$B$2:$B$19,0)),"")</f>
        <v>البناء المؤسسي</v>
      </c>
      <c r="I568" s="20" t="s">
        <v>52</v>
      </c>
      <c r="J568" s="18" t="str">
        <f aca="false">IFERROR(INDEX(المرجع!$D$2:$D$19,MATCH($I568,المرجع!$E$2:$E$19,0)),"")</f>
        <v>الحوكمة</v>
      </c>
      <c r="K568" s="19" t="n">
        <f aca="false">IFERROR(INDEX(المرجع!$F$2:$F$19,MATCH($I568,المرجع!$E$2:$E$19,0)),"")</f>
        <v>3</v>
      </c>
      <c r="L568" s="19" t="n">
        <f aca="false">SUMIFS(المرجع!$H$2:$H$19,المرجع!$B$2:$B$19,$G568,المرجع!$E$2:$E$19,$I568)</f>
        <v>3</v>
      </c>
      <c r="M568" s="19" t="n">
        <f aca="false">COUNTIFS('المرتبطة بسمو الوزير'!$B$2:$B$151,$B568,'المرتبطة بسمو الوزير'!$G$2:$G$151,$G568,'المرتبطة بسمو الوزير'!$I$2:$I$151,$I568,'المرتبطة بسمو الوزير'!$M$2:$M$151,"&lt;&gt;")+COUNTIFS('الشؤون التنفيذية'!$B$2:$B$421,$B568,'الشؤون التنفيذية'!$G$2:$G$421,$G568,'الشؤون التنفيذية'!$I$2:$I$421,$I568,'الشؤون التنفيذية'!$N$2:$N$421,"&lt;&gt;")+COUNTIFS('الجهاز العسكري'!$B$2:$B$631,$B568,'الجهاز العسكري'!$G$2:$G$631,$G568,'الجهاز العسكري'!$I$2:$I$631,$I568,'الجهاز العسكري'!$M$2:$M$631,"&lt;&gt;")</f>
        <v>3</v>
      </c>
      <c r="N568" s="24" t="n">
        <f aca="false">IF($L568=0,0,ROUND((SUMIFS('المرتبطة بسمو الوزير'!$M$2:$M$151,'المرتبطة بسمو الوزير'!$B$2:$B$151,$B568,'المرتبطة بسمو الوزير'!$G$2:$G$151,$G568,'المرتبطة بسمو الوزير'!$I$2:$I$151,$I568)+SUMIFS('الشؤون التنفيذية'!$N$2:$N$421,'الشؤون التنفيذية'!$B$2:$B$421,$B568,'الشؤون التنفيذية'!$G$2:$G$421,$G568,'الشؤون التنفيذية'!$I$2:$I$421,$I568)+SUMIFS('الجهاز العسكري'!$M$2:$M$631,'الجهاز العسكري'!$B$2:$B$631,$B568,'الجهاز العسكري'!$G$2:$G$631,$G568,'الجهاز العسكري'!$I$2:$I$631,$I568))/$L568,0))</f>
        <v>65</v>
      </c>
      <c r="O568" s="25" t="n">
        <f aca="false">IF($L568=0,0,ROUND((SUMIFS('المرتبطة بسمو الوزير'!$N$2:$N$151,'المرتبطة بسمو الوزير'!$B$2:$B$151,$B568,'المرتبطة بسمو الوزير'!$G$2:$G$151,$G568,'المرتبطة بسمو الوزير'!$I$2:$I$151,$I568)+SUMIFS('الشؤون التنفيذية'!$O$2:$O$421,'الشؤون التنفيذية'!$B$2:$B$421,$B568,'الشؤون التنفيذية'!$G$2:$G$421,$G568,'الشؤون التنفيذية'!$I$2:$I$421,$I568)+SUMIFS('الجهاز العسكري'!$N$2:$N$631,'الجهاز العسكري'!$B$2:$B$631,$B568,'الجهاز العسكري'!$G$2:$G$631,$G568,'الجهاز العسكري'!$I$2:$I$631,$I568))/$L568,0))</f>
        <v>97</v>
      </c>
      <c r="P568" s="22"/>
      <c r="Q568" s="19" t="n">
        <f aca="false">SUMIFS(المرجع!$G$2:$G$19,المرجع!$B$2:$B$19,$G568,المرجع!$E$2:$E$19,$I568)</f>
        <v>15</v>
      </c>
      <c r="R568" s="26" t="n">
        <f aca="false">ROUND($Q568*$N568/100,2)</f>
        <v>9.75</v>
      </c>
      <c r="S568" s="27" t="str">
        <f aca="false">IF($N568&gt;المرجع!$K$3,"متقدم",IF($N568&lt;=المرجع!$K$2,"أولي","جزئي"))</f>
        <v>جزئي</v>
      </c>
      <c r="T568" s="28" t="n">
        <f aca="false">ROUND($Q568*$O568/100,2)</f>
        <v>14.55</v>
      </c>
    </row>
    <row r="569" customFormat="false" ht="15" hidden="false" customHeight="true" outlineLevel="0" collapsed="false">
      <c r="A569" s="20" t="s">
        <v>2021</v>
      </c>
      <c r="B569" s="20" t="s">
        <v>220</v>
      </c>
      <c r="C569" s="19" t="str">
        <f aca="false">IFERROR(INDEX('قائمة الوحدات'!$B$2:$B$41,MATCH($B569,'قائمة الوحدات'!$A$2:$A$41,0)),"")</f>
        <v>MIL</v>
      </c>
      <c r="D569" s="18" t="str">
        <f aca="false">IFERROR(INDEX('قائمة الوحدات'!$C$2:$C$41,MATCH($B569,'قائمة الوحدات'!$A$2:$A$41,0)),"")</f>
        <v>الجهاز العسكري</v>
      </c>
      <c r="E569" s="18" t="str">
        <f aca="false">IFERROR(INDEX('قائمة الوحدات'!$D$2:$D$41,MATCH($B569,'قائمة الوحدات'!$A$2:$A$41,0)),"")</f>
        <v>الإدارة العامة للخدمات الطبية العسكرية</v>
      </c>
      <c r="F569" s="18" t="str">
        <f aca="false">IFERROR(INDEX('قائمة الوحدات'!$F$2:$F$41,MATCH($B569,'قائمة الوحدات'!$A$2:$A$41,0)),"")</f>
        <v>الإدارة العامة للخدمات الطبية العسكرية</v>
      </c>
      <c r="G569" s="20" t="s">
        <v>62</v>
      </c>
      <c r="H569" s="18" t="str">
        <f aca="false">IFERROR(INDEX(المرجع!$A$2:$A$19,MATCH($G569,المرجع!$B$2:$B$19,0)),"")</f>
        <v>البناء المؤسسي</v>
      </c>
      <c r="I569" s="20" t="s">
        <v>55</v>
      </c>
      <c r="J569" s="18" t="str">
        <f aca="false">IFERROR(INDEX(المرجع!$D$2:$D$19,MATCH($I569,المرجع!$E$2:$E$19,0)),"")</f>
        <v>التنظيم</v>
      </c>
      <c r="K569" s="19" t="n">
        <f aca="false">IFERROR(INDEX(المرجع!$F$2:$F$19,MATCH($I569,المرجع!$E$2:$E$19,0)),"")</f>
        <v>4</v>
      </c>
      <c r="L569" s="19" t="n">
        <f aca="false">SUMIFS(المرجع!$H$2:$H$19,المرجع!$B$2:$B$19,$G569,المرجع!$E$2:$E$19,$I569)</f>
        <v>3</v>
      </c>
      <c r="M569" s="19" t="n">
        <f aca="false">COUNTIFS('المرتبطة بسمو الوزير'!$B$2:$B$151,$B569,'المرتبطة بسمو الوزير'!$G$2:$G$151,$G569,'المرتبطة بسمو الوزير'!$I$2:$I$151,$I569,'المرتبطة بسمو الوزير'!$M$2:$M$151,"&lt;&gt;")+COUNTIFS('الشؤون التنفيذية'!$B$2:$B$421,$B569,'الشؤون التنفيذية'!$G$2:$G$421,$G569,'الشؤون التنفيذية'!$I$2:$I$421,$I569,'الشؤون التنفيذية'!$N$2:$N$421,"&lt;&gt;")+COUNTIFS('الجهاز العسكري'!$B$2:$B$631,$B569,'الجهاز العسكري'!$G$2:$G$631,$G569,'الجهاز العسكري'!$I$2:$I$631,$I569,'الجهاز العسكري'!$M$2:$M$631,"&lt;&gt;")</f>
        <v>3</v>
      </c>
      <c r="N569" s="24" t="n">
        <f aca="false">IF($L569=0,0,ROUND((SUMIFS('المرتبطة بسمو الوزير'!$M$2:$M$151,'المرتبطة بسمو الوزير'!$B$2:$B$151,$B569,'المرتبطة بسمو الوزير'!$G$2:$G$151,$G569,'المرتبطة بسمو الوزير'!$I$2:$I$151,$I569)+SUMIFS('الشؤون التنفيذية'!$N$2:$N$421,'الشؤون التنفيذية'!$B$2:$B$421,$B569,'الشؤون التنفيذية'!$G$2:$G$421,$G569,'الشؤون التنفيذية'!$I$2:$I$421,$I569)+SUMIFS('الجهاز العسكري'!$M$2:$M$631,'الجهاز العسكري'!$B$2:$B$631,$B569,'الجهاز العسكري'!$G$2:$G$631,$G569,'الجهاز العسكري'!$I$2:$I$631,$I569))/$L569,0))</f>
        <v>93</v>
      </c>
      <c r="O569" s="25" t="n">
        <f aca="false">IF($L569=0,0,ROUND((SUMIFS('المرتبطة بسمو الوزير'!$N$2:$N$151,'المرتبطة بسمو الوزير'!$B$2:$B$151,$B569,'المرتبطة بسمو الوزير'!$G$2:$G$151,$G569,'المرتبطة بسمو الوزير'!$I$2:$I$151,$I569)+SUMIFS('الشؤون التنفيذية'!$O$2:$O$421,'الشؤون التنفيذية'!$B$2:$B$421,$B569,'الشؤون التنفيذية'!$G$2:$G$421,$G569,'الشؤون التنفيذية'!$I$2:$I$421,$I569)+SUMIFS('الجهاز العسكري'!$N$2:$N$631,'الجهاز العسكري'!$B$2:$B$631,$B569,'الجهاز العسكري'!$G$2:$G$631,$G569,'الجهاز العسكري'!$I$2:$I$631,$I569))/$L569,0))</f>
        <v>95</v>
      </c>
      <c r="P569" s="22"/>
      <c r="Q569" s="19" t="n">
        <f aca="false">SUMIFS(المرجع!$G$2:$G$19,المرجع!$B$2:$B$19,$G569,المرجع!$E$2:$E$19,$I569)</f>
        <v>20</v>
      </c>
      <c r="R569" s="26" t="n">
        <f aca="false">ROUND($Q569*$N569/100,2)</f>
        <v>18.6</v>
      </c>
      <c r="S569" s="27" t="str">
        <f aca="false">IF($N569&gt;المرجع!$K$3,"متقدم",IF($N569&lt;=المرجع!$K$2,"أولي","جزئي"))</f>
        <v>متقدم</v>
      </c>
      <c r="T569" s="28" t="n">
        <f aca="false">ROUND($Q569*$O569/100,2)</f>
        <v>19</v>
      </c>
    </row>
    <row r="570" customFormat="false" ht="15" hidden="false" customHeight="true" outlineLevel="0" collapsed="false">
      <c r="A570" s="20" t="s">
        <v>2022</v>
      </c>
      <c r="B570" s="20" t="s">
        <v>220</v>
      </c>
      <c r="C570" s="19" t="str">
        <f aca="false">IFERROR(INDEX('قائمة الوحدات'!$B$2:$B$41,MATCH($B570,'قائمة الوحدات'!$A$2:$A$41,0)),"")</f>
        <v>MIL</v>
      </c>
      <c r="D570" s="18" t="str">
        <f aca="false">IFERROR(INDEX('قائمة الوحدات'!$C$2:$C$41,MATCH($B570,'قائمة الوحدات'!$A$2:$A$41,0)),"")</f>
        <v>الجهاز العسكري</v>
      </c>
      <c r="E570" s="18" t="str">
        <f aca="false">IFERROR(INDEX('قائمة الوحدات'!$D$2:$D$41,MATCH($B570,'قائمة الوحدات'!$A$2:$A$41,0)),"")</f>
        <v>الإدارة العامة للخدمات الطبية العسكرية</v>
      </c>
      <c r="F570" s="18" t="str">
        <f aca="false">IFERROR(INDEX('قائمة الوحدات'!$F$2:$F$41,MATCH($B570,'قائمة الوحدات'!$A$2:$A$41,0)),"")</f>
        <v>الإدارة العامة للخدمات الطبية العسكرية</v>
      </c>
      <c r="G570" s="20" t="s">
        <v>62</v>
      </c>
      <c r="H570" s="18" t="str">
        <f aca="false">IFERROR(INDEX(المرجع!$A$2:$A$19,MATCH($G570,المرجع!$B$2:$B$19,0)),"")</f>
        <v>البناء المؤسسي</v>
      </c>
      <c r="I570" s="20" t="s">
        <v>57</v>
      </c>
      <c r="J570" s="18" t="str">
        <f aca="false">IFERROR(INDEX(المرجع!$D$2:$D$19,MATCH($I570,المرجع!$E$2:$E$19,0)),"")</f>
        <v>الموارد</v>
      </c>
      <c r="K570" s="19" t="n">
        <f aca="false">IFERROR(INDEX(المرجع!$F$2:$F$19,MATCH($I570,المرجع!$E$2:$E$19,0)),"")</f>
        <v>5</v>
      </c>
      <c r="L570" s="19" t="n">
        <f aca="false">SUMIFS(المرجع!$H$2:$H$19,المرجع!$B$2:$B$19,$G570,المرجع!$E$2:$E$19,$I570)</f>
        <v>4</v>
      </c>
      <c r="M570" s="19" t="n">
        <f aca="false">COUNTIFS('المرتبطة بسمو الوزير'!$B$2:$B$151,$B570,'المرتبطة بسمو الوزير'!$G$2:$G$151,$G570,'المرتبطة بسمو الوزير'!$I$2:$I$151,$I570,'المرتبطة بسمو الوزير'!$M$2:$M$151,"&lt;&gt;")+COUNTIFS('الشؤون التنفيذية'!$B$2:$B$421,$B570,'الشؤون التنفيذية'!$G$2:$G$421,$G570,'الشؤون التنفيذية'!$I$2:$I$421,$I570,'الشؤون التنفيذية'!$N$2:$N$421,"&lt;&gt;")+COUNTIFS('الجهاز العسكري'!$B$2:$B$631,$B570,'الجهاز العسكري'!$G$2:$G$631,$G570,'الجهاز العسكري'!$I$2:$I$631,$I570,'الجهاز العسكري'!$M$2:$M$631,"&lt;&gt;")</f>
        <v>4</v>
      </c>
      <c r="N570" s="24" t="n">
        <f aca="false">IF($L570=0,0,ROUND((SUMIFS('المرتبطة بسمو الوزير'!$M$2:$M$151,'المرتبطة بسمو الوزير'!$B$2:$B$151,$B570,'المرتبطة بسمو الوزير'!$G$2:$G$151,$G570,'المرتبطة بسمو الوزير'!$I$2:$I$151,$I570)+SUMIFS('الشؤون التنفيذية'!$N$2:$N$421,'الشؤون التنفيذية'!$B$2:$B$421,$B570,'الشؤون التنفيذية'!$G$2:$G$421,$G570,'الشؤون التنفيذية'!$I$2:$I$421,$I570)+SUMIFS('الجهاز العسكري'!$M$2:$M$631,'الجهاز العسكري'!$B$2:$B$631,$B570,'الجهاز العسكري'!$G$2:$G$631,$G570,'الجهاز العسكري'!$I$2:$I$631,$I570))/$L570,0))</f>
        <v>53</v>
      </c>
      <c r="O570" s="25" t="n">
        <f aca="false">IF($L570=0,0,ROUND((SUMIFS('المرتبطة بسمو الوزير'!$N$2:$N$151,'المرتبطة بسمو الوزير'!$B$2:$B$151,$B570,'المرتبطة بسمو الوزير'!$G$2:$G$151,$G570,'المرتبطة بسمو الوزير'!$I$2:$I$151,$I570)+SUMIFS('الشؤون التنفيذية'!$O$2:$O$421,'الشؤون التنفيذية'!$B$2:$B$421,$B570,'الشؤون التنفيذية'!$G$2:$G$421,$G570,'الشؤون التنفيذية'!$I$2:$I$421,$I570)+SUMIFS('الجهاز العسكري'!$N$2:$N$631,'الجهاز العسكري'!$B$2:$B$631,$B570,'الجهاز العسكري'!$G$2:$G$631,$G570,'الجهاز العسكري'!$I$2:$I$631,$I570))/$L570,0))</f>
        <v>93</v>
      </c>
      <c r="P570" s="22"/>
      <c r="Q570" s="19" t="n">
        <f aca="false">SUMIFS(المرجع!$G$2:$G$19,المرجع!$B$2:$B$19,$G570,المرجع!$E$2:$E$19,$I570)</f>
        <v>25</v>
      </c>
      <c r="R570" s="26" t="n">
        <f aca="false">ROUND($Q570*$N570/100,2)</f>
        <v>13.25</v>
      </c>
      <c r="S570" s="27" t="str">
        <f aca="false">IF($N570&gt;المرجع!$K$3,"متقدم",IF($N570&lt;=المرجع!$K$2,"أولي","جزئي"))</f>
        <v>جزئي</v>
      </c>
      <c r="T570" s="28" t="n">
        <f aca="false">ROUND($Q570*$O570/100,2)</f>
        <v>23.25</v>
      </c>
    </row>
    <row r="571" customFormat="false" ht="15" hidden="false" customHeight="true" outlineLevel="0" collapsed="false">
      <c r="A571" s="20" t="s">
        <v>2023</v>
      </c>
      <c r="B571" s="20" t="s">
        <v>220</v>
      </c>
      <c r="C571" s="19" t="str">
        <f aca="false">IFERROR(INDEX('قائمة الوحدات'!$B$2:$B$41,MATCH($B571,'قائمة الوحدات'!$A$2:$A$41,0)),"")</f>
        <v>MIL</v>
      </c>
      <c r="D571" s="18" t="str">
        <f aca="false">IFERROR(INDEX('قائمة الوحدات'!$C$2:$C$41,MATCH($B571,'قائمة الوحدات'!$A$2:$A$41,0)),"")</f>
        <v>الجهاز العسكري</v>
      </c>
      <c r="E571" s="18" t="str">
        <f aca="false">IFERROR(INDEX('قائمة الوحدات'!$D$2:$D$41,MATCH($B571,'قائمة الوحدات'!$A$2:$A$41,0)),"")</f>
        <v>الإدارة العامة للخدمات الطبية العسكرية</v>
      </c>
      <c r="F571" s="18" t="str">
        <f aca="false">IFERROR(INDEX('قائمة الوحدات'!$F$2:$F$41,MATCH($B571,'قائمة الوحدات'!$A$2:$A$41,0)),"")</f>
        <v>الإدارة العامة للخدمات الطبية العسكرية</v>
      </c>
      <c r="G571" s="20" t="s">
        <v>62</v>
      </c>
      <c r="H571" s="18" t="str">
        <f aca="false">IFERROR(INDEX(المرجع!$A$2:$A$19,MATCH($G571,المرجع!$B$2:$B$19,0)),"")</f>
        <v>البناء المؤسسي</v>
      </c>
      <c r="I571" s="20" t="s">
        <v>60</v>
      </c>
      <c r="J571" s="18" t="str">
        <f aca="false">IFERROR(INDEX(المرجع!$D$2:$D$19,MATCH($I571,المرجع!$E$2:$E$19,0)),"")</f>
        <v>الإجراءات</v>
      </c>
      <c r="K571" s="19" t="n">
        <f aca="false">IFERROR(INDEX(المرجع!$F$2:$F$19,MATCH($I571,المرجع!$E$2:$E$19,0)),"")</f>
        <v>6</v>
      </c>
      <c r="L571" s="19" t="n">
        <f aca="false">SUMIFS(المرجع!$H$2:$H$19,المرجع!$B$2:$B$19,$G571,المرجع!$E$2:$E$19,$I571)</f>
        <v>1</v>
      </c>
      <c r="M571" s="19" t="n">
        <f aca="false">COUNTIFS('المرتبطة بسمو الوزير'!$B$2:$B$151,$B571,'المرتبطة بسمو الوزير'!$G$2:$G$151,$G571,'المرتبطة بسمو الوزير'!$I$2:$I$151,$I571,'المرتبطة بسمو الوزير'!$M$2:$M$151,"&lt;&gt;")+COUNTIFS('الشؤون التنفيذية'!$B$2:$B$421,$B571,'الشؤون التنفيذية'!$G$2:$G$421,$G571,'الشؤون التنفيذية'!$I$2:$I$421,$I571,'الشؤون التنفيذية'!$N$2:$N$421,"&lt;&gt;")+COUNTIFS('الجهاز العسكري'!$B$2:$B$631,$B571,'الجهاز العسكري'!$G$2:$G$631,$G571,'الجهاز العسكري'!$I$2:$I$631,$I571,'الجهاز العسكري'!$M$2:$M$631,"&lt;&gt;")</f>
        <v>1</v>
      </c>
      <c r="N571" s="24" t="n">
        <f aca="false">IF($L571=0,0,ROUND((SUMIFS('المرتبطة بسمو الوزير'!$M$2:$M$151,'المرتبطة بسمو الوزير'!$B$2:$B$151,$B571,'المرتبطة بسمو الوزير'!$G$2:$G$151,$G571,'المرتبطة بسمو الوزير'!$I$2:$I$151,$I571)+SUMIFS('الشؤون التنفيذية'!$N$2:$N$421,'الشؤون التنفيذية'!$B$2:$B$421,$B571,'الشؤون التنفيذية'!$G$2:$G$421,$G571,'الشؤون التنفيذية'!$I$2:$I$421,$I571)+SUMIFS('الجهاز العسكري'!$M$2:$M$631,'الجهاز العسكري'!$B$2:$B$631,$B571,'الجهاز العسكري'!$G$2:$G$631,$G571,'الجهاز العسكري'!$I$2:$I$631,$I571))/$L571,0))</f>
        <v>77</v>
      </c>
      <c r="O571" s="25" t="n">
        <f aca="false">IF($L571=0,0,ROUND((SUMIFS('المرتبطة بسمو الوزير'!$N$2:$N$151,'المرتبطة بسمو الوزير'!$B$2:$B$151,$B571,'المرتبطة بسمو الوزير'!$G$2:$G$151,$G571,'المرتبطة بسمو الوزير'!$I$2:$I$151,$I571)+SUMIFS('الشؤون التنفيذية'!$O$2:$O$421,'الشؤون التنفيذية'!$B$2:$B$421,$B571,'الشؤون التنفيذية'!$G$2:$G$421,$G571,'الشؤون التنفيذية'!$I$2:$I$421,$I571)+SUMIFS('الجهاز العسكري'!$N$2:$N$631,'الجهاز العسكري'!$B$2:$B$631,$B571,'الجهاز العسكري'!$G$2:$G$631,$G571,'الجهاز العسكري'!$I$2:$I$631,$I571))/$L571,0))</f>
        <v>80</v>
      </c>
      <c r="P571" s="22"/>
      <c r="Q571" s="19" t="n">
        <f aca="false">SUMIFS(المرجع!$G$2:$G$19,المرجع!$B$2:$B$19,$G571,المرجع!$E$2:$E$19,$I571)</f>
        <v>5</v>
      </c>
      <c r="R571" s="26" t="n">
        <f aca="false">ROUND($Q571*$N571/100,2)</f>
        <v>3.85</v>
      </c>
      <c r="S571" s="27" t="str">
        <f aca="false">IF($N571&gt;المرجع!$K$3,"متقدم",IF($N571&lt;=المرجع!$K$2,"أولي","جزئي"))</f>
        <v>متقدم</v>
      </c>
      <c r="T571" s="28" t="n">
        <f aca="false">ROUND($Q571*$O571/100,2)</f>
        <v>4</v>
      </c>
    </row>
    <row r="572" customFormat="false" ht="15" hidden="false" customHeight="true" outlineLevel="0" collapsed="false">
      <c r="A572" s="20" t="s">
        <v>2024</v>
      </c>
      <c r="B572" s="20" t="s">
        <v>220</v>
      </c>
      <c r="C572" s="19" t="str">
        <f aca="false">IFERROR(INDEX('قائمة الوحدات'!$B$2:$B$41,MATCH($B572,'قائمة الوحدات'!$A$2:$A$41,0)),"")</f>
        <v>MIL</v>
      </c>
      <c r="D572" s="18" t="str">
        <f aca="false">IFERROR(INDEX('قائمة الوحدات'!$C$2:$C$41,MATCH($B572,'قائمة الوحدات'!$A$2:$A$41,0)),"")</f>
        <v>الجهاز العسكري</v>
      </c>
      <c r="E572" s="18" t="str">
        <f aca="false">IFERROR(INDEX('قائمة الوحدات'!$D$2:$D$41,MATCH($B572,'قائمة الوحدات'!$A$2:$A$41,0)),"")</f>
        <v>الإدارة العامة للخدمات الطبية العسكرية</v>
      </c>
      <c r="F572" s="18" t="str">
        <f aca="false">IFERROR(INDEX('قائمة الوحدات'!$F$2:$F$41,MATCH($B572,'قائمة الوحدات'!$A$2:$A$41,0)),"")</f>
        <v>الإدارة العامة للخدمات الطبية العسكرية</v>
      </c>
      <c r="G572" s="20" t="s">
        <v>62</v>
      </c>
      <c r="H572" s="18" t="str">
        <f aca="false">IFERROR(INDEX(المرجع!$A$2:$A$19,MATCH($G572,المرجع!$B$2:$B$19,0)),"")</f>
        <v>البناء المؤسسي</v>
      </c>
      <c r="I572" s="20" t="s">
        <v>69</v>
      </c>
      <c r="J572" s="18" t="str">
        <f aca="false">IFERROR(INDEX(المرجع!$D$2:$D$19,MATCH($I572,المرجع!$E$2:$E$19,0)),"")</f>
        <v>إنتاج المخرج الأول</v>
      </c>
      <c r="K572" s="19" t="n">
        <f aca="false">IFERROR(INDEX(المرجع!$F$2:$F$19,MATCH($I572,المرجع!$E$2:$E$19,0)),"")</f>
        <v>7</v>
      </c>
      <c r="L572" s="19" t="n">
        <f aca="false">SUMIFS(المرجع!$H$2:$H$19,المرجع!$B$2:$B$19,$G572,المرجع!$E$2:$E$19,$I572)</f>
        <v>1</v>
      </c>
      <c r="M572" s="19" t="n">
        <f aca="false">COUNTIFS('المرتبطة بسمو الوزير'!$B$2:$B$151,$B572,'المرتبطة بسمو الوزير'!$G$2:$G$151,$G572,'المرتبطة بسمو الوزير'!$I$2:$I$151,$I572,'المرتبطة بسمو الوزير'!$M$2:$M$151,"&lt;&gt;")+COUNTIFS('الشؤون التنفيذية'!$B$2:$B$421,$B572,'الشؤون التنفيذية'!$G$2:$G$421,$G572,'الشؤون التنفيذية'!$I$2:$I$421,$I572,'الشؤون التنفيذية'!$N$2:$N$421,"&lt;&gt;")+COUNTIFS('الجهاز العسكري'!$B$2:$B$631,$B572,'الجهاز العسكري'!$G$2:$G$631,$G572,'الجهاز العسكري'!$I$2:$I$631,$I572,'الجهاز العسكري'!$M$2:$M$631,"&lt;&gt;")</f>
        <v>1</v>
      </c>
      <c r="N572" s="24" t="n">
        <f aca="false">IF($L572=0,0,ROUND((SUMIFS('المرتبطة بسمو الوزير'!$M$2:$M$151,'المرتبطة بسمو الوزير'!$B$2:$B$151,$B572,'المرتبطة بسمو الوزير'!$G$2:$G$151,$G572,'المرتبطة بسمو الوزير'!$I$2:$I$151,$I572)+SUMIFS('الشؤون التنفيذية'!$N$2:$N$421,'الشؤون التنفيذية'!$B$2:$B$421,$B572,'الشؤون التنفيذية'!$G$2:$G$421,$G572,'الشؤون التنفيذية'!$I$2:$I$421,$I572)+SUMIFS('الجهاز العسكري'!$M$2:$M$631,'الجهاز العسكري'!$B$2:$B$631,$B572,'الجهاز العسكري'!$G$2:$G$631,$G572,'الجهاز العسكري'!$I$2:$I$631,$I572))/$L572,0))</f>
        <v>64</v>
      </c>
      <c r="O572" s="25" t="n">
        <f aca="false">IF($L572=0,0,ROUND((SUMIFS('المرتبطة بسمو الوزير'!$N$2:$N$151,'المرتبطة بسمو الوزير'!$B$2:$B$151,$B572,'المرتبطة بسمو الوزير'!$G$2:$G$151,$G572,'المرتبطة بسمو الوزير'!$I$2:$I$151,$I572)+SUMIFS('الشؤون التنفيذية'!$O$2:$O$421,'الشؤون التنفيذية'!$B$2:$B$421,$B572,'الشؤون التنفيذية'!$G$2:$G$421,$G572,'الشؤون التنفيذية'!$I$2:$I$421,$I572)+SUMIFS('الجهاز العسكري'!$N$2:$N$631,'الجهاز العسكري'!$B$2:$B$631,$B572,'الجهاز العسكري'!$G$2:$G$631,$G572,'الجهاز العسكري'!$I$2:$I$631,$I572))/$L572,0))</f>
        <v>100</v>
      </c>
      <c r="P572" s="22"/>
      <c r="Q572" s="19" t="n">
        <f aca="false">SUMIFS(المرجع!$G$2:$G$19,المرجع!$B$2:$B$19,$G572,المرجع!$E$2:$E$19,$I572)</f>
        <v>5</v>
      </c>
      <c r="R572" s="26" t="n">
        <f aca="false">ROUND($Q572*$N572/100,2)</f>
        <v>3.2</v>
      </c>
      <c r="S572" s="27" t="str">
        <f aca="false">IF($N572&gt;المرجع!$K$3,"متقدم",IF($N572&lt;=المرجع!$K$2,"أولي","جزئي"))</f>
        <v>جزئي</v>
      </c>
      <c r="T572" s="28" t="n">
        <f aca="false">ROUND($Q572*$O572/100,2)</f>
        <v>5</v>
      </c>
    </row>
    <row r="573" customFormat="false" ht="15" hidden="false" customHeight="true" outlineLevel="0" collapsed="false">
      <c r="A573" s="20" t="s">
        <v>2025</v>
      </c>
      <c r="B573" s="20" t="s">
        <v>220</v>
      </c>
      <c r="C573" s="19" t="str">
        <f aca="false">IFERROR(INDEX('قائمة الوحدات'!$B$2:$B$41,MATCH($B573,'قائمة الوحدات'!$A$2:$A$41,0)),"")</f>
        <v>MIL</v>
      </c>
      <c r="D573" s="18" t="str">
        <f aca="false">IFERROR(INDEX('قائمة الوحدات'!$C$2:$C$41,MATCH($B573,'قائمة الوحدات'!$A$2:$A$41,0)),"")</f>
        <v>الجهاز العسكري</v>
      </c>
      <c r="E573" s="18" t="str">
        <f aca="false">IFERROR(INDEX('قائمة الوحدات'!$D$2:$D$41,MATCH($B573,'قائمة الوحدات'!$A$2:$A$41,0)),"")</f>
        <v>الإدارة العامة للخدمات الطبية العسكرية</v>
      </c>
      <c r="F573" s="18" t="str">
        <f aca="false">IFERROR(INDEX('قائمة الوحدات'!$F$2:$F$41,MATCH($B573,'قائمة الوحدات'!$A$2:$A$41,0)),"")</f>
        <v>الإدارة العامة للخدمات الطبية العسكرية</v>
      </c>
      <c r="G573" s="20" t="s">
        <v>66</v>
      </c>
      <c r="H573" s="18" t="str">
        <f aca="false">IFERROR(INDEX(المرجع!$A$2:$A$19,MATCH($G573,المرجع!$B$2:$B$19,0)),"")</f>
        <v>التشغيل</v>
      </c>
      <c r="I573" s="20" t="s">
        <v>49</v>
      </c>
      <c r="J573" s="18" t="str">
        <f aca="false">IFERROR(INDEX(المرجع!$D$2:$D$19,MATCH($I573,المرجع!$E$2:$E$19,0)),"")</f>
        <v>الأهداف ومؤشرات الأداء</v>
      </c>
      <c r="K573" s="19" t="n">
        <f aca="false">IFERROR(INDEX(المرجع!$F$2:$F$19,MATCH($I573,المرجع!$E$2:$E$19,0)),"")</f>
        <v>2</v>
      </c>
      <c r="L573" s="19" t="n">
        <f aca="false">SUMIFS(المرجع!$H$2:$H$19,المرجع!$B$2:$B$19,$G573,المرجع!$E$2:$E$19,$I573)</f>
        <v>2</v>
      </c>
      <c r="M573" s="19" t="n">
        <f aca="false">COUNTIFS('المرتبطة بسمو الوزير'!$B$2:$B$151,$B573,'المرتبطة بسمو الوزير'!$G$2:$G$151,$G573,'المرتبطة بسمو الوزير'!$I$2:$I$151,$I573,'المرتبطة بسمو الوزير'!$M$2:$M$151,"&lt;&gt;")+COUNTIFS('الشؤون التنفيذية'!$B$2:$B$421,$B573,'الشؤون التنفيذية'!$G$2:$G$421,$G573,'الشؤون التنفيذية'!$I$2:$I$421,$I573,'الشؤون التنفيذية'!$N$2:$N$421,"&lt;&gt;")+COUNTIFS('الجهاز العسكري'!$B$2:$B$631,$B573,'الجهاز العسكري'!$G$2:$G$631,$G573,'الجهاز العسكري'!$I$2:$I$631,$I573,'الجهاز العسكري'!$M$2:$M$631,"&lt;&gt;")</f>
        <v>2</v>
      </c>
      <c r="N573" s="24" t="n">
        <f aca="false">IF($L573=0,0,ROUND((SUMIFS('المرتبطة بسمو الوزير'!$M$2:$M$151,'المرتبطة بسمو الوزير'!$B$2:$B$151,$B573,'المرتبطة بسمو الوزير'!$G$2:$G$151,$G573,'المرتبطة بسمو الوزير'!$I$2:$I$151,$I573)+SUMIFS('الشؤون التنفيذية'!$N$2:$N$421,'الشؤون التنفيذية'!$B$2:$B$421,$B573,'الشؤون التنفيذية'!$G$2:$G$421,$G573,'الشؤون التنفيذية'!$I$2:$I$421,$I573)+SUMIFS('الجهاز العسكري'!$M$2:$M$631,'الجهاز العسكري'!$B$2:$B$631,$B573,'الجهاز العسكري'!$G$2:$G$631,$G573,'الجهاز العسكري'!$I$2:$I$631,$I573))/$L573,0))</f>
        <v>63</v>
      </c>
      <c r="O573" s="25" t="n">
        <f aca="false">IF($L573=0,0,ROUND((SUMIFS('المرتبطة بسمو الوزير'!$N$2:$N$151,'المرتبطة بسمو الوزير'!$B$2:$B$151,$B573,'المرتبطة بسمو الوزير'!$G$2:$G$151,$G573,'المرتبطة بسمو الوزير'!$I$2:$I$151,$I573)+SUMIFS('الشؤون التنفيذية'!$O$2:$O$421,'الشؤون التنفيذية'!$B$2:$B$421,$B573,'الشؤون التنفيذية'!$G$2:$G$421,$G573,'الشؤون التنفيذية'!$I$2:$I$421,$I573)+SUMIFS('الجهاز العسكري'!$N$2:$N$631,'الجهاز العسكري'!$B$2:$B$631,$B573,'الجهاز العسكري'!$G$2:$G$631,$G573,'الجهاز العسكري'!$I$2:$I$631,$I573))/$L573,0))</f>
        <v>85</v>
      </c>
      <c r="P573" s="22"/>
      <c r="Q573" s="19" t="n">
        <f aca="false">SUMIFS(المرجع!$G$2:$G$19,المرجع!$B$2:$B$19,$G573,المرجع!$E$2:$E$19,$I573)</f>
        <v>25</v>
      </c>
      <c r="R573" s="26" t="n">
        <f aca="false">ROUND($Q573*$N573/100,2)</f>
        <v>15.75</v>
      </c>
      <c r="S573" s="27" t="str">
        <f aca="false">IF($N573&gt;المرجع!$K$3,"متقدم",IF($N573&lt;=المرجع!$K$2,"أولي","جزئي"))</f>
        <v>جزئي</v>
      </c>
      <c r="T573" s="28" t="n">
        <f aca="false">ROUND($Q573*$O573/100,2)</f>
        <v>21.25</v>
      </c>
    </row>
    <row r="574" customFormat="false" ht="15" hidden="false" customHeight="true" outlineLevel="0" collapsed="false">
      <c r="A574" s="20" t="s">
        <v>2026</v>
      </c>
      <c r="B574" s="20" t="s">
        <v>220</v>
      </c>
      <c r="C574" s="19" t="str">
        <f aca="false">IFERROR(INDEX('قائمة الوحدات'!$B$2:$B$41,MATCH($B574,'قائمة الوحدات'!$A$2:$A$41,0)),"")</f>
        <v>MIL</v>
      </c>
      <c r="D574" s="18" t="str">
        <f aca="false">IFERROR(INDEX('قائمة الوحدات'!$C$2:$C$41,MATCH($B574,'قائمة الوحدات'!$A$2:$A$41,0)),"")</f>
        <v>الجهاز العسكري</v>
      </c>
      <c r="E574" s="18" t="str">
        <f aca="false">IFERROR(INDEX('قائمة الوحدات'!$D$2:$D$41,MATCH($B574,'قائمة الوحدات'!$A$2:$A$41,0)),"")</f>
        <v>الإدارة العامة للخدمات الطبية العسكرية</v>
      </c>
      <c r="F574" s="18" t="str">
        <f aca="false">IFERROR(INDEX('قائمة الوحدات'!$F$2:$F$41,MATCH($B574,'قائمة الوحدات'!$A$2:$A$41,0)),"")</f>
        <v>الإدارة العامة للخدمات الطبية العسكرية</v>
      </c>
      <c r="G574" s="20" t="s">
        <v>66</v>
      </c>
      <c r="H574" s="18" t="str">
        <f aca="false">IFERROR(INDEX(المرجع!$A$2:$A$19,MATCH($G574,المرجع!$B$2:$B$19,0)),"")</f>
        <v>التشغيل</v>
      </c>
      <c r="I574" s="20" t="s">
        <v>52</v>
      </c>
      <c r="J574" s="18" t="str">
        <f aca="false">IFERROR(INDEX(المرجع!$D$2:$D$19,MATCH($I574,المرجع!$E$2:$E$19,0)),"")</f>
        <v>الحوكمة</v>
      </c>
      <c r="K574" s="19" t="n">
        <f aca="false">IFERROR(INDEX(المرجع!$F$2:$F$19,MATCH($I574,المرجع!$E$2:$E$19,0)),"")</f>
        <v>3</v>
      </c>
      <c r="L574" s="19" t="n">
        <f aca="false">SUMIFS(المرجع!$H$2:$H$19,المرجع!$B$2:$B$19,$G574,المرجع!$E$2:$E$19,$I574)</f>
        <v>3</v>
      </c>
      <c r="M574" s="19" t="n">
        <f aca="false">COUNTIFS('المرتبطة بسمو الوزير'!$B$2:$B$151,$B574,'المرتبطة بسمو الوزير'!$G$2:$G$151,$G574,'المرتبطة بسمو الوزير'!$I$2:$I$151,$I574,'المرتبطة بسمو الوزير'!$M$2:$M$151,"&lt;&gt;")+COUNTIFS('الشؤون التنفيذية'!$B$2:$B$421,$B574,'الشؤون التنفيذية'!$G$2:$G$421,$G574,'الشؤون التنفيذية'!$I$2:$I$421,$I574,'الشؤون التنفيذية'!$N$2:$N$421,"&lt;&gt;")+COUNTIFS('الجهاز العسكري'!$B$2:$B$631,$B574,'الجهاز العسكري'!$G$2:$G$631,$G574,'الجهاز العسكري'!$I$2:$I$631,$I574,'الجهاز العسكري'!$M$2:$M$631,"&lt;&gt;")</f>
        <v>3</v>
      </c>
      <c r="N574" s="24" t="n">
        <f aca="false">IF($L574=0,0,ROUND((SUMIFS('المرتبطة بسمو الوزير'!$M$2:$M$151,'المرتبطة بسمو الوزير'!$B$2:$B$151,$B574,'المرتبطة بسمو الوزير'!$G$2:$G$151,$G574,'المرتبطة بسمو الوزير'!$I$2:$I$151,$I574)+SUMIFS('الشؤون التنفيذية'!$N$2:$N$421,'الشؤون التنفيذية'!$B$2:$B$421,$B574,'الشؤون التنفيذية'!$G$2:$G$421,$G574,'الشؤون التنفيذية'!$I$2:$I$421,$I574)+SUMIFS('الجهاز العسكري'!$M$2:$M$631,'الجهاز العسكري'!$B$2:$B$631,$B574,'الجهاز العسكري'!$G$2:$G$631,$G574,'الجهاز العسكري'!$I$2:$I$631,$I574))/$L574,0))</f>
        <v>48</v>
      </c>
      <c r="O574" s="25" t="n">
        <f aca="false">IF($L574=0,0,ROUND((SUMIFS('المرتبطة بسمو الوزير'!$N$2:$N$151,'المرتبطة بسمو الوزير'!$B$2:$B$151,$B574,'المرتبطة بسمو الوزير'!$G$2:$G$151,$G574,'المرتبطة بسمو الوزير'!$I$2:$I$151,$I574)+SUMIFS('الشؤون التنفيذية'!$O$2:$O$421,'الشؤون التنفيذية'!$B$2:$B$421,$B574,'الشؤون التنفيذية'!$G$2:$G$421,$G574,'الشؤون التنفيذية'!$I$2:$I$421,$I574)+SUMIFS('الجهاز العسكري'!$N$2:$N$631,'الجهاز العسكري'!$B$2:$B$631,$B574,'الجهاز العسكري'!$G$2:$G$631,$G574,'الجهاز العسكري'!$I$2:$I$631,$I574))/$L574,0))</f>
        <v>93</v>
      </c>
      <c r="P574" s="22"/>
      <c r="Q574" s="19" t="n">
        <f aca="false">SUMIFS(المرجع!$G$2:$G$19,المرجع!$B$2:$B$19,$G574,المرجع!$E$2:$E$19,$I574)</f>
        <v>15</v>
      </c>
      <c r="R574" s="26" t="n">
        <f aca="false">ROUND($Q574*$N574/100,2)</f>
        <v>7.2</v>
      </c>
      <c r="S574" s="27" t="str">
        <f aca="false">IF($N574&gt;المرجع!$K$3,"متقدم",IF($N574&lt;=المرجع!$K$2,"أولي","جزئي"))</f>
        <v>جزئي</v>
      </c>
      <c r="T574" s="28" t="n">
        <f aca="false">ROUND($Q574*$O574/100,2)</f>
        <v>13.95</v>
      </c>
    </row>
    <row r="575" customFormat="false" ht="15" hidden="false" customHeight="true" outlineLevel="0" collapsed="false">
      <c r="A575" s="20" t="s">
        <v>2027</v>
      </c>
      <c r="B575" s="20" t="s">
        <v>220</v>
      </c>
      <c r="C575" s="19" t="str">
        <f aca="false">IFERROR(INDEX('قائمة الوحدات'!$B$2:$B$41,MATCH($B575,'قائمة الوحدات'!$A$2:$A$41,0)),"")</f>
        <v>MIL</v>
      </c>
      <c r="D575" s="18" t="str">
        <f aca="false">IFERROR(INDEX('قائمة الوحدات'!$C$2:$C$41,MATCH($B575,'قائمة الوحدات'!$A$2:$A$41,0)),"")</f>
        <v>الجهاز العسكري</v>
      </c>
      <c r="E575" s="18" t="str">
        <f aca="false">IFERROR(INDEX('قائمة الوحدات'!$D$2:$D$41,MATCH($B575,'قائمة الوحدات'!$A$2:$A$41,0)),"")</f>
        <v>الإدارة العامة للخدمات الطبية العسكرية</v>
      </c>
      <c r="F575" s="18" t="str">
        <f aca="false">IFERROR(INDEX('قائمة الوحدات'!$F$2:$F$41,MATCH($B575,'قائمة الوحدات'!$A$2:$A$41,0)),"")</f>
        <v>الإدارة العامة للخدمات الطبية العسكرية</v>
      </c>
      <c r="G575" s="20" t="s">
        <v>66</v>
      </c>
      <c r="H575" s="18" t="str">
        <f aca="false">IFERROR(INDEX(المرجع!$A$2:$A$19,MATCH($G575,المرجع!$B$2:$B$19,0)),"")</f>
        <v>التشغيل</v>
      </c>
      <c r="I575" s="20" t="s">
        <v>57</v>
      </c>
      <c r="J575" s="18" t="str">
        <f aca="false">IFERROR(INDEX(المرجع!$D$2:$D$19,MATCH($I575,المرجع!$E$2:$E$19,0)),"")</f>
        <v>الموارد</v>
      </c>
      <c r="K575" s="19" t="n">
        <f aca="false">IFERROR(INDEX(المرجع!$F$2:$F$19,MATCH($I575,المرجع!$E$2:$E$19,0)),"")</f>
        <v>5</v>
      </c>
      <c r="L575" s="19" t="n">
        <f aca="false">SUMIFS(المرجع!$H$2:$H$19,المرجع!$B$2:$B$19,$G575,المرجع!$E$2:$E$19,$I575)</f>
        <v>1</v>
      </c>
      <c r="M575" s="19" t="n">
        <f aca="false">COUNTIFS('المرتبطة بسمو الوزير'!$B$2:$B$151,$B575,'المرتبطة بسمو الوزير'!$G$2:$G$151,$G575,'المرتبطة بسمو الوزير'!$I$2:$I$151,$I575,'المرتبطة بسمو الوزير'!$M$2:$M$151,"&lt;&gt;")+COUNTIFS('الشؤون التنفيذية'!$B$2:$B$421,$B575,'الشؤون التنفيذية'!$G$2:$G$421,$G575,'الشؤون التنفيذية'!$I$2:$I$421,$I575,'الشؤون التنفيذية'!$N$2:$N$421,"&lt;&gt;")+COUNTIFS('الجهاز العسكري'!$B$2:$B$631,$B575,'الجهاز العسكري'!$G$2:$G$631,$G575,'الجهاز العسكري'!$I$2:$I$631,$I575,'الجهاز العسكري'!$M$2:$M$631,"&lt;&gt;")</f>
        <v>1</v>
      </c>
      <c r="N575" s="24" t="n">
        <f aca="false">IF($L575=0,0,ROUND((SUMIFS('المرتبطة بسمو الوزير'!$M$2:$M$151,'المرتبطة بسمو الوزير'!$B$2:$B$151,$B575,'المرتبطة بسمو الوزير'!$G$2:$G$151,$G575,'المرتبطة بسمو الوزير'!$I$2:$I$151,$I575)+SUMIFS('الشؤون التنفيذية'!$N$2:$N$421,'الشؤون التنفيذية'!$B$2:$B$421,$B575,'الشؤون التنفيذية'!$G$2:$G$421,$G575,'الشؤون التنفيذية'!$I$2:$I$421,$I575)+SUMIFS('الجهاز العسكري'!$M$2:$M$631,'الجهاز العسكري'!$B$2:$B$631,$B575,'الجهاز العسكري'!$G$2:$G$631,$G575,'الجهاز العسكري'!$I$2:$I$631,$I575))/$L575,0))</f>
        <v>49</v>
      </c>
      <c r="O575" s="25" t="n">
        <f aca="false">IF($L575=0,0,ROUND((SUMIFS('المرتبطة بسمو الوزير'!$N$2:$N$151,'المرتبطة بسمو الوزير'!$B$2:$B$151,$B575,'المرتبطة بسمو الوزير'!$G$2:$G$151,$G575,'المرتبطة بسمو الوزير'!$I$2:$I$151,$I575)+SUMIFS('الشؤون التنفيذية'!$O$2:$O$421,'الشؤون التنفيذية'!$B$2:$B$421,$B575,'الشؤون التنفيذية'!$G$2:$G$421,$G575,'الشؤون التنفيذية'!$I$2:$I$421,$I575)+SUMIFS('الجهاز العسكري'!$N$2:$N$631,'الجهاز العسكري'!$B$2:$B$631,$B575,'الجهاز العسكري'!$G$2:$G$631,$G575,'الجهاز العسكري'!$I$2:$I$631,$I575))/$L575,0))</f>
        <v>100</v>
      </c>
      <c r="P575" s="22"/>
      <c r="Q575" s="19" t="n">
        <f aca="false">SUMIFS(المرجع!$G$2:$G$19,المرجع!$B$2:$B$19,$G575,المرجع!$E$2:$E$19,$I575)</f>
        <v>15</v>
      </c>
      <c r="R575" s="26" t="n">
        <f aca="false">ROUND($Q575*$N575/100,2)</f>
        <v>7.35</v>
      </c>
      <c r="S575" s="27" t="str">
        <f aca="false">IF($N575&gt;المرجع!$K$3,"متقدم",IF($N575&lt;=المرجع!$K$2,"أولي","جزئي"))</f>
        <v>جزئي</v>
      </c>
      <c r="T575" s="28" t="n">
        <f aca="false">ROUND($Q575*$O575/100,2)</f>
        <v>15</v>
      </c>
    </row>
    <row r="576" customFormat="false" ht="15" hidden="false" customHeight="true" outlineLevel="0" collapsed="false">
      <c r="A576" s="20" t="s">
        <v>2028</v>
      </c>
      <c r="B576" s="20" t="s">
        <v>220</v>
      </c>
      <c r="C576" s="19" t="str">
        <f aca="false">IFERROR(INDEX('قائمة الوحدات'!$B$2:$B$41,MATCH($B576,'قائمة الوحدات'!$A$2:$A$41,0)),"")</f>
        <v>MIL</v>
      </c>
      <c r="D576" s="18" t="str">
        <f aca="false">IFERROR(INDEX('قائمة الوحدات'!$C$2:$C$41,MATCH($B576,'قائمة الوحدات'!$A$2:$A$41,0)),"")</f>
        <v>الجهاز العسكري</v>
      </c>
      <c r="E576" s="18" t="str">
        <f aca="false">IFERROR(INDEX('قائمة الوحدات'!$D$2:$D$41,MATCH($B576,'قائمة الوحدات'!$A$2:$A$41,0)),"")</f>
        <v>الإدارة العامة للخدمات الطبية العسكرية</v>
      </c>
      <c r="F576" s="18" t="str">
        <f aca="false">IFERROR(INDEX('قائمة الوحدات'!$F$2:$F$41,MATCH($B576,'قائمة الوحدات'!$A$2:$A$41,0)),"")</f>
        <v>الإدارة العامة للخدمات الطبية العسكرية</v>
      </c>
      <c r="G576" s="20" t="s">
        <v>66</v>
      </c>
      <c r="H576" s="18" t="str">
        <f aca="false">IFERROR(INDEX(المرجع!$A$2:$A$19,MATCH($G576,المرجع!$B$2:$B$19,0)),"")</f>
        <v>التشغيل</v>
      </c>
      <c r="I576" s="20" t="s">
        <v>60</v>
      </c>
      <c r="J576" s="18" t="str">
        <f aca="false">IFERROR(INDEX(المرجع!$D$2:$D$19,MATCH($I576,المرجع!$E$2:$E$19,0)),"")</f>
        <v>الإجراءات</v>
      </c>
      <c r="K576" s="19" t="n">
        <f aca="false">IFERROR(INDEX(المرجع!$F$2:$F$19,MATCH($I576,المرجع!$E$2:$E$19,0)),"")</f>
        <v>6</v>
      </c>
      <c r="L576" s="19" t="n">
        <f aca="false">SUMIFS(المرجع!$H$2:$H$19,المرجع!$B$2:$B$19,$G576,المرجع!$E$2:$E$19,$I576)</f>
        <v>1</v>
      </c>
      <c r="M576" s="19" t="n">
        <f aca="false">COUNTIFS('المرتبطة بسمو الوزير'!$B$2:$B$151,$B576,'المرتبطة بسمو الوزير'!$G$2:$G$151,$G576,'المرتبطة بسمو الوزير'!$I$2:$I$151,$I576,'المرتبطة بسمو الوزير'!$M$2:$M$151,"&lt;&gt;")+COUNTIFS('الشؤون التنفيذية'!$B$2:$B$421,$B576,'الشؤون التنفيذية'!$G$2:$G$421,$G576,'الشؤون التنفيذية'!$I$2:$I$421,$I576,'الشؤون التنفيذية'!$N$2:$N$421,"&lt;&gt;")+COUNTIFS('الجهاز العسكري'!$B$2:$B$631,$B576,'الجهاز العسكري'!$G$2:$G$631,$G576,'الجهاز العسكري'!$I$2:$I$631,$I576,'الجهاز العسكري'!$M$2:$M$631,"&lt;&gt;")</f>
        <v>1</v>
      </c>
      <c r="N576" s="24" t="n">
        <f aca="false">IF($L576=0,0,ROUND((SUMIFS('المرتبطة بسمو الوزير'!$M$2:$M$151,'المرتبطة بسمو الوزير'!$B$2:$B$151,$B576,'المرتبطة بسمو الوزير'!$G$2:$G$151,$G576,'المرتبطة بسمو الوزير'!$I$2:$I$151,$I576)+SUMIFS('الشؤون التنفيذية'!$N$2:$N$421,'الشؤون التنفيذية'!$B$2:$B$421,$B576,'الشؤون التنفيذية'!$G$2:$G$421,$G576,'الشؤون التنفيذية'!$I$2:$I$421,$I576)+SUMIFS('الجهاز العسكري'!$M$2:$M$631,'الجهاز العسكري'!$B$2:$B$631,$B576,'الجهاز العسكري'!$G$2:$G$631,$G576,'الجهاز العسكري'!$I$2:$I$631,$I576))/$L576,0))</f>
        <v>44</v>
      </c>
      <c r="O576" s="25" t="n">
        <f aca="false">IF($L576=0,0,ROUND((SUMIFS('المرتبطة بسمو الوزير'!$N$2:$N$151,'المرتبطة بسمو الوزير'!$B$2:$B$151,$B576,'المرتبطة بسمو الوزير'!$G$2:$G$151,$G576,'المرتبطة بسمو الوزير'!$I$2:$I$151,$I576)+SUMIFS('الشؤون التنفيذية'!$O$2:$O$421,'الشؤون التنفيذية'!$B$2:$B$421,$B576,'الشؤون التنفيذية'!$G$2:$G$421,$G576,'الشؤون التنفيذية'!$I$2:$I$421,$I576)+SUMIFS('الجهاز العسكري'!$N$2:$N$631,'الجهاز العسكري'!$B$2:$B$631,$B576,'الجهاز العسكري'!$G$2:$G$631,$G576,'الجهاز العسكري'!$I$2:$I$631,$I576))/$L576,0))</f>
        <v>95</v>
      </c>
      <c r="P576" s="22"/>
      <c r="Q576" s="19" t="n">
        <f aca="false">SUMIFS(المرجع!$G$2:$G$19,المرجع!$B$2:$B$19,$G576,المرجع!$E$2:$E$19,$I576)</f>
        <v>15</v>
      </c>
      <c r="R576" s="26" t="n">
        <f aca="false">ROUND($Q576*$N576/100,2)</f>
        <v>6.6</v>
      </c>
      <c r="S576" s="27" t="str">
        <f aca="false">IF($N576&gt;المرجع!$K$3,"متقدم",IF($N576&lt;=المرجع!$K$2,"أولي","جزئي"))</f>
        <v>جزئي</v>
      </c>
      <c r="T576" s="28" t="n">
        <f aca="false">ROUND($Q576*$O576/100,2)</f>
        <v>14.25</v>
      </c>
    </row>
    <row r="577" customFormat="false" ht="15" hidden="false" customHeight="true" outlineLevel="0" collapsed="false">
      <c r="A577" s="20" t="s">
        <v>2029</v>
      </c>
      <c r="B577" s="20" t="s">
        <v>220</v>
      </c>
      <c r="C577" s="19" t="str">
        <f aca="false">IFERROR(INDEX('قائمة الوحدات'!$B$2:$B$41,MATCH($B577,'قائمة الوحدات'!$A$2:$A$41,0)),"")</f>
        <v>MIL</v>
      </c>
      <c r="D577" s="18" t="str">
        <f aca="false">IFERROR(INDEX('قائمة الوحدات'!$C$2:$C$41,MATCH($B577,'قائمة الوحدات'!$A$2:$A$41,0)),"")</f>
        <v>الجهاز العسكري</v>
      </c>
      <c r="E577" s="18" t="str">
        <f aca="false">IFERROR(INDEX('قائمة الوحدات'!$D$2:$D$41,MATCH($B577,'قائمة الوحدات'!$A$2:$A$41,0)),"")</f>
        <v>الإدارة العامة للخدمات الطبية العسكرية</v>
      </c>
      <c r="F577" s="18" t="str">
        <f aca="false">IFERROR(INDEX('قائمة الوحدات'!$F$2:$F$41,MATCH($B577,'قائمة الوحدات'!$A$2:$A$41,0)),"")</f>
        <v>الإدارة العامة للخدمات الطبية العسكرية</v>
      </c>
      <c r="G577" s="20" t="s">
        <v>66</v>
      </c>
      <c r="H577" s="18" t="str">
        <f aca="false">IFERROR(INDEX(المرجع!$A$2:$A$19,MATCH($G577,المرجع!$B$2:$B$19,0)),"")</f>
        <v>التشغيل</v>
      </c>
      <c r="I577" s="20" t="s">
        <v>71</v>
      </c>
      <c r="J577" s="18" t="str">
        <f aca="false">IFERROR(INDEX(المرجع!$D$2:$D$19,MATCH($I577,المرجع!$E$2:$E$19,0)),"")</f>
        <v>اكتمال المخرجات المستهدفة</v>
      </c>
      <c r="K577" s="19" t="n">
        <f aca="false">IFERROR(INDEX(المرجع!$F$2:$F$19,MATCH($I577,المرجع!$E$2:$E$19,0)),"")</f>
        <v>8</v>
      </c>
      <c r="L577" s="19" t="n">
        <f aca="false">SUMIFS(المرجع!$H$2:$H$19,المرجع!$B$2:$B$19,$G577,المرجع!$E$2:$E$19,$I577)</f>
        <v>1</v>
      </c>
      <c r="M577" s="19" t="n">
        <f aca="false">COUNTIFS('المرتبطة بسمو الوزير'!$B$2:$B$151,$B577,'المرتبطة بسمو الوزير'!$G$2:$G$151,$G577,'المرتبطة بسمو الوزير'!$I$2:$I$151,$I577,'المرتبطة بسمو الوزير'!$M$2:$M$151,"&lt;&gt;")+COUNTIFS('الشؤون التنفيذية'!$B$2:$B$421,$B577,'الشؤون التنفيذية'!$G$2:$G$421,$G577,'الشؤون التنفيذية'!$I$2:$I$421,$I577,'الشؤون التنفيذية'!$N$2:$N$421,"&lt;&gt;")+COUNTIFS('الجهاز العسكري'!$B$2:$B$631,$B577,'الجهاز العسكري'!$G$2:$G$631,$G577,'الجهاز العسكري'!$I$2:$I$631,$I577,'الجهاز العسكري'!$M$2:$M$631,"&lt;&gt;")</f>
        <v>1</v>
      </c>
      <c r="N577" s="24" t="n">
        <f aca="false">IF($L577=0,0,ROUND((SUMIFS('المرتبطة بسمو الوزير'!$M$2:$M$151,'المرتبطة بسمو الوزير'!$B$2:$B$151,$B577,'المرتبطة بسمو الوزير'!$G$2:$G$151,$G577,'المرتبطة بسمو الوزير'!$I$2:$I$151,$I577)+SUMIFS('الشؤون التنفيذية'!$N$2:$N$421,'الشؤون التنفيذية'!$B$2:$B$421,$B577,'الشؤون التنفيذية'!$G$2:$G$421,$G577,'الشؤون التنفيذية'!$I$2:$I$421,$I577)+SUMIFS('الجهاز العسكري'!$M$2:$M$631,'الجهاز العسكري'!$B$2:$B$631,$B577,'الجهاز العسكري'!$G$2:$G$631,$G577,'الجهاز العسكري'!$I$2:$I$631,$I577))/$L577,0))</f>
        <v>48</v>
      </c>
      <c r="O577" s="25" t="n">
        <f aca="false">IF($L577=0,0,ROUND((SUMIFS('المرتبطة بسمو الوزير'!$N$2:$N$151,'المرتبطة بسمو الوزير'!$B$2:$B$151,$B577,'المرتبطة بسمو الوزير'!$G$2:$G$151,$G577,'المرتبطة بسمو الوزير'!$I$2:$I$151,$I577)+SUMIFS('الشؤون التنفيذية'!$O$2:$O$421,'الشؤون التنفيذية'!$B$2:$B$421,$B577,'الشؤون التنفيذية'!$G$2:$G$421,$G577,'الشؤون التنفيذية'!$I$2:$I$421,$I577)+SUMIFS('الجهاز العسكري'!$N$2:$N$631,'الجهاز العسكري'!$B$2:$B$631,$B577,'الجهاز العسكري'!$G$2:$G$631,$G577,'الجهاز العسكري'!$I$2:$I$631,$I577))/$L577,0))</f>
        <v>80</v>
      </c>
      <c r="P577" s="22"/>
      <c r="Q577" s="19" t="n">
        <f aca="false">SUMIFS(المرجع!$G$2:$G$19,المرجع!$B$2:$B$19,$G577,المرجع!$E$2:$E$19,$I577)</f>
        <v>30</v>
      </c>
      <c r="R577" s="26" t="n">
        <f aca="false">ROUND($Q577*$N577/100,2)</f>
        <v>14.4</v>
      </c>
      <c r="S577" s="27" t="str">
        <f aca="false">IF($N577&gt;المرجع!$K$3,"متقدم",IF($N577&lt;=المرجع!$K$2,"أولي","جزئي"))</f>
        <v>جزئي</v>
      </c>
      <c r="T577" s="28" t="n">
        <f aca="false">ROUND($Q577*$O577/100,2)</f>
        <v>24</v>
      </c>
    </row>
    <row r="578" customFormat="false" ht="15" hidden="false" customHeight="true" outlineLevel="0" collapsed="false">
      <c r="A578" s="20" t="s">
        <v>2030</v>
      </c>
      <c r="B578" s="20" t="s">
        <v>222</v>
      </c>
      <c r="C578" s="19" t="str">
        <f aca="false">IFERROR(INDEX('قائمة الوحدات'!$B$2:$B$41,MATCH($B578,'قائمة الوحدات'!$A$2:$A$41,0)),"")</f>
        <v>MIL</v>
      </c>
      <c r="D578" s="18" t="str">
        <f aca="false">IFERROR(INDEX('قائمة الوحدات'!$C$2:$C$41,MATCH($B578,'قائمة الوحدات'!$A$2:$A$41,0)),"")</f>
        <v>الجهاز العسكري</v>
      </c>
      <c r="E578" s="18" t="str">
        <f aca="false">IFERROR(INDEX('قائمة الوحدات'!$D$2:$D$41,MATCH($B578,'قائمة الوحدات'!$A$2:$A$41,0)),"")</f>
        <v>الإدارة العامة للقوى البشرية العسكرية</v>
      </c>
      <c r="F578" s="18" t="str">
        <f aca="false">IFERROR(INDEX('قائمة الوحدات'!$F$2:$F$41,MATCH($B578,'قائمة الوحدات'!$A$2:$A$41,0)),"")</f>
        <v>الإدارة العامة للقوى البشرية العسكرية</v>
      </c>
      <c r="G578" s="20" t="s">
        <v>44</v>
      </c>
      <c r="H578" s="18" t="str">
        <f aca="false">IFERROR(INDEX(المرجع!$A$2:$A$19,MATCH($G578,المرجع!$B$2:$B$19,0)),"")</f>
        <v>التصميم</v>
      </c>
      <c r="I578" s="20" t="s">
        <v>46</v>
      </c>
      <c r="J578" s="18" t="str">
        <f aca="false">IFERROR(INDEX(المرجع!$D$2:$D$19,MATCH($I578,المرجع!$E$2:$E$19,0)),"")</f>
        <v>الدور</v>
      </c>
      <c r="K578" s="19" t="n">
        <f aca="false">IFERROR(INDEX(المرجع!$F$2:$F$19,MATCH($I578,المرجع!$E$2:$E$19,0)),"")</f>
        <v>1</v>
      </c>
      <c r="L578" s="19" t="n">
        <f aca="false">SUMIFS(المرجع!$H$2:$H$19,المرجع!$B$2:$B$19,$G578,المرجع!$E$2:$E$19,$I578)</f>
        <v>1</v>
      </c>
      <c r="M578" s="19" t="n">
        <f aca="false">COUNTIFS('المرتبطة بسمو الوزير'!$B$2:$B$151,$B578,'المرتبطة بسمو الوزير'!$G$2:$G$151,$G578,'المرتبطة بسمو الوزير'!$I$2:$I$151,$I578,'المرتبطة بسمو الوزير'!$M$2:$M$151,"&lt;&gt;")+COUNTIFS('الشؤون التنفيذية'!$B$2:$B$421,$B578,'الشؤون التنفيذية'!$G$2:$G$421,$G578,'الشؤون التنفيذية'!$I$2:$I$421,$I578,'الشؤون التنفيذية'!$N$2:$N$421,"&lt;&gt;")+COUNTIFS('الجهاز العسكري'!$B$2:$B$631,$B578,'الجهاز العسكري'!$G$2:$G$631,$G578,'الجهاز العسكري'!$I$2:$I$631,$I578,'الجهاز العسكري'!$M$2:$M$631,"&lt;&gt;")</f>
        <v>1</v>
      </c>
      <c r="N578" s="24" t="n">
        <f aca="false">IF($L578=0,0,ROUND((SUMIFS('المرتبطة بسمو الوزير'!$M$2:$M$151,'المرتبطة بسمو الوزير'!$B$2:$B$151,$B578,'المرتبطة بسمو الوزير'!$G$2:$G$151,$G578,'المرتبطة بسمو الوزير'!$I$2:$I$151,$I578)+SUMIFS('الشؤون التنفيذية'!$N$2:$N$421,'الشؤون التنفيذية'!$B$2:$B$421,$B578,'الشؤون التنفيذية'!$G$2:$G$421,$G578,'الشؤون التنفيذية'!$I$2:$I$421,$I578)+SUMIFS('الجهاز العسكري'!$M$2:$M$631,'الجهاز العسكري'!$B$2:$B$631,$B578,'الجهاز العسكري'!$G$2:$G$631,$G578,'الجهاز العسكري'!$I$2:$I$631,$I578))/$L578,0))</f>
        <v>72</v>
      </c>
      <c r="O578" s="25" t="n">
        <f aca="false">IF($L578=0,0,ROUND((SUMIFS('المرتبطة بسمو الوزير'!$N$2:$N$151,'المرتبطة بسمو الوزير'!$B$2:$B$151,$B578,'المرتبطة بسمو الوزير'!$G$2:$G$151,$G578,'المرتبطة بسمو الوزير'!$I$2:$I$151,$I578)+SUMIFS('الشؤون التنفيذية'!$O$2:$O$421,'الشؤون التنفيذية'!$B$2:$B$421,$B578,'الشؤون التنفيذية'!$G$2:$G$421,$G578,'الشؤون التنفيذية'!$I$2:$I$421,$I578)+SUMIFS('الجهاز العسكري'!$N$2:$N$631,'الجهاز العسكري'!$B$2:$B$631,$B578,'الجهاز العسكري'!$G$2:$G$631,$G578,'الجهاز العسكري'!$I$2:$I$631,$I578))/$L578,0))</f>
        <v>85</v>
      </c>
      <c r="P578" s="22"/>
      <c r="Q578" s="19" t="n">
        <f aca="false">SUMIFS(المرجع!$G$2:$G$19,المرجع!$B$2:$B$19,$G578,المرجع!$E$2:$E$19,$I578)</f>
        <v>25</v>
      </c>
      <c r="R578" s="26" t="n">
        <f aca="false">ROUND($Q578*$N578/100,2)</f>
        <v>18</v>
      </c>
      <c r="S578" s="27" t="str">
        <f aca="false">IF($N578&gt;المرجع!$K$3,"متقدم",IF($N578&lt;=المرجع!$K$2,"أولي","جزئي"))</f>
        <v>متقدم</v>
      </c>
      <c r="T578" s="28" t="n">
        <f aca="false">ROUND($Q578*$O578/100,2)</f>
        <v>21.25</v>
      </c>
    </row>
    <row r="579" customFormat="false" ht="15" hidden="false" customHeight="true" outlineLevel="0" collapsed="false">
      <c r="A579" s="20" t="s">
        <v>2031</v>
      </c>
      <c r="B579" s="20" t="s">
        <v>222</v>
      </c>
      <c r="C579" s="19" t="str">
        <f aca="false">IFERROR(INDEX('قائمة الوحدات'!$B$2:$B$41,MATCH($B579,'قائمة الوحدات'!$A$2:$A$41,0)),"")</f>
        <v>MIL</v>
      </c>
      <c r="D579" s="18" t="str">
        <f aca="false">IFERROR(INDEX('قائمة الوحدات'!$C$2:$C$41,MATCH($B579,'قائمة الوحدات'!$A$2:$A$41,0)),"")</f>
        <v>الجهاز العسكري</v>
      </c>
      <c r="E579" s="18" t="str">
        <f aca="false">IFERROR(INDEX('قائمة الوحدات'!$D$2:$D$41,MATCH($B579,'قائمة الوحدات'!$A$2:$A$41,0)),"")</f>
        <v>الإدارة العامة للقوى البشرية العسكرية</v>
      </c>
      <c r="F579" s="18" t="str">
        <f aca="false">IFERROR(INDEX('قائمة الوحدات'!$F$2:$F$41,MATCH($B579,'قائمة الوحدات'!$A$2:$A$41,0)),"")</f>
        <v>الإدارة العامة للقوى البشرية العسكرية</v>
      </c>
      <c r="G579" s="20" t="s">
        <v>44</v>
      </c>
      <c r="H579" s="18" t="str">
        <f aca="false">IFERROR(INDEX(المرجع!$A$2:$A$19,MATCH($G579,المرجع!$B$2:$B$19,0)),"")</f>
        <v>التصميم</v>
      </c>
      <c r="I579" s="20" t="s">
        <v>49</v>
      </c>
      <c r="J579" s="18" t="str">
        <f aca="false">IFERROR(INDEX(المرجع!$D$2:$D$19,MATCH($I579,المرجع!$E$2:$E$19,0)),"")</f>
        <v>الأهداف ومؤشرات الأداء</v>
      </c>
      <c r="K579" s="19" t="n">
        <f aca="false">IFERROR(INDEX(المرجع!$F$2:$F$19,MATCH($I579,المرجع!$E$2:$E$19,0)),"")</f>
        <v>2</v>
      </c>
      <c r="L579" s="19" t="n">
        <f aca="false">SUMIFS(المرجع!$H$2:$H$19,المرجع!$B$2:$B$19,$G579,المرجع!$E$2:$E$19,$I579)</f>
        <v>2</v>
      </c>
      <c r="M579" s="19" t="n">
        <f aca="false">COUNTIFS('المرتبطة بسمو الوزير'!$B$2:$B$151,$B579,'المرتبطة بسمو الوزير'!$G$2:$G$151,$G579,'المرتبطة بسمو الوزير'!$I$2:$I$151,$I579,'المرتبطة بسمو الوزير'!$M$2:$M$151,"&lt;&gt;")+COUNTIFS('الشؤون التنفيذية'!$B$2:$B$421,$B579,'الشؤون التنفيذية'!$G$2:$G$421,$G579,'الشؤون التنفيذية'!$I$2:$I$421,$I579,'الشؤون التنفيذية'!$N$2:$N$421,"&lt;&gt;")+COUNTIFS('الجهاز العسكري'!$B$2:$B$631,$B579,'الجهاز العسكري'!$G$2:$G$631,$G579,'الجهاز العسكري'!$I$2:$I$631,$I579,'الجهاز العسكري'!$M$2:$M$631,"&lt;&gt;")</f>
        <v>2</v>
      </c>
      <c r="N579" s="24" t="n">
        <f aca="false">IF($L579=0,0,ROUND((SUMIFS('المرتبطة بسمو الوزير'!$M$2:$M$151,'المرتبطة بسمو الوزير'!$B$2:$B$151,$B579,'المرتبطة بسمو الوزير'!$G$2:$G$151,$G579,'المرتبطة بسمو الوزير'!$I$2:$I$151,$I579)+SUMIFS('الشؤون التنفيذية'!$N$2:$N$421,'الشؤون التنفيذية'!$B$2:$B$421,$B579,'الشؤون التنفيذية'!$G$2:$G$421,$G579,'الشؤون التنفيذية'!$I$2:$I$421,$I579)+SUMIFS('الجهاز العسكري'!$M$2:$M$631,'الجهاز العسكري'!$B$2:$B$631,$B579,'الجهاز العسكري'!$G$2:$G$631,$G579,'الجهاز العسكري'!$I$2:$I$631,$I579))/$L579,0))</f>
        <v>88</v>
      </c>
      <c r="O579" s="25" t="n">
        <f aca="false">IF($L579=0,0,ROUND((SUMIFS('المرتبطة بسمو الوزير'!$N$2:$N$151,'المرتبطة بسمو الوزير'!$B$2:$B$151,$B579,'المرتبطة بسمو الوزير'!$G$2:$G$151,$G579,'المرتبطة بسمو الوزير'!$I$2:$I$151,$I579)+SUMIFS('الشؤون التنفيذية'!$O$2:$O$421,'الشؤون التنفيذية'!$B$2:$B$421,$B579,'الشؤون التنفيذية'!$G$2:$G$421,$G579,'الشؤون التنفيذية'!$I$2:$I$421,$I579)+SUMIFS('الجهاز العسكري'!$N$2:$N$631,'الجهاز العسكري'!$B$2:$B$631,$B579,'الجهاز العسكري'!$G$2:$G$631,$G579,'الجهاز العسكري'!$I$2:$I$631,$I579))/$L579,0))</f>
        <v>90</v>
      </c>
      <c r="P579" s="22"/>
      <c r="Q579" s="19" t="n">
        <f aca="false">SUMIFS(المرجع!$G$2:$G$19,المرجع!$B$2:$B$19,$G579,المرجع!$E$2:$E$19,$I579)</f>
        <v>15</v>
      </c>
      <c r="R579" s="26" t="n">
        <f aca="false">ROUND($Q579*$N579/100,2)</f>
        <v>13.2</v>
      </c>
      <c r="S579" s="27" t="str">
        <f aca="false">IF($N579&gt;المرجع!$K$3,"متقدم",IF($N579&lt;=المرجع!$K$2,"أولي","جزئي"))</f>
        <v>متقدم</v>
      </c>
      <c r="T579" s="28" t="n">
        <f aca="false">ROUND($Q579*$O579/100,2)</f>
        <v>13.5</v>
      </c>
    </row>
    <row r="580" customFormat="false" ht="15" hidden="false" customHeight="true" outlineLevel="0" collapsed="false">
      <c r="A580" s="20" t="s">
        <v>2032</v>
      </c>
      <c r="B580" s="20" t="s">
        <v>222</v>
      </c>
      <c r="C580" s="19" t="str">
        <f aca="false">IFERROR(INDEX('قائمة الوحدات'!$B$2:$B$41,MATCH($B580,'قائمة الوحدات'!$A$2:$A$41,0)),"")</f>
        <v>MIL</v>
      </c>
      <c r="D580" s="18" t="str">
        <f aca="false">IFERROR(INDEX('قائمة الوحدات'!$C$2:$C$41,MATCH($B580,'قائمة الوحدات'!$A$2:$A$41,0)),"")</f>
        <v>الجهاز العسكري</v>
      </c>
      <c r="E580" s="18" t="str">
        <f aca="false">IFERROR(INDEX('قائمة الوحدات'!$D$2:$D$41,MATCH($B580,'قائمة الوحدات'!$A$2:$A$41,0)),"")</f>
        <v>الإدارة العامة للقوى البشرية العسكرية</v>
      </c>
      <c r="F580" s="18" t="str">
        <f aca="false">IFERROR(INDEX('قائمة الوحدات'!$F$2:$F$41,MATCH($B580,'قائمة الوحدات'!$A$2:$A$41,0)),"")</f>
        <v>الإدارة العامة للقوى البشرية العسكرية</v>
      </c>
      <c r="G580" s="20" t="s">
        <v>44</v>
      </c>
      <c r="H580" s="18" t="str">
        <f aca="false">IFERROR(INDEX(المرجع!$A$2:$A$19,MATCH($G580,المرجع!$B$2:$B$19,0)),"")</f>
        <v>التصميم</v>
      </c>
      <c r="I580" s="20" t="s">
        <v>52</v>
      </c>
      <c r="J580" s="18" t="str">
        <f aca="false">IFERROR(INDEX(المرجع!$D$2:$D$19,MATCH($I580,المرجع!$E$2:$E$19,0)),"")</f>
        <v>الحوكمة</v>
      </c>
      <c r="K580" s="19" t="n">
        <f aca="false">IFERROR(INDEX(المرجع!$F$2:$F$19,MATCH($I580,المرجع!$E$2:$E$19,0)),"")</f>
        <v>3</v>
      </c>
      <c r="L580" s="19" t="n">
        <f aca="false">SUMIFS(المرجع!$H$2:$H$19,المرجع!$B$2:$B$19,$G580,المرجع!$E$2:$E$19,$I580)</f>
        <v>1</v>
      </c>
      <c r="M580" s="19" t="n">
        <f aca="false">COUNTIFS('المرتبطة بسمو الوزير'!$B$2:$B$151,$B580,'المرتبطة بسمو الوزير'!$G$2:$G$151,$G580,'المرتبطة بسمو الوزير'!$I$2:$I$151,$I580,'المرتبطة بسمو الوزير'!$M$2:$M$151,"&lt;&gt;")+COUNTIFS('الشؤون التنفيذية'!$B$2:$B$421,$B580,'الشؤون التنفيذية'!$G$2:$G$421,$G580,'الشؤون التنفيذية'!$I$2:$I$421,$I580,'الشؤون التنفيذية'!$N$2:$N$421,"&lt;&gt;")+COUNTIFS('الجهاز العسكري'!$B$2:$B$631,$B580,'الجهاز العسكري'!$G$2:$G$631,$G580,'الجهاز العسكري'!$I$2:$I$631,$I580,'الجهاز العسكري'!$M$2:$M$631,"&lt;&gt;")</f>
        <v>1</v>
      </c>
      <c r="N580" s="24" t="n">
        <f aca="false">IF($L580=0,0,ROUND((SUMIFS('المرتبطة بسمو الوزير'!$M$2:$M$151,'المرتبطة بسمو الوزير'!$B$2:$B$151,$B580,'المرتبطة بسمو الوزير'!$G$2:$G$151,$G580,'المرتبطة بسمو الوزير'!$I$2:$I$151,$I580)+SUMIFS('الشؤون التنفيذية'!$N$2:$N$421,'الشؤون التنفيذية'!$B$2:$B$421,$B580,'الشؤون التنفيذية'!$G$2:$G$421,$G580,'الشؤون التنفيذية'!$I$2:$I$421,$I580)+SUMIFS('الجهاز العسكري'!$M$2:$M$631,'الجهاز العسكري'!$B$2:$B$631,$B580,'الجهاز العسكري'!$G$2:$G$631,$G580,'الجهاز العسكري'!$I$2:$I$631,$I580))/$L580,0))</f>
        <v>82</v>
      </c>
      <c r="O580" s="25" t="n">
        <f aca="false">IF($L580=0,0,ROUND((SUMIFS('المرتبطة بسمو الوزير'!$N$2:$N$151,'المرتبطة بسمو الوزير'!$B$2:$B$151,$B580,'المرتبطة بسمو الوزير'!$G$2:$G$151,$G580,'المرتبطة بسمو الوزير'!$I$2:$I$151,$I580)+SUMIFS('الشؤون التنفيذية'!$O$2:$O$421,'الشؤون التنفيذية'!$B$2:$B$421,$B580,'الشؤون التنفيذية'!$G$2:$G$421,$G580,'الشؤون التنفيذية'!$I$2:$I$421,$I580)+SUMIFS('الجهاز العسكري'!$N$2:$N$631,'الجهاز العسكري'!$B$2:$B$631,$B580,'الجهاز العسكري'!$G$2:$G$631,$G580,'الجهاز العسكري'!$I$2:$I$631,$I580))/$L580,0))</f>
        <v>100</v>
      </c>
      <c r="P580" s="22"/>
      <c r="Q580" s="19" t="n">
        <f aca="false">SUMIFS(المرجع!$G$2:$G$19,المرجع!$B$2:$B$19,$G580,المرجع!$E$2:$E$19,$I580)</f>
        <v>15</v>
      </c>
      <c r="R580" s="26" t="n">
        <f aca="false">ROUND($Q580*$N580/100,2)</f>
        <v>12.3</v>
      </c>
      <c r="S580" s="27" t="str">
        <f aca="false">IF($N580&gt;المرجع!$K$3,"متقدم",IF($N580&lt;=المرجع!$K$2,"أولي","جزئي"))</f>
        <v>متقدم</v>
      </c>
      <c r="T580" s="28" t="n">
        <f aca="false">ROUND($Q580*$O580/100,2)</f>
        <v>15</v>
      </c>
    </row>
    <row r="581" customFormat="false" ht="15" hidden="false" customHeight="true" outlineLevel="0" collapsed="false">
      <c r="A581" s="20" t="s">
        <v>2033</v>
      </c>
      <c r="B581" s="20" t="s">
        <v>222</v>
      </c>
      <c r="C581" s="19" t="str">
        <f aca="false">IFERROR(INDEX('قائمة الوحدات'!$B$2:$B$41,MATCH($B581,'قائمة الوحدات'!$A$2:$A$41,0)),"")</f>
        <v>MIL</v>
      </c>
      <c r="D581" s="18" t="str">
        <f aca="false">IFERROR(INDEX('قائمة الوحدات'!$C$2:$C$41,MATCH($B581,'قائمة الوحدات'!$A$2:$A$41,0)),"")</f>
        <v>الجهاز العسكري</v>
      </c>
      <c r="E581" s="18" t="str">
        <f aca="false">IFERROR(INDEX('قائمة الوحدات'!$D$2:$D$41,MATCH($B581,'قائمة الوحدات'!$A$2:$A$41,0)),"")</f>
        <v>الإدارة العامة للقوى البشرية العسكرية</v>
      </c>
      <c r="F581" s="18" t="str">
        <f aca="false">IFERROR(INDEX('قائمة الوحدات'!$F$2:$F$41,MATCH($B581,'قائمة الوحدات'!$A$2:$A$41,0)),"")</f>
        <v>الإدارة العامة للقوى البشرية العسكرية</v>
      </c>
      <c r="G581" s="20" t="s">
        <v>44</v>
      </c>
      <c r="H581" s="18" t="str">
        <f aca="false">IFERROR(INDEX(المرجع!$A$2:$A$19,MATCH($G581,المرجع!$B$2:$B$19,0)),"")</f>
        <v>التصميم</v>
      </c>
      <c r="I581" s="20" t="s">
        <v>55</v>
      </c>
      <c r="J581" s="18" t="str">
        <f aca="false">IFERROR(INDEX(المرجع!$D$2:$D$19,MATCH($I581,المرجع!$E$2:$E$19,0)),"")</f>
        <v>التنظيم</v>
      </c>
      <c r="K581" s="19" t="n">
        <f aca="false">IFERROR(INDEX(المرجع!$F$2:$F$19,MATCH($I581,المرجع!$E$2:$E$19,0)),"")</f>
        <v>4</v>
      </c>
      <c r="L581" s="19" t="n">
        <f aca="false">SUMIFS(المرجع!$H$2:$H$19,المرجع!$B$2:$B$19,$G581,المرجع!$E$2:$E$19,$I581)</f>
        <v>1</v>
      </c>
      <c r="M581" s="19" t="n">
        <f aca="false">COUNTIFS('المرتبطة بسمو الوزير'!$B$2:$B$151,$B581,'المرتبطة بسمو الوزير'!$G$2:$G$151,$G581,'المرتبطة بسمو الوزير'!$I$2:$I$151,$I581,'المرتبطة بسمو الوزير'!$M$2:$M$151,"&lt;&gt;")+COUNTIFS('الشؤون التنفيذية'!$B$2:$B$421,$B581,'الشؤون التنفيذية'!$G$2:$G$421,$G581,'الشؤون التنفيذية'!$I$2:$I$421,$I581,'الشؤون التنفيذية'!$N$2:$N$421,"&lt;&gt;")+COUNTIFS('الجهاز العسكري'!$B$2:$B$631,$B581,'الجهاز العسكري'!$G$2:$G$631,$G581,'الجهاز العسكري'!$I$2:$I$631,$I581,'الجهاز العسكري'!$M$2:$M$631,"&lt;&gt;")</f>
        <v>1</v>
      </c>
      <c r="N581" s="24" t="n">
        <f aca="false">IF($L581=0,0,ROUND((SUMIFS('المرتبطة بسمو الوزير'!$M$2:$M$151,'المرتبطة بسمو الوزير'!$B$2:$B$151,$B581,'المرتبطة بسمو الوزير'!$G$2:$G$151,$G581,'المرتبطة بسمو الوزير'!$I$2:$I$151,$I581)+SUMIFS('الشؤون التنفيذية'!$N$2:$N$421,'الشؤون التنفيذية'!$B$2:$B$421,$B581,'الشؤون التنفيذية'!$G$2:$G$421,$G581,'الشؤون التنفيذية'!$I$2:$I$421,$I581)+SUMIFS('الجهاز العسكري'!$M$2:$M$631,'الجهاز العسكري'!$B$2:$B$631,$B581,'الجهاز العسكري'!$G$2:$G$631,$G581,'الجهاز العسكري'!$I$2:$I$631,$I581))/$L581,0))</f>
        <v>90</v>
      </c>
      <c r="O581" s="25" t="n">
        <f aca="false">IF($L581=0,0,ROUND((SUMIFS('المرتبطة بسمو الوزير'!$N$2:$N$151,'المرتبطة بسمو الوزير'!$B$2:$B$151,$B581,'المرتبطة بسمو الوزير'!$G$2:$G$151,$G581,'المرتبطة بسمو الوزير'!$I$2:$I$151,$I581)+SUMIFS('الشؤون التنفيذية'!$O$2:$O$421,'الشؤون التنفيذية'!$B$2:$B$421,$B581,'الشؤون التنفيذية'!$G$2:$G$421,$G581,'الشؤون التنفيذية'!$I$2:$I$421,$I581)+SUMIFS('الجهاز العسكري'!$N$2:$N$631,'الجهاز العسكري'!$B$2:$B$631,$B581,'الجهاز العسكري'!$G$2:$G$631,$G581,'الجهاز العسكري'!$I$2:$I$631,$I581))/$L581,0))</f>
        <v>90</v>
      </c>
      <c r="P581" s="22"/>
      <c r="Q581" s="19" t="n">
        <f aca="false">SUMIFS(المرجع!$G$2:$G$19,المرجع!$B$2:$B$19,$G581,المرجع!$E$2:$E$19,$I581)</f>
        <v>20</v>
      </c>
      <c r="R581" s="26" t="n">
        <f aca="false">ROUND($Q581*$N581/100,2)</f>
        <v>18</v>
      </c>
      <c r="S581" s="27" t="str">
        <f aca="false">IF($N581&gt;المرجع!$K$3,"متقدم",IF($N581&lt;=المرجع!$K$2,"أولي","جزئي"))</f>
        <v>متقدم</v>
      </c>
      <c r="T581" s="28" t="n">
        <f aca="false">ROUND($Q581*$O581/100,2)</f>
        <v>18</v>
      </c>
    </row>
    <row r="582" customFormat="false" ht="15" hidden="false" customHeight="true" outlineLevel="0" collapsed="false">
      <c r="A582" s="20" t="s">
        <v>2034</v>
      </c>
      <c r="B582" s="20" t="s">
        <v>222</v>
      </c>
      <c r="C582" s="19" t="str">
        <f aca="false">IFERROR(INDEX('قائمة الوحدات'!$B$2:$B$41,MATCH($B582,'قائمة الوحدات'!$A$2:$A$41,0)),"")</f>
        <v>MIL</v>
      </c>
      <c r="D582" s="18" t="str">
        <f aca="false">IFERROR(INDEX('قائمة الوحدات'!$C$2:$C$41,MATCH($B582,'قائمة الوحدات'!$A$2:$A$41,0)),"")</f>
        <v>الجهاز العسكري</v>
      </c>
      <c r="E582" s="18" t="str">
        <f aca="false">IFERROR(INDEX('قائمة الوحدات'!$D$2:$D$41,MATCH($B582,'قائمة الوحدات'!$A$2:$A$41,0)),"")</f>
        <v>الإدارة العامة للقوى البشرية العسكرية</v>
      </c>
      <c r="F582" s="18" t="str">
        <f aca="false">IFERROR(INDEX('قائمة الوحدات'!$F$2:$F$41,MATCH($B582,'قائمة الوحدات'!$A$2:$A$41,0)),"")</f>
        <v>الإدارة العامة للقوى البشرية العسكرية</v>
      </c>
      <c r="G582" s="20" t="s">
        <v>44</v>
      </c>
      <c r="H582" s="18" t="str">
        <f aca="false">IFERROR(INDEX(المرجع!$A$2:$A$19,MATCH($G582,المرجع!$B$2:$B$19,0)),"")</f>
        <v>التصميم</v>
      </c>
      <c r="I582" s="20" t="s">
        <v>57</v>
      </c>
      <c r="J582" s="18" t="str">
        <f aca="false">IFERROR(INDEX(المرجع!$D$2:$D$19,MATCH($I582,المرجع!$E$2:$E$19,0)),"")</f>
        <v>الموارد</v>
      </c>
      <c r="K582" s="19" t="n">
        <f aca="false">IFERROR(INDEX(المرجع!$F$2:$F$19,MATCH($I582,المرجع!$E$2:$E$19,0)),"")</f>
        <v>5</v>
      </c>
      <c r="L582" s="19" t="n">
        <f aca="false">SUMIFS(المرجع!$H$2:$H$19,المرجع!$B$2:$B$19,$G582,المرجع!$E$2:$E$19,$I582)</f>
        <v>1</v>
      </c>
      <c r="M582" s="19" t="n">
        <f aca="false">COUNTIFS('المرتبطة بسمو الوزير'!$B$2:$B$151,$B582,'المرتبطة بسمو الوزير'!$G$2:$G$151,$G582,'المرتبطة بسمو الوزير'!$I$2:$I$151,$I582,'المرتبطة بسمو الوزير'!$M$2:$M$151,"&lt;&gt;")+COUNTIFS('الشؤون التنفيذية'!$B$2:$B$421,$B582,'الشؤون التنفيذية'!$G$2:$G$421,$G582,'الشؤون التنفيذية'!$I$2:$I$421,$I582,'الشؤون التنفيذية'!$N$2:$N$421,"&lt;&gt;")+COUNTIFS('الجهاز العسكري'!$B$2:$B$631,$B582,'الجهاز العسكري'!$G$2:$G$631,$G582,'الجهاز العسكري'!$I$2:$I$631,$I582,'الجهاز العسكري'!$M$2:$M$631,"&lt;&gt;")</f>
        <v>1</v>
      </c>
      <c r="N582" s="24" t="n">
        <f aca="false">IF($L582=0,0,ROUND((SUMIFS('المرتبطة بسمو الوزير'!$M$2:$M$151,'المرتبطة بسمو الوزير'!$B$2:$B$151,$B582,'المرتبطة بسمو الوزير'!$G$2:$G$151,$G582,'المرتبطة بسمو الوزير'!$I$2:$I$151,$I582)+SUMIFS('الشؤون التنفيذية'!$N$2:$N$421,'الشؤون التنفيذية'!$B$2:$B$421,$B582,'الشؤون التنفيذية'!$G$2:$G$421,$G582,'الشؤون التنفيذية'!$I$2:$I$421,$I582)+SUMIFS('الجهاز العسكري'!$M$2:$M$631,'الجهاز العسكري'!$B$2:$B$631,$B582,'الجهاز العسكري'!$G$2:$G$631,$G582,'الجهاز العسكري'!$I$2:$I$631,$I582))/$L582,0))</f>
        <v>91</v>
      </c>
      <c r="O582" s="25" t="n">
        <f aca="false">IF($L582=0,0,ROUND((SUMIFS('المرتبطة بسمو الوزير'!$N$2:$N$151,'المرتبطة بسمو الوزير'!$B$2:$B$151,$B582,'المرتبطة بسمو الوزير'!$G$2:$G$151,$G582,'المرتبطة بسمو الوزير'!$I$2:$I$151,$I582)+SUMIFS('الشؤون التنفيذية'!$O$2:$O$421,'الشؤون التنفيذية'!$B$2:$B$421,$B582,'الشؤون التنفيذية'!$G$2:$G$421,$G582,'الشؤون التنفيذية'!$I$2:$I$421,$I582)+SUMIFS('الجهاز العسكري'!$N$2:$N$631,'الجهاز العسكري'!$B$2:$B$631,$B582,'الجهاز العسكري'!$G$2:$G$631,$G582,'الجهاز العسكري'!$I$2:$I$631,$I582))/$L582,0))</f>
        <v>91</v>
      </c>
      <c r="P582" s="22"/>
      <c r="Q582" s="19" t="n">
        <f aca="false">SUMIFS(المرجع!$G$2:$G$19,المرجع!$B$2:$B$19,$G582,المرجع!$E$2:$E$19,$I582)</f>
        <v>20</v>
      </c>
      <c r="R582" s="26" t="n">
        <f aca="false">ROUND($Q582*$N582/100,2)</f>
        <v>18.2</v>
      </c>
      <c r="S582" s="27" t="str">
        <f aca="false">IF($N582&gt;المرجع!$K$3,"متقدم",IF($N582&lt;=المرجع!$K$2,"أولي","جزئي"))</f>
        <v>متقدم</v>
      </c>
      <c r="T582" s="28" t="n">
        <f aca="false">ROUND($Q582*$O582/100,2)</f>
        <v>18.2</v>
      </c>
    </row>
    <row r="583" customFormat="false" ht="15" hidden="false" customHeight="true" outlineLevel="0" collapsed="false">
      <c r="A583" s="20" t="s">
        <v>2035</v>
      </c>
      <c r="B583" s="20" t="s">
        <v>222</v>
      </c>
      <c r="C583" s="19" t="str">
        <f aca="false">IFERROR(INDEX('قائمة الوحدات'!$B$2:$B$41,MATCH($B583,'قائمة الوحدات'!$A$2:$A$41,0)),"")</f>
        <v>MIL</v>
      </c>
      <c r="D583" s="18" t="str">
        <f aca="false">IFERROR(INDEX('قائمة الوحدات'!$C$2:$C$41,MATCH($B583,'قائمة الوحدات'!$A$2:$A$41,0)),"")</f>
        <v>الجهاز العسكري</v>
      </c>
      <c r="E583" s="18" t="str">
        <f aca="false">IFERROR(INDEX('قائمة الوحدات'!$D$2:$D$41,MATCH($B583,'قائمة الوحدات'!$A$2:$A$41,0)),"")</f>
        <v>الإدارة العامة للقوى البشرية العسكرية</v>
      </c>
      <c r="F583" s="18" t="str">
        <f aca="false">IFERROR(INDEX('قائمة الوحدات'!$F$2:$F$41,MATCH($B583,'قائمة الوحدات'!$A$2:$A$41,0)),"")</f>
        <v>الإدارة العامة للقوى البشرية العسكرية</v>
      </c>
      <c r="G583" s="20" t="s">
        <v>44</v>
      </c>
      <c r="H583" s="18" t="str">
        <f aca="false">IFERROR(INDEX(المرجع!$A$2:$A$19,MATCH($G583,المرجع!$B$2:$B$19,0)),"")</f>
        <v>التصميم</v>
      </c>
      <c r="I583" s="20" t="s">
        <v>60</v>
      </c>
      <c r="J583" s="18" t="str">
        <f aca="false">IFERROR(INDEX(المرجع!$D$2:$D$19,MATCH($I583,المرجع!$E$2:$E$19,0)),"")</f>
        <v>الإجراءات</v>
      </c>
      <c r="K583" s="19" t="n">
        <f aca="false">IFERROR(INDEX(المرجع!$F$2:$F$19,MATCH($I583,المرجع!$E$2:$E$19,0)),"")</f>
        <v>6</v>
      </c>
      <c r="L583" s="19" t="n">
        <f aca="false">SUMIFS(المرجع!$H$2:$H$19,المرجع!$B$2:$B$19,$G583,المرجع!$E$2:$E$19,$I583)</f>
        <v>1</v>
      </c>
      <c r="M583" s="19" t="n">
        <f aca="false">COUNTIFS('المرتبطة بسمو الوزير'!$B$2:$B$151,$B583,'المرتبطة بسمو الوزير'!$G$2:$G$151,$G583,'المرتبطة بسمو الوزير'!$I$2:$I$151,$I583,'المرتبطة بسمو الوزير'!$M$2:$M$151,"&lt;&gt;")+COUNTIFS('الشؤون التنفيذية'!$B$2:$B$421,$B583,'الشؤون التنفيذية'!$G$2:$G$421,$G583,'الشؤون التنفيذية'!$I$2:$I$421,$I583,'الشؤون التنفيذية'!$N$2:$N$421,"&lt;&gt;")+COUNTIFS('الجهاز العسكري'!$B$2:$B$631,$B583,'الجهاز العسكري'!$G$2:$G$631,$G583,'الجهاز العسكري'!$I$2:$I$631,$I583,'الجهاز العسكري'!$M$2:$M$631,"&lt;&gt;")</f>
        <v>1</v>
      </c>
      <c r="N583" s="24" t="n">
        <f aca="false">IF($L583=0,0,ROUND((SUMIFS('المرتبطة بسمو الوزير'!$M$2:$M$151,'المرتبطة بسمو الوزير'!$B$2:$B$151,$B583,'المرتبطة بسمو الوزير'!$G$2:$G$151,$G583,'المرتبطة بسمو الوزير'!$I$2:$I$151,$I583)+SUMIFS('الشؤون التنفيذية'!$N$2:$N$421,'الشؤون التنفيذية'!$B$2:$B$421,$B583,'الشؤون التنفيذية'!$G$2:$G$421,$G583,'الشؤون التنفيذية'!$I$2:$I$421,$I583)+SUMIFS('الجهاز العسكري'!$M$2:$M$631,'الجهاز العسكري'!$B$2:$B$631,$B583,'الجهاز العسكري'!$G$2:$G$631,$G583,'الجهاز العسكري'!$I$2:$I$631,$I583))/$L583,0))</f>
        <v>70</v>
      </c>
      <c r="O583" s="25" t="n">
        <f aca="false">IF($L583=0,0,ROUND((SUMIFS('المرتبطة بسمو الوزير'!$N$2:$N$151,'المرتبطة بسمو الوزير'!$B$2:$B$151,$B583,'المرتبطة بسمو الوزير'!$G$2:$G$151,$G583,'المرتبطة بسمو الوزير'!$I$2:$I$151,$I583)+SUMIFS('الشؤون التنفيذية'!$O$2:$O$421,'الشؤون التنفيذية'!$B$2:$B$421,$B583,'الشؤون التنفيذية'!$G$2:$G$421,$G583,'الشؤون التنفيذية'!$I$2:$I$421,$I583)+SUMIFS('الجهاز العسكري'!$N$2:$N$631,'الجهاز العسكري'!$B$2:$B$631,$B583,'الجهاز العسكري'!$G$2:$G$631,$G583,'الجهاز العسكري'!$I$2:$I$631,$I583))/$L583,0))</f>
        <v>90</v>
      </c>
      <c r="P583" s="22"/>
      <c r="Q583" s="19" t="n">
        <f aca="false">SUMIFS(المرجع!$G$2:$G$19,المرجع!$B$2:$B$19,$G583,المرجع!$E$2:$E$19,$I583)</f>
        <v>5</v>
      </c>
      <c r="R583" s="26" t="n">
        <f aca="false">ROUND($Q583*$N583/100,2)</f>
        <v>3.5</v>
      </c>
      <c r="S583" s="27" t="str">
        <f aca="false">IF($N583&gt;المرجع!$K$3,"متقدم",IF($N583&lt;=المرجع!$K$2,"أولي","جزئي"))</f>
        <v>جزئي</v>
      </c>
      <c r="T583" s="28" t="n">
        <f aca="false">ROUND($Q583*$O583/100,2)</f>
        <v>4.5</v>
      </c>
    </row>
    <row r="584" customFormat="false" ht="15" hidden="false" customHeight="true" outlineLevel="0" collapsed="false">
      <c r="A584" s="20" t="s">
        <v>2036</v>
      </c>
      <c r="B584" s="20" t="s">
        <v>222</v>
      </c>
      <c r="C584" s="19" t="str">
        <f aca="false">IFERROR(INDEX('قائمة الوحدات'!$B$2:$B$41,MATCH($B584,'قائمة الوحدات'!$A$2:$A$41,0)),"")</f>
        <v>MIL</v>
      </c>
      <c r="D584" s="18" t="str">
        <f aca="false">IFERROR(INDEX('قائمة الوحدات'!$C$2:$C$41,MATCH($B584,'قائمة الوحدات'!$A$2:$A$41,0)),"")</f>
        <v>الجهاز العسكري</v>
      </c>
      <c r="E584" s="18" t="str">
        <f aca="false">IFERROR(INDEX('قائمة الوحدات'!$D$2:$D$41,MATCH($B584,'قائمة الوحدات'!$A$2:$A$41,0)),"")</f>
        <v>الإدارة العامة للقوى البشرية العسكرية</v>
      </c>
      <c r="F584" s="18" t="str">
        <f aca="false">IFERROR(INDEX('قائمة الوحدات'!$F$2:$F$41,MATCH($B584,'قائمة الوحدات'!$A$2:$A$41,0)),"")</f>
        <v>الإدارة العامة للقوى البشرية العسكرية</v>
      </c>
      <c r="G584" s="20" t="s">
        <v>62</v>
      </c>
      <c r="H584" s="18" t="str">
        <f aca="false">IFERROR(INDEX(المرجع!$A$2:$A$19,MATCH($G584,المرجع!$B$2:$B$19,0)),"")</f>
        <v>البناء المؤسسي</v>
      </c>
      <c r="I584" s="20" t="s">
        <v>46</v>
      </c>
      <c r="J584" s="18" t="str">
        <f aca="false">IFERROR(INDEX(المرجع!$D$2:$D$19,MATCH($I584,المرجع!$E$2:$E$19,0)),"")</f>
        <v>الدور</v>
      </c>
      <c r="K584" s="19" t="n">
        <f aca="false">IFERROR(INDEX(المرجع!$F$2:$F$19,MATCH($I584,المرجع!$E$2:$E$19,0)),"")</f>
        <v>1</v>
      </c>
      <c r="L584" s="19" t="n">
        <f aca="false">SUMIFS(المرجع!$H$2:$H$19,المرجع!$B$2:$B$19,$G584,المرجع!$E$2:$E$19,$I584)</f>
        <v>1</v>
      </c>
      <c r="M584" s="19" t="n">
        <f aca="false">COUNTIFS('المرتبطة بسمو الوزير'!$B$2:$B$151,$B584,'المرتبطة بسمو الوزير'!$G$2:$G$151,$G584,'المرتبطة بسمو الوزير'!$I$2:$I$151,$I584,'المرتبطة بسمو الوزير'!$M$2:$M$151,"&lt;&gt;")+COUNTIFS('الشؤون التنفيذية'!$B$2:$B$421,$B584,'الشؤون التنفيذية'!$G$2:$G$421,$G584,'الشؤون التنفيذية'!$I$2:$I$421,$I584,'الشؤون التنفيذية'!$N$2:$N$421,"&lt;&gt;")+COUNTIFS('الجهاز العسكري'!$B$2:$B$631,$B584,'الجهاز العسكري'!$G$2:$G$631,$G584,'الجهاز العسكري'!$I$2:$I$631,$I584,'الجهاز العسكري'!$M$2:$M$631,"&lt;&gt;")</f>
        <v>1</v>
      </c>
      <c r="N584" s="24" t="n">
        <f aca="false">IF($L584=0,0,ROUND((SUMIFS('المرتبطة بسمو الوزير'!$M$2:$M$151,'المرتبطة بسمو الوزير'!$B$2:$B$151,$B584,'المرتبطة بسمو الوزير'!$G$2:$G$151,$G584,'المرتبطة بسمو الوزير'!$I$2:$I$151,$I584)+SUMIFS('الشؤون التنفيذية'!$N$2:$N$421,'الشؤون التنفيذية'!$B$2:$B$421,$B584,'الشؤون التنفيذية'!$G$2:$G$421,$G584,'الشؤون التنفيذية'!$I$2:$I$421,$I584)+SUMIFS('الجهاز العسكري'!$M$2:$M$631,'الجهاز العسكري'!$B$2:$B$631,$B584,'الجهاز العسكري'!$G$2:$G$631,$G584,'الجهاز العسكري'!$I$2:$I$631,$I584))/$L584,0))</f>
        <v>49</v>
      </c>
      <c r="O584" s="25" t="n">
        <f aca="false">IF($L584=0,0,ROUND((SUMIFS('المرتبطة بسمو الوزير'!$N$2:$N$151,'المرتبطة بسمو الوزير'!$B$2:$B$151,$B584,'المرتبطة بسمو الوزير'!$G$2:$G$151,$G584,'المرتبطة بسمو الوزير'!$I$2:$I$151,$I584)+SUMIFS('الشؤون التنفيذية'!$O$2:$O$421,'الشؤون التنفيذية'!$B$2:$B$421,$B584,'الشؤون التنفيذية'!$G$2:$G$421,$G584,'الشؤون التنفيذية'!$I$2:$I$421,$I584)+SUMIFS('الجهاز العسكري'!$N$2:$N$631,'الجهاز العسكري'!$B$2:$B$631,$B584,'الجهاز العسكري'!$G$2:$G$631,$G584,'الجهاز العسكري'!$I$2:$I$631,$I584))/$L584,0))</f>
        <v>80</v>
      </c>
      <c r="P584" s="22"/>
      <c r="Q584" s="19" t="n">
        <f aca="false">SUMIFS(المرجع!$G$2:$G$19,المرجع!$B$2:$B$19,$G584,المرجع!$E$2:$E$19,$I584)</f>
        <v>15</v>
      </c>
      <c r="R584" s="26" t="n">
        <f aca="false">ROUND($Q584*$N584/100,2)</f>
        <v>7.35</v>
      </c>
      <c r="S584" s="27" t="str">
        <f aca="false">IF($N584&gt;المرجع!$K$3,"متقدم",IF($N584&lt;=المرجع!$K$2,"أولي","جزئي"))</f>
        <v>جزئي</v>
      </c>
      <c r="T584" s="28" t="n">
        <f aca="false">ROUND($Q584*$O584/100,2)</f>
        <v>12</v>
      </c>
    </row>
    <row r="585" customFormat="false" ht="15" hidden="false" customHeight="true" outlineLevel="0" collapsed="false">
      <c r="A585" s="20" t="s">
        <v>2037</v>
      </c>
      <c r="B585" s="20" t="s">
        <v>222</v>
      </c>
      <c r="C585" s="19" t="str">
        <f aca="false">IFERROR(INDEX('قائمة الوحدات'!$B$2:$B$41,MATCH($B585,'قائمة الوحدات'!$A$2:$A$41,0)),"")</f>
        <v>MIL</v>
      </c>
      <c r="D585" s="18" t="str">
        <f aca="false">IFERROR(INDEX('قائمة الوحدات'!$C$2:$C$41,MATCH($B585,'قائمة الوحدات'!$A$2:$A$41,0)),"")</f>
        <v>الجهاز العسكري</v>
      </c>
      <c r="E585" s="18" t="str">
        <f aca="false">IFERROR(INDEX('قائمة الوحدات'!$D$2:$D$41,MATCH($B585,'قائمة الوحدات'!$A$2:$A$41,0)),"")</f>
        <v>الإدارة العامة للقوى البشرية العسكرية</v>
      </c>
      <c r="F585" s="18" t="str">
        <f aca="false">IFERROR(INDEX('قائمة الوحدات'!$F$2:$F$41,MATCH($B585,'قائمة الوحدات'!$A$2:$A$41,0)),"")</f>
        <v>الإدارة العامة للقوى البشرية العسكرية</v>
      </c>
      <c r="G585" s="20" t="s">
        <v>62</v>
      </c>
      <c r="H585" s="18" t="str">
        <f aca="false">IFERROR(INDEX(المرجع!$A$2:$A$19,MATCH($G585,المرجع!$B$2:$B$19,0)),"")</f>
        <v>البناء المؤسسي</v>
      </c>
      <c r="I585" s="20" t="s">
        <v>49</v>
      </c>
      <c r="J585" s="18" t="str">
        <f aca="false">IFERROR(INDEX(المرجع!$D$2:$D$19,MATCH($I585,المرجع!$E$2:$E$19,0)),"")</f>
        <v>الأهداف ومؤشرات الأداء</v>
      </c>
      <c r="K585" s="19" t="n">
        <f aca="false">IFERROR(INDEX(المرجع!$F$2:$F$19,MATCH($I585,المرجع!$E$2:$E$19,0)),"")</f>
        <v>2</v>
      </c>
      <c r="L585" s="19" t="n">
        <f aca="false">SUMIFS(المرجع!$H$2:$H$19,المرجع!$B$2:$B$19,$G585,المرجع!$E$2:$E$19,$I585)</f>
        <v>2</v>
      </c>
      <c r="M585" s="19" t="n">
        <f aca="false">COUNTIFS('المرتبطة بسمو الوزير'!$B$2:$B$151,$B585,'المرتبطة بسمو الوزير'!$G$2:$G$151,$G585,'المرتبطة بسمو الوزير'!$I$2:$I$151,$I585,'المرتبطة بسمو الوزير'!$M$2:$M$151,"&lt;&gt;")+COUNTIFS('الشؤون التنفيذية'!$B$2:$B$421,$B585,'الشؤون التنفيذية'!$G$2:$G$421,$G585,'الشؤون التنفيذية'!$I$2:$I$421,$I585,'الشؤون التنفيذية'!$N$2:$N$421,"&lt;&gt;")+COUNTIFS('الجهاز العسكري'!$B$2:$B$631,$B585,'الجهاز العسكري'!$G$2:$G$631,$G585,'الجهاز العسكري'!$I$2:$I$631,$I585,'الجهاز العسكري'!$M$2:$M$631,"&lt;&gt;")</f>
        <v>2</v>
      </c>
      <c r="N585" s="24" t="n">
        <f aca="false">IF($L585=0,0,ROUND((SUMIFS('المرتبطة بسمو الوزير'!$M$2:$M$151,'المرتبطة بسمو الوزير'!$B$2:$B$151,$B585,'المرتبطة بسمو الوزير'!$G$2:$G$151,$G585,'المرتبطة بسمو الوزير'!$I$2:$I$151,$I585)+SUMIFS('الشؤون التنفيذية'!$N$2:$N$421,'الشؤون التنفيذية'!$B$2:$B$421,$B585,'الشؤون التنفيذية'!$G$2:$G$421,$G585,'الشؤون التنفيذية'!$I$2:$I$421,$I585)+SUMIFS('الجهاز العسكري'!$M$2:$M$631,'الجهاز العسكري'!$B$2:$B$631,$B585,'الجهاز العسكري'!$G$2:$G$631,$G585,'الجهاز العسكري'!$I$2:$I$631,$I585))/$L585,0))</f>
        <v>55</v>
      </c>
      <c r="O585" s="25" t="n">
        <f aca="false">IF($L585=0,0,ROUND((SUMIFS('المرتبطة بسمو الوزير'!$N$2:$N$151,'المرتبطة بسمو الوزير'!$B$2:$B$151,$B585,'المرتبطة بسمو الوزير'!$G$2:$G$151,$G585,'المرتبطة بسمو الوزير'!$I$2:$I$151,$I585)+SUMIFS('الشؤون التنفيذية'!$O$2:$O$421,'الشؤون التنفيذية'!$B$2:$B$421,$B585,'الشؤون التنفيذية'!$G$2:$G$421,$G585,'الشؤون التنفيذية'!$I$2:$I$421,$I585)+SUMIFS('الجهاز العسكري'!$N$2:$N$631,'الجهاز العسكري'!$B$2:$B$631,$B585,'الجهاز العسكري'!$G$2:$G$631,$G585,'الجهاز العسكري'!$I$2:$I$631,$I585))/$L585,0))</f>
        <v>95</v>
      </c>
      <c r="P585" s="22"/>
      <c r="Q585" s="19" t="n">
        <f aca="false">SUMIFS(المرجع!$G$2:$G$19,المرجع!$B$2:$B$19,$G585,المرجع!$E$2:$E$19,$I585)</f>
        <v>15</v>
      </c>
      <c r="R585" s="26" t="n">
        <f aca="false">ROUND($Q585*$N585/100,2)</f>
        <v>8.25</v>
      </c>
      <c r="S585" s="27" t="str">
        <f aca="false">IF($N585&gt;المرجع!$K$3,"متقدم",IF($N585&lt;=المرجع!$K$2,"أولي","جزئي"))</f>
        <v>جزئي</v>
      </c>
      <c r="T585" s="28" t="n">
        <f aca="false">ROUND($Q585*$O585/100,2)</f>
        <v>14.25</v>
      </c>
    </row>
    <row r="586" customFormat="false" ht="15" hidden="false" customHeight="true" outlineLevel="0" collapsed="false">
      <c r="A586" s="20" t="s">
        <v>2038</v>
      </c>
      <c r="B586" s="20" t="s">
        <v>222</v>
      </c>
      <c r="C586" s="19" t="str">
        <f aca="false">IFERROR(INDEX('قائمة الوحدات'!$B$2:$B$41,MATCH($B586,'قائمة الوحدات'!$A$2:$A$41,0)),"")</f>
        <v>MIL</v>
      </c>
      <c r="D586" s="18" t="str">
        <f aca="false">IFERROR(INDEX('قائمة الوحدات'!$C$2:$C$41,MATCH($B586,'قائمة الوحدات'!$A$2:$A$41,0)),"")</f>
        <v>الجهاز العسكري</v>
      </c>
      <c r="E586" s="18" t="str">
        <f aca="false">IFERROR(INDEX('قائمة الوحدات'!$D$2:$D$41,MATCH($B586,'قائمة الوحدات'!$A$2:$A$41,0)),"")</f>
        <v>الإدارة العامة للقوى البشرية العسكرية</v>
      </c>
      <c r="F586" s="18" t="str">
        <f aca="false">IFERROR(INDEX('قائمة الوحدات'!$F$2:$F$41,MATCH($B586,'قائمة الوحدات'!$A$2:$A$41,0)),"")</f>
        <v>الإدارة العامة للقوى البشرية العسكرية</v>
      </c>
      <c r="G586" s="20" t="s">
        <v>62</v>
      </c>
      <c r="H586" s="18" t="str">
        <f aca="false">IFERROR(INDEX(المرجع!$A$2:$A$19,MATCH($G586,المرجع!$B$2:$B$19,0)),"")</f>
        <v>البناء المؤسسي</v>
      </c>
      <c r="I586" s="20" t="s">
        <v>52</v>
      </c>
      <c r="J586" s="18" t="str">
        <f aca="false">IFERROR(INDEX(المرجع!$D$2:$D$19,MATCH($I586,المرجع!$E$2:$E$19,0)),"")</f>
        <v>الحوكمة</v>
      </c>
      <c r="K586" s="19" t="n">
        <f aca="false">IFERROR(INDEX(المرجع!$F$2:$F$19,MATCH($I586,المرجع!$E$2:$E$19,0)),"")</f>
        <v>3</v>
      </c>
      <c r="L586" s="19" t="n">
        <f aca="false">SUMIFS(المرجع!$H$2:$H$19,المرجع!$B$2:$B$19,$G586,المرجع!$E$2:$E$19,$I586)</f>
        <v>3</v>
      </c>
      <c r="M586" s="19" t="n">
        <f aca="false">COUNTIFS('المرتبطة بسمو الوزير'!$B$2:$B$151,$B586,'المرتبطة بسمو الوزير'!$G$2:$G$151,$G586,'المرتبطة بسمو الوزير'!$I$2:$I$151,$I586,'المرتبطة بسمو الوزير'!$M$2:$M$151,"&lt;&gt;")+COUNTIFS('الشؤون التنفيذية'!$B$2:$B$421,$B586,'الشؤون التنفيذية'!$G$2:$G$421,$G586,'الشؤون التنفيذية'!$I$2:$I$421,$I586,'الشؤون التنفيذية'!$N$2:$N$421,"&lt;&gt;")+COUNTIFS('الجهاز العسكري'!$B$2:$B$631,$B586,'الجهاز العسكري'!$G$2:$G$631,$G586,'الجهاز العسكري'!$I$2:$I$631,$I586,'الجهاز العسكري'!$M$2:$M$631,"&lt;&gt;")</f>
        <v>3</v>
      </c>
      <c r="N586" s="24" t="n">
        <f aca="false">IF($L586=0,0,ROUND((SUMIFS('المرتبطة بسمو الوزير'!$M$2:$M$151,'المرتبطة بسمو الوزير'!$B$2:$B$151,$B586,'المرتبطة بسمو الوزير'!$G$2:$G$151,$G586,'المرتبطة بسمو الوزير'!$I$2:$I$151,$I586)+SUMIFS('الشؤون التنفيذية'!$N$2:$N$421,'الشؤون التنفيذية'!$B$2:$B$421,$B586,'الشؤون التنفيذية'!$G$2:$G$421,$G586,'الشؤون التنفيذية'!$I$2:$I$421,$I586)+SUMIFS('الجهاز العسكري'!$M$2:$M$631,'الجهاز العسكري'!$B$2:$B$631,$B586,'الجهاز العسكري'!$G$2:$G$631,$G586,'الجهاز العسكري'!$I$2:$I$631,$I586))/$L586,0))</f>
        <v>47</v>
      </c>
      <c r="O586" s="25" t="n">
        <f aca="false">IF($L586=0,0,ROUND((SUMIFS('المرتبطة بسمو الوزير'!$N$2:$N$151,'المرتبطة بسمو الوزير'!$B$2:$B$151,$B586,'المرتبطة بسمو الوزير'!$G$2:$G$151,$G586,'المرتبطة بسمو الوزير'!$I$2:$I$151,$I586)+SUMIFS('الشؤون التنفيذية'!$O$2:$O$421,'الشؤون التنفيذية'!$B$2:$B$421,$B586,'الشؤون التنفيذية'!$G$2:$G$421,$G586,'الشؤون التنفيذية'!$I$2:$I$421,$I586)+SUMIFS('الجهاز العسكري'!$N$2:$N$631,'الجهاز العسكري'!$B$2:$B$631,$B586,'الجهاز العسكري'!$G$2:$G$631,$G586,'الجهاز العسكري'!$I$2:$I$631,$I586))/$L586,0))</f>
        <v>93</v>
      </c>
      <c r="P586" s="22"/>
      <c r="Q586" s="19" t="n">
        <f aca="false">SUMIFS(المرجع!$G$2:$G$19,المرجع!$B$2:$B$19,$G586,المرجع!$E$2:$E$19,$I586)</f>
        <v>15</v>
      </c>
      <c r="R586" s="26" t="n">
        <f aca="false">ROUND($Q586*$N586/100,2)</f>
        <v>7.05</v>
      </c>
      <c r="S586" s="27" t="str">
        <f aca="false">IF($N586&gt;المرجع!$K$3,"متقدم",IF($N586&lt;=المرجع!$K$2,"أولي","جزئي"))</f>
        <v>جزئي</v>
      </c>
      <c r="T586" s="28" t="n">
        <f aca="false">ROUND($Q586*$O586/100,2)</f>
        <v>13.95</v>
      </c>
    </row>
    <row r="587" customFormat="false" ht="15" hidden="false" customHeight="true" outlineLevel="0" collapsed="false">
      <c r="A587" s="20" t="s">
        <v>2039</v>
      </c>
      <c r="B587" s="20" t="s">
        <v>222</v>
      </c>
      <c r="C587" s="19" t="str">
        <f aca="false">IFERROR(INDEX('قائمة الوحدات'!$B$2:$B$41,MATCH($B587,'قائمة الوحدات'!$A$2:$A$41,0)),"")</f>
        <v>MIL</v>
      </c>
      <c r="D587" s="18" t="str">
        <f aca="false">IFERROR(INDEX('قائمة الوحدات'!$C$2:$C$41,MATCH($B587,'قائمة الوحدات'!$A$2:$A$41,0)),"")</f>
        <v>الجهاز العسكري</v>
      </c>
      <c r="E587" s="18" t="str">
        <f aca="false">IFERROR(INDEX('قائمة الوحدات'!$D$2:$D$41,MATCH($B587,'قائمة الوحدات'!$A$2:$A$41,0)),"")</f>
        <v>الإدارة العامة للقوى البشرية العسكرية</v>
      </c>
      <c r="F587" s="18" t="str">
        <f aca="false">IFERROR(INDEX('قائمة الوحدات'!$F$2:$F$41,MATCH($B587,'قائمة الوحدات'!$A$2:$A$41,0)),"")</f>
        <v>الإدارة العامة للقوى البشرية العسكرية</v>
      </c>
      <c r="G587" s="20" t="s">
        <v>62</v>
      </c>
      <c r="H587" s="18" t="str">
        <f aca="false">IFERROR(INDEX(المرجع!$A$2:$A$19,MATCH($G587,المرجع!$B$2:$B$19,0)),"")</f>
        <v>البناء المؤسسي</v>
      </c>
      <c r="I587" s="20" t="s">
        <v>55</v>
      </c>
      <c r="J587" s="18" t="str">
        <f aca="false">IFERROR(INDEX(المرجع!$D$2:$D$19,MATCH($I587,المرجع!$E$2:$E$19,0)),"")</f>
        <v>التنظيم</v>
      </c>
      <c r="K587" s="19" t="n">
        <f aca="false">IFERROR(INDEX(المرجع!$F$2:$F$19,MATCH($I587,المرجع!$E$2:$E$19,0)),"")</f>
        <v>4</v>
      </c>
      <c r="L587" s="19" t="n">
        <f aca="false">SUMIFS(المرجع!$H$2:$H$19,المرجع!$B$2:$B$19,$G587,المرجع!$E$2:$E$19,$I587)</f>
        <v>3</v>
      </c>
      <c r="M587" s="19" t="n">
        <f aca="false">COUNTIFS('المرتبطة بسمو الوزير'!$B$2:$B$151,$B587,'المرتبطة بسمو الوزير'!$G$2:$G$151,$G587,'المرتبطة بسمو الوزير'!$I$2:$I$151,$I587,'المرتبطة بسمو الوزير'!$M$2:$M$151,"&lt;&gt;")+COUNTIFS('الشؤون التنفيذية'!$B$2:$B$421,$B587,'الشؤون التنفيذية'!$G$2:$G$421,$G587,'الشؤون التنفيذية'!$I$2:$I$421,$I587,'الشؤون التنفيذية'!$N$2:$N$421,"&lt;&gt;")+COUNTIFS('الجهاز العسكري'!$B$2:$B$631,$B587,'الجهاز العسكري'!$G$2:$G$631,$G587,'الجهاز العسكري'!$I$2:$I$631,$I587,'الجهاز العسكري'!$M$2:$M$631,"&lt;&gt;")</f>
        <v>3</v>
      </c>
      <c r="N587" s="24" t="n">
        <f aca="false">IF($L587=0,0,ROUND((SUMIFS('المرتبطة بسمو الوزير'!$M$2:$M$151,'المرتبطة بسمو الوزير'!$B$2:$B$151,$B587,'المرتبطة بسمو الوزير'!$G$2:$G$151,$G587,'المرتبطة بسمو الوزير'!$I$2:$I$151,$I587)+SUMIFS('الشؤون التنفيذية'!$N$2:$N$421,'الشؤون التنفيذية'!$B$2:$B$421,$B587,'الشؤون التنفيذية'!$G$2:$G$421,$G587,'الشؤون التنفيذية'!$I$2:$I$421,$I587)+SUMIFS('الجهاز العسكري'!$M$2:$M$631,'الجهاز العسكري'!$B$2:$B$631,$B587,'الجهاز العسكري'!$G$2:$G$631,$G587,'الجهاز العسكري'!$I$2:$I$631,$I587))/$L587,0))</f>
        <v>38</v>
      </c>
      <c r="O587" s="25" t="n">
        <f aca="false">IF($L587=0,0,ROUND((SUMIFS('المرتبطة بسمو الوزير'!$N$2:$N$151,'المرتبطة بسمو الوزير'!$B$2:$B$151,$B587,'المرتبطة بسمو الوزير'!$G$2:$G$151,$G587,'المرتبطة بسمو الوزير'!$I$2:$I$151,$I587)+SUMIFS('الشؤون التنفيذية'!$O$2:$O$421,'الشؤون التنفيذية'!$B$2:$B$421,$B587,'الشؤون التنفيذية'!$G$2:$G$421,$G587,'الشؤون التنفيذية'!$I$2:$I$421,$I587)+SUMIFS('الجهاز العسكري'!$N$2:$N$631,'الجهاز العسكري'!$B$2:$B$631,$B587,'الجهاز العسكري'!$G$2:$G$631,$G587,'الجهاز العسكري'!$I$2:$I$631,$I587))/$L587,0))</f>
        <v>95</v>
      </c>
      <c r="P587" s="22"/>
      <c r="Q587" s="19" t="n">
        <f aca="false">SUMIFS(المرجع!$G$2:$G$19,المرجع!$B$2:$B$19,$G587,المرجع!$E$2:$E$19,$I587)</f>
        <v>20</v>
      </c>
      <c r="R587" s="26" t="n">
        <f aca="false">ROUND($Q587*$N587/100,2)</f>
        <v>7.6</v>
      </c>
      <c r="S587" s="27" t="str">
        <f aca="false">IF($N587&gt;المرجع!$K$3,"متقدم",IF($N587&lt;=المرجع!$K$2,"أولي","جزئي"))</f>
        <v>جزئي</v>
      </c>
      <c r="T587" s="28" t="n">
        <f aca="false">ROUND($Q587*$O587/100,2)</f>
        <v>19</v>
      </c>
    </row>
    <row r="588" customFormat="false" ht="15" hidden="false" customHeight="true" outlineLevel="0" collapsed="false">
      <c r="A588" s="20" t="s">
        <v>2040</v>
      </c>
      <c r="B588" s="20" t="s">
        <v>222</v>
      </c>
      <c r="C588" s="19" t="str">
        <f aca="false">IFERROR(INDEX('قائمة الوحدات'!$B$2:$B$41,MATCH($B588,'قائمة الوحدات'!$A$2:$A$41,0)),"")</f>
        <v>MIL</v>
      </c>
      <c r="D588" s="18" t="str">
        <f aca="false">IFERROR(INDEX('قائمة الوحدات'!$C$2:$C$41,MATCH($B588,'قائمة الوحدات'!$A$2:$A$41,0)),"")</f>
        <v>الجهاز العسكري</v>
      </c>
      <c r="E588" s="18" t="str">
        <f aca="false">IFERROR(INDEX('قائمة الوحدات'!$D$2:$D$41,MATCH($B588,'قائمة الوحدات'!$A$2:$A$41,0)),"")</f>
        <v>الإدارة العامة للقوى البشرية العسكرية</v>
      </c>
      <c r="F588" s="18" t="str">
        <f aca="false">IFERROR(INDEX('قائمة الوحدات'!$F$2:$F$41,MATCH($B588,'قائمة الوحدات'!$A$2:$A$41,0)),"")</f>
        <v>الإدارة العامة للقوى البشرية العسكرية</v>
      </c>
      <c r="G588" s="20" t="s">
        <v>62</v>
      </c>
      <c r="H588" s="18" t="str">
        <f aca="false">IFERROR(INDEX(المرجع!$A$2:$A$19,MATCH($G588,المرجع!$B$2:$B$19,0)),"")</f>
        <v>البناء المؤسسي</v>
      </c>
      <c r="I588" s="20" t="s">
        <v>57</v>
      </c>
      <c r="J588" s="18" t="str">
        <f aca="false">IFERROR(INDEX(المرجع!$D$2:$D$19,MATCH($I588,المرجع!$E$2:$E$19,0)),"")</f>
        <v>الموارد</v>
      </c>
      <c r="K588" s="19" t="n">
        <f aca="false">IFERROR(INDEX(المرجع!$F$2:$F$19,MATCH($I588,المرجع!$E$2:$E$19,0)),"")</f>
        <v>5</v>
      </c>
      <c r="L588" s="19" t="n">
        <f aca="false">SUMIFS(المرجع!$H$2:$H$19,المرجع!$B$2:$B$19,$G588,المرجع!$E$2:$E$19,$I588)</f>
        <v>4</v>
      </c>
      <c r="M588" s="19" t="n">
        <f aca="false">COUNTIFS('المرتبطة بسمو الوزير'!$B$2:$B$151,$B588,'المرتبطة بسمو الوزير'!$G$2:$G$151,$G588,'المرتبطة بسمو الوزير'!$I$2:$I$151,$I588,'المرتبطة بسمو الوزير'!$M$2:$M$151,"&lt;&gt;")+COUNTIFS('الشؤون التنفيذية'!$B$2:$B$421,$B588,'الشؤون التنفيذية'!$G$2:$G$421,$G588,'الشؤون التنفيذية'!$I$2:$I$421,$I588,'الشؤون التنفيذية'!$N$2:$N$421,"&lt;&gt;")+COUNTIFS('الجهاز العسكري'!$B$2:$B$631,$B588,'الجهاز العسكري'!$G$2:$G$631,$G588,'الجهاز العسكري'!$I$2:$I$631,$I588,'الجهاز العسكري'!$M$2:$M$631,"&lt;&gt;")</f>
        <v>4</v>
      </c>
      <c r="N588" s="24" t="n">
        <f aca="false">IF($L588=0,0,ROUND((SUMIFS('المرتبطة بسمو الوزير'!$M$2:$M$151,'المرتبطة بسمو الوزير'!$B$2:$B$151,$B588,'المرتبطة بسمو الوزير'!$G$2:$G$151,$G588,'المرتبطة بسمو الوزير'!$I$2:$I$151,$I588)+SUMIFS('الشؤون التنفيذية'!$N$2:$N$421,'الشؤون التنفيذية'!$B$2:$B$421,$B588,'الشؤون التنفيذية'!$G$2:$G$421,$G588,'الشؤون التنفيذية'!$I$2:$I$421,$I588)+SUMIFS('الجهاز العسكري'!$M$2:$M$631,'الجهاز العسكري'!$B$2:$B$631,$B588,'الجهاز العسكري'!$G$2:$G$631,$G588,'الجهاز العسكري'!$I$2:$I$631,$I588))/$L588,0))</f>
        <v>74</v>
      </c>
      <c r="O588" s="25" t="n">
        <f aca="false">IF($L588=0,0,ROUND((SUMIFS('المرتبطة بسمو الوزير'!$N$2:$N$151,'المرتبطة بسمو الوزير'!$B$2:$B$151,$B588,'المرتبطة بسمو الوزير'!$G$2:$G$151,$G588,'المرتبطة بسمو الوزير'!$I$2:$I$151,$I588)+SUMIFS('الشؤون التنفيذية'!$O$2:$O$421,'الشؤون التنفيذية'!$B$2:$B$421,$B588,'الشؤون التنفيذية'!$G$2:$G$421,$G588,'الشؤون التنفيذية'!$I$2:$I$421,$I588)+SUMIFS('الجهاز العسكري'!$N$2:$N$631,'الجهاز العسكري'!$B$2:$B$631,$B588,'الجهاز العسكري'!$G$2:$G$631,$G588,'الجهاز العسكري'!$I$2:$I$631,$I588))/$L588,0))</f>
        <v>90</v>
      </c>
      <c r="P588" s="22"/>
      <c r="Q588" s="19" t="n">
        <f aca="false">SUMIFS(المرجع!$G$2:$G$19,المرجع!$B$2:$B$19,$G588,المرجع!$E$2:$E$19,$I588)</f>
        <v>25</v>
      </c>
      <c r="R588" s="26" t="n">
        <f aca="false">ROUND($Q588*$N588/100,2)</f>
        <v>18.5</v>
      </c>
      <c r="S588" s="27" t="str">
        <f aca="false">IF($N588&gt;المرجع!$K$3,"متقدم",IF($N588&lt;=المرجع!$K$2,"أولي","جزئي"))</f>
        <v>متقدم</v>
      </c>
      <c r="T588" s="28" t="n">
        <f aca="false">ROUND($Q588*$O588/100,2)</f>
        <v>22.5</v>
      </c>
    </row>
    <row r="589" customFormat="false" ht="15" hidden="false" customHeight="true" outlineLevel="0" collapsed="false">
      <c r="A589" s="20" t="s">
        <v>2041</v>
      </c>
      <c r="B589" s="20" t="s">
        <v>222</v>
      </c>
      <c r="C589" s="19" t="str">
        <f aca="false">IFERROR(INDEX('قائمة الوحدات'!$B$2:$B$41,MATCH($B589,'قائمة الوحدات'!$A$2:$A$41,0)),"")</f>
        <v>MIL</v>
      </c>
      <c r="D589" s="18" t="str">
        <f aca="false">IFERROR(INDEX('قائمة الوحدات'!$C$2:$C$41,MATCH($B589,'قائمة الوحدات'!$A$2:$A$41,0)),"")</f>
        <v>الجهاز العسكري</v>
      </c>
      <c r="E589" s="18" t="str">
        <f aca="false">IFERROR(INDEX('قائمة الوحدات'!$D$2:$D$41,MATCH($B589,'قائمة الوحدات'!$A$2:$A$41,0)),"")</f>
        <v>الإدارة العامة للقوى البشرية العسكرية</v>
      </c>
      <c r="F589" s="18" t="str">
        <f aca="false">IFERROR(INDEX('قائمة الوحدات'!$F$2:$F$41,MATCH($B589,'قائمة الوحدات'!$A$2:$A$41,0)),"")</f>
        <v>الإدارة العامة للقوى البشرية العسكرية</v>
      </c>
      <c r="G589" s="20" t="s">
        <v>62</v>
      </c>
      <c r="H589" s="18" t="str">
        <f aca="false">IFERROR(INDEX(المرجع!$A$2:$A$19,MATCH($G589,المرجع!$B$2:$B$19,0)),"")</f>
        <v>البناء المؤسسي</v>
      </c>
      <c r="I589" s="20" t="s">
        <v>60</v>
      </c>
      <c r="J589" s="18" t="str">
        <f aca="false">IFERROR(INDEX(المرجع!$D$2:$D$19,MATCH($I589,المرجع!$E$2:$E$19,0)),"")</f>
        <v>الإجراءات</v>
      </c>
      <c r="K589" s="19" t="n">
        <f aca="false">IFERROR(INDEX(المرجع!$F$2:$F$19,MATCH($I589,المرجع!$E$2:$E$19,0)),"")</f>
        <v>6</v>
      </c>
      <c r="L589" s="19" t="n">
        <f aca="false">SUMIFS(المرجع!$H$2:$H$19,المرجع!$B$2:$B$19,$G589,المرجع!$E$2:$E$19,$I589)</f>
        <v>1</v>
      </c>
      <c r="M589" s="19" t="n">
        <f aca="false">COUNTIFS('المرتبطة بسمو الوزير'!$B$2:$B$151,$B589,'المرتبطة بسمو الوزير'!$G$2:$G$151,$G589,'المرتبطة بسمو الوزير'!$I$2:$I$151,$I589,'المرتبطة بسمو الوزير'!$M$2:$M$151,"&lt;&gt;")+COUNTIFS('الشؤون التنفيذية'!$B$2:$B$421,$B589,'الشؤون التنفيذية'!$G$2:$G$421,$G589,'الشؤون التنفيذية'!$I$2:$I$421,$I589,'الشؤون التنفيذية'!$N$2:$N$421,"&lt;&gt;")+COUNTIFS('الجهاز العسكري'!$B$2:$B$631,$B589,'الجهاز العسكري'!$G$2:$G$631,$G589,'الجهاز العسكري'!$I$2:$I$631,$I589,'الجهاز العسكري'!$M$2:$M$631,"&lt;&gt;")</f>
        <v>1</v>
      </c>
      <c r="N589" s="24" t="n">
        <f aca="false">IF($L589=0,0,ROUND((SUMIFS('المرتبطة بسمو الوزير'!$M$2:$M$151,'المرتبطة بسمو الوزير'!$B$2:$B$151,$B589,'المرتبطة بسمو الوزير'!$G$2:$G$151,$G589,'المرتبطة بسمو الوزير'!$I$2:$I$151,$I589)+SUMIFS('الشؤون التنفيذية'!$N$2:$N$421,'الشؤون التنفيذية'!$B$2:$B$421,$B589,'الشؤون التنفيذية'!$G$2:$G$421,$G589,'الشؤون التنفيذية'!$I$2:$I$421,$I589)+SUMIFS('الجهاز العسكري'!$M$2:$M$631,'الجهاز العسكري'!$B$2:$B$631,$B589,'الجهاز العسكري'!$G$2:$G$631,$G589,'الجهاز العسكري'!$I$2:$I$631,$I589))/$L589,0))</f>
        <v>87</v>
      </c>
      <c r="O589" s="25" t="n">
        <f aca="false">IF($L589=0,0,ROUND((SUMIFS('المرتبطة بسمو الوزير'!$N$2:$N$151,'المرتبطة بسمو الوزير'!$B$2:$B$151,$B589,'المرتبطة بسمو الوزير'!$G$2:$G$151,$G589,'المرتبطة بسمو الوزير'!$I$2:$I$151,$I589)+SUMIFS('الشؤون التنفيذية'!$O$2:$O$421,'الشؤون التنفيذية'!$B$2:$B$421,$B589,'الشؤون التنفيذية'!$G$2:$G$421,$G589,'الشؤون التنفيذية'!$I$2:$I$421,$I589)+SUMIFS('الجهاز العسكري'!$N$2:$N$631,'الجهاز العسكري'!$B$2:$B$631,$B589,'الجهاز العسكري'!$G$2:$G$631,$G589,'الجهاز العسكري'!$I$2:$I$631,$I589))/$L589,0))</f>
        <v>87</v>
      </c>
      <c r="P589" s="22"/>
      <c r="Q589" s="19" t="n">
        <f aca="false">SUMIFS(المرجع!$G$2:$G$19,المرجع!$B$2:$B$19,$G589,المرجع!$E$2:$E$19,$I589)</f>
        <v>5</v>
      </c>
      <c r="R589" s="26" t="n">
        <f aca="false">ROUND($Q589*$N589/100,2)</f>
        <v>4.35</v>
      </c>
      <c r="S589" s="27" t="str">
        <f aca="false">IF($N589&gt;المرجع!$K$3,"متقدم",IF($N589&lt;=المرجع!$K$2,"أولي","جزئي"))</f>
        <v>متقدم</v>
      </c>
      <c r="T589" s="28" t="n">
        <f aca="false">ROUND($Q589*$O589/100,2)</f>
        <v>4.35</v>
      </c>
    </row>
    <row r="590" customFormat="false" ht="15" hidden="false" customHeight="true" outlineLevel="0" collapsed="false">
      <c r="A590" s="20" t="s">
        <v>2042</v>
      </c>
      <c r="B590" s="20" t="s">
        <v>222</v>
      </c>
      <c r="C590" s="19" t="str">
        <f aca="false">IFERROR(INDEX('قائمة الوحدات'!$B$2:$B$41,MATCH($B590,'قائمة الوحدات'!$A$2:$A$41,0)),"")</f>
        <v>MIL</v>
      </c>
      <c r="D590" s="18" t="str">
        <f aca="false">IFERROR(INDEX('قائمة الوحدات'!$C$2:$C$41,MATCH($B590,'قائمة الوحدات'!$A$2:$A$41,0)),"")</f>
        <v>الجهاز العسكري</v>
      </c>
      <c r="E590" s="18" t="str">
        <f aca="false">IFERROR(INDEX('قائمة الوحدات'!$D$2:$D$41,MATCH($B590,'قائمة الوحدات'!$A$2:$A$41,0)),"")</f>
        <v>الإدارة العامة للقوى البشرية العسكرية</v>
      </c>
      <c r="F590" s="18" t="str">
        <f aca="false">IFERROR(INDEX('قائمة الوحدات'!$F$2:$F$41,MATCH($B590,'قائمة الوحدات'!$A$2:$A$41,0)),"")</f>
        <v>الإدارة العامة للقوى البشرية العسكرية</v>
      </c>
      <c r="G590" s="20" t="s">
        <v>62</v>
      </c>
      <c r="H590" s="18" t="str">
        <f aca="false">IFERROR(INDEX(المرجع!$A$2:$A$19,MATCH($G590,المرجع!$B$2:$B$19,0)),"")</f>
        <v>البناء المؤسسي</v>
      </c>
      <c r="I590" s="20" t="s">
        <v>69</v>
      </c>
      <c r="J590" s="18" t="str">
        <f aca="false">IFERROR(INDEX(المرجع!$D$2:$D$19,MATCH($I590,المرجع!$E$2:$E$19,0)),"")</f>
        <v>إنتاج المخرج الأول</v>
      </c>
      <c r="K590" s="19" t="n">
        <f aca="false">IFERROR(INDEX(المرجع!$F$2:$F$19,MATCH($I590,المرجع!$E$2:$E$19,0)),"")</f>
        <v>7</v>
      </c>
      <c r="L590" s="19" t="n">
        <f aca="false">SUMIFS(المرجع!$H$2:$H$19,المرجع!$B$2:$B$19,$G590,المرجع!$E$2:$E$19,$I590)</f>
        <v>1</v>
      </c>
      <c r="M590" s="19" t="n">
        <f aca="false">COUNTIFS('المرتبطة بسمو الوزير'!$B$2:$B$151,$B590,'المرتبطة بسمو الوزير'!$G$2:$G$151,$G590,'المرتبطة بسمو الوزير'!$I$2:$I$151,$I590,'المرتبطة بسمو الوزير'!$M$2:$M$151,"&lt;&gt;")+COUNTIFS('الشؤون التنفيذية'!$B$2:$B$421,$B590,'الشؤون التنفيذية'!$G$2:$G$421,$G590,'الشؤون التنفيذية'!$I$2:$I$421,$I590,'الشؤون التنفيذية'!$N$2:$N$421,"&lt;&gt;")+COUNTIFS('الجهاز العسكري'!$B$2:$B$631,$B590,'الجهاز العسكري'!$G$2:$G$631,$G590,'الجهاز العسكري'!$I$2:$I$631,$I590,'الجهاز العسكري'!$M$2:$M$631,"&lt;&gt;")</f>
        <v>1</v>
      </c>
      <c r="N590" s="24" t="n">
        <f aca="false">IF($L590=0,0,ROUND((SUMIFS('المرتبطة بسمو الوزير'!$M$2:$M$151,'المرتبطة بسمو الوزير'!$B$2:$B$151,$B590,'المرتبطة بسمو الوزير'!$G$2:$G$151,$G590,'المرتبطة بسمو الوزير'!$I$2:$I$151,$I590)+SUMIFS('الشؤون التنفيذية'!$N$2:$N$421,'الشؤون التنفيذية'!$B$2:$B$421,$B590,'الشؤون التنفيذية'!$G$2:$G$421,$G590,'الشؤون التنفيذية'!$I$2:$I$421,$I590)+SUMIFS('الجهاز العسكري'!$M$2:$M$631,'الجهاز العسكري'!$B$2:$B$631,$B590,'الجهاز العسكري'!$G$2:$G$631,$G590,'الجهاز العسكري'!$I$2:$I$631,$I590))/$L590,0))</f>
        <v>51</v>
      </c>
      <c r="O590" s="25" t="n">
        <f aca="false">IF($L590=0,0,ROUND((SUMIFS('المرتبطة بسمو الوزير'!$N$2:$N$151,'المرتبطة بسمو الوزير'!$B$2:$B$151,$B590,'المرتبطة بسمو الوزير'!$G$2:$G$151,$G590,'المرتبطة بسمو الوزير'!$I$2:$I$151,$I590)+SUMIFS('الشؤون التنفيذية'!$O$2:$O$421,'الشؤون التنفيذية'!$B$2:$B$421,$B590,'الشؤون التنفيذية'!$G$2:$G$421,$G590,'الشؤون التنفيذية'!$I$2:$I$421,$I590)+SUMIFS('الجهاز العسكري'!$N$2:$N$631,'الجهاز العسكري'!$B$2:$B$631,$B590,'الجهاز العسكري'!$G$2:$G$631,$G590,'الجهاز العسكري'!$I$2:$I$631,$I590))/$L590,0))</f>
        <v>80</v>
      </c>
      <c r="P590" s="22"/>
      <c r="Q590" s="19" t="n">
        <f aca="false">SUMIFS(المرجع!$G$2:$G$19,المرجع!$B$2:$B$19,$G590,المرجع!$E$2:$E$19,$I590)</f>
        <v>5</v>
      </c>
      <c r="R590" s="26" t="n">
        <f aca="false">ROUND($Q590*$N590/100,2)</f>
        <v>2.55</v>
      </c>
      <c r="S590" s="27" t="str">
        <f aca="false">IF($N590&gt;المرجع!$K$3,"متقدم",IF($N590&lt;=المرجع!$K$2,"أولي","جزئي"))</f>
        <v>جزئي</v>
      </c>
      <c r="T590" s="28" t="n">
        <f aca="false">ROUND($Q590*$O590/100,2)</f>
        <v>4</v>
      </c>
    </row>
    <row r="591" customFormat="false" ht="15" hidden="false" customHeight="true" outlineLevel="0" collapsed="false">
      <c r="A591" s="20" t="s">
        <v>2043</v>
      </c>
      <c r="B591" s="20" t="s">
        <v>222</v>
      </c>
      <c r="C591" s="19" t="str">
        <f aca="false">IFERROR(INDEX('قائمة الوحدات'!$B$2:$B$41,MATCH($B591,'قائمة الوحدات'!$A$2:$A$41,0)),"")</f>
        <v>MIL</v>
      </c>
      <c r="D591" s="18" t="str">
        <f aca="false">IFERROR(INDEX('قائمة الوحدات'!$C$2:$C$41,MATCH($B591,'قائمة الوحدات'!$A$2:$A$41,0)),"")</f>
        <v>الجهاز العسكري</v>
      </c>
      <c r="E591" s="18" t="str">
        <f aca="false">IFERROR(INDEX('قائمة الوحدات'!$D$2:$D$41,MATCH($B591,'قائمة الوحدات'!$A$2:$A$41,0)),"")</f>
        <v>الإدارة العامة للقوى البشرية العسكرية</v>
      </c>
      <c r="F591" s="18" t="str">
        <f aca="false">IFERROR(INDEX('قائمة الوحدات'!$F$2:$F$41,MATCH($B591,'قائمة الوحدات'!$A$2:$A$41,0)),"")</f>
        <v>الإدارة العامة للقوى البشرية العسكرية</v>
      </c>
      <c r="G591" s="20" t="s">
        <v>66</v>
      </c>
      <c r="H591" s="18" t="str">
        <f aca="false">IFERROR(INDEX(المرجع!$A$2:$A$19,MATCH($G591,المرجع!$B$2:$B$19,0)),"")</f>
        <v>التشغيل</v>
      </c>
      <c r="I591" s="20" t="s">
        <v>49</v>
      </c>
      <c r="J591" s="18" t="str">
        <f aca="false">IFERROR(INDEX(المرجع!$D$2:$D$19,MATCH($I591,المرجع!$E$2:$E$19,0)),"")</f>
        <v>الأهداف ومؤشرات الأداء</v>
      </c>
      <c r="K591" s="19" t="n">
        <f aca="false">IFERROR(INDEX(المرجع!$F$2:$F$19,MATCH($I591,المرجع!$E$2:$E$19,0)),"")</f>
        <v>2</v>
      </c>
      <c r="L591" s="19" t="n">
        <f aca="false">SUMIFS(المرجع!$H$2:$H$19,المرجع!$B$2:$B$19,$G591,المرجع!$E$2:$E$19,$I591)</f>
        <v>2</v>
      </c>
      <c r="M591" s="19" t="n">
        <f aca="false">COUNTIFS('المرتبطة بسمو الوزير'!$B$2:$B$151,$B591,'المرتبطة بسمو الوزير'!$G$2:$G$151,$G591,'المرتبطة بسمو الوزير'!$I$2:$I$151,$I591,'المرتبطة بسمو الوزير'!$M$2:$M$151,"&lt;&gt;")+COUNTIFS('الشؤون التنفيذية'!$B$2:$B$421,$B591,'الشؤون التنفيذية'!$G$2:$G$421,$G591,'الشؤون التنفيذية'!$I$2:$I$421,$I591,'الشؤون التنفيذية'!$N$2:$N$421,"&lt;&gt;")+COUNTIFS('الجهاز العسكري'!$B$2:$B$631,$B591,'الجهاز العسكري'!$G$2:$G$631,$G591,'الجهاز العسكري'!$I$2:$I$631,$I591,'الجهاز العسكري'!$M$2:$M$631,"&lt;&gt;")</f>
        <v>2</v>
      </c>
      <c r="N591" s="24" t="n">
        <f aca="false">IF($L591=0,0,ROUND((SUMIFS('المرتبطة بسمو الوزير'!$M$2:$M$151,'المرتبطة بسمو الوزير'!$B$2:$B$151,$B591,'المرتبطة بسمو الوزير'!$G$2:$G$151,$G591,'المرتبطة بسمو الوزير'!$I$2:$I$151,$I591)+SUMIFS('الشؤون التنفيذية'!$N$2:$N$421,'الشؤون التنفيذية'!$B$2:$B$421,$B591,'الشؤون التنفيذية'!$G$2:$G$421,$G591,'الشؤون التنفيذية'!$I$2:$I$421,$I591)+SUMIFS('الجهاز العسكري'!$M$2:$M$631,'الجهاز العسكري'!$B$2:$B$631,$B591,'الجهاز العسكري'!$G$2:$G$631,$G591,'الجهاز العسكري'!$I$2:$I$631,$I591))/$L591,0))</f>
        <v>65</v>
      </c>
      <c r="O591" s="25" t="n">
        <f aca="false">IF($L591=0,0,ROUND((SUMIFS('المرتبطة بسمو الوزير'!$N$2:$N$151,'المرتبطة بسمو الوزير'!$B$2:$B$151,$B591,'المرتبطة بسمو الوزير'!$G$2:$G$151,$G591,'المرتبطة بسمو الوزير'!$I$2:$I$151,$I591)+SUMIFS('الشؤون التنفيذية'!$O$2:$O$421,'الشؤون التنفيذية'!$B$2:$B$421,$B591,'الشؤون التنفيذية'!$G$2:$G$421,$G591,'الشؤون التنفيذية'!$I$2:$I$421,$I591)+SUMIFS('الجهاز العسكري'!$N$2:$N$631,'الجهاز العسكري'!$B$2:$B$631,$B591,'الجهاز العسكري'!$G$2:$G$631,$G591,'الجهاز العسكري'!$I$2:$I$631,$I591))/$L591,0))</f>
        <v>100</v>
      </c>
      <c r="P591" s="22"/>
      <c r="Q591" s="19" t="n">
        <f aca="false">SUMIFS(المرجع!$G$2:$G$19,المرجع!$B$2:$B$19,$G591,المرجع!$E$2:$E$19,$I591)</f>
        <v>25</v>
      </c>
      <c r="R591" s="26" t="n">
        <f aca="false">ROUND($Q591*$N591/100,2)</f>
        <v>16.25</v>
      </c>
      <c r="S591" s="27" t="str">
        <f aca="false">IF($N591&gt;المرجع!$K$3,"متقدم",IF($N591&lt;=المرجع!$K$2,"أولي","جزئي"))</f>
        <v>جزئي</v>
      </c>
      <c r="T591" s="28" t="n">
        <f aca="false">ROUND($Q591*$O591/100,2)</f>
        <v>25</v>
      </c>
    </row>
    <row r="592" customFormat="false" ht="15" hidden="false" customHeight="true" outlineLevel="0" collapsed="false">
      <c r="A592" s="20" t="s">
        <v>2044</v>
      </c>
      <c r="B592" s="20" t="s">
        <v>222</v>
      </c>
      <c r="C592" s="19" t="str">
        <f aca="false">IFERROR(INDEX('قائمة الوحدات'!$B$2:$B$41,MATCH($B592,'قائمة الوحدات'!$A$2:$A$41,0)),"")</f>
        <v>MIL</v>
      </c>
      <c r="D592" s="18" t="str">
        <f aca="false">IFERROR(INDEX('قائمة الوحدات'!$C$2:$C$41,MATCH($B592,'قائمة الوحدات'!$A$2:$A$41,0)),"")</f>
        <v>الجهاز العسكري</v>
      </c>
      <c r="E592" s="18" t="str">
        <f aca="false">IFERROR(INDEX('قائمة الوحدات'!$D$2:$D$41,MATCH($B592,'قائمة الوحدات'!$A$2:$A$41,0)),"")</f>
        <v>الإدارة العامة للقوى البشرية العسكرية</v>
      </c>
      <c r="F592" s="18" t="str">
        <f aca="false">IFERROR(INDEX('قائمة الوحدات'!$F$2:$F$41,MATCH($B592,'قائمة الوحدات'!$A$2:$A$41,0)),"")</f>
        <v>الإدارة العامة للقوى البشرية العسكرية</v>
      </c>
      <c r="G592" s="20" t="s">
        <v>66</v>
      </c>
      <c r="H592" s="18" t="str">
        <f aca="false">IFERROR(INDEX(المرجع!$A$2:$A$19,MATCH($G592,المرجع!$B$2:$B$19,0)),"")</f>
        <v>التشغيل</v>
      </c>
      <c r="I592" s="20" t="s">
        <v>52</v>
      </c>
      <c r="J592" s="18" t="str">
        <f aca="false">IFERROR(INDEX(المرجع!$D$2:$D$19,MATCH($I592,المرجع!$E$2:$E$19,0)),"")</f>
        <v>الحوكمة</v>
      </c>
      <c r="K592" s="19" t="n">
        <f aca="false">IFERROR(INDEX(المرجع!$F$2:$F$19,MATCH($I592,المرجع!$E$2:$E$19,0)),"")</f>
        <v>3</v>
      </c>
      <c r="L592" s="19" t="n">
        <f aca="false">SUMIFS(المرجع!$H$2:$H$19,المرجع!$B$2:$B$19,$G592,المرجع!$E$2:$E$19,$I592)</f>
        <v>3</v>
      </c>
      <c r="M592" s="19" t="n">
        <f aca="false">COUNTIFS('المرتبطة بسمو الوزير'!$B$2:$B$151,$B592,'المرتبطة بسمو الوزير'!$G$2:$G$151,$G592,'المرتبطة بسمو الوزير'!$I$2:$I$151,$I592,'المرتبطة بسمو الوزير'!$M$2:$M$151,"&lt;&gt;")+COUNTIFS('الشؤون التنفيذية'!$B$2:$B$421,$B592,'الشؤون التنفيذية'!$G$2:$G$421,$G592,'الشؤون التنفيذية'!$I$2:$I$421,$I592,'الشؤون التنفيذية'!$N$2:$N$421,"&lt;&gt;")+COUNTIFS('الجهاز العسكري'!$B$2:$B$631,$B592,'الجهاز العسكري'!$G$2:$G$631,$G592,'الجهاز العسكري'!$I$2:$I$631,$I592,'الجهاز العسكري'!$M$2:$M$631,"&lt;&gt;")</f>
        <v>3</v>
      </c>
      <c r="N592" s="24" t="n">
        <f aca="false">IF($L592=0,0,ROUND((SUMIFS('المرتبطة بسمو الوزير'!$M$2:$M$151,'المرتبطة بسمو الوزير'!$B$2:$B$151,$B592,'المرتبطة بسمو الوزير'!$G$2:$G$151,$G592,'المرتبطة بسمو الوزير'!$I$2:$I$151,$I592)+SUMIFS('الشؤون التنفيذية'!$N$2:$N$421,'الشؤون التنفيذية'!$B$2:$B$421,$B592,'الشؤون التنفيذية'!$G$2:$G$421,$G592,'الشؤون التنفيذية'!$I$2:$I$421,$I592)+SUMIFS('الجهاز العسكري'!$M$2:$M$631,'الجهاز العسكري'!$B$2:$B$631,$B592,'الجهاز العسكري'!$G$2:$G$631,$G592,'الجهاز العسكري'!$I$2:$I$631,$I592))/$L592,0))</f>
        <v>55</v>
      </c>
      <c r="O592" s="25" t="n">
        <f aca="false">IF($L592=0,0,ROUND((SUMIFS('المرتبطة بسمو الوزير'!$N$2:$N$151,'المرتبطة بسمو الوزير'!$B$2:$B$151,$B592,'المرتبطة بسمو الوزير'!$G$2:$G$151,$G592,'المرتبطة بسمو الوزير'!$I$2:$I$151,$I592)+SUMIFS('الشؤون التنفيذية'!$O$2:$O$421,'الشؤون التنفيذية'!$B$2:$B$421,$B592,'الشؤون التنفيذية'!$G$2:$G$421,$G592,'الشؤون التنفيذية'!$I$2:$I$421,$I592)+SUMIFS('الجهاز العسكري'!$N$2:$N$631,'الجهاز العسكري'!$B$2:$B$631,$B592,'الجهاز العسكري'!$G$2:$G$631,$G592,'الجهاز العسكري'!$I$2:$I$631,$I592))/$L592,0))</f>
        <v>92</v>
      </c>
      <c r="P592" s="22"/>
      <c r="Q592" s="19" t="n">
        <f aca="false">SUMIFS(المرجع!$G$2:$G$19,المرجع!$B$2:$B$19,$G592,المرجع!$E$2:$E$19,$I592)</f>
        <v>15</v>
      </c>
      <c r="R592" s="26" t="n">
        <f aca="false">ROUND($Q592*$N592/100,2)</f>
        <v>8.25</v>
      </c>
      <c r="S592" s="27" t="str">
        <f aca="false">IF($N592&gt;المرجع!$K$3,"متقدم",IF($N592&lt;=المرجع!$K$2,"أولي","جزئي"))</f>
        <v>جزئي</v>
      </c>
      <c r="T592" s="28" t="n">
        <f aca="false">ROUND($Q592*$O592/100,2)</f>
        <v>13.8</v>
      </c>
    </row>
    <row r="593" customFormat="false" ht="15" hidden="false" customHeight="true" outlineLevel="0" collapsed="false">
      <c r="A593" s="20" t="s">
        <v>2045</v>
      </c>
      <c r="B593" s="20" t="s">
        <v>222</v>
      </c>
      <c r="C593" s="19" t="str">
        <f aca="false">IFERROR(INDEX('قائمة الوحدات'!$B$2:$B$41,MATCH($B593,'قائمة الوحدات'!$A$2:$A$41,0)),"")</f>
        <v>MIL</v>
      </c>
      <c r="D593" s="18" t="str">
        <f aca="false">IFERROR(INDEX('قائمة الوحدات'!$C$2:$C$41,MATCH($B593,'قائمة الوحدات'!$A$2:$A$41,0)),"")</f>
        <v>الجهاز العسكري</v>
      </c>
      <c r="E593" s="18" t="str">
        <f aca="false">IFERROR(INDEX('قائمة الوحدات'!$D$2:$D$41,MATCH($B593,'قائمة الوحدات'!$A$2:$A$41,0)),"")</f>
        <v>الإدارة العامة للقوى البشرية العسكرية</v>
      </c>
      <c r="F593" s="18" t="str">
        <f aca="false">IFERROR(INDEX('قائمة الوحدات'!$F$2:$F$41,MATCH($B593,'قائمة الوحدات'!$A$2:$A$41,0)),"")</f>
        <v>الإدارة العامة للقوى البشرية العسكرية</v>
      </c>
      <c r="G593" s="20" t="s">
        <v>66</v>
      </c>
      <c r="H593" s="18" t="str">
        <f aca="false">IFERROR(INDEX(المرجع!$A$2:$A$19,MATCH($G593,المرجع!$B$2:$B$19,0)),"")</f>
        <v>التشغيل</v>
      </c>
      <c r="I593" s="20" t="s">
        <v>57</v>
      </c>
      <c r="J593" s="18" t="str">
        <f aca="false">IFERROR(INDEX(المرجع!$D$2:$D$19,MATCH($I593,المرجع!$E$2:$E$19,0)),"")</f>
        <v>الموارد</v>
      </c>
      <c r="K593" s="19" t="n">
        <f aca="false">IFERROR(INDEX(المرجع!$F$2:$F$19,MATCH($I593,المرجع!$E$2:$E$19,0)),"")</f>
        <v>5</v>
      </c>
      <c r="L593" s="19" t="n">
        <f aca="false">SUMIFS(المرجع!$H$2:$H$19,المرجع!$B$2:$B$19,$G593,المرجع!$E$2:$E$19,$I593)</f>
        <v>1</v>
      </c>
      <c r="M593" s="19" t="n">
        <f aca="false">COUNTIFS('المرتبطة بسمو الوزير'!$B$2:$B$151,$B593,'المرتبطة بسمو الوزير'!$G$2:$G$151,$G593,'المرتبطة بسمو الوزير'!$I$2:$I$151,$I593,'المرتبطة بسمو الوزير'!$M$2:$M$151,"&lt;&gt;")+COUNTIFS('الشؤون التنفيذية'!$B$2:$B$421,$B593,'الشؤون التنفيذية'!$G$2:$G$421,$G593,'الشؤون التنفيذية'!$I$2:$I$421,$I593,'الشؤون التنفيذية'!$N$2:$N$421,"&lt;&gt;")+COUNTIFS('الجهاز العسكري'!$B$2:$B$631,$B593,'الجهاز العسكري'!$G$2:$G$631,$G593,'الجهاز العسكري'!$I$2:$I$631,$I593,'الجهاز العسكري'!$M$2:$M$631,"&lt;&gt;")</f>
        <v>1</v>
      </c>
      <c r="N593" s="24" t="n">
        <f aca="false">IF($L593=0,0,ROUND((SUMIFS('المرتبطة بسمو الوزير'!$M$2:$M$151,'المرتبطة بسمو الوزير'!$B$2:$B$151,$B593,'المرتبطة بسمو الوزير'!$G$2:$G$151,$G593,'المرتبطة بسمو الوزير'!$I$2:$I$151,$I593)+SUMIFS('الشؤون التنفيذية'!$N$2:$N$421,'الشؤون التنفيذية'!$B$2:$B$421,$B593,'الشؤون التنفيذية'!$G$2:$G$421,$G593,'الشؤون التنفيذية'!$I$2:$I$421,$I593)+SUMIFS('الجهاز العسكري'!$M$2:$M$631,'الجهاز العسكري'!$B$2:$B$631,$B593,'الجهاز العسكري'!$G$2:$G$631,$G593,'الجهاز العسكري'!$I$2:$I$631,$I593))/$L593,0))</f>
        <v>27</v>
      </c>
      <c r="O593" s="25" t="n">
        <f aca="false">IF($L593=0,0,ROUND((SUMIFS('المرتبطة بسمو الوزير'!$N$2:$N$151,'المرتبطة بسمو الوزير'!$B$2:$B$151,$B593,'المرتبطة بسمو الوزير'!$G$2:$G$151,$G593,'المرتبطة بسمو الوزير'!$I$2:$I$151,$I593)+SUMIFS('الشؤون التنفيذية'!$O$2:$O$421,'الشؤون التنفيذية'!$B$2:$B$421,$B593,'الشؤون التنفيذية'!$G$2:$G$421,$G593,'الشؤون التنفيذية'!$I$2:$I$421,$I593)+SUMIFS('الجهاز العسكري'!$N$2:$N$631,'الجهاز العسكري'!$B$2:$B$631,$B593,'الجهاز العسكري'!$G$2:$G$631,$G593,'الجهاز العسكري'!$I$2:$I$631,$I593))/$L593,0))</f>
        <v>85</v>
      </c>
      <c r="P593" s="22"/>
      <c r="Q593" s="19" t="n">
        <f aca="false">SUMIFS(المرجع!$G$2:$G$19,المرجع!$B$2:$B$19,$G593,المرجع!$E$2:$E$19,$I593)</f>
        <v>15</v>
      </c>
      <c r="R593" s="26" t="n">
        <f aca="false">ROUND($Q593*$N593/100,2)</f>
        <v>4.05</v>
      </c>
      <c r="S593" s="27" t="str">
        <f aca="false">IF($N593&gt;المرجع!$K$3,"متقدم",IF($N593&lt;=المرجع!$K$2,"أولي","جزئي"))</f>
        <v>أولي</v>
      </c>
      <c r="T593" s="28" t="n">
        <f aca="false">ROUND($Q593*$O593/100,2)</f>
        <v>12.75</v>
      </c>
    </row>
    <row r="594" customFormat="false" ht="15" hidden="false" customHeight="true" outlineLevel="0" collapsed="false">
      <c r="A594" s="20" t="s">
        <v>2046</v>
      </c>
      <c r="B594" s="20" t="s">
        <v>222</v>
      </c>
      <c r="C594" s="19" t="str">
        <f aca="false">IFERROR(INDEX('قائمة الوحدات'!$B$2:$B$41,MATCH($B594,'قائمة الوحدات'!$A$2:$A$41,0)),"")</f>
        <v>MIL</v>
      </c>
      <c r="D594" s="18" t="str">
        <f aca="false">IFERROR(INDEX('قائمة الوحدات'!$C$2:$C$41,MATCH($B594,'قائمة الوحدات'!$A$2:$A$41,0)),"")</f>
        <v>الجهاز العسكري</v>
      </c>
      <c r="E594" s="18" t="str">
        <f aca="false">IFERROR(INDEX('قائمة الوحدات'!$D$2:$D$41,MATCH($B594,'قائمة الوحدات'!$A$2:$A$41,0)),"")</f>
        <v>الإدارة العامة للقوى البشرية العسكرية</v>
      </c>
      <c r="F594" s="18" t="str">
        <f aca="false">IFERROR(INDEX('قائمة الوحدات'!$F$2:$F$41,MATCH($B594,'قائمة الوحدات'!$A$2:$A$41,0)),"")</f>
        <v>الإدارة العامة للقوى البشرية العسكرية</v>
      </c>
      <c r="G594" s="20" t="s">
        <v>66</v>
      </c>
      <c r="H594" s="18" t="str">
        <f aca="false">IFERROR(INDEX(المرجع!$A$2:$A$19,MATCH($G594,المرجع!$B$2:$B$19,0)),"")</f>
        <v>التشغيل</v>
      </c>
      <c r="I594" s="20" t="s">
        <v>60</v>
      </c>
      <c r="J594" s="18" t="str">
        <f aca="false">IFERROR(INDEX(المرجع!$D$2:$D$19,MATCH($I594,المرجع!$E$2:$E$19,0)),"")</f>
        <v>الإجراءات</v>
      </c>
      <c r="K594" s="19" t="n">
        <f aca="false">IFERROR(INDEX(المرجع!$F$2:$F$19,MATCH($I594,المرجع!$E$2:$E$19,0)),"")</f>
        <v>6</v>
      </c>
      <c r="L594" s="19" t="n">
        <f aca="false">SUMIFS(المرجع!$H$2:$H$19,المرجع!$B$2:$B$19,$G594,المرجع!$E$2:$E$19,$I594)</f>
        <v>1</v>
      </c>
      <c r="M594" s="19" t="n">
        <f aca="false">COUNTIFS('المرتبطة بسمو الوزير'!$B$2:$B$151,$B594,'المرتبطة بسمو الوزير'!$G$2:$G$151,$G594,'المرتبطة بسمو الوزير'!$I$2:$I$151,$I594,'المرتبطة بسمو الوزير'!$M$2:$M$151,"&lt;&gt;")+COUNTIFS('الشؤون التنفيذية'!$B$2:$B$421,$B594,'الشؤون التنفيذية'!$G$2:$G$421,$G594,'الشؤون التنفيذية'!$I$2:$I$421,$I594,'الشؤون التنفيذية'!$N$2:$N$421,"&lt;&gt;")+COUNTIFS('الجهاز العسكري'!$B$2:$B$631,$B594,'الجهاز العسكري'!$G$2:$G$631,$G594,'الجهاز العسكري'!$I$2:$I$631,$I594,'الجهاز العسكري'!$M$2:$M$631,"&lt;&gt;")</f>
        <v>1</v>
      </c>
      <c r="N594" s="24" t="n">
        <f aca="false">IF($L594=0,0,ROUND((SUMIFS('المرتبطة بسمو الوزير'!$M$2:$M$151,'المرتبطة بسمو الوزير'!$B$2:$B$151,$B594,'المرتبطة بسمو الوزير'!$G$2:$G$151,$G594,'المرتبطة بسمو الوزير'!$I$2:$I$151,$I594)+SUMIFS('الشؤون التنفيذية'!$N$2:$N$421,'الشؤون التنفيذية'!$B$2:$B$421,$B594,'الشؤون التنفيذية'!$G$2:$G$421,$G594,'الشؤون التنفيذية'!$I$2:$I$421,$I594)+SUMIFS('الجهاز العسكري'!$M$2:$M$631,'الجهاز العسكري'!$B$2:$B$631,$B594,'الجهاز العسكري'!$G$2:$G$631,$G594,'الجهاز العسكري'!$I$2:$I$631,$I594))/$L594,0))</f>
        <v>32</v>
      </c>
      <c r="O594" s="25" t="n">
        <f aca="false">IF($L594=0,0,ROUND((SUMIFS('المرتبطة بسمو الوزير'!$N$2:$N$151,'المرتبطة بسمو الوزير'!$B$2:$B$151,$B594,'المرتبطة بسمو الوزير'!$G$2:$G$151,$G594,'المرتبطة بسمو الوزير'!$I$2:$I$151,$I594)+SUMIFS('الشؤون التنفيذية'!$O$2:$O$421,'الشؤون التنفيذية'!$B$2:$B$421,$B594,'الشؤون التنفيذية'!$G$2:$G$421,$G594,'الشؤون التنفيذية'!$I$2:$I$421,$I594)+SUMIFS('الجهاز العسكري'!$N$2:$N$631,'الجهاز العسكري'!$B$2:$B$631,$B594,'الجهاز العسكري'!$G$2:$G$631,$G594,'الجهاز العسكري'!$I$2:$I$631,$I594))/$L594,0))</f>
        <v>90</v>
      </c>
      <c r="P594" s="22"/>
      <c r="Q594" s="19" t="n">
        <f aca="false">SUMIFS(المرجع!$G$2:$G$19,المرجع!$B$2:$B$19,$G594,المرجع!$E$2:$E$19,$I594)</f>
        <v>15</v>
      </c>
      <c r="R594" s="26" t="n">
        <f aca="false">ROUND($Q594*$N594/100,2)</f>
        <v>4.8</v>
      </c>
      <c r="S594" s="27" t="str">
        <f aca="false">IF($N594&gt;المرجع!$K$3,"متقدم",IF($N594&lt;=المرجع!$K$2,"أولي","جزئي"))</f>
        <v>جزئي</v>
      </c>
      <c r="T594" s="28" t="n">
        <f aca="false">ROUND($Q594*$O594/100,2)</f>
        <v>13.5</v>
      </c>
    </row>
    <row r="595" customFormat="false" ht="15" hidden="false" customHeight="true" outlineLevel="0" collapsed="false">
      <c r="A595" s="20" t="s">
        <v>2047</v>
      </c>
      <c r="B595" s="20" t="s">
        <v>222</v>
      </c>
      <c r="C595" s="19" t="str">
        <f aca="false">IFERROR(INDEX('قائمة الوحدات'!$B$2:$B$41,MATCH($B595,'قائمة الوحدات'!$A$2:$A$41,0)),"")</f>
        <v>MIL</v>
      </c>
      <c r="D595" s="18" t="str">
        <f aca="false">IFERROR(INDEX('قائمة الوحدات'!$C$2:$C$41,MATCH($B595,'قائمة الوحدات'!$A$2:$A$41,0)),"")</f>
        <v>الجهاز العسكري</v>
      </c>
      <c r="E595" s="18" t="str">
        <f aca="false">IFERROR(INDEX('قائمة الوحدات'!$D$2:$D$41,MATCH($B595,'قائمة الوحدات'!$A$2:$A$41,0)),"")</f>
        <v>الإدارة العامة للقوى البشرية العسكرية</v>
      </c>
      <c r="F595" s="18" t="str">
        <f aca="false">IFERROR(INDEX('قائمة الوحدات'!$F$2:$F$41,MATCH($B595,'قائمة الوحدات'!$A$2:$A$41,0)),"")</f>
        <v>الإدارة العامة للقوى البشرية العسكرية</v>
      </c>
      <c r="G595" s="20" t="s">
        <v>66</v>
      </c>
      <c r="H595" s="18" t="str">
        <f aca="false">IFERROR(INDEX(المرجع!$A$2:$A$19,MATCH($G595,المرجع!$B$2:$B$19,0)),"")</f>
        <v>التشغيل</v>
      </c>
      <c r="I595" s="20" t="s">
        <v>71</v>
      </c>
      <c r="J595" s="18" t="str">
        <f aca="false">IFERROR(INDEX(المرجع!$D$2:$D$19,MATCH($I595,المرجع!$E$2:$E$19,0)),"")</f>
        <v>اكتمال المخرجات المستهدفة</v>
      </c>
      <c r="K595" s="19" t="n">
        <f aca="false">IFERROR(INDEX(المرجع!$F$2:$F$19,MATCH($I595,المرجع!$E$2:$E$19,0)),"")</f>
        <v>8</v>
      </c>
      <c r="L595" s="19" t="n">
        <f aca="false">SUMIFS(المرجع!$H$2:$H$19,المرجع!$B$2:$B$19,$G595,المرجع!$E$2:$E$19,$I595)</f>
        <v>1</v>
      </c>
      <c r="M595" s="19" t="n">
        <f aca="false">COUNTIFS('المرتبطة بسمو الوزير'!$B$2:$B$151,$B595,'المرتبطة بسمو الوزير'!$G$2:$G$151,$G595,'المرتبطة بسمو الوزير'!$I$2:$I$151,$I595,'المرتبطة بسمو الوزير'!$M$2:$M$151,"&lt;&gt;")+COUNTIFS('الشؤون التنفيذية'!$B$2:$B$421,$B595,'الشؤون التنفيذية'!$G$2:$G$421,$G595,'الشؤون التنفيذية'!$I$2:$I$421,$I595,'الشؤون التنفيذية'!$N$2:$N$421,"&lt;&gt;")+COUNTIFS('الجهاز العسكري'!$B$2:$B$631,$B595,'الجهاز العسكري'!$G$2:$G$631,$G595,'الجهاز العسكري'!$I$2:$I$631,$I595,'الجهاز العسكري'!$M$2:$M$631,"&lt;&gt;")</f>
        <v>1</v>
      </c>
      <c r="N595" s="24" t="n">
        <f aca="false">IF($L595=0,0,ROUND((SUMIFS('المرتبطة بسمو الوزير'!$M$2:$M$151,'المرتبطة بسمو الوزير'!$B$2:$B$151,$B595,'المرتبطة بسمو الوزير'!$G$2:$G$151,$G595,'المرتبطة بسمو الوزير'!$I$2:$I$151,$I595)+SUMIFS('الشؤون التنفيذية'!$N$2:$N$421,'الشؤون التنفيذية'!$B$2:$B$421,$B595,'الشؤون التنفيذية'!$G$2:$G$421,$G595,'الشؤون التنفيذية'!$I$2:$I$421,$I595)+SUMIFS('الجهاز العسكري'!$M$2:$M$631,'الجهاز العسكري'!$B$2:$B$631,$B595,'الجهاز العسكري'!$G$2:$G$631,$G595,'الجهاز العسكري'!$I$2:$I$631,$I595))/$L595,0))</f>
        <v>53</v>
      </c>
      <c r="O595" s="25" t="n">
        <f aca="false">IF($L595=0,0,ROUND((SUMIFS('المرتبطة بسمو الوزير'!$N$2:$N$151,'المرتبطة بسمو الوزير'!$B$2:$B$151,$B595,'المرتبطة بسمو الوزير'!$G$2:$G$151,$G595,'المرتبطة بسمو الوزير'!$I$2:$I$151,$I595)+SUMIFS('الشؤون التنفيذية'!$O$2:$O$421,'الشؤون التنفيذية'!$B$2:$B$421,$B595,'الشؤون التنفيذية'!$G$2:$G$421,$G595,'الشؤون التنفيذية'!$I$2:$I$421,$I595)+SUMIFS('الجهاز العسكري'!$N$2:$N$631,'الجهاز العسكري'!$B$2:$B$631,$B595,'الجهاز العسكري'!$G$2:$G$631,$G595,'الجهاز العسكري'!$I$2:$I$631,$I595))/$L595,0))</f>
        <v>95</v>
      </c>
      <c r="P595" s="22"/>
      <c r="Q595" s="19" t="n">
        <f aca="false">SUMIFS(المرجع!$G$2:$G$19,المرجع!$B$2:$B$19,$G595,المرجع!$E$2:$E$19,$I595)</f>
        <v>30</v>
      </c>
      <c r="R595" s="26" t="n">
        <f aca="false">ROUND($Q595*$N595/100,2)</f>
        <v>15.9</v>
      </c>
      <c r="S595" s="27" t="str">
        <f aca="false">IF($N595&gt;المرجع!$K$3,"متقدم",IF($N595&lt;=المرجع!$K$2,"أولي","جزئي"))</f>
        <v>جزئي</v>
      </c>
      <c r="T595" s="28" t="n">
        <f aca="false">ROUND($Q595*$O595/100,2)</f>
        <v>28.5</v>
      </c>
    </row>
    <row r="596" customFormat="false" ht="15" hidden="false" customHeight="true" outlineLevel="0" collapsed="false">
      <c r="A596" s="20" t="s">
        <v>2048</v>
      </c>
      <c r="B596" s="20" t="s">
        <v>224</v>
      </c>
      <c r="C596" s="19" t="str">
        <f aca="false">IFERROR(INDEX('قائمة الوحدات'!$B$2:$B$41,MATCH($B596,'قائمة الوحدات'!$A$2:$A$41,0)),"")</f>
        <v>MIL</v>
      </c>
      <c r="D596" s="18" t="str">
        <f aca="false">IFERROR(INDEX('قائمة الوحدات'!$C$2:$C$41,MATCH($B596,'قائمة الوحدات'!$A$2:$A$41,0)),"")</f>
        <v>الجهاز العسكري</v>
      </c>
      <c r="E596" s="18" t="str">
        <f aca="false">IFERROR(INDEX('قائمة الوحدات'!$D$2:$D$41,MATCH($B596,'قائمة الوحدات'!$A$2:$A$41,0)),"")</f>
        <v>الإدارة العامة للتدريب والتأهيل العسكري</v>
      </c>
      <c r="F596" s="18" t="str">
        <f aca="false">IFERROR(INDEX('قائمة الوحدات'!$F$2:$F$41,MATCH($B596,'قائمة الوحدات'!$A$2:$A$41,0)),"")</f>
        <v>الإدارة العامة للتدريب والتأهيل العسكري</v>
      </c>
      <c r="G596" s="20" t="s">
        <v>44</v>
      </c>
      <c r="H596" s="18" t="str">
        <f aca="false">IFERROR(INDEX(المرجع!$A$2:$A$19,MATCH($G596,المرجع!$B$2:$B$19,0)),"")</f>
        <v>التصميم</v>
      </c>
      <c r="I596" s="20" t="s">
        <v>46</v>
      </c>
      <c r="J596" s="18" t="str">
        <f aca="false">IFERROR(INDEX(المرجع!$D$2:$D$19,MATCH($I596,المرجع!$E$2:$E$19,0)),"")</f>
        <v>الدور</v>
      </c>
      <c r="K596" s="19" t="n">
        <f aca="false">IFERROR(INDEX(المرجع!$F$2:$F$19,MATCH($I596,المرجع!$E$2:$E$19,0)),"")</f>
        <v>1</v>
      </c>
      <c r="L596" s="19" t="n">
        <f aca="false">SUMIFS(المرجع!$H$2:$H$19,المرجع!$B$2:$B$19,$G596,المرجع!$E$2:$E$19,$I596)</f>
        <v>1</v>
      </c>
      <c r="M596" s="19" t="n">
        <f aca="false">COUNTIFS('المرتبطة بسمو الوزير'!$B$2:$B$151,$B596,'المرتبطة بسمو الوزير'!$G$2:$G$151,$G596,'المرتبطة بسمو الوزير'!$I$2:$I$151,$I596,'المرتبطة بسمو الوزير'!$M$2:$M$151,"&lt;&gt;")+COUNTIFS('الشؤون التنفيذية'!$B$2:$B$421,$B596,'الشؤون التنفيذية'!$G$2:$G$421,$G596,'الشؤون التنفيذية'!$I$2:$I$421,$I596,'الشؤون التنفيذية'!$N$2:$N$421,"&lt;&gt;")+COUNTIFS('الجهاز العسكري'!$B$2:$B$631,$B596,'الجهاز العسكري'!$G$2:$G$631,$G596,'الجهاز العسكري'!$I$2:$I$631,$I596,'الجهاز العسكري'!$M$2:$M$631,"&lt;&gt;")</f>
        <v>1</v>
      </c>
      <c r="N596" s="24" t="n">
        <f aca="false">IF($L596=0,0,ROUND((SUMIFS('المرتبطة بسمو الوزير'!$M$2:$M$151,'المرتبطة بسمو الوزير'!$B$2:$B$151,$B596,'المرتبطة بسمو الوزير'!$G$2:$G$151,$G596,'المرتبطة بسمو الوزير'!$I$2:$I$151,$I596)+SUMIFS('الشؤون التنفيذية'!$N$2:$N$421,'الشؤون التنفيذية'!$B$2:$B$421,$B596,'الشؤون التنفيذية'!$G$2:$G$421,$G596,'الشؤون التنفيذية'!$I$2:$I$421,$I596)+SUMIFS('الجهاز العسكري'!$M$2:$M$631,'الجهاز العسكري'!$B$2:$B$631,$B596,'الجهاز العسكري'!$G$2:$G$631,$G596,'الجهاز العسكري'!$I$2:$I$631,$I596))/$L596,0))</f>
        <v>83</v>
      </c>
      <c r="O596" s="25" t="n">
        <f aca="false">IF($L596=0,0,ROUND((SUMIFS('المرتبطة بسمو الوزير'!$N$2:$N$151,'المرتبطة بسمو الوزير'!$B$2:$B$151,$B596,'المرتبطة بسمو الوزير'!$G$2:$G$151,$G596,'المرتبطة بسمو الوزير'!$I$2:$I$151,$I596)+SUMIFS('الشؤون التنفيذية'!$O$2:$O$421,'الشؤون التنفيذية'!$B$2:$B$421,$B596,'الشؤون التنفيذية'!$G$2:$G$421,$G596,'الشؤون التنفيذية'!$I$2:$I$421,$I596)+SUMIFS('الجهاز العسكري'!$N$2:$N$631,'الجهاز العسكري'!$B$2:$B$631,$B596,'الجهاز العسكري'!$G$2:$G$631,$G596,'الجهاز العسكري'!$I$2:$I$631,$I596))/$L596,0))</f>
        <v>100</v>
      </c>
      <c r="P596" s="22"/>
      <c r="Q596" s="19" t="n">
        <f aca="false">SUMIFS(المرجع!$G$2:$G$19,المرجع!$B$2:$B$19,$G596,المرجع!$E$2:$E$19,$I596)</f>
        <v>25</v>
      </c>
      <c r="R596" s="26" t="n">
        <f aca="false">ROUND($Q596*$N596/100,2)</f>
        <v>20.75</v>
      </c>
      <c r="S596" s="27" t="str">
        <f aca="false">IF($N596&gt;المرجع!$K$3,"متقدم",IF($N596&lt;=المرجع!$K$2,"أولي","جزئي"))</f>
        <v>متقدم</v>
      </c>
      <c r="T596" s="28" t="n">
        <f aca="false">ROUND($Q596*$O596/100,2)</f>
        <v>25</v>
      </c>
    </row>
    <row r="597" customFormat="false" ht="15" hidden="false" customHeight="true" outlineLevel="0" collapsed="false">
      <c r="A597" s="20" t="s">
        <v>2049</v>
      </c>
      <c r="B597" s="20" t="s">
        <v>224</v>
      </c>
      <c r="C597" s="19" t="str">
        <f aca="false">IFERROR(INDEX('قائمة الوحدات'!$B$2:$B$41,MATCH($B597,'قائمة الوحدات'!$A$2:$A$41,0)),"")</f>
        <v>MIL</v>
      </c>
      <c r="D597" s="18" t="str">
        <f aca="false">IFERROR(INDEX('قائمة الوحدات'!$C$2:$C$41,MATCH($B597,'قائمة الوحدات'!$A$2:$A$41,0)),"")</f>
        <v>الجهاز العسكري</v>
      </c>
      <c r="E597" s="18" t="str">
        <f aca="false">IFERROR(INDEX('قائمة الوحدات'!$D$2:$D$41,MATCH($B597,'قائمة الوحدات'!$A$2:$A$41,0)),"")</f>
        <v>الإدارة العامة للتدريب والتأهيل العسكري</v>
      </c>
      <c r="F597" s="18" t="str">
        <f aca="false">IFERROR(INDEX('قائمة الوحدات'!$F$2:$F$41,MATCH($B597,'قائمة الوحدات'!$A$2:$A$41,0)),"")</f>
        <v>الإدارة العامة للتدريب والتأهيل العسكري</v>
      </c>
      <c r="G597" s="20" t="s">
        <v>44</v>
      </c>
      <c r="H597" s="18" t="str">
        <f aca="false">IFERROR(INDEX(المرجع!$A$2:$A$19,MATCH($G597,المرجع!$B$2:$B$19,0)),"")</f>
        <v>التصميم</v>
      </c>
      <c r="I597" s="20" t="s">
        <v>49</v>
      </c>
      <c r="J597" s="18" t="str">
        <f aca="false">IFERROR(INDEX(المرجع!$D$2:$D$19,MATCH($I597,المرجع!$E$2:$E$19,0)),"")</f>
        <v>الأهداف ومؤشرات الأداء</v>
      </c>
      <c r="K597" s="19" t="n">
        <f aca="false">IFERROR(INDEX(المرجع!$F$2:$F$19,MATCH($I597,المرجع!$E$2:$E$19,0)),"")</f>
        <v>2</v>
      </c>
      <c r="L597" s="19" t="n">
        <f aca="false">SUMIFS(المرجع!$H$2:$H$19,المرجع!$B$2:$B$19,$G597,المرجع!$E$2:$E$19,$I597)</f>
        <v>2</v>
      </c>
      <c r="M597" s="19" t="n">
        <f aca="false">COUNTIFS('المرتبطة بسمو الوزير'!$B$2:$B$151,$B597,'المرتبطة بسمو الوزير'!$G$2:$G$151,$G597,'المرتبطة بسمو الوزير'!$I$2:$I$151,$I597,'المرتبطة بسمو الوزير'!$M$2:$M$151,"&lt;&gt;")+COUNTIFS('الشؤون التنفيذية'!$B$2:$B$421,$B597,'الشؤون التنفيذية'!$G$2:$G$421,$G597,'الشؤون التنفيذية'!$I$2:$I$421,$I597,'الشؤون التنفيذية'!$N$2:$N$421,"&lt;&gt;")+COUNTIFS('الجهاز العسكري'!$B$2:$B$631,$B597,'الجهاز العسكري'!$G$2:$G$631,$G597,'الجهاز العسكري'!$I$2:$I$631,$I597,'الجهاز العسكري'!$M$2:$M$631,"&lt;&gt;")</f>
        <v>2</v>
      </c>
      <c r="N597" s="24" t="n">
        <f aca="false">IF($L597=0,0,ROUND((SUMIFS('المرتبطة بسمو الوزير'!$M$2:$M$151,'المرتبطة بسمو الوزير'!$B$2:$B$151,$B597,'المرتبطة بسمو الوزير'!$G$2:$G$151,$G597,'المرتبطة بسمو الوزير'!$I$2:$I$151,$I597)+SUMIFS('الشؤون التنفيذية'!$N$2:$N$421,'الشؤون التنفيذية'!$B$2:$B$421,$B597,'الشؤون التنفيذية'!$G$2:$G$421,$G597,'الشؤون التنفيذية'!$I$2:$I$421,$I597)+SUMIFS('الجهاز العسكري'!$M$2:$M$631,'الجهاز العسكري'!$B$2:$B$631,$B597,'الجهاز العسكري'!$G$2:$G$631,$G597,'الجهاز العسكري'!$I$2:$I$631,$I597))/$L597,0))</f>
        <v>90</v>
      </c>
      <c r="O597" s="25" t="n">
        <f aca="false">IF($L597=0,0,ROUND((SUMIFS('المرتبطة بسمو الوزير'!$N$2:$N$151,'المرتبطة بسمو الوزير'!$B$2:$B$151,$B597,'المرتبطة بسمو الوزير'!$G$2:$G$151,$G597,'المرتبطة بسمو الوزير'!$I$2:$I$151,$I597)+SUMIFS('الشؤون التنفيذية'!$O$2:$O$421,'الشؤون التنفيذية'!$B$2:$B$421,$B597,'الشؤون التنفيذية'!$G$2:$G$421,$G597,'الشؤون التنفيذية'!$I$2:$I$421,$I597)+SUMIFS('الجهاز العسكري'!$N$2:$N$631,'الجهاز العسكري'!$B$2:$B$631,$B597,'الجهاز العسكري'!$G$2:$G$631,$G597,'الجهاز العسكري'!$I$2:$I$631,$I597))/$L597,0))</f>
        <v>90</v>
      </c>
      <c r="P597" s="22"/>
      <c r="Q597" s="19" t="n">
        <f aca="false">SUMIFS(المرجع!$G$2:$G$19,المرجع!$B$2:$B$19,$G597,المرجع!$E$2:$E$19,$I597)</f>
        <v>15</v>
      </c>
      <c r="R597" s="26" t="n">
        <f aca="false">ROUND($Q597*$N597/100,2)</f>
        <v>13.5</v>
      </c>
      <c r="S597" s="27" t="str">
        <f aca="false">IF($N597&gt;المرجع!$K$3,"متقدم",IF($N597&lt;=المرجع!$K$2,"أولي","جزئي"))</f>
        <v>متقدم</v>
      </c>
      <c r="T597" s="28" t="n">
        <f aca="false">ROUND($Q597*$O597/100,2)</f>
        <v>13.5</v>
      </c>
    </row>
    <row r="598" customFormat="false" ht="15" hidden="false" customHeight="true" outlineLevel="0" collapsed="false">
      <c r="A598" s="20" t="s">
        <v>2050</v>
      </c>
      <c r="B598" s="20" t="s">
        <v>224</v>
      </c>
      <c r="C598" s="19" t="str">
        <f aca="false">IFERROR(INDEX('قائمة الوحدات'!$B$2:$B$41,MATCH($B598,'قائمة الوحدات'!$A$2:$A$41,0)),"")</f>
        <v>MIL</v>
      </c>
      <c r="D598" s="18" t="str">
        <f aca="false">IFERROR(INDEX('قائمة الوحدات'!$C$2:$C$41,MATCH($B598,'قائمة الوحدات'!$A$2:$A$41,0)),"")</f>
        <v>الجهاز العسكري</v>
      </c>
      <c r="E598" s="18" t="str">
        <f aca="false">IFERROR(INDEX('قائمة الوحدات'!$D$2:$D$41,MATCH($B598,'قائمة الوحدات'!$A$2:$A$41,0)),"")</f>
        <v>الإدارة العامة للتدريب والتأهيل العسكري</v>
      </c>
      <c r="F598" s="18" t="str">
        <f aca="false">IFERROR(INDEX('قائمة الوحدات'!$F$2:$F$41,MATCH($B598,'قائمة الوحدات'!$A$2:$A$41,0)),"")</f>
        <v>الإدارة العامة للتدريب والتأهيل العسكري</v>
      </c>
      <c r="G598" s="20" t="s">
        <v>44</v>
      </c>
      <c r="H598" s="18" t="str">
        <f aca="false">IFERROR(INDEX(المرجع!$A$2:$A$19,MATCH($G598,المرجع!$B$2:$B$19,0)),"")</f>
        <v>التصميم</v>
      </c>
      <c r="I598" s="20" t="s">
        <v>52</v>
      </c>
      <c r="J598" s="18" t="str">
        <f aca="false">IFERROR(INDEX(المرجع!$D$2:$D$19,MATCH($I598,المرجع!$E$2:$E$19,0)),"")</f>
        <v>الحوكمة</v>
      </c>
      <c r="K598" s="19" t="n">
        <f aca="false">IFERROR(INDEX(المرجع!$F$2:$F$19,MATCH($I598,المرجع!$E$2:$E$19,0)),"")</f>
        <v>3</v>
      </c>
      <c r="L598" s="19" t="n">
        <f aca="false">SUMIFS(المرجع!$H$2:$H$19,المرجع!$B$2:$B$19,$G598,المرجع!$E$2:$E$19,$I598)</f>
        <v>1</v>
      </c>
      <c r="M598" s="19" t="n">
        <f aca="false">COUNTIFS('المرتبطة بسمو الوزير'!$B$2:$B$151,$B598,'المرتبطة بسمو الوزير'!$G$2:$G$151,$G598,'المرتبطة بسمو الوزير'!$I$2:$I$151,$I598,'المرتبطة بسمو الوزير'!$M$2:$M$151,"&lt;&gt;")+COUNTIFS('الشؤون التنفيذية'!$B$2:$B$421,$B598,'الشؤون التنفيذية'!$G$2:$G$421,$G598,'الشؤون التنفيذية'!$I$2:$I$421,$I598,'الشؤون التنفيذية'!$N$2:$N$421,"&lt;&gt;")+COUNTIFS('الجهاز العسكري'!$B$2:$B$631,$B598,'الجهاز العسكري'!$G$2:$G$631,$G598,'الجهاز العسكري'!$I$2:$I$631,$I598,'الجهاز العسكري'!$M$2:$M$631,"&lt;&gt;")</f>
        <v>1</v>
      </c>
      <c r="N598" s="24" t="n">
        <f aca="false">IF($L598=0,0,ROUND((SUMIFS('المرتبطة بسمو الوزير'!$M$2:$M$151,'المرتبطة بسمو الوزير'!$B$2:$B$151,$B598,'المرتبطة بسمو الوزير'!$G$2:$G$151,$G598,'المرتبطة بسمو الوزير'!$I$2:$I$151,$I598)+SUMIFS('الشؤون التنفيذية'!$N$2:$N$421,'الشؤون التنفيذية'!$B$2:$B$421,$B598,'الشؤون التنفيذية'!$G$2:$G$421,$G598,'الشؤون التنفيذية'!$I$2:$I$421,$I598)+SUMIFS('الجهاز العسكري'!$M$2:$M$631,'الجهاز العسكري'!$B$2:$B$631,$B598,'الجهاز العسكري'!$G$2:$G$631,$G598,'الجهاز العسكري'!$I$2:$I$631,$I598))/$L598,0))</f>
        <v>91</v>
      </c>
      <c r="O598" s="25" t="n">
        <f aca="false">IF($L598=0,0,ROUND((SUMIFS('المرتبطة بسمو الوزير'!$N$2:$N$151,'المرتبطة بسمو الوزير'!$B$2:$B$151,$B598,'المرتبطة بسمو الوزير'!$G$2:$G$151,$G598,'المرتبطة بسمو الوزير'!$I$2:$I$151,$I598)+SUMIFS('الشؤون التنفيذية'!$O$2:$O$421,'الشؤون التنفيذية'!$B$2:$B$421,$B598,'الشؤون التنفيذية'!$G$2:$G$421,$G598,'الشؤون التنفيذية'!$I$2:$I$421,$I598)+SUMIFS('الجهاز العسكري'!$N$2:$N$631,'الجهاز العسكري'!$B$2:$B$631,$B598,'الجهاز العسكري'!$G$2:$G$631,$G598,'الجهاز العسكري'!$I$2:$I$631,$I598))/$L598,0))</f>
        <v>100</v>
      </c>
      <c r="P598" s="22"/>
      <c r="Q598" s="19" t="n">
        <f aca="false">SUMIFS(المرجع!$G$2:$G$19,المرجع!$B$2:$B$19,$G598,المرجع!$E$2:$E$19,$I598)</f>
        <v>15</v>
      </c>
      <c r="R598" s="26" t="n">
        <f aca="false">ROUND($Q598*$N598/100,2)</f>
        <v>13.65</v>
      </c>
      <c r="S598" s="27" t="str">
        <f aca="false">IF($N598&gt;المرجع!$K$3,"متقدم",IF($N598&lt;=المرجع!$K$2,"أولي","جزئي"))</f>
        <v>متقدم</v>
      </c>
      <c r="T598" s="28" t="n">
        <f aca="false">ROUND($Q598*$O598/100,2)</f>
        <v>15</v>
      </c>
    </row>
    <row r="599" customFormat="false" ht="15" hidden="false" customHeight="true" outlineLevel="0" collapsed="false">
      <c r="A599" s="20" t="s">
        <v>2051</v>
      </c>
      <c r="B599" s="20" t="s">
        <v>224</v>
      </c>
      <c r="C599" s="19" t="str">
        <f aca="false">IFERROR(INDEX('قائمة الوحدات'!$B$2:$B$41,MATCH($B599,'قائمة الوحدات'!$A$2:$A$41,0)),"")</f>
        <v>MIL</v>
      </c>
      <c r="D599" s="18" t="str">
        <f aca="false">IFERROR(INDEX('قائمة الوحدات'!$C$2:$C$41,MATCH($B599,'قائمة الوحدات'!$A$2:$A$41,0)),"")</f>
        <v>الجهاز العسكري</v>
      </c>
      <c r="E599" s="18" t="str">
        <f aca="false">IFERROR(INDEX('قائمة الوحدات'!$D$2:$D$41,MATCH($B599,'قائمة الوحدات'!$A$2:$A$41,0)),"")</f>
        <v>الإدارة العامة للتدريب والتأهيل العسكري</v>
      </c>
      <c r="F599" s="18" t="str">
        <f aca="false">IFERROR(INDEX('قائمة الوحدات'!$F$2:$F$41,MATCH($B599,'قائمة الوحدات'!$A$2:$A$41,0)),"")</f>
        <v>الإدارة العامة للتدريب والتأهيل العسكري</v>
      </c>
      <c r="G599" s="20" t="s">
        <v>44</v>
      </c>
      <c r="H599" s="18" t="str">
        <f aca="false">IFERROR(INDEX(المرجع!$A$2:$A$19,MATCH($G599,المرجع!$B$2:$B$19,0)),"")</f>
        <v>التصميم</v>
      </c>
      <c r="I599" s="20" t="s">
        <v>55</v>
      </c>
      <c r="J599" s="18" t="str">
        <f aca="false">IFERROR(INDEX(المرجع!$D$2:$D$19,MATCH($I599,المرجع!$E$2:$E$19,0)),"")</f>
        <v>التنظيم</v>
      </c>
      <c r="K599" s="19" t="n">
        <f aca="false">IFERROR(INDEX(المرجع!$F$2:$F$19,MATCH($I599,المرجع!$E$2:$E$19,0)),"")</f>
        <v>4</v>
      </c>
      <c r="L599" s="19" t="n">
        <f aca="false">SUMIFS(المرجع!$H$2:$H$19,المرجع!$B$2:$B$19,$G599,المرجع!$E$2:$E$19,$I599)</f>
        <v>1</v>
      </c>
      <c r="M599" s="19" t="n">
        <f aca="false">COUNTIFS('المرتبطة بسمو الوزير'!$B$2:$B$151,$B599,'المرتبطة بسمو الوزير'!$G$2:$G$151,$G599,'المرتبطة بسمو الوزير'!$I$2:$I$151,$I599,'المرتبطة بسمو الوزير'!$M$2:$M$151,"&lt;&gt;")+COUNTIFS('الشؤون التنفيذية'!$B$2:$B$421,$B599,'الشؤون التنفيذية'!$G$2:$G$421,$G599,'الشؤون التنفيذية'!$I$2:$I$421,$I599,'الشؤون التنفيذية'!$N$2:$N$421,"&lt;&gt;")+COUNTIFS('الجهاز العسكري'!$B$2:$B$631,$B599,'الجهاز العسكري'!$G$2:$G$631,$G599,'الجهاز العسكري'!$I$2:$I$631,$I599,'الجهاز العسكري'!$M$2:$M$631,"&lt;&gt;")</f>
        <v>1</v>
      </c>
      <c r="N599" s="24" t="n">
        <f aca="false">IF($L599=0,0,ROUND((SUMIFS('المرتبطة بسمو الوزير'!$M$2:$M$151,'المرتبطة بسمو الوزير'!$B$2:$B$151,$B599,'المرتبطة بسمو الوزير'!$G$2:$G$151,$G599,'المرتبطة بسمو الوزير'!$I$2:$I$151,$I599)+SUMIFS('الشؤون التنفيذية'!$N$2:$N$421,'الشؤون التنفيذية'!$B$2:$B$421,$B599,'الشؤون التنفيذية'!$G$2:$G$421,$G599,'الشؤون التنفيذية'!$I$2:$I$421,$I599)+SUMIFS('الجهاز العسكري'!$M$2:$M$631,'الجهاز العسكري'!$B$2:$B$631,$B599,'الجهاز العسكري'!$G$2:$G$631,$G599,'الجهاز العسكري'!$I$2:$I$631,$I599))/$L599,0))</f>
        <v>94</v>
      </c>
      <c r="O599" s="25" t="n">
        <f aca="false">IF($L599=0,0,ROUND((SUMIFS('المرتبطة بسمو الوزير'!$N$2:$N$151,'المرتبطة بسمو الوزير'!$B$2:$B$151,$B599,'المرتبطة بسمو الوزير'!$G$2:$G$151,$G599,'المرتبطة بسمو الوزير'!$I$2:$I$151,$I599)+SUMIFS('الشؤون التنفيذية'!$O$2:$O$421,'الشؤون التنفيذية'!$B$2:$B$421,$B599,'الشؤون التنفيذية'!$G$2:$G$421,$G599,'الشؤون التنفيذية'!$I$2:$I$421,$I599)+SUMIFS('الجهاز العسكري'!$N$2:$N$631,'الجهاز العسكري'!$B$2:$B$631,$B599,'الجهاز العسكري'!$G$2:$G$631,$G599,'الجهاز العسكري'!$I$2:$I$631,$I599))/$L599,0))</f>
        <v>94</v>
      </c>
      <c r="P599" s="22"/>
      <c r="Q599" s="19" t="n">
        <f aca="false">SUMIFS(المرجع!$G$2:$G$19,المرجع!$B$2:$B$19,$G599,المرجع!$E$2:$E$19,$I599)</f>
        <v>20</v>
      </c>
      <c r="R599" s="26" t="n">
        <f aca="false">ROUND($Q599*$N599/100,2)</f>
        <v>18.8</v>
      </c>
      <c r="S599" s="27" t="str">
        <f aca="false">IF($N599&gt;المرجع!$K$3,"متقدم",IF($N599&lt;=المرجع!$K$2,"أولي","جزئي"))</f>
        <v>متقدم</v>
      </c>
      <c r="T599" s="28" t="n">
        <f aca="false">ROUND($Q599*$O599/100,2)</f>
        <v>18.8</v>
      </c>
    </row>
    <row r="600" customFormat="false" ht="15" hidden="false" customHeight="true" outlineLevel="0" collapsed="false">
      <c r="A600" s="20" t="s">
        <v>2052</v>
      </c>
      <c r="B600" s="20" t="s">
        <v>224</v>
      </c>
      <c r="C600" s="19" t="str">
        <f aca="false">IFERROR(INDEX('قائمة الوحدات'!$B$2:$B$41,MATCH($B600,'قائمة الوحدات'!$A$2:$A$41,0)),"")</f>
        <v>MIL</v>
      </c>
      <c r="D600" s="18" t="str">
        <f aca="false">IFERROR(INDEX('قائمة الوحدات'!$C$2:$C$41,MATCH($B600,'قائمة الوحدات'!$A$2:$A$41,0)),"")</f>
        <v>الجهاز العسكري</v>
      </c>
      <c r="E600" s="18" t="str">
        <f aca="false">IFERROR(INDEX('قائمة الوحدات'!$D$2:$D$41,MATCH($B600,'قائمة الوحدات'!$A$2:$A$41,0)),"")</f>
        <v>الإدارة العامة للتدريب والتأهيل العسكري</v>
      </c>
      <c r="F600" s="18" t="str">
        <f aca="false">IFERROR(INDEX('قائمة الوحدات'!$F$2:$F$41,MATCH($B600,'قائمة الوحدات'!$A$2:$A$41,0)),"")</f>
        <v>الإدارة العامة للتدريب والتأهيل العسكري</v>
      </c>
      <c r="G600" s="20" t="s">
        <v>44</v>
      </c>
      <c r="H600" s="18" t="str">
        <f aca="false">IFERROR(INDEX(المرجع!$A$2:$A$19,MATCH($G600,المرجع!$B$2:$B$19,0)),"")</f>
        <v>التصميم</v>
      </c>
      <c r="I600" s="20" t="s">
        <v>57</v>
      </c>
      <c r="J600" s="18" t="str">
        <f aca="false">IFERROR(INDEX(المرجع!$D$2:$D$19,MATCH($I600,المرجع!$E$2:$E$19,0)),"")</f>
        <v>الموارد</v>
      </c>
      <c r="K600" s="19" t="n">
        <f aca="false">IFERROR(INDEX(المرجع!$F$2:$F$19,MATCH($I600,المرجع!$E$2:$E$19,0)),"")</f>
        <v>5</v>
      </c>
      <c r="L600" s="19" t="n">
        <f aca="false">SUMIFS(المرجع!$H$2:$H$19,المرجع!$B$2:$B$19,$G600,المرجع!$E$2:$E$19,$I600)</f>
        <v>1</v>
      </c>
      <c r="M600" s="19" t="n">
        <f aca="false">COUNTIFS('المرتبطة بسمو الوزير'!$B$2:$B$151,$B600,'المرتبطة بسمو الوزير'!$G$2:$G$151,$G600,'المرتبطة بسمو الوزير'!$I$2:$I$151,$I600,'المرتبطة بسمو الوزير'!$M$2:$M$151,"&lt;&gt;")+COUNTIFS('الشؤون التنفيذية'!$B$2:$B$421,$B600,'الشؤون التنفيذية'!$G$2:$G$421,$G600,'الشؤون التنفيذية'!$I$2:$I$421,$I600,'الشؤون التنفيذية'!$N$2:$N$421,"&lt;&gt;")+COUNTIFS('الجهاز العسكري'!$B$2:$B$631,$B600,'الجهاز العسكري'!$G$2:$G$631,$G600,'الجهاز العسكري'!$I$2:$I$631,$I600,'الجهاز العسكري'!$M$2:$M$631,"&lt;&gt;")</f>
        <v>1</v>
      </c>
      <c r="N600" s="24" t="n">
        <f aca="false">IF($L600=0,0,ROUND((SUMIFS('المرتبطة بسمو الوزير'!$M$2:$M$151,'المرتبطة بسمو الوزير'!$B$2:$B$151,$B600,'المرتبطة بسمو الوزير'!$G$2:$G$151,$G600,'المرتبطة بسمو الوزير'!$I$2:$I$151,$I600)+SUMIFS('الشؤون التنفيذية'!$N$2:$N$421,'الشؤون التنفيذية'!$B$2:$B$421,$B600,'الشؤون التنفيذية'!$G$2:$G$421,$G600,'الشؤون التنفيذية'!$I$2:$I$421,$I600)+SUMIFS('الجهاز العسكري'!$M$2:$M$631,'الجهاز العسكري'!$B$2:$B$631,$B600,'الجهاز العسكري'!$G$2:$G$631,$G600,'الجهاز العسكري'!$I$2:$I$631,$I600))/$L600,0))</f>
        <v>95</v>
      </c>
      <c r="O600" s="25" t="n">
        <f aca="false">IF($L600=0,0,ROUND((SUMIFS('المرتبطة بسمو الوزير'!$N$2:$N$151,'المرتبطة بسمو الوزير'!$B$2:$B$151,$B600,'المرتبطة بسمو الوزير'!$G$2:$G$151,$G600,'المرتبطة بسمو الوزير'!$I$2:$I$151,$I600)+SUMIFS('الشؤون التنفيذية'!$O$2:$O$421,'الشؤون التنفيذية'!$B$2:$B$421,$B600,'الشؤون التنفيذية'!$G$2:$G$421,$G600,'الشؤون التنفيذية'!$I$2:$I$421,$I600)+SUMIFS('الجهاز العسكري'!$N$2:$N$631,'الجهاز العسكري'!$B$2:$B$631,$B600,'الجهاز العسكري'!$G$2:$G$631,$G600,'الجهاز العسكري'!$I$2:$I$631,$I600))/$L600,0))</f>
        <v>100</v>
      </c>
      <c r="P600" s="22"/>
      <c r="Q600" s="19" t="n">
        <f aca="false">SUMIFS(المرجع!$G$2:$G$19,المرجع!$B$2:$B$19,$G600,المرجع!$E$2:$E$19,$I600)</f>
        <v>20</v>
      </c>
      <c r="R600" s="26" t="n">
        <f aca="false">ROUND($Q600*$N600/100,2)</f>
        <v>19</v>
      </c>
      <c r="S600" s="27" t="str">
        <f aca="false">IF($N600&gt;المرجع!$K$3,"متقدم",IF($N600&lt;=المرجع!$K$2,"أولي","جزئي"))</f>
        <v>متقدم</v>
      </c>
      <c r="T600" s="28" t="n">
        <f aca="false">ROUND($Q600*$O600/100,2)</f>
        <v>20</v>
      </c>
    </row>
    <row r="601" customFormat="false" ht="15" hidden="false" customHeight="true" outlineLevel="0" collapsed="false">
      <c r="A601" s="20" t="s">
        <v>2053</v>
      </c>
      <c r="B601" s="20" t="s">
        <v>224</v>
      </c>
      <c r="C601" s="19" t="str">
        <f aca="false">IFERROR(INDEX('قائمة الوحدات'!$B$2:$B$41,MATCH($B601,'قائمة الوحدات'!$A$2:$A$41,0)),"")</f>
        <v>MIL</v>
      </c>
      <c r="D601" s="18" t="str">
        <f aca="false">IFERROR(INDEX('قائمة الوحدات'!$C$2:$C$41,MATCH($B601,'قائمة الوحدات'!$A$2:$A$41,0)),"")</f>
        <v>الجهاز العسكري</v>
      </c>
      <c r="E601" s="18" t="str">
        <f aca="false">IFERROR(INDEX('قائمة الوحدات'!$D$2:$D$41,MATCH($B601,'قائمة الوحدات'!$A$2:$A$41,0)),"")</f>
        <v>الإدارة العامة للتدريب والتأهيل العسكري</v>
      </c>
      <c r="F601" s="18" t="str">
        <f aca="false">IFERROR(INDEX('قائمة الوحدات'!$F$2:$F$41,MATCH($B601,'قائمة الوحدات'!$A$2:$A$41,0)),"")</f>
        <v>الإدارة العامة للتدريب والتأهيل العسكري</v>
      </c>
      <c r="G601" s="20" t="s">
        <v>44</v>
      </c>
      <c r="H601" s="18" t="str">
        <f aca="false">IFERROR(INDEX(المرجع!$A$2:$A$19,MATCH($G601,المرجع!$B$2:$B$19,0)),"")</f>
        <v>التصميم</v>
      </c>
      <c r="I601" s="20" t="s">
        <v>60</v>
      </c>
      <c r="J601" s="18" t="str">
        <f aca="false">IFERROR(INDEX(المرجع!$D$2:$D$19,MATCH($I601,المرجع!$E$2:$E$19,0)),"")</f>
        <v>الإجراءات</v>
      </c>
      <c r="K601" s="19" t="n">
        <f aca="false">IFERROR(INDEX(المرجع!$F$2:$F$19,MATCH($I601,المرجع!$E$2:$E$19,0)),"")</f>
        <v>6</v>
      </c>
      <c r="L601" s="19" t="n">
        <f aca="false">SUMIFS(المرجع!$H$2:$H$19,المرجع!$B$2:$B$19,$G601,المرجع!$E$2:$E$19,$I601)</f>
        <v>1</v>
      </c>
      <c r="M601" s="19" t="n">
        <f aca="false">COUNTIFS('المرتبطة بسمو الوزير'!$B$2:$B$151,$B601,'المرتبطة بسمو الوزير'!$G$2:$G$151,$G601,'المرتبطة بسمو الوزير'!$I$2:$I$151,$I601,'المرتبطة بسمو الوزير'!$M$2:$M$151,"&lt;&gt;")+COUNTIFS('الشؤون التنفيذية'!$B$2:$B$421,$B601,'الشؤون التنفيذية'!$G$2:$G$421,$G601,'الشؤون التنفيذية'!$I$2:$I$421,$I601,'الشؤون التنفيذية'!$N$2:$N$421,"&lt;&gt;")+COUNTIFS('الجهاز العسكري'!$B$2:$B$631,$B601,'الجهاز العسكري'!$G$2:$G$631,$G601,'الجهاز العسكري'!$I$2:$I$631,$I601,'الجهاز العسكري'!$M$2:$M$631,"&lt;&gt;")</f>
        <v>1</v>
      </c>
      <c r="N601" s="24" t="n">
        <f aca="false">IF($L601=0,0,ROUND((SUMIFS('المرتبطة بسمو الوزير'!$M$2:$M$151,'المرتبطة بسمو الوزير'!$B$2:$B$151,$B601,'المرتبطة بسمو الوزير'!$G$2:$G$151,$G601,'المرتبطة بسمو الوزير'!$I$2:$I$151,$I601)+SUMIFS('الشؤون التنفيذية'!$N$2:$N$421,'الشؤون التنفيذية'!$B$2:$B$421,$B601,'الشؤون التنفيذية'!$G$2:$G$421,$G601,'الشؤون التنفيذية'!$I$2:$I$421,$I601)+SUMIFS('الجهاز العسكري'!$M$2:$M$631,'الجهاز العسكري'!$B$2:$B$631,$B601,'الجهاز العسكري'!$G$2:$G$631,$G601,'الجهاز العسكري'!$I$2:$I$631,$I601))/$L601,0))</f>
        <v>97</v>
      </c>
      <c r="O601" s="25" t="n">
        <f aca="false">IF($L601=0,0,ROUND((SUMIFS('المرتبطة بسمو الوزير'!$N$2:$N$151,'المرتبطة بسمو الوزير'!$B$2:$B$151,$B601,'المرتبطة بسمو الوزير'!$G$2:$G$151,$G601,'المرتبطة بسمو الوزير'!$I$2:$I$151,$I601)+SUMIFS('الشؤون التنفيذية'!$O$2:$O$421,'الشؤون التنفيذية'!$B$2:$B$421,$B601,'الشؤون التنفيذية'!$G$2:$G$421,$G601,'الشؤون التنفيذية'!$I$2:$I$421,$I601)+SUMIFS('الجهاز العسكري'!$N$2:$N$631,'الجهاز العسكري'!$B$2:$B$631,$B601,'الجهاز العسكري'!$G$2:$G$631,$G601,'الجهاز العسكري'!$I$2:$I$631,$I601))/$L601,0))</f>
        <v>97</v>
      </c>
      <c r="P601" s="22"/>
      <c r="Q601" s="19" t="n">
        <f aca="false">SUMIFS(المرجع!$G$2:$G$19,المرجع!$B$2:$B$19,$G601,المرجع!$E$2:$E$19,$I601)</f>
        <v>5</v>
      </c>
      <c r="R601" s="26" t="n">
        <f aca="false">ROUND($Q601*$N601/100,2)</f>
        <v>4.85</v>
      </c>
      <c r="S601" s="27" t="str">
        <f aca="false">IF($N601&gt;المرجع!$K$3,"متقدم",IF($N601&lt;=المرجع!$K$2,"أولي","جزئي"))</f>
        <v>متقدم</v>
      </c>
      <c r="T601" s="28" t="n">
        <f aca="false">ROUND($Q601*$O601/100,2)</f>
        <v>4.85</v>
      </c>
    </row>
    <row r="602" customFormat="false" ht="15" hidden="false" customHeight="true" outlineLevel="0" collapsed="false">
      <c r="A602" s="20" t="s">
        <v>2054</v>
      </c>
      <c r="B602" s="20" t="s">
        <v>224</v>
      </c>
      <c r="C602" s="19" t="str">
        <f aca="false">IFERROR(INDEX('قائمة الوحدات'!$B$2:$B$41,MATCH($B602,'قائمة الوحدات'!$A$2:$A$41,0)),"")</f>
        <v>MIL</v>
      </c>
      <c r="D602" s="18" t="str">
        <f aca="false">IFERROR(INDEX('قائمة الوحدات'!$C$2:$C$41,MATCH($B602,'قائمة الوحدات'!$A$2:$A$41,0)),"")</f>
        <v>الجهاز العسكري</v>
      </c>
      <c r="E602" s="18" t="str">
        <f aca="false">IFERROR(INDEX('قائمة الوحدات'!$D$2:$D$41,MATCH($B602,'قائمة الوحدات'!$A$2:$A$41,0)),"")</f>
        <v>الإدارة العامة للتدريب والتأهيل العسكري</v>
      </c>
      <c r="F602" s="18" t="str">
        <f aca="false">IFERROR(INDEX('قائمة الوحدات'!$F$2:$F$41,MATCH($B602,'قائمة الوحدات'!$A$2:$A$41,0)),"")</f>
        <v>الإدارة العامة للتدريب والتأهيل العسكري</v>
      </c>
      <c r="G602" s="20" t="s">
        <v>62</v>
      </c>
      <c r="H602" s="18" t="str">
        <f aca="false">IFERROR(INDEX(المرجع!$A$2:$A$19,MATCH($G602,المرجع!$B$2:$B$19,0)),"")</f>
        <v>البناء المؤسسي</v>
      </c>
      <c r="I602" s="20" t="s">
        <v>46</v>
      </c>
      <c r="J602" s="18" t="str">
        <f aca="false">IFERROR(INDEX(المرجع!$D$2:$D$19,MATCH($I602,المرجع!$E$2:$E$19,0)),"")</f>
        <v>الدور</v>
      </c>
      <c r="K602" s="19" t="n">
        <f aca="false">IFERROR(INDEX(المرجع!$F$2:$F$19,MATCH($I602,المرجع!$E$2:$E$19,0)),"")</f>
        <v>1</v>
      </c>
      <c r="L602" s="19" t="n">
        <f aca="false">SUMIFS(المرجع!$H$2:$H$19,المرجع!$B$2:$B$19,$G602,المرجع!$E$2:$E$19,$I602)</f>
        <v>1</v>
      </c>
      <c r="M602" s="19" t="n">
        <f aca="false">COUNTIFS('المرتبطة بسمو الوزير'!$B$2:$B$151,$B602,'المرتبطة بسمو الوزير'!$G$2:$G$151,$G602,'المرتبطة بسمو الوزير'!$I$2:$I$151,$I602,'المرتبطة بسمو الوزير'!$M$2:$M$151,"&lt;&gt;")+COUNTIFS('الشؤون التنفيذية'!$B$2:$B$421,$B602,'الشؤون التنفيذية'!$G$2:$G$421,$G602,'الشؤون التنفيذية'!$I$2:$I$421,$I602,'الشؤون التنفيذية'!$N$2:$N$421,"&lt;&gt;")+COUNTIFS('الجهاز العسكري'!$B$2:$B$631,$B602,'الجهاز العسكري'!$G$2:$G$631,$G602,'الجهاز العسكري'!$I$2:$I$631,$I602,'الجهاز العسكري'!$M$2:$M$631,"&lt;&gt;")</f>
        <v>1</v>
      </c>
      <c r="N602" s="24" t="n">
        <f aca="false">IF($L602=0,0,ROUND((SUMIFS('المرتبطة بسمو الوزير'!$M$2:$M$151,'المرتبطة بسمو الوزير'!$B$2:$B$151,$B602,'المرتبطة بسمو الوزير'!$G$2:$G$151,$G602,'المرتبطة بسمو الوزير'!$I$2:$I$151,$I602)+SUMIFS('الشؤون التنفيذية'!$N$2:$N$421,'الشؤون التنفيذية'!$B$2:$B$421,$B602,'الشؤون التنفيذية'!$G$2:$G$421,$G602,'الشؤون التنفيذية'!$I$2:$I$421,$I602)+SUMIFS('الجهاز العسكري'!$M$2:$M$631,'الجهاز العسكري'!$B$2:$B$631,$B602,'الجهاز العسكري'!$G$2:$G$631,$G602,'الجهاز العسكري'!$I$2:$I$631,$I602))/$L602,0))</f>
        <v>80</v>
      </c>
      <c r="O602" s="25" t="n">
        <f aca="false">IF($L602=0,0,ROUND((SUMIFS('المرتبطة بسمو الوزير'!$N$2:$N$151,'المرتبطة بسمو الوزير'!$B$2:$B$151,$B602,'المرتبطة بسمو الوزير'!$G$2:$G$151,$G602,'المرتبطة بسمو الوزير'!$I$2:$I$151,$I602)+SUMIFS('الشؤون التنفيذية'!$O$2:$O$421,'الشؤون التنفيذية'!$B$2:$B$421,$B602,'الشؤون التنفيذية'!$G$2:$G$421,$G602,'الشؤون التنفيذية'!$I$2:$I$421,$I602)+SUMIFS('الجهاز العسكري'!$N$2:$N$631,'الجهاز العسكري'!$B$2:$B$631,$B602,'الجهاز العسكري'!$G$2:$G$631,$G602,'الجهاز العسكري'!$I$2:$I$631,$I602))/$L602,0))</f>
        <v>80</v>
      </c>
      <c r="P602" s="22"/>
      <c r="Q602" s="19" t="n">
        <f aca="false">SUMIFS(المرجع!$G$2:$G$19,المرجع!$B$2:$B$19,$G602,المرجع!$E$2:$E$19,$I602)</f>
        <v>15</v>
      </c>
      <c r="R602" s="26" t="n">
        <f aca="false">ROUND($Q602*$N602/100,2)</f>
        <v>12</v>
      </c>
      <c r="S602" s="27" t="str">
        <f aca="false">IF($N602&gt;المرجع!$K$3,"متقدم",IF($N602&lt;=المرجع!$K$2,"أولي","جزئي"))</f>
        <v>متقدم</v>
      </c>
      <c r="T602" s="28" t="n">
        <f aca="false">ROUND($Q602*$O602/100,2)</f>
        <v>12</v>
      </c>
    </row>
    <row r="603" customFormat="false" ht="15" hidden="false" customHeight="true" outlineLevel="0" collapsed="false">
      <c r="A603" s="20" t="s">
        <v>2055</v>
      </c>
      <c r="B603" s="20" t="s">
        <v>224</v>
      </c>
      <c r="C603" s="19" t="str">
        <f aca="false">IFERROR(INDEX('قائمة الوحدات'!$B$2:$B$41,MATCH($B603,'قائمة الوحدات'!$A$2:$A$41,0)),"")</f>
        <v>MIL</v>
      </c>
      <c r="D603" s="18" t="str">
        <f aca="false">IFERROR(INDEX('قائمة الوحدات'!$C$2:$C$41,MATCH($B603,'قائمة الوحدات'!$A$2:$A$41,0)),"")</f>
        <v>الجهاز العسكري</v>
      </c>
      <c r="E603" s="18" t="str">
        <f aca="false">IFERROR(INDEX('قائمة الوحدات'!$D$2:$D$41,MATCH($B603,'قائمة الوحدات'!$A$2:$A$41,0)),"")</f>
        <v>الإدارة العامة للتدريب والتأهيل العسكري</v>
      </c>
      <c r="F603" s="18" t="str">
        <f aca="false">IFERROR(INDEX('قائمة الوحدات'!$F$2:$F$41,MATCH($B603,'قائمة الوحدات'!$A$2:$A$41,0)),"")</f>
        <v>الإدارة العامة للتدريب والتأهيل العسكري</v>
      </c>
      <c r="G603" s="20" t="s">
        <v>62</v>
      </c>
      <c r="H603" s="18" t="str">
        <f aca="false">IFERROR(INDEX(المرجع!$A$2:$A$19,MATCH($G603,المرجع!$B$2:$B$19,0)),"")</f>
        <v>البناء المؤسسي</v>
      </c>
      <c r="I603" s="20" t="s">
        <v>49</v>
      </c>
      <c r="J603" s="18" t="str">
        <f aca="false">IFERROR(INDEX(المرجع!$D$2:$D$19,MATCH($I603,المرجع!$E$2:$E$19,0)),"")</f>
        <v>الأهداف ومؤشرات الأداء</v>
      </c>
      <c r="K603" s="19" t="n">
        <f aca="false">IFERROR(INDEX(المرجع!$F$2:$F$19,MATCH($I603,المرجع!$E$2:$E$19,0)),"")</f>
        <v>2</v>
      </c>
      <c r="L603" s="19" t="n">
        <f aca="false">SUMIFS(المرجع!$H$2:$H$19,المرجع!$B$2:$B$19,$G603,المرجع!$E$2:$E$19,$I603)</f>
        <v>2</v>
      </c>
      <c r="M603" s="19" t="n">
        <f aca="false">COUNTIFS('المرتبطة بسمو الوزير'!$B$2:$B$151,$B603,'المرتبطة بسمو الوزير'!$G$2:$G$151,$G603,'المرتبطة بسمو الوزير'!$I$2:$I$151,$I603,'المرتبطة بسمو الوزير'!$M$2:$M$151,"&lt;&gt;")+COUNTIFS('الشؤون التنفيذية'!$B$2:$B$421,$B603,'الشؤون التنفيذية'!$G$2:$G$421,$G603,'الشؤون التنفيذية'!$I$2:$I$421,$I603,'الشؤون التنفيذية'!$N$2:$N$421,"&lt;&gt;")+COUNTIFS('الجهاز العسكري'!$B$2:$B$631,$B603,'الجهاز العسكري'!$G$2:$G$631,$G603,'الجهاز العسكري'!$I$2:$I$631,$I603,'الجهاز العسكري'!$M$2:$M$631,"&lt;&gt;")</f>
        <v>2</v>
      </c>
      <c r="N603" s="24" t="n">
        <f aca="false">IF($L603=0,0,ROUND((SUMIFS('المرتبطة بسمو الوزير'!$M$2:$M$151,'المرتبطة بسمو الوزير'!$B$2:$B$151,$B603,'المرتبطة بسمو الوزير'!$G$2:$G$151,$G603,'المرتبطة بسمو الوزير'!$I$2:$I$151,$I603)+SUMIFS('الشؤون التنفيذية'!$N$2:$N$421,'الشؤون التنفيذية'!$B$2:$B$421,$B603,'الشؤون التنفيذية'!$G$2:$G$421,$G603,'الشؤون التنفيذية'!$I$2:$I$421,$I603)+SUMIFS('الجهاز العسكري'!$M$2:$M$631,'الجهاز العسكري'!$B$2:$B$631,$B603,'الجهاز العسكري'!$G$2:$G$631,$G603,'الجهاز العسكري'!$I$2:$I$631,$I603))/$L603,0))</f>
        <v>63</v>
      </c>
      <c r="O603" s="25" t="n">
        <f aca="false">IF($L603=0,0,ROUND((SUMIFS('المرتبطة بسمو الوزير'!$N$2:$N$151,'المرتبطة بسمو الوزير'!$B$2:$B$151,$B603,'المرتبطة بسمو الوزير'!$G$2:$G$151,$G603,'المرتبطة بسمو الوزير'!$I$2:$I$151,$I603)+SUMIFS('الشؤون التنفيذية'!$O$2:$O$421,'الشؤون التنفيذية'!$B$2:$B$421,$B603,'الشؤون التنفيذية'!$G$2:$G$421,$G603,'الشؤون التنفيذية'!$I$2:$I$421,$I603)+SUMIFS('الجهاز العسكري'!$N$2:$N$631,'الجهاز العسكري'!$B$2:$B$631,$B603,'الجهاز العسكري'!$G$2:$G$631,$G603,'الجهاز العسكري'!$I$2:$I$631,$I603))/$L603,0))</f>
        <v>100</v>
      </c>
      <c r="P603" s="22"/>
      <c r="Q603" s="19" t="n">
        <f aca="false">SUMIFS(المرجع!$G$2:$G$19,المرجع!$B$2:$B$19,$G603,المرجع!$E$2:$E$19,$I603)</f>
        <v>15</v>
      </c>
      <c r="R603" s="26" t="n">
        <f aca="false">ROUND($Q603*$N603/100,2)</f>
        <v>9.45</v>
      </c>
      <c r="S603" s="27" t="str">
        <f aca="false">IF($N603&gt;المرجع!$K$3,"متقدم",IF($N603&lt;=المرجع!$K$2,"أولي","جزئي"))</f>
        <v>جزئي</v>
      </c>
      <c r="T603" s="28" t="n">
        <f aca="false">ROUND($Q603*$O603/100,2)</f>
        <v>15</v>
      </c>
    </row>
    <row r="604" customFormat="false" ht="15" hidden="false" customHeight="true" outlineLevel="0" collapsed="false">
      <c r="A604" s="20" t="s">
        <v>2056</v>
      </c>
      <c r="B604" s="20" t="s">
        <v>224</v>
      </c>
      <c r="C604" s="19" t="str">
        <f aca="false">IFERROR(INDEX('قائمة الوحدات'!$B$2:$B$41,MATCH($B604,'قائمة الوحدات'!$A$2:$A$41,0)),"")</f>
        <v>MIL</v>
      </c>
      <c r="D604" s="18" t="str">
        <f aca="false">IFERROR(INDEX('قائمة الوحدات'!$C$2:$C$41,MATCH($B604,'قائمة الوحدات'!$A$2:$A$41,0)),"")</f>
        <v>الجهاز العسكري</v>
      </c>
      <c r="E604" s="18" t="str">
        <f aca="false">IFERROR(INDEX('قائمة الوحدات'!$D$2:$D$41,MATCH($B604,'قائمة الوحدات'!$A$2:$A$41,0)),"")</f>
        <v>الإدارة العامة للتدريب والتأهيل العسكري</v>
      </c>
      <c r="F604" s="18" t="str">
        <f aca="false">IFERROR(INDEX('قائمة الوحدات'!$F$2:$F$41,MATCH($B604,'قائمة الوحدات'!$A$2:$A$41,0)),"")</f>
        <v>الإدارة العامة للتدريب والتأهيل العسكري</v>
      </c>
      <c r="G604" s="20" t="s">
        <v>62</v>
      </c>
      <c r="H604" s="18" t="str">
        <f aca="false">IFERROR(INDEX(المرجع!$A$2:$A$19,MATCH($G604,المرجع!$B$2:$B$19,0)),"")</f>
        <v>البناء المؤسسي</v>
      </c>
      <c r="I604" s="20" t="s">
        <v>52</v>
      </c>
      <c r="J604" s="18" t="str">
        <f aca="false">IFERROR(INDEX(المرجع!$D$2:$D$19,MATCH($I604,المرجع!$E$2:$E$19,0)),"")</f>
        <v>الحوكمة</v>
      </c>
      <c r="K604" s="19" t="n">
        <f aca="false">IFERROR(INDEX(المرجع!$F$2:$F$19,MATCH($I604,المرجع!$E$2:$E$19,0)),"")</f>
        <v>3</v>
      </c>
      <c r="L604" s="19" t="n">
        <f aca="false">SUMIFS(المرجع!$H$2:$H$19,المرجع!$B$2:$B$19,$G604,المرجع!$E$2:$E$19,$I604)</f>
        <v>3</v>
      </c>
      <c r="M604" s="19" t="n">
        <f aca="false">COUNTIFS('المرتبطة بسمو الوزير'!$B$2:$B$151,$B604,'المرتبطة بسمو الوزير'!$G$2:$G$151,$G604,'المرتبطة بسمو الوزير'!$I$2:$I$151,$I604,'المرتبطة بسمو الوزير'!$M$2:$M$151,"&lt;&gt;")+COUNTIFS('الشؤون التنفيذية'!$B$2:$B$421,$B604,'الشؤون التنفيذية'!$G$2:$G$421,$G604,'الشؤون التنفيذية'!$I$2:$I$421,$I604,'الشؤون التنفيذية'!$N$2:$N$421,"&lt;&gt;")+COUNTIFS('الجهاز العسكري'!$B$2:$B$631,$B604,'الجهاز العسكري'!$G$2:$G$631,$G604,'الجهاز العسكري'!$I$2:$I$631,$I604,'الجهاز العسكري'!$M$2:$M$631,"&lt;&gt;")</f>
        <v>3</v>
      </c>
      <c r="N604" s="24" t="n">
        <f aca="false">IF($L604=0,0,ROUND((SUMIFS('المرتبطة بسمو الوزير'!$M$2:$M$151,'المرتبطة بسمو الوزير'!$B$2:$B$151,$B604,'المرتبطة بسمو الوزير'!$G$2:$G$151,$G604,'المرتبطة بسمو الوزير'!$I$2:$I$151,$I604)+SUMIFS('الشؤون التنفيذية'!$N$2:$N$421,'الشؤون التنفيذية'!$B$2:$B$421,$B604,'الشؤون التنفيذية'!$G$2:$G$421,$G604,'الشؤون التنفيذية'!$I$2:$I$421,$I604)+SUMIFS('الجهاز العسكري'!$M$2:$M$631,'الجهاز العسكري'!$B$2:$B$631,$B604,'الجهاز العسكري'!$G$2:$G$631,$G604,'الجهاز العسكري'!$I$2:$I$631,$I604))/$L604,0))</f>
        <v>60</v>
      </c>
      <c r="O604" s="25" t="n">
        <f aca="false">IF($L604=0,0,ROUND((SUMIFS('المرتبطة بسمو الوزير'!$N$2:$N$151,'المرتبطة بسمو الوزير'!$B$2:$B$151,$B604,'المرتبطة بسمو الوزير'!$G$2:$G$151,$G604,'المرتبطة بسمو الوزير'!$I$2:$I$151,$I604)+SUMIFS('الشؤون التنفيذية'!$O$2:$O$421,'الشؤون التنفيذية'!$B$2:$B$421,$B604,'الشؤون التنفيذية'!$G$2:$G$421,$G604,'الشؤون التنفيذية'!$I$2:$I$421,$I604)+SUMIFS('الجهاز العسكري'!$N$2:$N$631,'الجهاز العسكري'!$B$2:$B$631,$B604,'الجهاز العسكري'!$G$2:$G$631,$G604,'الجهاز العسكري'!$I$2:$I$631,$I604))/$L604,0))</f>
        <v>98</v>
      </c>
      <c r="P604" s="22"/>
      <c r="Q604" s="19" t="n">
        <f aca="false">SUMIFS(المرجع!$G$2:$G$19,المرجع!$B$2:$B$19,$G604,المرجع!$E$2:$E$19,$I604)</f>
        <v>15</v>
      </c>
      <c r="R604" s="26" t="n">
        <f aca="false">ROUND($Q604*$N604/100,2)</f>
        <v>9</v>
      </c>
      <c r="S604" s="27" t="str">
        <f aca="false">IF($N604&gt;المرجع!$K$3,"متقدم",IF($N604&lt;=المرجع!$K$2,"أولي","جزئي"))</f>
        <v>جزئي</v>
      </c>
      <c r="T604" s="28" t="n">
        <f aca="false">ROUND($Q604*$O604/100,2)</f>
        <v>14.7</v>
      </c>
    </row>
    <row r="605" customFormat="false" ht="15" hidden="false" customHeight="true" outlineLevel="0" collapsed="false">
      <c r="A605" s="20" t="s">
        <v>2057</v>
      </c>
      <c r="B605" s="20" t="s">
        <v>224</v>
      </c>
      <c r="C605" s="19" t="str">
        <f aca="false">IFERROR(INDEX('قائمة الوحدات'!$B$2:$B$41,MATCH($B605,'قائمة الوحدات'!$A$2:$A$41,0)),"")</f>
        <v>MIL</v>
      </c>
      <c r="D605" s="18" t="str">
        <f aca="false">IFERROR(INDEX('قائمة الوحدات'!$C$2:$C$41,MATCH($B605,'قائمة الوحدات'!$A$2:$A$41,0)),"")</f>
        <v>الجهاز العسكري</v>
      </c>
      <c r="E605" s="18" t="str">
        <f aca="false">IFERROR(INDEX('قائمة الوحدات'!$D$2:$D$41,MATCH($B605,'قائمة الوحدات'!$A$2:$A$41,0)),"")</f>
        <v>الإدارة العامة للتدريب والتأهيل العسكري</v>
      </c>
      <c r="F605" s="18" t="str">
        <f aca="false">IFERROR(INDEX('قائمة الوحدات'!$F$2:$F$41,MATCH($B605,'قائمة الوحدات'!$A$2:$A$41,0)),"")</f>
        <v>الإدارة العامة للتدريب والتأهيل العسكري</v>
      </c>
      <c r="G605" s="20" t="s">
        <v>62</v>
      </c>
      <c r="H605" s="18" t="str">
        <f aca="false">IFERROR(INDEX(المرجع!$A$2:$A$19,MATCH($G605,المرجع!$B$2:$B$19,0)),"")</f>
        <v>البناء المؤسسي</v>
      </c>
      <c r="I605" s="20" t="s">
        <v>55</v>
      </c>
      <c r="J605" s="18" t="str">
        <f aca="false">IFERROR(INDEX(المرجع!$D$2:$D$19,MATCH($I605,المرجع!$E$2:$E$19,0)),"")</f>
        <v>التنظيم</v>
      </c>
      <c r="K605" s="19" t="n">
        <f aca="false">IFERROR(INDEX(المرجع!$F$2:$F$19,MATCH($I605,المرجع!$E$2:$E$19,0)),"")</f>
        <v>4</v>
      </c>
      <c r="L605" s="19" t="n">
        <f aca="false">SUMIFS(المرجع!$H$2:$H$19,المرجع!$B$2:$B$19,$G605,المرجع!$E$2:$E$19,$I605)</f>
        <v>3</v>
      </c>
      <c r="M605" s="19" t="n">
        <f aca="false">COUNTIFS('المرتبطة بسمو الوزير'!$B$2:$B$151,$B605,'المرتبطة بسمو الوزير'!$G$2:$G$151,$G605,'المرتبطة بسمو الوزير'!$I$2:$I$151,$I605,'المرتبطة بسمو الوزير'!$M$2:$M$151,"&lt;&gt;")+COUNTIFS('الشؤون التنفيذية'!$B$2:$B$421,$B605,'الشؤون التنفيذية'!$G$2:$G$421,$G605,'الشؤون التنفيذية'!$I$2:$I$421,$I605,'الشؤون التنفيذية'!$N$2:$N$421,"&lt;&gt;")+COUNTIFS('الجهاز العسكري'!$B$2:$B$631,$B605,'الجهاز العسكري'!$G$2:$G$631,$G605,'الجهاز العسكري'!$I$2:$I$631,$I605,'الجهاز العسكري'!$M$2:$M$631,"&lt;&gt;")</f>
        <v>3</v>
      </c>
      <c r="N605" s="24" t="n">
        <f aca="false">IF($L605=0,0,ROUND((SUMIFS('المرتبطة بسمو الوزير'!$M$2:$M$151,'المرتبطة بسمو الوزير'!$B$2:$B$151,$B605,'المرتبطة بسمو الوزير'!$G$2:$G$151,$G605,'المرتبطة بسمو الوزير'!$I$2:$I$151,$I605)+SUMIFS('الشؤون التنفيذية'!$N$2:$N$421,'الشؤون التنفيذية'!$B$2:$B$421,$B605,'الشؤون التنفيذية'!$G$2:$G$421,$G605,'الشؤون التنفيذية'!$I$2:$I$421,$I605)+SUMIFS('الجهاز العسكري'!$M$2:$M$631,'الجهاز العسكري'!$B$2:$B$631,$B605,'الجهاز العسكري'!$G$2:$G$631,$G605,'الجهاز العسكري'!$I$2:$I$631,$I605))/$L605,0))</f>
        <v>80</v>
      </c>
      <c r="O605" s="25" t="n">
        <f aca="false">IF($L605=0,0,ROUND((SUMIFS('المرتبطة بسمو الوزير'!$N$2:$N$151,'المرتبطة بسمو الوزير'!$B$2:$B$151,$B605,'المرتبطة بسمو الوزير'!$G$2:$G$151,$G605,'المرتبطة بسمو الوزير'!$I$2:$I$151,$I605)+SUMIFS('الشؤون التنفيذية'!$O$2:$O$421,'الشؤون التنفيذية'!$B$2:$B$421,$B605,'الشؤون التنفيذية'!$G$2:$G$421,$G605,'الشؤون التنفيذية'!$I$2:$I$421,$I605)+SUMIFS('الجهاز العسكري'!$N$2:$N$631,'الجهاز العسكري'!$B$2:$B$631,$B605,'الجهاز العسكري'!$G$2:$G$631,$G605,'الجهاز العسكري'!$I$2:$I$631,$I605))/$L605,0))</f>
        <v>95</v>
      </c>
      <c r="P605" s="22"/>
      <c r="Q605" s="19" t="n">
        <f aca="false">SUMIFS(المرجع!$G$2:$G$19,المرجع!$B$2:$B$19,$G605,المرجع!$E$2:$E$19,$I605)</f>
        <v>20</v>
      </c>
      <c r="R605" s="26" t="n">
        <f aca="false">ROUND($Q605*$N605/100,2)</f>
        <v>16</v>
      </c>
      <c r="S605" s="27" t="str">
        <f aca="false">IF($N605&gt;المرجع!$K$3,"متقدم",IF($N605&lt;=المرجع!$K$2,"أولي","جزئي"))</f>
        <v>متقدم</v>
      </c>
      <c r="T605" s="28" t="n">
        <f aca="false">ROUND($Q605*$O605/100,2)</f>
        <v>19</v>
      </c>
    </row>
    <row r="606" customFormat="false" ht="15" hidden="false" customHeight="true" outlineLevel="0" collapsed="false">
      <c r="A606" s="20" t="s">
        <v>2058</v>
      </c>
      <c r="B606" s="20" t="s">
        <v>224</v>
      </c>
      <c r="C606" s="19" t="str">
        <f aca="false">IFERROR(INDEX('قائمة الوحدات'!$B$2:$B$41,MATCH($B606,'قائمة الوحدات'!$A$2:$A$41,0)),"")</f>
        <v>MIL</v>
      </c>
      <c r="D606" s="18" t="str">
        <f aca="false">IFERROR(INDEX('قائمة الوحدات'!$C$2:$C$41,MATCH($B606,'قائمة الوحدات'!$A$2:$A$41,0)),"")</f>
        <v>الجهاز العسكري</v>
      </c>
      <c r="E606" s="18" t="str">
        <f aca="false">IFERROR(INDEX('قائمة الوحدات'!$D$2:$D$41,MATCH($B606,'قائمة الوحدات'!$A$2:$A$41,0)),"")</f>
        <v>الإدارة العامة للتدريب والتأهيل العسكري</v>
      </c>
      <c r="F606" s="18" t="str">
        <f aca="false">IFERROR(INDEX('قائمة الوحدات'!$F$2:$F$41,MATCH($B606,'قائمة الوحدات'!$A$2:$A$41,0)),"")</f>
        <v>الإدارة العامة للتدريب والتأهيل العسكري</v>
      </c>
      <c r="G606" s="20" t="s">
        <v>62</v>
      </c>
      <c r="H606" s="18" t="str">
        <f aca="false">IFERROR(INDEX(المرجع!$A$2:$A$19,MATCH($G606,المرجع!$B$2:$B$19,0)),"")</f>
        <v>البناء المؤسسي</v>
      </c>
      <c r="I606" s="20" t="s">
        <v>57</v>
      </c>
      <c r="J606" s="18" t="str">
        <f aca="false">IFERROR(INDEX(المرجع!$D$2:$D$19,MATCH($I606,المرجع!$E$2:$E$19,0)),"")</f>
        <v>الموارد</v>
      </c>
      <c r="K606" s="19" t="n">
        <f aca="false">IFERROR(INDEX(المرجع!$F$2:$F$19,MATCH($I606,المرجع!$E$2:$E$19,0)),"")</f>
        <v>5</v>
      </c>
      <c r="L606" s="19" t="n">
        <f aca="false">SUMIFS(المرجع!$H$2:$H$19,المرجع!$B$2:$B$19,$G606,المرجع!$E$2:$E$19,$I606)</f>
        <v>4</v>
      </c>
      <c r="M606" s="19" t="n">
        <f aca="false">COUNTIFS('المرتبطة بسمو الوزير'!$B$2:$B$151,$B606,'المرتبطة بسمو الوزير'!$G$2:$G$151,$G606,'المرتبطة بسمو الوزير'!$I$2:$I$151,$I606,'المرتبطة بسمو الوزير'!$M$2:$M$151,"&lt;&gt;")+COUNTIFS('الشؤون التنفيذية'!$B$2:$B$421,$B606,'الشؤون التنفيذية'!$G$2:$G$421,$G606,'الشؤون التنفيذية'!$I$2:$I$421,$I606,'الشؤون التنفيذية'!$N$2:$N$421,"&lt;&gt;")+COUNTIFS('الجهاز العسكري'!$B$2:$B$631,$B606,'الجهاز العسكري'!$G$2:$G$631,$G606,'الجهاز العسكري'!$I$2:$I$631,$I606,'الجهاز العسكري'!$M$2:$M$631,"&lt;&gt;")</f>
        <v>4</v>
      </c>
      <c r="N606" s="24" t="n">
        <f aca="false">IF($L606=0,0,ROUND((SUMIFS('المرتبطة بسمو الوزير'!$M$2:$M$151,'المرتبطة بسمو الوزير'!$B$2:$B$151,$B606,'المرتبطة بسمو الوزير'!$G$2:$G$151,$G606,'المرتبطة بسمو الوزير'!$I$2:$I$151,$I606)+SUMIFS('الشؤون التنفيذية'!$N$2:$N$421,'الشؤون التنفيذية'!$B$2:$B$421,$B606,'الشؤون التنفيذية'!$G$2:$G$421,$G606,'الشؤون التنفيذية'!$I$2:$I$421,$I606)+SUMIFS('الجهاز العسكري'!$M$2:$M$631,'الجهاز العسكري'!$B$2:$B$631,$B606,'الجهاز العسكري'!$G$2:$G$631,$G606,'الجهاز العسكري'!$I$2:$I$631,$I606))/$L606,0))</f>
        <v>74</v>
      </c>
      <c r="O606" s="25" t="n">
        <f aca="false">IF($L606=0,0,ROUND((SUMIFS('المرتبطة بسمو الوزير'!$N$2:$N$151,'المرتبطة بسمو الوزير'!$B$2:$B$151,$B606,'المرتبطة بسمو الوزير'!$G$2:$G$151,$G606,'المرتبطة بسمو الوزير'!$I$2:$I$151,$I606)+SUMIFS('الشؤون التنفيذية'!$O$2:$O$421,'الشؤون التنفيذية'!$B$2:$B$421,$B606,'الشؤون التنفيذية'!$G$2:$G$421,$G606,'الشؤون التنفيذية'!$I$2:$I$421,$I606)+SUMIFS('الجهاز العسكري'!$N$2:$N$631,'الجهاز العسكري'!$B$2:$B$631,$B606,'الجهاز العسكري'!$G$2:$G$631,$G606,'الجهاز العسكري'!$I$2:$I$631,$I606))/$L606,0))</f>
        <v>89</v>
      </c>
      <c r="P606" s="22"/>
      <c r="Q606" s="19" t="n">
        <f aca="false">SUMIFS(المرجع!$G$2:$G$19,المرجع!$B$2:$B$19,$G606,المرجع!$E$2:$E$19,$I606)</f>
        <v>25</v>
      </c>
      <c r="R606" s="26" t="n">
        <f aca="false">ROUND($Q606*$N606/100,2)</f>
        <v>18.5</v>
      </c>
      <c r="S606" s="27" t="str">
        <f aca="false">IF($N606&gt;المرجع!$K$3,"متقدم",IF($N606&lt;=المرجع!$K$2,"أولي","جزئي"))</f>
        <v>متقدم</v>
      </c>
      <c r="T606" s="28" t="n">
        <f aca="false">ROUND($Q606*$O606/100,2)</f>
        <v>22.25</v>
      </c>
    </row>
    <row r="607" customFormat="false" ht="15" hidden="false" customHeight="true" outlineLevel="0" collapsed="false">
      <c r="A607" s="20" t="s">
        <v>2059</v>
      </c>
      <c r="B607" s="20" t="s">
        <v>224</v>
      </c>
      <c r="C607" s="19" t="str">
        <f aca="false">IFERROR(INDEX('قائمة الوحدات'!$B$2:$B$41,MATCH($B607,'قائمة الوحدات'!$A$2:$A$41,0)),"")</f>
        <v>MIL</v>
      </c>
      <c r="D607" s="18" t="str">
        <f aca="false">IFERROR(INDEX('قائمة الوحدات'!$C$2:$C$41,MATCH($B607,'قائمة الوحدات'!$A$2:$A$41,0)),"")</f>
        <v>الجهاز العسكري</v>
      </c>
      <c r="E607" s="18" t="str">
        <f aca="false">IFERROR(INDEX('قائمة الوحدات'!$D$2:$D$41,MATCH($B607,'قائمة الوحدات'!$A$2:$A$41,0)),"")</f>
        <v>الإدارة العامة للتدريب والتأهيل العسكري</v>
      </c>
      <c r="F607" s="18" t="str">
        <f aca="false">IFERROR(INDEX('قائمة الوحدات'!$F$2:$F$41,MATCH($B607,'قائمة الوحدات'!$A$2:$A$41,0)),"")</f>
        <v>الإدارة العامة للتدريب والتأهيل العسكري</v>
      </c>
      <c r="G607" s="20" t="s">
        <v>62</v>
      </c>
      <c r="H607" s="18" t="str">
        <f aca="false">IFERROR(INDEX(المرجع!$A$2:$A$19,MATCH($G607,المرجع!$B$2:$B$19,0)),"")</f>
        <v>البناء المؤسسي</v>
      </c>
      <c r="I607" s="20" t="s">
        <v>60</v>
      </c>
      <c r="J607" s="18" t="str">
        <f aca="false">IFERROR(INDEX(المرجع!$D$2:$D$19,MATCH($I607,المرجع!$E$2:$E$19,0)),"")</f>
        <v>الإجراءات</v>
      </c>
      <c r="K607" s="19" t="n">
        <f aca="false">IFERROR(INDEX(المرجع!$F$2:$F$19,MATCH($I607,المرجع!$E$2:$E$19,0)),"")</f>
        <v>6</v>
      </c>
      <c r="L607" s="19" t="n">
        <f aca="false">SUMIFS(المرجع!$H$2:$H$19,المرجع!$B$2:$B$19,$G607,المرجع!$E$2:$E$19,$I607)</f>
        <v>1</v>
      </c>
      <c r="M607" s="19" t="n">
        <f aca="false">COUNTIFS('المرتبطة بسمو الوزير'!$B$2:$B$151,$B607,'المرتبطة بسمو الوزير'!$G$2:$G$151,$G607,'المرتبطة بسمو الوزير'!$I$2:$I$151,$I607,'المرتبطة بسمو الوزير'!$M$2:$M$151,"&lt;&gt;")+COUNTIFS('الشؤون التنفيذية'!$B$2:$B$421,$B607,'الشؤون التنفيذية'!$G$2:$G$421,$G607,'الشؤون التنفيذية'!$I$2:$I$421,$I607,'الشؤون التنفيذية'!$N$2:$N$421,"&lt;&gt;")+COUNTIFS('الجهاز العسكري'!$B$2:$B$631,$B607,'الجهاز العسكري'!$G$2:$G$631,$G607,'الجهاز العسكري'!$I$2:$I$631,$I607,'الجهاز العسكري'!$M$2:$M$631,"&lt;&gt;")</f>
        <v>1</v>
      </c>
      <c r="N607" s="24" t="n">
        <f aca="false">IF($L607=0,0,ROUND((SUMIFS('المرتبطة بسمو الوزير'!$M$2:$M$151,'المرتبطة بسمو الوزير'!$B$2:$B$151,$B607,'المرتبطة بسمو الوزير'!$G$2:$G$151,$G607,'المرتبطة بسمو الوزير'!$I$2:$I$151,$I607)+SUMIFS('الشؤون التنفيذية'!$N$2:$N$421,'الشؤون التنفيذية'!$B$2:$B$421,$B607,'الشؤون التنفيذية'!$G$2:$G$421,$G607,'الشؤون التنفيذية'!$I$2:$I$421,$I607)+SUMIFS('الجهاز العسكري'!$M$2:$M$631,'الجهاز العسكري'!$B$2:$B$631,$B607,'الجهاز العسكري'!$G$2:$G$631,$G607,'الجهاز العسكري'!$I$2:$I$631,$I607))/$L607,0))</f>
        <v>53</v>
      </c>
      <c r="O607" s="25" t="n">
        <f aca="false">IF($L607=0,0,ROUND((SUMIFS('المرتبطة بسمو الوزير'!$N$2:$N$151,'المرتبطة بسمو الوزير'!$B$2:$B$151,$B607,'المرتبطة بسمو الوزير'!$G$2:$G$151,$G607,'المرتبطة بسمو الوزير'!$I$2:$I$151,$I607)+SUMIFS('الشؤون التنفيذية'!$O$2:$O$421,'الشؤون التنفيذية'!$B$2:$B$421,$B607,'الشؤون التنفيذية'!$G$2:$G$421,$G607,'الشؤون التنفيذية'!$I$2:$I$421,$I607)+SUMIFS('الجهاز العسكري'!$N$2:$N$631,'الجهاز العسكري'!$B$2:$B$631,$B607,'الجهاز العسكري'!$G$2:$G$631,$G607,'الجهاز العسكري'!$I$2:$I$631,$I607))/$L607,0))</f>
        <v>95</v>
      </c>
      <c r="P607" s="22"/>
      <c r="Q607" s="19" t="n">
        <f aca="false">SUMIFS(المرجع!$G$2:$G$19,المرجع!$B$2:$B$19,$G607,المرجع!$E$2:$E$19,$I607)</f>
        <v>5</v>
      </c>
      <c r="R607" s="26" t="n">
        <f aca="false">ROUND($Q607*$N607/100,2)</f>
        <v>2.65</v>
      </c>
      <c r="S607" s="27" t="str">
        <f aca="false">IF($N607&gt;المرجع!$K$3,"متقدم",IF($N607&lt;=المرجع!$K$2,"أولي","جزئي"))</f>
        <v>جزئي</v>
      </c>
      <c r="T607" s="28" t="n">
        <f aca="false">ROUND($Q607*$O607/100,2)</f>
        <v>4.75</v>
      </c>
    </row>
    <row r="608" customFormat="false" ht="15" hidden="false" customHeight="true" outlineLevel="0" collapsed="false">
      <c r="A608" s="20" t="s">
        <v>2060</v>
      </c>
      <c r="B608" s="20" t="s">
        <v>224</v>
      </c>
      <c r="C608" s="19" t="str">
        <f aca="false">IFERROR(INDEX('قائمة الوحدات'!$B$2:$B$41,MATCH($B608,'قائمة الوحدات'!$A$2:$A$41,0)),"")</f>
        <v>MIL</v>
      </c>
      <c r="D608" s="18" t="str">
        <f aca="false">IFERROR(INDEX('قائمة الوحدات'!$C$2:$C$41,MATCH($B608,'قائمة الوحدات'!$A$2:$A$41,0)),"")</f>
        <v>الجهاز العسكري</v>
      </c>
      <c r="E608" s="18" t="str">
        <f aca="false">IFERROR(INDEX('قائمة الوحدات'!$D$2:$D$41,MATCH($B608,'قائمة الوحدات'!$A$2:$A$41,0)),"")</f>
        <v>الإدارة العامة للتدريب والتأهيل العسكري</v>
      </c>
      <c r="F608" s="18" t="str">
        <f aca="false">IFERROR(INDEX('قائمة الوحدات'!$F$2:$F$41,MATCH($B608,'قائمة الوحدات'!$A$2:$A$41,0)),"")</f>
        <v>الإدارة العامة للتدريب والتأهيل العسكري</v>
      </c>
      <c r="G608" s="20" t="s">
        <v>62</v>
      </c>
      <c r="H608" s="18" t="str">
        <f aca="false">IFERROR(INDEX(المرجع!$A$2:$A$19,MATCH($G608,المرجع!$B$2:$B$19,0)),"")</f>
        <v>البناء المؤسسي</v>
      </c>
      <c r="I608" s="20" t="s">
        <v>69</v>
      </c>
      <c r="J608" s="18" t="str">
        <f aca="false">IFERROR(INDEX(المرجع!$D$2:$D$19,MATCH($I608,المرجع!$E$2:$E$19,0)),"")</f>
        <v>إنتاج المخرج الأول</v>
      </c>
      <c r="K608" s="19" t="n">
        <f aca="false">IFERROR(INDEX(المرجع!$F$2:$F$19,MATCH($I608,المرجع!$E$2:$E$19,0)),"")</f>
        <v>7</v>
      </c>
      <c r="L608" s="19" t="n">
        <f aca="false">SUMIFS(المرجع!$H$2:$H$19,المرجع!$B$2:$B$19,$G608,المرجع!$E$2:$E$19,$I608)</f>
        <v>1</v>
      </c>
      <c r="M608" s="19" t="n">
        <f aca="false">COUNTIFS('المرتبطة بسمو الوزير'!$B$2:$B$151,$B608,'المرتبطة بسمو الوزير'!$G$2:$G$151,$G608,'المرتبطة بسمو الوزير'!$I$2:$I$151,$I608,'المرتبطة بسمو الوزير'!$M$2:$M$151,"&lt;&gt;")+COUNTIFS('الشؤون التنفيذية'!$B$2:$B$421,$B608,'الشؤون التنفيذية'!$G$2:$G$421,$G608,'الشؤون التنفيذية'!$I$2:$I$421,$I608,'الشؤون التنفيذية'!$N$2:$N$421,"&lt;&gt;")+COUNTIFS('الجهاز العسكري'!$B$2:$B$631,$B608,'الجهاز العسكري'!$G$2:$G$631,$G608,'الجهاز العسكري'!$I$2:$I$631,$I608,'الجهاز العسكري'!$M$2:$M$631,"&lt;&gt;")</f>
        <v>1</v>
      </c>
      <c r="N608" s="24" t="n">
        <f aca="false">IF($L608=0,0,ROUND((SUMIFS('المرتبطة بسمو الوزير'!$M$2:$M$151,'المرتبطة بسمو الوزير'!$B$2:$B$151,$B608,'المرتبطة بسمو الوزير'!$G$2:$G$151,$G608,'المرتبطة بسمو الوزير'!$I$2:$I$151,$I608)+SUMIFS('الشؤون التنفيذية'!$N$2:$N$421,'الشؤون التنفيذية'!$B$2:$B$421,$B608,'الشؤون التنفيذية'!$G$2:$G$421,$G608,'الشؤون التنفيذية'!$I$2:$I$421,$I608)+SUMIFS('الجهاز العسكري'!$M$2:$M$631,'الجهاز العسكري'!$B$2:$B$631,$B608,'الجهاز العسكري'!$G$2:$G$631,$G608,'الجهاز العسكري'!$I$2:$I$631,$I608))/$L608,0))</f>
        <v>43</v>
      </c>
      <c r="O608" s="25" t="n">
        <f aca="false">IF($L608=0,0,ROUND((SUMIFS('المرتبطة بسمو الوزير'!$N$2:$N$151,'المرتبطة بسمو الوزير'!$B$2:$B$151,$B608,'المرتبطة بسمو الوزير'!$G$2:$G$151,$G608,'المرتبطة بسمو الوزير'!$I$2:$I$151,$I608)+SUMIFS('الشؤون التنفيذية'!$O$2:$O$421,'الشؤون التنفيذية'!$B$2:$B$421,$B608,'الشؤون التنفيذية'!$G$2:$G$421,$G608,'الشؤون التنفيذية'!$I$2:$I$421,$I608)+SUMIFS('الجهاز العسكري'!$N$2:$N$631,'الجهاز العسكري'!$B$2:$B$631,$B608,'الجهاز العسكري'!$G$2:$G$631,$G608,'الجهاز العسكري'!$I$2:$I$631,$I608))/$L608,0))</f>
        <v>100</v>
      </c>
      <c r="P608" s="22"/>
      <c r="Q608" s="19" t="n">
        <f aca="false">SUMIFS(المرجع!$G$2:$G$19,المرجع!$B$2:$B$19,$G608,المرجع!$E$2:$E$19,$I608)</f>
        <v>5</v>
      </c>
      <c r="R608" s="26" t="n">
        <f aca="false">ROUND($Q608*$N608/100,2)</f>
        <v>2.15</v>
      </c>
      <c r="S608" s="27" t="str">
        <f aca="false">IF($N608&gt;المرجع!$K$3,"متقدم",IF($N608&lt;=المرجع!$K$2,"أولي","جزئي"))</f>
        <v>جزئي</v>
      </c>
      <c r="T608" s="28" t="n">
        <f aca="false">ROUND($Q608*$O608/100,2)</f>
        <v>5</v>
      </c>
    </row>
    <row r="609" customFormat="false" ht="15" hidden="false" customHeight="true" outlineLevel="0" collapsed="false">
      <c r="A609" s="20" t="s">
        <v>2061</v>
      </c>
      <c r="B609" s="20" t="s">
        <v>224</v>
      </c>
      <c r="C609" s="19" t="str">
        <f aca="false">IFERROR(INDEX('قائمة الوحدات'!$B$2:$B$41,MATCH($B609,'قائمة الوحدات'!$A$2:$A$41,0)),"")</f>
        <v>MIL</v>
      </c>
      <c r="D609" s="18" t="str">
        <f aca="false">IFERROR(INDEX('قائمة الوحدات'!$C$2:$C$41,MATCH($B609,'قائمة الوحدات'!$A$2:$A$41,0)),"")</f>
        <v>الجهاز العسكري</v>
      </c>
      <c r="E609" s="18" t="str">
        <f aca="false">IFERROR(INDEX('قائمة الوحدات'!$D$2:$D$41,MATCH($B609,'قائمة الوحدات'!$A$2:$A$41,0)),"")</f>
        <v>الإدارة العامة للتدريب والتأهيل العسكري</v>
      </c>
      <c r="F609" s="18" t="str">
        <f aca="false">IFERROR(INDEX('قائمة الوحدات'!$F$2:$F$41,MATCH($B609,'قائمة الوحدات'!$A$2:$A$41,0)),"")</f>
        <v>الإدارة العامة للتدريب والتأهيل العسكري</v>
      </c>
      <c r="G609" s="20" t="s">
        <v>66</v>
      </c>
      <c r="H609" s="18" t="str">
        <f aca="false">IFERROR(INDEX(المرجع!$A$2:$A$19,MATCH($G609,المرجع!$B$2:$B$19,0)),"")</f>
        <v>التشغيل</v>
      </c>
      <c r="I609" s="20" t="s">
        <v>49</v>
      </c>
      <c r="J609" s="18" t="str">
        <f aca="false">IFERROR(INDEX(المرجع!$D$2:$D$19,MATCH($I609,المرجع!$E$2:$E$19,0)),"")</f>
        <v>الأهداف ومؤشرات الأداء</v>
      </c>
      <c r="K609" s="19" t="n">
        <f aca="false">IFERROR(INDEX(المرجع!$F$2:$F$19,MATCH($I609,المرجع!$E$2:$E$19,0)),"")</f>
        <v>2</v>
      </c>
      <c r="L609" s="19" t="n">
        <f aca="false">SUMIFS(المرجع!$H$2:$H$19,المرجع!$B$2:$B$19,$G609,المرجع!$E$2:$E$19,$I609)</f>
        <v>2</v>
      </c>
      <c r="M609" s="19" t="n">
        <f aca="false">COUNTIFS('المرتبطة بسمو الوزير'!$B$2:$B$151,$B609,'المرتبطة بسمو الوزير'!$G$2:$G$151,$G609,'المرتبطة بسمو الوزير'!$I$2:$I$151,$I609,'المرتبطة بسمو الوزير'!$M$2:$M$151,"&lt;&gt;")+COUNTIFS('الشؤون التنفيذية'!$B$2:$B$421,$B609,'الشؤون التنفيذية'!$G$2:$G$421,$G609,'الشؤون التنفيذية'!$I$2:$I$421,$I609,'الشؤون التنفيذية'!$N$2:$N$421,"&lt;&gt;")+COUNTIFS('الجهاز العسكري'!$B$2:$B$631,$B609,'الجهاز العسكري'!$G$2:$G$631,$G609,'الجهاز العسكري'!$I$2:$I$631,$I609,'الجهاز العسكري'!$M$2:$M$631,"&lt;&gt;")</f>
        <v>2</v>
      </c>
      <c r="N609" s="24" t="n">
        <f aca="false">IF($L609=0,0,ROUND((SUMIFS('المرتبطة بسمو الوزير'!$M$2:$M$151,'المرتبطة بسمو الوزير'!$B$2:$B$151,$B609,'المرتبطة بسمو الوزير'!$G$2:$G$151,$G609,'المرتبطة بسمو الوزير'!$I$2:$I$151,$I609)+SUMIFS('الشؤون التنفيذية'!$N$2:$N$421,'الشؤون التنفيذية'!$B$2:$B$421,$B609,'الشؤون التنفيذية'!$G$2:$G$421,$G609,'الشؤون التنفيذية'!$I$2:$I$421,$I609)+SUMIFS('الجهاز العسكري'!$M$2:$M$631,'الجهاز العسكري'!$B$2:$B$631,$B609,'الجهاز العسكري'!$G$2:$G$631,$G609,'الجهاز العسكري'!$I$2:$I$631,$I609))/$L609,0))</f>
        <v>58</v>
      </c>
      <c r="O609" s="25" t="n">
        <f aca="false">IF($L609=0,0,ROUND((SUMIFS('المرتبطة بسمو الوزير'!$N$2:$N$151,'المرتبطة بسمو الوزير'!$B$2:$B$151,$B609,'المرتبطة بسمو الوزير'!$G$2:$G$151,$G609,'المرتبطة بسمو الوزير'!$I$2:$I$151,$I609)+SUMIFS('الشؤون التنفيذية'!$O$2:$O$421,'الشؤون التنفيذية'!$B$2:$B$421,$B609,'الشؤون التنفيذية'!$G$2:$G$421,$G609,'الشؤون التنفيذية'!$I$2:$I$421,$I609)+SUMIFS('الجهاز العسكري'!$N$2:$N$631,'الجهاز العسكري'!$B$2:$B$631,$B609,'الجهاز العسكري'!$G$2:$G$631,$G609,'الجهاز العسكري'!$I$2:$I$631,$I609))/$L609,0))</f>
        <v>93</v>
      </c>
      <c r="P609" s="22"/>
      <c r="Q609" s="19" t="n">
        <f aca="false">SUMIFS(المرجع!$G$2:$G$19,المرجع!$B$2:$B$19,$G609,المرجع!$E$2:$E$19,$I609)</f>
        <v>25</v>
      </c>
      <c r="R609" s="26" t="n">
        <f aca="false">ROUND($Q609*$N609/100,2)</f>
        <v>14.5</v>
      </c>
      <c r="S609" s="27" t="str">
        <f aca="false">IF($N609&gt;المرجع!$K$3,"متقدم",IF($N609&lt;=المرجع!$K$2,"أولي","جزئي"))</f>
        <v>جزئي</v>
      </c>
      <c r="T609" s="28" t="n">
        <f aca="false">ROUND($Q609*$O609/100,2)</f>
        <v>23.25</v>
      </c>
    </row>
    <row r="610" customFormat="false" ht="15" hidden="false" customHeight="true" outlineLevel="0" collapsed="false">
      <c r="A610" s="20" t="s">
        <v>2062</v>
      </c>
      <c r="B610" s="20" t="s">
        <v>224</v>
      </c>
      <c r="C610" s="19" t="str">
        <f aca="false">IFERROR(INDEX('قائمة الوحدات'!$B$2:$B$41,MATCH($B610,'قائمة الوحدات'!$A$2:$A$41,0)),"")</f>
        <v>MIL</v>
      </c>
      <c r="D610" s="18" t="str">
        <f aca="false">IFERROR(INDEX('قائمة الوحدات'!$C$2:$C$41,MATCH($B610,'قائمة الوحدات'!$A$2:$A$41,0)),"")</f>
        <v>الجهاز العسكري</v>
      </c>
      <c r="E610" s="18" t="str">
        <f aca="false">IFERROR(INDEX('قائمة الوحدات'!$D$2:$D$41,MATCH($B610,'قائمة الوحدات'!$A$2:$A$41,0)),"")</f>
        <v>الإدارة العامة للتدريب والتأهيل العسكري</v>
      </c>
      <c r="F610" s="18" t="str">
        <f aca="false">IFERROR(INDEX('قائمة الوحدات'!$F$2:$F$41,MATCH($B610,'قائمة الوحدات'!$A$2:$A$41,0)),"")</f>
        <v>الإدارة العامة للتدريب والتأهيل العسكري</v>
      </c>
      <c r="G610" s="20" t="s">
        <v>66</v>
      </c>
      <c r="H610" s="18" t="str">
        <f aca="false">IFERROR(INDEX(المرجع!$A$2:$A$19,MATCH($G610,المرجع!$B$2:$B$19,0)),"")</f>
        <v>التشغيل</v>
      </c>
      <c r="I610" s="20" t="s">
        <v>52</v>
      </c>
      <c r="J610" s="18" t="str">
        <f aca="false">IFERROR(INDEX(المرجع!$D$2:$D$19,MATCH($I610,المرجع!$E$2:$E$19,0)),"")</f>
        <v>الحوكمة</v>
      </c>
      <c r="K610" s="19" t="n">
        <f aca="false">IFERROR(INDEX(المرجع!$F$2:$F$19,MATCH($I610,المرجع!$E$2:$E$19,0)),"")</f>
        <v>3</v>
      </c>
      <c r="L610" s="19" t="n">
        <f aca="false">SUMIFS(المرجع!$H$2:$H$19,المرجع!$B$2:$B$19,$G610,المرجع!$E$2:$E$19,$I610)</f>
        <v>3</v>
      </c>
      <c r="M610" s="19" t="n">
        <f aca="false">COUNTIFS('المرتبطة بسمو الوزير'!$B$2:$B$151,$B610,'المرتبطة بسمو الوزير'!$G$2:$G$151,$G610,'المرتبطة بسمو الوزير'!$I$2:$I$151,$I610,'المرتبطة بسمو الوزير'!$M$2:$M$151,"&lt;&gt;")+COUNTIFS('الشؤون التنفيذية'!$B$2:$B$421,$B610,'الشؤون التنفيذية'!$G$2:$G$421,$G610,'الشؤون التنفيذية'!$I$2:$I$421,$I610,'الشؤون التنفيذية'!$N$2:$N$421,"&lt;&gt;")+COUNTIFS('الجهاز العسكري'!$B$2:$B$631,$B610,'الجهاز العسكري'!$G$2:$G$631,$G610,'الجهاز العسكري'!$I$2:$I$631,$I610,'الجهاز العسكري'!$M$2:$M$631,"&lt;&gt;")</f>
        <v>3</v>
      </c>
      <c r="N610" s="24" t="n">
        <f aca="false">IF($L610=0,0,ROUND((SUMIFS('المرتبطة بسمو الوزير'!$M$2:$M$151,'المرتبطة بسمو الوزير'!$B$2:$B$151,$B610,'المرتبطة بسمو الوزير'!$G$2:$G$151,$G610,'المرتبطة بسمو الوزير'!$I$2:$I$151,$I610)+SUMIFS('الشؤون التنفيذية'!$N$2:$N$421,'الشؤون التنفيذية'!$B$2:$B$421,$B610,'الشؤون التنفيذية'!$G$2:$G$421,$G610,'الشؤون التنفيذية'!$I$2:$I$421,$I610)+SUMIFS('الجهاز العسكري'!$M$2:$M$631,'الجهاز العسكري'!$B$2:$B$631,$B610,'الجهاز العسكري'!$G$2:$G$631,$G610,'الجهاز العسكري'!$I$2:$I$631,$I610))/$L610,0))</f>
        <v>27</v>
      </c>
      <c r="O610" s="25" t="n">
        <f aca="false">IF($L610=0,0,ROUND((SUMIFS('المرتبطة بسمو الوزير'!$N$2:$N$151,'المرتبطة بسمو الوزير'!$B$2:$B$151,$B610,'المرتبطة بسمو الوزير'!$G$2:$G$151,$G610,'المرتبطة بسمو الوزير'!$I$2:$I$151,$I610)+SUMIFS('الشؤون التنفيذية'!$O$2:$O$421,'الشؤون التنفيذية'!$B$2:$B$421,$B610,'الشؤون التنفيذية'!$G$2:$G$421,$G610,'الشؤون التنفيذية'!$I$2:$I$421,$I610)+SUMIFS('الجهاز العسكري'!$N$2:$N$631,'الجهاز العسكري'!$B$2:$B$631,$B610,'الجهاز العسكري'!$G$2:$G$631,$G610,'الجهاز العسكري'!$I$2:$I$631,$I610))/$L610,0))</f>
        <v>97</v>
      </c>
      <c r="P610" s="22"/>
      <c r="Q610" s="19" t="n">
        <f aca="false">SUMIFS(المرجع!$G$2:$G$19,المرجع!$B$2:$B$19,$G610,المرجع!$E$2:$E$19,$I610)</f>
        <v>15</v>
      </c>
      <c r="R610" s="26" t="n">
        <f aca="false">ROUND($Q610*$N610/100,2)</f>
        <v>4.05</v>
      </c>
      <c r="S610" s="27" t="str">
        <f aca="false">IF($N610&gt;المرجع!$K$3,"متقدم",IF($N610&lt;=المرجع!$K$2,"أولي","جزئي"))</f>
        <v>أولي</v>
      </c>
      <c r="T610" s="28" t="n">
        <f aca="false">ROUND($Q610*$O610/100,2)</f>
        <v>14.55</v>
      </c>
    </row>
    <row r="611" customFormat="false" ht="15" hidden="false" customHeight="true" outlineLevel="0" collapsed="false">
      <c r="A611" s="20" t="s">
        <v>2063</v>
      </c>
      <c r="B611" s="20" t="s">
        <v>224</v>
      </c>
      <c r="C611" s="19" t="str">
        <f aca="false">IFERROR(INDEX('قائمة الوحدات'!$B$2:$B$41,MATCH($B611,'قائمة الوحدات'!$A$2:$A$41,0)),"")</f>
        <v>MIL</v>
      </c>
      <c r="D611" s="18" t="str">
        <f aca="false">IFERROR(INDEX('قائمة الوحدات'!$C$2:$C$41,MATCH($B611,'قائمة الوحدات'!$A$2:$A$41,0)),"")</f>
        <v>الجهاز العسكري</v>
      </c>
      <c r="E611" s="18" t="str">
        <f aca="false">IFERROR(INDEX('قائمة الوحدات'!$D$2:$D$41,MATCH($B611,'قائمة الوحدات'!$A$2:$A$41,0)),"")</f>
        <v>الإدارة العامة للتدريب والتأهيل العسكري</v>
      </c>
      <c r="F611" s="18" t="str">
        <f aca="false">IFERROR(INDEX('قائمة الوحدات'!$F$2:$F$41,MATCH($B611,'قائمة الوحدات'!$A$2:$A$41,0)),"")</f>
        <v>الإدارة العامة للتدريب والتأهيل العسكري</v>
      </c>
      <c r="G611" s="20" t="s">
        <v>66</v>
      </c>
      <c r="H611" s="18" t="str">
        <f aca="false">IFERROR(INDEX(المرجع!$A$2:$A$19,MATCH($G611,المرجع!$B$2:$B$19,0)),"")</f>
        <v>التشغيل</v>
      </c>
      <c r="I611" s="20" t="s">
        <v>57</v>
      </c>
      <c r="J611" s="18" t="str">
        <f aca="false">IFERROR(INDEX(المرجع!$D$2:$D$19,MATCH($I611,المرجع!$E$2:$E$19,0)),"")</f>
        <v>الموارد</v>
      </c>
      <c r="K611" s="19" t="n">
        <f aca="false">IFERROR(INDEX(المرجع!$F$2:$F$19,MATCH($I611,المرجع!$E$2:$E$19,0)),"")</f>
        <v>5</v>
      </c>
      <c r="L611" s="19" t="n">
        <f aca="false">SUMIFS(المرجع!$H$2:$H$19,المرجع!$B$2:$B$19,$G611,المرجع!$E$2:$E$19,$I611)</f>
        <v>1</v>
      </c>
      <c r="M611" s="19" t="n">
        <f aca="false">COUNTIFS('المرتبطة بسمو الوزير'!$B$2:$B$151,$B611,'المرتبطة بسمو الوزير'!$G$2:$G$151,$G611,'المرتبطة بسمو الوزير'!$I$2:$I$151,$I611,'المرتبطة بسمو الوزير'!$M$2:$M$151,"&lt;&gt;")+COUNTIFS('الشؤون التنفيذية'!$B$2:$B$421,$B611,'الشؤون التنفيذية'!$G$2:$G$421,$G611,'الشؤون التنفيذية'!$I$2:$I$421,$I611,'الشؤون التنفيذية'!$N$2:$N$421,"&lt;&gt;")+COUNTIFS('الجهاز العسكري'!$B$2:$B$631,$B611,'الجهاز العسكري'!$G$2:$G$631,$G611,'الجهاز العسكري'!$I$2:$I$631,$I611,'الجهاز العسكري'!$M$2:$M$631,"&lt;&gt;")</f>
        <v>1</v>
      </c>
      <c r="N611" s="24" t="n">
        <f aca="false">IF($L611=0,0,ROUND((SUMIFS('المرتبطة بسمو الوزير'!$M$2:$M$151,'المرتبطة بسمو الوزير'!$B$2:$B$151,$B611,'المرتبطة بسمو الوزير'!$G$2:$G$151,$G611,'المرتبطة بسمو الوزير'!$I$2:$I$151,$I611)+SUMIFS('الشؤون التنفيذية'!$N$2:$N$421,'الشؤون التنفيذية'!$B$2:$B$421,$B611,'الشؤون التنفيذية'!$G$2:$G$421,$G611,'الشؤون التنفيذية'!$I$2:$I$421,$I611)+SUMIFS('الجهاز العسكري'!$M$2:$M$631,'الجهاز العسكري'!$B$2:$B$631,$B611,'الجهاز العسكري'!$G$2:$G$631,$G611,'الجهاز العسكري'!$I$2:$I$631,$I611))/$L611,0))</f>
        <v>44</v>
      </c>
      <c r="O611" s="25" t="n">
        <f aca="false">IF($L611=0,0,ROUND((SUMIFS('المرتبطة بسمو الوزير'!$N$2:$N$151,'المرتبطة بسمو الوزير'!$B$2:$B$151,$B611,'المرتبطة بسمو الوزير'!$G$2:$G$151,$G611,'المرتبطة بسمو الوزير'!$I$2:$I$151,$I611)+SUMIFS('الشؤون التنفيذية'!$O$2:$O$421,'الشؤون التنفيذية'!$B$2:$B$421,$B611,'الشؤون التنفيذية'!$G$2:$G$421,$G611,'الشؤون التنفيذية'!$I$2:$I$421,$I611)+SUMIFS('الجهاز العسكري'!$N$2:$N$631,'الجهاز العسكري'!$B$2:$B$631,$B611,'الجهاز العسكري'!$G$2:$G$631,$G611,'الجهاز العسكري'!$I$2:$I$631,$I611))/$L611,0))</f>
        <v>95</v>
      </c>
      <c r="P611" s="22"/>
      <c r="Q611" s="19" t="n">
        <f aca="false">SUMIFS(المرجع!$G$2:$G$19,المرجع!$B$2:$B$19,$G611,المرجع!$E$2:$E$19,$I611)</f>
        <v>15</v>
      </c>
      <c r="R611" s="26" t="n">
        <f aca="false">ROUND($Q611*$N611/100,2)</f>
        <v>6.6</v>
      </c>
      <c r="S611" s="27" t="str">
        <f aca="false">IF($N611&gt;المرجع!$K$3,"متقدم",IF($N611&lt;=المرجع!$K$2,"أولي","جزئي"))</f>
        <v>جزئي</v>
      </c>
      <c r="T611" s="28" t="n">
        <f aca="false">ROUND($Q611*$O611/100,2)</f>
        <v>14.25</v>
      </c>
    </row>
    <row r="612" customFormat="false" ht="15" hidden="false" customHeight="true" outlineLevel="0" collapsed="false">
      <c r="A612" s="20" t="s">
        <v>2064</v>
      </c>
      <c r="B612" s="20" t="s">
        <v>224</v>
      </c>
      <c r="C612" s="19" t="str">
        <f aca="false">IFERROR(INDEX('قائمة الوحدات'!$B$2:$B$41,MATCH($B612,'قائمة الوحدات'!$A$2:$A$41,0)),"")</f>
        <v>MIL</v>
      </c>
      <c r="D612" s="18" t="str">
        <f aca="false">IFERROR(INDEX('قائمة الوحدات'!$C$2:$C$41,MATCH($B612,'قائمة الوحدات'!$A$2:$A$41,0)),"")</f>
        <v>الجهاز العسكري</v>
      </c>
      <c r="E612" s="18" t="str">
        <f aca="false">IFERROR(INDEX('قائمة الوحدات'!$D$2:$D$41,MATCH($B612,'قائمة الوحدات'!$A$2:$A$41,0)),"")</f>
        <v>الإدارة العامة للتدريب والتأهيل العسكري</v>
      </c>
      <c r="F612" s="18" t="str">
        <f aca="false">IFERROR(INDEX('قائمة الوحدات'!$F$2:$F$41,MATCH($B612,'قائمة الوحدات'!$A$2:$A$41,0)),"")</f>
        <v>الإدارة العامة للتدريب والتأهيل العسكري</v>
      </c>
      <c r="G612" s="20" t="s">
        <v>66</v>
      </c>
      <c r="H612" s="18" t="str">
        <f aca="false">IFERROR(INDEX(المرجع!$A$2:$A$19,MATCH($G612,المرجع!$B$2:$B$19,0)),"")</f>
        <v>التشغيل</v>
      </c>
      <c r="I612" s="20" t="s">
        <v>60</v>
      </c>
      <c r="J612" s="18" t="str">
        <f aca="false">IFERROR(INDEX(المرجع!$D$2:$D$19,MATCH($I612,المرجع!$E$2:$E$19,0)),"")</f>
        <v>الإجراءات</v>
      </c>
      <c r="K612" s="19" t="n">
        <f aca="false">IFERROR(INDEX(المرجع!$F$2:$F$19,MATCH($I612,المرجع!$E$2:$E$19,0)),"")</f>
        <v>6</v>
      </c>
      <c r="L612" s="19" t="n">
        <f aca="false">SUMIFS(المرجع!$H$2:$H$19,المرجع!$B$2:$B$19,$G612,المرجع!$E$2:$E$19,$I612)</f>
        <v>1</v>
      </c>
      <c r="M612" s="19" t="n">
        <f aca="false">COUNTIFS('المرتبطة بسمو الوزير'!$B$2:$B$151,$B612,'المرتبطة بسمو الوزير'!$G$2:$G$151,$G612,'المرتبطة بسمو الوزير'!$I$2:$I$151,$I612,'المرتبطة بسمو الوزير'!$M$2:$M$151,"&lt;&gt;")+COUNTIFS('الشؤون التنفيذية'!$B$2:$B$421,$B612,'الشؤون التنفيذية'!$G$2:$G$421,$G612,'الشؤون التنفيذية'!$I$2:$I$421,$I612,'الشؤون التنفيذية'!$N$2:$N$421,"&lt;&gt;")+COUNTIFS('الجهاز العسكري'!$B$2:$B$631,$B612,'الجهاز العسكري'!$G$2:$G$631,$G612,'الجهاز العسكري'!$I$2:$I$631,$I612,'الجهاز العسكري'!$M$2:$M$631,"&lt;&gt;")</f>
        <v>1</v>
      </c>
      <c r="N612" s="24" t="n">
        <f aca="false">IF($L612=0,0,ROUND((SUMIFS('المرتبطة بسمو الوزير'!$M$2:$M$151,'المرتبطة بسمو الوزير'!$B$2:$B$151,$B612,'المرتبطة بسمو الوزير'!$G$2:$G$151,$G612,'المرتبطة بسمو الوزير'!$I$2:$I$151,$I612)+SUMIFS('الشؤون التنفيذية'!$N$2:$N$421,'الشؤون التنفيذية'!$B$2:$B$421,$B612,'الشؤون التنفيذية'!$G$2:$G$421,$G612,'الشؤون التنفيذية'!$I$2:$I$421,$I612)+SUMIFS('الجهاز العسكري'!$M$2:$M$631,'الجهاز العسكري'!$B$2:$B$631,$B612,'الجهاز العسكري'!$G$2:$G$631,$G612,'الجهاز العسكري'!$I$2:$I$631,$I612))/$L612,0))</f>
        <v>49</v>
      </c>
      <c r="O612" s="25" t="n">
        <f aca="false">IF($L612=0,0,ROUND((SUMIFS('المرتبطة بسمو الوزير'!$N$2:$N$151,'المرتبطة بسمو الوزير'!$B$2:$B$151,$B612,'المرتبطة بسمو الوزير'!$G$2:$G$151,$G612,'المرتبطة بسمو الوزير'!$I$2:$I$151,$I612)+SUMIFS('الشؤون التنفيذية'!$O$2:$O$421,'الشؤون التنفيذية'!$B$2:$B$421,$B612,'الشؤون التنفيذية'!$G$2:$G$421,$G612,'الشؤون التنفيذية'!$I$2:$I$421,$I612)+SUMIFS('الجهاز العسكري'!$N$2:$N$631,'الجهاز العسكري'!$B$2:$B$631,$B612,'الجهاز العسكري'!$G$2:$G$631,$G612,'الجهاز العسكري'!$I$2:$I$631,$I612))/$L612,0))</f>
        <v>80</v>
      </c>
      <c r="P612" s="22"/>
      <c r="Q612" s="19" t="n">
        <f aca="false">SUMIFS(المرجع!$G$2:$G$19,المرجع!$B$2:$B$19,$G612,المرجع!$E$2:$E$19,$I612)</f>
        <v>15</v>
      </c>
      <c r="R612" s="26" t="n">
        <f aca="false">ROUND($Q612*$N612/100,2)</f>
        <v>7.35</v>
      </c>
      <c r="S612" s="27" t="str">
        <f aca="false">IF($N612&gt;المرجع!$K$3,"متقدم",IF($N612&lt;=المرجع!$K$2,"أولي","جزئي"))</f>
        <v>جزئي</v>
      </c>
      <c r="T612" s="28" t="n">
        <f aca="false">ROUND($Q612*$O612/100,2)</f>
        <v>12</v>
      </c>
    </row>
    <row r="613" customFormat="false" ht="15" hidden="false" customHeight="true" outlineLevel="0" collapsed="false">
      <c r="A613" s="20" t="s">
        <v>2065</v>
      </c>
      <c r="B613" s="20" t="s">
        <v>224</v>
      </c>
      <c r="C613" s="19" t="str">
        <f aca="false">IFERROR(INDEX('قائمة الوحدات'!$B$2:$B$41,MATCH($B613,'قائمة الوحدات'!$A$2:$A$41,0)),"")</f>
        <v>MIL</v>
      </c>
      <c r="D613" s="18" t="str">
        <f aca="false">IFERROR(INDEX('قائمة الوحدات'!$C$2:$C$41,MATCH($B613,'قائمة الوحدات'!$A$2:$A$41,0)),"")</f>
        <v>الجهاز العسكري</v>
      </c>
      <c r="E613" s="18" t="str">
        <f aca="false">IFERROR(INDEX('قائمة الوحدات'!$D$2:$D$41,MATCH($B613,'قائمة الوحدات'!$A$2:$A$41,0)),"")</f>
        <v>الإدارة العامة للتدريب والتأهيل العسكري</v>
      </c>
      <c r="F613" s="18" t="str">
        <f aca="false">IFERROR(INDEX('قائمة الوحدات'!$F$2:$F$41,MATCH($B613,'قائمة الوحدات'!$A$2:$A$41,0)),"")</f>
        <v>الإدارة العامة للتدريب والتأهيل العسكري</v>
      </c>
      <c r="G613" s="20" t="s">
        <v>66</v>
      </c>
      <c r="H613" s="18" t="str">
        <f aca="false">IFERROR(INDEX(المرجع!$A$2:$A$19,MATCH($G613,المرجع!$B$2:$B$19,0)),"")</f>
        <v>التشغيل</v>
      </c>
      <c r="I613" s="20" t="s">
        <v>71</v>
      </c>
      <c r="J613" s="18" t="str">
        <f aca="false">IFERROR(INDEX(المرجع!$D$2:$D$19,MATCH($I613,المرجع!$E$2:$E$19,0)),"")</f>
        <v>اكتمال المخرجات المستهدفة</v>
      </c>
      <c r="K613" s="19" t="n">
        <f aca="false">IFERROR(INDEX(المرجع!$F$2:$F$19,MATCH($I613,المرجع!$E$2:$E$19,0)),"")</f>
        <v>8</v>
      </c>
      <c r="L613" s="19" t="n">
        <f aca="false">SUMIFS(المرجع!$H$2:$H$19,المرجع!$B$2:$B$19,$G613,المرجع!$E$2:$E$19,$I613)</f>
        <v>1</v>
      </c>
      <c r="M613" s="19" t="n">
        <f aca="false">COUNTIFS('المرتبطة بسمو الوزير'!$B$2:$B$151,$B613,'المرتبطة بسمو الوزير'!$G$2:$G$151,$G613,'المرتبطة بسمو الوزير'!$I$2:$I$151,$I613,'المرتبطة بسمو الوزير'!$M$2:$M$151,"&lt;&gt;")+COUNTIFS('الشؤون التنفيذية'!$B$2:$B$421,$B613,'الشؤون التنفيذية'!$G$2:$G$421,$G613,'الشؤون التنفيذية'!$I$2:$I$421,$I613,'الشؤون التنفيذية'!$N$2:$N$421,"&lt;&gt;")+COUNTIFS('الجهاز العسكري'!$B$2:$B$631,$B613,'الجهاز العسكري'!$G$2:$G$631,$G613,'الجهاز العسكري'!$I$2:$I$631,$I613,'الجهاز العسكري'!$M$2:$M$631,"&lt;&gt;")</f>
        <v>1</v>
      </c>
      <c r="N613" s="24" t="n">
        <f aca="false">IF($L613=0,0,ROUND((SUMIFS('المرتبطة بسمو الوزير'!$M$2:$M$151,'المرتبطة بسمو الوزير'!$B$2:$B$151,$B613,'المرتبطة بسمو الوزير'!$G$2:$G$151,$G613,'المرتبطة بسمو الوزير'!$I$2:$I$151,$I613)+SUMIFS('الشؤون التنفيذية'!$N$2:$N$421,'الشؤون التنفيذية'!$B$2:$B$421,$B613,'الشؤون التنفيذية'!$G$2:$G$421,$G613,'الشؤون التنفيذية'!$I$2:$I$421,$I613)+SUMIFS('الجهاز العسكري'!$M$2:$M$631,'الجهاز العسكري'!$B$2:$B$631,$B613,'الجهاز العسكري'!$G$2:$G$631,$G613,'الجهاز العسكري'!$I$2:$I$631,$I613))/$L613,0))</f>
        <v>31</v>
      </c>
      <c r="O613" s="25" t="n">
        <f aca="false">IF($L613=0,0,ROUND((SUMIFS('المرتبطة بسمو الوزير'!$N$2:$N$151,'المرتبطة بسمو الوزير'!$B$2:$B$151,$B613,'المرتبطة بسمو الوزير'!$G$2:$G$151,$G613,'المرتبطة بسمو الوزير'!$I$2:$I$151,$I613)+SUMIFS('الشؤون التنفيذية'!$O$2:$O$421,'الشؤون التنفيذية'!$B$2:$B$421,$B613,'الشؤون التنفيذية'!$G$2:$G$421,$G613,'الشؤون التنفيذية'!$I$2:$I$421,$I613)+SUMIFS('الجهاز العسكري'!$N$2:$N$631,'الجهاز العسكري'!$B$2:$B$631,$B613,'الجهاز العسكري'!$G$2:$G$631,$G613,'الجهاز العسكري'!$I$2:$I$631,$I613))/$L613,0))</f>
        <v>100</v>
      </c>
      <c r="P613" s="22"/>
      <c r="Q613" s="19" t="n">
        <f aca="false">SUMIFS(المرجع!$G$2:$G$19,المرجع!$B$2:$B$19,$G613,المرجع!$E$2:$E$19,$I613)</f>
        <v>30</v>
      </c>
      <c r="R613" s="26" t="n">
        <f aca="false">ROUND($Q613*$N613/100,2)</f>
        <v>9.3</v>
      </c>
      <c r="S613" s="27" t="str">
        <f aca="false">IF($N613&gt;المرجع!$K$3,"متقدم",IF($N613&lt;=المرجع!$K$2,"أولي","جزئي"))</f>
        <v>جزئي</v>
      </c>
      <c r="T613" s="28" t="n">
        <f aca="false">ROUND($Q613*$O613/100,2)</f>
        <v>30</v>
      </c>
    </row>
    <row r="614" customFormat="false" ht="15" hidden="false" customHeight="true" outlineLevel="0" collapsed="false">
      <c r="A614" s="20" t="s">
        <v>2066</v>
      </c>
      <c r="B614" s="20" t="s">
        <v>226</v>
      </c>
      <c r="C614" s="19" t="str">
        <f aca="false">IFERROR(INDEX('قائمة الوحدات'!$B$2:$B$41,MATCH($B614,'قائمة الوحدات'!$A$2:$A$41,0)),"")</f>
        <v>MIL</v>
      </c>
      <c r="D614" s="18" t="str">
        <f aca="false">IFERROR(INDEX('قائمة الوحدات'!$C$2:$C$41,MATCH($B614,'قائمة الوحدات'!$A$2:$A$41,0)),"")</f>
        <v>الجهاز العسكري</v>
      </c>
      <c r="E614" s="18" t="str">
        <f aca="false">IFERROR(INDEX('قائمة الوحدات'!$D$2:$D$41,MATCH($B614,'قائمة الوحدات'!$A$2:$A$41,0)),"")</f>
        <v>الإدارة العامة للتسليح والعتاد</v>
      </c>
      <c r="F614" s="18" t="str">
        <f aca="false">IFERROR(INDEX('قائمة الوحدات'!$F$2:$F$41,MATCH($B614,'قائمة الوحدات'!$A$2:$A$41,0)),"")</f>
        <v>الإدارة العامة للتسليح والعتاد</v>
      </c>
      <c r="G614" s="20" t="s">
        <v>44</v>
      </c>
      <c r="H614" s="18" t="str">
        <f aca="false">IFERROR(INDEX(المرجع!$A$2:$A$19,MATCH($G614,المرجع!$B$2:$B$19,0)),"")</f>
        <v>التصميم</v>
      </c>
      <c r="I614" s="20" t="s">
        <v>46</v>
      </c>
      <c r="J614" s="18" t="str">
        <f aca="false">IFERROR(INDEX(المرجع!$D$2:$D$19,MATCH($I614,المرجع!$E$2:$E$19,0)),"")</f>
        <v>الدور</v>
      </c>
      <c r="K614" s="19" t="n">
        <f aca="false">IFERROR(INDEX(المرجع!$F$2:$F$19,MATCH($I614,المرجع!$E$2:$E$19,0)),"")</f>
        <v>1</v>
      </c>
      <c r="L614" s="19" t="n">
        <f aca="false">SUMIFS(المرجع!$H$2:$H$19,المرجع!$B$2:$B$19,$G614,المرجع!$E$2:$E$19,$I614)</f>
        <v>1</v>
      </c>
      <c r="M614" s="19" t="n">
        <f aca="false">COUNTIFS('المرتبطة بسمو الوزير'!$B$2:$B$151,$B614,'المرتبطة بسمو الوزير'!$G$2:$G$151,$G614,'المرتبطة بسمو الوزير'!$I$2:$I$151,$I614,'المرتبطة بسمو الوزير'!$M$2:$M$151,"&lt;&gt;")+COUNTIFS('الشؤون التنفيذية'!$B$2:$B$421,$B614,'الشؤون التنفيذية'!$G$2:$G$421,$G614,'الشؤون التنفيذية'!$I$2:$I$421,$I614,'الشؤون التنفيذية'!$N$2:$N$421,"&lt;&gt;")+COUNTIFS('الجهاز العسكري'!$B$2:$B$631,$B614,'الجهاز العسكري'!$G$2:$G$631,$G614,'الجهاز العسكري'!$I$2:$I$631,$I614,'الجهاز العسكري'!$M$2:$M$631,"&lt;&gt;")</f>
        <v>1</v>
      </c>
      <c r="N614" s="24" t="n">
        <f aca="false">IF($L614=0,0,ROUND((SUMIFS('المرتبطة بسمو الوزير'!$M$2:$M$151,'المرتبطة بسمو الوزير'!$B$2:$B$151,$B614,'المرتبطة بسمو الوزير'!$G$2:$G$151,$G614,'المرتبطة بسمو الوزير'!$I$2:$I$151,$I614)+SUMIFS('الشؤون التنفيذية'!$N$2:$N$421,'الشؤون التنفيذية'!$B$2:$B$421,$B614,'الشؤون التنفيذية'!$G$2:$G$421,$G614,'الشؤون التنفيذية'!$I$2:$I$421,$I614)+SUMIFS('الجهاز العسكري'!$M$2:$M$631,'الجهاز العسكري'!$B$2:$B$631,$B614,'الجهاز العسكري'!$G$2:$G$631,$G614,'الجهاز العسكري'!$I$2:$I$631,$I614))/$L614,0))</f>
        <v>79</v>
      </c>
      <c r="O614" s="25" t="n">
        <f aca="false">IF($L614=0,0,ROUND((SUMIFS('المرتبطة بسمو الوزير'!$N$2:$N$151,'المرتبطة بسمو الوزير'!$B$2:$B$151,$B614,'المرتبطة بسمو الوزير'!$G$2:$G$151,$G614,'المرتبطة بسمو الوزير'!$I$2:$I$151,$I614)+SUMIFS('الشؤون التنفيذية'!$O$2:$O$421,'الشؤون التنفيذية'!$B$2:$B$421,$B614,'الشؤون التنفيذية'!$G$2:$G$421,$G614,'الشؤون التنفيذية'!$I$2:$I$421,$I614)+SUMIFS('الجهاز العسكري'!$N$2:$N$631,'الجهاز العسكري'!$B$2:$B$631,$B614,'الجهاز العسكري'!$G$2:$G$631,$G614,'الجهاز العسكري'!$I$2:$I$631,$I614))/$L614,0))</f>
        <v>85</v>
      </c>
      <c r="P614" s="22"/>
      <c r="Q614" s="19" t="n">
        <f aca="false">SUMIFS(المرجع!$G$2:$G$19,المرجع!$B$2:$B$19,$G614,المرجع!$E$2:$E$19,$I614)</f>
        <v>25</v>
      </c>
      <c r="R614" s="26" t="n">
        <f aca="false">ROUND($Q614*$N614/100,2)</f>
        <v>19.75</v>
      </c>
      <c r="S614" s="27" t="str">
        <f aca="false">IF($N614&gt;المرجع!$K$3,"متقدم",IF($N614&lt;=المرجع!$K$2,"أولي","جزئي"))</f>
        <v>متقدم</v>
      </c>
      <c r="T614" s="28" t="n">
        <f aca="false">ROUND($Q614*$O614/100,2)</f>
        <v>21.25</v>
      </c>
    </row>
    <row r="615" customFormat="false" ht="15" hidden="false" customHeight="true" outlineLevel="0" collapsed="false">
      <c r="A615" s="20" t="s">
        <v>2067</v>
      </c>
      <c r="B615" s="20" t="s">
        <v>226</v>
      </c>
      <c r="C615" s="19" t="str">
        <f aca="false">IFERROR(INDEX('قائمة الوحدات'!$B$2:$B$41,MATCH($B615,'قائمة الوحدات'!$A$2:$A$41,0)),"")</f>
        <v>MIL</v>
      </c>
      <c r="D615" s="18" t="str">
        <f aca="false">IFERROR(INDEX('قائمة الوحدات'!$C$2:$C$41,MATCH($B615,'قائمة الوحدات'!$A$2:$A$41,0)),"")</f>
        <v>الجهاز العسكري</v>
      </c>
      <c r="E615" s="18" t="str">
        <f aca="false">IFERROR(INDEX('قائمة الوحدات'!$D$2:$D$41,MATCH($B615,'قائمة الوحدات'!$A$2:$A$41,0)),"")</f>
        <v>الإدارة العامة للتسليح والعتاد</v>
      </c>
      <c r="F615" s="18" t="str">
        <f aca="false">IFERROR(INDEX('قائمة الوحدات'!$F$2:$F$41,MATCH($B615,'قائمة الوحدات'!$A$2:$A$41,0)),"")</f>
        <v>الإدارة العامة للتسليح والعتاد</v>
      </c>
      <c r="G615" s="20" t="s">
        <v>44</v>
      </c>
      <c r="H615" s="18" t="str">
        <f aca="false">IFERROR(INDEX(المرجع!$A$2:$A$19,MATCH($G615,المرجع!$B$2:$B$19,0)),"")</f>
        <v>التصميم</v>
      </c>
      <c r="I615" s="20" t="s">
        <v>49</v>
      </c>
      <c r="J615" s="18" t="str">
        <f aca="false">IFERROR(INDEX(المرجع!$D$2:$D$19,MATCH($I615,المرجع!$E$2:$E$19,0)),"")</f>
        <v>الأهداف ومؤشرات الأداء</v>
      </c>
      <c r="K615" s="19" t="n">
        <f aca="false">IFERROR(INDEX(المرجع!$F$2:$F$19,MATCH($I615,المرجع!$E$2:$E$19,0)),"")</f>
        <v>2</v>
      </c>
      <c r="L615" s="19" t="n">
        <f aca="false">SUMIFS(المرجع!$H$2:$H$19,المرجع!$B$2:$B$19,$G615,المرجع!$E$2:$E$19,$I615)</f>
        <v>2</v>
      </c>
      <c r="M615" s="19" t="n">
        <f aca="false">COUNTIFS('المرتبطة بسمو الوزير'!$B$2:$B$151,$B615,'المرتبطة بسمو الوزير'!$G$2:$G$151,$G615,'المرتبطة بسمو الوزير'!$I$2:$I$151,$I615,'المرتبطة بسمو الوزير'!$M$2:$M$151,"&lt;&gt;")+COUNTIFS('الشؤون التنفيذية'!$B$2:$B$421,$B615,'الشؤون التنفيذية'!$G$2:$G$421,$G615,'الشؤون التنفيذية'!$I$2:$I$421,$I615,'الشؤون التنفيذية'!$N$2:$N$421,"&lt;&gt;")+COUNTIFS('الجهاز العسكري'!$B$2:$B$631,$B615,'الجهاز العسكري'!$G$2:$G$631,$G615,'الجهاز العسكري'!$I$2:$I$631,$I615,'الجهاز العسكري'!$M$2:$M$631,"&lt;&gt;")</f>
        <v>2</v>
      </c>
      <c r="N615" s="24" t="n">
        <f aca="false">IF($L615=0,0,ROUND((SUMIFS('المرتبطة بسمو الوزير'!$M$2:$M$151,'المرتبطة بسمو الوزير'!$B$2:$B$151,$B615,'المرتبطة بسمو الوزير'!$G$2:$G$151,$G615,'المرتبطة بسمو الوزير'!$I$2:$I$151,$I615)+SUMIFS('الشؤون التنفيذية'!$N$2:$N$421,'الشؤون التنفيذية'!$B$2:$B$421,$B615,'الشؤون التنفيذية'!$G$2:$G$421,$G615,'الشؤون التنفيذية'!$I$2:$I$421,$I615)+SUMIFS('الجهاز العسكري'!$M$2:$M$631,'الجهاز العسكري'!$B$2:$B$631,$B615,'الجهاز العسكري'!$G$2:$G$631,$G615,'الجهاز العسكري'!$I$2:$I$631,$I615))/$L615,0))</f>
        <v>93</v>
      </c>
      <c r="O615" s="25" t="n">
        <f aca="false">IF($L615=0,0,ROUND((SUMIFS('المرتبطة بسمو الوزير'!$N$2:$N$151,'المرتبطة بسمو الوزير'!$B$2:$B$151,$B615,'المرتبطة بسمو الوزير'!$G$2:$G$151,$G615,'المرتبطة بسمو الوزير'!$I$2:$I$151,$I615)+SUMIFS('الشؤون التنفيذية'!$O$2:$O$421,'الشؤون التنفيذية'!$B$2:$B$421,$B615,'الشؤون التنفيذية'!$G$2:$G$421,$G615,'الشؤون التنفيذية'!$I$2:$I$421,$I615)+SUMIFS('الجهاز العسكري'!$N$2:$N$631,'الجهاز العسكري'!$B$2:$B$631,$B615,'الجهاز العسكري'!$G$2:$G$631,$G615,'الجهاز العسكري'!$I$2:$I$631,$I615))/$L615,0))</f>
        <v>93</v>
      </c>
      <c r="P615" s="22"/>
      <c r="Q615" s="19" t="n">
        <f aca="false">SUMIFS(المرجع!$G$2:$G$19,المرجع!$B$2:$B$19,$G615,المرجع!$E$2:$E$19,$I615)</f>
        <v>15</v>
      </c>
      <c r="R615" s="26" t="n">
        <f aca="false">ROUND($Q615*$N615/100,2)</f>
        <v>13.95</v>
      </c>
      <c r="S615" s="27" t="str">
        <f aca="false">IF($N615&gt;المرجع!$K$3,"متقدم",IF($N615&lt;=المرجع!$K$2,"أولي","جزئي"))</f>
        <v>متقدم</v>
      </c>
      <c r="T615" s="28" t="n">
        <f aca="false">ROUND($Q615*$O615/100,2)</f>
        <v>13.95</v>
      </c>
    </row>
    <row r="616" customFormat="false" ht="15" hidden="false" customHeight="true" outlineLevel="0" collapsed="false">
      <c r="A616" s="20" t="s">
        <v>2068</v>
      </c>
      <c r="B616" s="20" t="s">
        <v>226</v>
      </c>
      <c r="C616" s="19" t="str">
        <f aca="false">IFERROR(INDEX('قائمة الوحدات'!$B$2:$B$41,MATCH($B616,'قائمة الوحدات'!$A$2:$A$41,0)),"")</f>
        <v>MIL</v>
      </c>
      <c r="D616" s="18" t="str">
        <f aca="false">IFERROR(INDEX('قائمة الوحدات'!$C$2:$C$41,MATCH($B616,'قائمة الوحدات'!$A$2:$A$41,0)),"")</f>
        <v>الجهاز العسكري</v>
      </c>
      <c r="E616" s="18" t="str">
        <f aca="false">IFERROR(INDEX('قائمة الوحدات'!$D$2:$D$41,MATCH($B616,'قائمة الوحدات'!$A$2:$A$41,0)),"")</f>
        <v>الإدارة العامة للتسليح والعتاد</v>
      </c>
      <c r="F616" s="18" t="str">
        <f aca="false">IFERROR(INDEX('قائمة الوحدات'!$F$2:$F$41,MATCH($B616,'قائمة الوحدات'!$A$2:$A$41,0)),"")</f>
        <v>الإدارة العامة للتسليح والعتاد</v>
      </c>
      <c r="G616" s="20" t="s">
        <v>44</v>
      </c>
      <c r="H616" s="18" t="str">
        <f aca="false">IFERROR(INDEX(المرجع!$A$2:$A$19,MATCH($G616,المرجع!$B$2:$B$19,0)),"")</f>
        <v>التصميم</v>
      </c>
      <c r="I616" s="20" t="s">
        <v>52</v>
      </c>
      <c r="J616" s="18" t="str">
        <f aca="false">IFERROR(INDEX(المرجع!$D$2:$D$19,MATCH($I616,المرجع!$E$2:$E$19,0)),"")</f>
        <v>الحوكمة</v>
      </c>
      <c r="K616" s="19" t="n">
        <f aca="false">IFERROR(INDEX(المرجع!$F$2:$F$19,MATCH($I616,المرجع!$E$2:$E$19,0)),"")</f>
        <v>3</v>
      </c>
      <c r="L616" s="19" t="n">
        <f aca="false">SUMIFS(المرجع!$H$2:$H$19,المرجع!$B$2:$B$19,$G616,المرجع!$E$2:$E$19,$I616)</f>
        <v>1</v>
      </c>
      <c r="M616" s="19" t="n">
        <f aca="false">COUNTIFS('المرتبطة بسمو الوزير'!$B$2:$B$151,$B616,'المرتبطة بسمو الوزير'!$G$2:$G$151,$G616,'المرتبطة بسمو الوزير'!$I$2:$I$151,$I616,'المرتبطة بسمو الوزير'!$M$2:$M$151,"&lt;&gt;")+COUNTIFS('الشؤون التنفيذية'!$B$2:$B$421,$B616,'الشؤون التنفيذية'!$G$2:$G$421,$G616,'الشؤون التنفيذية'!$I$2:$I$421,$I616,'الشؤون التنفيذية'!$N$2:$N$421,"&lt;&gt;")+COUNTIFS('الجهاز العسكري'!$B$2:$B$631,$B616,'الجهاز العسكري'!$G$2:$G$631,$G616,'الجهاز العسكري'!$I$2:$I$631,$I616,'الجهاز العسكري'!$M$2:$M$631,"&lt;&gt;")</f>
        <v>1</v>
      </c>
      <c r="N616" s="24" t="n">
        <f aca="false">IF($L616=0,0,ROUND((SUMIFS('المرتبطة بسمو الوزير'!$M$2:$M$151,'المرتبطة بسمو الوزير'!$B$2:$B$151,$B616,'المرتبطة بسمو الوزير'!$G$2:$G$151,$G616,'المرتبطة بسمو الوزير'!$I$2:$I$151,$I616)+SUMIFS('الشؤون التنفيذية'!$N$2:$N$421,'الشؤون التنفيذية'!$B$2:$B$421,$B616,'الشؤون التنفيذية'!$G$2:$G$421,$G616,'الشؤون التنفيذية'!$I$2:$I$421,$I616)+SUMIFS('الجهاز العسكري'!$M$2:$M$631,'الجهاز العسكري'!$B$2:$B$631,$B616,'الجهاز العسكري'!$G$2:$G$631,$G616,'الجهاز العسكري'!$I$2:$I$631,$I616))/$L616,0))</f>
        <v>69</v>
      </c>
      <c r="O616" s="25" t="n">
        <f aca="false">IF($L616=0,0,ROUND((SUMIFS('المرتبطة بسمو الوزير'!$N$2:$N$151,'المرتبطة بسمو الوزير'!$B$2:$B$151,$B616,'المرتبطة بسمو الوزير'!$G$2:$G$151,$G616,'المرتبطة بسمو الوزير'!$I$2:$I$151,$I616)+SUMIFS('الشؤون التنفيذية'!$O$2:$O$421,'الشؤون التنفيذية'!$B$2:$B$421,$B616,'الشؤون التنفيذية'!$G$2:$G$421,$G616,'الشؤون التنفيذية'!$I$2:$I$421,$I616)+SUMIFS('الجهاز العسكري'!$N$2:$N$631,'الجهاز العسكري'!$B$2:$B$631,$B616,'الجهاز العسكري'!$G$2:$G$631,$G616,'الجهاز العسكري'!$I$2:$I$631,$I616))/$L616,0))</f>
        <v>95</v>
      </c>
      <c r="P616" s="22"/>
      <c r="Q616" s="19" t="n">
        <f aca="false">SUMIFS(المرجع!$G$2:$G$19,المرجع!$B$2:$B$19,$G616,المرجع!$E$2:$E$19,$I616)</f>
        <v>15</v>
      </c>
      <c r="R616" s="26" t="n">
        <f aca="false">ROUND($Q616*$N616/100,2)</f>
        <v>10.35</v>
      </c>
      <c r="S616" s="27" t="str">
        <f aca="false">IF($N616&gt;المرجع!$K$3,"متقدم",IF($N616&lt;=المرجع!$K$2,"أولي","جزئي"))</f>
        <v>جزئي</v>
      </c>
      <c r="T616" s="28" t="n">
        <f aca="false">ROUND($Q616*$O616/100,2)</f>
        <v>14.25</v>
      </c>
    </row>
    <row r="617" customFormat="false" ht="15" hidden="false" customHeight="true" outlineLevel="0" collapsed="false">
      <c r="A617" s="20" t="s">
        <v>2069</v>
      </c>
      <c r="B617" s="20" t="s">
        <v>226</v>
      </c>
      <c r="C617" s="19" t="str">
        <f aca="false">IFERROR(INDEX('قائمة الوحدات'!$B$2:$B$41,MATCH($B617,'قائمة الوحدات'!$A$2:$A$41,0)),"")</f>
        <v>MIL</v>
      </c>
      <c r="D617" s="18" t="str">
        <f aca="false">IFERROR(INDEX('قائمة الوحدات'!$C$2:$C$41,MATCH($B617,'قائمة الوحدات'!$A$2:$A$41,0)),"")</f>
        <v>الجهاز العسكري</v>
      </c>
      <c r="E617" s="18" t="str">
        <f aca="false">IFERROR(INDEX('قائمة الوحدات'!$D$2:$D$41,MATCH($B617,'قائمة الوحدات'!$A$2:$A$41,0)),"")</f>
        <v>الإدارة العامة للتسليح والعتاد</v>
      </c>
      <c r="F617" s="18" t="str">
        <f aca="false">IFERROR(INDEX('قائمة الوحدات'!$F$2:$F$41,MATCH($B617,'قائمة الوحدات'!$A$2:$A$41,0)),"")</f>
        <v>الإدارة العامة للتسليح والعتاد</v>
      </c>
      <c r="G617" s="20" t="s">
        <v>44</v>
      </c>
      <c r="H617" s="18" t="str">
        <f aca="false">IFERROR(INDEX(المرجع!$A$2:$A$19,MATCH($G617,المرجع!$B$2:$B$19,0)),"")</f>
        <v>التصميم</v>
      </c>
      <c r="I617" s="20" t="s">
        <v>55</v>
      </c>
      <c r="J617" s="18" t="str">
        <f aca="false">IFERROR(INDEX(المرجع!$D$2:$D$19,MATCH($I617,المرجع!$E$2:$E$19,0)),"")</f>
        <v>التنظيم</v>
      </c>
      <c r="K617" s="19" t="n">
        <f aca="false">IFERROR(INDEX(المرجع!$F$2:$F$19,MATCH($I617,المرجع!$E$2:$E$19,0)),"")</f>
        <v>4</v>
      </c>
      <c r="L617" s="19" t="n">
        <f aca="false">SUMIFS(المرجع!$H$2:$H$19,المرجع!$B$2:$B$19,$G617,المرجع!$E$2:$E$19,$I617)</f>
        <v>1</v>
      </c>
      <c r="M617" s="19" t="n">
        <f aca="false">COUNTIFS('المرتبطة بسمو الوزير'!$B$2:$B$151,$B617,'المرتبطة بسمو الوزير'!$G$2:$G$151,$G617,'المرتبطة بسمو الوزير'!$I$2:$I$151,$I617,'المرتبطة بسمو الوزير'!$M$2:$M$151,"&lt;&gt;")+COUNTIFS('الشؤون التنفيذية'!$B$2:$B$421,$B617,'الشؤون التنفيذية'!$G$2:$G$421,$G617,'الشؤون التنفيذية'!$I$2:$I$421,$I617,'الشؤون التنفيذية'!$N$2:$N$421,"&lt;&gt;")+COUNTIFS('الجهاز العسكري'!$B$2:$B$631,$B617,'الجهاز العسكري'!$G$2:$G$631,$G617,'الجهاز العسكري'!$I$2:$I$631,$I617,'الجهاز العسكري'!$M$2:$M$631,"&lt;&gt;")</f>
        <v>1</v>
      </c>
      <c r="N617" s="24" t="n">
        <f aca="false">IF($L617=0,0,ROUND((SUMIFS('المرتبطة بسمو الوزير'!$M$2:$M$151,'المرتبطة بسمو الوزير'!$B$2:$B$151,$B617,'المرتبطة بسمو الوزير'!$G$2:$G$151,$G617,'المرتبطة بسمو الوزير'!$I$2:$I$151,$I617)+SUMIFS('الشؤون التنفيذية'!$N$2:$N$421,'الشؤون التنفيذية'!$B$2:$B$421,$B617,'الشؤون التنفيذية'!$G$2:$G$421,$G617,'الشؤون التنفيذية'!$I$2:$I$421,$I617)+SUMIFS('الجهاز العسكري'!$M$2:$M$631,'الجهاز العسكري'!$B$2:$B$631,$B617,'الجهاز العسكري'!$G$2:$G$631,$G617,'الجهاز العسكري'!$I$2:$I$631,$I617))/$L617,0))</f>
        <v>90</v>
      </c>
      <c r="O617" s="25" t="n">
        <f aca="false">IF($L617=0,0,ROUND((SUMIFS('المرتبطة بسمو الوزير'!$N$2:$N$151,'المرتبطة بسمو الوزير'!$B$2:$B$151,$B617,'المرتبطة بسمو الوزير'!$G$2:$G$151,$G617,'المرتبطة بسمو الوزير'!$I$2:$I$151,$I617)+SUMIFS('الشؤون التنفيذية'!$O$2:$O$421,'الشؤون التنفيذية'!$B$2:$B$421,$B617,'الشؤون التنفيذية'!$G$2:$G$421,$G617,'الشؤون التنفيذية'!$I$2:$I$421,$I617)+SUMIFS('الجهاز العسكري'!$N$2:$N$631,'الجهاز العسكري'!$B$2:$B$631,$B617,'الجهاز العسكري'!$G$2:$G$631,$G617,'الجهاز العسكري'!$I$2:$I$631,$I617))/$L617,0))</f>
        <v>90</v>
      </c>
      <c r="P617" s="22"/>
      <c r="Q617" s="19" t="n">
        <f aca="false">SUMIFS(المرجع!$G$2:$G$19,المرجع!$B$2:$B$19,$G617,المرجع!$E$2:$E$19,$I617)</f>
        <v>20</v>
      </c>
      <c r="R617" s="26" t="n">
        <f aca="false">ROUND($Q617*$N617/100,2)</f>
        <v>18</v>
      </c>
      <c r="S617" s="27" t="str">
        <f aca="false">IF($N617&gt;المرجع!$K$3,"متقدم",IF($N617&lt;=المرجع!$K$2,"أولي","جزئي"))</f>
        <v>متقدم</v>
      </c>
      <c r="T617" s="28" t="n">
        <f aca="false">ROUND($Q617*$O617/100,2)</f>
        <v>18</v>
      </c>
    </row>
    <row r="618" customFormat="false" ht="15" hidden="false" customHeight="true" outlineLevel="0" collapsed="false">
      <c r="A618" s="20" t="s">
        <v>2070</v>
      </c>
      <c r="B618" s="20" t="s">
        <v>226</v>
      </c>
      <c r="C618" s="19" t="str">
        <f aca="false">IFERROR(INDEX('قائمة الوحدات'!$B$2:$B$41,MATCH($B618,'قائمة الوحدات'!$A$2:$A$41,0)),"")</f>
        <v>MIL</v>
      </c>
      <c r="D618" s="18" t="str">
        <f aca="false">IFERROR(INDEX('قائمة الوحدات'!$C$2:$C$41,MATCH($B618,'قائمة الوحدات'!$A$2:$A$41,0)),"")</f>
        <v>الجهاز العسكري</v>
      </c>
      <c r="E618" s="18" t="str">
        <f aca="false">IFERROR(INDEX('قائمة الوحدات'!$D$2:$D$41,MATCH($B618,'قائمة الوحدات'!$A$2:$A$41,0)),"")</f>
        <v>الإدارة العامة للتسليح والعتاد</v>
      </c>
      <c r="F618" s="18" t="str">
        <f aca="false">IFERROR(INDEX('قائمة الوحدات'!$F$2:$F$41,MATCH($B618,'قائمة الوحدات'!$A$2:$A$41,0)),"")</f>
        <v>الإدارة العامة للتسليح والعتاد</v>
      </c>
      <c r="G618" s="20" t="s">
        <v>44</v>
      </c>
      <c r="H618" s="18" t="str">
        <f aca="false">IFERROR(INDEX(المرجع!$A$2:$A$19,MATCH($G618,المرجع!$B$2:$B$19,0)),"")</f>
        <v>التصميم</v>
      </c>
      <c r="I618" s="20" t="s">
        <v>57</v>
      </c>
      <c r="J618" s="18" t="str">
        <f aca="false">IFERROR(INDEX(المرجع!$D$2:$D$19,MATCH($I618,المرجع!$E$2:$E$19,0)),"")</f>
        <v>الموارد</v>
      </c>
      <c r="K618" s="19" t="n">
        <f aca="false">IFERROR(INDEX(المرجع!$F$2:$F$19,MATCH($I618,المرجع!$E$2:$E$19,0)),"")</f>
        <v>5</v>
      </c>
      <c r="L618" s="19" t="n">
        <f aca="false">SUMIFS(المرجع!$H$2:$H$19,المرجع!$B$2:$B$19,$G618,المرجع!$E$2:$E$19,$I618)</f>
        <v>1</v>
      </c>
      <c r="M618" s="19" t="n">
        <f aca="false">COUNTIFS('المرتبطة بسمو الوزير'!$B$2:$B$151,$B618,'المرتبطة بسمو الوزير'!$G$2:$G$151,$G618,'المرتبطة بسمو الوزير'!$I$2:$I$151,$I618,'المرتبطة بسمو الوزير'!$M$2:$M$151,"&lt;&gt;")+COUNTIFS('الشؤون التنفيذية'!$B$2:$B$421,$B618,'الشؤون التنفيذية'!$G$2:$G$421,$G618,'الشؤون التنفيذية'!$I$2:$I$421,$I618,'الشؤون التنفيذية'!$N$2:$N$421,"&lt;&gt;")+COUNTIFS('الجهاز العسكري'!$B$2:$B$631,$B618,'الجهاز العسكري'!$G$2:$G$631,$G618,'الجهاز العسكري'!$I$2:$I$631,$I618,'الجهاز العسكري'!$M$2:$M$631,"&lt;&gt;")</f>
        <v>1</v>
      </c>
      <c r="N618" s="24" t="n">
        <f aca="false">IF($L618=0,0,ROUND((SUMIFS('المرتبطة بسمو الوزير'!$M$2:$M$151,'المرتبطة بسمو الوزير'!$B$2:$B$151,$B618,'المرتبطة بسمو الوزير'!$G$2:$G$151,$G618,'المرتبطة بسمو الوزير'!$I$2:$I$151,$I618)+SUMIFS('الشؤون التنفيذية'!$N$2:$N$421,'الشؤون التنفيذية'!$B$2:$B$421,$B618,'الشؤون التنفيذية'!$G$2:$G$421,$G618,'الشؤون التنفيذية'!$I$2:$I$421,$I618)+SUMIFS('الجهاز العسكري'!$M$2:$M$631,'الجهاز العسكري'!$B$2:$B$631,$B618,'الجهاز العسكري'!$G$2:$G$631,$G618,'الجهاز العسكري'!$I$2:$I$631,$I618))/$L618,0))</f>
        <v>81</v>
      </c>
      <c r="O618" s="25" t="n">
        <f aca="false">IF($L618=0,0,ROUND((SUMIFS('المرتبطة بسمو الوزير'!$N$2:$N$151,'المرتبطة بسمو الوزير'!$B$2:$B$151,$B618,'المرتبطة بسمو الوزير'!$G$2:$G$151,$G618,'المرتبطة بسمو الوزير'!$I$2:$I$151,$I618)+SUMIFS('الشؤون التنفيذية'!$O$2:$O$421,'الشؤون التنفيذية'!$B$2:$B$421,$B618,'الشؤون التنفيذية'!$G$2:$G$421,$G618,'الشؤون التنفيذية'!$I$2:$I$421,$I618)+SUMIFS('الجهاز العسكري'!$N$2:$N$631,'الجهاز العسكري'!$B$2:$B$631,$B618,'الجهاز العسكري'!$G$2:$G$631,$G618,'الجهاز العسكري'!$I$2:$I$631,$I618))/$L618,0))</f>
        <v>90</v>
      </c>
      <c r="P618" s="22"/>
      <c r="Q618" s="19" t="n">
        <f aca="false">SUMIFS(المرجع!$G$2:$G$19,المرجع!$B$2:$B$19,$G618,المرجع!$E$2:$E$19,$I618)</f>
        <v>20</v>
      </c>
      <c r="R618" s="26" t="n">
        <f aca="false">ROUND($Q618*$N618/100,2)</f>
        <v>16.2</v>
      </c>
      <c r="S618" s="27" t="str">
        <f aca="false">IF($N618&gt;المرجع!$K$3,"متقدم",IF($N618&lt;=المرجع!$K$2,"أولي","جزئي"))</f>
        <v>متقدم</v>
      </c>
      <c r="T618" s="28" t="n">
        <f aca="false">ROUND($Q618*$O618/100,2)</f>
        <v>18</v>
      </c>
    </row>
    <row r="619" customFormat="false" ht="15" hidden="false" customHeight="true" outlineLevel="0" collapsed="false">
      <c r="A619" s="20" t="s">
        <v>2071</v>
      </c>
      <c r="B619" s="20" t="s">
        <v>226</v>
      </c>
      <c r="C619" s="19" t="str">
        <f aca="false">IFERROR(INDEX('قائمة الوحدات'!$B$2:$B$41,MATCH($B619,'قائمة الوحدات'!$A$2:$A$41,0)),"")</f>
        <v>MIL</v>
      </c>
      <c r="D619" s="18" t="str">
        <f aca="false">IFERROR(INDEX('قائمة الوحدات'!$C$2:$C$41,MATCH($B619,'قائمة الوحدات'!$A$2:$A$41,0)),"")</f>
        <v>الجهاز العسكري</v>
      </c>
      <c r="E619" s="18" t="str">
        <f aca="false">IFERROR(INDEX('قائمة الوحدات'!$D$2:$D$41,MATCH($B619,'قائمة الوحدات'!$A$2:$A$41,0)),"")</f>
        <v>الإدارة العامة للتسليح والعتاد</v>
      </c>
      <c r="F619" s="18" t="str">
        <f aca="false">IFERROR(INDEX('قائمة الوحدات'!$F$2:$F$41,MATCH($B619,'قائمة الوحدات'!$A$2:$A$41,0)),"")</f>
        <v>الإدارة العامة للتسليح والعتاد</v>
      </c>
      <c r="G619" s="20" t="s">
        <v>44</v>
      </c>
      <c r="H619" s="18" t="str">
        <f aca="false">IFERROR(INDEX(المرجع!$A$2:$A$19,MATCH($G619,المرجع!$B$2:$B$19,0)),"")</f>
        <v>التصميم</v>
      </c>
      <c r="I619" s="20" t="s">
        <v>60</v>
      </c>
      <c r="J619" s="18" t="str">
        <f aca="false">IFERROR(INDEX(المرجع!$D$2:$D$19,MATCH($I619,المرجع!$E$2:$E$19,0)),"")</f>
        <v>الإجراءات</v>
      </c>
      <c r="K619" s="19" t="n">
        <f aca="false">IFERROR(INDEX(المرجع!$F$2:$F$19,MATCH($I619,المرجع!$E$2:$E$19,0)),"")</f>
        <v>6</v>
      </c>
      <c r="L619" s="19" t="n">
        <f aca="false">SUMIFS(المرجع!$H$2:$H$19,المرجع!$B$2:$B$19,$G619,المرجع!$E$2:$E$19,$I619)</f>
        <v>1</v>
      </c>
      <c r="M619" s="19" t="n">
        <f aca="false">COUNTIFS('المرتبطة بسمو الوزير'!$B$2:$B$151,$B619,'المرتبطة بسمو الوزير'!$G$2:$G$151,$G619,'المرتبطة بسمو الوزير'!$I$2:$I$151,$I619,'المرتبطة بسمو الوزير'!$M$2:$M$151,"&lt;&gt;")+COUNTIFS('الشؤون التنفيذية'!$B$2:$B$421,$B619,'الشؤون التنفيذية'!$G$2:$G$421,$G619,'الشؤون التنفيذية'!$I$2:$I$421,$I619,'الشؤون التنفيذية'!$N$2:$N$421,"&lt;&gt;")+COUNTIFS('الجهاز العسكري'!$B$2:$B$631,$B619,'الجهاز العسكري'!$G$2:$G$631,$G619,'الجهاز العسكري'!$I$2:$I$631,$I619,'الجهاز العسكري'!$M$2:$M$631,"&lt;&gt;")</f>
        <v>1</v>
      </c>
      <c r="N619" s="24" t="n">
        <f aca="false">IF($L619=0,0,ROUND((SUMIFS('المرتبطة بسمو الوزير'!$M$2:$M$151,'المرتبطة بسمو الوزير'!$B$2:$B$151,$B619,'المرتبطة بسمو الوزير'!$G$2:$G$151,$G619,'المرتبطة بسمو الوزير'!$I$2:$I$151,$I619)+SUMIFS('الشؤون التنفيذية'!$N$2:$N$421,'الشؤون التنفيذية'!$B$2:$B$421,$B619,'الشؤون التنفيذية'!$G$2:$G$421,$G619,'الشؤون التنفيذية'!$I$2:$I$421,$I619)+SUMIFS('الجهاز العسكري'!$M$2:$M$631,'الجهاز العسكري'!$B$2:$B$631,$B619,'الجهاز العسكري'!$G$2:$G$631,$G619,'الجهاز العسكري'!$I$2:$I$631,$I619))/$L619,0))</f>
        <v>81</v>
      </c>
      <c r="O619" s="25" t="n">
        <f aca="false">IF($L619=0,0,ROUND((SUMIFS('المرتبطة بسمو الوزير'!$N$2:$N$151,'المرتبطة بسمو الوزير'!$B$2:$B$151,$B619,'المرتبطة بسمو الوزير'!$G$2:$G$151,$G619,'المرتبطة بسمو الوزير'!$I$2:$I$151,$I619)+SUMIFS('الشؤون التنفيذية'!$O$2:$O$421,'الشؤون التنفيذية'!$B$2:$B$421,$B619,'الشؤون التنفيذية'!$G$2:$G$421,$G619,'الشؤون التنفيذية'!$I$2:$I$421,$I619)+SUMIFS('الجهاز العسكري'!$N$2:$N$631,'الجهاز العسكري'!$B$2:$B$631,$B619,'الجهاز العسكري'!$G$2:$G$631,$G619,'الجهاز العسكري'!$I$2:$I$631,$I619))/$L619,0))</f>
        <v>90</v>
      </c>
      <c r="P619" s="22"/>
      <c r="Q619" s="19" t="n">
        <f aca="false">SUMIFS(المرجع!$G$2:$G$19,المرجع!$B$2:$B$19,$G619,المرجع!$E$2:$E$19,$I619)</f>
        <v>5</v>
      </c>
      <c r="R619" s="26" t="n">
        <f aca="false">ROUND($Q619*$N619/100,2)</f>
        <v>4.05</v>
      </c>
      <c r="S619" s="27" t="str">
        <f aca="false">IF($N619&gt;المرجع!$K$3,"متقدم",IF($N619&lt;=المرجع!$K$2,"أولي","جزئي"))</f>
        <v>متقدم</v>
      </c>
      <c r="T619" s="28" t="n">
        <f aca="false">ROUND($Q619*$O619/100,2)</f>
        <v>4.5</v>
      </c>
    </row>
    <row r="620" customFormat="false" ht="15" hidden="false" customHeight="true" outlineLevel="0" collapsed="false">
      <c r="A620" s="20" t="s">
        <v>2072</v>
      </c>
      <c r="B620" s="20" t="s">
        <v>226</v>
      </c>
      <c r="C620" s="19" t="str">
        <f aca="false">IFERROR(INDEX('قائمة الوحدات'!$B$2:$B$41,MATCH($B620,'قائمة الوحدات'!$A$2:$A$41,0)),"")</f>
        <v>MIL</v>
      </c>
      <c r="D620" s="18" t="str">
        <f aca="false">IFERROR(INDEX('قائمة الوحدات'!$C$2:$C$41,MATCH($B620,'قائمة الوحدات'!$A$2:$A$41,0)),"")</f>
        <v>الجهاز العسكري</v>
      </c>
      <c r="E620" s="18" t="str">
        <f aca="false">IFERROR(INDEX('قائمة الوحدات'!$D$2:$D$41,MATCH($B620,'قائمة الوحدات'!$A$2:$A$41,0)),"")</f>
        <v>الإدارة العامة للتسليح والعتاد</v>
      </c>
      <c r="F620" s="18" t="str">
        <f aca="false">IFERROR(INDEX('قائمة الوحدات'!$F$2:$F$41,MATCH($B620,'قائمة الوحدات'!$A$2:$A$41,0)),"")</f>
        <v>الإدارة العامة للتسليح والعتاد</v>
      </c>
      <c r="G620" s="20" t="s">
        <v>62</v>
      </c>
      <c r="H620" s="18" t="str">
        <f aca="false">IFERROR(INDEX(المرجع!$A$2:$A$19,MATCH($G620,المرجع!$B$2:$B$19,0)),"")</f>
        <v>البناء المؤسسي</v>
      </c>
      <c r="I620" s="20" t="s">
        <v>46</v>
      </c>
      <c r="J620" s="18" t="str">
        <f aca="false">IFERROR(INDEX(المرجع!$D$2:$D$19,MATCH($I620,المرجع!$E$2:$E$19,0)),"")</f>
        <v>الدور</v>
      </c>
      <c r="K620" s="19" t="n">
        <f aca="false">IFERROR(INDEX(المرجع!$F$2:$F$19,MATCH($I620,المرجع!$E$2:$E$19,0)),"")</f>
        <v>1</v>
      </c>
      <c r="L620" s="19" t="n">
        <f aca="false">SUMIFS(المرجع!$H$2:$H$19,المرجع!$B$2:$B$19,$G620,المرجع!$E$2:$E$19,$I620)</f>
        <v>1</v>
      </c>
      <c r="M620" s="19" t="n">
        <f aca="false">COUNTIFS('المرتبطة بسمو الوزير'!$B$2:$B$151,$B620,'المرتبطة بسمو الوزير'!$G$2:$G$151,$G620,'المرتبطة بسمو الوزير'!$I$2:$I$151,$I620,'المرتبطة بسمو الوزير'!$M$2:$M$151,"&lt;&gt;")+COUNTIFS('الشؤون التنفيذية'!$B$2:$B$421,$B620,'الشؤون التنفيذية'!$G$2:$G$421,$G620,'الشؤون التنفيذية'!$I$2:$I$421,$I620,'الشؤون التنفيذية'!$N$2:$N$421,"&lt;&gt;")+COUNTIFS('الجهاز العسكري'!$B$2:$B$631,$B620,'الجهاز العسكري'!$G$2:$G$631,$G620,'الجهاز العسكري'!$I$2:$I$631,$I620,'الجهاز العسكري'!$M$2:$M$631,"&lt;&gt;")</f>
        <v>1</v>
      </c>
      <c r="N620" s="24" t="n">
        <f aca="false">IF($L620=0,0,ROUND((SUMIFS('المرتبطة بسمو الوزير'!$M$2:$M$151,'المرتبطة بسمو الوزير'!$B$2:$B$151,$B620,'المرتبطة بسمو الوزير'!$G$2:$G$151,$G620,'المرتبطة بسمو الوزير'!$I$2:$I$151,$I620)+SUMIFS('الشؤون التنفيذية'!$N$2:$N$421,'الشؤون التنفيذية'!$B$2:$B$421,$B620,'الشؤون التنفيذية'!$G$2:$G$421,$G620,'الشؤون التنفيذية'!$I$2:$I$421,$I620)+SUMIFS('الجهاز العسكري'!$M$2:$M$631,'الجهاز العسكري'!$B$2:$B$631,$B620,'الجهاز العسكري'!$G$2:$G$631,$G620,'الجهاز العسكري'!$I$2:$I$631,$I620))/$L620,0))</f>
        <v>88</v>
      </c>
      <c r="O620" s="25" t="n">
        <f aca="false">IF($L620=0,0,ROUND((SUMIFS('المرتبطة بسمو الوزير'!$N$2:$N$151,'المرتبطة بسمو الوزير'!$B$2:$B$151,$B620,'المرتبطة بسمو الوزير'!$G$2:$G$151,$G620,'المرتبطة بسمو الوزير'!$I$2:$I$151,$I620)+SUMIFS('الشؤون التنفيذية'!$O$2:$O$421,'الشؤون التنفيذية'!$B$2:$B$421,$B620,'الشؤون التنفيذية'!$G$2:$G$421,$G620,'الشؤون التنفيذية'!$I$2:$I$421,$I620)+SUMIFS('الجهاز العسكري'!$N$2:$N$631,'الجهاز العسكري'!$B$2:$B$631,$B620,'الجهاز العسكري'!$G$2:$G$631,$G620,'الجهاز العسكري'!$I$2:$I$631,$I620))/$L620,0))</f>
        <v>90</v>
      </c>
      <c r="P620" s="22"/>
      <c r="Q620" s="19" t="n">
        <f aca="false">SUMIFS(المرجع!$G$2:$G$19,المرجع!$B$2:$B$19,$G620,المرجع!$E$2:$E$19,$I620)</f>
        <v>15</v>
      </c>
      <c r="R620" s="26" t="n">
        <f aca="false">ROUND($Q620*$N620/100,2)</f>
        <v>13.2</v>
      </c>
      <c r="S620" s="27" t="str">
        <f aca="false">IF($N620&gt;المرجع!$K$3,"متقدم",IF($N620&lt;=المرجع!$K$2,"أولي","جزئي"))</f>
        <v>متقدم</v>
      </c>
      <c r="T620" s="28" t="n">
        <f aca="false">ROUND($Q620*$O620/100,2)</f>
        <v>13.5</v>
      </c>
    </row>
    <row r="621" customFormat="false" ht="15" hidden="false" customHeight="true" outlineLevel="0" collapsed="false">
      <c r="A621" s="20" t="s">
        <v>2073</v>
      </c>
      <c r="B621" s="20" t="s">
        <v>226</v>
      </c>
      <c r="C621" s="19" t="str">
        <f aca="false">IFERROR(INDEX('قائمة الوحدات'!$B$2:$B$41,MATCH($B621,'قائمة الوحدات'!$A$2:$A$41,0)),"")</f>
        <v>MIL</v>
      </c>
      <c r="D621" s="18" t="str">
        <f aca="false">IFERROR(INDEX('قائمة الوحدات'!$C$2:$C$41,MATCH($B621,'قائمة الوحدات'!$A$2:$A$41,0)),"")</f>
        <v>الجهاز العسكري</v>
      </c>
      <c r="E621" s="18" t="str">
        <f aca="false">IFERROR(INDEX('قائمة الوحدات'!$D$2:$D$41,MATCH($B621,'قائمة الوحدات'!$A$2:$A$41,0)),"")</f>
        <v>الإدارة العامة للتسليح والعتاد</v>
      </c>
      <c r="F621" s="18" t="str">
        <f aca="false">IFERROR(INDEX('قائمة الوحدات'!$F$2:$F$41,MATCH($B621,'قائمة الوحدات'!$A$2:$A$41,0)),"")</f>
        <v>الإدارة العامة للتسليح والعتاد</v>
      </c>
      <c r="G621" s="20" t="s">
        <v>62</v>
      </c>
      <c r="H621" s="18" t="str">
        <f aca="false">IFERROR(INDEX(المرجع!$A$2:$A$19,MATCH($G621,المرجع!$B$2:$B$19,0)),"")</f>
        <v>البناء المؤسسي</v>
      </c>
      <c r="I621" s="20" t="s">
        <v>49</v>
      </c>
      <c r="J621" s="18" t="str">
        <f aca="false">IFERROR(INDEX(المرجع!$D$2:$D$19,MATCH($I621,المرجع!$E$2:$E$19,0)),"")</f>
        <v>الأهداف ومؤشرات الأداء</v>
      </c>
      <c r="K621" s="19" t="n">
        <f aca="false">IFERROR(INDEX(المرجع!$F$2:$F$19,MATCH($I621,المرجع!$E$2:$E$19,0)),"")</f>
        <v>2</v>
      </c>
      <c r="L621" s="19" t="n">
        <f aca="false">SUMIFS(المرجع!$H$2:$H$19,المرجع!$B$2:$B$19,$G621,المرجع!$E$2:$E$19,$I621)</f>
        <v>2</v>
      </c>
      <c r="M621" s="19" t="n">
        <f aca="false">COUNTIFS('المرتبطة بسمو الوزير'!$B$2:$B$151,$B621,'المرتبطة بسمو الوزير'!$G$2:$G$151,$G621,'المرتبطة بسمو الوزير'!$I$2:$I$151,$I621,'المرتبطة بسمو الوزير'!$M$2:$M$151,"&lt;&gt;")+COUNTIFS('الشؤون التنفيذية'!$B$2:$B$421,$B621,'الشؤون التنفيذية'!$G$2:$G$421,$G621,'الشؤون التنفيذية'!$I$2:$I$421,$I621,'الشؤون التنفيذية'!$N$2:$N$421,"&lt;&gt;")+COUNTIFS('الجهاز العسكري'!$B$2:$B$631,$B621,'الجهاز العسكري'!$G$2:$G$631,$G621,'الجهاز العسكري'!$I$2:$I$631,$I621,'الجهاز العسكري'!$M$2:$M$631,"&lt;&gt;")</f>
        <v>2</v>
      </c>
      <c r="N621" s="24" t="n">
        <f aca="false">IF($L621=0,0,ROUND((SUMIFS('المرتبطة بسمو الوزير'!$M$2:$M$151,'المرتبطة بسمو الوزير'!$B$2:$B$151,$B621,'المرتبطة بسمو الوزير'!$G$2:$G$151,$G621,'المرتبطة بسمو الوزير'!$I$2:$I$151,$I621)+SUMIFS('الشؤون التنفيذية'!$N$2:$N$421,'الشؤون التنفيذية'!$B$2:$B$421,$B621,'الشؤون التنفيذية'!$G$2:$G$421,$G621,'الشؤون التنفيذية'!$I$2:$I$421,$I621)+SUMIFS('الجهاز العسكري'!$M$2:$M$631,'الجهاز العسكري'!$B$2:$B$631,$B621,'الجهاز العسكري'!$G$2:$G$631,$G621,'الجهاز العسكري'!$I$2:$I$631,$I621))/$L621,0))</f>
        <v>63</v>
      </c>
      <c r="O621" s="25" t="n">
        <f aca="false">IF($L621=0,0,ROUND((SUMIFS('المرتبطة بسمو الوزير'!$N$2:$N$151,'المرتبطة بسمو الوزير'!$B$2:$B$151,$B621,'المرتبطة بسمو الوزير'!$G$2:$G$151,$G621,'المرتبطة بسمو الوزير'!$I$2:$I$151,$I621)+SUMIFS('الشؤون التنفيذية'!$O$2:$O$421,'الشؤون التنفيذية'!$B$2:$B$421,$B621,'الشؤون التنفيذية'!$G$2:$G$421,$G621,'الشؤون التنفيذية'!$I$2:$I$421,$I621)+SUMIFS('الجهاز العسكري'!$N$2:$N$631,'الجهاز العسكري'!$B$2:$B$631,$B621,'الجهاز العسكري'!$G$2:$G$631,$G621,'الجهاز العسكري'!$I$2:$I$631,$I621))/$L621,0))</f>
        <v>100</v>
      </c>
      <c r="P621" s="22"/>
      <c r="Q621" s="19" t="n">
        <f aca="false">SUMIFS(المرجع!$G$2:$G$19,المرجع!$B$2:$B$19,$G621,المرجع!$E$2:$E$19,$I621)</f>
        <v>15</v>
      </c>
      <c r="R621" s="26" t="n">
        <f aca="false">ROUND($Q621*$N621/100,2)</f>
        <v>9.45</v>
      </c>
      <c r="S621" s="27" t="str">
        <f aca="false">IF($N621&gt;المرجع!$K$3,"متقدم",IF($N621&lt;=المرجع!$K$2,"أولي","جزئي"))</f>
        <v>جزئي</v>
      </c>
      <c r="T621" s="28" t="n">
        <f aca="false">ROUND($Q621*$O621/100,2)</f>
        <v>15</v>
      </c>
    </row>
    <row r="622" customFormat="false" ht="15" hidden="false" customHeight="true" outlineLevel="0" collapsed="false">
      <c r="A622" s="20" t="s">
        <v>2074</v>
      </c>
      <c r="B622" s="20" t="s">
        <v>226</v>
      </c>
      <c r="C622" s="19" t="str">
        <f aca="false">IFERROR(INDEX('قائمة الوحدات'!$B$2:$B$41,MATCH($B622,'قائمة الوحدات'!$A$2:$A$41,0)),"")</f>
        <v>MIL</v>
      </c>
      <c r="D622" s="18" t="str">
        <f aca="false">IFERROR(INDEX('قائمة الوحدات'!$C$2:$C$41,MATCH($B622,'قائمة الوحدات'!$A$2:$A$41,0)),"")</f>
        <v>الجهاز العسكري</v>
      </c>
      <c r="E622" s="18" t="str">
        <f aca="false">IFERROR(INDEX('قائمة الوحدات'!$D$2:$D$41,MATCH($B622,'قائمة الوحدات'!$A$2:$A$41,0)),"")</f>
        <v>الإدارة العامة للتسليح والعتاد</v>
      </c>
      <c r="F622" s="18" t="str">
        <f aca="false">IFERROR(INDEX('قائمة الوحدات'!$F$2:$F$41,MATCH($B622,'قائمة الوحدات'!$A$2:$A$41,0)),"")</f>
        <v>الإدارة العامة للتسليح والعتاد</v>
      </c>
      <c r="G622" s="20" t="s">
        <v>62</v>
      </c>
      <c r="H622" s="18" t="str">
        <f aca="false">IFERROR(INDEX(المرجع!$A$2:$A$19,MATCH($G622,المرجع!$B$2:$B$19,0)),"")</f>
        <v>البناء المؤسسي</v>
      </c>
      <c r="I622" s="20" t="s">
        <v>52</v>
      </c>
      <c r="J622" s="18" t="str">
        <f aca="false">IFERROR(INDEX(المرجع!$D$2:$D$19,MATCH($I622,المرجع!$E$2:$E$19,0)),"")</f>
        <v>الحوكمة</v>
      </c>
      <c r="K622" s="19" t="n">
        <f aca="false">IFERROR(INDEX(المرجع!$F$2:$F$19,MATCH($I622,المرجع!$E$2:$E$19,0)),"")</f>
        <v>3</v>
      </c>
      <c r="L622" s="19" t="n">
        <f aca="false">SUMIFS(المرجع!$H$2:$H$19,المرجع!$B$2:$B$19,$G622,المرجع!$E$2:$E$19,$I622)</f>
        <v>3</v>
      </c>
      <c r="M622" s="19" t="n">
        <f aca="false">COUNTIFS('المرتبطة بسمو الوزير'!$B$2:$B$151,$B622,'المرتبطة بسمو الوزير'!$G$2:$G$151,$G622,'المرتبطة بسمو الوزير'!$I$2:$I$151,$I622,'المرتبطة بسمو الوزير'!$M$2:$M$151,"&lt;&gt;")+COUNTIFS('الشؤون التنفيذية'!$B$2:$B$421,$B622,'الشؤون التنفيذية'!$G$2:$G$421,$G622,'الشؤون التنفيذية'!$I$2:$I$421,$I622,'الشؤون التنفيذية'!$N$2:$N$421,"&lt;&gt;")+COUNTIFS('الجهاز العسكري'!$B$2:$B$631,$B622,'الجهاز العسكري'!$G$2:$G$631,$G622,'الجهاز العسكري'!$I$2:$I$631,$I622,'الجهاز العسكري'!$M$2:$M$631,"&lt;&gt;")</f>
        <v>3</v>
      </c>
      <c r="N622" s="24" t="n">
        <f aca="false">IF($L622=0,0,ROUND((SUMIFS('المرتبطة بسمو الوزير'!$M$2:$M$151,'المرتبطة بسمو الوزير'!$B$2:$B$151,$B622,'المرتبطة بسمو الوزير'!$G$2:$G$151,$G622,'المرتبطة بسمو الوزير'!$I$2:$I$151,$I622)+SUMIFS('الشؤون التنفيذية'!$N$2:$N$421,'الشؤون التنفيذية'!$B$2:$B$421,$B622,'الشؤون التنفيذية'!$G$2:$G$421,$G622,'الشؤون التنفيذية'!$I$2:$I$421,$I622)+SUMIFS('الجهاز العسكري'!$M$2:$M$631,'الجهاز العسكري'!$B$2:$B$631,$B622,'الجهاز العسكري'!$G$2:$G$631,$G622,'الجهاز العسكري'!$I$2:$I$631,$I622))/$L622,0))</f>
        <v>83</v>
      </c>
      <c r="O622" s="25" t="n">
        <f aca="false">IF($L622=0,0,ROUND((SUMIFS('المرتبطة بسمو الوزير'!$N$2:$N$151,'المرتبطة بسمو الوزير'!$B$2:$B$151,$B622,'المرتبطة بسمو الوزير'!$G$2:$G$151,$G622,'المرتبطة بسمو الوزير'!$I$2:$I$151,$I622)+SUMIFS('الشؤون التنفيذية'!$O$2:$O$421,'الشؤون التنفيذية'!$B$2:$B$421,$B622,'الشؤون التنفيذية'!$G$2:$G$421,$G622,'الشؤون التنفيذية'!$I$2:$I$421,$I622)+SUMIFS('الجهاز العسكري'!$N$2:$N$631,'الجهاز العسكري'!$B$2:$B$631,$B622,'الجهاز العسكري'!$G$2:$G$631,$G622,'الجهاز العسكري'!$I$2:$I$631,$I622))/$L622,0))</f>
        <v>97</v>
      </c>
      <c r="P622" s="22"/>
      <c r="Q622" s="19" t="n">
        <f aca="false">SUMIFS(المرجع!$G$2:$G$19,المرجع!$B$2:$B$19,$G622,المرجع!$E$2:$E$19,$I622)</f>
        <v>15</v>
      </c>
      <c r="R622" s="26" t="n">
        <f aca="false">ROUND($Q622*$N622/100,2)</f>
        <v>12.45</v>
      </c>
      <c r="S622" s="27" t="str">
        <f aca="false">IF($N622&gt;المرجع!$K$3,"متقدم",IF($N622&lt;=المرجع!$K$2,"أولي","جزئي"))</f>
        <v>متقدم</v>
      </c>
      <c r="T622" s="28" t="n">
        <f aca="false">ROUND($Q622*$O622/100,2)</f>
        <v>14.55</v>
      </c>
    </row>
    <row r="623" customFormat="false" ht="15" hidden="false" customHeight="true" outlineLevel="0" collapsed="false">
      <c r="A623" s="20" t="s">
        <v>2075</v>
      </c>
      <c r="B623" s="20" t="s">
        <v>226</v>
      </c>
      <c r="C623" s="19" t="str">
        <f aca="false">IFERROR(INDEX('قائمة الوحدات'!$B$2:$B$41,MATCH($B623,'قائمة الوحدات'!$A$2:$A$41,0)),"")</f>
        <v>MIL</v>
      </c>
      <c r="D623" s="18" t="str">
        <f aca="false">IFERROR(INDEX('قائمة الوحدات'!$C$2:$C$41,MATCH($B623,'قائمة الوحدات'!$A$2:$A$41,0)),"")</f>
        <v>الجهاز العسكري</v>
      </c>
      <c r="E623" s="18" t="str">
        <f aca="false">IFERROR(INDEX('قائمة الوحدات'!$D$2:$D$41,MATCH($B623,'قائمة الوحدات'!$A$2:$A$41,0)),"")</f>
        <v>الإدارة العامة للتسليح والعتاد</v>
      </c>
      <c r="F623" s="18" t="str">
        <f aca="false">IFERROR(INDEX('قائمة الوحدات'!$F$2:$F$41,MATCH($B623,'قائمة الوحدات'!$A$2:$A$41,0)),"")</f>
        <v>الإدارة العامة للتسليح والعتاد</v>
      </c>
      <c r="G623" s="20" t="s">
        <v>62</v>
      </c>
      <c r="H623" s="18" t="str">
        <f aca="false">IFERROR(INDEX(المرجع!$A$2:$A$19,MATCH($G623,المرجع!$B$2:$B$19,0)),"")</f>
        <v>البناء المؤسسي</v>
      </c>
      <c r="I623" s="20" t="s">
        <v>55</v>
      </c>
      <c r="J623" s="18" t="str">
        <f aca="false">IFERROR(INDEX(المرجع!$D$2:$D$19,MATCH($I623,المرجع!$E$2:$E$19,0)),"")</f>
        <v>التنظيم</v>
      </c>
      <c r="K623" s="19" t="n">
        <f aca="false">IFERROR(INDEX(المرجع!$F$2:$F$19,MATCH($I623,المرجع!$E$2:$E$19,0)),"")</f>
        <v>4</v>
      </c>
      <c r="L623" s="19" t="n">
        <f aca="false">SUMIFS(المرجع!$H$2:$H$19,المرجع!$B$2:$B$19,$G623,المرجع!$E$2:$E$19,$I623)</f>
        <v>3</v>
      </c>
      <c r="M623" s="19" t="n">
        <f aca="false">COUNTIFS('المرتبطة بسمو الوزير'!$B$2:$B$151,$B623,'المرتبطة بسمو الوزير'!$G$2:$G$151,$G623,'المرتبطة بسمو الوزير'!$I$2:$I$151,$I623,'المرتبطة بسمو الوزير'!$M$2:$M$151,"&lt;&gt;")+COUNTIFS('الشؤون التنفيذية'!$B$2:$B$421,$B623,'الشؤون التنفيذية'!$G$2:$G$421,$G623,'الشؤون التنفيذية'!$I$2:$I$421,$I623,'الشؤون التنفيذية'!$N$2:$N$421,"&lt;&gt;")+COUNTIFS('الجهاز العسكري'!$B$2:$B$631,$B623,'الجهاز العسكري'!$G$2:$G$631,$G623,'الجهاز العسكري'!$I$2:$I$631,$I623,'الجهاز العسكري'!$M$2:$M$631,"&lt;&gt;")</f>
        <v>3</v>
      </c>
      <c r="N623" s="24" t="n">
        <f aca="false">IF($L623=0,0,ROUND((SUMIFS('المرتبطة بسمو الوزير'!$M$2:$M$151,'المرتبطة بسمو الوزير'!$B$2:$B$151,$B623,'المرتبطة بسمو الوزير'!$G$2:$G$151,$G623,'المرتبطة بسمو الوزير'!$I$2:$I$151,$I623)+SUMIFS('الشؤون التنفيذية'!$N$2:$N$421,'الشؤون التنفيذية'!$B$2:$B$421,$B623,'الشؤون التنفيذية'!$G$2:$G$421,$G623,'الشؤون التنفيذية'!$I$2:$I$421,$I623)+SUMIFS('الجهاز العسكري'!$M$2:$M$631,'الجهاز العسكري'!$B$2:$B$631,$B623,'الجهاز العسكري'!$G$2:$G$631,$G623,'الجهاز العسكري'!$I$2:$I$631,$I623))/$L623,0))</f>
        <v>80</v>
      </c>
      <c r="O623" s="25" t="n">
        <f aca="false">IF($L623=0,0,ROUND((SUMIFS('المرتبطة بسمو الوزير'!$N$2:$N$151,'المرتبطة بسمو الوزير'!$B$2:$B$151,$B623,'المرتبطة بسمو الوزير'!$G$2:$G$151,$G623,'المرتبطة بسمو الوزير'!$I$2:$I$151,$I623)+SUMIFS('الشؤون التنفيذية'!$O$2:$O$421,'الشؤون التنفيذية'!$B$2:$B$421,$B623,'الشؤون التنفيذية'!$G$2:$G$421,$G623,'الشؤون التنفيذية'!$I$2:$I$421,$I623)+SUMIFS('الجهاز العسكري'!$N$2:$N$631,'الجهاز العسكري'!$B$2:$B$631,$B623,'الجهاز العسكري'!$G$2:$G$631,$G623,'الجهاز العسكري'!$I$2:$I$631,$I623))/$L623,0))</f>
        <v>92</v>
      </c>
      <c r="P623" s="22"/>
      <c r="Q623" s="19" t="n">
        <f aca="false">SUMIFS(المرجع!$G$2:$G$19,المرجع!$B$2:$B$19,$G623,المرجع!$E$2:$E$19,$I623)</f>
        <v>20</v>
      </c>
      <c r="R623" s="26" t="n">
        <f aca="false">ROUND($Q623*$N623/100,2)</f>
        <v>16</v>
      </c>
      <c r="S623" s="27" t="str">
        <f aca="false">IF($N623&gt;المرجع!$K$3,"متقدم",IF($N623&lt;=المرجع!$K$2,"أولي","جزئي"))</f>
        <v>متقدم</v>
      </c>
      <c r="T623" s="28" t="n">
        <f aca="false">ROUND($Q623*$O623/100,2)</f>
        <v>18.4</v>
      </c>
    </row>
    <row r="624" customFormat="false" ht="15" hidden="false" customHeight="true" outlineLevel="0" collapsed="false">
      <c r="A624" s="20" t="s">
        <v>2076</v>
      </c>
      <c r="B624" s="20" t="s">
        <v>226</v>
      </c>
      <c r="C624" s="19" t="str">
        <f aca="false">IFERROR(INDEX('قائمة الوحدات'!$B$2:$B$41,MATCH($B624,'قائمة الوحدات'!$A$2:$A$41,0)),"")</f>
        <v>MIL</v>
      </c>
      <c r="D624" s="18" t="str">
        <f aca="false">IFERROR(INDEX('قائمة الوحدات'!$C$2:$C$41,MATCH($B624,'قائمة الوحدات'!$A$2:$A$41,0)),"")</f>
        <v>الجهاز العسكري</v>
      </c>
      <c r="E624" s="18" t="str">
        <f aca="false">IFERROR(INDEX('قائمة الوحدات'!$D$2:$D$41,MATCH($B624,'قائمة الوحدات'!$A$2:$A$41,0)),"")</f>
        <v>الإدارة العامة للتسليح والعتاد</v>
      </c>
      <c r="F624" s="18" t="str">
        <f aca="false">IFERROR(INDEX('قائمة الوحدات'!$F$2:$F$41,MATCH($B624,'قائمة الوحدات'!$A$2:$A$41,0)),"")</f>
        <v>الإدارة العامة للتسليح والعتاد</v>
      </c>
      <c r="G624" s="20" t="s">
        <v>62</v>
      </c>
      <c r="H624" s="18" t="str">
        <f aca="false">IFERROR(INDEX(المرجع!$A$2:$A$19,MATCH($G624,المرجع!$B$2:$B$19,0)),"")</f>
        <v>البناء المؤسسي</v>
      </c>
      <c r="I624" s="20" t="s">
        <v>57</v>
      </c>
      <c r="J624" s="18" t="str">
        <f aca="false">IFERROR(INDEX(المرجع!$D$2:$D$19,MATCH($I624,المرجع!$E$2:$E$19,0)),"")</f>
        <v>الموارد</v>
      </c>
      <c r="K624" s="19" t="n">
        <f aca="false">IFERROR(INDEX(المرجع!$F$2:$F$19,MATCH($I624,المرجع!$E$2:$E$19,0)),"")</f>
        <v>5</v>
      </c>
      <c r="L624" s="19" t="n">
        <f aca="false">SUMIFS(المرجع!$H$2:$H$19,المرجع!$B$2:$B$19,$G624,المرجع!$E$2:$E$19,$I624)</f>
        <v>4</v>
      </c>
      <c r="M624" s="19" t="n">
        <f aca="false">COUNTIFS('المرتبطة بسمو الوزير'!$B$2:$B$151,$B624,'المرتبطة بسمو الوزير'!$G$2:$G$151,$G624,'المرتبطة بسمو الوزير'!$I$2:$I$151,$I624,'المرتبطة بسمو الوزير'!$M$2:$M$151,"&lt;&gt;")+COUNTIFS('الشؤون التنفيذية'!$B$2:$B$421,$B624,'الشؤون التنفيذية'!$G$2:$G$421,$G624,'الشؤون التنفيذية'!$I$2:$I$421,$I624,'الشؤون التنفيذية'!$N$2:$N$421,"&lt;&gt;")+COUNTIFS('الجهاز العسكري'!$B$2:$B$631,$B624,'الجهاز العسكري'!$G$2:$G$631,$G624,'الجهاز العسكري'!$I$2:$I$631,$I624,'الجهاز العسكري'!$M$2:$M$631,"&lt;&gt;")</f>
        <v>4</v>
      </c>
      <c r="N624" s="24" t="n">
        <f aca="false">IF($L624=0,0,ROUND((SUMIFS('المرتبطة بسمو الوزير'!$M$2:$M$151,'المرتبطة بسمو الوزير'!$B$2:$B$151,$B624,'المرتبطة بسمو الوزير'!$G$2:$G$151,$G624,'المرتبطة بسمو الوزير'!$I$2:$I$151,$I624)+SUMIFS('الشؤون التنفيذية'!$N$2:$N$421,'الشؤون التنفيذية'!$B$2:$B$421,$B624,'الشؤون التنفيذية'!$G$2:$G$421,$G624,'الشؤون التنفيذية'!$I$2:$I$421,$I624)+SUMIFS('الجهاز العسكري'!$M$2:$M$631,'الجهاز العسكري'!$B$2:$B$631,$B624,'الجهاز العسكري'!$G$2:$G$631,$G624,'الجهاز العسكري'!$I$2:$I$631,$I624))/$L624,0))</f>
        <v>46</v>
      </c>
      <c r="O624" s="25" t="n">
        <f aca="false">IF($L624=0,0,ROUND((SUMIFS('المرتبطة بسمو الوزير'!$N$2:$N$151,'المرتبطة بسمو الوزير'!$B$2:$B$151,$B624,'المرتبطة بسمو الوزير'!$G$2:$G$151,$G624,'المرتبطة بسمو الوزير'!$I$2:$I$151,$I624)+SUMIFS('الشؤون التنفيذية'!$O$2:$O$421,'الشؤون التنفيذية'!$B$2:$B$421,$B624,'الشؤون التنفيذية'!$G$2:$G$421,$G624,'الشؤون التنفيذية'!$I$2:$I$421,$I624)+SUMIFS('الجهاز العسكري'!$N$2:$N$631,'الجهاز العسكري'!$B$2:$B$631,$B624,'الجهاز العسكري'!$G$2:$G$631,$G624,'الجهاز العسكري'!$I$2:$I$631,$I624))/$L624,0))</f>
        <v>98</v>
      </c>
      <c r="P624" s="22"/>
      <c r="Q624" s="19" t="n">
        <f aca="false">SUMIFS(المرجع!$G$2:$G$19,المرجع!$B$2:$B$19,$G624,المرجع!$E$2:$E$19,$I624)</f>
        <v>25</v>
      </c>
      <c r="R624" s="26" t="n">
        <f aca="false">ROUND($Q624*$N624/100,2)</f>
        <v>11.5</v>
      </c>
      <c r="S624" s="27" t="str">
        <f aca="false">IF($N624&gt;المرجع!$K$3,"متقدم",IF($N624&lt;=المرجع!$K$2,"أولي","جزئي"))</f>
        <v>جزئي</v>
      </c>
      <c r="T624" s="28" t="n">
        <f aca="false">ROUND($Q624*$O624/100,2)</f>
        <v>24.5</v>
      </c>
    </row>
    <row r="625" customFormat="false" ht="15" hidden="false" customHeight="true" outlineLevel="0" collapsed="false">
      <c r="A625" s="20" t="s">
        <v>2077</v>
      </c>
      <c r="B625" s="20" t="s">
        <v>226</v>
      </c>
      <c r="C625" s="19" t="str">
        <f aca="false">IFERROR(INDEX('قائمة الوحدات'!$B$2:$B$41,MATCH($B625,'قائمة الوحدات'!$A$2:$A$41,0)),"")</f>
        <v>MIL</v>
      </c>
      <c r="D625" s="18" t="str">
        <f aca="false">IFERROR(INDEX('قائمة الوحدات'!$C$2:$C$41,MATCH($B625,'قائمة الوحدات'!$A$2:$A$41,0)),"")</f>
        <v>الجهاز العسكري</v>
      </c>
      <c r="E625" s="18" t="str">
        <f aca="false">IFERROR(INDEX('قائمة الوحدات'!$D$2:$D$41,MATCH($B625,'قائمة الوحدات'!$A$2:$A$41,0)),"")</f>
        <v>الإدارة العامة للتسليح والعتاد</v>
      </c>
      <c r="F625" s="18" t="str">
        <f aca="false">IFERROR(INDEX('قائمة الوحدات'!$F$2:$F$41,MATCH($B625,'قائمة الوحدات'!$A$2:$A$41,0)),"")</f>
        <v>الإدارة العامة للتسليح والعتاد</v>
      </c>
      <c r="G625" s="20" t="s">
        <v>62</v>
      </c>
      <c r="H625" s="18" t="str">
        <f aca="false">IFERROR(INDEX(المرجع!$A$2:$A$19,MATCH($G625,المرجع!$B$2:$B$19,0)),"")</f>
        <v>البناء المؤسسي</v>
      </c>
      <c r="I625" s="20" t="s">
        <v>60</v>
      </c>
      <c r="J625" s="18" t="str">
        <f aca="false">IFERROR(INDEX(المرجع!$D$2:$D$19,MATCH($I625,المرجع!$E$2:$E$19,0)),"")</f>
        <v>الإجراءات</v>
      </c>
      <c r="K625" s="19" t="n">
        <f aca="false">IFERROR(INDEX(المرجع!$F$2:$F$19,MATCH($I625,المرجع!$E$2:$E$19,0)),"")</f>
        <v>6</v>
      </c>
      <c r="L625" s="19" t="n">
        <f aca="false">SUMIFS(المرجع!$H$2:$H$19,المرجع!$B$2:$B$19,$G625,المرجع!$E$2:$E$19,$I625)</f>
        <v>1</v>
      </c>
      <c r="M625" s="19" t="n">
        <f aca="false">COUNTIFS('المرتبطة بسمو الوزير'!$B$2:$B$151,$B625,'المرتبطة بسمو الوزير'!$G$2:$G$151,$G625,'المرتبطة بسمو الوزير'!$I$2:$I$151,$I625,'المرتبطة بسمو الوزير'!$M$2:$M$151,"&lt;&gt;")+COUNTIFS('الشؤون التنفيذية'!$B$2:$B$421,$B625,'الشؤون التنفيذية'!$G$2:$G$421,$G625,'الشؤون التنفيذية'!$I$2:$I$421,$I625,'الشؤون التنفيذية'!$N$2:$N$421,"&lt;&gt;")+COUNTIFS('الجهاز العسكري'!$B$2:$B$631,$B625,'الجهاز العسكري'!$G$2:$G$631,$G625,'الجهاز العسكري'!$I$2:$I$631,$I625,'الجهاز العسكري'!$M$2:$M$631,"&lt;&gt;")</f>
        <v>1</v>
      </c>
      <c r="N625" s="24" t="n">
        <f aca="false">IF($L625=0,0,ROUND((SUMIFS('المرتبطة بسمو الوزير'!$M$2:$M$151,'المرتبطة بسمو الوزير'!$B$2:$B$151,$B625,'المرتبطة بسمو الوزير'!$G$2:$G$151,$G625,'المرتبطة بسمو الوزير'!$I$2:$I$151,$I625)+SUMIFS('الشؤون التنفيذية'!$N$2:$N$421,'الشؤون التنفيذية'!$B$2:$B$421,$B625,'الشؤون التنفيذية'!$G$2:$G$421,$G625,'الشؤون التنفيذية'!$I$2:$I$421,$I625)+SUMIFS('الجهاز العسكري'!$M$2:$M$631,'الجهاز العسكري'!$B$2:$B$631,$B625,'الجهاز العسكري'!$G$2:$G$631,$G625,'الجهاز العسكري'!$I$2:$I$631,$I625))/$L625,0))</f>
        <v>67</v>
      </c>
      <c r="O625" s="25" t="n">
        <f aca="false">IF($L625=0,0,ROUND((SUMIFS('المرتبطة بسمو الوزير'!$N$2:$N$151,'المرتبطة بسمو الوزير'!$B$2:$B$151,$B625,'المرتبطة بسمو الوزير'!$G$2:$G$151,$G625,'المرتبطة بسمو الوزير'!$I$2:$I$151,$I625)+SUMIFS('الشؤون التنفيذية'!$O$2:$O$421,'الشؤون التنفيذية'!$B$2:$B$421,$B625,'الشؤون التنفيذية'!$G$2:$G$421,$G625,'الشؤون التنفيذية'!$I$2:$I$421,$I625)+SUMIFS('الجهاز العسكري'!$N$2:$N$631,'الجهاز العسكري'!$B$2:$B$631,$B625,'الجهاز العسكري'!$G$2:$G$631,$G625,'الجهاز العسكري'!$I$2:$I$631,$I625))/$L625,0))</f>
        <v>80</v>
      </c>
      <c r="P625" s="22"/>
      <c r="Q625" s="19" t="n">
        <f aca="false">SUMIFS(المرجع!$G$2:$G$19,المرجع!$B$2:$B$19,$G625,المرجع!$E$2:$E$19,$I625)</f>
        <v>5</v>
      </c>
      <c r="R625" s="26" t="n">
        <f aca="false">ROUND($Q625*$N625/100,2)</f>
        <v>3.35</v>
      </c>
      <c r="S625" s="27" t="str">
        <f aca="false">IF($N625&gt;المرجع!$K$3,"متقدم",IF($N625&lt;=المرجع!$K$2,"أولي","جزئي"))</f>
        <v>جزئي</v>
      </c>
      <c r="T625" s="28" t="n">
        <f aca="false">ROUND($Q625*$O625/100,2)</f>
        <v>4</v>
      </c>
    </row>
    <row r="626" customFormat="false" ht="15" hidden="false" customHeight="true" outlineLevel="0" collapsed="false">
      <c r="A626" s="20" t="s">
        <v>2078</v>
      </c>
      <c r="B626" s="20" t="s">
        <v>226</v>
      </c>
      <c r="C626" s="19" t="str">
        <f aca="false">IFERROR(INDEX('قائمة الوحدات'!$B$2:$B$41,MATCH($B626,'قائمة الوحدات'!$A$2:$A$41,0)),"")</f>
        <v>MIL</v>
      </c>
      <c r="D626" s="18" t="str">
        <f aca="false">IFERROR(INDEX('قائمة الوحدات'!$C$2:$C$41,MATCH($B626,'قائمة الوحدات'!$A$2:$A$41,0)),"")</f>
        <v>الجهاز العسكري</v>
      </c>
      <c r="E626" s="18" t="str">
        <f aca="false">IFERROR(INDEX('قائمة الوحدات'!$D$2:$D$41,MATCH($B626,'قائمة الوحدات'!$A$2:$A$41,0)),"")</f>
        <v>الإدارة العامة للتسليح والعتاد</v>
      </c>
      <c r="F626" s="18" t="str">
        <f aca="false">IFERROR(INDEX('قائمة الوحدات'!$F$2:$F$41,MATCH($B626,'قائمة الوحدات'!$A$2:$A$41,0)),"")</f>
        <v>الإدارة العامة للتسليح والعتاد</v>
      </c>
      <c r="G626" s="20" t="s">
        <v>62</v>
      </c>
      <c r="H626" s="18" t="str">
        <f aca="false">IFERROR(INDEX(المرجع!$A$2:$A$19,MATCH($G626,المرجع!$B$2:$B$19,0)),"")</f>
        <v>البناء المؤسسي</v>
      </c>
      <c r="I626" s="20" t="s">
        <v>69</v>
      </c>
      <c r="J626" s="18" t="str">
        <f aca="false">IFERROR(INDEX(المرجع!$D$2:$D$19,MATCH($I626,المرجع!$E$2:$E$19,0)),"")</f>
        <v>إنتاج المخرج الأول</v>
      </c>
      <c r="K626" s="19" t="n">
        <f aca="false">IFERROR(INDEX(المرجع!$F$2:$F$19,MATCH($I626,المرجع!$E$2:$E$19,0)),"")</f>
        <v>7</v>
      </c>
      <c r="L626" s="19" t="n">
        <f aca="false">SUMIFS(المرجع!$H$2:$H$19,المرجع!$B$2:$B$19,$G626,المرجع!$E$2:$E$19,$I626)</f>
        <v>1</v>
      </c>
      <c r="M626" s="19" t="n">
        <f aca="false">COUNTIFS('المرتبطة بسمو الوزير'!$B$2:$B$151,$B626,'المرتبطة بسمو الوزير'!$G$2:$G$151,$G626,'المرتبطة بسمو الوزير'!$I$2:$I$151,$I626,'المرتبطة بسمو الوزير'!$M$2:$M$151,"&lt;&gt;")+COUNTIFS('الشؤون التنفيذية'!$B$2:$B$421,$B626,'الشؤون التنفيذية'!$G$2:$G$421,$G626,'الشؤون التنفيذية'!$I$2:$I$421,$I626,'الشؤون التنفيذية'!$N$2:$N$421,"&lt;&gt;")+COUNTIFS('الجهاز العسكري'!$B$2:$B$631,$B626,'الجهاز العسكري'!$G$2:$G$631,$G626,'الجهاز العسكري'!$I$2:$I$631,$I626,'الجهاز العسكري'!$M$2:$M$631,"&lt;&gt;")</f>
        <v>1</v>
      </c>
      <c r="N626" s="24" t="n">
        <f aca="false">IF($L626=0,0,ROUND((SUMIFS('المرتبطة بسمو الوزير'!$M$2:$M$151,'المرتبطة بسمو الوزير'!$B$2:$B$151,$B626,'المرتبطة بسمو الوزير'!$G$2:$G$151,$G626,'المرتبطة بسمو الوزير'!$I$2:$I$151,$I626)+SUMIFS('الشؤون التنفيذية'!$N$2:$N$421,'الشؤون التنفيذية'!$B$2:$B$421,$B626,'الشؤون التنفيذية'!$G$2:$G$421,$G626,'الشؤون التنفيذية'!$I$2:$I$421,$I626)+SUMIFS('الجهاز العسكري'!$M$2:$M$631,'الجهاز العسكري'!$B$2:$B$631,$B626,'الجهاز العسكري'!$G$2:$G$631,$G626,'الجهاز العسكري'!$I$2:$I$631,$I626))/$L626,0))</f>
        <v>62</v>
      </c>
      <c r="O626" s="25" t="n">
        <f aca="false">IF($L626=0,0,ROUND((SUMIFS('المرتبطة بسمو الوزير'!$N$2:$N$151,'المرتبطة بسمو الوزير'!$B$2:$B$151,$B626,'المرتبطة بسمو الوزير'!$G$2:$G$151,$G626,'المرتبطة بسمو الوزير'!$I$2:$I$151,$I626)+SUMIFS('الشؤون التنفيذية'!$O$2:$O$421,'الشؤون التنفيذية'!$B$2:$B$421,$B626,'الشؤون التنفيذية'!$G$2:$G$421,$G626,'الشؤون التنفيذية'!$I$2:$I$421,$I626)+SUMIFS('الجهاز العسكري'!$N$2:$N$631,'الجهاز العسكري'!$B$2:$B$631,$B626,'الجهاز العسكري'!$G$2:$G$631,$G626,'الجهاز العسكري'!$I$2:$I$631,$I626))/$L626,0))</f>
        <v>85</v>
      </c>
      <c r="P626" s="22"/>
      <c r="Q626" s="19" t="n">
        <f aca="false">SUMIFS(المرجع!$G$2:$G$19,المرجع!$B$2:$B$19,$G626,المرجع!$E$2:$E$19,$I626)</f>
        <v>5</v>
      </c>
      <c r="R626" s="26" t="n">
        <f aca="false">ROUND($Q626*$N626/100,2)</f>
        <v>3.1</v>
      </c>
      <c r="S626" s="27" t="str">
        <f aca="false">IF($N626&gt;المرجع!$K$3,"متقدم",IF($N626&lt;=المرجع!$K$2,"أولي","جزئي"))</f>
        <v>جزئي</v>
      </c>
      <c r="T626" s="28" t="n">
        <f aca="false">ROUND($Q626*$O626/100,2)</f>
        <v>4.25</v>
      </c>
    </row>
    <row r="627" customFormat="false" ht="15" hidden="false" customHeight="true" outlineLevel="0" collapsed="false">
      <c r="A627" s="20" t="s">
        <v>2079</v>
      </c>
      <c r="B627" s="20" t="s">
        <v>226</v>
      </c>
      <c r="C627" s="19" t="str">
        <f aca="false">IFERROR(INDEX('قائمة الوحدات'!$B$2:$B$41,MATCH($B627,'قائمة الوحدات'!$A$2:$A$41,0)),"")</f>
        <v>MIL</v>
      </c>
      <c r="D627" s="18" t="str">
        <f aca="false">IFERROR(INDEX('قائمة الوحدات'!$C$2:$C$41,MATCH($B627,'قائمة الوحدات'!$A$2:$A$41,0)),"")</f>
        <v>الجهاز العسكري</v>
      </c>
      <c r="E627" s="18" t="str">
        <f aca="false">IFERROR(INDEX('قائمة الوحدات'!$D$2:$D$41,MATCH($B627,'قائمة الوحدات'!$A$2:$A$41,0)),"")</f>
        <v>الإدارة العامة للتسليح والعتاد</v>
      </c>
      <c r="F627" s="18" t="str">
        <f aca="false">IFERROR(INDEX('قائمة الوحدات'!$F$2:$F$41,MATCH($B627,'قائمة الوحدات'!$A$2:$A$41,0)),"")</f>
        <v>الإدارة العامة للتسليح والعتاد</v>
      </c>
      <c r="G627" s="20" t="s">
        <v>66</v>
      </c>
      <c r="H627" s="18" t="str">
        <f aca="false">IFERROR(INDEX(المرجع!$A$2:$A$19,MATCH($G627,المرجع!$B$2:$B$19,0)),"")</f>
        <v>التشغيل</v>
      </c>
      <c r="I627" s="20" t="s">
        <v>49</v>
      </c>
      <c r="J627" s="18" t="str">
        <f aca="false">IFERROR(INDEX(المرجع!$D$2:$D$19,MATCH($I627,المرجع!$E$2:$E$19,0)),"")</f>
        <v>الأهداف ومؤشرات الأداء</v>
      </c>
      <c r="K627" s="19" t="n">
        <f aca="false">IFERROR(INDEX(المرجع!$F$2:$F$19,MATCH($I627,المرجع!$E$2:$E$19,0)),"")</f>
        <v>2</v>
      </c>
      <c r="L627" s="19" t="n">
        <f aca="false">SUMIFS(المرجع!$H$2:$H$19,المرجع!$B$2:$B$19,$G627,المرجع!$E$2:$E$19,$I627)</f>
        <v>2</v>
      </c>
      <c r="M627" s="19" t="n">
        <f aca="false">COUNTIFS('المرتبطة بسمو الوزير'!$B$2:$B$151,$B627,'المرتبطة بسمو الوزير'!$G$2:$G$151,$G627,'المرتبطة بسمو الوزير'!$I$2:$I$151,$I627,'المرتبطة بسمو الوزير'!$M$2:$M$151,"&lt;&gt;")+COUNTIFS('الشؤون التنفيذية'!$B$2:$B$421,$B627,'الشؤون التنفيذية'!$G$2:$G$421,$G627,'الشؤون التنفيذية'!$I$2:$I$421,$I627,'الشؤون التنفيذية'!$N$2:$N$421,"&lt;&gt;")+COUNTIFS('الجهاز العسكري'!$B$2:$B$631,$B627,'الجهاز العسكري'!$G$2:$G$631,$G627,'الجهاز العسكري'!$I$2:$I$631,$I627,'الجهاز العسكري'!$M$2:$M$631,"&lt;&gt;")</f>
        <v>2</v>
      </c>
      <c r="N627" s="24" t="n">
        <f aca="false">IF($L627=0,0,ROUND((SUMIFS('المرتبطة بسمو الوزير'!$M$2:$M$151,'المرتبطة بسمو الوزير'!$B$2:$B$151,$B627,'المرتبطة بسمو الوزير'!$G$2:$G$151,$G627,'المرتبطة بسمو الوزير'!$I$2:$I$151,$I627)+SUMIFS('الشؤون التنفيذية'!$N$2:$N$421,'الشؤون التنفيذية'!$B$2:$B$421,$B627,'الشؤون التنفيذية'!$G$2:$G$421,$G627,'الشؤون التنفيذية'!$I$2:$I$421,$I627)+SUMIFS('الجهاز العسكري'!$M$2:$M$631,'الجهاز العسكري'!$B$2:$B$631,$B627,'الجهاز العسكري'!$G$2:$G$631,$G627,'الجهاز العسكري'!$I$2:$I$631,$I627))/$L627,0))</f>
        <v>45</v>
      </c>
      <c r="O627" s="25" t="n">
        <f aca="false">IF($L627=0,0,ROUND((SUMIFS('المرتبطة بسمو الوزير'!$N$2:$N$151,'المرتبطة بسمو الوزير'!$B$2:$B$151,$B627,'المرتبطة بسمو الوزير'!$G$2:$G$151,$G627,'المرتبطة بسمو الوزير'!$I$2:$I$151,$I627)+SUMIFS('الشؤون التنفيذية'!$O$2:$O$421,'الشؤون التنفيذية'!$B$2:$B$421,$B627,'الشؤون التنفيذية'!$G$2:$G$421,$G627,'الشؤون التنفيذية'!$I$2:$I$421,$I627)+SUMIFS('الجهاز العسكري'!$N$2:$N$631,'الجهاز العسكري'!$B$2:$B$631,$B627,'الجهاز العسكري'!$G$2:$G$631,$G627,'الجهاز العسكري'!$I$2:$I$631,$I627))/$L627,0))</f>
        <v>93</v>
      </c>
      <c r="P627" s="22"/>
      <c r="Q627" s="19" t="n">
        <f aca="false">SUMIFS(المرجع!$G$2:$G$19,المرجع!$B$2:$B$19,$G627,المرجع!$E$2:$E$19,$I627)</f>
        <v>25</v>
      </c>
      <c r="R627" s="26" t="n">
        <f aca="false">ROUND($Q627*$N627/100,2)</f>
        <v>11.25</v>
      </c>
      <c r="S627" s="27" t="str">
        <f aca="false">IF($N627&gt;المرجع!$K$3,"متقدم",IF($N627&lt;=المرجع!$K$2,"أولي","جزئي"))</f>
        <v>جزئي</v>
      </c>
      <c r="T627" s="28" t="n">
        <f aca="false">ROUND($Q627*$O627/100,2)</f>
        <v>23.25</v>
      </c>
    </row>
    <row r="628" customFormat="false" ht="15" hidden="false" customHeight="true" outlineLevel="0" collapsed="false">
      <c r="A628" s="20" t="s">
        <v>2080</v>
      </c>
      <c r="B628" s="20" t="s">
        <v>226</v>
      </c>
      <c r="C628" s="19" t="str">
        <f aca="false">IFERROR(INDEX('قائمة الوحدات'!$B$2:$B$41,MATCH($B628,'قائمة الوحدات'!$A$2:$A$41,0)),"")</f>
        <v>MIL</v>
      </c>
      <c r="D628" s="18" t="str">
        <f aca="false">IFERROR(INDEX('قائمة الوحدات'!$C$2:$C$41,MATCH($B628,'قائمة الوحدات'!$A$2:$A$41,0)),"")</f>
        <v>الجهاز العسكري</v>
      </c>
      <c r="E628" s="18" t="str">
        <f aca="false">IFERROR(INDEX('قائمة الوحدات'!$D$2:$D$41,MATCH($B628,'قائمة الوحدات'!$A$2:$A$41,0)),"")</f>
        <v>الإدارة العامة للتسليح والعتاد</v>
      </c>
      <c r="F628" s="18" t="str">
        <f aca="false">IFERROR(INDEX('قائمة الوحدات'!$F$2:$F$41,MATCH($B628,'قائمة الوحدات'!$A$2:$A$41,0)),"")</f>
        <v>الإدارة العامة للتسليح والعتاد</v>
      </c>
      <c r="G628" s="20" t="s">
        <v>66</v>
      </c>
      <c r="H628" s="18" t="str">
        <f aca="false">IFERROR(INDEX(المرجع!$A$2:$A$19,MATCH($G628,المرجع!$B$2:$B$19,0)),"")</f>
        <v>التشغيل</v>
      </c>
      <c r="I628" s="20" t="s">
        <v>52</v>
      </c>
      <c r="J628" s="18" t="str">
        <f aca="false">IFERROR(INDEX(المرجع!$D$2:$D$19,MATCH($I628,المرجع!$E$2:$E$19,0)),"")</f>
        <v>الحوكمة</v>
      </c>
      <c r="K628" s="19" t="n">
        <f aca="false">IFERROR(INDEX(المرجع!$F$2:$F$19,MATCH($I628,المرجع!$E$2:$E$19,0)),"")</f>
        <v>3</v>
      </c>
      <c r="L628" s="19" t="n">
        <f aca="false">SUMIFS(المرجع!$H$2:$H$19,المرجع!$B$2:$B$19,$G628,المرجع!$E$2:$E$19,$I628)</f>
        <v>3</v>
      </c>
      <c r="M628" s="19" t="n">
        <f aca="false">COUNTIFS('المرتبطة بسمو الوزير'!$B$2:$B$151,$B628,'المرتبطة بسمو الوزير'!$G$2:$G$151,$G628,'المرتبطة بسمو الوزير'!$I$2:$I$151,$I628,'المرتبطة بسمو الوزير'!$M$2:$M$151,"&lt;&gt;")+COUNTIFS('الشؤون التنفيذية'!$B$2:$B$421,$B628,'الشؤون التنفيذية'!$G$2:$G$421,$G628,'الشؤون التنفيذية'!$I$2:$I$421,$I628,'الشؤون التنفيذية'!$N$2:$N$421,"&lt;&gt;")+COUNTIFS('الجهاز العسكري'!$B$2:$B$631,$B628,'الجهاز العسكري'!$G$2:$G$631,$G628,'الجهاز العسكري'!$I$2:$I$631,$I628,'الجهاز العسكري'!$M$2:$M$631,"&lt;&gt;")</f>
        <v>3</v>
      </c>
      <c r="N628" s="24" t="n">
        <f aca="false">IF($L628=0,0,ROUND((SUMIFS('المرتبطة بسمو الوزير'!$M$2:$M$151,'المرتبطة بسمو الوزير'!$B$2:$B$151,$B628,'المرتبطة بسمو الوزير'!$G$2:$G$151,$G628,'المرتبطة بسمو الوزير'!$I$2:$I$151,$I628)+SUMIFS('الشؤون التنفيذية'!$N$2:$N$421,'الشؤون التنفيذية'!$B$2:$B$421,$B628,'الشؤون التنفيذية'!$G$2:$G$421,$G628,'الشؤون التنفيذية'!$I$2:$I$421,$I628)+SUMIFS('الجهاز العسكري'!$M$2:$M$631,'الجهاز العسكري'!$B$2:$B$631,$B628,'الجهاز العسكري'!$G$2:$G$631,$G628,'الجهاز العسكري'!$I$2:$I$631,$I628))/$L628,0))</f>
        <v>43</v>
      </c>
      <c r="O628" s="25" t="n">
        <f aca="false">IF($L628=0,0,ROUND((SUMIFS('المرتبطة بسمو الوزير'!$N$2:$N$151,'المرتبطة بسمو الوزير'!$B$2:$B$151,$B628,'المرتبطة بسمو الوزير'!$G$2:$G$151,$G628,'المرتبطة بسمو الوزير'!$I$2:$I$151,$I628)+SUMIFS('الشؤون التنفيذية'!$O$2:$O$421,'الشؤون التنفيذية'!$B$2:$B$421,$B628,'الشؤون التنفيذية'!$G$2:$G$421,$G628,'الشؤون التنفيذية'!$I$2:$I$421,$I628)+SUMIFS('الجهاز العسكري'!$N$2:$N$631,'الجهاز العسكري'!$B$2:$B$631,$B628,'الجهاز العسكري'!$G$2:$G$631,$G628,'الجهاز العسكري'!$I$2:$I$631,$I628))/$L628,0))</f>
        <v>88</v>
      </c>
      <c r="P628" s="22"/>
      <c r="Q628" s="19" t="n">
        <f aca="false">SUMIFS(المرجع!$G$2:$G$19,المرجع!$B$2:$B$19,$G628,المرجع!$E$2:$E$19,$I628)</f>
        <v>15</v>
      </c>
      <c r="R628" s="26" t="n">
        <f aca="false">ROUND($Q628*$N628/100,2)</f>
        <v>6.45</v>
      </c>
      <c r="S628" s="27" t="str">
        <f aca="false">IF($N628&gt;المرجع!$K$3,"متقدم",IF($N628&lt;=المرجع!$K$2,"أولي","جزئي"))</f>
        <v>جزئي</v>
      </c>
      <c r="T628" s="28" t="n">
        <f aca="false">ROUND($Q628*$O628/100,2)</f>
        <v>13.2</v>
      </c>
    </row>
    <row r="629" customFormat="false" ht="15" hidden="false" customHeight="true" outlineLevel="0" collapsed="false">
      <c r="A629" s="20" t="s">
        <v>2081</v>
      </c>
      <c r="B629" s="20" t="s">
        <v>226</v>
      </c>
      <c r="C629" s="19" t="str">
        <f aca="false">IFERROR(INDEX('قائمة الوحدات'!$B$2:$B$41,MATCH($B629,'قائمة الوحدات'!$A$2:$A$41,0)),"")</f>
        <v>MIL</v>
      </c>
      <c r="D629" s="18" t="str">
        <f aca="false">IFERROR(INDEX('قائمة الوحدات'!$C$2:$C$41,MATCH($B629,'قائمة الوحدات'!$A$2:$A$41,0)),"")</f>
        <v>الجهاز العسكري</v>
      </c>
      <c r="E629" s="18" t="str">
        <f aca="false">IFERROR(INDEX('قائمة الوحدات'!$D$2:$D$41,MATCH($B629,'قائمة الوحدات'!$A$2:$A$41,0)),"")</f>
        <v>الإدارة العامة للتسليح والعتاد</v>
      </c>
      <c r="F629" s="18" t="str">
        <f aca="false">IFERROR(INDEX('قائمة الوحدات'!$F$2:$F$41,MATCH($B629,'قائمة الوحدات'!$A$2:$A$41,0)),"")</f>
        <v>الإدارة العامة للتسليح والعتاد</v>
      </c>
      <c r="G629" s="20" t="s">
        <v>66</v>
      </c>
      <c r="H629" s="18" t="str">
        <f aca="false">IFERROR(INDEX(المرجع!$A$2:$A$19,MATCH($G629,المرجع!$B$2:$B$19,0)),"")</f>
        <v>التشغيل</v>
      </c>
      <c r="I629" s="20" t="s">
        <v>57</v>
      </c>
      <c r="J629" s="18" t="str">
        <f aca="false">IFERROR(INDEX(المرجع!$D$2:$D$19,MATCH($I629,المرجع!$E$2:$E$19,0)),"")</f>
        <v>الموارد</v>
      </c>
      <c r="K629" s="19" t="n">
        <f aca="false">IFERROR(INDEX(المرجع!$F$2:$F$19,MATCH($I629,المرجع!$E$2:$E$19,0)),"")</f>
        <v>5</v>
      </c>
      <c r="L629" s="19" t="n">
        <f aca="false">SUMIFS(المرجع!$H$2:$H$19,المرجع!$B$2:$B$19,$G629,المرجع!$E$2:$E$19,$I629)</f>
        <v>1</v>
      </c>
      <c r="M629" s="19" t="n">
        <f aca="false">COUNTIFS('المرتبطة بسمو الوزير'!$B$2:$B$151,$B629,'المرتبطة بسمو الوزير'!$G$2:$G$151,$G629,'المرتبطة بسمو الوزير'!$I$2:$I$151,$I629,'المرتبطة بسمو الوزير'!$M$2:$M$151,"&lt;&gt;")+COUNTIFS('الشؤون التنفيذية'!$B$2:$B$421,$B629,'الشؤون التنفيذية'!$G$2:$G$421,$G629,'الشؤون التنفيذية'!$I$2:$I$421,$I629,'الشؤون التنفيذية'!$N$2:$N$421,"&lt;&gt;")+COUNTIFS('الجهاز العسكري'!$B$2:$B$631,$B629,'الجهاز العسكري'!$G$2:$G$631,$G629,'الجهاز العسكري'!$I$2:$I$631,$I629,'الجهاز العسكري'!$M$2:$M$631,"&lt;&gt;")</f>
        <v>1</v>
      </c>
      <c r="N629" s="24" t="n">
        <f aca="false">IF($L629=0,0,ROUND((SUMIFS('المرتبطة بسمو الوزير'!$M$2:$M$151,'المرتبطة بسمو الوزير'!$B$2:$B$151,$B629,'المرتبطة بسمو الوزير'!$G$2:$G$151,$G629,'المرتبطة بسمو الوزير'!$I$2:$I$151,$I629)+SUMIFS('الشؤون التنفيذية'!$N$2:$N$421,'الشؤون التنفيذية'!$B$2:$B$421,$B629,'الشؤون التنفيذية'!$G$2:$G$421,$G629,'الشؤون التنفيذية'!$I$2:$I$421,$I629)+SUMIFS('الجهاز العسكري'!$M$2:$M$631,'الجهاز العسكري'!$B$2:$B$631,$B629,'الجهاز العسكري'!$G$2:$G$631,$G629,'الجهاز العسكري'!$I$2:$I$631,$I629))/$L629,0))</f>
        <v>30</v>
      </c>
      <c r="O629" s="25" t="n">
        <f aca="false">IF($L629=0,0,ROUND((SUMIFS('المرتبطة بسمو الوزير'!$N$2:$N$151,'المرتبطة بسمو الوزير'!$B$2:$B$151,$B629,'المرتبطة بسمو الوزير'!$G$2:$G$151,$G629,'المرتبطة بسمو الوزير'!$I$2:$I$151,$I629)+SUMIFS('الشؤون التنفيذية'!$O$2:$O$421,'الشؤون التنفيذية'!$B$2:$B$421,$B629,'الشؤون التنفيذية'!$G$2:$G$421,$G629,'الشؤون التنفيذية'!$I$2:$I$421,$I629)+SUMIFS('الجهاز العسكري'!$N$2:$N$631,'الجهاز العسكري'!$B$2:$B$631,$B629,'الجهاز العسكري'!$G$2:$G$631,$G629,'الجهاز العسكري'!$I$2:$I$631,$I629))/$L629,0))</f>
        <v>100</v>
      </c>
      <c r="P629" s="22"/>
      <c r="Q629" s="19" t="n">
        <f aca="false">SUMIFS(المرجع!$G$2:$G$19,المرجع!$B$2:$B$19,$G629,المرجع!$E$2:$E$19,$I629)</f>
        <v>15</v>
      </c>
      <c r="R629" s="26" t="n">
        <f aca="false">ROUND($Q629*$N629/100,2)</f>
        <v>4.5</v>
      </c>
      <c r="S629" s="27" t="str">
        <f aca="false">IF($N629&gt;المرجع!$K$3,"متقدم",IF($N629&lt;=المرجع!$K$2,"أولي","جزئي"))</f>
        <v>أولي</v>
      </c>
      <c r="T629" s="28" t="n">
        <f aca="false">ROUND($Q629*$O629/100,2)</f>
        <v>15</v>
      </c>
    </row>
    <row r="630" customFormat="false" ht="15" hidden="false" customHeight="true" outlineLevel="0" collapsed="false">
      <c r="A630" s="20" t="s">
        <v>2082</v>
      </c>
      <c r="B630" s="20" t="s">
        <v>226</v>
      </c>
      <c r="C630" s="19" t="str">
        <f aca="false">IFERROR(INDEX('قائمة الوحدات'!$B$2:$B$41,MATCH($B630,'قائمة الوحدات'!$A$2:$A$41,0)),"")</f>
        <v>MIL</v>
      </c>
      <c r="D630" s="18" t="str">
        <f aca="false">IFERROR(INDEX('قائمة الوحدات'!$C$2:$C$41,MATCH($B630,'قائمة الوحدات'!$A$2:$A$41,0)),"")</f>
        <v>الجهاز العسكري</v>
      </c>
      <c r="E630" s="18" t="str">
        <f aca="false">IFERROR(INDEX('قائمة الوحدات'!$D$2:$D$41,MATCH($B630,'قائمة الوحدات'!$A$2:$A$41,0)),"")</f>
        <v>الإدارة العامة للتسليح والعتاد</v>
      </c>
      <c r="F630" s="18" t="str">
        <f aca="false">IFERROR(INDEX('قائمة الوحدات'!$F$2:$F$41,MATCH($B630,'قائمة الوحدات'!$A$2:$A$41,0)),"")</f>
        <v>الإدارة العامة للتسليح والعتاد</v>
      </c>
      <c r="G630" s="20" t="s">
        <v>66</v>
      </c>
      <c r="H630" s="18" t="str">
        <f aca="false">IFERROR(INDEX(المرجع!$A$2:$A$19,MATCH($G630,المرجع!$B$2:$B$19,0)),"")</f>
        <v>التشغيل</v>
      </c>
      <c r="I630" s="20" t="s">
        <v>60</v>
      </c>
      <c r="J630" s="18" t="str">
        <f aca="false">IFERROR(INDEX(المرجع!$D$2:$D$19,MATCH($I630,المرجع!$E$2:$E$19,0)),"")</f>
        <v>الإجراءات</v>
      </c>
      <c r="K630" s="19" t="n">
        <f aca="false">IFERROR(INDEX(المرجع!$F$2:$F$19,MATCH($I630,المرجع!$E$2:$E$19,0)),"")</f>
        <v>6</v>
      </c>
      <c r="L630" s="19" t="n">
        <f aca="false">SUMIFS(المرجع!$H$2:$H$19,المرجع!$B$2:$B$19,$G630,المرجع!$E$2:$E$19,$I630)</f>
        <v>1</v>
      </c>
      <c r="M630" s="19" t="n">
        <f aca="false">COUNTIFS('المرتبطة بسمو الوزير'!$B$2:$B$151,$B630,'المرتبطة بسمو الوزير'!$G$2:$G$151,$G630,'المرتبطة بسمو الوزير'!$I$2:$I$151,$I630,'المرتبطة بسمو الوزير'!$M$2:$M$151,"&lt;&gt;")+COUNTIFS('الشؤون التنفيذية'!$B$2:$B$421,$B630,'الشؤون التنفيذية'!$G$2:$G$421,$G630,'الشؤون التنفيذية'!$I$2:$I$421,$I630,'الشؤون التنفيذية'!$N$2:$N$421,"&lt;&gt;")+COUNTIFS('الجهاز العسكري'!$B$2:$B$631,$B630,'الجهاز العسكري'!$G$2:$G$631,$G630,'الجهاز العسكري'!$I$2:$I$631,$I630,'الجهاز العسكري'!$M$2:$M$631,"&lt;&gt;")</f>
        <v>1</v>
      </c>
      <c r="N630" s="24" t="n">
        <f aca="false">IF($L630=0,0,ROUND((SUMIFS('المرتبطة بسمو الوزير'!$M$2:$M$151,'المرتبطة بسمو الوزير'!$B$2:$B$151,$B630,'المرتبطة بسمو الوزير'!$G$2:$G$151,$G630,'المرتبطة بسمو الوزير'!$I$2:$I$151,$I630)+SUMIFS('الشؤون التنفيذية'!$N$2:$N$421,'الشؤون التنفيذية'!$B$2:$B$421,$B630,'الشؤون التنفيذية'!$G$2:$G$421,$G630,'الشؤون التنفيذية'!$I$2:$I$421,$I630)+SUMIFS('الجهاز العسكري'!$M$2:$M$631,'الجهاز العسكري'!$B$2:$B$631,$B630,'الجهاز العسكري'!$G$2:$G$631,$G630,'الجهاز العسكري'!$I$2:$I$631,$I630))/$L630,0))</f>
        <v>25</v>
      </c>
      <c r="O630" s="25" t="n">
        <f aca="false">IF($L630=0,0,ROUND((SUMIFS('المرتبطة بسمو الوزير'!$N$2:$N$151,'المرتبطة بسمو الوزير'!$B$2:$B$151,$B630,'المرتبطة بسمو الوزير'!$G$2:$G$151,$G630,'المرتبطة بسمو الوزير'!$I$2:$I$151,$I630)+SUMIFS('الشؤون التنفيذية'!$O$2:$O$421,'الشؤون التنفيذية'!$B$2:$B$421,$B630,'الشؤون التنفيذية'!$G$2:$G$421,$G630,'الشؤون التنفيذية'!$I$2:$I$421,$I630)+SUMIFS('الجهاز العسكري'!$N$2:$N$631,'الجهاز العسكري'!$B$2:$B$631,$B630,'الجهاز العسكري'!$G$2:$G$631,$G630,'الجهاز العسكري'!$I$2:$I$631,$I630))/$L630,0))</f>
        <v>95</v>
      </c>
      <c r="P630" s="22"/>
      <c r="Q630" s="19" t="n">
        <f aca="false">SUMIFS(المرجع!$G$2:$G$19,المرجع!$B$2:$B$19,$G630,المرجع!$E$2:$E$19,$I630)</f>
        <v>15</v>
      </c>
      <c r="R630" s="26" t="n">
        <f aca="false">ROUND($Q630*$N630/100,2)</f>
        <v>3.75</v>
      </c>
      <c r="S630" s="27" t="str">
        <f aca="false">IF($N630&gt;المرجع!$K$3,"متقدم",IF($N630&lt;=المرجع!$K$2,"أولي","جزئي"))</f>
        <v>أولي</v>
      </c>
      <c r="T630" s="28" t="n">
        <f aca="false">ROUND($Q630*$O630/100,2)</f>
        <v>14.25</v>
      </c>
    </row>
    <row r="631" customFormat="false" ht="15" hidden="false" customHeight="true" outlineLevel="0" collapsed="false">
      <c r="A631" s="20" t="s">
        <v>2083</v>
      </c>
      <c r="B631" s="20" t="s">
        <v>226</v>
      </c>
      <c r="C631" s="19" t="str">
        <f aca="false">IFERROR(INDEX('قائمة الوحدات'!$B$2:$B$41,MATCH($B631,'قائمة الوحدات'!$A$2:$A$41,0)),"")</f>
        <v>MIL</v>
      </c>
      <c r="D631" s="18" t="str">
        <f aca="false">IFERROR(INDEX('قائمة الوحدات'!$C$2:$C$41,MATCH($B631,'قائمة الوحدات'!$A$2:$A$41,0)),"")</f>
        <v>الجهاز العسكري</v>
      </c>
      <c r="E631" s="18" t="str">
        <f aca="false">IFERROR(INDEX('قائمة الوحدات'!$D$2:$D$41,MATCH($B631,'قائمة الوحدات'!$A$2:$A$41,0)),"")</f>
        <v>الإدارة العامة للتسليح والعتاد</v>
      </c>
      <c r="F631" s="18" t="str">
        <f aca="false">IFERROR(INDEX('قائمة الوحدات'!$F$2:$F$41,MATCH($B631,'قائمة الوحدات'!$A$2:$A$41,0)),"")</f>
        <v>الإدارة العامة للتسليح والعتاد</v>
      </c>
      <c r="G631" s="20" t="s">
        <v>66</v>
      </c>
      <c r="H631" s="18" t="str">
        <f aca="false">IFERROR(INDEX(المرجع!$A$2:$A$19,MATCH($G631,المرجع!$B$2:$B$19,0)),"")</f>
        <v>التشغيل</v>
      </c>
      <c r="I631" s="20" t="s">
        <v>71</v>
      </c>
      <c r="J631" s="18" t="str">
        <f aca="false">IFERROR(INDEX(المرجع!$D$2:$D$19,MATCH($I631,المرجع!$E$2:$E$19,0)),"")</f>
        <v>اكتمال المخرجات المستهدفة</v>
      </c>
      <c r="K631" s="19" t="n">
        <f aca="false">IFERROR(INDEX(المرجع!$F$2:$F$19,MATCH($I631,المرجع!$E$2:$E$19,0)),"")</f>
        <v>8</v>
      </c>
      <c r="L631" s="19" t="n">
        <f aca="false">SUMIFS(المرجع!$H$2:$H$19,المرجع!$B$2:$B$19,$G631,المرجع!$E$2:$E$19,$I631)</f>
        <v>1</v>
      </c>
      <c r="M631" s="19" t="n">
        <f aca="false">COUNTIFS('المرتبطة بسمو الوزير'!$B$2:$B$151,$B631,'المرتبطة بسمو الوزير'!$G$2:$G$151,$G631,'المرتبطة بسمو الوزير'!$I$2:$I$151,$I631,'المرتبطة بسمو الوزير'!$M$2:$M$151,"&lt;&gt;")+COUNTIFS('الشؤون التنفيذية'!$B$2:$B$421,$B631,'الشؤون التنفيذية'!$G$2:$G$421,$G631,'الشؤون التنفيذية'!$I$2:$I$421,$I631,'الشؤون التنفيذية'!$N$2:$N$421,"&lt;&gt;")+COUNTIFS('الجهاز العسكري'!$B$2:$B$631,$B631,'الجهاز العسكري'!$G$2:$G$631,$G631,'الجهاز العسكري'!$I$2:$I$631,$I631,'الجهاز العسكري'!$M$2:$M$631,"&lt;&gt;")</f>
        <v>1</v>
      </c>
      <c r="N631" s="24" t="n">
        <f aca="false">IF($L631=0,0,ROUND((SUMIFS('المرتبطة بسمو الوزير'!$M$2:$M$151,'المرتبطة بسمو الوزير'!$B$2:$B$151,$B631,'المرتبطة بسمو الوزير'!$G$2:$G$151,$G631,'المرتبطة بسمو الوزير'!$I$2:$I$151,$I631)+SUMIFS('الشؤون التنفيذية'!$N$2:$N$421,'الشؤون التنفيذية'!$B$2:$B$421,$B631,'الشؤون التنفيذية'!$G$2:$G$421,$G631,'الشؤون التنفيذية'!$I$2:$I$421,$I631)+SUMIFS('الجهاز العسكري'!$M$2:$M$631,'الجهاز العسكري'!$B$2:$B$631,$B631,'الجهاز العسكري'!$G$2:$G$631,$G631,'الجهاز العسكري'!$I$2:$I$631,$I631))/$L631,0))</f>
        <v>36</v>
      </c>
      <c r="O631" s="25" t="n">
        <f aca="false">IF($L631=0,0,ROUND((SUMIFS('المرتبطة بسمو الوزير'!$N$2:$N$151,'المرتبطة بسمو الوزير'!$B$2:$B$151,$B631,'المرتبطة بسمو الوزير'!$G$2:$G$151,$G631,'المرتبطة بسمو الوزير'!$I$2:$I$151,$I631)+SUMIFS('الشؤون التنفيذية'!$O$2:$O$421,'الشؤون التنفيذية'!$B$2:$B$421,$B631,'الشؤون التنفيذية'!$G$2:$G$421,$G631,'الشؤون التنفيذية'!$I$2:$I$421,$I631)+SUMIFS('الجهاز العسكري'!$N$2:$N$631,'الجهاز العسكري'!$B$2:$B$631,$B631,'الجهاز العسكري'!$G$2:$G$631,$G631,'الجهاز العسكري'!$I$2:$I$631,$I631))/$L631,0))</f>
        <v>100</v>
      </c>
      <c r="P631" s="22"/>
      <c r="Q631" s="19" t="n">
        <f aca="false">SUMIFS(المرجع!$G$2:$G$19,المرجع!$B$2:$B$19,$G631,المرجع!$E$2:$E$19,$I631)</f>
        <v>30</v>
      </c>
      <c r="R631" s="26" t="n">
        <f aca="false">ROUND($Q631*$N631/100,2)</f>
        <v>10.8</v>
      </c>
      <c r="S631" s="27" t="str">
        <f aca="false">IF($N631&gt;المرجع!$K$3,"متقدم",IF($N631&lt;=المرجع!$K$2,"أولي","جزئي"))</f>
        <v>جزئي</v>
      </c>
      <c r="T631" s="28" t="n">
        <f aca="false">ROUND($Q631*$O631/100,2)</f>
        <v>30</v>
      </c>
    </row>
    <row r="632" customFormat="false" ht="15" hidden="false" customHeight="true" outlineLevel="0" collapsed="false">
      <c r="A632" s="20" t="s">
        <v>2084</v>
      </c>
      <c r="B632" s="20" t="s">
        <v>228</v>
      </c>
      <c r="C632" s="19" t="str">
        <f aca="false">IFERROR(INDEX('قائمة الوحدات'!$B$2:$B$41,MATCH($B632,'قائمة الوحدات'!$A$2:$A$41,0)),"")</f>
        <v>MIL</v>
      </c>
      <c r="D632" s="18" t="str">
        <f aca="false">IFERROR(INDEX('قائمة الوحدات'!$C$2:$C$41,MATCH($B632,'قائمة الوحدات'!$A$2:$A$41,0)),"")</f>
        <v>الجهاز العسكري</v>
      </c>
      <c r="E632" s="18" t="str">
        <f aca="false">IFERROR(INDEX('قائمة الوحدات'!$D$2:$D$41,MATCH($B632,'قائمة الوحدات'!$A$2:$A$41,0)),"")</f>
        <v>الإدارة العامة للقضاء العسكري</v>
      </c>
      <c r="F632" s="18" t="str">
        <f aca="false">IFERROR(INDEX('قائمة الوحدات'!$F$2:$F$41,MATCH($B632,'قائمة الوحدات'!$A$2:$A$41,0)),"")</f>
        <v>الإدارة العامة للقضاء العسكري</v>
      </c>
      <c r="G632" s="20" t="s">
        <v>44</v>
      </c>
      <c r="H632" s="18" t="str">
        <f aca="false">IFERROR(INDEX(المرجع!$A$2:$A$19,MATCH($G632,المرجع!$B$2:$B$19,0)),"")</f>
        <v>التصميم</v>
      </c>
      <c r="I632" s="20" t="s">
        <v>46</v>
      </c>
      <c r="J632" s="18" t="str">
        <f aca="false">IFERROR(INDEX(المرجع!$D$2:$D$19,MATCH($I632,المرجع!$E$2:$E$19,0)),"")</f>
        <v>الدور</v>
      </c>
      <c r="K632" s="19" t="n">
        <f aca="false">IFERROR(INDEX(المرجع!$F$2:$F$19,MATCH($I632,المرجع!$E$2:$E$19,0)),"")</f>
        <v>1</v>
      </c>
      <c r="L632" s="19" t="n">
        <f aca="false">SUMIFS(المرجع!$H$2:$H$19,المرجع!$B$2:$B$19,$G632,المرجع!$E$2:$E$19,$I632)</f>
        <v>1</v>
      </c>
      <c r="M632" s="19" t="n">
        <f aca="false">COUNTIFS('المرتبطة بسمو الوزير'!$B$2:$B$151,$B632,'المرتبطة بسمو الوزير'!$G$2:$G$151,$G632,'المرتبطة بسمو الوزير'!$I$2:$I$151,$I632,'المرتبطة بسمو الوزير'!$M$2:$M$151,"&lt;&gt;")+COUNTIFS('الشؤون التنفيذية'!$B$2:$B$421,$B632,'الشؤون التنفيذية'!$G$2:$G$421,$G632,'الشؤون التنفيذية'!$I$2:$I$421,$I632,'الشؤون التنفيذية'!$N$2:$N$421,"&lt;&gt;")+COUNTIFS('الجهاز العسكري'!$B$2:$B$631,$B632,'الجهاز العسكري'!$G$2:$G$631,$G632,'الجهاز العسكري'!$I$2:$I$631,$I632,'الجهاز العسكري'!$M$2:$M$631,"&lt;&gt;")</f>
        <v>1</v>
      </c>
      <c r="N632" s="24" t="n">
        <f aca="false">IF($L632=0,0,ROUND((SUMIFS('المرتبطة بسمو الوزير'!$M$2:$M$151,'المرتبطة بسمو الوزير'!$B$2:$B$151,$B632,'المرتبطة بسمو الوزير'!$G$2:$G$151,$G632,'المرتبطة بسمو الوزير'!$I$2:$I$151,$I632)+SUMIFS('الشؤون التنفيذية'!$N$2:$N$421,'الشؤون التنفيذية'!$B$2:$B$421,$B632,'الشؤون التنفيذية'!$G$2:$G$421,$G632,'الشؤون التنفيذية'!$I$2:$I$421,$I632)+SUMIFS('الجهاز العسكري'!$M$2:$M$631,'الجهاز العسكري'!$B$2:$B$631,$B632,'الجهاز العسكري'!$G$2:$G$631,$G632,'الجهاز العسكري'!$I$2:$I$631,$I632))/$L632,0))</f>
        <v>95</v>
      </c>
      <c r="O632" s="25" t="n">
        <f aca="false">IF($L632=0,0,ROUND((SUMIFS('المرتبطة بسمو الوزير'!$N$2:$N$151,'المرتبطة بسمو الوزير'!$B$2:$B$151,$B632,'المرتبطة بسمو الوزير'!$G$2:$G$151,$G632,'المرتبطة بسمو الوزير'!$I$2:$I$151,$I632)+SUMIFS('الشؤون التنفيذية'!$O$2:$O$421,'الشؤون التنفيذية'!$B$2:$B$421,$B632,'الشؤون التنفيذية'!$G$2:$G$421,$G632,'الشؤون التنفيذية'!$I$2:$I$421,$I632)+SUMIFS('الجهاز العسكري'!$N$2:$N$631,'الجهاز العسكري'!$B$2:$B$631,$B632,'الجهاز العسكري'!$G$2:$G$631,$G632,'الجهاز العسكري'!$I$2:$I$631,$I632))/$L632,0))</f>
        <v>95</v>
      </c>
      <c r="P632" s="22"/>
      <c r="Q632" s="19" t="n">
        <f aca="false">SUMIFS(المرجع!$G$2:$G$19,المرجع!$B$2:$B$19,$G632,المرجع!$E$2:$E$19,$I632)</f>
        <v>25</v>
      </c>
      <c r="R632" s="26" t="n">
        <f aca="false">ROUND($Q632*$N632/100,2)</f>
        <v>23.75</v>
      </c>
      <c r="S632" s="27" t="str">
        <f aca="false">IF($N632&gt;المرجع!$K$3,"متقدم",IF($N632&lt;=المرجع!$K$2,"أولي","جزئي"))</f>
        <v>متقدم</v>
      </c>
      <c r="T632" s="28" t="n">
        <f aca="false">ROUND($Q632*$O632/100,2)</f>
        <v>23.75</v>
      </c>
    </row>
    <row r="633" customFormat="false" ht="15" hidden="false" customHeight="true" outlineLevel="0" collapsed="false">
      <c r="A633" s="20" t="s">
        <v>2085</v>
      </c>
      <c r="B633" s="20" t="s">
        <v>228</v>
      </c>
      <c r="C633" s="19" t="str">
        <f aca="false">IFERROR(INDEX('قائمة الوحدات'!$B$2:$B$41,MATCH($B633,'قائمة الوحدات'!$A$2:$A$41,0)),"")</f>
        <v>MIL</v>
      </c>
      <c r="D633" s="18" t="str">
        <f aca="false">IFERROR(INDEX('قائمة الوحدات'!$C$2:$C$41,MATCH($B633,'قائمة الوحدات'!$A$2:$A$41,0)),"")</f>
        <v>الجهاز العسكري</v>
      </c>
      <c r="E633" s="18" t="str">
        <f aca="false">IFERROR(INDEX('قائمة الوحدات'!$D$2:$D$41,MATCH($B633,'قائمة الوحدات'!$A$2:$A$41,0)),"")</f>
        <v>الإدارة العامة للقضاء العسكري</v>
      </c>
      <c r="F633" s="18" t="str">
        <f aca="false">IFERROR(INDEX('قائمة الوحدات'!$F$2:$F$41,MATCH($B633,'قائمة الوحدات'!$A$2:$A$41,0)),"")</f>
        <v>الإدارة العامة للقضاء العسكري</v>
      </c>
      <c r="G633" s="20" t="s">
        <v>44</v>
      </c>
      <c r="H633" s="18" t="str">
        <f aca="false">IFERROR(INDEX(المرجع!$A$2:$A$19,MATCH($G633,المرجع!$B$2:$B$19,0)),"")</f>
        <v>التصميم</v>
      </c>
      <c r="I633" s="20" t="s">
        <v>49</v>
      </c>
      <c r="J633" s="18" t="str">
        <f aca="false">IFERROR(INDEX(المرجع!$D$2:$D$19,MATCH($I633,المرجع!$E$2:$E$19,0)),"")</f>
        <v>الأهداف ومؤشرات الأداء</v>
      </c>
      <c r="K633" s="19" t="n">
        <f aca="false">IFERROR(INDEX(المرجع!$F$2:$F$19,MATCH($I633,المرجع!$E$2:$E$19,0)),"")</f>
        <v>2</v>
      </c>
      <c r="L633" s="19" t="n">
        <f aca="false">SUMIFS(المرجع!$H$2:$H$19,المرجع!$B$2:$B$19,$G633,المرجع!$E$2:$E$19,$I633)</f>
        <v>2</v>
      </c>
      <c r="M633" s="19" t="n">
        <f aca="false">COUNTIFS('المرتبطة بسمو الوزير'!$B$2:$B$151,$B633,'المرتبطة بسمو الوزير'!$G$2:$G$151,$G633,'المرتبطة بسمو الوزير'!$I$2:$I$151,$I633,'المرتبطة بسمو الوزير'!$M$2:$M$151,"&lt;&gt;")+COUNTIFS('الشؤون التنفيذية'!$B$2:$B$421,$B633,'الشؤون التنفيذية'!$G$2:$G$421,$G633,'الشؤون التنفيذية'!$I$2:$I$421,$I633,'الشؤون التنفيذية'!$N$2:$N$421,"&lt;&gt;")+COUNTIFS('الجهاز العسكري'!$B$2:$B$631,$B633,'الجهاز العسكري'!$G$2:$G$631,$G633,'الجهاز العسكري'!$I$2:$I$631,$I633,'الجهاز العسكري'!$M$2:$M$631,"&lt;&gt;")</f>
        <v>2</v>
      </c>
      <c r="N633" s="24" t="n">
        <f aca="false">IF($L633=0,0,ROUND((SUMIFS('المرتبطة بسمو الوزير'!$M$2:$M$151,'المرتبطة بسمو الوزير'!$B$2:$B$151,$B633,'المرتبطة بسمو الوزير'!$G$2:$G$151,$G633,'المرتبطة بسمو الوزير'!$I$2:$I$151,$I633)+SUMIFS('الشؤون التنفيذية'!$N$2:$N$421,'الشؤون التنفيذية'!$B$2:$B$421,$B633,'الشؤون التنفيذية'!$G$2:$G$421,$G633,'الشؤون التنفيذية'!$I$2:$I$421,$I633)+SUMIFS('الجهاز العسكري'!$M$2:$M$631,'الجهاز العسكري'!$B$2:$B$631,$B633,'الجهاز العسكري'!$G$2:$G$631,$G633,'الجهاز العسكري'!$I$2:$I$631,$I633))/$L633,0))</f>
        <v>83</v>
      </c>
      <c r="O633" s="25" t="n">
        <f aca="false">IF($L633=0,0,ROUND((SUMIFS('المرتبطة بسمو الوزير'!$N$2:$N$151,'المرتبطة بسمو الوزير'!$B$2:$B$151,$B633,'المرتبطة بسمو الوزير'!$G$2:$G$151,$G633,'المرتبطة بسمو الوزير'!$I$2:$I$151,$I633)+SUMIFS('الشؤون التنفيذية'!$O$2:$O$421,'الشؤون التنفيذية'!$B$2:$B$421,$B633,'الشؤون التنفيذية'!$G$2:$G$421,$G633,'الشؤون التنفيذية'!$I$2:$I$421,$I633)+SUMIFS('الجهاز العسكري'!$N$2:$N$631,'الجهاز العسكري'!$B$2:$B$631,$B633,'الجهاز العسكري'!$G$2:$G$631,$G633,'الجهاز العسكري'!$I$2:$I$631,$I633))/$L633,0))</f>
        <v>93</v>
      </c>
      <c r="P633" s="22"/>
      <c r="Q633" s="19" t="n">
        <f aca="false">SUMIFS(المرجع!$G$2:$G$19,المرجع!$B$2:$B$19,$G633,المرجع!$E$2:$E$19,$I633)</f>
        <v>15</v>
      </c>
      <c r="R633" s="26" t="n">
        <f aca="false">ROUND($Q633*$N633/100,2)</f>
        <v>12.45</v>
      </c>
      <c r="S633" s="27" t="str">
        <f aca="false">IF($N633&gt;المرجع!$K$3,"متقدم",IF($N633&lt;=المرجع!$K$2,"أولي","جزئي"))</f>
        <v>متقدم</v>
      </c>
      <c r="T633" s="28" t="n">
        <f aca="false">ROUND($Q633*$O633/100,2)</f>
        <v>13.95</v>
      </c>
    </row>
    <row r="634" customFormat="false" ht="15" hidden="false" customHeight="true" outlineLevel="0" collapsed="false">
      <c r="A634" s="20" t="s">
        <v>2086</v>
      </c>
      <c r="B634" s="20" t="s">
        <v>228</v>
      </c>
      <c r="C634" s="19" t="str">
        <f aca="false">IFERROR(INDEX('قائمة الوحدات'!$B$2:$B$41,MATCH($B634,'قائمة الوحدات'!$A$2:$A$41,0)),"")</f>
        <v>MIL</v>
      </c>
      <c r="D634" s="18" t="str">
        <f aca="false">IFERROR(INDEX('قائمة الوحدات'!$C$2:$C$41,MATCH($B634,'قائمة الوحدات'!$A$2:$A$41,0)),"")</f>
        <v>الجهاز العسكري</v>
      </c>
      <c r="E634" s="18" t="str">
        <f aca="false">IFERROR(INDEX('قائمة الوحدات'!$D$2:$D$41,MATCH($B634,'قائمة الوحدات'!$A$2:$A$41,0)),"")</f>
        <v>الإدارة العامة للقضاء العسكري</v>
      </c>
      <c r="F634" s="18" t="str">
        <f aca="false">IFERROR(INDEX('قائمة الوحدات'!$F$2:$F$41,MATCH($B634,'قائمة الوحدات'!$A$2:$A$41,0)),"")</f>
        <v>الإدارة العامة للقضاء العسكري</v>
      </c>
      <c r="G634" s="20" t="s">
        <v>44</v>
      </c>
      <c r="H634" s="18" t="str">
        <f aca="false">IFERROR(INDEX(المرجع!$A$2:$A$19,MATCH($G634,المرجع!$B$2:$B$19,0)),"")</f>
        <v>التصميم</v>
      </c>
      <c r="I634" s="20" t="s">
        <v>52</v>
      </c>
      <c r="J634" s="18" t="str">
        <f aca="false">IFERROR(INDEX(المرجع!$D$2:$D$19,MATCH($I634,المرجع!$E$2:$E$19,0)),"")</f>
        <v>الحوكمة</v>
      </c>
      <c r="K634" s="19" t="n">
        <f aca="false">IFERROR(INDEX(المرجع!$F$2:$F$19,MATCH($I634,المرجع!$E$2:$E$19,0)),"")</f>
        <v>3</v>
      </c>
      <c r="L634" s="19" t="n">
        <f aca="false">SUMIFS(المرجع!$H$2:$H$19,المرجع!$B$2:$B$19,$G634,المرجع!$E$2:$E$19,$I634)</f>
        <v>1</v>
      </c>
      <c r="M634" s="19" t="n">
        <f aca="false">COUNTIFS('المرتبطة بسمو الوزير'!$B$2:$B$151,$B634,'المرتبطة بسمو الوزير'!$G$2:$G$151,$G634,'المرتبطة بسمو الوزير'!$I$2:$I$151,$I634,'المرتبطة بسمو الوزير'!$M$2:$M$151,"&lt;&gt;")+COUNTIFS('الشؤون التنفيذية'!$B$2:$B$421,$B634,'الشؤون التنفيذية'!$G$2:$G$421,$G634,'الشؤون التنفيذية'!$I$2:$I$421,$I634,'الشؤون التنفيذية'!$N$2:$N$421,"&lt;&gt;")+COUNTIFS('الجهاز العسكري'!$B$2:$B$631,$B634,'الجهاز العسكري'!$G$2:$G$631,$G634,'الجهاز العسكري'!$I$2:$I$631,$I634,'الجهاز العسكري'!$M$2:$M$631,"&lt;&gt;")</f>
        <v>1</v>
      </c>
      <c r="N634" s="24" t="n">
        <f aca="false">IF($L634=0,0,ROUND((SUMIFS('المرتبطة بسمو الوزير'!$M$2:$M$151,'المرتبطة بسمو الوزير'!$B$2:$B$151,$B634,'المرتبطة بسمو الوزير'!$G$2:$G$151,$G634,'المرتبطة بسمو الوزير'!$I$2:$I$151,$I634)+SUMIFS('الشؤون التنفيذية'!$N$2:$N$421,'الشؤون التنفيذية'!$B$2:$B$421,$B634,'الشؤون التنفيذية'!$G$2:$G$421,$G634,'الشؤون التنفيذية'!$I$2:$I$421,$I634)+SUMIFS('الجهاز العسكري'!$M$2:$M$631,'الجهاز العسكري'!$B$2:$B$631,$B634,'الجهاز العسكري'!$G$2:$G$631,$G634,'الجهاز العسكري'!$I$2:$I$631,$I634))/$L634,0))</f>
        <v>92</v>
      </c>
      <c r="O634" s="25" t="n">
        <f aca="false">IF($L634=0,0,ROUND((SUMIFS('المرتبطة بسمو الوزير'!$N$2:$N$151,'المرتبطة بسمو الوزير'!$B$2:$B$151,$B634,'المرتبطة بسمو الوزير'!$G$2:$G$151,$G634,'المرتبطة بسمو الوزير'!$I$2:$I$151,$I634)+SUMIFS('الشؤون التنفيذية'!$O$2:$O$421,'الشؤون التنفيذية'!$B$2:$B$421,$B634,'الشؤون التنفيذية'!$G$2:$G$421,$G634,'الشؤون التنفيذية'!$I$2:$I$421,$I634)+SUMIFS('الجهاز العسكري'!$N$2:$N$631,'الجهاز العسكري'!$B$2:$B$631,$B634,'الجهاز العسكري'!$G$2:$G$631,$G634,'الجهاز العسكري'!$I$2:$I$631,$I634))/$L634,0))</f>
        <v>100</v>
      </c>
      <c r="P634" s="22"/>
      <c r="Q634" s="19" t="n">
        <f aca="false">SUMIFS(المرجع!$G$2:$G$19,المرجع!$B$2:$B$19,$G634,المرجع!$E$2:$E$19,$I634)</f>
        <v>15</v>
      </c>
      <c r="R634" s="26" t="n">
        <f aca="false">ROUND($Q634*$N634/100,2)</f>
        <v>13.8</v>
      </c>
      <c r="S634" s="27" t="str">
        <f aca="false">IF($N634&gt;المرجع!$K$3,"متقدم",IF($N634&lt;=المرجع!$K$2,"أولي","جزئي"))</f>
        <v>متقدم</v>
      </c>
      <c r="T634" s="28" t="n">
        <f aca="false">ROUND($Q634*$O634/100,2)</f>
        <v>15</v>
      </c>
    </row>
    <row r="635" customFormat="false" ht="15" hidden="false" customHeight="true" outlineLevel="0" collapsed="false">
      <c r="A635" s="20" t="s">
        <v>2087</v>
      </c>
      <c r="B635" s="20" t="s">
        <v>228</v>
      </c>
      <c r="C635" s="19" t="str">
        <f aca="false">IFERROR(INDEX('قائمة الوحدات'!$B$2:$B$41,MATCH($B635,'قائمة الوحدات'!$A$2:$A$41,0)),"")</f>
        <v>MIL</v>
      </c>
      <c r="D635" s="18" t="str">
        <f aca="false">IFERROR(INDEX('قائمة الوحدات'!$C$2:$C$41,MATCH($B635,'قائمة الوحدات'!$A$2:$A$41,0)),"")</f>
        <v>الجهاز العسكري</v>
      </c>
      <c r="E635" s="18" t="str">
        <f aca="false">IFERROR(INDEX('قائمة الوحدات'!$D$2:$D$41,MATCH($B635,'قائمة الوحدات'!$A$2:$A$41,0)),"")</f>
        <v>الإدارة العامة للقضاء العسكري</v>
      </c>
      <c r="F635" s="18" t="str">
        <f aca="false">IFERROR(INDEX('قائمة الوحدات'!$F$2:$F$41,MATCH($B635,'قائمة الوحدات'!$A$2:$A$41,0)),"")</f>
        <v>الإدارة العامة للقضاء العسكري</v>
      </c>
      <c r="G635" s="20" t="s">
        <v>44</v>
      </c>
      <c r="H635" s="18" t="str">
        <f aca="false">IFERROR(INDEX(المرجع!$A$2:$A$19,MATCH($G635,المرجع!$B$2:$B$19,0)),"")</f>
        <v>التصميم</v>
      </c>
      <c r="I635" s="20" t="s">
        <v>55</v>
      </c>
      <c r="J635" s="18" t="str">
        <f aca="false">IFERROR(INDEX(المرجع!$D$2:$D$19,MATCH($I635,المرجع!$E$2:$E$19,0)),"")</f>
        <v>التنظيم</v>
      </c>
      <c r="K635" s="19" t="n">
        <f aca="false">IFERROR(INDEX(المرجع!$F$2:$F$19,MATCH($I635,المرجع!$E$2:$E$19,0)),"")</f>
        <v>4</v>
      </c>
      <c r="L635" s="19" t="n">
        <f aca="false">SUMIFS(المرجع!$H$2:$H$19,المرجع!$B$2:$B$19,$G635,المرجع!$E$2:$E$19,$I635)</f>
        <v>1</v>
      </c>
      <c r="M635" s="19" t="n">
        <f aca="false">COUNTIFS('المرتبطة بسمو الوزير'!$B$2:$B$151,$B635,'المرتبطة بسمو الوزير'!$G$2:$G$151,$G635,'المرتبطة بسمو الوزير'!$I$2:$I$151,$I635,'المرتبطة بسمو الوزير'!$M$2:$M$151,"&lt;&gt;")+COUNTIFS('الشؤون التنفيذية'!$B$2:$B$421,$B635,'الشؤون التنفيذية'!$G$2:$G$421,$G635,'الشؤون التنفيذية'!$I$2:$I$421,$I635,'الشؤون التنفيذية'!$N$2:$N$421,"&lt;&gt;")+COUNTIFS('الجهاز العسكري'!$B$2:$B$631,$B635,'الجهاز العسكري'!$G$2:$G$631,$G635,'الجهاز العسكري'!$I$2:$I$631,$I635,'الجهاز العسكري'!$M$2:$M$631,"&lt;&gt;")</f>
        <v>1</v>
      </c>
      <c r="N635" s="24" t="n">
        <f aca="false">IF($L635=0,0,ROUND((SUMIFS('المرتبطة بسمو الوزير'!$M$2:$M$151,'المرتبطة بسمو الوزير'!$B$2:$B$151,$B635,'المرتبطة بسمو الوزير'!$G$2:$G$151,$G635,'المرتبطة بسمو الوزير'!$I$2:$I$151,$I635)+SUMIFS('الشؤون التنفيذية'!$N$2:$N$421,'الشؤون التنفيذية'!$B$2:$B$421,$B635,'الشؤون التنفيذية'!$G$2:$G$421,$G635,'الشؤون التنفيذية'!$I$2:$I$421,$I635)+SUMIFS('الجهاز العسكري'!$M$2:$M$631,'الجهاز العسكري'!$B$2:$B$631,$B635,'الجهاز العسكري'!$G$2:$G$631,$G635,'الجهاز العسكري'!$I$2:$I$631,$I635))/$L635,0))</f>
        <v>95</v>
      </c>
      <c r="O635" s="25" t="n">
        <f aca="false">IF($L635=0,0,ROUND((SUMIFS('المرتبطة بسمو الوزير'!$N$2:$N$151,'المرتبطة بسمو الوزير'!$B$2:$B$151,$B635,'المرتبطة بسمو الوزير'!$G$2:$G$151,$G635,'المرتبطة بسمو الوزير'!$I$2:$I$151,$I635)+SUMIFS('الشؤون التنفيذية'!$O$2:$O$421,'الشؤون التنفيذية'!$B$2:$B$421,$B635,'الشؤون التنفيذية'!$G$2:$G$421,$G635,'الشؤون التنفيذية'!$I$2:$I$421,$I635)+SUMIFS('الجهاز العسكري'!$N$2:$N$631,'الجهاز العسكري'!$B$2:$B$631,$B635,'الجهاز العسكري'!$G$2:$G$631,$G635,'الجهاز العسكري'!$I$2:$I$631,$I635))/$L635,0))</f>
        <v>95</v>
      </c>
      <c r="P635" s="22"/>
      <c r="Q635" s="19" t="n">
        <f aca="false">SUMIFS(المرجع!$G$2:$G$19,المرجع!$B$2:$B$19,$G635,المرجع!$E$2:$E$19,$I635)</f>
        <v>20</v>
      </c>
      <c r="R635" s="26" t="n">
        <f aca="false">ROUND($Q635*$N635/100,2)</f>
        <v>19</v>
      </c>
      <c r="S635" s="27" t="str">
        <f aca="false">IF($N635&gt;المرجع!$K$3,"متقدم",IF($N635&lt;=المرجع!$K$2,"أولي","جزئي"))</f>
        <v>متقدم</v>
      </c>
      <c r="T635" s="28" t="n">
        <f aca="false">ROUND($Q635*$O635/100,2)</f>
        <v>19</v>
      </c>
    </row>
    <row r="636" customFormat="false" ht="15" hidden="false" customHeight="true" outlineLevel="0" collapsed="false">
      <c r="A636" s="20" t="s">
        <v>2088</v>
      </c>
      <c r="B636" s="20" t="s">
        <v>228</v>
      </c>
      <c r="C636" s="19" t="str">
        <f aca="false">IFERROR(INDEX('قائمة الوحدات'!$B$2:$B$41,MATCH($B636,'قائمة الوحدات'!$A$2:$A$41,0)),"")</f>
        <v>MIL</v>
      </c>
      <c r="D636" s="18" t="str">
        <f aca="false">IFERROR(INDEX('قائمة الوحدات'!$C$2:$C$41,MATCH($B636,'قائمة الوحدات'!$A$2:$A$41,0)),"")</f>
        <v>الجهاز العسكري</v>
      </c>
      <c r="E636" s="18" t="str">
        <f aca="false">IFERROR(INDEX('قائمة الوحدات'!$D$2:$D$41,MATCH($B636,'قائمة الوحدات'!$A$2:$A$41,0)),"")</f>
        <v>الإدارة العامة للقضاء العسكري</v>
      </c>
      <c r="F636" s="18" t="str">
        <f aca="false">IFERROR(INDEX('قائمة الوحدات'!$F$2:$F$41,MATCH($B636,'قائمة الوحدات'!$A$2:$A$41,0)),"")</f>
        <v>الإدارة العامة للقضاء العسكري</v>
      </c>
      <c r="G636" s="20" t="s">
        <v>44</v>
      </c>
      <c r="H636" s="18" t="str">
        <f aca="false">IFERROR(INDEX(المرجع!$A$2:$A$19,MATCH($G636,المرجع!$B$2:$B$19,0)),"")</f>
        <v>التصميم</v>
      </c>
      <c r="I636" s="20" t="s">
        <v>57</v>
      </c>
      <c r="J636" s="18" t="str">
        <f aca="false">IFERROR(INDEX(المرجع!$D$2:$D$19,MATCH($I636,المرجع!$E$2:$E$19,0)),"")</f>
        <v>الموارد</v>
      </c>
      <c r="K636" s="19" t="n">
        <f aca="false">IFERROR(INDEX(المرجع!$F$2:$F$19,MATCH($I636,المرجع!$E$2:$E$19,0)),"")</f>
        <v>5</v>
      </c>
      <c r="L636" s="19" t="n">
        <f aca="false">SUMIFS(المرجع!$H$2:$H$19,المرجع!$B$2:$B$19,$G636,المرجع!$E$2:$E$19,$I636)</f>
        <v>1</v>
      </c>
      <c r="M636" s="19" t="n">
        <f aca="false">COUNTIFS('المرتبطة بسمو الوزير'!$B$2:$B$151,$B636,'المرتبطة بسمو الوزير'!$G$2:$G$151,$G636,'المرتبطة بسمو الوزير'!$I$2:$I$151,$I636,'المرتبطة بسمو الوزير'!$M$2:$M$151,"&lt;&gt;")+COUNTIFS('الشؤون التنفيذية'!$B$2:$B$421,$B636,'الشؤون التنفيذية'!$G$2:$G$421,$G636,'الشؤون التنفيذية'!$I$2:$I$421,$I636,'الشؤون التنفيذية'!$N$2:$N$421,"&lt;&gt;")+COUNTIFS('الجهاز العسكري'!$B$2:$B$631,$B636,'الجهاز العسكري'!$G$2:$G$631,$G636,'الجهاز العسكري'!$I$2:$I$631,$I636,'الجهاز العسكري'!$M$2:$M$631,"&lt;&gt;")</f>
        <v>1</v>
      </c>
      <c r="N636" s="24" t="n">
        <f aca="false">IF($L636=0,0,ROUND((SUMIFS('المرتبطة بسمو الوزير'!$M$2:$M$151,'المرتبطة بسمو الوزير'!$B$2:$B$151,$B636,'المرتبطة بسمو الوزير'!$G$2:$G$151,$G636,'المرتبطة بسمو الوزير'!$I$2:$I$151,$I636)+SUMIFS('الشؤون التنفيذية'!$N$2:$N$421,'الشؤون التنفيذية'!$B$2:$B$421,$B636,'الشؤون التنفيذية'!$G$2:$G$421,$G636,'الشؤون التنفيذية'!$I$2:$I$421,$I636)+SUMIFS('الجهاز العسكري'!$M$2:$M$631,'الجهاز العسكري'!$B$2:$B$631,$B636,'الجهاز العسكري'!$G$2:$G$631,$G636,'الجهاز العسكري'!$I$2:$I$631,$I636))/$L636,0))</f>
        <v>73</v>
      </c>
      <c r="O636" s="25" t="n">
        <f aca="false">IF($L636=0,0,ROUND((SUMIFS('المرتبطة بسمو الوزير'!$N$2:$N$151,'المرتبطة بسمو الوزير'!$B$2:$B$151,$B636,'المرتبطة بسمو الوزير'!$G$2:$G$151,$G636,'المرتبطة بسمو الوزير'!$I$2:$I$151,$I636)+SUMIFS('الشؤون التنفيذية'!$O$2:$O$421,'الشؤون التنفيذية'!$B$2:$B$421,$B636,'الشؤون التنفيذية'!$G$2:$G$421,$G636,'الشؤون التنفيذية'!$I$2:$I$421,$I636)+SUMIFS('الجهاز العسكري'!$N$2:$N$631,'الجهاز العسكري'!$B$2:$B$631,$B636,'الجهاز العسكري'!$G$2:$G$631,$G636,'الجهاز العسكري'!$I$2:$I$631,$I636))/$L636,0))</f>
        <v>95</v>
      </c>
      <c r="P636" s="22"/>
      <c r="Q636" s="19" t="n">
        <f aca="false">SUMIFS(المرجع!$G$2:$G$19,المرجع!$B$2:$B$19,$G636,المرجع!$E$2:$E$19,$I636)</f>
        <v>20</v>
      </c>
      <c r="R636" s="26" t="n">
        <f aca="false">ROUND($Q636*$N636/100,2)</f>
        <v>14.6</v>
      </c>
      <c r="S636" s="27" t="str">
        <f aca="false">IF($N636&gt;المرجع!$K$3,"متقدم",IF($N636&lt;=المرجع!$K$2,"أولي","جزئي"))</f>
        <v>متقدم</v>
      </c>
      <c r="T636" s="28" t="n">
        <f aca="false">ROUND($Q636*$O636/100,2)</f>
        <v>19</v>
      </c>
    </row>
    <row r="637" customFormat="false" ht="15" hidden="false" customHeight="true" outlineLevel="0" collapsed="false">
      <c r="A637" s="20" t="s">
        <v>2089</v>
      </c>
      <c r="B637" s="20" t="s">
        <v>228</v>
      </c>
      <c r="C637" s="19" t="str">
        <f aca="false">IFERROR(INDEX('قائمة الوحدات'!$B$2:$B$41,MATCH($B637,'قائمة الوحدات'!$A$2:$A$41,0)),"")</f>
        <v>MIL</v>
      </c>
      <c r="D637" s="18" t="str">
        <f aca="false">IFERROR(INDEX('قائمة الوحدات'!$C$2:$C$41,MATCH($B637,'قائمة الوحدات'!$A$2:$A$41,0)),"")</f>
        <v>الجهاز العسكري</v>
      </c>
      <c r="E637" s="18" t="str">
        <f aca="false">IFERROR(INDEX('قائمة الوحدات'!$D$2:$D$41,MATCH($B637,'قائمة الوحدات'!$A$2:$A$41,0)),"")</f>
        <v>الإدارة العامة للقضاء العسكري</v>
      </c>
      <c r="F637" s="18" t="str">
        <f aca="false">IFERROR(INDEX('قائمة الوحدات'!$F$2:$F$41,MATCH($B637,'قائمة الوحدات'!$A$2:$A$41,0)),"")</f>
        <v>الإدارة العامة للقضاء العسكري</v>
      </c>
      <c r="G637" s="20" t="s">
        <v>44</v>
      </c>
      <c r="H637" s="18" t="str">
        <f aca="false">IFERROR(INDEX(المرجع!$A$2:$A$19,MATCH($G637,المرجع!$B$2:$B$19,0)),"")</f>
        <v>التصميم</v>
      </c>
      <c r="I637" s="20" t="s">
        <v>60</v>
      </c>
      <c r="J637" s="18" t="str">
        <f aca="false">IFERROR(INDEX(المرجع!$D$2:$D$19,MATCH($I637,المرجع!$E$2:$E$19,0)),"")</f>
        <v>الإجراءات</v>
      </c>
      <c r="K637" s="19" t="n">
        <f aca="false">IFERROR(INDEX(المرجع!$F$2:$F$19,MATCH($I637,المرجع!$E$2:$E$19,0)),"")</f>
        <v>6</v>
      </c>
      <c r="L637" s="19" t="n">
        <f aca="false">SUMIFS(المرجع!$H$2:$H$19,المرجع!$B$2:$B$19,$G637,المرجع!$E$2:$E$19,$I637)</f>
        <v>1</v>
      </c>
      <c r="M637" s="19" t="n">
        <f aca="false">COUNTIFS('المرتبطة بسمو الوزير'!$B$2:$B$151,$B637,'المرتبطة بسمو الوزير'!$G$2:$G$151,$G637,'المرتبطة بسمو الوزير'!$I$2:$I$151,$I637,'المرتبطة بسمو الوزير'!$M$2:$M$151,"&lt;&gt;")+COUNTIFS('الشؤون التنفيذية'!$B$2:$B$421,$B637,'الشؤون التنفيذية'!$G$2:$G$421,$G637,'الشؤون التنفيذية'!$I$2:$I$421,$I637,'الشؤون التنفيذية'!$N$2:$N$421,"&lt;&gt;")+COUNTIFS('الجهاز العسكري'!$B$2:$B$631,$B637,'الجهاز العسكري'!$G$2:$G$631,$G637,'الجهاز العسكري'!$I$2:$I$631,$I637,'الجهاز العسكري'!$M$2:$M$631,"&lt;&gt;")</f>
        <v>1</v>
      </c>
      <c r="N637" s="24" t="n">
        <f aca="false">IF($L637=0,0,ROUND((SUMIFS('المرتبطة بسمو الوزير'!$M$2:$M$151,'المرتبطة بسمو الوزير'!$B$2:$B$151,$B637,'المرتبطة بسمو الوزير'!$G$2:$G$151,$G637,'المرتبطة بسمو الوزير'!$I$2:$I$151,$I637)+SUMIFS('الشؤون التنفيذية'!$N$2:$N$421,'الشؤون التنفيذية'!$B$2:$B$421,$B637,'الشؤون التنفيذية'!$G$2:$G$421,$G637,'الشؤون التنفيذية'!$I$2:$I$421,$I637)+SUMIFS('الجهاز العسكري'!$M$2:$M$631,'الجهاز العسكري'!$B$2:$B$631,$B637,'الجهاز العسكري'!$G$2:$G$631,$G637,'الجهاز العسكري'!$I$2:$I$631,$I637))/$L637,0))</f>
        <v>74</v>
      </c>
      <c r="O637" s="25" t="n">
        <f aca="false">IF($L637=0,0,ROUND((SUMIFS('المرتبطة بسمو الوزير'!$N$2:$N$151,'المرتبطة بسمو الوزير'!$B$2:$B$151,$B637,'المرتبطة بسمو الوزير'!$G$2:$G$151,$G637,'المرتبطة بسمو الوزير'!$I$2:$I$151,$I637)+SUMIFS('الشؤون التنفيذية'!$O$2:$O$421,'الشؤون التنفيذية'!$B$2:$B$421,$B637,'الشؤون التنفيذية'!$G$2:$G$421,$G637,'الشؤون التنفيذية'!$I$2:$I$421,$I637)+SUMIFS('الجهاز العسكري'!$N$2:$N$631,'الجهاز العسكري'!$B$2:$B$631,$B637,'الجهاز العسكري'!$G$2:$G$631,$G637,'الجهاز العسكري'!$I$2:$I$631,$I637))/$L637,0))</f>
        <v>85</v>
      </c>
      <c r="P637" s="22"/>
      <c r="Q637" s="19" t="n">
        <f aca="false">SUMIFS(المرجع!$G$2:$G$19,المرجع!$B$2:$B$19,$G637,المرجع!$E$2:$E$19,$I637)</f>
        <v>5</v>
      </c>
      <c r="R637" s="26" t="n">
        <f aca="false">ROUND($Q637*$N637/100,2)</f>
        <v>3.7</v>
      </c>
      <c r="S637" s="27" t="str">
        <f aca="false">IF($N637&gt;المرجع!$K$3,"متقدم",IF($N637&lt;=المرجع!$K$2,"أولي","جزئي"))</f>
        <v>متقدم</v>
      </c>
      <c r="T637" s="28" t="n">
        <f aca="false">ROUND($Q637*$O637/100,2)</f>
        <v>4.25</v>
      </c>
    </row>
    <row r="638" customFormat="false" ht="15" hidden="false" customHeight="true" outlineLevel="0" collapsed="false">
      <c r="A638" s="20" t="s">
        <v>2090</v>
      </c>
      <c r="B638" s="20" t="s">
        <v>228</v>
      </c>
      <c r="C638" s="19" t="str">
        <f aca="false">IFERROR(INDEX('قائمة الوحدات'!$B$2:$B$41,MATCH($B638,'قائمة الوحدات'!$A$2:$A$41,0)),"")</f>
        <v>MIL</v>
      </c>
      <c r="D638" s="18" t="str">
        <f aca="false">IFERROR(INDEX('قائمة الوحدات'!$C$2:$C$41,MATCH($B638,'قائمة الوحدات'!$A$2:$A$41,0)),"")</f>
        <v>الجهاز العسكري</v>
      </c>
      <c r="E638" s="18" t="str">
        <f aca="false">IFERROR(INDEX('قائمة الوحدات'!$D$2:$D$41,MATCH($B638,'قائمة الوحدات'!$A$2:$A$41,0)),"")</f>
        <v>الإدارة العامة للقضاء العسكري</v>
      </c>
      <c r="F638" s="18" t="str">
        <f aca="false">IFERROR(INDEX('قائمة الوحدات'!$F$2:$F$41,MATCH($B638,'قائمة الوحدات'!$A$2:$A$41,0)),"")</f>
        <v>الإدارة العامة للقضاء العسكري</v>
      </c>
      <c r="G638" s="20" t="s">
        <v>62</v>
      </c>
      <c r="H638" s="18" t="str">
        <f aca="false">IFERROR(INDEX(المرجع!$A$2:$A$19,MATCH($G638,المرجع!$B$2:$B$19,0)),"")</f>
        <v>البناء المؤسسي</v>
      </c>
      <c r="I638" s="20" t="s">
        <v>46</v>
      </c>
      <c r="J638" s="18" t="str">
        <f aca="false">IFERROR(INDEX(المرجع!$D$2:$D$19,MATCH($I638,المرجع!$E$2:$E$19,0)),"")</f>
        <v>الدور</v>
      </c>
      <c r="K638" s="19" t="n">
        <f aca="false">IFERROR(INDEX(المرجع!$F$2:$F$19,MATCH($I638,المرجع!$E$2:$E$19,0)),"")</f>
        <v>1</v>
      </c>
      <c r="L638" s="19" t="n">
        <f aca="false">SUMIFS(المرجع!$H$2:$H$19,المرجع!$B$2:$B$19,$G638,المرجع!$E$2:$E$19,$I638)</f>
        <v>1</v>
      </c>
      <c r="M638" s="19" t="n">
        <f aca="false">COUNTIFS('المرتبطة بسمو الوزير'!$B$2:$B$151,$B638,'المرتبطة بسمو الوزير'!$G$2:$G$151,$G638,'المرتبطة بسمو الوزير'!$I$2:$I$151,$I638,'المرتبطة بسمو الوزير'!$M$2:$M$151,"&lt;&gt;")+COUNTIFS('الشؤون التنفيذية'!$B$2:$B$421,$B638,'الشؤون التنفيذية'!$G$2:$G$421,$G638,'الشؤون التنفيذية'!$I$2:$I$421,$I638,'الشؤون التنفيذية'!$N$2:$N$421,"&lt;&gt;")+COUNTIFS('الجهاز العسكري'!$B$2:$B$631,$B638,'الجهاز العسكري'!$G$2:$G$631,$G638,'الجهاز العسكري'!$I$2:$I$631,$I638,'الجهاز العسكري'!$M$2:$M$631,"&lt;&gt;")</f>
        <v>1</v>
      </c>
      <c r="N638" s="24" t="n">
        <f aca="false">IF($L638=0,0,ROUND((SUMIFS('المرتبطة بسمو الوزير'!$M$2:$M$151,'المرتبطة بسمو الوزير'!$B$2:$B$151,$B638,'المرتبطة بسمو الوزير'!$G$2:$G$151,$G638,'المرتبطة بسمو الوزير'!$I$2:$I$151,$I638)+SUMIFS('الشؤون التنفيذية'!$N$2:$N$421,'الشؤون التنفيذية'!$B$2:$B$421,$B638,'الشؤون التنفيذية'!$G$2:$G$421,$G638,'الشؤون التنفيذية'!$I$2:$I$421,$I638)+SUMIFS('الجهاز العسكري'!$M$2:$M$631,'الجهاز العسكري'!$B$2:$B$631,$B638,'الجهاز العسكري'!$G$2:$G$631,$G638,'الجهاز العسكري'!$I$2:$I$631,$I638))/$L638,0))</f>
        <v>88</v>
      </c>
      <c r="O638" s="25" t="n">
        <f aca="false">IF($L638=0,0,ROUND((SUMIFS('المرتبطة بسمو الوزير'!$N$2:$N$151,'المرتبطة بسمو الوزير'!$B$2:$B$151,$B638,'المرتبطة بسمو الوزير'!$G$2:$G$151,$G638,'المرتبطة بسمو الوزير'!$I$2:$I$151,$I638)+SUMIFS('الشؤون التنفيذية'!$O$2:$O$421,'الشؤون التنفيذية'!$B$2:$B$421,$B638,'الشؤون التنفيذية'!$G$2:$G$421,$G638,'الشؤون التنفيذية'!$I$2:$I$421,$I638)+SUMIFS('الجهاز العسكري'!$N$2:$N$631,'الجهاز العسكري'!$B$2:$B$631,$B638,'الجهاز العسكري'!$G$2:$G$631,$G638,'الجهاز العسكري'!$I$2:$I$631,$I638))/$L638,0))</f>
        <v>100</v>
      </c>
      <c r="P638" s="22"/>
      <c r="Q638" s="19" t="n">
        <f aca="false">SUMIFS(المرجع!$G$2:$G$19,المرجع!$B$2:$B$19,$G638,المرجع!$E$2:$E$19,$I638)</f>
        <v>15</v>
      </c>
      <c r="R638" s="26" t="n">
        <f aca="false">ROUND($Q638*$N638/100,2)</f>
        <v>13.2</v>
      </c>
      <c r="S638" s="27" t="str">
        <f aca="false">IF($N638&gt;المرجع!$K$3,"متقدم",IF($N638&lt;=المرجع!$K$2,"أولي","جزئي"))</f>
        <v>متقدم</v>
      </c>
      <c r="T638" s="28" t="n">
        <f aca="false">ROUND($Q638*$O638/100,2)</f>
        <v>15</v>
      </c>
    </row>
    <row r="639" customFormat="false" ht="15" hidden="false" customHeight="true" outlineLevel="0" collapsed="false">
      <c r="A639" s="20" t="s">
        <v>2091</v>
      </c>
      <c r="B639" s="20" t="s">
        <v>228</v>
      </c>
      <c r="C639" s="19" t="str">
        <f aca="false">IFERROR(INDEX('قائمة الوحدات'!$B$2:$B$41,MATCH($B639,'قائمة الوحدات'!$A$2:$A$41,0)),"")</f>
        <v>MIL</v>
      </c>
      <c r="D639" s="18" t="str">
        <f aca="false">IFERROR(INDEX('قائمة الوحدات'!$C$2:$C$41,MATCH($B639,'قائمة الوحدات'!$A$2:$A$41,0)),"")</f>
        <v>الجهاز العسكري</v>
      </c>
      <c r="E639" s="18" t="str">
        <f aca="false">IFERROR(INDEX('قائمة الوحدات'!$D$2:$D$41,MATCH($B639,'قائمة الوحدات'!$A$2:$A$41,0)),"")</f>
        <v>الإدارة العامة للقضاء العسكري</v>
      </c>
      <c r="F639" s="18" t="str">
        <f aca="false">IFERROR(INDEX('قائمة الوحدات'!$F$2:$F$41,MATCH($B639,'قائمة الوحدات'!$A$2:$A$41,0)),"")</f>
        <v>الإدارة العامة للقضاء العسكري</v>
      </c>
      <c r="G639" s="20" t="s">
        <v>62</v>
      </c>
      <c r="H639" s="18" t="str">
        <f aca="false">IFERROR(INDEX(المرجع!$A$2:$A$19,MATCH($G639,المرجع!$B$2:$B$19,0)),"")</f>
        <v>البناء المؤسسي</v>
      </c>
      <c r="I639" s="20" t="s">
        <v>49</v>
      </c>
      <c r="J639" s="18" t="str">
        <f aca="false">IFERROR(INDEX(المرجع!$D$2:$D$19,MATCH($I639,المرجع!$E$2:$E$19,0)),"")</f>
        <v>الأهداف ومؤشرات الأداء</v>
      </c>
      <c r="K639" s="19" t="n">
        <f aca="false">IFERROR(INDEX(المرجع!$F$2:$F$19,MATCH($I639,المرجع!$E$2:$E$19,0)),"")</f>
        <v>2</v>
      </c>
      <c r="L639" s="19" t="n">
        <f aca="false">SUMIFS(المرجع!$H$2:$H$19,المرجع!$B$2:$B$19,$G639,المرجع!$E$2:$E$19,$I639)</f>
        <v>2</v>
      </c>
      <c r="M639" s="19" t="n">
        <f aca="false">COUNTIFS('المرتبطة بسمو الوزير'!$B$2:$B$151,$B639,'المرتبطة بسمو الوزير'!$G$2:$G$151,$G639,'المرتبطة بسمو الوزير'!$I$2:$I$151,$I639,'المرتبطة بسمو الوزير'!$M$2:$M$151,"&lt;&gt;")+COUNTIFS('الشؤون التنفيذية'!$B$2:$B$421,$B639,'الشؤون التنفيذية'!$G$2:$G$421,$G639,'الشؤون التنفيذية'!$I$2:$I$421,$I639,'الشؤون التنفيذية'!$N$2:$N$421,"&lt;&gt;")+COUNTIFS('الجهاز العسكري'!$B$2:$B$631,$B639,'الجهاز العسكري'!$G$2:$G$631,$G639,'الجهاز العسكري'!$I$2:$I$631,$I639,'الجهاز العسكري'!$M$2:$M$631,"&lt;&gt;")</f>
        <v>2</v>
      </c>
      <c r="N639" s="24" t="n">
        <f aca="false">IF($L639=0,0,ROUND((SUMIFS('المرتبطة بسمو الوزير'!$M$2:$M$151,'المرتبطة بسمو الوزير'!$B$2:$B$151,$B639,'المرتبطة بسمو الوزير'!$G$2:$G$151,$G639,'المرتبطة بسمو الوزير'!$I$2:$I$151,$I639)+SUMIFS('الشؤون التنفيذية'!$N$2:$N$421,'الشؤون التنفيذية'!$B$2:$B$421,$B639,'الشؤون التنفيذية'!$G$2:$G$421,$G639,'الشؤون التنفيذية'!$I$2:$I$421,$I639)+SUMIFS('الجهاز العسكري'!$M$2:$M$631,'الجهاز العسكري'!$B$2:$B$631,$B639,'الجهاز العسكري'!$G$2:$G$631,$G639,'الجهاز العسكري'!$I$2:$I$631,$I639))/$L639,0))</f>
        <v>70</v>
      </c>
      <c r="O639" s="25" t="n">
        <f aca="false">IF($L639=0,0,ROUND((SUMIFS('المرتبطة بسمو الوزير'!$N$2:$N$151,'المرتبطة بسمو الوزير'!$B$2:$B$151,$B639,'المرتبطة بسمو الوزير'!$G$2:$G$151,$G639,'المرتبطة بسمو الوزير'!$I$2:$I$151,$I639)+SUMIFS('الشؤون التنفيذية'!$O$2:$O$421,'الشؤون التنفيذية'!$B$2:$B$421,$B639,'الشؤون التنفيذية'!$G$2:$G$421,$G639,'الشؤون التنفيذية'!$I$2:$I$421,$I639)+SUMIFS('الجهاز العسكري'!$N$2:$N$631,'الجهاز العسكري'!$B$2:$B$631,$B639,'الجهاز العسكري'!$G$2:$G$631,$G639,'الجهاز العسكري'!$I$2:$I$631,$I639))/$L639,0))</f>
        <v>85</v>
      </c>
      <c r="P639" s="22"/>
      <c r="Q639" s="19" t="n">
        <f aca="false">SUMIFS(المرجع!$G$2:$G$19,المرجع!$B$2:$B$19,$G639,المرجع!$E$2:$E$19,$I639)</f>
        <v>15</v>
      </c>
      <c r="R639" s="26" t="n">
        <f aca="false">ROUND($Q639*$N639/100,2)</f>
        <v>10.5</v>
      </c>
      <c r="S639" s="27" t="str">
        <f aca="false">IF($N639&gt;المرجع!$K$3,"متقدم",IF($N639&lt;=المرجع!$K$2,"أولي","جزئي"))</f>
        <v>جزئي</v>
      </c>
      <c r="T639" s="28" t="n">
        <f aca="false">ROUND($Q639*$O639/100,2)</f>
        <v>12.75</v>
      </c>
    </row>
    <row r="640" customFormat="false" ht="15" hidden="false" customHeight="true" outlineLevel="0" collapsed="false">
      <c r="A640" s="20" t="s">
        <v>2092</v>
      </c>
      <c r="B640" s="20" t="s">
        <v>228</v>
      </c>
      <c r="C640" s="19" t="str">
        <f aca="false">IFERROR(INDEX('قائمة الوحدات'!$B$2:$B$41,MATCH($B640,'قائمة الوحدات'!$A$2:$A$41,0)),"")</f>
        <v>MIL</v>
      </c>
      <c r="D640" s="18" t="str">
        <f aca="false">IFERROR(INDEX('قائمة الوحدات'!$C$2:$C$41,MATCH($B640,'قائمة الوحدات'!$A$2:$A$41,0)),"")</f>
        <v>الجهاز العسكري</v>
      </c>
      <c r="E640" s="18" t="str">
        <f aca="false">IFERROR(INDEX('قائمة الوحدات'!$D$2:$D$41,MATCH($B640,'قائمة الوحدات'!$A$2:$A$41,0)),"")</f>
        <v>الإدارة العامة للقضاء العسكري</v>
      </c>
      <c r="F640" s="18" t="str">
        <f aca="false">IFERROR(INDEX('قائمة الوحدات'!$F$2:$F$41,MATCH($B640,'قائمة الوحدات'!$A$2:$A$41,0)),"")</f>
        <v>الإدارة العامة للقضاء العسكري</v>
      </c>
      <c r="G640" s="20" t="s">
        <v>62</v>
      </c>
      <c r="H640" s="18" t="str">
        <f aca="false">IFERROR(INDEX(المرجع!$A$2:$A$19,MATCH($G640,المرجع!$B$2:$B$19,0)),"")</f>
        <v>البناء المؤسسي</v>
      </c>
      <c r="I640" s="20" t="s">
        <v>52</v>
      </c>
      <c r="J640" s="18" t="str">
        <f aca="false">IFERROR(INDEX(المرجع!$D$2:$D$19,MATCH($I640,المرجع!$E$2:$E$19,0)),"")</f>
        <v>الحوكمة</v>
      </c>
      <c r="K640" s="19" t="n">
        <f aca="false">IFERROR(INDEX(المرجع!$F$2:$F$19,MATCH($I640,المرجع!$E$2:$E$19,0)),"")</f>
        <v>3</v>
      </c>
      <c r="L640" s="19" t="n">
        <f aca="false">SUMIFS(المرجع!$H$2:$H$19,المرجع!$B$2:$B$19,$G640,المرجع!$E$2:$E$19,$I640)</f>
        <v>3</v>
      </c>
      <c r="M640" s="19" t="n">
        <f aca="false">COUNTIFS('المرتبطة بسمو الوزير'!$B$2:$B$151,$B640,'المرتبطة بسمو الوزير'!$G$2:$G$151,$G640,'المرتبطة بسمو الوزير'!$I$2:$I$151,$I640,'المرتبطة بسمو الوزير'!$M$2:$M$151,"&lt;&gt;")+COUNTIFS('الشؤون التنفيذية'!$B$2:$B$421,$B640,'الشؤون التنفيذية'!$G$2:$G$421,$G640,'الشؤون التنفيذية'!$I$2:$I$421,$I640,'الشؤون التنفيذية'!$N$2:$N$421,"&lt;&gt;")+COUNTIFS('الجهاز العسكري'!$B$2:$B$631,$B640,'الجهاز العسكري'!$G$2:$G$631,$G640,'الجهاز العسكري'!$I$2:$I$631,$I640,'الجهاز العسكري'!$M$2:$M$631,"&lt;&gt;")</f>
        <v>3</v>
      </c>
      <c r="N640" s="24" t="n">
        <f aca="false">IF($L640=0,0,ROUND((SUMIFS('المرتبطة بسمو الوزير'!$M$2:$M$151,'المرتبطة بسمو الوزير'!$B$2:$B$151,$B640,'المرتبطة بسمو الوزير'!$G$2:$G$151,$G640,'المرتبطة بسمو الوزير'!$I$2:$I$151,$I640)+SUMIFS('الشؤون التنفيذية'!$N$2:$N$421,'الشؤون التنفيذية'!$B$2:$B$421,$B640,'الشؤون التنفيذية'!$G$2:$G$421,$G640,'الشؤون التنفيذية'!$I$2:$I$421,$I640)+SUMIFS('الجهاز العسكري'!$M$2:$M$631,'الجهاز العسكري'!$B$2:$B$631,$B640,'الجهاز العسكري'!$G$2:$G$631,$G640,'الجهاز العسكري'!$I$2:$I$631,$I640))/$L640,0))</f>
        <v>43</v>
      </c>
      <c r="O640" s="25" t="n">
        <f aca="false">IF($L640=0,0,ROUND((SUMIFS('المرتبطة بسمو الوزير'!$N$2:$N$151,'المرتبطة بسمو الوزير'!$B$2:$B$151,$B640,'المرتبطة بسمو الوزير'!$G$2:$G$151,$G640,'المرتبطة بسمو الوزير'!$I$2:$I$151,$I640)+SUMIFS('الشؤون التنفيذية'!$O$2:$O$421,'الشؤون التنفيذية'!$B$2:$B$421,$B640,'الشؤون التنفيذية'!$G$2:$G$421,$G640,'الشؤون التنفيذية'!$I$2:$I$421,$I640)+SUMIFS('الجهاز العسكري'!$N$2:$N$631,'الجهاز العسكري'!$B$2:$B$631,$B640,'الجهاز العسكري'!$G$2:$G$631,$G640,'الجهاز العسكري'!$I$2:$I$631,$I640))/$L640,0))</f>
        <v>85</v>
      </c>
      <c r="P640" s="22"/>
      <c r="Q640" s="19" t="n">
        <f aca="false">SUMIFS(المرجع!$G$2:$G$19,المرجع!$B$2:$B$19,$G640,المرجع!$E$2:$E$19,$I640)</f>
        <v>15</v>
      </c>
      <c r="R640" s="26" t="n">
        <f aca="false">ROUND($Q640*$N640/100,2)</f>
        <v>6.45</v>
      </c>
      <c r="S640" s="27" t="str">
        <f aca="false">IF($N640&gt;المرجع!$K$3,"متقدم",IF($N640&lt;=المرجع!$K$2,"أولي","جزئي"))</f>
        <v>جزئي</v>
      </c>
      <c r="T640" s="28" t="n">
        <f aca="false">ROUND($Q640*$O640/100,2)</f>
        <v>12.75</v>
      </c>
    </row>
    <row r="641" customFormat="false" ht="15" hidden="false" customHeight="true" outlineLevel="0" collapsed="false">
      <c r="A641" s="20" t="s">
        <v>2093</v>
      </c>
      <c r="B641" s="20" t="s">
        <v>228</v>
      </c>
      <c r="C641" s="19" t="str">
        <f aca="false">IFERROR(INDEX('قائمة الوحدات'!$B$2:$B$41,MATCH($B641,'قائمة الوحدات'!$A$2:$A$41,0)),"")</f>
        <v>MIL</v>
      </c>
      <c r="D641" s="18" t="str">
        <f aca="false">IFERROR(INDEX('قائمة الوحدات'!$C$2:$C$41,MATCH($B641,'قائمة الوحدات'!$A$2:$A$41,0)),"")</f>
        <v>الجهاز العسكري</v>
      </c>
      <c r="E641" s="18" t="str">
        <f aca="false">IFERROR(INDEX('قائمة الوحدات'!$D$2:$D$41,MATCH($B641,'قائمة الوحدات'!$A$2:$A$41,0)),"")</f>
        <v>الإدارة العامة للقضاء العسكري</v>
      </c>
      <c r="F641" s="18" t="str">
        <f aca="false">IFERROR(INDEX('قائمة الوحدات'!$F$2:$F$41,MATCH($B641,'قائمة الوحدات'!$A$2:$A$41,0)),"")</f>
        <v>الإدارة العامة للقضاء العسكري</v>
      </c>
      <c r="G641" s="20" t="s">
        <v>62</v>
      </c>
      <c r="H641" s="18" t="str">
        <f aca="false">IFERROR(INDEX(المرجع!$A$2:$A$19,MATCH($G641,المرجع!$B$2:$B$19,0)),"")</f>
        <v>البناء المؤسسي</v>
      </c>
      <c r="I641" s="20" t="s">
        <v>55</v>
      </c>
      <c r="J641" s="18" t="str">
        <f aca="false">IFERROR(INDEX(المرجع!$D$2:$D$19,MATCH($I641,المرجع!$E$2:$E$19,0)),"")</f>
        <v>التنظيم</v>
      </c>
      <c r="K641" s="19" t="n">
        <f aca="false">IFERROR(INDEX(المرجع!$F$2:$F$19,MATCH($I641,المرجع!$E$2:$E$19,0)),"")</f>
        <v>4</v>
      </c>
      <c r="L641" s="19" t="n">
        <f aca="false">SUMIFS(المرجع!$H$2:$H$19,المرجع!$B$2:$B$19,$G641,المرجع!$E$2:$E$19,$I641)</f>
        <v>3</v>
      </c>
      <c r="M641" s="19" t="n">
        <f aca="false">COUNTIFS('المرتبطة بسمو الوزير'!$B$2:$B$151,$B641,'المرتبطة بسمو الوزير'!$G$2:$G$151,$G641,'المرتبطة بسمو الوزير'!$I$2:$I$151,$I641,'المرتبطة بسمو الوزير'!$M$2:$M$151,"&lt;&gt;")+COUNTIFS('الشؤون التنفيذية'!$B$2:$B$421,$B641,'الشؤون التنفيذية'!$G$2:$G$421,$G641,'الشؤون التنفيذية'!$I$2:$I$421,$I641,'الشؤون التنفيذية'!$N$2:$N$421,"&lt;&gt;")+COUNTIFS('الجهاز العسكري'!$B$2:$B$631,$B641,'الجهاز العسكري'!$G$2:$G$631,$G641,'الجهاز العسكري'!$I$2:$I$631,$I641,'الجهاز العسكري'!$M$2:$M$631,"&lt;&gt;")</f>
        <v>3</v>
      </c>
      <c r="N641" s="24" t="n">
        <f aca="false">IF($L641=0,0,ROUND((SUMIFS('المرتبطة بسمو الوزير'!$M$2:$M$151,'المرتبطة بسمو الوزير'!$B$2:$B$151,$B641,'المرتبطة بسمو الوزير'!$G$2:$G$151,$G641,'المرتبطة بسمو الوزير'!$I$2:$I$151,$I641)+SUMIFS('الشؤون التنفيذية'!$N$2:$N$421,'الشؤون التنفيذية'!$B$2:$B$421,$B641,'الشؤون التنفيذية'!$G$2:$G$421,$G641,'الشؤون التنفيذية'!$I$2:$I$421,$I641)+SUMIFS('الجهاز العسكري'!$M$2:$M$631,'الجهاز العسكري'!$B$2:$B$631,$B641,'الجهاز العسكري'!$G$2:$G$631,$G641,'الجهاز العسكري'!$I$2:$I$631,$I641))/$L641,0))</f>
        <v>58</v>
      </c>
      <c r="O641" s="25" t="n">
        <f aca="false">IF($L641=0,0,ROUND((SUMIFS('المرتبطة بسمو الوزير'!$N$2:$N$151,'المرتبطة بسمو الوزير'!$B$2:$B$151,$B641,'المرتبطة بسمو الوزير'!$G$2:$G$151,$G641,'المرتبطة بسمو الوزير'!$I$2:$I$151,$I641)+SUMIFS('الشؤون التنفيذية'!$O$2:$O$421,'الشؤون التنفيذية'!$B$2:$B$421,$B641,'الشؤون التنفيذية'!$G$2:$G$421,$G641,'الشؤون التنفيذية'!$I$2:$I$421,$I641)+SUMIFS('الجهاز العسكري'!$N$2:$N$631,'الجهاز العسكري'!$B$2:$B$631,$B641,'الجهاز العسكري'!$G$2:$G$631,$G641,'الجهاز العسكري'!$I$2:$I$631,$I641))/$L641,0))</f>
        <v>90</v>
      </c>
      <c r="P641" s="22"/>
      <c r="Q641" s="19" t="n">
        <f aca="false">SUMIFS(المرجع!$G$2:$G$19,المرجع!$B$2:$B$19,$G641,المرجع!$E$2:$E$19,$I641)</f>
        <v>20</v>
      </c>
      <c r="R641" s="26" t="n">
        <f aca="false">ROUND($Q641*$N641/100,2)</f>
        <v>11.6</v>
      </c>
      <c r="S641" s="27" t="str">
        <f aca="false">IF($N641&gt;المرجع!$K$3,"متقدم",IF($N641&lt;=المرجع!$K$2,"أولي","جزئي"))</f>
        <v>جزئي</v>
      </c>
      <c r="T641" s="28" t="n">
        <f aca="false">ROUND($Q641*$O641/100,2)</f>
        <v>18</v>
      </c>
    </row>
    <row r="642" customFormat="false" ht="15" hidden="false" customHeight="true" outlineLevel="0" collapsed="false">
      <c r="A642" s="20" t="s">
        <v>2094</v>
      </c>
      <c r="B642" s="20" t="s">
        <v>228</v>
      </c>
      <c r="C642" s="19" t="str">
        <f aca="false">IFERROR(INDEX('قائمة الوحدات'!$B$2:$B$41,MATCH($B642,'قائمة الوحدات'!$A$2:$A$41,0)),"")</f>
        <v>MIL</v>
      </c>
      <c r="D642" s="18" t="str">
        <f aca="false">IFERROR(INDEX('قائمة الوحدات'!$C$2:$C$41,MATCH($B642,'قائمة الوحدات'!$A$2:$A$41,0)),"")</f>
        <v>الجهاز العسكري</v>
      </c>
      <c r="E642" s="18" t="str">
        <f aca="false">IFERROR(INDEX('قائمة الوحدات'!$D$2:$D$41,MATCH($B642,'قائمة الوحدات'!$A$2:$A$41,0)),"")</f>
        <v>الإدارة العامة للقضاء العسكري</v>
      </c>
      <c r="F642" s="18" t="str">
        <f aca="false">IFERROR(INDEX('قائمة الوحدات'!$F$2:$F$41,MATCH($B642,'قائمة الوحدات'!$A$2:$A$41,0)),"")</f>
        <v>الإدارة العامة للقضاء العسكري</v>
      </c>
      <c r="G642" s="20" t="s">
        <v>62</v>
      </c>
      <c r="H642" s="18" t="str">
        <f aca="false">IFERROR(INDEX(المرجع!$A$2:$A$19,MATCH($G642,المرجع!$B$2:$B$19,0)),"")</f>
        <v>البناء المؤسسي</v>
      </c>
      <c r="I642" s="20" t="s">
        <v>57</v>
      </c>
      <c r="J642" s="18" t="str">
        <f aca="false">IFERROR(INDEX(المرجع!$D$2:$D$19,MATCH($I642,المرجع!$E$2:$E$19,0)),"")</f>
        <v>الموارد</v>
      </c>
      <c r="K642" s="19" t="n">
        <f aca="false">IFERROR(INDEX(المرجع!$F$2:$F$19,MATCH($I642,المرجع!$E$2:$E$19,0)),"")</f>
        <v>5</v>
      </c>
      <c r="L642" s="19" t="n">
        <f aca="false">SUMIFS(المرجع!$H$2:$H$19,المرجع!$B$2:$B$19,$G642,المرجع!$E$2:$E$19,$I642)</f>
        <v>4</v>
      </c>
      <c r="M642" s="19" t="n">
        <f aca="false">COUNTIFS('المرتبطة بسمو الوزير'!$B$2:$B$151,$B642,'المرتبطة بسمو الوزير'!$G$2:$G$151,$G642,'المرتبطة بسمو الوزير'!$I$2:$I$151,$I642,'المرتبطة بسمو الوزير'!$M$2:$M$151,"&lt;&gt;")+COUNTIFS('الشؤون التنفيذية'!$B$2:$B$421,$B642,'الشؤون التنفيذية'!$G$2:$G$421,$G642,'الشؤون التنفيذية'!$I$2:$I$421,$I642,'الشؤون التنفيذية'!$N$2:$N$421,"&lt;&gt;")+COUNTIFS('الجهاز العسكري'!$B$2:$B$631,$B642,'الجهاز العسكري'!$G$2:$G$631,$G642,'الجهاز العسكري'!$I$2:$I$631,$I642,'الجهاز العسكري'!$M$2:$M$631,"&lt;&gt;")</f>
        <v>4</v>
      </c>
      <c r="N642" s="24" t="n">
        <f aca="false">IF($L642=0,0,ROUND((SUMIFS('المرتبطة بسمو الوزير'!$M$2:$M$151,'المرتبطة بسمو الوزير'!$B$2:$B$151,$B642,'المرتبطة بسمو الوزير'!$G$2:$G$151,$G642,'المرتبطة بسمو الوزير'!$I$2:$I$151,$I642)+SUMIFS('الشؤون التنفيذية'!$N$2:$N$421,'الشؤون التنفيذية'!$B$2:$B$421,$B642,'الشؤون التنفيذية'!$G$2:$G$421,$G642,'الشؤون التنفيذية'!$I$2:$I$421,$I642)+SUMIFS('الجهاز العسكري'!$M$2:$M$631,'الجهاز العسكري'!$B$2:$B$631,$B642,'الجهاز العسكري'!$G$2:$G$631,$G642,'الجهاز العسكري'!$I$2:$I$631,$I642))/$L642,0))</f>
        <v>60</v>
      </c>
      <c r="O642" s="25" t="n">
        <f aca="false">IF($L642=0,0,ROUND((SUMIFS('المرتبطة بسمو الوزير'!$N$2:$N$151,'المرتبطة بسمو الوزير'!$B$2:$B$151,$B642,'المرتبطة بسمو الوزير'!$G$2:$G$151,$G642,'المرتبطة بسمو الوزير'!$I$2:$I$151,$I642)+SUMIFS('الشؤون التنفيذية'!$O$2:$O$421,'الشؤون التنفيذية'!$B$2:$B$421,$B642,'الشؤون التنفيذية'!$G$2:$G$421,$G642,'الشؤون التنفيذية'!$I$2:$I$421,$I642)+SUMIFS('الجهاز العسكري'!$N$2:$N$631,'الجهاز العسكري'!$B$2:$B$631,$B642,'الجهاز العسكري'!$G$2:$G$631,$G642,'الجهاز العسكري'!$I$2:$I$631,$I642))/$L642,0))</f>
        <v>91</v>
      </c>
      <c r="P642" s="22"/>
      <c r="Q642" s="19" t="n">
        <f aca="false">SUMIFS(المرجع!$G$2:$G$19,المرجع!$B$2:$B$19,$G642,المرجع!$E$2:$E$19,$I642)</f>
        <v>25</v>
      </c>
      <c r="R642" s="26" t="n">
        <f aca="false">ROUND($Q642*$N642/100,2)</f>
        <v>15</v>
      </c>
      <c r="S642" s="27" t="str">
        <f aca="false">IF($N642&gt;المرجع!$K$3,"متقدم",IF($N642&lt;=المرجع!$K$2,"أولي","جزئي"))</f>
        <v>جزئي</v>
      </c>
      <c r="T642" s="28" t="n">
        <f aca="false">ROUND($Q642*$O642/100,2)</f>
        <v>22.75</v>
      </c>
    </row>
    <row r="643" customFormat="false" ht="15" hidden="false" customHeight="true" outlineLevel="0" collapsed="false">
      <c r="A643" s="20" t="s">
        <v>2095</v>
      </c>
      <c r="B643" s="20" t="s">
        <v>228</v>
      </c>
      <c r="C643" s="19" t="str">
        <f aca="false">IFERROR(INDEX('قائمة الوحدات'!$B$2:$B$41,MATCH($B643,'قائمة الوحدات'!$A$2:$A$41,0)),"")</f>
        <v>MIL</v>
      </c>
      <c r="D643" s="18" t="str">
        <f aca="false">IFERROR(INDEX('قائمة الوحدات'!$C$2:$C$41,MATCH($B643,'قائمة الوحدات'!$A$2:$A$41,0)),"")</f>
        <v>الجهاز العسكري</v>
      </c>
      <c r="E643" s="18" t="str">
        <f aca="false">IFERROR(INDEX('قائمة الوحدات'!$D$2:$D$41,MATCH($B643,'قائمة الوحدات'!$A$2:$A$41,0)),"")</f>
        <v>الإدارة العامة للقضاء العسكري</v>
      </c>
      <c r="F643" s="18" t="str">
        <f aca="false">IFERROR(INDEX('قائمة الوحدات'!$F$2:$F$41,MATCH($B643,'قائمة الوحدات'!$A$2:$A$41,0)),"")</f>
        <v>الإدارة العامة للقضاء العسكري</v>
      </c>
      <c r="G643" s="20" t="s">
        <v>62</v>
      </c>
      <c r="H643" s="18" t="str">
        <f aca="false">IFERROR(INDEX(المرجع!$A$2:$A$19,MATCH($G643,المرجع!$B$2:$B$19,0)),"")</f>
        <v>البناء المؤسسي</v>
      </c>
      <c r="I643" s="20" t="s">
        <v>60</v>
      </c>
      <c r="J643" s="18" t="str">
        <f aca="false">IFERROR(INDEX(المرجع!$D$2:$D$19,MATCH($I643,المرجع!$E$2:$E$19,0)),"")</f>
        <v>الإجراءات</v>
      </c>
      <c r="K643" s="19" t="n">
        <f aca="false">IFERROR(INDEX(المرجع!$F$2:$F$19,MATCH($I643,المرجع!$E$2:$E$19,0)),"")</f>
        <v>6</v>
      </c>
      <c r="L643" s="19" t="n">
        <f aca="false">SUMIFS(المرجع!$H$2:$H$19,المرجع!$B$2:$B$19,$G643,المرجع!$E$2:$E$19,$I643)</f>
        <v>1</v>
      </c>
      <c r="M643" s="19" t="n">
        <f aca="false">COUNTIFS('المرتبطة بسمو الوزير'!$B$2:$B$151,$B643,'المرتبطة بسمو الوزير'!$G$2:$G$151,$G643,'المرتبطة بسمو الوزير'!$I$2:$I$151,$I643,'المرتبطة بسمو الوزير'!$M$2:$M$151,"&lt;&gt;")+COUNTIFS('الشؤون التنفيذية'!$B$2:$B$421,$B643,'الشؤون التنفيذية'!$G$2:$G$421,$G643,'الشؤون التنفيذية'!$I$2:$I$421,$I643,'الشؤون التنفيذية'!$N$2:$N$421,"&lt;&gt;")+COUNTIFS('الجهاز العسكري'!$B$2:$B$631,$B643,'الجهاز العسكري'!$G$2:$G$631,$G643,'الجهاز العسكري'!$I$2:$I$631,$I643,'الجهاز العسكري'!$M$2:$M$631,"&lt;&gt;")</f>
        <v>1</v>
      </c>
      <c r="N643" s="24" t="n">
        <f aca="false">IF($L643=0,0,ROUND((SUMIFS('المرتبطة بسمو الوزير'!$M$2:$M$151,'المرتبطة بسمو الوزير'!$B$2:$B$151,$B643,'المرتبطة بسمو الوزير'!$G$2:$G$151,$G643,'المرتبطة بسمو الوزير'!$I$2:$I$151,$I643)+SUMIFS('الشؤون التنفيذية'!$N$2:$N$421,'الشؤون التنفيذية'!$B$2:$B$421,$B643,'الشؤون التنفيذية'!$G$2:$G$421,$G643,'الشؤون التنفيذية'!$I$2:$I$421,$I643)+SUMIFS('الجهاز العسكري'!$M$2:$M$631,'الجهاز العسكري'!$B$2:$B$631,$B643,'الجهاز العسكري'!$G$2:$G$631,$G643,'الجهاز العسكري'!$I$2:$I$631,$I643))/$L643,0))</f>
        <v>49</v>
      </c>
      <c r="O643" s="25" t="n">
        <f aca="false">IF($L643=0,0,ROUND((SUMIFS('المرتبطة بسمو الوزير'!$N$2:$N$151,'المرتبطة بسمو الوزير'!$B$2:$B$151,$B643,'المرتبطة بسمو الوزير'!$G$2:$G$151,$G643,'المرتبطة بسمو الوزير'!$I$2:$I$151,$I643)+SUMIFS('الشؤون التنفيذية'!$O$2:$O$421,'الشؤون التنفيذية'!$B$2:$B$421,$B643,'الشؤون التنفيذية'!$G$2:$G$421,$G643,'الشؤون التنفيذية'!$I$2:$I$421,$I643)+SUMIFS('الجهاز العسكري'!$N$2:$N$631,'الجهاز العسكري'!$B$2:$B$631,$B643,'الجهاز العسكري'!$G$2:$G$631,$G643,'الجهاز العسكري'!$I$2:$I$631,$I643))/$L643,0))</f>
        <v>100</v>
      </c>
      <c r="P643" s="22"/>
      <c r="Q643" s="19" t="n">
        <f aca="false">SUMIFS(المرجع!$G$2:$G$19,المرجع!$B$2:$B$19,$G643,المرجع!$E$2:$E$19,$I643)</f>
        <v>5</v>
      </c>
      <c r="R643" s="26" t="n">
        <f aca="false">ROUND($Q643*$N643/100,2)</f>
        <v>2.45</v>
      </c>
      <c r="S643" s="27" t="str">
        <f aca="false">IF($N643&gt;المرجع!$K$3,"متقدم",IF($N643&lt;=المرجع!$K$2,"أولي","جزئي"))</f>
        <v>جزئي</v>
      </c>
      <c r="T643" s="28" t="n">
        <f aca="false">ROUND($Q643*$O643/100,2)</f>
        <v>5</v>
      </c>
    </row>
    <row r="644" customFormat="false" ht="15" hidden="false" customHeight="true" outlineLevel="0" collapsed="false">
      <c r="A644" s="20" t="s">
        <v>2096</v>
      </c>
      <c r="B644" s="20" t="s">
        <v>228</v>
      </c>
      <c r="C644" s="19" t="str">
        <f aca="false">IFERROR(INDEX('قائمة الوحدات'!$B$2:$B$41,MATCH($B644,'قائمة الوحدات'!$A$2:$A$41,0)),"")</f>
        <v>MIL</v>
      </c>
      <c r="D644" s="18" t="str">
        <f aca="false">IFERROR(INDEX('قائمة الوحدات'!$C$2:$C$41,MATCH($B644,'قائمة الوحدات'!$A$2:$A$41,0)),"")</f>
        <v>الجهاز العسكري</v>
      </c>
      <c r="E644" s="18" t="str">
        <f aca="false">IFERROR(INDEX('قائمة الوحدات'!$D$2:$D$41,MATCH($B644,'قائمة الوحدات'!$A$2:$A$41,0)),"")</f>
        <v>الإدارة العامة للقضاء العسكري</v>
      </c>
      <c r="F644" s="18" t="str">
        <f aca="false">IFERROR(INDEX('قائمة الوحدات'!$F$2:$F$41,MATCH($B644,'قائمة الوحدات'!$A$2:$A$41,0)),"")</f>
        <v>الإدارة العامة للقضاء العسكري</v>
      </c>
      <c r="G644" s="20" t="s">
        <v>62</v>
      </c>
      <c r="H644" s="18" t="str">
        <f aca="false">IFERROR(INDEX(المرجع!$A$2:$A$19,MATCH($G644,المرجع!$B$2:$B$19,0)),"")</f>
        <v>البناء المؤسسي</v>
      </c>
      <c r="I644" s="20" t="s">
        <v>69</v>
      </c>
      <c r="J644" s="18" t="str">
        <f aca="false">IFERROR(INDEX(المرجع!$D$2:$D$19,MATCH($I644,المرجع!$E$2:$E$19,0)),"")</f>
        <v>إنتاج المخرج الأول</v>
      </c>
      <c r="K644" s="19" t="n">
        <f aca="false">IFERROR(INDEX(المرجع!$F$2:$F$19,MATCH($I644,المرجع!$E$2:$E$19,0)),"")</f>
        <v>7</v>
      </c>
      <c r="L644" s="19" t="n">
        <f aca="false">SUMIFS(المرجع!$H$2:$H$19,المرجع!$B$2:$B$19,$G644,المرجع!$E$2:$E$19,$I644)</f>
        <v>1</v>
      </c>
      <c r="M644" s="19" t="n">
        <f aca="false">COUNTIFS('المرتبطة بسمو الوزير'!$B$2:$B$151,$B644,'المرتبطة بسمو الوزير'!$G$2:$G$151,$G644,'المرتبطة بسمو الوزير'!$I$2:$I$151,$I644,'المرتبطة بسمو الوزير'!$M$2:$M$151,"&lt;&gt;")+COUNTIFS('الشؤون التنفيذية'!$B$2:$B$421,$B644,'الشؤون التنفيذية'!$G$2:$G$421,$G644,'الشؤون التنفيذية'!$I$2:$I$421,$I644,'الشؤون التنفيذية'!$N$2:$N$421,"&lt;&gt;")+COUNTIFS('الجهاز العسكري'!$B$2:$B$631,$B644,'الجهاز العسكري'!$G$2:$G$631,$G644,'الجهاز العسكري'!$I$2:$I$631,$I644,'الجهاز العسكري'!$M$2:$M$631,"&lt;&gt;")</f>
        <v>1</v>
      </c>
      <c r="N644" s="24" t="n">
        <f aca="false">IF($L644=0,0,ROUND((SUMIFS('المرتبطة بسمو الوزير'!$M$2:$M$151,'المرتبطة بسمو الوزير'!$B$2:$B$151,$B644,'المرتبطة بسمو الوزير'!$G$2:$G$151,$G644,'المرتبطة بسمو الوزير'!$I$2:$I$151,$I644)+SUMIFS('الشؤون التنفيذية'!$N$2:$N$421,'الشؤون التنفيذية'!$B$2:$B$421,$B644,'الشؤون التنفيذية'!$G$2:$G$421,$G644,'الشؤون التنفيذية'!$I$2:$I$421,$I644)+SUMIFS('الجهاز العسكري'!$M$2:$M$631,'الجهاز العسكري'!$B$2:$B$631,$B644,'الجهاز العسكري'!$G$2:$G$631,$G644,'الجهاز العسكري'!$I$2:$I$631,$I644))/$L644,0))</f>
        <v>86</v>
      </c>
      <c r="O644" s="25" t="n">
        <f aca="false">IF($L644=0,0,ROUND((SUMIFS('المرتبطة بسمو الوزير'!$N$2:$N$151,'المرتبطة بسمو الوزير'!$B$2:$B$151,$B644,'المرتبطة بسمو الوزير'!$G$2:$G$151,$G644,'المرتبطة بسمو الوزير'!$I$2:$I$151,$I644)+SUMIFS('الشؤون التنفيذية'!$O$2:$O$421,'الشؤون التنفيذية'!$B$2:$B$421,$B644,'الشؤون التنفيذية'!$G$2:$G$421,$G644,'الشؤون التنفيذية'!$I$2:$I$421,$I644)+SUMIFS('الجهاز العسكري'!$N$2:$N$631,'الجهاز العسكري'!$B$2:$B$631,$B644,'الجهاز العسكري'!$G$2:$G$631,$G644,'الجهاز العسكري'!$I$2:$I$631,$I644))/$L644,0))</f>
        <v>86</v>
      </c>
      <c r="P644" s="22"/>
      <c r="Q644" s="19" t="n">
        <f aca="false">SUMIFS(المرجع!$G$2:$G$19,المرجع!$B$2:$B$19,$G644,المرجع!$E$2:$E$19,$I644)</f>
        <v>5</v>
      </c>
      <c r="R644" s="26" t="n">
        <f aca="false">ROUND($Q644*$N644/100,2)</f>
        <v>4.3</v>
      </c>
      <c r="S644" s="27" t="str">
        <f aca="false">IF($N644&gt;المرجع!$K$3,"متقدم",IF($N644&lt;=المرجع!$K$2,"أولي","جزئي"))</f>
        <v>متقدم</v>
      </c>
      <c r="T644" s="28" t="n">
        <f aca="false">ROUND($Q644*$O644/100,2)</f>
        <v>4.3</v>
      </c>
    </row>
    <row r="645" customFormat="false" ht="15" hidden="false" customHeight="true" outlineLevel="0" collapsed="false">
      <c r="A645" s="20" t="s">
        <v>2097</v>
      </c>
      <c r="B645" s="20" t="s">
        <v>228</v>
      </c>
      <c r="C645" s="19" t="str">
        <f aca="false">IFERROR(INDEX('قائمة الوحدات'!$B$2:$B$41,MATCH($B645,'قائمة الوحدات'!$A$2:$A$41,0)),"")</f>
        <v>MIL</v>
      </c>
      <c r="D645" s="18" t="str">
        <f aca="false">IFERROR(INDEX('قائمة الوحدات'!$C$2:$C$41,MATCH($B645,'قائمة الوحدات'!$A$2:$A$41,0)),"")</f>
        <v>الجهاز العسكري</v>
      </c>
      <c r="E645" s="18" t="str">
        <f aca="false">IFERROR(INDEX('قائمة الوحدات'!$D$2:$D$41,MATCH($B645,'قائمة الوحدات'!$A$2:$A$41,0)),"")</f>
        <v>الإدارة العامة للقضاء العسكري</v>
      </c>
      <c r="F645" s="18" t="str">
        <f aca="false">IFERROR(INDEX('قائمة الوحدات'!$F$2:$F$41,MATCH($B645,'قائمة الوحدات'!$A$2:$A$41,0)),"")</f>
        <v>الإدارة العامة للقضاء العسكري</v>
      </c>
      <c r="G645" s="20" t="s">
        <v>66</v>
      </c>
      <c r="H645" s="18" t="str">
        <f aca="false">IFERROR(INDEX(المرجع!$A$2:$A$19,MATCH($G645,المرجع!$B$2:$B$19,0)),"")</f>
        <v>التشغيل</v>
      </c>
      <c r="I645" s="20" t="s">
        <v>49</v>
      </c>
      <c r="J645" s="18" t="str">
        <f aca="false">IFERROR(INDEX(المرجع!$D$2:$D$19,MATCH($I645,المرجع!$E$2:$E$19,0)),"")</f>
        <v>الأهداف ومؤشرات الأداء</v>
      </c>
      <c r="K645" s="19" t="n">
        <f aca="false">IFERROR(INDEX(المرجع!$F$2:$F$19,MATCH($I645,المرجع!$E$2:$E$19,0)),"")</f>
        <v>2</v>
      </c>
      <c r="L645" s="19" t="n">
        <f aca="false">SUMIFS(المرجع!$H$2:$H$19,المرجع!$B$2:$B$19,$G645,المرجع!$E$2:$E$19,$I645)</f>
        <v>2</v>
      </c>
      <c r="M645" s="19" t="n">
        <f aca="false">COUNTIFS('المرتبطة بسمو الوزير'!$B$2:$B$151,$B645,'المرتبطة بسمو الوزير'!$G$2:$G$151,$G645,'المرتبطة بسمو الوزير'!$I$2:$I$151,$I645,'المرتبطة بسمو الوزير'!$M$2:$M$151,"&lt;&gt;")+COUNTIFS('الشؤون التنفيذية'!$B$2:$B$421,$B645,'الشؤون التنفيذية'!$G$2:$G$421,$G645,'الشؤون التنفيذية'!$I$2:$I$421,$I645,'الشؤون التنفيذية'!$N$2:$N$421,"&lt;&gt;")+COUNTIFS('الجهاز العسكري'!$B$2:$B$631,$B645,'الجهاز العسكري'!$G$2:$G$631,$G645,'الجهاز العسكري'!$I$2:$I$631,$I645,'الجهاز العسكري'!$M$2:$M$631,"&lt;&gt;")</f>
        <v>2</v>
      </c>
      <c r="N645" s="24" t="n">
        <f aca="false">IF($L645=0,0,ROUND((SUMIFS('المرتبطة بسمو الوزير'!$M$2:$M$151,'المرتبطة بسمو الوزير'!$B$2:$B$151,$B645,'المرتبطة بسمو الوزير'!$G$2:$G$151,$G645,'المرتبطة بسمو الوزير'!$I$2:$I$151,$I645)+SUMIFS('الشؤون التنفيذية'!$N$2:$N$421,'الشؤون التنفيذية'!$B$2:$B$421,$B645,'الشؤون التنفيذية'!$G$2:$G$421,$G645,'الشؤون التنفيذية'!$I$2:$I$421,$I645)+SUMIFS('الجهاز العسكري'!$M$2:$M$631,'الجهاز العسكري'!$B$2:$B$631,$B645,'الجهاز العسكري'!$G$2:$G$631,$G645,'الجهاز العسكري'!$I$2:$I$631,$I645))/$L645,0))</f>
        <v>18</v>
      </c>
      <c r="O645" s="25" t="n">
        <f aca="false">IF($L645=0,0,ROUND((SUMIFS('المرتبطة بسمو الوزير'!$N$2:$N$151,'المرتبطة بسمو الوزير'!$B$2:$B$151,$B645,'المرتبطة بسمو الوزير'!$G$2:$G$151,$G645,'المرتبطة بسمو الوزير'!$I$2:$I$151,$I645)+SUMIFS('الشؤون التنفيذية'!$O$2:$O$421,'الشؤون التنفيذية'!$B$2:$B$421,$B645,'الشؤون التنفيذية'!$G$2:$G$421,$G645,'الشؤون التنفيذية'!$I$2:$I$421,$I645)+SUMIFS('الجهاز العسكري'!$N$2:$N$631,'الجهاز العسكري'!$B$2:$B$631,$B645,'الجهاز العسكري'!$G$2:$G$631,$G645,'الجهاز العسكري'!$I$2:$I$631,$I645))/$L645,0))</f>
        <v>90</v>
      </c>
      <c r="P645" s="22"/>
      <c r="Q645" s="19" t="n">
        <f aca="false">SUMIFS(المرجع!$G$2:$G$19,المرجع!$B$2:$B$19,$G645,المرجع!$E$2:$E$19,$I645)</f>
        <v>25</v>
      </c>
      <c r="R645" s="26" t="n">
        <f aca="false">ROUND($Q645*$N645/100,2)</f>
        <v>4.5</v>
      </c>
      <c r="S645" s="27" t="str">
        <f aca="false">IF($N645&gt;المرجع!$K$3,"متقدم",IF($N645&lt;=المرجع!$K$2,"أولي","جزئي"))</f>
        <v>أولي</v>
      </c>
      <c r="T645" s="28" t="n">
        <f aca="false">ROUND($Q645*$O645/100,2)</f>
        <v>22.5</v>
      </c>
    </row>
    <row r="646" customFormat="false" ht="15" hidden="false" customHeight="true" outlineLevel="0" collapsed="false">
      <c r="A646" s="20" t="s">
        <v>2098</v>
      </c>
      <c r="B646" s="20" t="s">
        <v>228</v>
      </c>
      <c r="C646" s="19" t="str">
        <f aca="false">IFERROR(INDEX('قائمة الوحدات'!$B$2:$B$41,MATCH($B646,'قائمة الوحدات'!$A$2:$A$41,0)),"")</f>
        <v>MIL</v>
      </c>
      <c r="D646" s="18" t="str">
        <f aca="false">IFERROR(INDEX('قائمة الوحدات'!$C$2:$C$41,MATCH($B646,'قائمة الوحدات'!$A$2:$A$41,0)),"")</f>
        <v>الجهاز العسكري</v>
      </c>
      <c r="E646" s="18" t="str">
        <f aca="false">IFERROR(INDEX('قائمة الوحدات'!$D$2:$D$41,MATCH($B646,'قائمة الوحدات'!$A$2:$A$41,0)),"")</f>
        <v>الإدارة العامة للقضاء العسكري</v>
      </c>
      <c r="F646" s="18" t="str">
        <f aca="false">IFERROR(INDEX('قائمة الوحدات'!$F$2:$F$41,MATCH($B646,'قائمة الوحدات'!$A$2:$A$41,0)),"")</f>
        <v>الإدارة العامة للقضاء العسكري</v>
      </c>
      <c r="G646" s="20" t="s">
        <v>66</v>
      </c>
      <c r="H646" s="18" t="str">
        <f aca="false">IFERROR(INDEX(المرجع!$A$2:$A$19,MATCH($G646,المرجع!$B$2:$B$19,0)),"")</f>
        <v>التشغيل</v>
      </c>
      <c r="I646" s="20" t="s">
        <v>52</v>
      </c>
      <c r="J646" s="18" t="str">
        <f aca="false">IFERROR(INDEX(المرجع!$D$2:$D$19,MATCH($I646,المرجع!$E$2:$E$19,0)),"")</f>
        <v>الحوكمة</v>
      </c>
      <c r="K646" s="19" t="n">
        <f aca="false">IFERROR(INDEX(المرجع!$F$2:$F$19,MATCH($I646,المرجع!$E$2:$E$19,0)),"")</f>
        <v>3</v>
      </c>
      <c r="L646" s="19" t="n">
        <f aca="false">SUMIFS(المرجع!$H$2:$H$19,المرجع!$B$2:$B$19,$G646,المرجع!$E$2:$E$19,$I646)</f>
        <v>3</v>
      </c>
      <c r="M646" s="19" t="n">
        <f aca="false">COUNTIFS('المرتبطة بسمو الوزير'!$B$2:$B$151,$B646,'المرتبطة بسمو الوزير'!$G$2:$G$151,$G646,'المرتبطة بسمو الوزير'!$I$2:$I$151,$I646,'المرتبطة بسمو الوزير'!$M$2:$M$151,"&lt;&gt;")+COUNTIFS('الشؤون التنفيذية'!$B$2:$B$421,$B646,'الشؤون التنفيذية'!$G$2:$G$421,$G646,'الشؤون التنفيذية'!$I$2:$I$421,$I646,'الشؤون التنفيذية'!$N$2:$N$421,"&lt;&gt;")+COUNTIFS('الجهاز العسكري'!$B$2:$B$631,$B646,'الجهاز العسكري'!$G$2:$G$631,$G646,'الجهاز العسكري'!$I$2:$I$631,$I646,'الجهاز العسكري'!$M$2:$M$631,"&lt;&gt;")</f>
        <v>3</v>
      </c>
      <c r="N646" s="24" t="n">
        <f aca="false">IF($L646=0,0,ROUND((SUMIFS('المرتبطة بسمو الوزير'!$M$2:$M$151,'المرتبطة بسمو الوزير'!$B$2:$B$151,$B646,'المرتبطة بسمو الوزير'!$G$2:$G$151,$G646,'المرتبطة بسمو الوزير'!$I$2:$I$151,$I646)+SUMIFS('الشؤون التنفيذية'!$N$2:$N$421,'الشؤون التنفيذية'!$B$2:$B$421,$B646,'الشؤون التنفيذية'!$G$2:$G$421,$G646,'الشؤون التنفيذية'!$I$2:$I$421,$I646)+SUMIFS('الجهاز العسكري'!$M$2:$M$631,'الجهاز العسكري'!$B$2:$B$631,$B646,'الجهاز العسكري'!$G$2:$G$631,$G646,'الجهاز العسكري'!$I$2:$I$631,$I646))/$L646,0))</f>
        <v>52</v>
      </c>
      <c r="O646" s="25" t="n">
        <f aca="false">IF($L646=0,0,ROUND((SUMIFS('المرتبطة بسمو الوزير'!$N$2:$N$151,'المرتبطة بسمو الوزير'!$B$2:$B$151,$B646,'المرتبطة بسمو الوزير'!$G$2:$G$151,$G646,'المرتبطة بسمو الوزير'!$I$2:$I$151,$I646)+SUMIFS('الشؤون التنفيذية'!$O$2:$O$421,'الشؤون التنفيذية'!$B$2:$B$421,$B646,'الشؤون التنفيذية'!$G$2:$G$421,$G646,'الشؤون التنفيذية'!$I$2:$I$421,$I646)+SUMIFS('الجهاز العسكري'!$N$2:$N$631,'الجهاز العسكري'!$B$2:$B$631,$B646,'الجهاز العسكري'!$G$2:$G$631,$G646,'الجهاز العسكري'!$I$2:$I$631,$I646))/$L646,0))</f>
        <v>97</v>
      </c>
      <c r="P646" s="22"/>
      <c r="Q646" s="19" t="n">
        <f aca="false">SUMIFS(المرجع!$G$2:$G$19,المرجع!$B$2:$B$19,$G646,المرجع!$E$2:$E$19,$I646)</f>
        <v>15</v>
      </c>
      <c r="R646" s="26" t="n">
        <f aca="false">ROUND($Q646*$N646/100,2)</f>
        <v>7.8</v>
      </c>
      <c r="S646" s="27" t="str">
        <f aca="false">IF($N646&gt;المرجع!$K$3,"متقدم",IF($N646&lt;=المرجع!$K$2,"أولي","جزئي"))</f>
        <v>جزئي</v>
      </c>
      <c r="T646" s="28" t="n">
        <f aca="false">ROUND($Q646*$O646/100,2)</f>
        <v>14.55</v>
      </c>
    </row>
    <row r="647" customFormat="false" ht="15" hidden="false" customHeight="true" outlineLevel="0" collapsed="false">
      <c r="A647" s="20" t="s">
        <v>2099</v>
      </c>
      <c r="B647" s="20" t="s">
        <v>228</v>
      </c>
      <c r="C647" s="19" t="str">
        <f aca="false">IFERROR(INDEX('قائمة الوحدات'!$B$2:$B$41,MATCH($B647,'قائمة الوحدات'!$A$2:$A$41,0)),"")</f>
        <v>MIL</v>
      </c>
      <c r="D647" s="18" t="str">
        <f aca="false">IFERROR(INDEX('قائمة الوحدات'!$C$2:$C$41,MATCH($B647,'قائمة الوحدات'!$A$2:$A$41,0)),"")</f>
        <v>الجهاز العسكري</v>
      </c>
      <c r="E647" s="18" t="str">
        <f aca="false">IFERROR(INDEX('قائمة الوحدات'!$D$2:$D$41,MATCH($B647,'قائمة الوحدات'!$A$2:$A$41,0)),"")</f>
        <v>الإدارة العامة للقضاء العسكري</v>
      </c>
      <c r="F647" s="18" t="str">
        <f aca="false">IFERROR(INDEX('قائمة الوحدات'!$F$2:$F$41,MATCH($B647,'قائمة الوحدات'!$A$2:$A$41,0)),"")</f>
        <v>الإدارة العامة للقضاء العسكري</v>
      </c>
      <c r="G647" s="20" t="s">
        <v>66</v>
      </c>
      <c r="H647" s="18" t="str">
        <f aca="false">IFERROR(INDEX(المرجع!$A$2:$A$19,MATCH($G647,المرجع!$B$2:$B$19,0)),"")</f>
        <v>التشغيل</v>
      </c>
      <c r="I647" s="20" t="s">
        <v>57</v>
      </c>
      <c r="J647" s="18" t="str">
        <f aca="false">IFERROR(INDEX(المرجع!$D$2:$D$19,MATCH($I647,المرجع!$E$2:$E$19,0)),"")</f>
        <v>الموارد</v>
      </c>
      <c r="K647" s="19" t="n">
        <f aca="false">IFERROR(INDEX(المرجع!$F$2:$F$19,MATCH($I647,المرجع!$E$2:$E$19,0)),"")</f>
        <v>5</v>
      </c>
      <c r="L647" s="19" t="n">
        <f aca="false">SUMIFS(المرجع!$H$2:$H$19,المرجع!$B$2:$B$19,$G647,المرجع!$E$2:$E$19,$I647)</f>
        <v>1</v>
      </c>
      <c r="M647" s="19" t="n">
        <f aca="false">COUNTIFS('المرتبطة بسمو الوزير'!$B$2:$B$151,$B647,'المرتبطة بسمو الوزير'!$G$2:$G$151,$G647,'المرتبطة بسمو الوزير'!$I$2:$I$151,$I647,'المرتبطة بسمو الوزير'!$M$2:$M$151,"&lt;&gt;")+COUNTIFS('الشؤون التنفيذية'!$B$2:$B$421,$B647,'الشؤون التنفيذية'!$G$2:$G$421,$G647,'الشؤون التنفيذية'!$I$2:$I$421,$I647,'الشؤون التنفيذية'!$N$2:$N$421,"&lt;&gt;")+COUNTIFS('الجهاز العسكري'!$B$2:$B$631,$B647,'الجهاز العسكري'!$G$2:$G$631,$G647,'الجهاز العسكري'!$I$2:$I$631,$I647,'الجهاز العسكري'!$M$2:$M$631,"&lt;&gt;")</f>
        <v>1</v>
      </c>
      <c r="N647" s="24" t="n">
        <f aca="false">IF($L647=0,0,ROUND((SUMIFS('المرتبطة بسمو الوزير'!$M$2:$M$151,'المرتبطة بسمو الوزير'!$B$2:$B$151,$B647,'المرتبطة بسمو الوزير'!$G$2:$G$151,$G647,'المرتبطة بسمو الوزير'!$I$2:$I$151,$I647)+SUMIFS('الشؤون التنفيذية'!$N$2:$N$421,'الشؤون التنفيذية'!$B$2:$B$421,$B647,'الشؤون التنفيذية'!$G$2:$G$421,$G647,'الشؤون التنفيذية'!$I$2:$I$421,$I647)+SUMIFS('الجهاز العسكري'!$M$2:$M$631,'الجهاز العسكري'!$B$2:$B$631,$B647,'الجهاز العسكري'!$G$2:$G$631,$G647,'الجهاز العسكري'!$I$2:$I$631,$I647))/$L647,0))</f>
        <v>19</v>
      </c>
      <c r="O647" s="25" t="n">
        <f aca="false">IF($L647=0,0,ROUND((SUMIFS('المرتبطة بسمو الوزير'!$N$2:$N$151,'المرتبطة بسمو الوزير'!$B$2:$B$151,$B647,'المرتبطة بسمو الوزير'!$G$2:$G$151,$G647,'المرتبطة بسمو الوزير'!$I$2:$I$151,$I647)+SUMIFS('الشؤون التنفيذية'!$O$2:$O$421,'الشؤون التنفيذية'!$B$2:$B$421,$B647,'الشؤون التنفيذية'!$G$2:$G$421,$G647,'الشؤون التنفيذية'!$I$2:$I$421,$I647)+SUMIFS('الجهاز العسكري'!$N$2:$N$631,'الجهاز العسكري'!$B$2:$B$631,$B647,'الجهاز العسكري'!$G$2:$G$631,$G647,'الجهاز العسكري'!$I$2:$I$631,$I647))/$L647,0))</f>
        <v>95</v>
      </c>
      <c r="P647" s="22"/>
      <c r="Q647" s="19" t="n">
        <f aca="false">SUMIFS(المرجع!$G$2:$G$19,المرجع!$B$2:$B$19,$G647,المرجع!$E$2:$E$19,$I647)</f>
        <v>15</v>
      </c>
      <c r="R647" s="26" t="n">
        <f aca="false">ROUND($Q647*$N647/100,2)</f>
        <v>2.85</v>
      </c>
      <c r="S647" s="27" t="str">
        <f aca="false">IF($N647&gt;المرجع!$K$3,"متقدم",IF($N647&lt;=المرجع!$K$2,"أولي","جزئي"))</f>
        <v>أولي</v>
      </c>
      <c r="T647" s="28" t="n">
        <f aca="false">ROUND($Q647*$O647/100,2)</f>
        <v>14.25</v>
      </c>
    </row>
    <row r="648" customFormat="false" ht="15" hidden="false" customHeight="true" outlineLevel="0" collapsed="false">
      <c r="A648" s="20" t="s">
        <v>2100</v>
      </c>
      <c r="B648" s="20" t="s">
        <v>228</v>
      </c>
      <c r="C648" s="19" t="str">
        <f aca="false">IFERROR(INDEX('قائمة الوحدات'!$B$2:$B$41,MATCH($B648,'قائمة الوحدات'!$A$2:$A$41,0)),"")</f>
        <v>MIL</v>
      </c>
      <c r="D648" s="18" t="str">
        <f aca="false">IFERROR(INDEX('قائمة الوحدات'!$C$2:$C$41,MATCH($B648,'قائمة الوحدات'!$A$2:$A$41,0)),"")</f>
        <v>الجهاز العسكري</v>
      </c>
      <c r="E648" s="18" t="str">
        <f aca="false">IFERROR(INDEX('قائمة الوحدات'!$D$2:$D$41,MATCH($B648,'قائمة الوحدات'!$A$2:$A$41,0)),"")</f>
        <v>الإدارة العامة للقضاء العسكري</v>
      </c>
      <c r="F648" s="18" t="str">
        <f aca="false">IFERROR(INDEX('قائمة الوحدات'!$F$2:$F$41,MATCH($B648,'قائمة الوحدات'!$A$2:$A$41,0)),"")</f>
        <v>الإدارة العامة للقضاء العسكري</v>
      </c>
      <c r="G648" s="20" t="s">
        <v>66</v>
      </c>
      <c r="H648" s="18" t="str">
        <f aca="false">IFERROR(INDEX(المرجع!$A$2:$A$19,MATCH($G648,المرجع!$B$2:$B$19,0)),"")</f>
        <v>التشغيل</v>
      </c>
      <c r="I648" s="20" t="s">
        <v>60</v>
      </c>
      <c r="J648" s="18" t="str">
        <f aca="false">IFERROR(INDEX(المرجع!$D$2:$D$19,MATCH($I648,المرجع!$E$2:$E$19,0)),"")</f>
        <v>الإجراءات</v>
      </c>
      <c r="K648" s="19" t="n">
        <f aca="false">IFERROR(INDEX(المرجع!$F$2:$F$19,MATCH($I648,المرجع!$E$2:$E$19,0)),"")</f>
        <v>6</v>
      </c>
      <c r="L648" s="19" t="n">
        <f aca="false">SUMIFS(المرجع!$H$2:$H$19,المرجع!$B$2:$B$19,$G648,المرجع!$E$2:$E$19,$I648)</f>
        <v>1</v>
      </c>
      <c r="M648" s="19" t="n">
        <f aca="false">COUNTIFS('المرتبطة بسمو الوزير'!$B$2:$B$151,$B648,'المرتبطة بسمو الوزير'!$G$2:$G$151,$G648,'المرتبطة بسمو الوزير'!$I$2:$I$151,$I648,'المرتبطة بسمو الوزير'!$M$2:$M$151,"&lt;&gt;")+COUNTIFS('الشؤون التنفيذية'!$B$2:$B$421,$B648,'الشؤون التنفيذية'!$G$2:$G$421,$G648,'الشؤون التنفيذية'!$I$2:$I$421,$I648,'الشؤون التنفيذية'!$N$2:$N$421,"&lt;&gt;")+COUNTIFS('الجهاز العسكري'!$B$2:$B$631,$B648,'الجهاز العسكري'!$G$2:$G$631,$G648,'الجهاز العسكري'!$I$2:$I$631,$I648,'الجهاز العسكري'!$M$2:$M$631,"&lt;&gt;")</f>
        <v>1</v>
      </c>
      <c r="N648" s="24" t="n">
        <f aca="false">IF($L648=0,0,ROUND((SUMIFS('المرتبطة بسمو الوزير'!$M$2:$M$151,'المرتبطة بسمو الوزير'!$B$2:$B$151,$B648,'المرتبطة بسمو الوزير'!$G$2:$G$151,$G648,'المرتبطة بسمو الوزير'!$I$2:$I$151,$I648)+SUMIFS('الشؤون التنفيذية'!$N$2:$N$421,'الشؤون التنفيذية'!$B$2:$B$421,$B648,'الشؤون التنفيذية'!$G$2:$G$421,$G648,'الشؤون التنفيذية'!$I$2:$I$421,$I648)+SUMIFS('الجهاز العسكري'!$M$2:$M$631,'الجهاز العسكري'!$B$2:$B$631,$B648,'الجهاز العسكري'!$G$2:$G$631,$G648,'الجهاز العسكري'!$I$2:$I$631,$I648))/$L648,0))</f>
        <v>41</v>
      </c>
      <c r="O648" s="25" t="n">
        <f aca="false">IF($L648=0,0,ROUND((SUMIFS('المرتبطة بسمو الوزير'!$N$2:$N$151,'المرتبطة بسمو الوزير'!$B$2:$B$151,$B648,'المرتبطة بسمو الوزير'!$G$2:$G$151,$G648,'المرتبطة بسمو الوزير'!$I$2:$I$151,$I648)+SUMIFS('الشؤون التنفيذية'!$O$2:$O$421,'الشؤون التنفيذية'!$B$2:$B$421,$B648,'الشؤون التنفيذية'!$G$2:$G$421,$G648,'الشؤون التنفيذية'!$I$2:$I$421,$I648)+SUMIFS('الجهاز العسكري'!$N$2:$N$631,'الجهاز العسكري'!$B$2:$B$631,$B648,'الجهاز العسكري'!$G$2:$G$631,$G648,'الجهاز العسكري'!$I$2:$I$631,$I648))/$L648,0))</f>
        <v>100</v>
      </c>
      <c r="P648" s="22"/>
      <c r="Q648" s="19" t="n">
        <f aca="false">SUMIFS(المرجع!$G$2:$G$19,المرجع!$B$2:$B$19,$G648,المرجع!$E$2:$E$19,$I648)</f>
        <v>15</v>
      </c>
      <c r="R648" s="26" t="n">
        <f aca="false">ROUND($Q648*$N648/100,2)</f>
        <v>6.15</v>
      </c>
      <c r="S648" s="27" t="str">
        <f aca="false">IF($N648&gt;المرجع!$K$3,"متقدم",IF($N648&lt;=المرجع!$K$2,"أولي","جزئي"))</f>
        <v>جزئي</v>
      </c>
      <c r="T648" s="28" t="n">
        <f aca="false">ROUND($Q648*$O648/100,2)</f>
        <v>15</v>
      </c>
    </row>
    <row r="649" customFormat="false" ht="15" hidden="false" customHeight="true" outlineLevel="0" collapsed="false">
      <c r="A649" s="20" t="s">
        <v>2101</v>
      </c>
      <c r="B649" s="20" t="s">
        <v>228</v>
      </c>
      <c r="C649" s="19" t="str">
        <f aca="false">IFERROR(INDEX('قائمة الوحدات'!$B$2:$B$41,MATCH($B649,'قائمة الوحدات'!$A$2:$A$41,0)),"")</f>
        <v>MIL</v>
      </c>
      <c r="D649" s="18" t="str">
        <f aca="false">IFERROR(INDEX('قائمة الوحدات'!$C$2:$C$41,MATCH($B649,'قائمة الوحدات'!$A$2:$A$41,0)),"")</f>
        <v>الجهاز العسكري</v>
      </c>
      <c r="E649" s="18" t="str">
        <f aca="false">IFERROR(INDEX('قائمة الوحدات'!$D$2:$D$41,MATCH($B649,'قائمة الوحدات'!$A$2:$A$41,0)),"")</f>
        <v>الإدارة العامة للقضاء العسكري</v>
      </c>
      <c r="F649" s="18" t="str">
        <f aca="false">IFERROR(INDEX('قائمة الوحدات'!$F$2:$F$41,MATCH($B649,'قائمة الوحدات'!$A$2:$A$41,0)),"")</f>
        <v>الإدارة العامة للقضاء العسكري</v>
      </c>
      <c r="G649" s="20" t="s">
        <v>66</v>
      </c>
      <c r="H649" s="18" t="str">
        <f aca="false">IFERROR(INDEX(المرجع!$A$2:$A$19,MATCH($G649,المرجع!$B$2:$B$19,0)),"")</f>
        <v>التشغيل</v>
      </c>
      <c r="I649" s="20" t="s">
        <v>71</v>
      </c>
      <c r="J649" s="18" t="str">
        <f aca="false">IFERROR(INDEX(المرجع!$D$2:$D$19,MATCH($I649,المرجع!$E$2:$E$19,0)),"")</f>
        <v>اكتمال المخرجات المستهدفة</v>
      </c>
      <c r="K649" s="19" t="n">
        <f aca="false">IFERROR(INDEX(المرجع!$F$2:$F$19,MATCH($I649,المرجع!$E$2:$E$19,0)),"")</f>
        <v>8</v>
      </c>
      <c r="L649" s="19" t="n">
        <f aca="false">SUMIFS(المرجع!$H$2:$H$19,المرجع!$B$2:$B$19,$G649,المرجع!$E$2:$E$19,$I649)</f>
        <v>1</v>
      </c>
      <c r="M649" s="19" t="n">
        <f aca="false">COUNTIFS('المرتبطة بسمو الوزير'!$B$2:$B$151,$B649,'المرتبطة بسمو الوزير'!$G$2:$G$151,$G649,'المرتبطة بسمو الوزير'!$I$2:$I$151,$I649,'المرتبطة بسمو الوزير'!$M$2:$M$151,"&lt;&gt;")+COUNTIFS('الشؤون التنفيذية'!$B$2:$B$421,$B649,'الشؤون التنفيذية'!$G$2:$G$421,$G649,'الشؤون التنفيذية'!$I$2:$I$421,$I649,'الشؤون التنفيذية'!$N$2:$N$421,"&lt;&gt;")+COUNTIFS('الجهاز العسكري'!$B$2:$B$631,$B649,'الجهاز العسكري'!$G$2:$G$631,$G649,'الجهاز العسكري'!$I$2:$I$631,$I649,'الجهاز العسكري'!$M$2:$M$631,"&lt;&gt;")</f>
        <v>1</v>
      </c>
      <c r="N649" s="24" t="n">
        <f aca="false">IF($L649=0,0,ROUND((SUMIFS('المرتبطة بسمو الوزير'!$M$2:$M$151,'المرتبطة بسمو الوزير'!$B$2:$B$151,$B649,'المرتبطة بسمو الوزير'!$G$2:$G$151,$G649,'المرتبطة بسمو الوزير'!$I$2:$I$151,$I649)+SUMIFS('الشؤون التنفيذية'!$N$2:$N$421,'الشؤون التنفيذية'!$B$2:$B$421,$B649,'الشؤون التنفيذية'!$G$2:$G$421,$G649,'الشؤون التنفيذية'!$I$2:$I$421,$I649)+SUMIFS('الجهاز العسكري'!$M$2:$M$631,'الجهاز العسكري'!$B$2:$B$631,$B649,'الجهاز العسكري'!$G$2:$G$631,$G649,'الجهاز العسكري'!$I$2:$I$631,$I649))/$L649,0))</f>
        <v>36</v>
      </c>
      <c r="O649" s="25" t="n">
        <f aca="false">IF($L649=0,0,ROUND((SUMIFS('المرتبطة بسمو الوزير'!$N$2:$N$151,'المرتبطة بسمو الوزير'!$B$2:$B$151,$B649,'المرتبطة بسمو الوزير'!$G$2:$G$151,$G649,'المرتبطة بسمو الوزير'!$I$2:$I$151,$I649)+SUMIFS('الشؤون التنفيذية'!$O$2:$O$421,'الشؤون التنفيذية'!$B$2:$B$421,$B649,'الشؤون التنفيذية'!$G$2:$G$421,$G649,'الشؤون التنفيذية'!$I$2:$I$421,$I649)+SUMIFS('الجهاز العسكري'!$N$2:$N$631,'الجهاز العسكري'!$B$2:$B$631,$B649,'الجهاز العسكري'!$G$2:$G$631,$G649,'الجهاز العسكري'!$I$2:$I$631,$I649))/$L649,0))</f>
        <v>100</v>
      </c>
      <c r="P649" s="22"/>
      <c r="Q649" s="19" t="n">
        <f aca="false">SUMIFS(المرجع!$G$2:$G$19,المرجع!$B$2:$B$19,$G649,المرجع!$E$2:$E$19,$I649)</f>
        <v>30</v>
      </c>
      <c r="R649" s="26" t="n">
        <f aca="false">ROUND($Q649*$N649/100,2)</f>
        <v>10.8</v>
      </c>
      <c r="S649" s="27" t="str">
        <f aca="false">IF($N649&gt;المرجع!$K$3,"متقدم",IF($N649&lt;=المرجع!$K$2,"أولي","جزئي"))</f>
        <v>جزئي</v>
      </c>
      <c r="T649" s="28" t="n">
        <f aca="false">ROUND($Q649*$O649/100,2)</f>
        <v>30</v>
      </c>
    </row>
    <row r="650" customFormat="false" ht="15" hidden="false" customHeight="true" outlineLevel="0" collapsed="false">
      <c r="A650" s="20" t="s">
        <v>2102</v>
      </c>
      <c r="B650" s="20" t="s">
        <v>230</v>
      </c>
      <c r="C650" s="19" t="str">
        <f aca="false">IFERROR(INDEX('قائمة الوحدات'!$B$2:$B$41,MATCH($B650,'قائمة الوحدات'!$A$2:$A$41,0)),"")</f>
        <v>MIL</v>
      </c>
      <c r="D650" s="18" t="str">
        <f aca="false">IFERROR(INDEX('قائمة الوحدات'!$C$2:$C$41,MATCH($B650,'قائمة الوحدات'!$A$2:$A$41,0)),"")</f>
        <v>الجهاز العسكري</v>
      </c>
      <c r="E650" s="18" t="str">
        <f aca="false">IFERROR(INDEX('قائمة الوحدات'!$D$2:$D$41,MATCH($B650,'قائمة الوحدات'!$A$2:$A$41,0)),"")</f>
        <v>الإدارة العامة للأمن العسكري</v>
      </c>
      <c r="F650" s="18" t="str">
        <f aca="false">IFERROR(INDEX('قائمة الوحدات'!$F$2:$F$41,MATCH($B650,'قائمة الوحدات'!$A$2:$A$41,0)),"")</f>
        <v>الإدارة العامة للأمن العسكري</v>
      </c>
      <c r="G650" s="20" t="s">
        <v>44</v>
      </c>
      <c r="H650" s="18" t="str">
        <f aca="false">IFERROR(INDEX(المرجع!$A$2:$A$19,MATCH($G650,المرجع!$B$2:$B$19,0)),"")</f>
        <v>التصميم</v>
      </c>
      <c r="I650" s="20" t="s">
        <v>46</v>
      </c>
      <c r="J650" s="18" t="str">
        <f aca="false">IFERROR(INDEX(المرجع!$D$2:$D$19,MATCH($I650,المرجع!$E$2:$E$19,0)),"")</f>
        <v>الدور</v>
      </c>
      <c r="K650" s="19" t="n">
        <f aca="false">IFERROR(INDEX(المرجع!$F$2:$F$19,MATCH($I650,المرجع!$E$2:$E$19,0)),"")</f>
        <v>1</v>
      </c>
      <c r="L650" s="19" t="n">
        <f aca="false">SUMIFS(المرجع!$H$2:$H$19,المرجع!$B$2:$B$19,$G650,المرجع!$E$2:$E$19,$I650)</f>
        <v>1</v>
      </c>
      <c r="M650" s="19" t="n">
        <f aca="false">COUNTIFS('المرتبطة بسمو الوزير'!$B$2:$B$151,$B650,'المرتبطة بسمو الوزير'!$G$2:$G$151,$G650,'المرتبطة بسمو الوزير'!$I$2:$I$151,$I650,'المرتبطة بسمو الوزير'!$M$2:$M$151,"&lt;&gt;")+COUNTIFS('الشؤون التنفيذية'!$B$2:$B$421,$B650,'الشؤون التنفيذية'!$G$2:$G$421,$G650,'الشؤون التنفيذية'!$I$2:$I$421,$I650,'الشؤون التنفيذية'!$N$2:$N$421,"&lt;&gt;")+COUNTIFS('الجهاز العسكري'!$B$2:$B$631,$B650,'الجهاز العسكري'!$G$2:$G$631,$G650,'الجهاز العسكري'!$I$2:$I$631,$I650,'الجهاز العسكري'!$M$2:$M$631,"&lt;&gt;")</f>
        <v>1</v>
      </c>
      <c r="N650" s="24" t="n">
        <f aca="false">IF($L650=0,0,ROUND((SUMIFS('المرتبطة بسمو الوزير'!$M$2:$M$151,'المرتبطة بسمو الوزير'!$B$2:$B$151,$B650,'المرتبطة بسمو الوزير'!$G$2:$G$151,$G650,'المرتبطة بسمو الوزير'!$I$2:$I$151,$I650)+SUMIFS('الشؤون التنفيذية'!$N$2:$N$421,'الشؤون التنفيذية'!$B$2:$B$421,$B650,'الشؤون التنفيذية'!$G$2:$G$421,$G650,'الشؤون التنفيذية'!$I$2:$I$421,$I650)+SUMIFS('الجهاز العسكري'!$M$2:$M$631,'الجهاز العسكري'!$B$2:$B$631,$B650,'الجهاز العسكري'!$G$2:$G$631,$G650,'الجهاز العسكري'!$I$2:$I$631,$I650))/$L650,0))</f>
        <v>82</v>
      </c>
      <c r="O650" s="25" t="n">
        <f aca="false">IF($L650=0,0,ROUND((SUMIFS('المرتبطة بسمو الوزير'!$N$2:$N$151,'المرتبطة بسمو الوزير'!$B$2:$B$151,$B650,'المرتبطة بسمو الوزير'!$G$2:$G$151,$G650,'المرتبطة بسمو الوزير'!$I$2:$I$151,$I650)+SUMIFS('الشؤون التنفيذية'!$O$2:$O$421,'الشؤون التنفيذية'!$B$2:$B$421,$B650,'الشؤون التنفيذية'!$G$2:$G$421,$G650,'الشؤون التنفيذية'!$I$2:$I$421,$I650)+SUMIFS('الجهاز العسكري'!$N$2:$N$631,'الجهاز العسكري'!$B$2:$B$631,$B650,'الجهاز العسكري'!$G$2:$G$631,$G650,'الجهاز العسكري'!$I$2:$I$631,$I650))/$L650,0))</f>
        <v>85</v>
      </c>
      <c r="P650" s="22"/>
      <c r="Q650" s="19" t="n">
        <f aca="false">SUMIFS(المرجع!$G$2:$G$19,المرجع!$B$2:$B$19,$G650,المرجع!$E$2:$E$19,$I650)</f>
        <v>25</v>
      </c>
      <c r="R650" s="26" t="n">
        <f aca="false">ROUND($Q650*$N650/100,2)</f>
        <v>20.5</v>
      </c>
      <c r="S650" s="27" t="str">
        <f aca="false">IF($N650&gt;المرجع!$K$3,"متقدم",IF($N650&lt;=المرجع!$K$2,"أولي","جزئي"))</f>
        <v>متقدم</v>
      </c>
      <c r="T650" s="28" t="n">
        <f aca="false">ROUND($Q650*$O650/100,2)</f>
        <v>21.25</v>
      </c>
    </row>
    <row r="651" customFormat="false" ht="15" hidden="false" customHeight="true" outlineLevel="0" collapsed="false">
      <c r="A651" s="20" t="s">
        <v>2103</v>
      </c>
      <c r="B651" s="20" t="s">
        <v>230</v>
      </c>
      <c r="C651" s="19" t="str">
        <f aca="false">IFERROR(INDEX('قائمة الوحدات'!$B$2:$B$41,MATCH($B651,'قائمة الوحدات'!$A$2:$A$41,0)),"")</f>
        <v>MIL</v>
      </c>
      <c r="D651" s="18" t="str">
        <f aca="false">IFERROR(INDEX('قائمة الوحدات'!$C$2:$C$41,MATCH($B651,'قائمة الوحدات'!$A$2:$A$41,0)),"")</f>
        <v>الجهاز العسكري</v>
      </c>
      <c r="E651" s="18" t="str">
        <f aca="false">IFERROR(INDEX('قائمة الوحدات'!$D$2:$D$41,MATCH($B651,'قائمة الوحدات'!$A$2:$A$41,0)),"")</f>
        <v>الإدارة العامة للأمن العسكري</v>
      </c>
      <c r="F651" s="18" t="str">
        <f aca="false">IFERROR(INDEX('قائمة الوحدات'!$F$2:$F$41,MATCH($B651,'قائمة الوحدات'!$A$2:$A$41,0)),"")</f>
        <v>الإدارة العامة للأمن العسكري</v>
      </c>
      <c r="G651" s="20" t="s">
        <v>44</v>
      </c>
      <c r="H651" s="18" t="str">
        <f aca="false">IFERROR(INDEX(المرجع!$A$2:$A$19,MATCH($G651,المرجع!$B$2:$B$19,0)),"")</f>
        <v>التصميم</v>
      </c>
      <c r="I651" s="20" t="s">
        <v>49</v>
      </c>
      <c r="J651" s="18" t="str">
        <f aca="false">IFERROR(INDEX(المرجع!$D$2:$D$19,MATCH($I651,المرجع!$E$2:$E$19,0)),"")</f>
        <v>الأهداف ومؤشرات الأداء</v>
      </c>
      <c r="K651" s="19" t="n">
        <f aca="false">IFERROR(INDEX(المرجع!$F$2:$F$19,MATCH($I651,المرجع!$E$2:$E$19,0)),"")</f>
        <v>2</v>
      </c>
      <c r="L651" s="19" t="n">
        <f aca="false">SUMIFS(المرجع!$H$2:$H$19,المرجع!$B$2:$B$19,$G651,المرجع!$E$2:$E$19,$I651)</f>
        <v>2</v>
      </c>
      <c r="M651" s="19" t="n">
        <f aca="false">COUNTIFS('المرتبطة بسمو الوزير'!$B$2:$B$151,$B651,'المرتبطة بسمو الوزير'!$G$2:$G$151,$G651,'المرتبطة بسمو الوزير'!$I$2:$I$151,$I651,'المرتبطة بسمو الوزير'!$M$2:$M$151,"&lt;&gt;")+COUNTIFS('الشؤون التنفيذية'!$B$2:$B$421,$B651,'الشؤون التنفيذية'!$G$2:$G$421,$G651,'الشؤون التنفيذية'!$I$2:$I$421,$I651,'الشؤون التنفيذية'!$N$2:$N$421,"&lt;&gt;")+COUNTIFS('الجهاز العسكري'!$B$2:$B$631,$B651,'الجهاز العسكري'!$G$2:$G$631,$G651,'الجهاز العسكري'!$I$2:$I$631,$I651,'الجهاز العسكري'!$M$2:$M$631,"&lt;&gt;")</f>
        <v>2</v>
      </c>
      <c r="N651" s="24" t="n">
        <f aca="false">IF($L651=0,0,ROUND((SUMIFS('المرتبطة بسمو الوزير'!$M$2:$M$151,'المرتبطة بسمو الوزير'!$B$2:$B$151,$B651,'المرتبطة بسمو الوزير'!$G$2:$G$151,$G651,'المرتبطة بسمو الوزير'!$I$2:$I$151,$I651)+SUMIFS('الشؤون التنفيذية'!$N$2:$N$421,'الشؤون التنفيذية'!$B$2:$B$421,$B651,'الشؤون التنفيذية'!$G$2:$G$421,$G651,'الشؤون التنفيذية'!$I$2:$I$421,$I651)+SUMIFS('الجهاز العسكري'!$M$2:$M$631,'الجهاز العسكري'!$B$2:$B$631,$B651,'الجهاز العسكري'!$G$2:$G$631,$G651,'الجهاز العسكري'!$I$2:$I$631,$I651))/$L651,0))</f>
        <v>80</v>
      </c>
      <c r="O651" s="25" t="n">
        <f aca="false">IF($L651=0,0,ROUND((SUMIFS('المرتبطة بسمو الوزير'!$N$2:$N$151,'المرتبطة بسمو الوزير'!$B$2:$B$151,$B651,'المرتبطة بسمو الوزير'!$G$2:$G$151,$G651,'المرتبطة بسمو الوزير'!$I$2:$I$151,$I651)+SUMIFS('الشؤون التنفيذية'!$O$2:$O$421,'الشؤون التنفيذية'!$B$2:$B$421,$B651,'الشؤون التنفيذية'!$G$2:$G$421,$G651,'الشؤون التنفيذية'!$I$2:$I$421,$I651)+SUMIFS('الجهاز العسكري'!$N$2:$N$631,'الجهاز العسكري'!$B$2:$B$631,$B651,'الجهاز العسكري'!$G$2:$G$631,$G651,'الجهاز العسكري'!$I$2:$I$631,$I651))/$L651,0))</f>
        <v>93</v>
      </c>
      <c r="P651" s="22"/>
      <c r="Q651" s="19" t="n">
        <f aca="false">SUMIFS(المرجع!$G$2:$G$19,المرجع!$B$2:$B$19,$G651,المرجع!$E$2:$E$19,$I651)</f>
        <v>15</v>
      </c>
      <c r="R651" s="26" t="n">
        <f aca="false">ROUND($Q651*$N651/100,2)</f>
        <v>12</v>
      </c>
      <c r="S651" s="27" t="str">
        <f aca="false">IF($N651&gt;المرجع!$K$3,"متقدم",IF($N651&lt;=المرجع!$K$2,"أولي","جزئي"))</f>
        <v>متقدم</v>
      </c>
      <c r="T651" s="28" t="n">
        <f aca="false">ROUND($Q651*$O651/100,2)</f>
        <v>13.95</v>
      </c>
    </row>
    <row r="652" customFormat="false" ht="15" hidden="false" customHeight="true" outlineLevel="0" collapsed="false">
      <c r="A652" s="20" t="s">
        <v>2104</v>
      </c>
      <c r="B652" s="20" t="s">
        <v>230</v>
      </c>
      <c r="C652" s="19" t="str">
        <f aca="false">IFERROR(INDEX('قائمة الوحدات'!$B$2:$B$41,MATCH($B652,'قائمة الوحدات'!$A$2:$A$41,0)),"")</f>
        <v>MIL</v>
      </c>
      <c r="D652" s="18" t="str">
        <f aca="false">IFERROR(INDEX('قائمة الوحدات'!$C$2:$C$41,MATCH($B652,'قائمة الوحدات'!$A$2:$A$41,0)),"")</f>
        <v>الجهاز العسكري</v>
      </c>
      <c r="E652" s="18" t="str">
        <f aca="false">IFERROR(INDEX('قائمة الوحدات'!$D$2:$D$41,MATCH($B652,'قائمة الوحدات'!$A$2:$A$41,0)),"")</f>
        <v>الإدارة العامة للأمن العسكري</v>
      </c>
      <c r="F652" s="18" t="str">
        <f aca="false">IFERROR(INDEX('قائمة الوحدات'!$F$2:$F$41,MATCH($B652,'قائمة الوحدات'!$A$2:$A$41,0)),"")</f>
        <v>الإدارة العامة للأمن العسكري</v>
      </c>
      <c r="G652" s="20" t="s">
        <v>44</v>
      </c>
      <c r="H652" s="18" t="str">
        <f aca="false">IFERROR(INDEX(المرجع!$A$2:$A$19,MATCH($G652,المرجع!$B$2:$B$19,0)),"")</f>
        <v>التصميم</v>
      </c>
      <c r="I652" s="20" t="s">
        <v>52</v>
      </c>
      <c r="J652" s="18" t="str">
        <f aca="false">IFERROR(INDEX(المرجع!$D$2:$D$19,MATCH($I652,المرجع!$E$2:$E$19,0)),"")</f>
        <v>الحوكمة</v>
      </c>
      <c r="K652" s="19" t="n">
        <f aca="false">IFERROR(INDEX(المرجع!$F$2:$F$19,MATCH($I652,المرجع!$E$2:$E$19,0)),"")</f>
        <v>3</v>
      </c>
      <c r="L652" s="19" t="n">
        <f aca="false">SUMIFS(المرجع!$H$2:$H$19,المرجع!$B$2:$B$19,$G652,المرجع!$E$2:$E$19,$I652)</f>
        <v>1</v>
      </c>
      <c r="M652" s="19" t="n">
        <f aca="false">COUNTIFS('المرتبطة بسمو الوزير'!$B$2:$B$151,$B652,'المرتبطة بسمو الوزير'!$G$2:$G$151,$G652,'المرتبطة بسمو الوزير'!$I$2:$I$151,$I652,'المرتبطة بسمو الوزير'!$M$2:$M$151,"&lt;&gt;")+COUNTIFS('الشؤون التنفيذية'!$B$2:$B$421,$B652,'الشؤون التنفيذية'!$G$2:$G$421,$G652,'الشؤون التنفيذية'!$I$2:$I$421,$I652,'الشؤون التنفيذية'!$N$2:$N$421,"&lt;&gt;")+COUNTIFS('الجهاز العسكري'!$B$2:$B$631,$B652,'الجهاز العسكري'!$G$2:$G$631,$G652,'الجهاز العسكري'!$I$2:$I$631,$I652,'الجهاز العسكري'!$M$2:$M$631,"&lt;&gt;")</f>
        <v>1</v>
      </c>
      <c r="N652" s="24" t="n">
        <f aca="false">IF($L652=0,0,ROUND((SUMIFS('المرتبطة بسمو الوزير'!$M$2:$M$151,'المرتبطة بسمو الوزير'!$B$2:$B$151,$B652,'المرتبطة بسمو الوزير'!$G$2:$G$151,$G652,'المرتبطة بسمو الوزير'!$I$2:$I$151,$I652)+SUMIFS('الشؤون التنفيذية'!$N$2:$N$421,'الشؤون التنفيذية'!$B$2:$B$421,$B652,'الشؤون التنفيذية'!$G$2:$G$421,$G652,'الشؤون التنفيذية'!$I$2:$I$421,$I652)+SUMIFS('الجهاز العسكري'!$M$2:$M$631,'الجهاز العسكري'!$B$2:$B$631,$B652,'الجهاز العسكري'!$G$2:$G$631,$G652,'الجهاز العسكري'!$I$2:$I$631,$I652))/$L652,0))</f>
        <v>90</v>
      </c>
      <c r="O652" s="25" t="n">
        <f aca="false">IF($L652=0,0,ROUND((SUMIFS('المرتبطة بسمو الوزير'!$N$2:$N$151,'المرتبطة بسمو الوزير'!$B$2:$B$151,$B652,'المرتبطة بسمو الوزير'!$G$2:$G$151,$G652,'المرتبطة بسمو الوزير'!$I$2:$I$151,$I652)+SUMIFS('الشؤون التنفيذية'!$O$2:$O$421,'الشؤون التنفيذية'!$B$2:$B$421,$B652,'الشؤون التنفيذية'!$G$2:$G$421,$G652,'الشؤون التنفيذية'!$I$2:$I$421,$I652)+SUMIFS('الجهاز العسكري'!$N$2:$N$631,'الجهاز العسكري'!$B$2:$B$631,$B652,'الجهاز العسكري'!$G$2:$G$631,$G652,'الجهاز العسكري'!$I$2:$I$631,$I652))/$L652,0))</f>
        <v>90</v>
      </c>
      <c r="P652" s="22"/>
      <c r="Q652" s="19" t="n">
        <f aca="false">SUMIFS(المرجع!$G$2:$G$19,المرجع!$B$2:$B$19,$G652,المرجع!$E$2:$E$19,$I652)</f>
        <v>15</v>
      </c>
      <c r="R652" s="26" t="n">
        <f aca="false">ROUND($Q652*$N652/100,2)</f>
        <v>13.5</v>
      </c>
      <c r="S652" s="27" t="str">
        <f aca="false">IF($N652&gt;المرجع!$K$3,"متقدم",IF($N652&lt;=المرجع!$K$2,"أولي","جزئي"))</f>
        <v>متقدم</v>
      </c>
      <c r="T652" s="28" t="n">
        <f aca="false">ROUND($Q652*$O652/100,2)</f>
        <v>13.5</v>
      </c>
    </row>
    <row r="653" customFormat="false" ht="15" hidden="false" customHeight="true" outlineLevel="0" collapsed="false">
      <c r="A653" s="20" t="s">
        <v>2105</v>
      </c>
      <c r="B653" s="20" t="s">
        <v>230</v>
      </c>
      <c r="C653" s="19" t="str">
        <f aca="false">IFERROR(INDEX('قائمة الوحدات'!$B$2:$B$41,MATCH($B653,'قائمة الوحدات'!$A$2:$A$41,0)),"")</f>
        <v>MIL</v>
      </c>
      <c r="D653" s="18" t="str">
        <f aca="false">IFERROR(INDEX('قائمة الوحدات'!$C$2:$C$41,MATCH($B653,'قائمة الوحدات'!$A$2:$A$41,0)),"")</f>
        <v>الجهاز العسكري</v>
      </c>
      <c r="E653" s="18" t="str">
        <f aca="false">IFERROR(INDEX('قائمة الوحدات'!$D$2:$D$41,MATCH($B653,'قائمة الوحدات'!$A$2:$A$41,0)),"")</f>
        <v>الإدارة العامة للأمن العسكري</v>
      </c>
      <c r="F653" s="18" t="str">
        <f aca="false">IFERROR(INDEX('قائمة الوحدات'!$F$2:$F$41,MATCH($B653,'قائمة الوحدات'!$A$2:$A$41,0)),"")</f>
        <v>الإدارة العامة للأمن العسكري</v>
      </c>
      <c r="G653" s="20" t="s">
        <v>44</v>
      </c>
      <c r="H653" s="18" t="str">
        <f aca="false">IFERROR(INDEX(المرجع!$A$2:$A$19,MATCH($G653,المرجع!$B$2:$B$19,0)),"")</f>
        <v>التصميم</v>
      </c>
      <c r="I653" s="20" t="s">
        <v>55</v>
      </c>
      <c r="J653" s="18" t="str">
        <f aca="false">IFERROR(INDEX(المرجع!$D$2:$D$19,MATCH($I653,المرجع!$E$2:$E$19,0)),"")</f>
        <v>التنظيم</v>
      </c>
      <c r="K653" s="19" t="n">
        <f aca="false">IFERROR(INDEX(المرجع!$F$2:$F$19,MATCH($I653,المرجع!$E$2:$E$19,0)),"")</f>
        <v>4</v>
      </c>
      <c r="L653" s="19" t="n">
        <f aca="false">SUMIFS(المرجع!$H$2:$H$19,المرجع!$B$2:$B$19,$G653,المرجع!$E$2:$E$19,$I653)</f>
        <v>1</v>
      </c>
      <c r="M653" s="19" t="n">
        <f aca="false">COUNTIFS('المرتبطة بسمو الوزير'!$B$2:$B$151,$B653,'المرتبطة بسمو الوزير'!$G$2:$G$151,$G653,'المرتبطة بسمو الوزير'!$I$2:$I$151,$I653,'المرتبطة بسمو الوزير'!$M$2:$M$151,"&lt;&gt;")+COUNTIFS('الشؤون التنفيذية'!$B$2:$B$421,$B653,'الشؤون التنفيذية'!$G$2:$G$421,$G653,'الشؤون التنفيذية'!$I$2:$I$421,$I653,'الشؤون التنفيذية'!$N$2:$N$421,"&lt;&gt;")+COUNTIFS('الجهاز العسكري'!$B$2:$B$631,$B653,'الجهاز العسكري'!$G$2:$G$631,$G653,'الجهاز العسكري'!$I$2:$I$631,$I653,'الجهاز العسكري'!$M$2:$M$631,"&lt;&gt;")</f>
        <v>1</v>
      </c>
      <c r="N653" s="24" t="n">
        <f aca="false">IF($L653=0,0,ROUND((SUMIFS('المرتبطة بسمو الوزير'!$M$2:$M$151,'المرتبطة بسمو الوزير'!$B$2:$B$151,$B653,'المرتبطة بسمو الوزير'!$G$2:$G$151,$G653,'المرتبطة بسمو الوزير'!$I$2:$I$151,$I653)+SUMIFS('الشؤون التنفيذية'!$N$2:$N$421,'الشؤون التنفيذية'!$B$2:$B$421,$B653,'الشؤون التنفيذية'!$G$2:$G$421,$G653,'الشؤون التنفيذية'!$I$2:$I$421,$I653)+SUMIFS('الجهاز العسكري'!$M$2:$M$631,'الجهاز العسكري'!$B$2:$B$631,$B653,'الجهاز العسكري'!$G$2:$G$631,$G653,'الجهاز العسكري'!$I$2:$I$631,$I653))/$L653,0))</f>
        <v>97</v>
      </c>
      <c r="O653" s="25" t="n">
        <f aca="false">IF($L653=0,0,ROUND((SUMIFS('المرتبطة بسمو الوزير'!$N$2:$N$151,'المرتبطة بسمو الوزير'!$B$2:$B$151,$B653,'المرتبطة بسمو الوزير'!$G$2:$G$151,$G653,'المرتبطة بسمو الوزير'!$I$2:$I$151,$I653)+SUMIFS('الشؤون التنفيذية'!$O$2:$O$421,'الشؤون التنفيذية'!$B$2:$B$421,$B653,'الشؤون التنفيذية'!$G$2:$G$421,$G653,'الشؤون التنفيذية'!$I$2:$I$421,$I653)+SUMIFS('الجهاز العسكري'!$N$2:$N$631,'الجهاز العسكري'!$B$2:$B$631,$B653,'الجهاز العسكري'!$G$2:$G$631,$G653,'الجهاز العسكري'!$I$2:$I$631,$I653))/$L653,0))</f>
        <v>100</v>
      </c>
      <c r="P653" s="22"/>
      <c r="Q653" s="19" t="n">
        <f aca="false">SUMIFS(المرجع!$G$2:$G$19,المرجع!$B$2:$B$19,$G653,المرجع!$E$2:$E$19,$I653)</f>
        <v>20</v>
      </c>
      <c r="R653" s="26" t="n">
        <f aca="false">ROUND($Q653*$N653/100,2)</f>
        <v>19.4</v>
      </c>
      <c r="S653" s="27" t="str">
        <f aca="false">IF($N653&gt;المرجع!$K$3,"متقدم",IF($N653&lt;=المرجع!$K$2,"أولي","جزئي"))</f>
        <v>متقدم</v>
      </c>
      <c r="T653" s="28" t="n">
        <f aca="false">ROUND($Q653*$O653/100,2)</f>
        <v>20</v>
      </c>
    </row>
    <row r="654" customFormat="false" ht="15" hidden="false" customHeight="true" outlineLevel="0" collapsed="false">
      <c r="A654" s="20" t="s">
        <v>2106</v>
      </c>
      <c r="B654" s="20" t="s">
        <v>230</v>
      </c>
      <c r="C654" s="19" t="str">
        <f aca="false">IFERROR(INDEX('قائمة الوحدات'!$B$2:$B$41,MATCH($B654,'قائمة الوحدات'!$A$2:$A$41,0)),"")</f>
        <v>MIL</v>
      </c>
      <c r="D654" s="18" t="str">
        <f aca="false">IFERROR(INDEX('قائمة الوحدات'!$C$2:$C$41,MATCH($B654,'قائمة الوحدات'!$A$2:$A$41,0)),"")</f>
        <v>الجهاز العسكري</v>
      </c>
      <c r="E654" s="18" t="str">
        <f aca="false">IFERROR(INDEX('قائمة الوحدات'!$D$2:$D$41,MATCH($B654,'قائمة الوحدات'!$A$2:$A$41,0)),"")</f>
        <v>الإدارة العامة للأمن العسكري</v>
      </c>
      <c r="F654" s="18" t="str">
        <f aca="false">IFERROR(INDEX('قائمة الوحدات'!$F$2:$F$41,MATCH($B654,'قائمة الوحدات'!$A$2:$A$41,0)),"")</f>
        <v>الإدارة العامة للأمن العسكري</v>
      </c>
      <c r="G654" s="20" t="s">
        <v>44</v>
      </c>
      <c r="H654" s="18" t="str">
        <f aca="false">IFERROR(INDEX(المرجع!$A$2:$A$19,MATCH($G654,المرجع!$B$2:$B$19,0)),"")</f>
        <v>التصميم</v>
      </c>
      <c r="I654" s="20" t="s">
        <v>57</v>
      </c>
      <c r="J654" s="18" t="str">
        <f aca="false">IFERROR(INDEX(المرجع!$D$2:$D$19,MATCH($I654,المرجع!$E$2:$E$19,0)),"")</f>
        <v>الموارد</v>
      </c>
      <c r="K654" s="19" t="n">
        <f aca="false">IFERROR(INDEX(المرجع!$F$2:$F$19,MATCH($I654,المرجع!$E$2:$E$19,0)),"")</f>
        <v>5</v>
      </c>
      <c r="L654" s="19" t="n">
        <f aca="false">SUMIFS(المرجع!$H$2:$H$19,المرجع!$B$2:$B$19,$G654,المرجع!$E$2:$E$19,$I654)</f>
        <v>1</v>
      </c>
      <c r="M654" s="19" t="n">
        <f aca="false">COUNTIFS('المرتبطة بسمو الوزير'!$B$2:$B$151,$B654,'المرتبطة بسمو الوزير'!$G$2:$G$151,$G654,'المرتبطة بسمو الوزير'!$I$2:$I$151,$I654,'المرتبطة بسمو الوزير'!$M$2:$M$151,"&lt;&gt;")+COUNTIFS('الشؤون التنفيذية'!$B$2:$B$421,$B654,'الشؤون التنفيذية'!$G$2:$G$421,$G654,'الشؤون التنفيذية'!$I$2:$I$421,$I654,'الشؤون التنفيذية'!$N$2:$N$421,"&lt;&gt;")+COUNTIFS('الجهاز العسكري'!$B$2:$B$631,$B654,'الجهاز العسكري'!$G$2:$G$631,$G654,'الجهاز العسكري'!$I$2:$I$631,$I654,'الجهاز العسكري'!$M$2:$M$631,"&lt;&gt;")</f>
        <v>1</v>
      </c>
      <c r="N654" s="24" t="n">
        <f aca="false">IF($L654=0,0,ROUND((SUMIFS('المرتبطة بسمو الوزير'!$M$2:$M$151,'المرتبطة بسمو الوزير'!$B$2:$B$151,$B654,'المرتبطة بسمو الوزير'!$G$2:$G$151,$G654,'المرتبطة بسمو الوزير'!$I$2:$I$151,$I654)+SUMIFS('الشؤون التنفيذية'!$N$2:$N$421,'الشؤون التنفيذية'!$B$2:$B$421,$B654,'الشؤون التنفيذية'!$G$2:$G$421,$G654,'الشؤون التنفيذية'!$I$2:$I$421,$I654)+SUMIFS('الجهاز العسكري'!$M$2:$M$631,'الجهاز العسكري'!$B$2:$B$631,$B654,'الجهاز العسكري'!$G$2:$G$631,$G654,'الجهاز العسكري'!$I$2:$I$631,$I654))/$L654,0))</f>
        <v>79</v>
      </c>
      <c r="O654" s="25" t="n">
        <f aca="false">IF($L654=0,0,ROUND((SUMIFS('المرتبطة بسمو الوزير'!$N$2:$N$151,'المرتبطة بسمو الوزير'!$B$2:$B$151,$B654,'المرتبطة بسمو الوزير'!$G$2:$G$151,$G654,'المرتبطة بسمو الوزير'!$I$2:$I$151,$I654)+SUMIFS('الشؤون التنفيذية'!$O$2:$O$421,'الشؤون التنفيذية'!$B$2:$B$421,$B654,'الشؤون التنفيذية'!$G$2:$G$421,$G654,'الشؤون التنفيذية'!$I$2:$I$421,$I654)+SUMIFS('الجهاز العسكري'!$N$2:$N$631,'الجهاز العسكري'!$B$2:$B$631,$B654,'الجهاز العسكري'!$G$2:$G$631,$G654,'الجهاز العسكري'!$I$2:$I$631,$I654))/$L654,0))</f>
        <v>80</v>
      </c>
      <c r="P654" s="22"/>
      <c r="Q654" s="19" t="n">
        <f aca="false">SUMIFS(المرجع!$G$2:$G$19,المرجع!$B$2:$B$19,$G654,المرجع!$E$2:$E$19,$I654)</f>
        <v>20</v>
      </c>
      <c r="R654" s="26" t="n">
        <f aca="false">ROUND($Q654*$N654/100,2)</f>
        <v>15.8</v>
      </c>
      <c r="S654" s="27" t="str">
        <f aca="false">IF($N654&gt;المرجع!$K$3,"متقدم",IF($N654&lt;=المرجع!$K$2,"أولي","جزئي"))</f>
        <v>متقدم</v>
      </c>
      <c r="T654" s="28" t="n">
        <f aca="false">ROUND($Q654*$O654/100,2)</f>
        <v>16</v>
      </c>
    </row>
    <row r="655" customFormat="false" ht="15" hidden="false" customHeight="true" outlineLevel="0" collapsed="false">
      <c r="A655" s="20" t="s">
        <v>2107</v>
      </c>
      <c r="B655" s="20" t="s">
        <v>230</v>
      </c>
      <c r="C655" s="19" t="str">
        <f aca="false">IFERROR(INDEX('قائمة الوحدات'!$B$2:$B$41,MATCH($B655,'قائمة الوحدات'!$A$2:$A$41,0)),"")</f>
        <v>MIL</v>
      </c>
      <c r="D655" s="18" t="str">
        <f aca="false">IFERROR(INDEX('قائمة الوحدات'!$C$2:$C$41,MATCH($B655,'قائمة الوحدات'!$A$2:$A$41,0)),"")</f>
        <v>الجهاز العسكري</v>
      </c>
      <c r="E655" s="18" t="str">
        <f aca="false">IFERROR(INDEX('قائمة الوحدات'!$D$2:$D$41,MATCH($B655,'قائمة الوحدات'!$A$2:$A$41,0)),"")</f>
        <v>الإدارة العامة للأمن العسكري</v>
      </c>
      <c r="F655" s="18" t="str">
        <f aca="false">IFERROR(INDEX('قائمة الوحدات'!$F$2:$F$41,MATCH($B655,'قائمة الوحدات'!$A$2:$A$41,0)),"")</f>
        <v>الإدارة العامة للأمن العسكري</v>
      </c>
      <c r="G655" s="20" t="s">
        <v>44</v>
      </c>
      <c r="H655" s="18" t="str">
        <f aca="false">IFERROR(INDEX(المرجع!$A$2:$A$19,MATCH($G655,المرجع!$B$2:$B$19,0)),"")</f>
        <v>التصميم</v>
      </c>
      <c r="I655" s="20" t="s">
        <v>60</v>
      </c>
      <c r="J655" s="18" t="str">
        <f aca="false">IFERROR(INDEX(المرجع!$D$2:$D$19,MATCH($I655,المرجع!$E$2:$E$19,0)),"")</f>
        <v>الإجراءات</v>
      </c>
      <c r="K655" s="19" t="n">
        <f aca="false">IFERROR(INDEX(المرجع!$F$2:$F$19,MATCH($I655,المرجع!$E$2:$E$19,0)),"")</f>
        <v>6</v>
      </c>
      <c r="L655" s="19" t="n">
        <f aca="false">SUMIFS(المرجع!$H$2:$H$19,المرجع!$B$2:$B$19,$G655,المرجع!$E$2:$E$19,$I655)</f>
        <v>1</v>
      </c>
      <c r="M655" s="19" t="n">
        <f aca="false">COUNTIFS('المرتبطة بسمو الوزير'!$B$2:$B$151,$B655,'المرتبطة بسمو الوزير'!$G$2:$G$151,$G655,'المرتبطة بسمو الوزير'!$I$2:$I$151,$I655,'المرتبطة بسمو الوزير'!$M$2:$M$151,"&lt;&gt;")+COUNTIFS('الشؤون التنفيذية'!$B$2:$B$421,$B655,'الشؤون التنفيذية'!$G$2:$G$421,$G655,'الشؤون التنفيذية'!$I$2:$I$421,$I655,'الشؤون التنفيذية'!$N$2:$N$421,"&lt;&gt;")+COUNTIFS('الجهاز العسكري'!$B$2:$B$631,$B655,'الجهاز العسكري'!$G$2:$G$631,$G655,'الجهاز العسكري'!$I$2:$I$631,$I655,'الجهاز العسكري'!$M$2:$M$631,"&lt;&gt;")</f>
        <v>1</v>
      </c>
      <c r="N655" s="24" t="n">
        <f aca="false">IF($L655=0,0,ROUND((SUMIFS('المرتبطة بسمو الوزير'!$M$2:$M$151,'المرتبطة بسمو الوزير'!$B$2:$B$151,$B655,'المرتبطة بسمو الوزير'!$G$2:$G$151,$G655,'المرتبطة بسمو الوزير'!$I$2:$I$151,$I655)+SUMIFS('الشؤون التنفيذية'!$N$2:$N$421,'الشؤون التنفيذية'!$B$2:$B$421,$B655,'الشؤون التنفيذية'!$G$2:$G$421,$G655,'الشؤون التنفيذية'!$I$2:$I$421,$I655)+SUMIFS('الجهاز العسكري'!$M$2:$M$631,'الجهاز العسكري'!$B$2:$B$631,$B655,'الجهاز العسكري'!$G$2:$G$631,$G655,'الجهاز العسكري'!$I$2:$I$631,$I655))/$L655,0))</f>
        <v>70</v>
      </c>
      <c r="O655" s="25" t="n">
        <f aca="false">IF($L655=0,0,ROUND((SUMIFS('المرتبطة بسمو الوزير'!$N$2:$N$151,'المرتبطة بسمو الوزير'!$B$2:$B$151,$B655,'المرتبطة بسمو الوزير'!$G$2:$G$151,$G655,'المرتبطة بسمو الوزير'!$I$2:$I$151,$I655)+SUMIFS('الشؤون التنفيذية'!$O$2:$O$421,'الشؤون التنفيذية'!$B$2:$B$421,$B655,'الشؤون التنفيذية'!$G$2:$G$421,$G655,'الشؤون التنفيذية'!$I$2:$I$421,$I655)+SUMIFS('الجهاز العسكري'!$N$2:$N$631,'الجهاز العسكري'!$B$2:$B$631,$B655,'الجهاز العسكري'!$G$2:$G$631,$G655,'الجهاز العسكري'!$I$2:$I$631,$I655))/$L655,0))</f>
        <v>95</v>
      </c>
      <c r="P655" s="22"/>
      <c r="Q655" s="19" t="n">
        <f aca="false">SUMIFS(المرجع!$G$2:$G$19,المرجع!$B$2:$B$19,$G655,المرجع!$E$2:$E$19,$I655)</f>
        <v>5</v>
      </c>
      <c r="R655" s="26" t="n">
        <f aca="false">ROUND($Q655*$N655/100,2)</f>
        <v>3.5</v>
      </c>
      <c r="S655" s="27" t="str">
        <f aca="false">IF($N655&gt;المرجع!$K$3,"متقدم",IF($N655&lt;=المرجع!$K$2,"أولي","جزئي"))</f>
        <v>جزئي</v>
      </c>
      <c r="T655" s="28" t="n">
        <f aca="false">ROUND($Q655*$O655/100,2)</f>
        <v>4.75</v>
      </c>
    </row>
    <row r="656" customFormat="false" ht="15" hidden="false" customHeight="true" outlineLevel="0" collapsed="false">
      <c r="A656" s="20" t="s">
        <v>2108</v>
      </c>
      <c r="B656" s="20" t="s">
        <v>230</v>
      </c>
      <c r="C656" s="19" t="str">
        <f aca="false">IFERROR(INDEX('قائمة الوحدات'!$B$2:$B$41,MATCH($B656,'قائمة الوحدات'!$A$2:$A$41,0)),"")</f>
        <v>MIL</v>
      </c>
      <c r="D656" s="18" t="str">
        <f aca="false">IFERROR(INDEX('قائمة الوحدات'!$C$2:$C$41,MATCH($B656,'قائمة الوحدات'!$A$2:$A$41,0)),"")</f>
        <v>الجهاز العسكري</v>
      </c>
      <c r="E656" s="18" t="str">
        <f aca="false">IFERROR(INDEX('قائمة الوحدات'!$D$2:$D$41,MATCH($B656,'قائمة الوحدات'!$A$2:$A$41,0)),"")</f>
        <v>الإدارة العامة للأمن العسكري</v>
      </c>
      <c r="F656" s="18" t="str">
        <f aca="false">IFERROR(INDEX('قائمة الوحدات'!$F$2:$F$41,MATCH($B656,'قائمة الوحدات'!$A$2:$A$41,0)),"")</f>
        <v>الإدارة العامة للأمن العسكري</v>
      </c>
      <c r="G656" s="20" t="s">
        <v>62</v>
      </c>
      <c r="H656" s="18" t="str">
        <f aca="false">IFERROR(INDEX(المرجع!$A$2:$A$19,MATCH($G656,المرجع!$B$2:$B$19,0)),"")</f>
        <v>البناء المؤسسي</v>
      </c>
      <c r="I656" s="20" t="s">
        <v>46</v>
      </c>
      <c r="J656" s="18" t="str">
        <f aca="false">IFERROR(INDEX(المرجع!$D$2:$D$19,MATCH($I656,المرجع!$E$2:$E$19,0)),"")</f>
        <v>الدور</v>
      </c>
      <c r="K656" s="19" t="n">
        <f aca="false">IFERROR(INDEX(المرجع!$F$2:$F$19,MATCH($I656,المرجع!$E$2:$E$19,0)),"")</f>
        <v>1</v>
      </c>
      <c r="L656" s="19" t="n">
        <f aca="false">SUMIFS(المرجع!$H$2:$H$19,المرجع!$B$2:$B$19,$G656,المرجع!$E$2:$E$19,$I656)</f>
        <v>1</v>
      </c>
      <c r="M656" s="19" t="n">
        <f aca="false">COUNTIFS('المرتبطة بسمو الوزير'!$B$2:$B$151,$B656,'المرتبطة بسمو الوزير'!$G$2:$G$151,$G656,'المرتبطة بسمو الوزير'!$I$2:$I$151,$I656,'المرتبطة بسمو الوزير'!$M$2:$M$151,"&lt;&gt;")+COUNTIFS('الشؤون التنفيذية'!$B$2:$B$421,$B656,'الشؤون التنفيذية'!$G$2:$G$421,$G656,'الشؤون التنفيذية'!$I$2:$I$421,$I656,'الشؤون التنفيذية'!$N$2:$N$421,"&lt;&gt;")+COUNTIFS('الجهاز العسكري'!$B$2:$B$631,$B656,'الجهاز العسكري'!$G$2:$G$631,$G656,'الجهاز العسكري'!$I$2:$I$631,$I656,'الجهاز العسكري'!$M$2:$M$631,"&lt;&gt;")</f>
        <v>1</v>
      </c>
      <c r="N656" s="24" t="n">
        <f aca="false">IF($L656=0,0,ROUND((SUMIFS('المرتبطة بسمو الوزير'!$M$2:$M$151,'المرتبطة بسمو الوزير'!$B$2:$B$151,$B656,'المرتبطة بسمو الوزير'!$G$2:$G$151,$G656,'المرتبطة بسمو الوزير'!$I$2:$I$151,$I656)+SUMIFS('الشؤون التنفيذية'!$N$2:$N$421,'الشؤون التنفيذية'!$B$2:$B$421,$B656,'الشؤون التنفيذية'!$G$2:$G$421,$G656,'الشؤون التنفيذية'!$I$2:$I$421,$I656)+SUMIFS('الجهاز العسكري'!$M$2:$M$631,'الجهاز العسكري'!$B$2:$B$631,$B656,'الجهاز العسكري'!$G$2:$G$631,$G656,'الجهاز العسكري'!$I$2:$I$631,$I656))/$L656,0))</f>
        <v>64</v>
      </c>
      <c r="O656" s="25" t="n">
        <f aca="false">IF($L656=0,0,ROUND((SUMIFS('المرتبطة بسمو الوزير'!$N$2:$N$151,'المرتبطة بسمو الوزير'!$B$2:$B$151,$B656,'المرتبطة بسمو الوزير'!$G$2:$G$151,$G656,'المرتبطة بسمو الوزير'!$I$2:$I$151,$I656)+SUMIFS('الشؤون التنفيذية'!$O$2:$O$421,'الشؤون التنفيذية'!$B$2:$B$421,$B656,'الشؤون التنفيذية'!$G$2:$G$421,$G656,'الشؤون التنفيذية'!$I$2:$I$421,$I656)+SUMIFS('الجهاز العسكري'!$N$2:$N$631,'الجهاز العسكري'!$B$2:$B$631,$B656,'الجهاز العسكري'!$G$2:$G$631,$G656,'الجهاز العسكري'!$I$2:$I$631,$I656))/$L656,0))</f>
        <v>90</v>
      </c>
      <c r="P656" s="22"/>
      <c r="Q656" s="19" t="n">
        <f aca="false">SUMIFS(المرجع!$G$2:$G$19,المرجع!$B$2:$B$19,$G656,المرجع!$E$2:$E$19,$I656)</f>
        <v>15</v>
      </c>
      <c r="R656" s="26" t="n">
        <f aca="false">ROUND($Q656*$N656/100,2)</f>
        <v>9.6</v>
      </c>
      <c r="S656" s="27" t="str">
        <f aca="false">IF($N656&gt;المرجع!$K$3,"متقدم",IF($N656&lt;=المرجع!$K$2,"أولي","جزئي"))</f>
        <v>جزئي</v>
      </c>
      <c r="T656" s="28" t="n">
        <f aca="false">ROUND($Q656*$O656/100,2)</f>
        <v>13.5</v>
      </c>
    </row>
    <row r="657" customFormat="false" ht="15" hidden="false" customHeight="true" outlineLevel="0" collapsed="false">
      <c r="A657" s="20" t="s">
        <v>2109</v>
      </c>
      <c r="B657" s="20" t="s">
        <v>230</v>
      </c>
      <c r="C657" s="19" t="str">
        <f aca="false">IFERROR(INDEX('قائمة الوحدات'!$B$2:$B$41,MATCH($B657,'قائمة الوحدات'!$A$2:$A$41,0)),"")</f>
        <v>MIL</v>
      </c>
      <c r="D657" s="18" t="str">
        <f aca="false">IFERROR(INDEX('قائمة الوحدات'!$C$2:$C$41,MATCH($B657,'قائمة الوحدات'!$A$2:$A$41,0)),"")</f>
        <v>الجهاز العسكري</v>
      </c>
      <c r="E657" s="18" t="str">
        <f aca="false">IFERROR(INDEX('قائمة الوحدات'!$D$2:$D$41,MATCH($B657,'قائمة الوحدات'!$A$2:$A$41,0)),"")</f>
        <v>الإدارة العامة للأمن العسكري</v>
      </c>
      <c r="F657" s="18" t="str">
        <f aca="false">IFERROR(INDEX('قائمة الوحدات'!$F$2:$F$41,MATCH($B657,'قائمة الوحدات'!$A$2:$A$41,0)),"")</f>
        <v>الإدارة العامة للأمن العسكري</v>
      </c>
      <c r="G657" s="20" t="s">
        <v>62</v>
      </c>
      <c r="H657" s="18" t="str">
        <f aca="false">IFERROR(INDEX(المرجع!$A$2:$A$19,MATCH($G657,المرجع!$B$2:$B$19,0)),"")</f>
        <v>البناء المؤسسي</v>
      </c>
      <c r="I657" s="20" t="s">
        <v>49</v>
      </c>
      <c r="J657" s="18" t="str">
        <f aca="false">IFERROR(INDEX(المرجع!$D$2:$D$19,MATCH($I657,المرجع!$E$2:$E$19,0)),"")</f>
        <v>الأهداف ومؤشرات الأداء</v>
      </c>
      <c r="K657" s="19" t="n">
        <f aca="false">IFERROR(INDEX(المرجع!$F$2:$F$19,MATCH($I657,المرجع!$E$2:$E$19,0)),"")</f>
        <v>2</v>
      </c>
      <c r="L657" s="19" t="n">
        <f aca="false">SUMIFS(المرجع!$H$2:$H$19,المرجع!$B$2:$B$19,$G657,المرجع!$E$2:$E$19,$I657)</f>
        <v>2</v>
      </c>
      <c r="M657" s="19" t="n">
        <f aca="false">COUNTIFS('المرتبطة بسمو الوزير'!$B$2:$B$151,$B657,'المرتبطة بسمو الوزير'!$G$2:$G$151,$G657,'المرتبطة بسمو الوزير'!$I$2:$I$151,$I657,'المرتبطة بسمو الوزير'!$M$2:$M$151,"&lt;&gt;")+COUNTIFS('الشؤون التنفيذية'!$B$2:$B$421,$B657,'الشؤون التنفيذية'!$G$2:$G$421,$G657,'الشؤون التنفيذية'!$I$2:$I$421,$I657,'الشؤون التنفيذية'!$N$2:$N$421,"&lt;&gt;")+COUNTIFS('الجهاز العسكري'!$B$2:$B$631,$B657,'الجهاز العسكري'!$G$2:$G$631,$G657,'الجهاز العسكري'!$I$2:$I$631,$I657,'الجهاز العسكري'!$M$2:$M$631,"&lt;&gt;")</f>
        <v>2</v>
      </c>
      <c r="N657" s="24" t="n">
        <f aca="false">IF($L657=0,0,ROUND((SUMIFS('المرتبطة بسمو الوزير'!$M$2:$M$151,'المرتبطة بسمو الوزير'!$B$2:$B$151,$B657,'المرتبطة بسمو الوزير'!$G$2:$G$151,$G657,'المرتبطة بسمو الوزير'!$I$2:$I$151,$I657)+SUMIFS('الشؤون التنفيذية'!$N$2:$N$421,'الشؤون التنفيذية'!$B$2:$B$421,$B657,'الشؤون التنفيذية'!$G$2:$G$421,$G657,'الشؤون التنفيذية'!$I$2:$I$421,$I657)+SUMIFS('الجهاز العسكري'!$M$2:$M$631,'الجهاز العسكري'!$B$2:$B$631,$B657,'الجهاز العسكري'!$G$2:$G$631,$G657,'الجهاز العسكري'!$I$2:$I$631,$I657))/$L657,0))</f>
        <v>40</v>
      </c>
      <c r="O657" s="25" t="n">
        <f aca="false">IF($L657=0,0,ROUND((SUMIFS('المرتبطة بسمو الوزير'!$N$2:$N$151,'المرتبطة بسمو الوزير'!$B$2:$B$151,$B657,'المرتبطة بسمو الوزير'!$G$2:$G$151,$G657,'المرتبطة بسمو الوزير'!$I$2:$I$151,$I657)+SUMIFS('الشؤون التنفيذية'!$O$2:$O$421,'الشؤون التنفيذية'!$B$2:$B$421,$B657,'الشؤون التنفيذية'!$G$2:$G$421,$G657,'الشؤون التنفيذية'!$I$2:$I$421,$I657)+SUMIFS('الجهاز العسكري'!$N$2:$N$631,'الجهاز العسكري'!$B$2:$B$631,$B657,'الجهاز العسكري'!$G$2:$G$631,$G657,'الجهاز العسكري'!$I$2:$I$631,$I657))/$L657,0))</f>
        <v>95</v>
      </c>
      <c r="P657" s="22"/>
      <c r="Q657" s="19" t="n">
        <f aca="false">SUMIFS(المرجع!$G$2:$G$19,المرجع!$B$2:$B$19,$G657,المرجع!$E$2:$E$19,$I657)</f>
        <v>15</v>
      </c>
      <c r="R657" s="26" t="n">
        <f aca="false">ROUND($Q657*$N657/100,2)</f>
        <v>6</v>
      </c>
      <c r="S657" s="27" t="str">
        <f aca="false">IF($N657&gt;المرجع!$K$3,"متقدم",IF($N657&lt;=المرجع!$K$2,"أولي","جزئي"))</f>
        <v>جزئي</v>
      </c>
      <c r="T657" s="28" t="n">
        <f aca="false">ROUND($Q657*$O657/100,2)</f>
        <v>14.25</v>
      </c>
    </row>
    <row r="658" customFormat="false" ht="15" hidden="false" customHeight="true" outlineLevel="0" collapsed="false">
      <c r="A658" s="20" t="s">
        <v>2110</v>
      </c>
      <c r="B658" s="20" t="s">
        <v>230</v>
      </c>
      <c r="C658" s="19" t="str">
        <f aca="false">IFERROR(INDEX('قائمة الوحدات'!$B$2:$B$41,MATCH($B658,'قائمة الوحدات'!$A$2:$A$41,0)),"")</f>
        <v>MIL</v>
      </c>
      <c r="D658" s="18" t="str">
        <f aca="false">IFERROR(INDEX('قائمة الوحدات'!$C$2:$C$41,MATCH($B658,'قائمة الوحدات'!$A$2:$A$41,0)),"")</f>
        <v>الجهاز العسكري</v>
      </c>
      <c r="E658" s="18" t="str">
        <f aca="false">IFERROR(INDEX('قائمة الوحدات'!$D$2:$D$41,MATCH($B658,'قائمة الوحدات'!$A$2:$A$41,0)),"")</f>
        <v>الإدارة العامة للأمن العسكري</v>
      </c>
      <c r="F658" s="18" t="str">
        <f aca="false">IFERROR(INDEX('قائمة الوحدات'!$F$2:$F$41,MATCH($B658,'قائمة الوحدات'!$A$2:$A$41,0)),"")</f>
        <v>الإدارة العامة للأمن العسكري</v>
      </c>
      <c r="G658" s="20" t="s">
        <v>62</v>
      </c>
      <c r="H658" s="18" t="str">
        <f aca="false">IFERROR(INDEX(المرجع!$A$2:$A$19,MATCH($G658,المرجع!$B$2:$B$19,0)),"")</f>
        <v>البناء المؤسسي</v>
      </c>
      <c r="I658" s="20" t="s">
        <v>52</v>
      </c>
      <c r="J658" s="18" t="str">
        <f aca="false">IFERROR(INDEX(المرجع!$D$2:$D$19,MATCH($I658,المرجع!$E$2:$E$19,0)),"")</f>
        <v>الحوكمة</v>
      </c>
      <c r="K658" s="19" t="n">
        <f aca="false">IFERROR(INDEX(المرجع!$F$2:$F$19,MATCH($I658,المرجع!$E$2:$E$19,0)),"")</f>
        <v>3</v>
      </c>
      <c r="L658" s="19" t="n">
        <f aca="false">SUMIFS(المرجع!$H$2:$H$19,المرجع!$B$2:$B$19,$G658,المرجع!$E$2:$E$19,$I658)</f>
        <v>3</v>
      </c>
      <c r="M658" s="19" t="n">
        <f aca="false">COUNTIFS('المرتبطة بسمو الوزير'!$B$2:$B$151,$B658,'المرتبطة بسمو الوزير'!$G$2:$G$151,$G658,'المرتبطة بسمو الوزير'!$I$2:$I$151,$I658,'المرتبطة بسمو الوزير'!$M$2:$M$151,"&lt;&gt;")+COUNTIFS('الشؤون التنفيذية'!$B$2:$B$421,$B658,'الشؤون التنفيذية'!$G$2:$G$421,$G658,'الشؤون التنفيذية'!$I$2:$I$421,$I658,'الشؤون التنفيذية'!$N$2:$N$421,"&lt;&gt;")+COUNTIFS('الجهاز العسكري'!$B$2:$B$631,$B658,'الجهاز العسكري'!$G$2:$G$631,$G658,'الجهاز العسكري'!$I$2:$I$631,$I658,'الجهاز العسكري'!$M$2:$M$631,"&lt;&gt;")</f>
        <v>3</v>
      </c>
      <c r="N658" s="24" t="n">
        <f aca="false">IF($L658=0,0,ROUND((SUMIFS('المرتبطة بسمو الوزير'!$M$2:$M$151,'المرتبطة بسمو الوزير'!$B$2:$B$151,$B658,'المرتبطة بسمو الوزير'!$G$2:$G$151,$G658,'المرتبطة بسمو الوزير'!$I$2:$I$151,$I658)+SUMIFS('الشؤون التنفيذية'!$N$2:$N$421,'الشؤون التنفيذية'!$B$2:$B$421,$B658,'الشؤون التنفيذية'!$G$2:$G$421,$G658,'الشؤون التنفيذية'!$I$2:$I$421,$I658)+SUMIFS('الجهاز العسكري'!$M$2:$M$631,'الجهاز العسكري'!$B$2:$B$631,$B658,'الجهاز العسكري'!$G$2:$G$631,$G658,'الجهاز العسكري'!$I$2:$I$631,$I658))/$L658,0))</f>
        <v>75</v>
      </c>
      <c r="O658" s="25" t="n">
        <f aca="false">IF($L658=0,0,ROUND((SUMIFS('المرتبطة بسمو الوزير'!$N$2:$N$151,'المرتبطة بسمو الوزير'!$B$2:$B$151,$B658,'المرتبطة بسمو الوزير'!$G$2:$G$151,$G658,'المرتبطة بسمو الوزير'!$I$2:$I$151,$I658)+SUMIFS('الشؤون التنفيذية'!$O$2:$O$421,'الشؤون التنفيذية'!$B$2:$B$421,$B658,'الشؤون التنفيذية'!$G$2:$G$421,$G658,'الشؤون التنفيذية'!$I$2:$I$421,$I658)+SUMIFS('الجهاز العسكري'!$N$2:$N$631,'الجهاز العسكري'!$B$2:$B$631,$B658,'الجهاز العسكري'!$G$2:$G$631,$G658,'الجهاز العسكري'!$I$2:$I$631,$I658))/$L658,0))</f>
        <v>95</v>
      </c>
      <c r="P658" s="22"/>
      <c r="Q658" s="19" t="n">
        <f aca="false">SUMIFS(المرجع!$G$2:$G$19,المرجع!$B$2:$B$19,$G658,المرجع!$E$2:$E$19,$I658)</f>
        <v>15</v>
      </c>
      <c r="R658" s="26" t="n">
        <f aca="false">ROUND($Q658*$N658/100,2)</f>
        <v>11.25</v>
      </c>
      <c r="S658" s="27" t="str">
        <f aca="false">IF($N658&gt;المرجع!$K$3,"متقدم",IF($N658&lt;=المرجع!$K$2,"أولي","جزئي"))</f>
        <v>متقدم</v>
      </c>
      <c r="T658" s="28" t="n">
        <f aca="false">ROUND($Q658*$O658/100,2)</f>
        <v>14.25</v>
      </c>
    </row>
    <row r="659" customFormat="false" ht="15" hidden="false" customHeight="true" outlineLevel="0" collapsed="false">
      <c r="A659" s="20" t="s">
        <v>2111</v>
      </c>
      <c r="B659" s="20" t="s">
        <v>230</v>
      </c>
      <c r="C659" s="19" t="str">
        <f aca="false">IFERROR(INDEX('قائمة الوحدات'!$B$2:$B$41,MATCH($B659,'قائمة الوحدات'!$A$2:$A$41,0)),"")</f>
        <v>MIL</v>
      </c>
      <c r="D659" s="18" t="str">
        <f aca="false">IFERROR(INDEX('قائمة الوحدات'!$C$2:$C$41,MATCH($B659,'قائمة الوحدات'!$A$2:$A$41,0)),"")</f>
        <v>الجهاز العسكري</v>
      </c>
      <c r="E659" s="18" t="str">
        <f aca="false">IFERROR(INDEX('قائمة الوحدات'!$D$2:$D$41,MATCH($B659,'قائمة الوحدات'!$A$2:$A$41,0)),"")</f>
        <v>الإدارة العامة للأمن العسكري</v>
      </c>
      <c r="F659" s="18" t="str">
        <f aca="false">IFERROR(INDEX('قائمة الوحدات'!$F$2:$F$41,MATCH($B659,'قائمة الوحدات'!$A$2:$A$41,0)),"")</f>
        <v>الإدارة العامة للأمن العسكري</v>
      </c>
      <c r="G659" s="20" t="s">
        <v>62</v>
      </c>
      <c r="H659" s="18" t="str">
        <f aca="false">IFERROR(INDEX(المرجع!$A$2:$A$19,MATCH($G659,المرجع!$B$2:$B$19,0)),"")</f>
        <v>البناء المؤسسي</v>
      </c>
      <c r="I659" s="20" t="s">
        <v>55</v>
      </c>
      <c r="J659" s="18" t="str">
        <f aca="false">IFERROR(INDEX(المرجع!$D$2:$D$19,MATCH($I659,المرجع!$E$2:$E$19,0)),"")</f>
        <v>التنظيم</v>
      </c>
      <c r="K659" s="19" t="n">
        <f aca="false">IFERROR(INDEX(المرجع!$F$2:$F$19,MATCH($I659,المرجع!$E$2:$E$19,0)),"")</f>
        <v>4</v>
      </c>
      <c r="L659" s="19" t="n">
        <f aca="false">SUMIFS(المرجع!$H$2:$H$19,المرجع!$B$2:$B$19,$G659,المرجع!$E$2:$E$19,$I659)</f>
        <v>3</v>
      </c>
      <c r="M659" s="19" t="n">
        <f aca="false">COUNTIFS('المرتبطة بسمو الوزير'!$B$2:$B$151,$B659,'المرتبطة بسمو الوزير'!$G$2:$G$151,$G659,'المرتبطة بسمو الوزير'!$I$2:$I$151,$I659,'المرتبطة بسمو الوزير'!$M$2:$M$151,"&lt;&gt;")+COUNTIFS('الشؤون التنفيذية'!$B$2:$B$421,$B659,'الشؤون التنفيذية'!$G$2:$G$421,$G659,'الشؤون التنفيذية'!$I$2:$I$421,$I659,'الشؤون التنفيذية'!$N$2:$N$421,"&lt;&gt;")+COUNTIFS('الجهاز العسكري'!$B$2:$B$631,$B659,'الجهاز العسكري'!$G$2:$G$631,$G659,'الجهاز العسكري'!$I$2:$I$631,$I659,'الجهاز العسكري'!$M$2:$M$631,"&lt;&gt;")</f>
        <v>3</v>
      </c>
      <c r="N659" s="24" t="n">
        <f aca="false">IF($L659=0,0,ROUND((SUMIFS('المرتبطة بسمو الوزير'!$M$2:$M$151,'المرتبطة بسمو الوزير'!$B$2:$B$151,$B659,'المرتبطة بسمو الوزير'!$G$2:$G$151,$G659,'المرتبطة بسمو الوزير'!$I$2:$I$151,$I659)+SUMIFS('الشؤون التنفيذية'!$N$2:$N$421,'الشؤون التنفيذية'!$B$2:$B$421,$B659,'الشؤون التنفيذية'!$G$2:$G$421,$G659,'الشؤون التنفيذية'!$I$2:$I$421,$I659)+SUMIFS('الجهاز العسكري'!$M$2:$M$631,'الجهاز العسكري'!$B$2:$B$631,$B659,'الجهاز العسكري'!$G$2:$G$631,$G659,'الجهاز العسكري'!$I$2:$I$631,$I659))/$L659,0))</f>
        <v>77</v>
      </c>
      <c r="O659" s="25" t="n">
        <f aca="false">IF($L659=0,0,ROUND((SUMIFS('المرتبطة بسمو الوزير'!$N$2:$N$151,'المرتبطة بسمو الوزير'!$B$2:$B$151,$B659,'المرتبطة بسمو الوزير'!$G$2:$G$151,$G659,'المرتبطة بسمو الوزير'!$I$2:$I$151,$I659)+SUMIFS('الشؤون التنفيذية'!$O$2:$O$421,'الشؤون التنفيذية'!$B$2:$B$421,$B659,'الشؤون التنفيذية'!$G$2:$G$421,$G659,'الشؤون التنفيذية'!$I$2:$I$421,$I659)+SUMIFS('الجهاز العسكري'!$N$2:$N$631,'الجهاز العسكري'!$B$2:$B$631,$B659,'الجهاز العسكري'!$G$2:$G$631,$G659,'الجهاز العسكري'!$I$2:$I$631,$I659))/$L659,0))</f>
        <v>100</v>
      </c>
      <c r="P659" s="22"/>
      <c r="Q659" s="19" t="n">
        <f aca="false">SUMIFS(المرجع!$G$2:$G$19,المرجع!$B$2:$B$19,$G659,المرجع!$E$2:$E$19,$I659)</f>
        <v>20</v>
      </c>
      <c r="R659" s="26" t="n">
        <f aca="false">ROUND($Q659*$N659/100,2)</f>
        <v>15.4</v>
      </c>
      <c r="S659" s="27" t="str">
        <f aca="false">IF($N659&gt;المرجع!$K$3,"متقدم",IF($N659&lt;=المرجع!$K$2,"أولي","جزئي"))</f>
        <v>متقدم</v>
      </c>
      <c r="T659" s="28" t="n">
        <f aca="false">ROUND($Q659*$O659/100,2)</f>
        <v>20</v>
      </c>
    </row>
    <row r="660" customFormat="false" ht="15" hidden="false" customHeight="true" outlineLevel="0" collapsed="false">
      <c r="A660" s="20" t="s">
        <v>2112</v>
      </c>
      <c r="B660" s="20" t="s">
        <v>230</v>
      </c>
      <c r="C660" s="19" t="str">
        <f aca="false">IFERROR(INDEX('قائمة الوحدات'!$B$2:$B$41,MATCH($B660,'قائمة الوحدات'!$A$2:$A$41,0)),"")</f>
        <v>MIL</v>
      </c>
      <c r="D660" s="18" t="str">
        <f aca="false">IFERROR(INDEX('قائمة الوحدات'!$C$2:$C$41,MATCH($B660,'قائمة الوحدات'!$A$2:$A$41,0)),"")</f>
        <v>الجهاز العسكري</v>
      </c>
      <c r="E660" s="18" t="str">
        <f aca="false">IFERROR(INDEX('قائمة الوحدات'!$D$2:$D$41,MATCH($B660,'قائمة الوحدات'!$A$2:$A$41,0)),"")</f>
        <v>الإدارة العامة للأمن العسكري</v>
      </c>
      <c r="F660" s="18" t="str">
        <f aca="false">IFERROR(INDEX('قائمة الوحدات'!$F$2:$F$41,MATCH($B660,'قائمة الوحدات'!$A$2:$A$41,0)),"")</f>
        <v>الإدارة العامة للأمن العسكري</v>
      </c>
      <c r="G660" s="20" t="s">
        <v>62</v>
      </c>
      <c r="H660" s="18" t="str">
        <f aca="false">IFERROR(INDEX(المرجع!$A$2:$A$19,MATCH($G660,المرجع!$B$2:$B$19,0)),"")</f>
        <v>البناء المؤسسي</v>
      </c>
      <c r="I660" s="20" t="s">
        <v>57</v>
      </c>
      <c r="J660" s="18" t="str">
        <f aca="false">IFERROR(INDEX(المرجع!$D$2:$D$19,MATCH($I660,المرجع!$E$2:$E$19,0)),"")</f>
        <v>الموارد</v>
      </c>
      <c r="K660" s="19" t="n">
        <f aca="false">IFERROR(INDEX(المرجع!$F$2:$F$19,MATCH($I660,المرجع!$E$2:$E$19,0)),"")</f>
        <v>5</v>
      </c>
      <c r="L660" s="19" t="n">
        <f aca="false">SUMIFS(المرجع!$H$2:$H$19,المرجع!$B$2:$B$19,$G660,المرجع!$E$2:$E$19,$I660)</f>
        <v>4</v>
      </c>
      <c r="M660" s="19" t="n">
        <f aca="false">COUNTIFS('المرتبطة بسمو الوزير'!$B$2:$B$151,$B660,'المرتبطة بسمو الوزير'!$G$2:$G$151,$G660,'المرتبطة بسمو الوزير'!$I$2:$I$151,$I660,'المرتبطة بسمو الوزير'!$M$2:$M$151,"&lt;&gt;")+COUNTIFS('الشؤون التنفيذية'!$B$2:$B$421,$B660,'الشؤون التنفيذية'!$G$2:$G$421,$G660,'الشؤون التنفيذية'!$I$2:$I$421,$I660,'الشؤون التنفيذية'!$N$2:$N$421,"&lt;&gt;")+COUNTIFS('الجهاز العسكري'!$B$2:$B$631,$B660,'الجهاز العسكري'!$G$2:$G$631,$G660,'الجهاز العسكري'!$I$2:$I$631,$I660,'الجهاز العسكري'!$M$2:$M$631,"&lt;&gt;")</f>
        <v>4</v>
      </c>
      <c r="N660" s="24" t="n">
        <f aca="false">IF($L660=0,0,ROUND((SUMIFS('المرتبطة بسمو الوزير'!$M$2:$M$151,'المرتبطة بسمو الوزير'!$B$2:$B$151,$B660,'المرتبطة بسمو الوزير'!$G$2:$G$151,$G660,'المرتبطة بسمو الوزير'!$I$2:$I$151,$I660)+SUMIFS('الشؤون التنفيذية'!$N$2:$N$421,'الشؤون التنفيذية'!$B$2:$B$421,$B660,'الشؤون التنفيذية'!$G$2:$G$421,$G660,'الشؤون التنفيذية'!$I$2:$I$421,$I660)+SUMIFS('الجهاز العسكري'!$M$2:$M$631,'الجهاز العسكري'!$B$2:$B$631,$B660,'الجهاز العسكري'!$G$2:$G$631,$G660,'الجهاز العسكري'!$I$2:$I$631,$I660))/$L660,0))</f>
        <v>63</v>
      </c>
      <c r="O660" s="25" t="n">
        <f aca="false">IF($L660=0,0,ROUND((SUMIFS('المرتبطة بسمو الوزير'!$N$2:$N$151,'المرتبطة بسمو الوزير'!$B$2:$B$151,$B660,'المرتبطة بسمو الوزير'!$G$2:$G$151,$G660,'المرتبطة بسمو الوزير'!$I$2:$I$151,$I660)+SUMIFS('الشؤون التنفيذية'!$O$2:$O$421,'الشؤون التنفيذية'!$B$2:$B$421,$B660,'الشؤون التنفيذية'!$G$2:$G$421,$G660,'الشؤون التنفيذية'!$I$2:$I$421,$I660)+SUMIFS('الجهاز العسكري'!$N$2:$N$631,'الجهاز العسكري'!$B$2:$B$631,$B660,'الجهاز العسكري'!$G$2:$G$631,$G660,'الجهاز العسكري'!$I$2:$I$631,$I660))/$L660,0))</f>
        <v>91</v>
      </c>
      <c r="P660" s="22"/>
      <c r="Q660" s="19" t="n">
        <f aca="false">SUMIFS(المرجع!$G$2:$G$19,المرجع!$B$2:$B$19,$G660,المرجع!$E$2:$E$19,$I660)</f>
        <v>25</v>
      </c>
      <c r="R660" s="26" t="n">
        <f aca="false">ROUND($Q660*$N660/100,2)</f>
        <v>15.75</v>
      </c>
      <c r="S660" s="27" t="str">
        <f aca="false">IF($N660&gt;المرجع!$K$3,"متقدم",IF($N660&lt;=المرجع!$K$2,"أولي","جزئي"))</f>
        <v>جزئي</v>
      </c>
      <c r="T660" s="28" t="n">
        <f aca="false">ROUND($Q660*$O660/100,2)</f>
        <v>22.75</v>
      </c>
    </row>
    <row r="661" customFormat="false" ht="15" hidden="false" customHeight="true" outlineLevel="0" collapsed="false">
      <c r="A661" s="20" t="s">
        <v>2113</v>
      </c>
      <c r="B661" s="20" t="s">
        <v>230</v>
      </c>
      <c r="C661" s="19" t="str">
        <f aca="false">IFERROR(INDEX('قائمة الوحدات'!$B$2:$B$41,MATCH($B661,'قائمة الوحدات'!$A$2:$A$41,0)),"")</f>
        <v>MIL</v>
      </c>
      <c r="D661" s="18" t="str">
        <f aca="false">IFERROR(INDEX('قائمة الوحدات'!$C$2:$C$41,MATCH($B661,'قائمة الوحدات'!$A$2:$A$41,0)),"")</f>
        <v>الجهاز العسكري</v>
      </c>
      <c r="E661" s="18" t="str">
        <f aca="false">IFERROR(INDEX('قائمة الوحدات'!$D$2:$D$41,MATCH($B661,'قائمة الوحدات'!$A$2:$A$41,0)),"")</f>
        <v>الإدارة العامة للأمن العسكري</v>
      </c>
      <c r="F661" s="18" t="str">
        <f aca="false">IFERROR(INDEX('قائمة الوحدات'!$F$2:$F$41,MATCH($B661,'قائمة الوحدات'!$A$2:$A$41,0)),"")</f>
        <v>الإدارة العامة للأمن العسكري</v>
      </c>
      <c r="G661" s="20" t="s">
        <v>62</v>
      </c>
      <c r="H661" s="18" t="str">
        <f aca="false">IFERROR(INDEX(المرجع!$A$2:$A$19,MATCH($G661,المرجع!$B$2:$B$19,0)),"")</f>
        <v>البناء المؤسسي</v>
      </c>
      <c r="I661" s="20" t="s">
        <v>60</v>
      </c>
      <c r="J661" s="18" t="str">
        <f aca="false">IFERROR(INDEX(المرجع!$D$2:$D$19,MATCH($I661,المرجع!$E$2:$E$19,0)),"")</f>
        <v>الإجراءات</v>
      </c>
      <c r="K661" s="19" t="n">
        <f aca="false">IFERROR(INDEX(المرجع!$F$2:$F$19,MATCH($I661,المرجع!$E$2:$E$19,0)),"")</f>
        <v>6</v>
      </c>
      <c r="L661" s="19" t="n">
        <f aca="false">SUMIFS(المرجع!$H$2:$H$19,المرجع!$B$2:$B$19,$G661,المرجع!$E$2:$E$19,$I661)</f>
        <v>1</v>
      </c>
      <c r="M661" s="19" t="n">
        <f aca="false">COUNTIFS('المرتبطة بسمو الوزير'!$B$2:$B$151,$B661,'المرتبطة بسمو الوزير'!$G$2:$G$151,$G661,'المرتبطة بسمو الوزير'!$I$2:$I$151,$I661,'المرتبطة بسمو الوزير'!$M$2:$M$151,"&lt;&gt;")+COUNTIFS('الشؤون التنفيذية'!$B$2:$B$421,$B661,'الشؤون التنفيذية'!$G$2:$G$421,$G661,'الشؤون التنفيذية'!$I$2:$I$421,$I661,'الشؤون التنفيذية'!$N$2:$N$421,"&lt;&gt;")+COUNTIFS('الجهاز العسكري'!$B$2:$B$631,$B661,'الجهاز العسكري'!$G$2:$G$631,$G661,'الجهاز العسكري'!$I$2:$I$631,$I661,'الجهاز العسكري'!$M$2:$M$631,"&lt;&gt;")</f>
        <v>1</v>
      </c>
      <c r="N661" s="24" t="n">
        <f aca="false">IF($L661=0,0,ROUND((SUMIFS('المرتبطة بسمو الوزير'!$M$2:$M$151,'المرتبطة بسمو الوزير'!$B$2:$B$151,$B661,'المرتبطة بسمو الوزير'!$G$2:$G$151,$G661,'المرتبطة بسمو الوزير'!$I$2:$I$151,$I661)+SUMIFS('الشؤون التنفيذية'!$N$2:$N$421,'الشؤون التنفيذية'!$B$2:$B$421,$B661,'الشؤون التنفيذية'!$G$2:$G$421,$G661,'الشؤون التنفيذية'!$I$2:$I$421,$I661)+SUMIFS('الجهاز العسكري'!$M$2:$M$631,'الجهاز العسكري'!$B$2:$B$631,$B661,'الجهاز العسكري'!$G$2:$G$631,$G661,'الجهاز العسكري'!$I$2:$I$631,$I661))/$L661,0))</f>
        <v>81</v>
      </c>
      <c r="O661" s="25" t="n">
        <f aca="false">IF($L661=0,0,ROUND((SUMIFS('المرتبطة بسمو الوزير'!$N$2:$N$151,'المرتبطة بسمو الوزير'!$B$2:$B$151,$B661,'المرتبطة بسمو الوزير'!$G$2:$G$151,$G661,'المرتبطة بسمو الوزير'!$I$2:$I$151,$I661)+SUMIFS('الشؤون التنفيذية'!$O$2:$O$421,'الشؤون التنفيذية'!$B$2:$B$421,$B661,'الشؤون التنفيذية'!$G$2:$G$421,$G661,'الشؤون التنفيذية'!$I$2:$I$421,$I661)+SUMIFS('الجهاز العسكري'!$N$2:$N$631,'الجهاز العسكري'!$B$2:$B$631,$B661,'الجهاز العسكري'!$G$2:$G$631,$G661,'الجهاز العسكري'!$I$2:$I$631,$I661))/$L661,0))</f>
        <v>90</v>
      </c>
      <c r="P661" s="22"/>
      <c r="Q661" s="19" t="n">
        <f aca="false">SUMIFS(المرجع!$G$2:$G$19,المرجع!$B$2:$B$19,$G661,المرجع!$E$2:$E$19,$I661)</f>
        <v>5</v>
      </c>
      <c r="R661" s="26" t="n">
        <f aca="false">ROUND($Q661*$N661/100,2)</f>
        <v>4.05</v>
      </c>
      <c r="S661" s="27" t="str">
        <f aca="false">IF($N661&gt;المرجع!$K$3,"متقدم",IF($N661&lt;=المرجع!$K$2,"أولي","جزئي"))</f>
        <v>متقدم</v>
      </c>
      <c r="T661" s="28" t="n">
        <f aca="false">ROUND($Q661*$O661/100,2)</f>
        <v>4.5</v>
      </c>
    </row>
    <row r="662" customFormat="false" ht="15" hidden="false" customHeight="true" outlineLevel="0" collapsed="false">
      <c r="A662" s="20" t="s">
        <v>2114</v>
      </c>
      <c r="B662" s="20" t="s">
        <v>230</v>
      </c>
      <c r="C662" s="19" t="str">
        <f aca="false">IFERROR(INDEX('قائمة الوحدات'!$B$2:$B$41,MATCH($B662,'قائمة الوحدات'!$A$2:$A$41,0)),"")</f>
        <v>MIL</v>
      </c>
      <c r="D662" s="18" t="str">
        <f aca="false">IFERROR(INDEX('قائمة الوحدات'!$C$2:$C$41,MATCH($B662,'قائمة الوحدات'!$A$2:$A$41,0)),"")</f>
        <v>الجهاز العسكري</v>
      </c>
      <c r="E662" s="18" t="str">
        <f aca="false">IFERROR(INDEX('قائمة الوحدات'!$D$2:$D$41,MATCH($B662,'قائمة الوحدات'!$A$2:$A$41,0)),"")</f>
        <v>الإدارة العامة للأمن العسكري</v>
      </c>
      <c r="F662" s="18" t="str">
        <f aca="false">IFERROR(INDEX('قائمة الوحدات'!$F$2:$F$41,MATCH($B662,'قائمة الوحدات'!$A$2:$A$41,0)),"")</f>
        <v>الإدارة العامة للأمن العسكري</v>
      </c>
      <c r="G662" s="20" t="s">
        <v>62</v>
      </c>
      <c r="H662" s="18" t="str">
        <f aca="false">IFERROR(INDEX(المرجع!$A$2:$A$19,MATCH($G662,المرجع!$B$2:$B$19,0)),"")</f>
        <v>البناء المؤسسي</v>
      </c>
      <c r="I662" s="20" t="s">
        <v>69</v>
      </c>
      <c r="J662" s="18" t="str">
        <f aca="false">IFERROR(INDEX(المرجع!$D$2:$D$19,MATCH($I662,المرجع!$E$2:$E$19,0)),"")</f>
        <v>إنتاج المخرج الأول</v>
      </c>
      <c r="K662" s="19" t="n">
        <f aca="false">IFERROR(INDEX(المرجع!$F$2:$F$19,MATCH($I662,المرجع!$E$2:$E$19,0)),"")</f>
        <v>7</v>
      </c>
      <c r="L662" s="19" t="n">
        <f aca="false">SUMIFS(المرجع!$H$2:$H$19,المرجع!$B$2:$B$19,$G662,المرجع!$E$2:$E$19,$I662)</f>
        <v>1</v>
      </c>
      <c r="M662" s="19" t="n">
        <f aca="false">COUNTIFS('المرتبطة بسمو الوزير'!$B$2:$B$151,$B662,'المرتبطة بسمو الوزير'!$G$2:$G$151,$G662,'المرتبطة بسمو الوزير'!$I$2:$I$151,$I662,'المرتبطة بسمو الوزير'!$M$2:$M$151,"&lt;&gt;")+COUNTIFS('الشؤون التنفيذية'!$B$2:$B$421,$B662,'الشؤون التنفيذية'!$G$2:$G$421,$G662,'الشؤون التنفيذية'!$I$2:$I$421,$I662,'الشؤون التنفيذية'!$N$2:$N$421,"&lt;&gt;")+COUNTIFS('الجهاز العسكري'!$B$2:$B$631,$B662,'الجهاز العسكري'!$G$2:$G$631,$G662,'الجهاز العسكري'!$I$2:$I$631,$I662,'الجهاز العسكري'!$M$2:$M$631,"&lt;&gt;")</f>
        <v>1</v>
      </c>
      <c r="N662" s="24" t="n">
        <f aca="false">IF($L662=0,0,ROUND((SUMIFS('المرتبطة بسمو الوزير'!$M$2:$M$151,'المرتبطة بسمو الوزير'!$B$2:$B$151,$B662,'المرتبطة بسمو الوزير'!$G$2:$G$151,$G662,'المرتبطة بسمو الوزير'!$I$2:$I$151,$I662)+SUMIFS('الشؤون التنفيذية'!$N$2:$N$421,'الشؤون التنفيذية'!$B$2:$B$421,$B662,'الشؤون التنفيذية'!$G$2:$G$421,$G662,'الشؤون التنفيذية'!$I$2:$I$421,$I662)+SUMIFS('الجهاز العسكري'!$M$2:$M$631,'الجهاز العسكري'!$B$2:$B$631,$B662,'الجهاز العسكري'!$G$2:$G$631,$G662,'الجهاز العسكري'!$I$2:$I$631,$I662))/$L662,0))</f>
        <v>61</v>
      </c>
      <c r="O662" s="25" t="n">
        <f aca="false">IF($L662=0,0,ROUND((SUMIFS('المرتبطة بسمو الوزير'!$N$2:$N$151,'المرتبطة بسمو الوزير'!$B$2:$B$151,$B662,'المرتبطة بسمو الوزير'!$G$2:$G$151,$G662,'المرتبطة بسمو الوزير'!$I$2:$I$151,$I662)+SUMIFS('الشؤون التنفيذية'!$O$2:$O$421,'الشؤون التنفيذية'!$B$2:$B$421,$B662,'الشؤون التنفيذية'!$G$2:$G$421,$G662,'الشؤون التنفيذية'!$I$2:$I$421,$I662)+SUMIFS('الجهاز العسكري'!$N$2:$N$631,'الجهاز العسكري'!$B$2:$B$631,$B662,'الجهاز العسكري'!$G$2:$G$631,$G662,'الجهاز العسكري'!$I$2:$I$631,$I662))/$L662,0))</f>
        <v>85</v>
      </c>
      <c r="P662" s="22"/>
      <c r="Q662" s="19" t="n">
        <f aca="false">SUMIFS(المرجع!$G$2:$G$19,المرجع!$B$2:$B$19,$G662,المرجع!$E$2:$E$19,$I662)</f>
        <v>5</v>
      </c>
      <c r="R662" s="26" t="n">
        <f aca="false">ROUND($Q662*$N662/100,2)</f>
        <v>3.05</v>
      </c>
      <c r="S662" s="27" t="str">
        <f aca="false">IF($N662&gt;المرجع!$K$3,"متقدم",IF($N662&lt;=المرجع!$K$2,"أولي","جزئي"))</f>
        <v>جزئي</v>
      </c>
      <c r="T662" s="28" t="n">
        <f aca="false">ROUND($Q662*$O662/100,2)</f>
        <v>4.25</v>
      </c>
    </row>
    <row r="663" customFormat="false" ht="15" hidden="false" customHeight="true" outlineLevel="0" collapsed="false">
      <c r="A663" s="20" t="s">
        <v>2115</v>
      </c>
      <c r="B663" s="20" t="s">
        <v>230</v>
      </c>
      <c r="C663" s="19" t="str">
        <f aca="false">IFERROR(INDEX('قائمة الوحدات'!$B$2:$B$41,MATCH($B663,'قائمة الوحدات'!$A$2:$A$41,0)),"")</f>
        <v>MIL</v>
      </c>
      <c r="D663" s="18" t="str">
        <f aca="false">IFERROR(INDEX('قائمة الوحدات'!$C$2:$C$41,MATCH($B663,'قائمة الوحدات'!$A$2:$A$41,0)),"")</f>
        <v>الجهاز العسكري</v>
      </c>
      <c r="E663" s="18" t="str">
        <f aca="false">IFERROR(INDEX('قائمة الوحدات'!$D$2:$D$41,MATCH($B663,'قائمة الوحدات'!$A$2:$A$41,0)),"")</f>
        <v>الإدارة العامة للأمن العسكري</v>
      </c>
      <c r="F663" s="18" t="str">
        <f aca="false">IFERROR(INDEX('قائمة الوحدات'!$F$2:$F$41,MATCH($B663,'قائمة الوحدات'!$A$2:$A$41,0)),"")</f>
        <v>الإدارة العامة للأمن العسكري</v>
      </c>
      <c r="G663" s="20" t="s">
        <v>66</v>
      </c>
      <c r="H663" s="18" t="str">
        <f aca="false">IFERROR(INDEX(المرجع!$A$2:$A$19,MATCH($G663,المرجع!$B$2:$B$19,0)),"")</f>
        <v>التشغيل</v>
      </c>
      <c r="I663" s="20" t="s">
        <v>49</v>
      </c>
      <c r="J663" s="18" t="str">
        <f aca="false">IFERROR(INDEX(المرجع!$D$2:$D$19,MATCH($I663,المرجع!$E$2:$E$19,0)),"")</f>
        <v>الأهداف ومؤشرات الأداء</v>
      </c>
      <c r="K663" s="19" t="n">
        <f aca="false">IFERROR(INDEX(المرجع!$F$2:$F$19,MATCH($I663,المرجع!$E$2:$E$19,0)),"")</f>
        <v>2</v>
      </c>
      <c r="L663" s="19" t="n">
        <f aca="false">SUMIFS(المرجع!$H$2:$H$19,المرجع!$B$2:$B$19,$G663,المرجع!$E$2:$E$19,$I663)</f>
        <v>2</v>
      </c>
      <c r="M663" s="19" t="n">
        <f aca="false">COUNTIFS('المرتبطة بسمو الوزير'!$B$2:$B$151,$B663,'المرتبطة بسمو الوزير'!$G$2:$G$151,$G663,'المرتبطة بسمو الوزير'!$I$2:$I$151,$I663,'المرتبطة بسمو الوزير'!$M$2:$M$151,"&lt;&gt;")+COUNTIFS('الشؤون التنفيذية'!$B$2:$B$421,$B663,'الشؤون التنفيذية'!$G$2:$G$421,$G663,'الشؤون التنفيذية'!$I$2:$I$421,$I663,'الشؤون التنفيذية'!$N$2:$N$421,"&lt;&gt;")+COUNTIFS('الجهاز العسكري'!$B$2:$B$631,$B663,'الجهاز العسكري'!$G$2:$G$631,$G663,'الجهاز العسكري'!$I$2:$I$631,$I663,'الجهاز العسكري'!$M$2:$M$631,"&lt;&gt;")</f>
        <v>2</v>
      </c>
      <c r="N663" s="24" t="n">
        <f aca="false">IF($L663=0,0,ROUND((SUMIFS('المرتبطة بسمو الوزير'!$M$2:$M$151,'المرتبطة بسمو الوزير'!$B$2:$B$151,$B663,'المرتبطة بسمو الوزير'!$G$2:$G$151,$G663,'المرتبطة بسمو الوزير'!$I$2:$I$151,$I663)+SUMIFS('الشؤون التنفيذية'!$N$2:$N$421,'الشؤون التنفيذية'!$B$2:$B$421,$B663,'الشؤون التنفيذية'!$G$2:$G$421,$G663,'الشؤون التنفيذية'!$I$2:$I$421,$I663)+SUMIFS('الجهاز العسكري'!$M$2:$M$631,'الجهاز العسكري'!$B$2:$B$631,$B663,'الجهاز العسكري'!$G$2:$G$631,$G663,'الجهاز العسكري'!$I$2:$I$631,$I663))/$L663,0))</f>
        <v>55</v>
      </c>
      <c r="O663" s="25" t="n">
        <f aca="false">IF($L663=0,0,ROUND((SUMIFS('المرتبطة بسمو الوزير'!$N$2:$N$151,'المرتبطة بسمو الوزير'!$B$2:$B$151,$B663,'المرتبطة بسمو الوزير'!$G$2:$G$151,$G663,'المرتبطة بسمو الوزير'!$I$2:$I$151,$I663)+SUMIFS('الشؤون التنفيذية'!$O$2:$O$421,'الشؤون التنفيذية'!$B$2:$B$421,$B663,'الشؤون التنفيذية'!$G$2:$G$421,$G663,'الشؤون التنفيذية'!$I$2:$I$421,$I663)+SUMIFS('الجهاز العسكري'!$N$2:$N$631,'الجهاز العسكري'!$B$2:$B$631,$B663,'الجهاز العسكري'!$G$2:$G$631,$G663,'الجهاز العسكري'!$I$2:$I$631,$I663))/$L663,0))</f>
        <v>95</v>
      </c>
      <c r="P663" s="22"/>
      <c r="Q663" s="19" t="n">
        <f aca="false">SUMIFS(المرجع!$G$2:$G$19,المرجع!$B$2:$B$19,$G663,المرجع!$E$2:$E$19,$I663)</f>
        <v>25</v>
      </c>
      <c r="R663" s="26" t="n">
        <f aca="false">ROUND($Q663*$N663/100,2)</f>
        <v>13.75</v>
      </c>
      <c r="S663" s="27" t="str">
        <f aca="false">IF($N663&gt;المرجع!$K$3,"متقدم",IF($N663&lt;=المرجع!$K$2,"أولي","جزئي"))</f>
        <v>جزئي</v>
      </c>
      <c r="T663" s="28" t="n">
        <f aca="false">ROUND($Q663*$O663/100,2)</f>
        <v>23.75</v>
      </c>
    </row>
    <row r="664" customFormat="false" ht="15" hidden="false" customHeight="true" outlineLevel="0" collapsed="false">
      <c r="A664" s="20" t="s">
        <v>2116</v>
      </c>
      <c r="B664" s="20" t="s">
        <v>230</v>
      </c>
      <c r="C664" s="19" t="str">
        <f aca="false">IFERROR(INDEX('قائمة الوحدات'!$B$2:$B$41,MATCH($B664,'قائمة الوحدات'!$A$2:$A$41,0)),"")</f>
        <v>MIL</v>
      </c>
      <c r="D664" s="18" t="str">
        <f aca="false">IFERROR(INDEX('قائمة الوحدات'!$C$2:$C$41,MATCH($B664,'قائمة الوحدات'!$A$2:$A$41,0)),"")</f>
        <v>الجهاز العسكري</v>
      </c>
      <c r="E664" s="18" t="str">
        <f aca="false">IFERROR(INDEX('قائمة الوحدات'!$D$2:$D$41,MATCH($B664,'قائمة الوحدات'!$A$2:$A$41,0)),"")</f>
        <v>الإدارة العامة للأمن العسكري</v>
      </c>
      <c r="F664" s="18" t="str">
        <f aca="false">IFERROR(INDEX('قائمة الوحدات'!$F$2:$F$41,MATCH($B664,'قائمة الوحدات'!$A$2:$A$41,0)),"")</f>
        <v>الإدارة العامة للأمن العسكري</v>
      </c>
      <c r="G664" s="20" t="s">
        <v>66</v>
      </c>
      <c r="H664" s="18" t="str">
        <f aca="false">IFERROR(INDEX(المرجع!$A$2:$A$19,MATCH($G664,المرجع!$B$2:$B$19,0)),"")</f>
        <v>التشغيل</v>
      </c>
      <c r="I664" s="20" t="s">
        <v>52</v>
      </c>
      <c r="J664" s="18" t="str">
        <f aca="false">IFERROR(INDEX(المرجع!$D$2:$D$19,MATCH($I664,المرجع!$E$2:$E$19,0)),"")</f>
        <v>الحوكمة</v>
      </c>
      <c r="K664" s="19" t="n">
        <f aca="false">IFERROR(INDEX(المرجع!$F$2:$F$19,MATCH($I664,المرجع!$E$2:$E$19,0)),"")</f>
        <v>3</v>
      </c>
      <c r="L664" s="19" t="n">
        <f aca="false">SUMIFS(المرجع!$H$2:$H$19,المرجع!$B$2:$B$19,$G664,المرجع!$E$2:$E$19,$I664)</f>
        <v>3</v>
      </c>
      <c r="M664" s="19" t="n">
        <f aca="false">COUNTIFS('المرتبطة بسمو الوزير'!$B$2:$B$151,$B664,'المرتبطة بسمو الوزير'!$G$2:$G$151,$G664,'المرتبطة بسمو الوزير'!$I$2:$I$151,$I664,'المرتبطة بسمو الوزير'!$M$2:$M$151,"&lt;&gt;")+COUNTIFS('الشؤون التنفيذية'!$B$2:$B$421,$B664,'الشؤون التنفيذية'!$G$2:$G$421,$G664,'الشؤون التنفيذية'!$I$2:$I$421,$I664,'الشؤون التنفيذية'!$N$2:$N$421,"&lt;&gt;")+COUNTIFS('الجهاز العسكري'!$B$2:$B$631,$B664,'الجهاز العسكري'!$G$2:$G$631,$G664,'الجهاز العسكري'!$I$2:$I$631,$I664,'الجهاز العسكري'!$M$2:$M$631,"&lt;&gt;")</f>
        <v>3</v>
      </c>
      <c r="N664" s="24" t="n">
        <f aca="false">IF($L664=0,0,ROUND((SUMIFS('المرتبطة بسمو الوزير'!$M$2:$M$151,'المرتبطة بسمو الوزير'!$B$2:$B$151,$B664,'المرتبطة بسمو الوزير'!$G$2:$G$151,$G664,'المرتبطة بسمو الوزير'!$I$2:$I$151,$I664)+SUMIFS('الشؤون التنفيذية'!$N$2:$N$421,'الشؤون التنفيذية'!$B$2:$B$421,$B664,'الشؤون التنفيذية'!$G$2:$G$421,$G664,'الشؤون التنفيذية'!$I$2:$I$421,$I664)+SUMIFS('الجهاز العسكري'!$M$2:$M$631,'الجهاز العسكري'!$B$2:$B$631,$B664,'الجهاز العسكري'!$G$2:$G$631,$G664,'الجهاز العسكري'!$I$2:$I$631,$I664))/$L664,0))</f>
        <v>30</v>
      </c>
      <c r="O664" s="25" t="n">
        <f aca="false">IF($L664=0,0,ROUND((SUMIFS('المرتبطة بسمو الوزير'!$N$2:$N$151,'المرتبطة بسمو الوزير'!$B$2:$B$151,$B664,'المرتبطة بسمو الوزير'!$G$2:$G$151,$G664,'المرتبطة بسمو الوزير'!$I$2:$I$151,$I664)+SUMIFS('الشؤون التنفيذية'!$O$2:$O$421,'الشؤون التنفيذية'!$B$2:$B$421,$B664,'الشؤون التنفيذية'!$G$2:$G$421,$G664,'الشؤون التنفيذية'!$I$2:$I$421,$I664)+SUMIFS('الجهاز العسكري'!$N$2:$N$631,'الجهاز العسكري'!$B$2:$B$631,$B664,'الجهاز العسكري'!$G$2:$G$631,$G664,'الجهاز العسكري'!$I$2:$I$631,$I664))/$L664,0))</f>
        <v>97</v>
      </c>
      <c r="P664" s="22"/>
      <c r="Q664" s="19" t="n">
        <f aca="false">SUMIFS(المرجع!$G$2:$G$19,المرجع!$B$2:$B$19,$G664,المرجع!$E$2:$E$19,$I664)</f>
        <v>15</v>
      </c>
      <c r="R664" s="26" t="n">
        <f aca="false">ROUND($Q664*$N664/100,2)</f>
        <v>4.5</v>
      </c>
      <c r="S664" s="27" t="str">
        <f aca="false">IF($N664&gt;المرجع!$K$3,"متقدم",IF($N664&lt;=المرجع!$K$2,"أولي","جزئي"))</f>
        <v>أولي</v>
      </c>
      <c r="T664" s="28" t="n">
        <f aca="false">ROUND($Q664*$O664/100,2)</f>
        <v>14.55</v>
      </c>
    </row>
    <row r="665" customFormat="false" ht="15" hidden="false" customHeight="true" outlineLevel="0" collapsed="false">
      <c r="A665" s="20" t="s">
        <v>2117</v>
      </c>
      <c r="B665" s="20" t="s">
        <v>230</v>
      </c>
      <c r="C665" s="19" t="str">
        <f aca="false">IFERROR(INDEX('قائمة الوحدات'!$B$2:$B$41,MATCH($B665,'قائمة الوحدات'!$A$2:$A$41,0)),"")</f>
        <v>MIL</v>
      </c>
      <c r="D665" s="18" t="str">
        <f aca="false">IFERROR(INDEX('قائمة الوحدات'!$C$2:$C$41,MATCH($B665,'قائمة الوحدات'!$A$2:$A$41,0)),"")</f>
        <v>الجهاز العسكري</v>
      </c>
      <c r="E665" s="18" t="str">
        <f aca="false">IFERROR(INDEX('قائمة الوحدات'!$D$2:$D$41,MATCH($B665,'قائمة الوحدات'!$A$2:$A$41,0)),"")</f>
        <v>الإدارة العامة للأمن العسكري</v>
      </c>
      <c r="F665" s="18" t="str">
        <f aca="false">IFERROR(INDEX('قائمة الوحدات'!$F$2:$F$41,MATCH($B665,'قائمة الوحدات'!$A$2:$A$41,0)),"")</f>
        <v>الإدارة العامة للأمن العسكري</v>
      </c>
      <c r="G665" s="20" t="s">
        <v>66</v>
      </c>
      <c r="H665" s="18" t="str">
        <f aca="false">IFERROR(INDEX(المرجع!$A$2:$A$19,MATCH($G665,المرجع!$B$2:$B$19,0)),"")</f>
        <v>التشغيل</v>
      </c>
      <c r="I665" s="20" t="s">
        <v>57</v>
      </c>
      <c r="J665" s="18" t="str">
        <f aca="false">IFERROR(INDEX(المرجع!$D$2:$D$19,MATCH($I665,المرجع!$E$2:$E$19,0)),"")</f>
        <v>الموارد</v>
      </c>
      <c r="K665" s="19" t="n">
        <f aca="false">IFERROR(INDEX(المرجع!$F$2:$F$19,MATCH($I665,المرجع!$E$2:$E$19,0)),"")</f>
        <v>5</v>
      </c>
      <c r="L665" s="19" t="n">
        <f aca="false">SUMIFS(المرجع!$H$2:$H$19,المرجع!$B$2:$B$19,$G665,المرجع!$E$2:$E$19,$I665)</f>
        <v>1</v>
      </c>
      <c r="M665" s="19" t="n">
        <f aca="false">COUNTIFS('المرتبطة بسمو الوزير'!$B$2:$B$151,$B665,'المرتبطة بسمو الوزير'!$G$2:$G$151,$G665,'المرتبطة بسمو الوزير'!$I$2:$I$151,$I665,'المرتبطة بسمو الوزير'!$M$2:$M$151,"&lt;&gt;")+COUNTIFS('الشؤون التنفيذية'!$B$2:$B$421,$B665,'الشؤون التنفيذية'!$G$2:$G$421,$G665,'الشؤون التنفيذية'!$I$2:$I$421,$I665,'الشؤون التنفيذية'!$N$2:$N$421,"&lt;&gt;")+COUNTIFS('الجهاز العسكري'!$B$2:$B$631,$B665,'الجهاز العسكري'!$G$2:$G$631,$G665,'الجهاز العسكري'!$I$2:$I$631,$I665,'الجهاز العسكري'!$M$2:$M$631,"&lt;&gt;")</f>
        <v>1</v>
      </c>
      <c r="N665" s="24" t="n">
        <f aca="false">IF($L665=0,0,ROUND((SUMIFS('المرتبطة بسمو الوزير'!$M$2:$M$151,'المرتبطة بسمو الوزير'!$B$2:$B$151,$B665,'المرتبطة بسمو الوزير'!$G$2:$G$151,$G665,'المرتبطة بسمو الوزير'!$I$2:$I$151,$I665)+SUMIFS('الشؤون التنفيذية'!$N$2:$N$421,'الشؤون التنفيذية'!$B$2:$B$421,$B665,'الشؤون التنفيذية'!$G$2:$G$421,$G665,'الشؤون التنفيذية'!$I$2:$I$421,$I665)+SUMIFS('الجهاز العسكري'!$M$2:$M$631,'الجهاز العسكري'!$B$2:$B$631,$B665,'الجهاز العسكري'!$G$2:$G$631,$G665,'الجهاز العسكري'!$I$2:$I$631,$I665))/$L665,0))</f>
        <v>34</v>
      </c>
      <c r="O665" s="25" t="n">
        <f aca="false">IF($L665=0,0,ROUND((SUMIFS('المرتبطة بسمو الوزير'!$N$2:$N$151,'المرتبطة بسمو الوزير'!$B$2:$B$151,$B665,'المرتبطة بسمو الوزير'!$G$2:$G$151,$G665,'المرتبطة بسمو الوزير'!$I$2:$I$151,$I665)+SUMIFS('الشؤون التنفيذية'!$O$2:$O$421,'الشؤون التنفيذية'!$B$2:$B$421,$B665,'الشؤون التنفيذية'!$G$2:$G$421,$G665,'الشؤون التنفيذية'!$I$2:$I$421,$I665)+SUMIFS('الجهاز العسكري'!$N$2:$N$631,'الجهاز العسكري'!$B$2:$B$631,$B665,'الجهاز العسكري'!$G$2:$G$631,$G665,'الجهاز العسكري'!$I$2:$I$631,$I665))/$L665,0))</f>
        <v>90</v>
      </c>
      <c r="P665" s="22"/>
      <c r="Q665" s="19" t="n">
        <f aca="false">SUMIFS(المرجع!$G$2:$G$19,المرجع!$B$2:$B$19,$G665,المرجع!$E$2:$E$19,$I665)</f>
        <v>15</v>
      </c>
      <c r="R665" s="26" t="n">
        <f aca="false">ROUND($Q665*$N665/100,2)</f>
        <v>5.1</v>
      </c>
      <c r="S665" s="27" t="str">
        <f aca="false">IF($N665&gt;المرجع!$K$3,"متقدم",IF($N665&lt;=المرجع!$K$2,"أولي","جزئي"))</f>
        <v>جزئي</v>
      </c>
      <c r="T665" s="28" t="n">
        <f aca="false">ROUND($Q665*$O665/100,2)</f>
        <v>13.5</v>
      </c>
    </row>
    <row r="666" customFormat="false" ht="15" hidden="false" customHeight="true" outlineLevel="0" collapsed="false">
      <c r="A666" s="20" t="s">
        <v>2118</v>
      </c>
      <c r="B666" s="20" t="s">
        <v>230</v>
      </c>
      <c r="C666" s="19" t="str">
        <f aca="false">IFERROR(INDEX('قائمة الوحدات'!$B$2:$B$41,MATCH($B666,'قائمة الوحدات'!$A$2:$A$41,0)),"")</f>
        <v>MIL</v>
      </c>
      <c r="D666" s="18" t="str">
        <f aca="false">IFERROR(INDEX('قائمة الوحدات'!$C$2:$C$41,MATCH($B666,'قائمة الوحدات'!$A$2:$A$41,0)),"")</f>
        <v>الجهاز العسكري</v>
      </c>
      <c r="E666" s="18" t="str">
        <f aca="false">IFERROR(INDEX('قائمة الوحدات'!$D$2:$D$41,MATCH($B666,'قائمة الوحدات'!$A$2:$A$41,0)),"")</f>
        <v>الإدارة العامة للأمن العسكري</v>
      </c>
      <c r="F666" s="18" t="str">
        <f aca="false">IFERROR(INDEX('قائمة الوحدات'!$F$2:$F$41,MATCH($B666,'قائمة الوحدات'!$A$2:$A$41,0)),"")</f>
        <v>الإدارة العامة للأمن العسكري</v>
      </c>
      <c r="G666" s="20" t="s">
        <v>66</v>
      </c>
      <c r="H666" s="18" t="str">
        <f aca="false">IFERROR(INDEX(المرجع!$A$2:$A$19,MATCH($G666,المرجع!$B$2:$B$19,0)),"")</f>
        <v>التشغيل</v>
      </c>
      <c r="I666" s="20" t="s">
        <v>60</v>
      </c>
      <c r="J666" s="18" t="str">
        <f aca="false">IFERROR(INDEX(المرجع!$D$2:$D$19,MATCH($I666,المرجع!$E$2:$E$19,0)),"")</f>
        <v>الإجراءات</v>
      </c>
      <c r="K666" s="19" t="n">
        <f aca="false">IFERROR(INDEX(المرجع!$F$2:$F$19,MATCH($I666,المرجع!$E$2:$E$19,0)),"")</f>
        <v>6</v>
      </c>
      <c r="L666" s="19" t="n">
        <f aca="false">SUMIFS(المرجع!$H$2:$H$19,المرجع!$B$2:$B$19,$G666,المرجع!$E$2:$E$19,$I666)</f>
        <v>1</v>
      </c>
      <c r="M666" s="19" t="n">
        <f aca="false">COUNTIFS('المرتبطة بسمو الوزير'!$B$2:$B$151,$B666,'المرتبطة بسمو الوزير'!$G$2:$G$151,$G666,'المرتبطة بسمو الوزير'!$I$2:$I$151,$I666,'المرتبطة بسمو الوزير'!$M$2:$M$151,"&lt;&gt;")+COUNTIFS('الشؤون التنفيذية'!$B$2:$B$421,$B666,'الشؤون التنفيذية'!$G$2:$G$421,$G666,'الشؤون التنفيذية'!$I$2:$I$421,$I666,'الشؤون التنفيذية'!$N$2:$N$421,"&lt;&gt;")+COUNTIFS('الجهاز العسكري'!$B$2:$B$631,$B666,'الجهاز العسكري'!$G$2:$G$631,$G666,'الجهاز العسكري'!$I$2:$I$631,$I666,'الجهاز العسكري'!$M$2:$M$631,"&lt;&gt;")</f>
        <v>1</v>
      </c>
      <c r="N666" s="24" t="n">
        <f aca="false">IF($L666=0,0,ROUND((SUMIFS('المرتبطة بسمو الوزير'!$M$2:$M$151,'المرتبطة بسمو الوزير'!$B$2:$B$151,$B666,'المرتبطة بسمو الوزير'!$G$2:$G$151,$G666,'المرتبطة بسمو الوزير'!$I$2:$I$151,$I666)+SUMIFS('الشؤون التنفيذية'!$N$2:$N$421,'الشؤون التنفيذية'!$B$2:$B$421,$B666,'الشؤون التنفيذية'!$G$2:$G$421,$G666,'الشؤون التنفيذية'!$I$2:$I$421,$I666)+SUMIFS('الجهاز العسكري'!$M$2:$M$631,'الجهاز العسكري'!$B$2:$B$631,$B666,'الجهاز العسكري'!$G$2:$G$631,$G666,'الجهاز العسكري'!$I$2:$I$631,$I666))/$L666,0))</f>
        <v>36</v>
      </c>
      <c r="O666" s="25" t="n">
        <f aca="false">IF($L666=0,0,ROUND((SUMIFS('المرتبطة بسمو الوزير'!$N$2:$N$151,'المرتبطة بسمو الوزير'!$B$2:$B$151,$B666,'المرتبطة بسمو الوزير'!$G$2:$G$151,$G666,'المرتبطة بسمو الوزير'!$I$2:$I$151,$I666)+SUMIFS('الشؤون التنفيذية'!$O$2:$O$421,'الشؤون التنفيذية'!$B$2:$B$421,$B666,'الشؤون التنفيذية'!$G$2:$G$421,$G666,'الشؤون التنفيذية'!$I$2:$I$421,$I666)+SUMIFS('الجهاز العسكري'!$N$2:$N$631,'الجهاز العسكري'!$B$2:$B$631,$B666,'الجهاز العسكري'!$G$2:$G$631,$G666,'الجهاز العسكري'!$I$2:$I$631,$I666))/$L666,0))</f>
        <v>100</v>
      </c>
      <c r="P666" s="22"/>
      <c r="Q666" s="19" t="n">
        <f aca="false">SUMIFS(المرجع!$G$2:$G$19,المرجع!$B$2:$B$19,$G666,المرجع!$E$2:$E$19,$I666)</f>
        <v>15</v>
      </c>
      <c r="R666" s="26" t="n">
        <f aca="false">ROUND($Q666*$N666/100,2)</f>
        <v>5.4</v>
      </c>
      <c r="S666" s="27" t="str">
        <f aca="false">IF($N666&gt;المرجع!$K$3,"متقدم",IF($N666&lt;=المرجع!$K$2,"أولي","جزئي"))</f>
        <v>جزئي</v>
      </c>
      <c r="T666" s="28" t="n">
        <f aca="false">ROUND($Q666*$O666/100,2)</f>
        <v>15</v>
      </c>
    </row>
    <row r="667" customFormat="false" ht="15" hidden="false" customHeight="true" outlineLevel="0" collapsed="false">
      <c r="A667" s="20" t="s">
        <v>2119</v>
      </c>
      <c r="B667" s="20" t="s">
        <v>230</v>
      </c>
      <c r="C667" s="19" t="str">
        <f aca="false">IFERROR(INDEX('قائمة الوحدات'!$B$2:$B$41,MATCH($B667,'قائمة الوحدات'!$A$2:$A$41,0)),"")</f>
        <v>MIL</v>
      </c>
      <c r="D667" s="18" t="str">
        <f aca="false">IFERROR(INDEX('قائمة الوحدات'!$C$2:$C$41,MATCH($B667,'قائمة الوحدات'!$A$2:$A$41,0)),"")</f>
        <v>الجهاز العسكري</v>
      </c>
      <c r="E667" s="18" t="str">
        <f aca="false">IFERROR(INDEX('قائمة الوحدات'!$D$2:$D$41,MATCH($B667,'قائمة الوحدات'!$A$2:$A$41,0)),"")</f>
        <v>الإدارة العامة للأمن العسكري</v>
      </c>
      <c r="F667" s="18" t="str">
        <f aca="false">IFERROR(INDEX('قائمة الوحدات'!$F$2:$F$41,MATCH($B667,'قائمة الوحدات'!$A$2:$A$41,0)),"")</f>
        <v>الإدارة العامة للأمن العسكري</v>
      </c>
      <c r="G667" s="20" t="s">
        <v>66</v>
      </c>
      <c r="H667" s="18" t="str">
        <f aca="false">IFERROR(INDEX(المرجع!$A$2:$A$19,MATCH($G667,المرجع!$B$2:$B$19,0)),"")</f>
        <v>التشغيل</v>
      </c>
      <c r="I667" s="20" t="s">
        <v>71</v>
      </c>
      <c r="J667" s="18" t="str">
        <f aca="false">IFERROR(INDEX(المرجع!$D$2:$D$19,MATCH($I667,المرجع!$E$2:$E$19,0)),"")</f>
        <v>اكتمال المخرجات المستهدفة</v>
      </c>
      <c r="K667" s="19" t="n">
        <f aca="false">IFERROR(INDEX(المرجع!$F$2:$F$19,MATCH($I667,المرجع!$E$2:$E$19,0)),"")</f>
        <v>8</v>
      </c>
      <c r="L667" s="19" t="n">
        <f aca="false">SUMIFS(المرجع!$H$2:$H$19,المرجع!$B$2:$B$19,$G667,المرجع!$E$2:$E$19,$I667)</f>
        <v>1</v>
      </c>
      <c r="M667" s="19" t="n">
        <f aca="false">COUNTIFS('المرتبطة بسمو الوزير'!$B$2:$B$151,$B667,'المرتبطة بسمو الوزير'!$G$2:$G$151,$G667,'المرتبطة بسمو الوزير'!$I$2:$I$151,$I667,'المرتبطة بسمو الوزير'!$M$2:$M$151,"&lt;&gt;")+COUNTIFS('الشؤون التنفيذية'!$B$2:$B$421,$B667,'الشؤون التنفيذية'!$G$2:$G$421,$G667,'الشؤون التنفيذية'!$I$2:$I$421,$I667,'الشؤون التنفيذية'!$N$2:$N$421,"&lt;&gt;")+COUNTIFS('الجهاز العسكري'!$B$2:$B$631,$B667,'الجهاز العسكري'!$G$2:$G$631,$G667,'الجهاز العسكري'!$I$2:$I$631,$I667,'الجهاز العسكري'!$M$2:$M$631,"&lt;&gt;")</f>
        <v>1</v>
      </c>
      <c r="N667" s="24" t="n">
        <f aca="false">IF($L667=0,0,ROUND((SUMIFS('المرتبطة بسمو الوزير'!$M$2:$M$151,'المرتبطة بسمو الوزير'!$B$2:$B$151,$B667,'المرتبطة بسمو الوزير'!$G$2:$G$151,$G667,'المرتبطة بسمو الوزير'!$I$2:$I$151,$I667)+SUMIFS('الشؤون التنفيذية'!$N$2:$N$421,'الشؤون التنفيذية'!$B$2:$B$421,$B667,'الشؤون التنفيذية'!$G$2:$G$421,$G667,'الشؤون التنفيذية'!$I$2:$I$421,$I667)+SUMIFS('الجهاز العسكري'!$M$2:$M$631,'الجهاز العسكري'!$B$2:$B$631,$B667,'الجهاز العسكري'!$G$2:$G$631,$G667,'الجهاز العسكري'!$I$2:$I$631,$I667))/$L667,0))</f>
        <v>23</v>
      </c>
      <c r="O667" s="25" t="n">
        <f aca="false">IF($L667=0,0,ROUND((SUMIFS('المرتبطة بسمو الوزير'!$N$2:$N$151,'المرتبطة بسمو الوزير'!$B$2:$B$151,$B667,'المرتبطة بسمو الوزير'!$G$2:$G$151,$G667,'المرتبطة بسمو الوزير'!$I$2:$I$151,$I667)+SUMIFS('الشؤون التنفيذية'!$O$2:$O$421,'الشؤون التنفيذية'!$B$2:$B$421,$B667,'الشؤون التنفيذية'!$G$2:$G$421,$G667,'الشؤون التنفيذية'!$I$2:$I$421,$I667)+SUMIFS('الجهاز العسكري'!$N$2:$N$631,'الجهاز العسكري'!$B$2:$B$631,$B667,'الجهاز العسكري'!$G$2:$G$631,$G667,'الجهاز العسكري'!$I$2:$I$631,$I667))/$L667,0))</f>
        <v>100</v>
      </c>
      <c r="P667" s="22"/>
      <c r="Q667" s="19" t="n">
        <f aca="false">SUMIFS(المرجع!$G$2:$G$19,المرجع!$B$2:$B$19,$G667,المرجع!$E$2:$E$19,$I667)</f>
        <v>30</v>
      </c>
      <c r="R667" s="26" t="n">
        <f aca="false">ROUND($Q667*$N667/100,2)</f>
        <v>6.9</v>
      </c>
      <c r="S667" s="27" t="str">
        <f aca="false">IF($N667&gt;المرجع!$K$3,"متقدم",IF($N667&lt;=المرجع!$K$2,"أولي","جزئي"))</f>
        <v>أولي</v>
      </c>
      <c r="T667" s="28" t="n">
        <f aca="false">ROUND($Q667*$O667/100,2)</f>
        <v>30</v>
      </c>
    </row>
    <row r="668" customFormat="false" ht="15" hidden="false" customHeight="true" outlineLevel="0" collapsed="false">
      <c r="A668" s="20" t="s">
        <v>2120</v>
      </c>
      <c r="B668" s="20" t="s">
        <v>232</v>
      </c>
      <c r="C668" s="19" t="str">
        <f aca="false">IFERROR(INDEX('قائمة الوحدات'!$B$2:$B$41,MATCH($B668,'قائمة الوحدات'!$A$2:$A$41,0)),"")</f>
        <v>MIL</v>
      </c>
      <c r="D668" s="18" t="str">
        <f aca="false">IFERROR(INDEX('قائمة الوحدات'!$C$2:$C$41,MATCH($B668,'قائمة الوحدات'!$A$2:$A$41,0)),"")</f>
        <v>الجهاز العسكري</v>
      </c>
      <c r="E668" s="18" t="str">
        <f aca="false">IFERROR(INDEX('قائمة الوحدات'!$D$2:$D$41,MATCH($B668,'قائمة الوحدات'!$A$2:$A$41,0)),"")</f>
        <v>الإدارة العامة للمالية والميزانية العسكرية</v>
      </c>
      <c r="F668" s="18" t="str">
        <f aca="false">IFERROR(INDEX('قائمة الوحدات'!$F$2:$F$41,MATCH($B668,'قائمة الوحدات'!$A$2:$A$41,0)),"")</f>
        <v>الإدارة العامة للمالية والميزانية العسكرية</v>
      </c>
      <c r="G668" s="20" t="s">
        <v>44</v>
      </c>
      <c r="H668" s="18" t="str">
        <f aca="false">IFERROR(INDEX(المرجع!$A$2:$A$19,MATCH($G668,المرجع!$B$2:$B$19,0)),"")</f>
        <v>التصميم</v>
      </c>
      <c r="I668" s="20" t="s">
        <v>46</v>
      </c>
      <c r="J668" s="18" t="str">
        <f aca="false">IFERROR(INDEX(المرجع!$D$2:$D$19,MATCH($I668,المرجع!$E$2:$E$19,0)),"")</f>
        <v>الدور</v>
      </c>
      <c r="K668" s="19" t="n">
        <f aca="false">IFERROR(INDEX(المرجع!$F$2:$F$19,MATCH($I668,المرجع!$E$2:$E$19,0)),"")</f>
        <v>1</v>
      </c>
      <c r="L668" s="19" t="n">
        <f aca="false">SUMIFS(المرجع!$H$2:$H$19,المرجع!$B$2:$B$19,$G668,المرجع!$E$2:$E$19,$I668)</f>
        <v>1</v>
      </c>
      <c r="M668" s="19" t="n">
        <f aca="false">COUNTIFS('المرتبطة بسمو الوزير'!$B$2:$B$151,$B668,'المرتبطة بسمو الوزير'!$G$2:$G$151,$G668,'المرتبطة بسمو الوزير'!$I$2:$I$151,$I668,'المرتبطة بسمو الوزير'!$M$2:$M$151,"&lt;&gt;")+COUNTIFS('الشؤون التنفيذية'!$B$2:$B$421,$B668,'الشؤون التنفيذية'!$G$2:$G$421,$G668,'الشؤون التنفيذية'!$I$2:$I$421,$I668,'الشؤون التنفيذية'!$N$2:$N$421,"&lt;&gt;")+COUNTIFS('الجهاز العسكري'!$B$2:$B$631,$B668,'الجهاز العسكري'!$G$2:$G$631,$G668,'الجهاز العسكري'!$I$2:$I$631,$I668,'الجهاز العسكري'!$M$2:$M$631,"&lt;&gt;")</f>
        <v>1</v>
      </c>
      <c r="N668" s="24" t="n">
        <f aca="false">IF($L668=0,0,ROUND((SUMIFS('المرتبطة بسمو الوزير'!$M$2:$M$151,'المرتبطة بسمو الوزير'!$B$2:$B$151,$B668,'المرتبطة بسمو الوزير'!$G$2:$G$151,$G668,'المرتبطة بسمو الوزير'!$I$2:$I$151,$I668)+SUMIFS('الشؤون التنفيذية'!$N$2:$N$421,'الشؤون التنفيذية'!$B$2:$B$421,$B668,'الشؤون التنفيذية'!$G$2:$G$421,$G668,'الشؤون التنفيذية'!$I$2:$I$421,$I668)+SUMIFS('الجهاز العسكري'!$M$2:$M$631,'الجهاز العسكري'!$B$2:$B$631,$B668,'الجهاز العسكري'!$G$2:$G$631,$G668,'الجهاز العسكري'!$I$2:$I$631,$I668))/$L668,0))</f>
        <v>78</v>
      </c>
      <c r="O668" s="25" t="n">
        <f aca="false">IF($L668=0,0,ROUND((SUMIFS('المرتبطة بسمو الوزير'!$N$2:$N$151,'المرتبطة بسمو الوزير'!$B$2:$B$151,$B668,'المرتبطة بسمو الوزير'!$G$2:$G$151,$G668,'المرتبطة بسمو الوزير'!$I$2:$I$151,$I668)+SUMIFS('الشؤون التنفيذية'!$O$2:$O$421,'الشؤون التنفيذية'!$B$2:$B$421,$B668,'الشؤون التنفيذية'!$G$2:$G$421,$G668,'الشؤون التنفيذية'!$I$2:$I$421,$I668)+SUMIFS('الجهاز العسكري'!$N$2:$N$631,'الجهاز العسكري'!$B$2:$B$631,$B668,'الجهاز العسكري'!$G$2:$G$631,$G668,'الجهاز العسكري'!$I$2:$I$631,$I668))/$L668,0))</f>
        <v>100</v>
      </c>
      <c r="P668" s="22"/>
      <c r="Q668" s="19" t="n">
        <f aca="false">SUMIFS(المرجع!$G$2:$G$19,المرجع!$B$2:$B$19,$G668,المرجع!$E$2:$E$19,$I668)</f>
        <v>25</v>
      </c>
      <c r="R668" s="26" t="n">
        <f aca="false">ROUND($Q668*$N668/100,2)</f>
        <v>19.5</v>
      </c>
      <c r="S668" s="27" t="str">
        <f aca="false">IF($N668&gt;المرجع!$K$3,"متقدم",IF($N668&lt;=المرجع!$K$2,"أولي","جزئي"))</f>
        <v>متقدم</v>
      </c>
      <c r="T668" s="28" t="n">
        <f aca="false">ROUND($Q668*$O668/100,2)</f>
        <v>25</v>
      </c>
    </row>
    <row r="669" customFormat="false" ht="15" hidden="false" customHeight="true" outlineLevel="0" collapsed="false">
      <c r="A669" s="20" t="s">
        <v>2121</v>
      </c>
      <c r="B669" s="20" t="s">
        <v>232</v>
      </c>
      <c r="C669" s="19" t="str">
        <f aca="false">IFERROR(INDEX('قائمة الوحدات'!$B$2:$B$41,MATCH($B669,'قائمة الوحدات'!$A$2:$A$41,0)),"")</f>
        <v>MIL</v>
      </c>
      <c r="D669" s="18" t="str">
        <f aca="false">IFERROR(INDEX('قائمة الوحدات'!$C$2:$C$41,MATCH($B669,'قائمة الوحدات'!$A$2:$A$41,0)),"")</f>
        <v>الجهاز العسكري</v>
      </c>
      <c r="E669" s="18" t="str">
        <f aca="false">IFERROR(INDEX('قائمة الوحدات'!$D$2:$D$41,MATCH($B669,'قائمة الوحدات'!$A$2:$A$41,0)),"")</f>
        <v>الإدارة العامة للمالية والميزانية العسكرية</v>
      </c>
      <c r="F669" s="18" t="str">
        <f aca="false">IFERROR(INDEX('قائمة الوحدات'!$F$2:$F$41,MATCH($B669,'قائمة الوحدات'!$A$2:$A$41,0)),"")</f>
        <v>الإدارة العامة للمالية والميزانية العسكرية</v>
      </c>
      <c r="G669" s="20" t="s">
        <v>44</v>
      </c>
      <c r="H669" s="18" t="str">
        <f aca="false">IFERROR(INDEX(المرجع!$A$2:$A$19,MATCH($G669,المرجع!$B$2:$B$19,0)),"")</f>
        <v>التصميم</v>
      </c>
      <c r="I669" s="20" t="s">
        <v>49</v>
      </c>
      <c r="J669" s="18" t="str">
        <f aca="false">IFERROR(INDEX(المرجع!$D$2:$D$19,MATCH($I669,المرجع!$E$2:$E$19,0)),"")</f>
        <v>الأهداف ومؤشرات الأداء</v>
      </c>
      <c r="K669" s="19" t="n">
        <f aca="false">IFERROR(INDEX(المرجع!$F$2:$F$19,MATCH($I669,المرجع!$E$2:$E$19,0)),"")</f>
        <v>2</v>
      </c>
      <c r="L669" s="19" t="n">
        <f aca="false">SUMIFS(المرجع!$H$2:$H$19,المرجع!$B$2:$B$19,$G669,المرجع!$E$2:$E$19,$I669)</f>
        <v>2</v>
      </c>
      <c r="M669" s="19" t="n">
        <f aca="false">COUNTIFS('المرتبطة بسمو الوزير'!$B$2:$B$151,$B669,'المرتبطة بسمو الوزير'!$G$2:$G$151,$G669,'المرتبطة بسمو الوزير'!$I$2:$I$151,$I669,'المرتبطة بسمو الوزير'!$M$2:$M$151,"&lt;&gt;")+COUNTIFS('الشؤون التنفيذية'!$B$2:$B$421,$B669,'الشؤون التنفيذية'!$G$2:$G$421,$G669,'الشؤون التنفيذية'!$I$2:$I$421,$I669,'الشؤون التنفيذية'!$N$2:$N$421,"&lt;&gt;")+COUNTIFS('الجهاز العسكري'!$B$2:$B$631,$B669,'الجهاز العسكري'!$G$2:$G$631,$G669,'الجهاز العسكري'!$I$2:$I$631,$I669,'الجهاز العسكري'!$M$2:$M$631,"&lt;&gt;")</f>
        <v>2</v>
      </c>
      <c r="N669" s="24" t="n">
        <f aca="false">IF($L669=0,0,ROUND((SUMIFS('المرتبطة بسمو الوزير'!$M$2:$M$151,'المرتبطة بسمو الوزير'!$B$2:$B$151,$B669,'المرتبطة بسمو الوزير'!$G$2:$G$151,$G669,'المرتبطة بسمو الوزير'!$I$2:$I$151,$I669)+SUMIFS('الشؤون التنفيذية'!$N$2:$N$421,'الشؤون التنفيذية'!$B$2:$B$421,$B669,'الشؤون التنفيذية'!$G$2:$G$421,$G669,'الشؤون التنفيذية'!$I$2:$I$421,$I669)+SUMIFS('الجهاز العسكري'!$M$2:$M$631,'الجهاز العسكري'!$B$2:$B$631,$B669,'الجهاز العسكري'!$G$2:$G$631,$G669,'الجهاز العسكري'!$I$2:$I$631,$I669))/$L669,0))</f>
        <v>80</v>
      </c>
      <c r="O669" s="25" t="n">
        <f aca="false">IF($L669=0,0,ROUND((SUMIFS('المرتبطة بسمو الوزير'!$N$2:$N$151,'المرتبطة بسمو الوزير'!$B$2:$B$151,$B669,'المرتبطة بسمو الوزير'!$G$2:$G$151,$G669,'المرتبطة بسمو الوزير'!$I$2:$I$151,$I669)+SUMIFS('الشؤون التنفيذية'!$O$2:$O$421,'الشؤون التنفيذية'!$B$2:$B$421,$B669,'الشؤون التنفيذية'!$G$2:$G$421,$G669,'الشؤون التنفيذية'!$I$2:$I$421,$I669)+SUMIFS('الجهاز العسكري'!$N$2:$N$631,'الجهاز العسكري'!$B$2:$B$631,$B669,'الجهاز العسكري'!$G$2:$G$631,$G669,'الجهاز العسكري'!$I$2:$I$631,$I669))/$L669,0))</f>
        <v>83</v>
      </c>
      <c r="P669" s="22"/>
      <c r="Q669" s="19" t="n">
        <f aca="false">SUMIFS(المرجع!$G$2:$G$19,المرجع!$B$2:$B$19,$G669,المرجع!$E$2:$E$19,$I669)</f>
        <v>15</v>
      </c>
      <c r="R669" s="26" t="n">
        <f aca="false">ROUND($Q669*$N669/100,2)</f>
        <v>12</v>
      </c>
      <c r="S669" s="27" t="str">
        <f aca="false">IF($N669&gt;المرجع!$K$3,"متقدم",IF($N669&lt;=المرجع!$K$2,"أولي","جزئي"))</f>
        <v>متقدم</v>
      </c>
      <c r="T669" s="28" t="n">
        <f aca="false">ROUND($Q669*$O669/100,2)</f>
        <v>12.45</v>
      </c>
    </row>
    <row r="670" customFormat="false" ht="15" hidden="false" customHeight="true" outlineLevel="0" collapsed="false">
      <c r="A670" s="20" t="s">
        <v>2122</v>
      </c>
      <c r="B670" s="20" t="s">
        <v>232</v>
      </c>
      <c r="C670" s="19" t="str">
        <f aca="false">IFERROR(INDEX('قائمة الوحدات'!$B$2:$B$41,MATCH($B670,'قائمة الوحدات'!$A$2:$A$41,0)),"")</f>
        <v>MIL</v>
      </c>
      <c r="D670" s="18" t="str">
        <f aca="false">IFERROR(INDEX('قائمة الوحدات'!$C$2:$C$41,MATCH($B670,'قائمة الوحدات'!$A$2:$A$41,0)),"")</f>
        <v>الجهاز العسكري</v>
      </c>
      <c r="E670" s="18" t="str">
        <f aca="false">IFERROR(INDEX('قائمة الوحدات'!$D$2:$D$41,MATCH($B670,'قائمة الوحدات'!$A$2:$A$41,0)),"")</f>
        <v>الإدارة العامة للمالية والميزانية العسكرية</v>
      </c>
      <c r="F670" s="18" t="str">
        <f aca="false">IFERROR(INDEX('قائمة الوحدات'!$F$2:$F$41,MATCH($B670,'قائمة الوحدات'!$A$2:$A$41,0)),"")</f>
        <v>الإدارة العامة للمالية والميزانية العسكرية</v>
      </c>
      <c r="G670" s="20" t="s">
        <v>44</v>
      </c>
      <c r="H670" s="18" t="str">
        <f aca="false">IFERROR(INDEX(المرجع!$A$2:$A$19,MATCH($G670,المرجع!$B$2:$B$19,0)),"")</f>
        <v>التصميم</v>
      </c>
      <c r="I670" s="20" t="s">
        <v>52</v>
      </c>
      <c r="J670" s="18" t="str">
        <f aca="false">IFERROR(INDEX(المرجع!$D$2:$D$19,MATCH($I670,المرجع!$E$2:$E$19,0)),"")</f>
        <v>الحوكمة</v>
      </c>
      <c r="K670" s="19" t="n">
        <f aca="false">IFERROR(INDEX(المرجع!$F$2:$F$19,MATCH($I670,المرجع!$E$2:$E$19,0)),"")</f>
        <v>3</v>
      </c>
      <c r="L670" s="19" t="n">
        <f aca="false">SUMIFS(المرجع!$H$2:$H$19,المرجع!$B$2:$B$19,$G670,المرجع!$E$2:$E$19,$I670)</f>
        <v>1</v>
      </c>
      <c r="M670" s="19" t="n">
        <f aca="false">COUNTIFS('المرتبطة بسمو الوزير'!$B$2:$B$151,$B670,'المرتبطة بسمو الوزير'!$G$2:$G$151,$G670,'المرتبطة بسمو الوزير'!$I$2:$I$151,$I670,'المرتبطة بسمو الوزير'!$M$2:$M$151,"&lt;&gt;")+COUNTIFS('الشؤون التنفيذية'!$B$2:$B$421,$B670,'الشؤون التنفيذية'!$G$2:$G$421,$G670,'الشؤون التنفيذية'!$I$2:$I$421,$I670,'الشؤون التنفيذية'!$N$2:$N$421,"&lt;&gt;")+COUNTIFS('الجهاز العسكري'!$B$2:$B$631,$B670,'الجهاز العسكري'!$G$2:$G$631,$G670,'الجهاز العسكري'!$I$2:$I$631,$I670,'الجهاز العسكري'!$M$2:$M$631,"&lt;&gt;")</f>
        <v>1</v>
      </c>
      <c r="N670" s="24" t="n">
        <f aca="false">IF($L670=0,0,ROUND((SUMIFS('المرتبطة بسمو الوزير'!$M$2:$M$151,'المرتبطة بسمو الوزير'!$B$2:$B$151,$B670,'المرتبطة بسمو الوزير'!$G$2:$G$151,$G670,'المرتبطة بسمو الوزير'!$I$2:$I$151,$I670)+SUMIFS('الشؤون التنفيذية'!$N$2:$N$421,'الشؤون التنفيذية'!$B$2:$B$421,$B670,'الشؤون التنفيذية'!$G$2:$G$421,$G670,'الشؤون التنفيذية'!$I$2:$I$421,$I670)+SUMIFS('الجهاز العسكري'!$M$2:$M$631,'الجهاز العسكري'!$B$2:$B$631,$B670,'الجهاز العسكري'!$G$2:$G$631,$G670,'الجهاز العسكري'!$I$2:$I$631,$I670))/$L670,0))</f>
        <v>72</v>
      </c>
      <c r="O670" s="25" t="n">
        <f aca="false">IF($L670=0,0,ROUND((SUMIFS('المرتبطة بسمو الوزير'!$N$2:$N$151,'المرتبطة بسمو الوزير'!$B$2:$B$151,$B670,'المرتبطة بسمو الوزير'!$G$2:$G$151,$G670,'المرتبطة بسمو الوزير'!$I$2:$I$151,$I670)+SUMIFS('الشؤون التنفيذية'!$O$2:$O$421,'الشؤون التنفيذية'!$B$2:$B$421,$B670,'الشؤون التنفيذية'!$G$2:$G$421,$G670,'الشؤون التنفيذية'!$I$2:$I$421,$I670)+SUMIFS('الجهاز العسكري'!$N$2:$N$631,'الجهاز العسكري'!$B$2:$B$631,$B670,'الجهاز العسكري'!$G$2:$G$631,$G670,'الجهاز العسكري'!$I$2:$I$631,$I670))/$L670,0))</f>
        <v>80</v>
      </c>
      <c r="P670" s="22"/>
      <c r="Q670" s="19" t="n">
        <f aca="false">SUMIFS(المرجع!$G$2:$G$19,المرجع!$B$2:$B$19,$G670,المرجع!$E$2:$E$19,$I670)</f>
        <v>15</v>
      </c>
      <c r="R670" s="26" t="n">
        <f aca="false">ROUND($Q670*$N670/100,2)</f>
        <v>10.8</v>
      </c>
      <c r="S670" s="27" t="str">
        <f aca="false">IF($N670&gt;المرجع!$K$3,"متقدم",IF($N670&lt;=المرجع!$K$2,"أولي","جزئي"))</f>
        <v>متقدم</v>
      </c>
      <c r="T670" s="28" t="n">
        <f aca="false">ROUND($Q670*$O670/100,2)</f>
        <v>12</v>
      </c>
    </row>
    <row r="671" customFormat="false" ht="15" hidden="false" customHeight="true" outlineLevel="0" collapsed="false">
      <c r="A671" s="20" t="s">
        <v>2123</v>
      </c>
      <c r="B671" s="20" t="s">
        <v>232</v>
      </c>
      <c r="C671" s="19" t="str">
        <f aca="false">IFERROR(INDEX('قائمة الوحدات'!$B$2:$B$41,MATCH($B671,'قائمة الوحدات'!$A$2:$A$41,0)),"")</f>
        <v>MIL</v>
      </c>
      <c r="D671" s="18" t="str">
        <f aca="false">IFERROR(INDEX('قائمة الوحدات'!$C$2:$C$41,MATCH($B671,'قائمة الوحدات'!$A$2:$A$41,0)),"")</f>
        <v>الجهاز العسكري</v>
      </c>
      <c r="E671" s="18" t="str">
        <f aca="false">IFERROR(INDEX('قائمة الوحدات'!$D$2:$D$41,MATCH($B671,'قائمة الوحدات'!$A$2:$A$41,0)),"")</f>
        <v>الإدارة العامة للمالية والميزانية العسكرية</v>
      </c>
      <c r="F671" s="18" t="str">
        <f aca="false">IFERROR(INDEX('قائمة الوحدات'!$F$2:$F$41,MATCH($B671,'قائمة الوحدات'!$A$2:$A$41,0)),"")</f>
        <v>الإدارة العامة للمالية والميزانية العسكرية</v>
      </c>
      <c r="G671" s="20" t="s">
        <v>44</v>
      </c>
      <c r="H671" s="18" t="str">
        <f aca="false">IFERROR(INDEX(المرجع!$A$2:$A$19,MATCH($G671,المرجع!$B$2:$B$19,0)),"")</f>
        <v>التصميم</v>
      </c>
      <c r="I671" s="20" t="s">
        <v>55</v>
      </c>
      <c r="J671" s="18" t="str">
        <f aca="false">IFERROR(INDEX(المرجع!$D$2:$D$19,MATCH($I671,المرجع!$E$2:$E$19,0)),"")</f>
        <v>التنظيم</v>
      </c>
      <c r="K671" s="19" t="n">
        <f aca="false">IFERROR(INDEX(المرجع!$F$2:$F$19,MATCH($I671,المرجع!$E$2:$E$19,0)),"")</f>
        <v>4</v>
      </c>
      <c r="L671" s="19" t="n">
        <f aca="false">SUMIFS(المرجع!$H$2:$H$19,المرجع!$B$2:$B$19,$G671,المرجع!$E$2:$E$19,$I671)</f>
        <v>1</v>
      </c>
      <c r="M671" s="19" t="n">
        <f aca="false">COUNTIFS('المرتبطة بسمو الوزير'!$B$2:$B$151,$B671,'المرتبطة بسمو الوزير'!$G$2:$G$151,$G671,'المرتبطة بسمو الوزير'!$I$2:$I$151,$I671,'المرتبطة بسمو الوزير'!$M$2:$M$151,"&lt;&gt;")+COUNTIFS('الشؤون التنفيذية'!$B$2:$B$421,$B671,'الشؤون التنفيذية'!$G$2:$G$421,$G671,'الشؤون التنفيذية'!$I$2:$I$421,$I671,'الشؤون التنفيذية'!$N$2:$N$421,"&lt;&gt;")+COUNTIFS('الجهاز العسكري'!$B$2:$B$631,$B671,'الجهاز العسكري'!$G$2:$G$631,$G671,'الجهاز العسكري'!$I$2:$I$631,$I671,'الجهاز العسكري'!$M$2:$M$631,"&lt;&gt;")</f>
        <v>1</v>
      </c>
      <c r="N671" s="24" t="n">
        <f aca="false">IF($L671=0,0,ROUND((SUMIFS('المرتبطة بسمو الوزير'!$M$2:$M$151,'المرتبطة بسمو الوزير'!$B$2:$B$151,$B671,'المرتبطة بسمو الوزير'!$G$2:$G$151,$G671,'المرتبطة بسمو الوزير'!$I$2:$I$151,$I671)+SUMIFS('الشؤون التنفيذية'!$N$2:$N$421,'الشؤون التنفيذية'!$B$2:$B$421,$B671,'الشؤون التنفيذية'!$G$2:$G$421,$G671,'الشؤون التنفيذية'!$I$2:$I$421,$I671)+SUMIFS('الجهاز العسكري'!$M$2:$M$631,'الجهاز العسكري'!$B$2:$B$631,$B671,'الجهاز العسكري'!$G$2:$G$631,$G671,'الجهاز العسكري'!$I$2:$I$631,$I671))/$L671,0))</f>
        <v>89</v>
      </c>
      <c r="O671" s="25" t="n">
        <f aca="false">IF($L671=0,0,ROUND((SUMIFS('المرتبطة بسمو الوزير'!$N$2:$N$151,'المرتبطة بسمو الوزير'!$B$2:$B$151,$B671,'المرتبطة بسمو الوزير'!$G$2:$G$151,$G671,'المرتبطة بسمو الوزير'!$I$2:$I$151,$I671)+SUMIFS('الشؤون التنفيذية'!$O$2:$O$421,'الشؤون التنفيذية'!$B$2:$B$421,$B671,'الشؤون التنفيذية'!$G$2:$G$421,$G671,'الشؤون التنفيذية'!$I$2:$I$421,$I671)+SUMIFS('الجهاز العسكري'!$N$2:$N$631,'الجهاز العسكري'!$B$2:$B$631,$B671,'الجهاز العسكري'!$G$2:$G$631,$G671,'الجهاز العسكري'!$I$2:$I$631,$I671))/$L671,0))</f>
        <v>95</v>
      </c>
      <c r="P671" s="22"/>
      <c r="Q671" s="19" t="n">
        <f aca="false">SUMIFS(المرجع!$G$2:$G$19,المرجع!$B$2:$B$19,$G671,المرجع!$E$2:$E$19,$I671)</f>
        <v>20</v>
      </c>
      <c r="R671" s="26" t="n">
        <f aca="false">ROUND($Q671*$N671/100,2)</f>
        <v>17.8</v>
      </c>
      <c r="S671" s="27" t="str">
        <f aca="false">IF($N671&gt;المرجع!$K$3,"متقدم",IF($N671&lt;=المرجع!$K$2,"أولي","جزئي"))</f>
        <v>متقدم</v>
      </c>
      <c r="T671" s="28" t="n">
        <f aca="false">ROUND($Q671*$O671/100,2)</f>
        <v>19</v>
      </c>
    </row>
    <row r="672" customFormat="false" ht="15" hidden="false" customHeight="true" outlineLevel="0" collapsed="false">
      <c r="A672" s="20" t="s">
        <v>2124</v>
      </c>
      <c r="B672" s="20" t="s">
        <v>232</v>
      </c>
      <c r="C672" s="19" t="str">
        <f aca="false">IFERROR(INDEX('قائمة الوحدات'!$B$2:$B$41,MATCH($B672,'قائمة الوحدات'!$A$2:$A$41,0)),"")</f>
        <v>MIL</v>
      </c>
      <c r="D672" s="18" t="str">
        <f aca="false">IFERROR(INDEX('قائمة الوحدات'!$C$2:$C$41,MATCH($B672,'قائمة الوحدات'!$A$2:$A$41,0)),"")</f>
        <v>الجهاز العسكري</v>
      </c>
      <c r="E672" s="18" t="str">
        <f aca="false">IFERROR(INDEX('قائمة الوحدات'!$D$2:$D$41,MATCH($B672,'قائمة الوحدات'!$A$2:$A$41,0)),"")</f>
        <v>الإدارة العامة للمالية والميزانية العسكرية</v>
      </c>
      <c r="F672" s="18" t="str">
        <f aca="false">IFERROR(INDEX('قائمة الوحدات'!$F$2:$F$41,MATCH($B672,'قائمة الوحدات'!$A$2:$A$41,0)),"")</f>
        <v>الإدارة العامة للمالية والميزانية العسكرية</v>
      </c>
      <c r="G672" s="20" t="s">
        <v>44</v>
      </c>
      <c r="H672" s="18" t="str">
        <f aca="false">IFERROR(INDEX(المرجع!$A$2:$A$19,MATCH($G672,المرجع!$B$2:$B$19,0)),"")</f>
        <v>التصميم</v>
      </c>
      <c r="I672" s="20" t="s">
        <v>57</v>
      </c>
      <c r="J672" s="18" t="str">
        <f aca="false">IFERROR(INDEX(المرجع!$D$2:$D$19,MATCH($I672,المرجع!$E$2:$E$19,0)),"")</f>
        <v>الموارد</v>
      </c>
      <c r="K672" s="19" t="n">
        <f aca="false">IFERROR(INDEX(المرجع!$F$2:$F$19,MATCH($I672,المرجع!$E$2:$E$19,0)),"")</f>
        <v>5</v>
      </c>
      <c r="L672" s="19" t="n">
        <f aca="false">SUMIFS(المرجع!$H$2:$H$19,المرجع!$B$2:$B$19,$G672,المرجع!$E$2:$E$19,$I672)</f>
        <v>1</v>
      </c>
      <c r="M672" s="19" t="n">
        <f aca="false">COUNTIFS('المرتبطة بسمو الوزير'!$B$2:$B$151,$B672,'المرتبطة بسمو الوزير'!$G$2:$G$151,$G672,'المرتبطة بسمو الوزير'!$I$2:$I$151,$I672,'المرتبطة بسمو الوزير'!$M$2:$M$151,"&lt;&gt;")+COUNTIFS('الشؤون التنفيذية'!$B$2:$B$421,$B672,'الشؤون التنفيذية'!$G$2:$G$421,$G672,'الشؤون التنفيذية'!$I$2:$I$421,$I672,'الشؤون التنفيذية'!$N$2:$N$421,"&lt;&gt;")+COUNTIFS('الجهاز العسكري'!$B$2:$B$631,$B672,'الجهاز العسكري'!$G$2:$G$631,$G672,'الجهاز العسكري'!$I$2:$I$631,$I672,'الجهاز العسكري'!$M$2:$M$631,"&lt;&gt;")</f>
        <v>1</v>
      </c>
      <c r="N672" s="24" t="n">
        <f aca="false">IF($L672=0,0,ROUND((SUMIFS('المرتبطة بسمو الوزير'!$M$2:$M$151,'المرتبطة بسمو الوزير'!$B$2:$B$151,$B672,'المرتبطة بسمو الوزير'!$G$2:$G$151,$G672,'المرتبطة بسمو الوزير'!$I$2:$I$151,$I672)+SUMIFS('الشؤون التنفيذية'!$N$2:$N$421,'الشؤون التنفيذية'!$B$2:$B$421,$B672,'الشؤون التنفيذية'!$G$2:$G$421,$G672,'الشؤون التنفيذية'!$I$2:$I$421,$I672)+SUMIFS('الجهاز العسكري'!$M$2:$M$631,'الجهاز العسكري'!$B$2:$B$631,$B672,'الجهاز العسكري'!$G$2:$G$631,$G672,'الجهاز العسكري'!$I$2:$I$631,$I672))/$L672,0))</f>
        <v>89</v>
      </c>
      <c r="O672" s="25" t="n">
        <f aca="false">IF($L672=0,0,ROUND((SUMIFS('المرتبطة بسمو الوزير'!$N$2:$N$151,'المرتبطة بسمو الوزير'!$B$2:$B$151,$B672,'المرتبطة بسمو الوزير'!$G$2:$G$151,$G672,'المرتبطة بسمو الوزير'!$I$2:$I$151,$I672)+SUMIFS('الشؤون التنفيذية'!$O$2:$O$421,'الشؤون التنفيذية'!$B$2:$B$421,$B672,'الشؤون التنفيذية'!$G$2:$G$421,$G672,'الشؤون التنفيذية'!$I$2:$I$421,$I672)+SUMIFS('الجهاز العسكري'!$N$2:$N$631,'الجهاز العسكري'!$B$2:$B$631,$B672,'الجهاز العسكري'!$G$2:$G$631,$G672,'الجهاز العسكري'!$I$2:$I$631,$I672))/$L672,0))</f>
        <v>100</v>
      </c>
      <c r="P672" s="22"/>
      <c r="Q672" s="19" t="n">
        <f aca="false">SUMIFS(المرجع!$G$2:$G$19,المرجع!$B$2:$B$19,$G672,المرجع!$E$2:$E$19,$I672)</f>
        <v>20</v>
      </c>
      <c r="R672" s="26" t="n">
        <f aca="false">ROUND($Q672*$N672/100,2)</f>
        <v>17.8</v>
      </c>
      <c r="S672" s="27" t="str">
        <f aca="false">IF($N672&gt;المرجع!$K$3,"متقدم",IF($N672&lt;=المرجع!$K$2,"أولي","جزئي"))</f>
        <v>متقدم</v>
      </c>
      <c r="T672" s="28" t="n">
        <f aca="false">ROUND($Q672*$O672/100,2)</f>
        <v>20</v>
      </c>
    </row>
    <row r="673" customFormat="false" ht="15" hidden="false" customHeight="true" outlineLevel="0" collapsed="false">
      <c r="A673" s="20" t="s">
        <v>2125</v>
      </c>
      <c r="B673" s="20" t="s">
        <v>232</v>
      </c>
      <c r="C673" s="19" t="str">
        <f aca="false">IFERROR(INDEX('قائمة الوحدات'!$B$2:$B$41,MATCH($B673,'قائمة الوحدات'!$A$2:$A$41,0)),"")</f>
        <v>MIL</v>
      </c>
      <c r="D673" s="18" t="str">
        <f aca="false">IFERROR(INDEX('قائمة الوحدات'!$C$2:$C$41,MATCH($B673,'قائمة الوحدات'!$A$2:$A$41,0)),"")</f>
        <v>الجهاز العسكري</v>
      </c>
      <c r="E673" s="18" t="str">
        <f aca="false">IFERROR(INDEX('قائمة الوحدات'!$D$2:$D$41,MATCH($B673,'قائمة الوحدات'!$A$2:$A$41,0)),"")</f>
        <v>الإدارة العامة للمالية والميزانية العسكرية</v>
      </c>
      <c r="F673" s="18" t="str">
        <f aca="false">IFERROR(INDEX('قائمة الوحدات'!$F$2:$F$41,MATCH($B673,'قائمة الوحدات'!$A$2:$A$41,0)),"")</f>
        <v>الإدارة العامة للمالية والميزانية العسكرية</v>
      </c>
      <c r="G673" s="20" t="s">
        <v>44</v>
      </c>
      <c r="H673" s="18" t="str">
        <f aca="false">IFERROR(INDEX(المرجع!$A$2:$A$19,MATCH($G673,المرجع!$B$2:$B$19,0)),"")</f>
        <v>التصميم</v>
      </c>
      <c r="I673" s="20" t="s">
        <v>60</v>
      </c>
      <c r="J673" s="18" t="str">
        <f aca="false">IFERROR(INDEX(المرجع!$D$2:$D$19,MATCH($I673,المرجع!$E$2:$E$19,0)),"")</f>
        <v>الإجراءات</v>
      </c>
      <c r="K673" s="19" t="n">
        <f aca="false">IFERROR(INDEX(المرجع!$F$2:$F$19,MATCH($I673,المرجع!$E$2:$E$19,0)),"")</f>
        <v>6</v>
      </c>
      <c r="L673" s="19" t="n">
        <f aca="false">SUMIFS(المرجع!$H$2:$H$19,المرجع!$B$2:$B$19,$G673,المرجع!$E$2:$E$19,$I673)</f>
        <v>1</v>
      </c>
      <c r="M673" s="19" t="n">
        <f aca="false">COUNTIFS('المرتبطة بسمو الوزير'!$B$2:$B$151,$B673,'المرتبطة بسمو الوزير'!$G$2:$G$151,$G673,'المرتبطة بسمو الوزير'!$I$2:$I$151,$I673,'المرتبطة بسمو الوزير'!$M$2:$M$151,"&lt;&gt;")+COUNTIFS('الشؤون التنفيذية'!$B$2:$B$421,$B673,'الشؤون التنفيذية'!$G$2:$G$421,$G673,'الشؤون التنفيذية'!$I$2:$I$421,$I673,'الشؤون التنفيذية'!$N$2:$N$421,"&lt;&gt;")+COUNTIFS('الجهاز العسكري'!$B$2:$B$631,$B673,'الجهاز العسكري'!$G$2:$G$631,$G673,'الجهاز العسكري'!$I$2:$I$631,$I673,'الجهاز العسكري'!$M$2:$M$631,"&lt;&gt;")</f>
        <v>1</v>
      </c>
      <c r="N673" s="24" t="n">
        <f aca="false">IF($L673=0,0,ROUND((SUMIFS('المرتبطة بسمو الوزير'!$M$2:$M$151,'المرتبطة بسمو الوزير'!$B$2:$B$151,$B673,'المرتبطة بسمو الوزير'!$G$2:$G$151,$G673,'المرتبطة بسمو الوزير'!$I$2:$I$151,$I673)+SUMIFS('الشؤون التنفيذية'!$N$2:$N$421,'الشؤون التنفيذية'!$B$2:$B$421,$B673,'الشؤون التنفيذية'!$G$2:$G$421,$G673,'الشؤون التنفيذية'!$I$2:$I$421,$I673)+SUMIFS('الجهاز العسكري'!$M$2:$M$631,'الجهاز العسكري'!$B$2:$B$631,$B673,'الجهاز العسكري'!$G$2:$G$631,$G673,'الجهاز العسكري'!$I$2:$I$631,$I673))/$L673,0))</f>
        <v>68</v>
      </c>
      <c r="O673" s="25" t="n">
        <f aca="false">IF($L673=0,0,ROUND((SUMIFS('المرتبطة بسمو الوزير'!$N$2:$N$151,'المرتبطة بسمو الوزير'!$B$2:$B$151,$B673,'المرتبطة بسمو الوزير'!$G$2:$G$151,$G673,'المرتبطة بسمو الوزير'!$I$2:$I$151,$I673)+SUMIFS('الشؤون التنفيذية'!$O$2:$O$421,'الشؤون التنفيذية'!$B$2:$B$421,$B673,'الشؤون التنفيذية'!$G$2:$G$421,$G673,'الشؤون التنفيذية'!$I$2:$I$421,$I673)+SUMIFS('الجهاز العسكري'!$N$2:$N$631,'الجهاز العسكري'!$B$2:$B$631,$B673,'الجهاز العسكري'!$G$2:$G$631,$G673,'الجهاز العسكري'!$I$2:$I$631,$I673))/$L673,0))</f>
        <v>100</v>
      </c>
      <c r="P673" s="22"/>
      <c r="Q673" s="19" t="n">
        <f aca="false">SUMIFS(المرجع!$G$2:$G$19,المرجع!$B$2:$B$19,$G673,المرجع!$E$2:$E$19,$I673)</f>
        <v>5</v>
      </c>
      <c r="R673" s="26" t="n">
        <f aca="false">ROUND($Q673*$N673/100,2)</f>
        <v>3.4</v>
      </c>
      <c r="S673" s="27" t="str">
        <f aca="false">IF($N673&gt;المرجع!$K$3,"متقدم",IF($N673&lt;=المرجع!$K$2,"أولي","جزئي"))</f>
        <v>جزئي</v>
      </c>
      <c r="T673" s="28" t="n">
        <f aca="false">ROUND($Q673*$O673/100,2)</f>
        <v>5</v>
      </c>
    </row>
    <row r="674" customFormat="false" ht="15" hidden="false" customHeight="true" outlineLevel="0" collapsed="false">
      <c r="A674" s="20" t="s">
        <v>2126</v>
      </c>
      <c r="B674" s="20" t="s">
        <v>232</v>
      </c>
      <c r="C674" s="19" t="str">
        <f aca="false">IFERROR(INDEX('قائمة الوحدات'!$B$2:$B$41,MATCH($B674,'قائمة الوحدات'!$A$2:$A$41,0)),"")</f>
        <v>MIL</v>
      </c>
      <c r="D674" s="18" t="str">
        <f aca="false">IFERROR(INDEX('قائمة الوحدات'!$C$2:$C$41,MATCH($B674,'قائمة الوحدات'!$A$2:$A$41,0)),"")</f>
        <v>الجهاز العسكري</v>
      </c>
      <c r="E674" s="18" t="str">
        <f aca="false">IFERROR(INDEX('قائمة الوحدات'!$D$2:$D$41,MATCH($B674,'قائمة الوحدات'!$A$2:$A$41,0)),"")</f>
        <v>الإدارة العامة للمالية والميزانية العسكرية</v>
      </c>
      <c r="F674" s="18" t="str">
        <f aca="false">IFERROR(INDEX('قائمة الوحدات'!$F$2:$F$41,MATCH($B674,'قائمة الوحدات'!$A$2:$A$41,0)),"")</f>
        <v>الإدارة العامة للمالية والميزانية العسكرية</v>
      </c>
      <c r="G674" s="20" t="s">
        <v>62</v>
      </c>
      <c r="H674" s="18" t="str">
        <f aca="false">IFERROR(INDEX(المرجع!$A$2:$A$19,MATCH($G674,المرجع!$B$2:$B$19,0)),"")</f>
        <v>البناء المؤسسي</v>
      </c>
      <c r="I674" s="20" t="s">
        <v>46</v>
      </c>
      <c r="J674" s="18" t="str">
        <f aca="false">IFERROR(INDEX(المرجع!$D$2:$D$19,MATCH($I674,المرجع!$E$2:$E$19,0)),"")</f>
        <v>الدور</v>
      </c>
      <c r="K674" s="19" t="n">
        <f aca="false">IFERROR(INDEX(المرجع!$F$2:$F$19,MATCH($I674,المرجع!$E$2:$E$19,0)),"")</f>
        <v>1</v>
      </c>
      <c r="L674" s="19" t="n">
        <f aca="false">SUMIFS(المرجع!$H$2:$H$19,المرجع!$B$2:$B$19,$G674,المرجع!$E$2:$E$19,$I674)</f>
        <v>1</v>
      </c>
      <c r="M674" s="19" t="n">
        <f aca="false">COUNTIFS('المرتبطة بسمو الوزير'!$B$2:$B$151,$B674,'المرتبطة بسمو الوزير'!$G$2:$G$151,$G674,'المرتبطة بسمو الوزير'!$I$2:$I$151,$I674,'المرتبطة بسمو الوزير'!$M$2:$M$151,"&lt;&gt;")+COUNTIFS('الشؤون التنفيذية'!$B$2:$B$421,$B674,'الشؤون التنفيذية'!$G$2:$G$421,$G674,'الشؤون التنفيذية'!$I$2:$I$421,$I674,'الشؤون التنفيذية'!$N$2:$N$421,"&lt;&gt;")+COUNTIFS('الجهاز العسكري'!$B$2:$B$631,$B674,'الجهاز العسكري'!$G$2:$G$631,$G674,'الجهاز العسكري'!$I$2:$I$631,$I674,'الجهاز العسكري'!$M$2:$M$631,"&lt;&gt;")</f>
        <v>1</v>
      </c>
      <c r="N674" s="24" t="n">
        <f aca="false">IF($L674=0,0,ROUND((SUMIFS('المرتبطة بسمو الوزير'!$M$2:$M$151,'المرتبطة بسمو الوزير'!$B$2:$B$151,$B674,'المرتبطة بسمو الوزير'!$G$2:$G$151,$G674,'المرتبطة بسمو الوزير'!$I$2:$I$151,$I674)+SUMIFS('الشؤون التنفيذية'!$N$2:$N$421,'الشؤون التنفيذية'!$B$2:$B$421,$B674,'الشؤون التنفيذية'!$G$2:$G$421,$G674,'الشؤون التنفيذية'!$I$2:$I$421,$I674)+SUMIFS('الجهاز العسكري'!$M$2:$M$631,'الجهاز العسكري'!$B$2:$B$631,$B674,'الجهاز العسكري'!$G$2:$G$631,$G674,'الجهاز العسكري'!$I$2:$I$631,$I674))/$L674,0))</f>
        <v>87</v>
      </c>
      <c r="O674" s="25" t="n">
        <f aca="false">IF($L674=0,0,ROUND((SUMIFS('المرتبطة بسمو الوزير'!$N$2:$N$151,'المرتبطة بسمو الوزير'!$B$2:$B$151,$B674,'المرتبطة بسمو الوزير'!$G$2:$G$151,$G674,'المرتبطة بسمو الوزير'!$I$2:$I$151,$I674)+SUMIFS('الشؤون التنفيذية'!$O$2:$O$421,'الشؤون التنفيذية'!$B$2:$B$421,$B674,'الشؤون التنفيذية'!$G$2:$G$421,$G674,'الشؤون التنفيذية'!$I$2:$I$421,$I674)+SUMIFS('الجهاز العسكري'!$N$2:$N$631,'الجهاز العسكري'!$B$2:$B$631,$B674,'الجهاز العسكري'!$G$2:$G$631,$G674,'الجهاز العسكري'!$I$2:$I$631,$I674))/$L674,0))</f>
        <v>100</v>
      </c>
      <c r="P674" s="22"/>
      <c r="Q674" s="19" t="n">
        <f aca="false">SUMIFS(المرجع!$G$2:$G$19,المرجع!$B$2:$B$19,$G674,المرجع!$E$2:$E$19,$I674)</f>
        <v>15</v>
      </c>
      <c r="R674" s="26" t="n">
        <f aca="false">ROUND($Q674*$N674/100,2)</f>
        <v>13.05</v>
      </c>
      <c r="S674" s="27" t="str">
        <f aca="false">IF($N674&gt;المرجع!$K$3,"متقدم",IF($N674&lt;=المرجع!$K$2,"أولي","جزئي"))</f>
        <v>متقدم</v>
      </c>
      <c r="T674" s="28" t="n">
        <f aca="false">ROUND($Q674*$O674/100,2)</f>
        <v>15</v>
      </c>
    </row>
    <row r="675" customFormat="false" ht="15" hidden="false" customHeight="true" outlineLevel="0" collapsed="false">
      <c r="A675" s="20" t="s">
        <v>2127</v>
      </c>
      <c r="B675" s="20" t="s">
        <v>232</v>
      </c>
      <c r="C675" s="19" t="str">
        <f aca="false">IFERROR(INDEX('قائمة الوحدات'!$B$2:$B$41,MATCH($B675,'قائمة الوحدات'!$A$2:$A$41,0)),"")</f>
        <v>MIL</v>
      </c>
      <c r="D675" s="18" t="str">
        <f aca="false">IFERROR(INDEX('قائمة الوحدات'!$C$2:$C$41,MATCH($B675,'قائمة الوحدات'!$A$2:$A$41,0)),"")</f>
        <v>الجهاز العسكري</v>
      </c>
      <c r="E675" s="18" t="str">
        <f aca="false">IFERROR(INDEX('قائمة الوحدات'!$D$2:$D$41,MATCH($B675,'قائمة الوحدات'!$A$2:$A$41,0)),"")</f>
        <v>الإدارة العامة للمالية والميزانية العسكرية</v>
      </c>
      <c r="F675" s="18" t="str">
        <f aca="false">IFERROR(INDEX('قائمة الوحدات'!$F$2:$F$41,MATCH($B675,'قائمة الوحدات'!$A$2:$A$41,0)),"")</f>
        <v>الإدارة العامة للمالية والميزانية العسكرية</v>
      </c>
      <c r="G675" s="20" t="s">
        <v>62</v>
      </c>
      <c r="H675" s="18" t="str">
        <f aca="false">IFERROR(INDEX(المرجع!$A$2:$A$19,MATCH($G675,المرجع!$B$2:$B$19,0)),"")</f>
        <v>البناء المؤسسي</v>
      </c>
      <c r="I675" s="20" t="s">
        <v>49</v>
      </c>
      <c r="J675" s="18" t="str">
        <f aca="false">IFERROR(INDEX(المرجع!$D$2:$D$19,MATCH($I675,المرجع!$E$2:$E$19,0)),"")</f>
        <v>الأهداف ومؤشرات الأداء</v>
      </c>
      <c r="K675" s="19" t="n">
        <f aca="false">IFERROR(INDEX(المرجع!$F$2:$F$19,MATCH($I675,المرجع!$E$2:$E$19,0)),"")</f>
        <v>2</v>
      </c>
      <c r="L675" s="19" t="n">
        <f aca="false">SUMIFS(المرجع!$H$2:$H$19,المرجع!$B$2:$B$19,$G675,المرجع!$E$2:$E$19,$I675)</f>
        <v>2</v>
      </c>
      <c r="M675" s="19" t="n">
        <f aca="false">COUNTIFS('المرتبطة بسمو الوزير'!$B$2:$B$151,$B675,'المرتبطة بسمو الوزير'!$G$2:$G$151,$G675,'المرتبطة بسمو الوزير'!$I$2:$I$151,$I675,'المرتبطة بسمو الوزير'!$M$2:$M$151,"&lt;&gt;")+COUNTIFS('الشؤون التنفيذية'!$B$2:$B$421,$B675,'الشؤون التنفيذية'!$G$2:$G$421,$G675,'الشؤون التنفيذية'!$I$2:$I$421,$I675,'الشؤون التنفيذية'!$N$2:$N$421,"&lt;&gt;")+COUNTIFS('الجهاز العسكري'!$B$2:$B$631,$B675,'الجهاز العسكري'!$G$2:$G$631,$G675,'الجهاز العسكري'!$I$2:$I$631,$I675,'الجهاز العسكري'!$M$2:$M$631,"&lt;&gt;")</f>
        <v>2</v>
      </c>
      <c r="N675" s="24" t="n">
        <f aca="false">IF($L675=0,0,ROUND((SUMIFS('المرتبطة بسمو الوزير'!$M$2:$M$151,'المرتبطة بسمو الوزير'!$B$2:$B$151,$B675,'المرتبطة بسمو الوزير'!$G$2:$G$151,$G675,'المرتبطة بسمو الوزير'!$I$2:$I$151,$I675)+SUMIFS('الشؤون التنفيذية'!$N$2:$N$421,'الشؤون التنفيذية'!$B$2:$B$421,$B675,'الشؤون التنفيذية'!$G$2:$G$421,$G675,'الشؤون التنفيذية'!$I$2:$I$421,$I675)+SUMIFS('الجهاز العسكري'!$M$2:$M$631,'الجهاز العسكري'!$B$2:$B$631,$B675,'الجهاز العسكري'!$G$2:$G$631,$G675,'الجهاز العسكري'!$I$2:$I$631,$I675))/$L675,0))</f>
        <v>60</v>
      </c>
      <c r="O675" s="25" t="n">
        <f aca="false">IF($L675=0,0,ROUND((SUMIFS('المرتبطة بسمو الوزير'!$N$2:$N$151,'المرتبطة بسمو الوزير'!$B$2:$B$151,$B675,'المرتبطة بسمو الوزير'!$G$2:$G$151,$G675,'المرتبطة بسمو الوزير'!$I$2:$I$151,$I675)+SUMIFS('الشؤون التنفيذية'!$O$2:$O$421,'الشؤون التنفيذية'!$B$2:$B$421,$B675,'الشؤون التنفيذية'!$G$2:$G$421,$G675,'الشؤون التنفيذية'!$I$2:$I$421,$I675)+SUMIFS('الجهاز العسكري'!$N$2:$N$631,'الجهاز العسكري'!$B$2:$B$631,$B675,'الجهاز العسكري'!$G$2:$G$631,$G675,'الجهاز العسكري'!$I$2:$I$631,$I675))/$L675,0))</f>
        <v>98</v>
      </c>
      <c r="P675" s="22"/>
      <c r="Q675" s="19" t="n">
        <f aca="false">SUMIFS(المرجع!$G$2:$G$19,المرجع!$B$2:$B$19,$G675,المرجع!$E$2:$E$19,$I675)</f>
        <v>15</v>
      </c>
      <c r="R675" s="26" t="n">
        <f aca="false">ROUND($Q675*$N675/100,2)</f>
        <v>9</v>
      </c>
      <c r="S675" s="27" t="str">
        <f aca="false">IF($N675&gt;المرجع!$K$3,"متقدم",IF($N675&lt;=المرجع!$K$2,"أولي","جزئي"))</f>
        <v>جزئي</v>
      </c>
      <c r="T675" s="28" t="n">
        <f aca="false">ROUND($Q675*$O675/100,2)</f>
        <v>14.7</v>
      </c>
    </row>
    <row r="676" customFormat="false" ht="15" hidden="false" customHeight="true" outlineLevel="0" collapsed="false">
      <c r="A676" s="20" t="s">
        <v>2128</v>
      </c>
      <c r="B676" s="20" t="s">
        <v>232</v>
      </c>
      <c r="C676" s="19" t="str">
        <f aca="false">IFERROR(INDEX('قائمة الوحدات'!$B$2:$B$41,MATCH($B676,'قائمة الوحدات'!$A$2:$A$41,0)),"")</f>
        <v>MIL</v>
      </c>
      <c r="D676" s="18" t="str">
        <f aca="false">IFERROR(INDEX('قائمة الوحدات'!$C$2:$C$41,MATCH($B676,'قائمة الوحدات'!$A$2:$A$41,0)),"")</f>
        <v>الجهاز العسكري</v>
      </c>
      <c r="E676" s="18" t="str">
        <f aca="false">IFERROR(INDEX('قائمة الوحدات'!$D$2:$D$41,MATCH($B676,'قائمة الوحدات'!$A$2:$A$41,0)),"")</f>
        <v>الإدارة العامة للمالية والميزانية العسكرية</v>
      </c>
      <c r="F676" s="18" t="str">
        <f aca="false">IFERROR(INDEX('قائمة الوحدات'!$F$2:$F$41,MATCH($B676,'قائمة الوحدات'!$A$2:$A$41,0)),"")</f>
        <v>الإدارة العامة للمالية والميزانية العسكرية</v>
      </c>
      <c r="G676" s="20" t="s">
        <v>62</v>
      </c>
      <c r="H676" s="18" t="str">
        <f aca="false">IFERROR(INDEX(المرجع!$A$2:$A$19,MATCH($G676,المرجع!$B$2:$B$19,0)),"")</f>
        <v>البناء المؤسسي</v>
      </c>
      <c r="I676" s="20" t="s">
        <v>52</v>
      </c>
      <c r="J676" s="18" t="str">
        <f aca="false">IFERROR(INDEX(المرجع!$D$2:$D$19,MATCH($I676,المرجع!$E$2:$E$19,0)),"")</f>
        <v>الحوكمة</v>
      </c>
      <c r="K676" s="19" t="n">
        <f aca="false">IFERROR(INDEX(المرجع!$F$2:$F$19,MATCH($I676,المرجع!$E$2:$E$19,0)),"")</f>
        <v>3</v>
      </c>
      <c r="L676" s="19" t="n">
        <f aca="false">SUMIFS(المرجع!$H$2:$H$19,المرجع!$B$2:$B$19,$G676,المرجع!$E$2:$E$19,$I676)</f>
        <v>3</v>
      </c>
      <c r="M676" s="19" t="n">
        <f aca="false">COUNTIFS('المرتبطة بسمو الوزير'!$B$2:$B$151,$B676,'المرتبطة بسمو الوزير'!$G$2:$G$151,$G676,'المرتبطة بسمو الوزير'!$I$2:$I$151,$I676,'المرتبطة بسمو الوزير'!$M$2:$M$151,"&lt;&gt;")+COUNTIFS('الشؤون التنفيذية'!$B$2:$B$421,$B676,'الشؤون التنفيذية'!$G$2:$G$421,$G676,'الشؤون التنفيذية'!$I$2:$I$421,$I676,'الشؤون التنفيذية'!$N$2:$N$421,"&lt;&gt;")+COUNTIFS('الجهاز العسكري'!$B$2:$B$631,$B676,'الجهاز العسكري'!$G$2:$G$631,$G676,'الجهاز العسكري'!$I$2:$I$631,$I676,'الجهاز العسكري'!$M$2:$M$631,"&lt;&gt;")</f>
        <v>3</v>
      </c>
      <c r="N676" s="24" t="n">
        <f aca="false">IF($L676=0,0,ROUND((SUMIFS('المرتبطة بسمو الوزير'!$M$2:$M$151,'المرتبطة بسمو الوزير'!$B$2:$B$151,$B676,'المرتبطة بسمو الوزير'!$G$2:$G$151,$G676,'المرتبطة بسمو الوزير'!$I$2:$I$151,$I676)+SUMIFS('الشؤون التنفيذية'!$N$2:$N$421,'الشؤون التنفيذية'!$B$2:$B$421,$B676,'الشؤون التنفيذية'!$G$2:$G$421,$G676,'الشؤون التنفيذية'!$I$2:$I$421,$I676)+SUMIFS('الجهاز العسكري'!$M$2:$M$631,'الجهاز العسكري'!$B$2:$B$631,$B676,'الجهاز العسكري'!$G$2:$G$631,$G676,'الجهاز العسكري'!$I$2:$I$631,$I676))/$L676,0))</f>
        <v>62</v>
      </c>
      <c r="O676" s="25" t="n">
        <f aca="false">IF($L676=0,0,ROUND((SUMIFS('المرتبطة بسمو الوزير'!$N$2:$N$151,'المرتبطة بسمو الوزير'!$B$2:$B$151,$B676,'المرتبطة بسمو الوزير'!$G$2:$G$151,$G676,'المرتبطة بسمو الوزير'!$I$2:$I$151,$I676)+SUMIFS('الشؤون التنفيذية'!$O$2:$O$421,'الشؤون التنفيذية'!$B$2:$B$421,$B676,'الشؤون التنفيذية'!$G$2:$G$421,$G676,'الشؤون التنفيذية'!$I$2:$I$421,$I676)+SUMIFS('الجهاز العسكري'!$N$2:$N$631,'الجهاز العسكري'!$B$2:$B$631,$B676,'الجهاز العسكري'!$G$2:$G$631,$G676,'الجهاز العسكري'!$I$2:$I$631,$I676))/$L676,0))</f>
        <v>85</v>
      </c>
      <c r="P676" s="22"/>
      <c r="Q676" s="19" t="n">
        <f aca="false">SUMIFS(المرجع!$G$2:$G$19,المرجع!$B$2:$B$19,$G676,المرجع!$E$2:$E$19,$I676)</f>
        <v>15</v>
      </c>
      <c r="R676" s="26" t="n">
        <f aca="false">ROUND($Q676*$N676/100,2)</f>
        <v>9.3</v>
      </c>
      <c r="S676" s="27" t="str">
        <f aca="false">IF($N676&gt;المرجع!$K$3,"متقدم",IF($N676&lt;=المرجع!$K$2,"أولي","جزئي"))</f>
        <v>جزئي</v>
      </c>
      <c r="T676" s="28" t="n">
        <f aca="false">ROUND($Q676*$O676/100,2)</f>
        <v>12.75</v>
      </c>
    </row>
    <row r="677" customFormat="false" ht="15" hidden="false" customHeight="true" outlineLevel="0" collapsed="false">
      <c r="A677" s="20" t="s">
        <v>2129</v>
      </c>
      <c r="B677" s="20" t="s">
        <v>232</v>
      </c>
      <c r="C677" s="19" t="str">
        <f aca="false">IFERROR(INDEX('قائمة الوحدات'!$B$2:$B$41,MATCH($B677,'قائمة الوحدات'!$A$2:$A$41,0)),"")</f>
        <v>MIL</v>
      </c>
      <c r="D677" s="18" t="str">
        <f aca="false">IFERROR(INDEX('قائمة الوحدات'!$C$2:$C$41,MATCH($B677,'قائمة الوحدات'!$A$2:$A$41,0)),"")</f>
        <v>الجهاز العسكري</v>
      </c>
      <c r="E677" s="18" t="str">
        <f aca="false">IFERROR(INDEX('قائمة الوحدات'!$D$2:$D$41,MATCH($B677,'قائمة الوحدات'!$A$2:$A$41,0)),"")</f>
        <v>الإدارة العامة للمالية والميزانية العسكرية</v>
      </c>
      <c r="F677" s="18" t="str">
        <f aca="false">IFERROR(INDEX('قائمة الوحدات'!$F$2:$F$41,MATCH($B677,'قائمة الوحدات'!$A$2:$A$41,0)),"")</f>
        <v>الإدارة العامة للمالية والميزانية العسكرية</v>
      </c>
      <c r="G677" s="20" t="s">
        <v>62</v>
      </c>
      <c r="H677" s="18" t="str">
        <f aca="false">IFERROR(INDEX(المرجع!$A$2:$A$19,MATCH($G677,المرجع!$B$2:$B$19,0)),"")</f>
        <v>البناء المؤسسي</v>
      </c>
      <c r="I677" s="20" t="s">
        <v>55</v>
      </c>
      <c r="J677" s="18" t="str">
        <f aca="false">IFERROR(INDEX(المرجع!$D$2:$D$19,MATCH($I677,المرجع!$E$2:$E$19,0)),"")</f>
        <v>التنظيم</v>
      </c>
      <c r="K677" s="19" t="n">
        <f aca="false">IFERROR(INDEX(المرجع!$F$2:$F$19,MATCH($I677,المرجع!$E$2:$E$19,0)),"")</f>
        <v>4</v>
      </c>
      <c r="L677" s="19" t="n">
        <f aca="false">SUMIFS(المرجع!$H$2:$H$19,المرجع!$B$2:$B$19,$G677,المرجع!$E$2:$E$19,$I677)</f>
        <v>3</v>
      </c>
      <c r="M677" s="19" t="n">
        <f aca="false">COUNTIFS('المرتبطة بسمو الوزير'!$B$2:$B$151,$B677,'المرتبطة بسمو الوزير'!$G$2:$G$151,$G677,'المرتبطة بسمو الوزير'!$I$2:$I$151,$I677,'المرتبطة بسمو الوزير'!$M$2:$M$151,"&lt;&gt;")+COUNTIFS('الشؤون التنفيذية'!$B$2:$B$421,$B677,'الشؤون التنفيذية'!$G$2:$G$421,$G677,'الشؤون التنفيذية'!$I$2:$I$421,$I677,'الشؤون التنفيذية'!$N$2:$N$421,"&lt;&gt;")+COUNTIFS('الجهاز العسكري'!$B$2:$B$631,$B677,'الجهاز العسكري'!$G$2:$G$631,$G677,'الجهاز العسكري'!$I$2:$I$631,$I677,'الجهاز العسكري'!$M$2:$M$631,"&lt;&gt;")</f>
        <v>3</v>
      </c>
      <c r="N677" s="24" t="n">
        <f aca="false">IF($L677=0,0,ROUND((SUMIFS('المرتبطة بسمو الوزير'!$M$2:$M$151,'المرتبطة بسمو الوزير'!$B$2:$B$151,$B677,'المرتبطة بسمو الوزير'!$G$2:$G$151,$G677,'المرتبطة بسمو الوزير'!$I$2:$I$151,$I677)+SUMIFS('الشؤون التنفيذية'!$N$2:$N$421,'الشؤون التنفيذية'!$B$2:$B$421,$B677,'الشؤون التنفيذية'!$G$2:$G$421,$G677,'الشؤون التنفيذية'!$I$2:$I$421,$I677)+SUMIFS('الجهاز العسكري'!$M$2:$M$631,'الجهاز العسكري'!$B$2:$B$631,$B677,'الجهاز العسكري'!$G$2:$G$631,$G677,'الجهاز العسكري'!$I$2:$I$631,$I677))/$L677,0))</f>
        <v>95</v>
      </c>
      <c r="O677" s="25" t="n">
        <f aca="false">IF($L677=0,0,ROUND((SUMIFS('المرتبطة بسمو الوزير'!$N$2:$N$151,'المرتبطة بسمو الوزير'!$B$2:$B$151,$B677,'المرتبطة بسمو الوزير'!$G$2:$G$151,$G677,'المرتبطة بسمو الوزير'!$I$2:$I$151,$I677)+SUMIFS('الشؤون التنفيذية'!$O$2:$O$421,'الشؤون التنفيذية'!$B$2:$B$421,$B677,'الشؤون التنفيذية'!$G$2:$G$421,$G677,'الشؤون التنفيذية'!$I$2:$I$421,$I677)+SUMIFS('الجهاز العسكري'!$N$2:$N$631,'الجهاز العسكري'!$B$2:$B$631,$B677,'الجهاز العسكري'!$G$2:$G$631,$G677,'الجهاز العسكري'!$I$2:$I$631,$I677))/$L677,0))</f>
        <v>98</v>
      </c>
      <c r="P677" s="22"/>
      <c r="Q677" s="19" t="n">
        <f aca="false">SUMIFS(المرجع!$G$2:$G$19,المرجع!$B$2:$B$19,$G677,المرجع!$E$2:$E$19,$I677)</f>
        <v>20</v>
      </c>
      <c r="R677" s="26" t="n">
        <f aca="false">ROUND($Q677*$N677/100,2)</f>
        <v>19</v>
      </c>
      <c r="S677" s="27" t="str">
        <f aca="false">IF($N677&gt;المرجع!$K$3,"متقدم",IF($N677&lt;=المرجع!$K$2,"أولي","جزئي"))</f>
        <v>متقدم</v>
      </c>
      <c r="T677" s="28" t="n">
        <f aca="false">ROUND($Q677*$O677/100,2)</f>
        <v>19.6</v>
      </c>
    </row>
    <row r="678" customFormat="false" ht="15" hidden="false" customHeight="true" outlineLevel="0" collapsed="false">
      <c r="A678" s="20" t="s">
        <v>2130</v>
      </c>
      <c r="B678" s="20" t="s">
        <v>232</v>
      </c>
      <c r="C678" s="19" t="str">
        <f aca="false">IFERROR(INDEX('قائمة الوحدات'!$B$2:$B$41,MATCH($B678,'قائمة الوحدات'!$A$2:$A$41,0)),"")</f>
        <v>MIL</v>
      </c>
      <c r="D678" s="18" t="str">
        <f aca="false">IFERROR(INDEX('قائمة الوحدات'!$C$2:$C$41,MATCH($B678,'قائمة الوحدات'!$A$2:$A$41,0)),"")</f>
        <v>الجهاز العسكري</v>
      </c>
      <c r="E678" s="18" t="str">
        <f aca="false">IFERROR(INDEX('قائمة الوحدات'!$D$2:$D$41,MATCH($B678,'قائمة الوحدات'!$A$2:$A$41,0)),"")</f>
        <v>الإدارة العامة للمالية والميزانية العسكرية</v>
      </c>
      <c r="F678" s="18" t="str">
        <f aca="false">IFERROR(INDEX('قائمة الوحدات'!$F$2:$F$41,MATCH($B678,'قائمة الوحدات'!$A$2:$A$41,0)),"")</f>
        <v>الإدارة العامة للمالية والميزانية العسكرية</v>
      </c>
      <c r="G678" s="20" t="s">
        <v>62</v>
      </c>
      <c r="H678" s="18" t="str">
        <f aca="false">IFERROR(INDEX(المرجع!$A$2:$A$19,MATCH($G678,المرجع!$B$2:$B$19,0)),"")</f>
        <v>البناء المؤسسي</v>
      </c>
      <c r="I678" s="20" t="s">
        <v>57</v>
      </c>
      <c r="J678" s="18" t="str">
        <f aca="false">IFERROR(INDEX(المرجع!$D$2:$D$19,MATCH($I678,المرجع!$E$2:$E$19,0)),"")</f>
        <v>الموارد</v>
      </c>
      <c r="K678" s="19" t="n">
        <f aca="false">IFERROR(INDEX(المرجع!$F$2:$F$19,MATCH($I678,المرجع!$E$2:$E$19,0)),"")</f>
        <v>5</v>
      </c>
      <c r="L678" s="19" t="n">
        <f aca="false">SUMIFS(المرجع!$H$2:$H$19,المرجع!$B$2:$B$19,$G678,المرجع!$E$2:$E$19,$I678)</f>
        <v>4</v>
      </c>
      <c r="M678" s="19" t="n">
        <f aca="false">COUNTIFS('المرتبطة بسمو الوزير'!$B$2:$B$151,$B678,'المرتبطة بسمو الوزير'!$G$2:$G$151,$G678,'المرتبطة بسمو الوزير'!$I$2:$I$151,$I678,'المرتبطة بسمو الوزير'!$M$2:$M$151,"&lt;&gt;")+COUNTIFS('الشؤون التنفيذية'!$B$2:$B$421,$B678,'الشؤون التنفيذية'!$G$2:$G$421,$G678,'الشؤون التنفيذية'!$I$2:$I$421,$I678,'الشؤون التنفيذية'!$N$2:$N$421,"&lt;&gt;")+COUNTIFS('الجهاز العسكري'!$B$2:$B$631,$B678,'الجهاز العسكري'!$G$2:$G$631,$G678,'الجهاز العسكري'!$I$2:$I$631,$I678,'الجهاز العسكري'!$M$2:$M$631,"&lt;&gt;")</f>
        <v>4</v>
      </c>
      <c r="N678" s="24" t="n">
        <f aca="false">IF($L678=0,0,ROUND((SUMIFS('المرتبطة بسمو الوزير'!$M$2:$M$151,'المرتبطة بسمو الوزير'!$B$2:$B$151,$B678,'المرتبطة بسمو الوزير'!$G$2:$G$151,$G678,'المرتبطة بسمو الوزير'!$I$2:$I$151,$I678)+SUMIFS('الشؤون التنفيذية'!$N$2:$N$421,'الشؤون التنفيذية'!$B$2:$B$421,$B678,'الشؤون التنفيذية'!$G$2:$G$421,$G678,'الشؤون التنفيذية'!$I$2:$I$421,$I678)+SUMIFS('الجهاز العسكري'!$M$2:$M$631,'الجهاز العسكري'!$B$2:$B$631,$B678,'الجهاز العسكري'!$G$2:$G$631,$G678,'الجهاز العسكري'!$I$2:$I$631,$I678))/$L678,0))</f>
        <v>53</v>
      </c>
      <c r="O678" s="25" t="n">
        <f aca="false">IF($L678=0,0,ROUND((SUMIFS('المرتبطة بسمو الوزير'!$N$2:$N$151,'المرتبطة بسمو الوزير'!$B$2:$B$151,$B678,'المرتبطة بسمو الوزير'!$G$2:$G$151,$G678,'المرتبطة بسمو الوزير'!$I$2:$I$151,$I678)+SUMIFS('الشؤون التنفيذية'!$O$2:$O$421,'الشؤون التنفيذية'!$B$2:$B$421,$B678,'الشؤون التنفيذية'!$G$2:$G$421,$G678,'الشؤون التنفيذية'!$I$2:$I$421,$I678)+SUMIFS('الجهاز العسكري'!$N$2:$N$631,'الجهاز العسكري'!$B$2:$B$631,$B678,'الجهاز العسكري'!$G$2:$G$631,$G678,'الجهاز العسكري'!$I$2:$I$631,$I678))/$L678,0))</f>
        <v>94</v>
      </c>
      <c r="P678" s="22"/>
      <c r="Q678" s="19" t="n">
        <f aca="false">SUMIFS(المرجع!$G$2:$G$19,المرجع!$B$2:$B$19,$G678,المرجع!$E$2:$E$19,$I678)</f>
        <v>25</v>
      </c>
      <c r="R678" s="26" t="n">
        <f aca="false">ROUND($Q678*$N678/100,2)</f>
        <v>13.25</v>
      </c>
      <c r="S678" s="27" t="str">
        <f aca="false">IF($N678&gt;المرجع!$K$3,"متقدم",IF($N678&lt;=المرجع!$K$2,"أولي","جزئي"))</f>
        <v>جزئي</v>
      </c>
      <c r="T678" s="28" t="n">
        <f aca="false">ROUND($Q678*$O678/100,2)</f>
        <v>23.5</v>
      </c>
    </row>
    <row r="679" customFormat="false" ht="15" hidden="false" customHeight="true" outlineLevel="0" collapsed="false">
      <c r="A679" s="20" t="s">
        <v>2131</v>
      </c>
      <c r="B679" s="20" t="s">
        <v>232</v>
      </c>
      <c r="C679" s="19" t="str">
        <f aca="false">IFERROR(INDEX('قائمة الوحدات'!$B$2:$B$41,MATCH($B679,'قائمة الوحدات'!$A$2:$A$41,0)),"")</f>
        <v>MIL</v>
      </c>
      <c r="D679" s="18" t="str">
        <f aca="false">IFERROR(INDEX('قائمة الوحدات'!$C$2:$C$41,MATCH($B679,'قائمة الوحدات'!$A$2:$A$41,0)),"")</f>
        <v>الجهاز العسكري</v>
      </c>
      <c r="E679" s="18" t="str">
        <f aca="false">IFERROR(INDEX('قائمة الوحدات'!$D$2:$D$41,MATCH($B679,'قائمة الوحدات'!$A$2:$A$41,0)),"")</f>
        <v>الإدارة العامة للمالية والميزانية العسكرية</v>
      </c>
      <c r="F679" s="18" t="str">
        <f aca="false">IFERROR(INDEX('قائمة الوحدات'!$F$2:$F$41,MATCH($B679,'قائمة الوحدات'!$A$2:$A$41,0)),"")</f>
        <v>الإدارة العامة للمالية والميزانية العسكرية</v>
      </c>
      <c r="G679" s="20" t="s">
        <v>62</v>
      </c>
      <c r="H679" s="18" t="str">
        <f aca="false">IFERROR(INDEX(المرجع!$A$2:$A$19,MATCH($G679,المرجع!$B$2:$B$19,0)),"")</f>
        <v>البناء المؤسسي</v>
      </c>
      <c r="I679" s="20" t="s">
        <v>60</v>
      </c>
      <c r="J679" s="18" t="str">
        <f aca="false">IFERROR(INDEX(المرجع!$D$2:$D$19,MATCH($I679,المرجع!$E$2:$E$19,0)),"")</f>
        <v>الإجراءات</v>
      </c>
      <c r="K679" s="19" t="n">
        <f aca="false">IFERROR(INDEX(المرجع!$F$2:$F$19,MATCH($I679,المرجع!$E$2:$E$19,0)),"")</f>
        <v>6</v>
      </c>
      <c r="L679" s="19" t="n">
        <f aca="false">SUMIFS(المرجع!$H$2:$H$19,المرجع!$B$2:$B$19,$G679,المرجع!$E$2:$E$19,$I679)</f>
        <v>1</v>
      </c>
      <c r="M679" s="19" t="n">
        <f aca="false">COUNTIFS('المرتبطة بسمو الوزير'!$B$2:$B$151,$B679,'المرتبطة بسمو الوزير'!$G$2:$G$151,$G679,'المرتبطة بسمو الوزير'!$I$2:$I$151,$I679,'المرتبطة بسمو الوزير'!$M$2:$M$151,"&lt;&gt;")+COUNTIFS('الشؤون التنفيذية'!$B$2:$B$421,$B679,'الشؤون التنفيذية'!$G$2:$G$421,$G679,'الشؤون التنفيذية'!$I$2:$I$421,$I679,'الشؤون التنفيذية'!$N$2:$N$421,"&lt;&gt;")+COUNTIFS('الجهاز العسكري'!$B$2:$B$631,$B679,'الجهاز العسكري'!$G$2:$G$631,$G679,'الجهاز العسكري'!$I$2:$I$631,$I679,'الجهاز العسكري'!$M$2:$M$631,"&lt;&gt;")</f>
        <v>1</v>
      </c>
      <c r="N679" s="24" t="n">
        <f aca="false">IF($L679=0,0,ROUND((SUMIFS('المرتبطة بسمو الوزير'!$M$2:$M$151,'المرتبطة بسمو الوزير'!$B$2:$B$151,$B679,'المرتبطة بسمو الوزير'!$G$2:$G$151,$G679,'المرتبطة بسمو الوزير'!$I$2:$I$151,$I679)+SUMIFS('الشؤون التنفيذية'!$N$2:$N$421,'الشؤون التنفيذية'!$B$2:$B$421,$B679,'الشؤون التنفيذية'!$G$2:$G$421,$G679,'الشؤون التنفيذية'!$I$2:$I$421,$I679)+SUMIFS('الجهاز العسكري'!$M$2:$M$631,'الجهاز العسكري'!$B$2:$B$631,$B679,'الجهاز العسكري'!$G$2:$G$631,$G679,'الجهاز العسكري'!$I$2:$I$631,$I679))/$L679,0))</f>
        <v>56</v>
      </c>
      <c r="O679" s="25" t="n">
        <f aca="false">IF($L679=0,0,ROUND((SUMIFS('المرتبطة بسمو الوزير'!$N$2:$N$151,'المرتبطة بسمو الوزير'!$B$2:$B$151,$B679,'المرتبطة بسمو الوزير'!$G$2:$G$151,$G679,'المرتبطة بسمو الوزير'!$I$2:$I$151,$I679)+SUMIFS('الشؤون التنفيذية'!$O$2:$O$421,'الشؤون التنفيذية'!$B$2:$B$421,$B679,'الشؤون التنفيذية'!$G$2:$G$421,$G679,'الشؤون التنفيذية'!$I$2:$I$421,$I679)+SUMIFS('الجهاز العسكري'!$N$2:$N$631,'الجهاز العسكري'!$B$2:$B$631,$B679,'الجهاز العسكري'!$G$2:$G$631,$G679,'الجهاز العسكري'!$I$2:$I$631,$I679))/$L679,0))</f>
        <v>100</v>
      </c>
      <c r="P679" s="22"/>
      <c r="Q679" s="19" t="n">
        <f aca="false">SUMIFS(المرجع!$G$2:$G$19,المرجع!$B$2:$B$19,$G679,المرجع!$E$2:$E$19,$I679)</f>
        <v>5</v>
      </c>
      <c r="R679" s="26" t="n">
        <f aca="false">ROUND($Q679*$N679/100,2)</f>
        <v>2.8</v>
      </c>
      <c r="S679" s="27" t="str">
        <f aca="false">IF($N679&gt;المرجع!$K$3,"متقدم",IF($N679&lt;=المرجع!$K$2,"أولي","جزئي"))</f>
        <v>جزئي</v>
      </c>
      <c r="T679" s="28" t="n">
        <f aca="false">ROUND($Q679*$O679/100,2)</f>
        <v>5</v>
      </c>
    </row>
    <row r="680" customFormat="false" ht="15" hidden="false" customHeight="true" outlineLevel="0" collapsed="false">
      <c r="A680" s="20" t="s">
        <v>2132</v>
      </c>
      <c r="B680" s="20" t="s">
        <v>232</v>
      </c>
      <c r="C680" s="19" t="str">
        <f aca="false">IFERROR(INDEX('قائمة الوحدات'!$B$2:$B$41,MATCH($B680,'قائمة الوحدات'!$A$2:$A$41,0)),"")</f>
        <v>MIL</v>
      </c>
      <c r="D680" s="18" t="str">
        <f aca="false">IFERROR(INDEX('قائمة الوحدات'!$C$2:$C$41,MATCH($B680,'قائمة الوحدات'!$A$2:$A$41,0)),"")</f>
        <v>الجهاز العسكري</v>
      </c>
      <c r="E680" s="18" t="str">
        <f aca="false">IFERROR(INDEX('قائمة الوحدات'!$D$2:$D$41,MATCH($B680,'قائمة الوحدات'!$A$2:$A$41,0)),"")</f>
        <v>الإدارة العامة للمالية والميزانية العسكرية</v>
      </c>
      <c r="F680" s="18" t="str">
        <f aca="false">IFERROR(INDEX('قائمة الوحدات'!$F$2:$F$41,MATCH($B680,'قائمة الوحدات'!$A$2:$A$41,0)),"")</f>
        <v>الإدارة العامة للمالية والميزانية العسكرية</v>
      </c>
      <c r="G680" s="20" t="s">
        <v>62</v>
      </c>
      <c r="H680" s="18" t="str">
        <f aca="false">IFERROR(INDEX(المرجع!$A$2:$A$19,MATCH($G680,المرجع!$B$2:$B$19,0)),"")</f>
        <v>البناء المؤسسي</v>
      </c>
      <c r="I680" s="20" t="s">
        <v>69</v>
      </c>
      <c r="J680" s="18" t="str">
        <f aca="false">IFERROR(INDEX(المرجع!$D$2:$D$19,MATCH($I680,المرجع!$E$2:$E$19,0)),"")</f>
        <v>إنتاج المخرج الأول</v>
      </c>
      <c r="K680" s="19" t="n">
        <f aca="false">IFERROR(INDEX(المرجع!$F$2:$F$19,MATCH($I680,المرجع!$E$2:$E$19,0)),"")</f>
        <v>7</v>
      </c>
      <c r="L680" s="19" t="n">
        <f aca="false">SUMIFS(المرجع!$H$2:$H$19,المرجع!$B$2:$B$19,$G680,المرجع!$E$2:$E$19,$I680)</f>
        <v>1</v>
      </c>
      <c r="M680" s="19" t="n">
        <f aca="false">COUNTIFS('المرتبطة بسمو الوزير'!$B$2:$B$151,$B680,'المرتبطة بسمو الوزير'!$G$2:$G$151,$G680,'المرتبطة بسمو الوزير'!$I$2:$I$151,$I680,'المرتبطة بسمو الوزير'!$M$2:$M$151,"&lt;&gt;")+COUNTIFS('الشؤون التنفيذية'!$B$2:$B$421,$B680,'الشؤون التنفيذية'!$G$2:$G$421,$G680,'الشؤون التنفيذية'!$I$2:$I$421,$I680,'الشؤون التنفيذية'!$N$2:$N$421,"&lt;&gt;")+COUNTIFS('الجهاز العسكري'!$B$2:$B$631,$B680,'الجهاز العسكري'!$G$2:$G$631,$G680,'الجهاز العسكري'!$I$2:$I$631,$I680,'الجهاز العسكري'!$M$2:$M$631,"&lt;&gt;")</f>
        <v>1</v>
      </c>
      <c r="N680" s="24" t="n">
        <f aca="false">IF($L680=0,0,ROUND((SUMIFS('المرتبطة بسمو الوزير'!$M$2:$M$151,'المرتبطة بسمو الوزير'!$B$2:$B$151,$B680,'المرتبطة بسمو الوزير'!$G$2:$G$151,$G680,'المرتبطة بسمو الوزير'!$I$2:$I$151,$I680)+SUMIFS('الشؤون التنفيذية'!$N$2:$N$421,'الشؤون التنفيذية'!$B$2:$B$421,$B680,'الشؤون التنفيذية'!$G$2:$G$421,$G680,'الشؤون التنفيذية'!$I$2:$I$421,$I680)+SUMIFS('الجهاز العسكري'!$M$2:$M$631,'الجهاز العسكري'!$B$2:$B$631,$B680,'الجهاز العسكري'!$G$2:$G$631,$G680,'الجهاز العسكري'!$I$2:$I$631,$I680))/$L680,0))</f>
        <v>51</v>
      </c>
      <c r="O680" s="25" t="n">
        <f aca="false">IF($L680=0,0,ROUND((SUMIFS('المرتبطة بسمو الوزير'!$N$2:$N$151,'المرتبطة بسمو الوزير'!$B$2:$B$151,$B680,'المرتبطة بسمو الوزير'!$G$2:$G$151,$G680,'المرتبطة بسمو الوزير'!$I$2:$I$151,$I680)+SUMIFS('الشؤون التنفيذية'!$O$2:$O$421,'الشؤون التنفيذية'!$B$2:$B$421,$B680,'الشؤون التنفيذية'!$G$2:$G$421,$G680,'الشؤون التنفيذية'!$I$2:$I$421,$I680)+SUMIFS('الجهاز العسكري'!$N$2:$N$631,'الجهاز العسكري'!$B$2:$B$631,$B680,'الجهاز العسكري'!$G$2:$G$631,$G680,'الجهاز العسكري'!$I$2:$I$631,$I680))/$L680,0))</f>
        <v>80</v>
      </c>
      <c r="P680" s="22"/>
      <c r="Q680" s="19" t="n">
        <f aca="false">SUMIFS(المرجع!$G$2:$G$19,المرجع!$B$2:$B$19,$G680,المرجع!$E$2:$E$19,$I680)</f>
        <v>5</v>
      </c>
      <c r="R680" s="26" t="n">
        <f aca="false">ROUND($Q680*$N680/100,2)</f>
        <v>2.55</v>
      </c>
      <c r="S680" s="27" t="str">
        <f aca="false">IF($N680&gt;المرجع!$K$3,"متقدم",IF($N680&lt;=المرجع!$K$2,"أولي","جزئي"))</f>
        <v>جزئي</v>
      </c>
      <c r="T680" s="28" t="n">
        <f aca="false">ROUND($Q680*$O680/100,2)</f>
        <v>4</v>
      </c>
    </row>
    <row r="681" customFormat="false" ht="15" hidden="false" customHeight="true" outlineLevel="0" collapsed="false">
      <c r="A681" s="20" t="s">
        <v>2133</v>
      </c>
      <c r="B681" s="20" t="s">
        <v>232</v>
      </c>
      <c r="C681" s="19" t="str">
        <f aca="false">IFERROR(INDEX('قائمة الوحدات'!$B$2:$B$41,MATCH($B681,'قائمة الوحدات'!$A$2:$A$41,0)),"")</f>
        <v>MIL</v>
      </c>
      <c r="D681" s="18" t="str">
        <f aca="false">IFERROR(INDEX('قائمة الوحدات'!$C$2:$C$41,MATCH($B681,'قائمة الوحدات'!$A$2:$A$41,0)),"")</f>
        <v>الجهاز العسكري</v>
      </c>
      <c r="E681" s="18" t="str">
        <f aca="false">IFERROR(INDEX('قائمة الوحدات'!$D$2:$D$41,MATCH($B681,'قائمة الوحدات'!$A$2:$A$41,0)),"")</f>
        <v>الإدارة العامة للمالية والميزانية العسكرية</v>
      </c>
      <c r="F681" s="18" t="str">
        <f aca="false">IFERROR(INDEX('قائمة الوحدات'!$F$2:$F$41,MATCH($B681,'قائمة الوحدات'!$A$2:$A$41,0)),"")</f>
        <v>الإدارة العامة للمالية والميزانية العسكرية</v>
      </c>
      <c r="G681" s="20" t="s">
        <v>66</v>
      </c>
      <c r="H681" s="18" t="str">
        <f aca="false">IFERROR(INDEX(المرجع!$A$2:$A$19,MATCH($G681,المرجع!$B$2:$B$19,0)),"")</f>
        <v>التشغيل</v>
      </c>
      <c r="I681" s="20" t="s">
        <v>49</v>
      </c>
      <c r="J681" s="18" t="str">
        <f aca="false">IFERROR(INDEX(المرجع!$D$2:$D$19,MATCH($I681,المرجع!$E$2:$E$19,0)),"")</f>
        <v>الأهداف ومؤشرات الأداء</v>
      </c>
      <c r="K681" s="19" t="n">
        <f aca="false">IFERROR(INDEX(المرجع!$F$2:$F$19,MATCH($I681,المرجع!$E$2:$E$19,0)),"")</f>
        <v>2</v>
      </c>
      <c r="L681" s="19" t="n">
        <f aca="false">SUMIFS(المرجع!$H$2:$H$19,المرجع!$B$2:$B$19,$G681,المرجع!$E$2:$E$19,$I681)</f>
        <v>2</v>
      </c>
      <c r="M681" s="19" t="n">
        <f aca="false">COUNTIFS('المرتبطة بسمو الوزير'!$B$2:$B$151,$B681,'المرتبطة بسمو الوزير'!$G$2:$G$151,$G681,'المرتبطة بسمو الوزير'!$I$2:$I$151,$I681,'المرتبطة بسمو الوزير'!$M$2:$M$151,"&lt;&gt;")+COUNTIFS('الشؤون التنفيذية'!$B$2:$B$421,$B681,'الشؤون التنفيذية'!$G$2:$G$421,$G681,'الشؤون التنفيذية'!$I$2:$I$421,$I681,'الشؤون التنفيذية'!$N$2:$N$421,"&lt;&gt;")+COUNTIFS('الجهاز العسكري'!$B$2:$B$631,$B681,'الجهاز العسكري'!$G$2:$G$631,$G681,'الجهاز العسكري'!$I$2:$I$631,$I681,'الجهاز العسكري'!$M$2:$M$631,"&lt;&gt;")</f>
        <v>2</v>
      </c>
      <c r="N681" s="24" t="n">
        <f aca="false">IF($L681=0,0,ROUND((SUMIFS('المرتبطة بسمو الوزير'!$M$2:$M$151,'المرتبطة بسمو الوزير'!$B$2:$B$151,$B681,'المرتبطة بسمو الوزير'!$G$2:$G$151,$G681,'المرتبطة بسمو الوزير'!$I$2:$I$151,$I681)+SUMIFS('الشؤون التنفيذية'!$N$2:$N$421,'الشؤون التنفيذية'!$B$2:$B$421,$B681,'الشؤون التنفيذية'!$G$2:$G$421,$G681,'الشؤون التنفيذية'!$I$2:$I$421,$I681)+SUMIFS('الجهاز العسكري'!$M$2:$M$631,'الجهاز العسكري'!$B$2:$B$631,$B681,'الجهاز العسكري'!$G$2:$G$631,$G681,'الجهاز العسكري'!$I$2:$I$631,$I681))/$L681,0))</f>
        <v>15</v>
      </c>
      <c r="O681" s="25" t="n">
        <f aca="false">IF($L681=0,0,ROUND((SUMIFS('المرتبطة بسمو الوزير'!$N$2:$N$151,'المرتبطة بسمو الوزير'!$B$2:$B$151,$B681,'المرتبطة بسمو الوزير'!$G$2:$G$151,$G681,'المرتبطة بسمو الوزير'!$I$2:$I$151,$I681)+SUMIFS('الشؤون التنفيذية'!$O$2:$O$421,'الشؤون التنفيذية'!$B$2:$B$421,$B681,'الشؤون التنفيذية'!$G$2:$G$421,$G681,'الشؤون التنفيذية'!$I$2:$I$421,$I681)+SUMIFS('الجهاز العسكري'!$N$2:$N$631,'الجهاز العسكري'!$B$2:$B$631,$B681,'الجهاز العسكري'!$G$2:$G$631,$G681,'الجهاز العسكري'!$I$2:$I$631,$I681))/$L681,0))</f>
        <v>85</v>
      </c>
      <c r="P681" s="22"/>
      <c r="Q681" s="19" t="n">
        <f aca="false">SUMIFS(المرجع!$G$2:$G$19,المرجع!$B$2:$B$19,$G681,المرجع!$E$2:$E$19,$I681)</f>
        <v>25</v>
      </c>
      <c r="R681" s="26" t="n">
        <f aca="false">ROUND($Q681*$N681/100,2)</f>
        <v>3.75</v>
      </c>
      <c r="S681" s="27" t="str">
        <f aca="false">IF($N681&gt;المرجع!$K$3,"متقدم",IF($N681&lt;=المرجع!$K$2,"أولي","جزئي"))</f>
        <v>أولي</v>
      </c>
      <c r="T681" s="28" t="n">
        <f aca="false">ROUND($Q681*$O681/100,2)</f>
        <v>21.25</v>
      </c>
    </row>
    <row r="682" customFormat="false" ht="15" hidden="false" customHeight="true" outlineLevel="0" collapsed="false">
      <c r="A682" s="20" t="s">
        <v>2134</v>
      </c>
      <c r="B682" s="20" t="s">
        <v>232</v>
      </c>
      <c r="C682" s="19" t="str">
        <f aca="false">IFERROR(INDEX('قائمة الوحدات'!$B$2:$B$41,MATCH($B682,'قائمة الوحدات'!$A$2:$A$41,0)),"")</f>
        <v>MIL</v>
      </c>
      <c r="D682" s="18" t="str">
        <f aca="false">IFERROR(INDEX('قائمة الوحدات'!$C$2:$C$41,MATCH($B682,'قائمة الوحدات'!$A$2:$A$41,0)),"")</f>
        <v>الجهاز العسكري</v>
      </c>
      <c r="E682" s="18" t="str">
        <f aca="false">IFERROR(INDEX('قائمة الوحدات'!$D$2:$D$41,MATCH($B682,'قائمة الوحدات'!$A$2:$A$41,0)),"")</f>
        <v>الإدارة العامة للمالية والميزانية العسكرية</v>
      </c>
      <c r="F682" s="18" t="str">
        <f aca="false">IFERROR(INDEX('قائمة الوحدات'!$F$2:$F$41,MATCH($B682,'قائمة الوحدات'!$A$2:$A$41,0)),"")</f>
        <v>الإدارة العامة للمالية والميزانية العسكرية</v>
      </c>
      <c r="G682" s="20" t="s">
        <v>66</v>
      </c>
      <c r="H682" s="18" t="str">
        <f aca="false">IFERROR(INDEX(المرجع!$A$2:$A$19,MATCH($G682,المرجع!$B$2:$B$19,0)),"")</f>
        <v>التشغيل</v>
      </c>
      <c r="I682" s="20" t="s">
        <v>52</v>
      </c>
      <c r="J682" s="18" t="str">
        <f aca="false">IFERROR(INDEX(المرجع!$D$2:$D$19,MATCH($I682,المرجع!$E$2:$E$19,0)),"")</f>
        <v>الحوكمة</v>
      </c>
      <c r="K682" s="19" t="n">
        <f aca="false">IFERROR(INDEX(المرجع!$F$2:$F$19,MATCH($I682,المرجع!$E$2:$E$19,0)),"")</f>
        <v>3</v>
      </c>
      <c r="L682" s="19" t="n">
        <f aca="false">SUMIFS(المرجع!$H$2:$H$19,المرجع!$B$2:$B$19,$G682,المرجع!$E$2:$E$19,$I682)</f>
        <v>3</v>
      </c>
      <c r="M682" s="19" t="n">
        <f aca="false">COUNTIFS('المرتبطة بسمو الوزير'!$B$2:$B$151,$B682,'المرتبطة بسمو الوزير'!$G$2:$G$151,$G682,'المرتبطة بسمو الوزير'!$I$2:$I$151,$I682,'المرتبطة بسمو الوزير'!$M$2:$M$151,"&lt;&gt;")+COUNTIFS('الشؤون التنفيذية'!$B$2:$B$421,$B682,'الشؤون التنفيذية'!$G$2:$G$421,$G682,'الشؤون التنفيذية'!$I$2:$I$421,$I682,'الشؤون التنفيذية'!$N$2:$N$421,"&lt;&gt;")+COUNTIFS('الجهاز العسكري'!$B$2:$B$631,$B682,'الجهاز العسكري'!$G$2:$G$631,$G682,'الجهاز العسكري'!$I$2:$I$631,$I682,'الجهاز العسكري'!$M$2:$M$631,"&lt;&gt;")</f>
        <v>3</v>
      </c>
      <c r="N682" s="24" t="n">
        <f aca="false">IF($L682=0,0,ROUND((SUMIFS('المرتبطة بسمو الوزير'!$M$2:$M$151,'المرتبطة بسمو الوزير'!$B$2:$B$151,$B682,'المرتبطة بسمو الوزير'!$G$2:$G$151,$G682,'المرتبطة بسمو الوزير'!$I$2:$I$151,$I682)+SUMIFS('الشؤون التنفيذية'!$N$2:$N$421,'الشؤون التنفيذية'!$B$2:$B$421,$B682,'الشؤون التنفيذية'!$G$2:$G$421,$G682,'الشؤون التنفيذية'!$I$2:$I$421,$I682)+SUMIFS('الجهاز العسكري'!$M$2:$M$631,'الجهاز العسكري'!$B$2:$B$631,$B682,'الجهاز العسكري'!$G$2:$G$631,$G682,'الجهاز العسكري'!$I$2:$I$631,$I682))/$L682,0))</f>
        <v>60</v>
      </c>
      <c r="O682" s="25" t="n">
        <f aca="false">IF($L682=0,0,ROUND((SUMIFS('المرتبطة بسمو الوزير'!$N$2:$N$151,'المرتبطة بسمو الوزير'!$B$2:$B$151,$B682,'المرتبطة بسمو الوزير'!$G$2:$G$151,$G682,'المرتبطة بسمو الوزير'!$I$2:$I$151,$I682)+SUMIFS('الشؤون التنفيذية'!$O$2:$O$421,'الشؤون التنفيذية'!$B$2:$B$421,$B682,'الشؤون التنفيذية'!$G$2:$G$421,$G682,'الشؤون التنفيذية'!$I$2:$I$421,$I682)+SUMIFS('الجهاز العسكري'!$N$2:$N$631,'الجهاز العسكري'!$B$2:$B$631,$B682,'الجهاز العسكري'!$G$2:$G$631,$G682,'الجهاز العسكري'!$I$2:$I$631,$I682))/$L682,0))</f>
        <v>95</v>
      </c>
      <c r="P682" s="22"/>
      <c r="Q682" s="19" t="n">
        <f aca="false">SUMIFS(المرجع!$G$2:$G$19,المرجع!$B$2:$B$19,$G682,المرجع!$E$2:$E$19,$I682)</f>
        <v>15</v>
      </c>
      <c r="R682" s="26" t="n">
        <f aca="false">ROUND($Q682*$N682/100,2)</f>
        <v>9</v>
      </c>
      <c r="S682" s="27" t="str">
        <f aca="false">IF($N682&gt;المرجع!$K$3,"متقدم",IF($N682&lt;=المرجع!$K$2,"أولي","جزئي"))</f>
        <v>جزئي</v>
      </c>
      <c r="T682" s="28" t="n">
        <f aca="false">ROUND($Q682*$O682/100,2)</f>
        <v>14.25</v>
      </c>
    </row>
    <row r="683" customFormat="false" ht="15" hidden="false" customHeight="true" outlineLevel="0" collapsed="false">
      <c r="A683" s="20" t="s">
        <v>2135</v>
      </c>
      <c r="B683" s="20" t="s">
        <v>232</v>
      </c>
      <c r="C683" s="19" t="str">
        <f aca="false">IFERROR(INDEX('قائمة الوحدات'!$B$2:$B$41,MATCH($B683,'قائمة الوحدات'!$A$2:$A$41,0)),"")</f>
        <v>MIL</v>
      </c>
      <c r="D683" s="18" t="str">
        <f aca="false">IFERROR(INDEX('قائمة الوحدات'!$C$2:$C$41,MATCH($B683,'قائمة الوحدات'!$A$2:$A$41,0)),"")</f>
        <v>الجهاز العسكري</v>
      </c>
      <c r="E683" s="18" t="str">
        <f aca="false">IFERROR(INDEX('قائمة الوحدات'!$D$2:$D$41,MATCH($B683,'قائمة الوحدات'!$A$2:$A$41,0)),"")</f>
        <v>الإدارة العامة للمالية والميزانية العسكرية</v>
      </c>
      <c r="F683" s="18" t="str">
        <f aca="false">IFERROR(INDEX('قائمة الوحدات'!$F$2:$F$41,MATCH($B683,'قائمة الوحدات'!$A$2:$A$41,0)),"")</f>
        <v>الإدارة العامة للمالية والميزانية العسكرية</v>
      </c>
      <c r="G683" s="20" t="s">
        <v>66</v>
      </c>
      <c r="H683" s="18" t="str">
        <f aca="false">IFERROR(INDEX(المرجع!$A$2:$A$19,MATCH($G683,المرجع!$B$2:$B$19,0)),"")</f>
        <v>التشغيل</v>
      </c>
      <c r="I683" s="20" t="s">
        <v>57</v>
      </c>
      <c r="J683" s="18" t="str">
        <f aca="false">IFERROR(INDEX(المرجع!$D$2:$D$19,MATCH($I683,المرجع!$E$2:$E$19,0)),"")</f>
        <v>الموارد</v>
      </c>
      <c r="K683" s="19" t="n">
        <f aca="false">IFERROR(INDEX(المرجع!$F$2:$F$19,MATCH($I683,المرجع!$E$2:$E$19,0)),"")</f>
        <v>5</v>
      </c>
      <c r="L683" s="19" t="n">
        <f aca="false">SUMIFS(المرجع!$H$2:$H$19,المرجع!$B$2:$B$19,$G683,المرجع!$E$2:$E$19,$I683)</f>
        <v>1</v>
      </c>
      <c r="M683" s="19" t="n">
        <f aca="false">COUNTIFS('المرتبطة بسمو الوزير'!$B$2:$B$151,$B683,'المرتبطة بسمو الوزير'!$G$2:$G$151,$G683,'المرتبطة بسمو الوزير'!$I$2:$I$151,$I683,'المرتبطة بسمو الوزير'!$M$2:$M$151,"&lt;&gt;")+COUNTIFS('الشؤون التنفيذية'!$B$2:$B$421,$B683,'الشؤون التنفيذية'!$G$2:$G$421,$G683,'الشؤون التنفيذية'!$I$2:$I$421,$I683,'الشؤون التنفيذية'!$N$2:$N$421,"&lt;&gt;")+COUNTIFS('الجهاز العسكري'!$B$2:$B$631,$B683,'الجهاز العسكري'!$G$2:$G$631,$G683,'الجهاز العسكري'!$I$2:$I$631,$I683,'الجهاز العسكري'!$M$2:$M$631,"&lt;&gt;")</f>
        <v>1</v>
      </c>
      <c r="N683" s="24" t="n">
        <f aca="false">IF($L683=0,0,ROUND((SUMIFS('المرتبطة بسمو الوزير'!$M$2:$M$151,'المرتبطة بسمو الوزير'!$B$2:$B$151,$B683,'المرتبطة بسمو الوزير'!$G$2:$G$151,$G683,'المرتبطة بسمو الوزير'!$I$2:$I$151,$I683)+SUMIFS('الشؤون التنفيذية'!$N$2:$N$421,'الشؤون التنفيذية'!$B$2:$B$421,$B683,'الشؤون التنفيذية'!$G$2:$G$421,$G683,'الشؤون التنفيذية'!$I$2:$I$421,$I683)+SUMIFS('الجهاز العسكري'!$M$2:$M$631,'الجهاز العسكري'!$B$2:$B$631,$B683,'الجهاز العسكري'!$G$2:$G$631,$G683,'الجهاز العسكري'!$I$2:$I$631,$I683))/$L683,0))</f>
        <v>37</v>
      </c>
      <c r="O683" s="25" t="n">
        <f aca="false">IF($L683=0,0,ROUND((SUMIFS('المرتبطة بسمو الوزير'!$N$2:$N$151,'المرتبطة بسمو الوزير'!$B$2:$B$151,$B683,'المرتبطة بسمو الوزير'!$G$2:$G$151,$G683,'المرتبطة بسمو الوزير'!$I$2:$I$151,$I683)+SUMIFS('الشؤون التنفيذية'!$O$2:$O$421,'الشؤون التنفيذية'!$B$2:$B$421,$B683,'الشؤون التنفيذية'!$G$2:$G$421,$G683,'الشؤون التنفيذية'!$I$2:$I$421,$I683)+SUMIFS('الجهاز العسكري'!$N$2:$N$631,'الجهاز العسكري'!$B$2:$B$631,$B683,'الجهاز العسكري'!$G$2:$G$631,$G683,'الجهاز العسكري'!$I$2:$I$631,$I683))/$L683,0))</f>
        <v>80</v>
      </c>
      <c r="P683" s="22"/>
      <c r="Q683" s="19" t="n">
        <f aca="false">SUMIFS(المرجع!$G$2:$G$19,المرجع!$B$2:$B$19,$G683,المرجع!$E$2:$E$19,$I683)</f>
        <v>15</v>
      </c>
      <c r="R683" s="26" t="n">
        <f aca="false">ROUND($Q683*$N683/100,2)</f>
        <v>5.55</v>
      </c>
      <c r="S683" s="27" t="str">
        <f aca="false">IF($N683&gt;المرجع!$K$3,"متقدم",IF($N683&lt;=المرجع!$K$2,"أولي","جزئي"))</f>
        <v>جزئي</v>
      </c>
      <c r="T683" s="28" t="n">
        <f aca="false">ROUND($Q683*$O683/100,2)</f>
        <v>12</v>
      </c>
    </row>
    <row r="684" customFormat="false" ht="15" hidden="false" customHeight="true" outlineLevel="0" collapsed="false">
      <c r="A684" s="20" t="s">
        <v>2136</v>
      </c>
      <c r="B684" s="20" t="s">
        <v>232</v>
      </c>
      <c r="C684" s="19" t="str">
        <f aca="false">IFERROR(INDEX('قائمة الوحدات'!$B$2:$B$41,MATCH($B684,'قائمة الوحدات'!$A$2:$A$41,0)),"")</f>
        <v>MIL</v>
      </c>
      <c r="D684" s="18" t="str">
        <f aca="false">IFERROR(INDEX('قائمة الوحدات'!$C$2:$C$41,MATCH($B684,'قائمة الوحدات'!$A$2:$A$41,0)),"")</f>
        <v>الجهاز العسكري</v>
      </c>
      <c r="E684" s="18" t="str">
        <f aca="false">IFERROR(INDEX('قائمة الوحدات'!$D$2:$D$41,MATCH($B684,'قائمة الوحدات'!$A$2:$A$41,0)),"")</f>
        <v>الإدارة العامة للمالية والميزانية العسكرية</v>
      </c>
      <c r="F684" s="18" t="str">
        <f aca="false">IFERROR(INDEX('قائمة الوحدات'!$F$2:$F$41,MATCH($B684,'قائمة الوحدات'!$A$2:$A$41,0)),"")</f>
        <v>الإدارة العامة للمالية والميزانية العسكرية</v>
      </c>
      <c r="G684" s="20" t="s">
        <v>66</v>
      </c>
      <c r="H684" s="18" t="str">
        <f aca="false">IFERROR(INDEX(المرجع!$A$2:$A$19,MATCH($G684,المرجع!$B$2:$B$19,0)),"")</f>
        <v>التشغيل</v>
      </c>
      <c r="I684" s="20" t="s">
        <v>60</v>
      </c>
      <c r="J684" s="18" t="str">
        <f aca="false">IFERROR(INDEX(المرجع!$D$2:$D$19,MATCH($I684,المرجع!$E$2:$E$19,0)),"")</f>
        <v>الإجراءات</v>
      </c>
      <c r="K684" s="19" t="n">
        <f aca="false">IFERROR(INDEX(المرجع!$F$2:$F$19,MATCH($I684,المرجع!$E$2:$E$19,0)),"")</f>
        <v>6</v>
      </c>
      <c r="L684" s="19" t="n">
        <f aca="false">SUMIFS(المرجع!$H$2:$H$19,المرجع!$B$2:$B$19,$G684,المرجع!$E$2:$E$19,$I684)</f>
        <v>1</v>
      </c>
      <c r="M684" s="19" t="n">
        <f aca="false">COUNTIFS('المرتبطة بسمو الوزير'!$B$2:$B$151,$B684,'المرتبطة بسمو الوزير'!$G$2:$G$151,$G684,'المرتبطة بسمو الوزير'!$I$2:$I$151,$I684,'المرتبطة بسمو الوزير'!$M$2:$M$151,"&lt;&gt;")+COUNTIFS('الشؤون التنفيذية'!$B$2:$B$421,$B684,'الشؤون التنفيذية'!$G$2:$G$421,$G684,'الشؤون التنفيذية'!$I$2:$I$421,$I684,'الشؤون التنفيذية'!$N$2:$N$421,"&lt;&gt;")+COUNTIFS('الجهاز العسكري'!$B$2:$B$631,$B684,'الجهاز العسكري'!$G$2:$G$631,$G684,'الجهاز العسكري'!$I$2:$I$631,$I684,'الجهاز العسكري'!$M$2:$M$631,"&lt;&gt;")</f>
        <v>1</v>
      </c>
      <c r="N684" s="24" t="n">
        <f aca="false">IF($L684=0,0,ROUND((SUMIFS('المرتبطة بسمو الوزير'!$M$2:$M$151,'المرتبطة بسمو الوزير'!$B$2:$B$151,$B684,'المرتبطة بسمو الوزير'!$G$2:$G$151,$G684,'المرتبطة بسمو الوزير'!$I$2:$I$151,$I684)+SUMIFS('الشؤون التنفيذية'!$N$2:$N$421,'الشؤون التنفيذية'!$B$2:$B$421,$B684,'الشؤون التنفيذية'!$G$2:$G$421,$G684,'الشؤون التنفيذية'!$I$2:$I$421,$I684)+SUMIFS('الجهاز العسكري'!$M$2:$M$631,'الجهاز العسكري'!$B$2:$B$631,$B684,'الجهاز العسكري'!$G$2:$G$631,$G684,'الجهاز العسكري'!$I$2:$I$631,$I684))/$L684,0))</f>
        <v>34</v>
      </c>
      <c r="O684" s="25" t="n">
        <f aca="false">IF($L684=0,0,ROUND((SUMIFS('المرتبطة بسمو الوزير'!$N$2:$N$151,'المرتبطة بسمو الوزير'!$B$2:$B$151,$B684,'المرتبطة بسمو الوزير'!$G$2:$G$151,$G684,'المرتبطة بسمو الوزير'!$I$2:$I$151,$I684)+SUMIFS('الشؤون التنفيذية'!$O$2:$O$421,'الشؤون التنفيذية'!$B$2:$B$421,$B684,'الشؤون التنفيذية'!$G$2:$G$421,$G684,'الشؤون التنفيذية'!$I$2:$I$421,$I684)+SUMIFS('الجهاز العسكري'!$N$2:$N$631,'الجهاز العسكري'!$B$2:$B$631,$B684,'الجهاز العسكري'!$G$2:$G$631,$G684,'الجهاز العسكري'!$I$2:$I$631,$I684))/$L684,0))</f>
        <v>100</v>
      </c>
      <c r="P684" s="22"/>
      <c r="Q684" s="19" t="n">
        <f aca="false">SUMIFS(المرجع!$G$2:$G$19,المرجع!$B$2:$B$19,$G684,المرجع!$E$2:$E$19,$I684)</f>
        <v>15</v>
      </c>
      <c r="R684" s="26" t="n">
        <f aca="false">ROUND($Q684*$N684/100,2)</f>
        <v>5.1</v>
      </c>
      <c r="S684" s="27" t="str">
        <f aca="false">IF($N684&gt;المرجع!$K$3,"متقدم",IF($N684&lt;=المرجع!$K$2,"أولي","جزئي"))</f>
        <v>جزئي</v>
      </c>
      <c r="T684" s="28" t="n">
        <f aca="false">ROUND($Q684*$O684/100,2)</f>
        <v>15</v>
      </c>
    </row>
    <row r="685" customFormat="false" ht="15" hidden="false" customHeight="true" outlineLevel="0" collapsed="false">
      <c r="A685" s="20" t="s">
        <v>2137</v>
      </c>
      <c r="B685" s="20" t="s">
        <v>232</v>
      </c>
      <c r="C685" s="19" t="str">
        <f aca="false">IFERROR(INDEX('قائمة الوحدات'!$B$2:$B$41,MATCH($B685,'قائمة الوحدات'!$A$2:$A$41,0)),"")</f>
        <v>MIL</v>
      </c>
      <c r="D685" s="18" t="str">
        <f aca="false">IFERROR(INDEX('قائمة الوحدات'!$C$2:$C$41,MATCH($B685,'قائمة الوحدات'!$A$2:$A$41,0)),"")</f>
        <v>الجهاز العسكري</v>
      </c>
      <c r="E685" s="18" t="str">
        <f aca="false">IFERROR(INDEX('قائمة الوحدات'!$D$2:$D$41,MATCH($B685,'قائمة الوحدات'!$A$2:$A$41,0)),"")</f>
        <v>الإدارة العامة للمالية والميزانية العسكرية</v>
      </c>
      <c r="F685" s="18" t="str">
        <f aca="false">IFERROR(INDEX('قائمة الوحدات'!$F$2:$F$41,MATCH($B685,'قائمة الوحدات'!$A$2:$A$41,0)),"")</f>
        <v>الإدارة العامة للمالية والميزانية العسكرية</v>
      </c>
      <c r="G685" s="20" t="s">
        <v>66</v>
      </c>
      <c r="H685" s="18" t="str">
        <f aca="false">IFERROR(INDEX(المرجع!$A$2:$A$19,MATCH($G685,المرجع!$B$2:$B$19,0)),"")</f>
        <v>التشغيل</v>
      </c>
      <c r="I685" s="20" t="s">
        <v>71</v>
      </c>
      <c r="J685" s="18" t="str">
        <f aca="false">IFERROR(INDEX(المرجع!$D$2:$D$19,MATCH($I685,المرجع!$E$2:$E$19,0)),"")</f>
        <v>اكتمال المخرجات المستهدفة</v>
      </c>
      <c r="K685" s="19" t="n">
        <f aca="false">IFERROR(INDEX(المرجع!$F$2:$F$19,MATCH($I685,المرجع!$E$2:$E$19,0)),"")</f>
        <v>8</v>
      </c>
      <c r="L685" s="19" t="n">
        <f aca="false">SUMIFS(المرجع!$H$2:$H$19,المرجع!$B$2:$B$19,$G685,المرجع!$E$2:$E$19,$I685)</f>
        <v>1</v>
      </c>
      <c r="M685" s="19" t="n">
        <f aca="false">COUNTIFS('المرتبطة بسمو الوزير'!$B$2:$B$151,$B685,'المرتبطة بسمو الوزير'!$G$2:$G$151,$G685,'المرتبطة بسمو الوزير'!$I$2:$I$151,$I685,'المرتبطة بسمو الوزير'!$M$2:$M$151,"&lt;&gt;")+COUNTIFS('الشؤون التنفيذية'!$B$2:$B$421,$B685,'الشؤون التنفيذية'!$G$2:$G$421,$G685,'الشؤون التنفيذية'!$I$2:$I$421,$I685,'الشؤون التنفيذية'!$N$2:$N$421,"&lt;&gt;")+COUNTIFS('الجهاز العسكري'!$B$2:$B$631,$B685,'الجهاز العسكري'!$G$2:$G$631,$G685,'الجهاز العسكري'!$I$2:$I$631,$I685,'الجهاز العسكري'!$M$2:$M$631,"&lt;&gt;")</f>
        <v>1</v>
      </c>
      <c r="N685" s="24" t="n">
        <f aca="false">IF($L685=0,0,ROUND((SUMIFS('المرتبطة بسمو الوزير'!$M$2:$M$151,'المرتبطة بسمو الوزير'!$B$2:$B$151,$B685,'المرتبطة بسمو الوزير'!$G$2:$G$151,$G685,'المرتبطة بسمو الوزير'!$I$2:$I$151,$I685)+SUMIFS('الشؤون التنفيذية'!$N$2:$N$421,'الشؤون التنفيذية'!$B$2:$B$421,$B685,'الشؤون التنفيذية'!$G$2:$G$421,$G685,'الشؤون التنفيذية'!$I$2:$I$421,$I685)+SUMIFS('الجهاز العسكري'!$M$2:$M$631,'الجهاز العسكري'!$B$2:$B$631,$B685,'الجهاز العسكري'!$G$2:$G$631,$G685,'الجهاز العسكري'!$I$2:$I$631,$I685))/$L685,0))</f>
        <v>32</v>
      </c>
      <c r="O685" s="25" t="n">
        <f aca="false">IF($L685=0,0,ROUND((SUMIFS('المرتبطة بسمو الوزير'!$N$2:$N$151,'المرتبطة بسمو الوزير'!$B$2:$B$151,$B685,'المرتبطة بسمو الوزير'!$G$2:$G$151,$G685,'المرتبطة بسمو الوزير'!$I$2:$I$151,$I685)+SUMIFS('الشؤون التنفيذية'!$O$2:$O$421,'الشؤون التنفيذية'!$B$2:$B$421,$B685,'الشؤون التنفيذية'!$G$2:$G$421,$G685,'الشؤون التنفيذية'!$I$2:$I$421,$I685)+SUMIFS('الجهاز العسكري'!$N$2:$N$631,'الجهاز العسكري'!$B$2:$B$631,$B685,'الجهاز العسكري'!$G$2:$G$631,$G685,'الجهاز العسكري'!$I$2:$I$631,$I685))/$L685,0))</f>
        <v>100</v>
      </c>
      <c r="P685" s="22"/>
      <c r="Q685" s="19" t="n">
        <f aca="false">SUMIFS(المرجع!$G$2:$G$19,المرجع!$B$2:$B$19,$G685,المرجع!$E$2:$E$19,$I685)</f>
        <v>30</v>
      </c>
      <c r="R685" s="26" t="n">
        <f aca="false">ROUND($Q685*$N685/100,2)</f>
        <v>9.6</v>
      </c>
      <c r="S685" s="27" t="str">
        <f aca="false">IF($N685&gt;المرجع!$K$3,"متقدم",IF($N685&lt;=المرجع!$K$2,"أولي","جزئي"))</f>
        <v>جزئي</v>
      </c>
      <c r="T685" s="28" t="n">
        <f aca="false">ROUND($Q685*$O685/100,2)</f>
        <v>30</v>
      </c>
    </row>
    <row r="686" customFormat="false" ht="15" hidden="false" customHeight="true" outlineLevel="0" collapsed="false">
      <c r="A686" s="20" t="s">
        <v>2138</v>
      </c>
      <c r="B686" s="20" t="s">
        <v>234</v>
      </c>
      <c r="C686" s="19" t="str">
        <f aca="false">IFERROR(INDEX('قائمة الوحدات'!$B$2:$B$41,MATCH($B686,'قائمة الوحدات'!$A$2:$A$41,0)),"")</f>
        <v>MIL</v>
      </c>
      <c r="D686" s="18" t="str">
        <f aca="false">IFERROR(INDEX('قائمة الوحدات'!$C$2:$C$41,MATCH($B686,'قائمة الوحدات'!$A$2:$A$41,0)),"")</f>
        <v>الجهاز العسكري</v>
      </c>
      <c r="E686" s="18" t="str">
        <f aca="false">IFERROR(INDEX('قائمة الوحدات'!$D$2:$D$41,MATCH($B686,'قائمة الوحدات'!$A$2:$A$41,0)),"")</f>
        <v>الإدارة العامة للعلاقات العامة والإعلام العسكري</v>
      </c>
      <c r="F686" s="18" t="str">
        <f aca="false">IFERROR(INDEX('قائمة الوحدات'!$F$2:$F$41,MATCH($B686,'قائمة الوحدات'!$A$2:$A$41,0)),"")</f>
        <v>الإدارة العامة للعلاقات العامة والإعلام العسكري</v>
      </c>
      <c r="G686" s="20" t="s">
        <v>44</v>
      </c>
      <c r="H686" s="18" t="str">
        <f aca="false">IFERROR(INDEX(المرجع!$A$2:$A$19,MATCH($G686,المرجع!$B$2:$B$19,0)),"")</f>
        <v>التصميم</v>
      </c>
      <c r="I686" s="20" t="s">
        <v>46</v>
      </c>
      <c r="J686" s="18" t="str">
        <f aca="false">IFERROR(INDEX(المرجع!$D$2:$D$19,MATCH($I686,المرجع!$E$2:$E$19,0)),"")</f>
        <v>الدور</v>
      </c>
      <c r="K686" s="19" t="n">
        <f aca="false">IFERROR(INDEX(المرجع!$F$2:$F$19,MATCH($I686,المرجع!$E$2:$E$19,0)),"")</f>
        <v>1</v>
      </c>
      <c r="L686" s="19" t="n">
        <f aca="false">SUMIFS(المرجع!$H$2:$H$19,المرجع!$B$2:$B$19,$G686,المرجع!$E$2:$E$19,$I686)</f>
        <v>1</v>
      </c>
      <c r="M686" s="19" t="n">
        <f aca="false">COUNTIFS('المرتبطة بسمو الوزير'!$B$2:$B$151,$B686,'المرتبطة بسمو الوزير'!$G$2:$G$151,$G686,'المرتبطة بسمو الوزير'!$I$2:$I$151,$I686,'المرتبطة بسمو الوزير'!$M$2:$M$151,"&lt;&gt;")+COUNTIFS('الشؤون التنفيذية'!$B$2:$B$421,$B686,'الشؤون التنفيذية'!$G$2:$G$421,$G686,'الشؤون التنفيذية'!$I$2:$I$421,$I686,'الشؤون التنفيذية'!$N$2:$N$421,"&lt;&gt;")+COUNTIFS('الجهاز العسكري'!$B$2:$B$631,$B686,'الجهاز العسكري'!$G$2:$G$631,$G686,'الجهاز العسكري'!$I$2:$I$631,$I686,'الجهاز العسكري'!$M$2:$M$631,"&lt;&gt;")</f>
        <v>1</v>
      </c>
      <c r="N686" s="24" t="n">
        <f aca="false">IF($L686=0,0,ROUND((SUMIFS('المرتبطة بسمو الوزير'!$M$2:$M$151,'المرتبطة بسمو الوزير'!$B$2:$B$151,$B686,'المرتبطة بسمو الوزير'!$G$2:$G$151,$G686,'المرتبطة بسمو الوزير'!$I$2:$I$151,$I686)+SUMIFS('الشؤون التنفيذية'!$N$2:$N$421,'الشؤون التنفيذية'!$B$2:$B$421,$B686,'الشؤون التنفيذية'!$G$2:$G$421,$G686,'الشؤون التنفيذية'!$I$2:$I$421,$I686)+SUMIFS('الجهاز العسكري'!$M$2:$M$631,'الجهاز العسكري'!$B$2:$B$631,$B686,'الجهاز العسكري'!$G$2:$G$631,$G686,'الجهاز العسكري'!$I$2:$I$631,$I686))/$L686,0))</f>
        <v>71</v>
      </c>
      <c r="O686" s="25" t="n">
        <f aca="false">IF($L686=0,0,ROUND((SUMIFS('المرتبطة بسمو الوزير'!$N$2:$N$151,'المرتبطة بسمو الوزير'!$B$2:$B$151,$B686,'المرتبطة بسمو الوزير'!$G$2:$G$151,$G686,'المرتبطة بسمو الوزير'!$I$2:$I$151,$I686)+SUMIFS('الشؤون التنفيذية'!$O$2:$O$421,'الشؤون التنفيذية'!$B$2:$B$421,$B686,'الشؤون التنفيذية'!$G$2:$G$421,$G686,'الشؤون التنفيذية'!$I$2:$I$421,$I686)+SUMIFS('الجهاز العسكري'!$N$2:$N$631,'الجهاز العسكري'!$B$2:$B$631,$B686,'الجهاز العسكري'!$G$2:$G$631,$G686,'الجهاز العسكري'!$I$2:$I$631,$I686))/$L686,0))</f>
        <v>100</v>
      </c>
      <c r="P686" s="22"/>
      <c r="Q686" s="19" t="n">
        <f aca="false">SUMIFS(المرجع!$G$2:$G$19,المرجع!$B$2:$B$19,$G686,المرجع!$E$2:$E$19,$I686)</f>
        <v>25</v>
      </c>
      <c r="R686" s="26" t="n">
        <f aca="false">ROUND($Q686*$N686/100,2)</f>
        <v>17.75</v>
      </c>
      <c r="S686" s="27" t="str">
        <f aca="false">IF($N686&gt;المرجع!$K$3,"متقدم",IF($N686&lt;=المرجع!$K$2,"أولي","جزئي"))</f>
        <v>متقدم</v>
      </c>
      <c r="T686" s="28" t="n">
        <f aca="false">ROUND($Q686*$O686/100,2)</f>
        <v>25</v>
      </c>
    </row>
    <row r="687" customFormat="false" ht="15" hidden="false" customHeight="true" outlineLevel="0" collapsed="false">
      <c r="A687" s="20" t="s">
        <v>2139</v>
      </c>
      <c r="B687" s="20" t="s">
        <v>234</v>
      </c>
      <c r="C687" s="19" t="str">
        <f aca="false">IFERROR(INDEX('قائمة الوحدات'!$B$2:$B$41,MATCH($B687,'قائمة الوحدات'!$A$2:$A$41,0)),"")</f>
        <v>MIL</v>
      </c>
      <c r="D687" s="18" t="str">
        <f aca="false">IFERROR(INDEX('قائمة الوحدات'!$C$2:$C$41,MATCH($B687,'قائمة الوحدات'!$A$2:$A$41,0)),"")</f>
        <v>الجهاز العسكري</v>
      </c>
      <c r="E687" s="18" t="str">
        <f aca="false">IFERROR(INDEX('قائمة الوحدات'!$D$2:$D$41,MATCH($B687,'قائمة الوحدات'!$A$2:$A$41,0)),"")</f>
        <v>الإدارة العامة للعلاقات العامة والإعلام العسكري</v>
      </c>
      <c r="F687" s="18" t="str">
        <f aca="false">IFERROR(INDEX('قائمة الوحدات'!$F$2:$F$41,MATCH($B687,'قائمة الوحدات'!$A$2:$A$41,0)),"")</f>
        <v>الإدارة العامة للعلاقات العامة والإعلام العسكري</v>
      </c>
      <c r="G687" s="20" t="s">
        <v>44</v>
      </c>
      <c r="H687" s="18" t="str">
        <f aca="false">IFERROR(INDEX(المرجع!$A$2:$A$19,MATCH($G687,المرجع!$B$2:$B$19,0)),"")</f>
        <v>التصميم</v>
      </c>
      <c r="I687" s="20" t="s">
        <v>49</v>
      </c>
      <c r="J687" s="18" t="str">
        <f aca="false">IFERROR(INDEX(المرجع!$D$2:$D$19,MATCH($I687,المرجع!$E$2:$E$19,0)),"")</f>
        <v>الأهداف ومؤشرات الأداء</v>
      </c>
      <c r="K687" s="19" t="n">
        <f aca="false">IFERROR(INDEX(المرجع!$F$2:$F$19,MATCH($I687,المرجع!$E$2:$E$19,0)),"")</f>
        <v>2</v>
      </c>
      <c r="L687" s="19" t="n">
        <f aca="false">SUMIFS(المرجع!$H$2:$H$19,المرجع!$B$2:$B$19,$G687,المرجع!$E$2:$E$19,$I687)</f>
        <v>2</v>
      </c>
      <c r="M687" s="19" t="n">
        <f aca="false">COUNTIFS('المرتبطة بسمو الوزير'!$B$2:$B$151,$B687,'المرتبطة بسمو الوزير'!$G$2:$G$151,$G687,'المرتبطة بسمو الوزير'!$I$2:$I$151,$I687,'المرتبطة بسمو الوزير'!$M$2:$M$151,"&lt;&gt;")+COUNTIFS('الشؤون التنفيذية'!$B$2:$B$421,$B687,'الشؤون التنفيذية'!$G$2:$G$421,$G687,'الشؤون التنفيذية'!$I$2:$I$421,$I687,'الشؤون التنفيذية'!$N$2:$N$421,"&lt;&gt;")+COUNTIFS('الجهاز العسكري'!$B$2:$B$631,$B687,'الجهاز العسكري'!$G$2:$G$631,$G687,'الجهاز العسكري'!$I$2:$I$631,$I687,'الجهاز العسكري'!$M$2:$M$631,"&lt;&gt;")</f>
        <v>2</v>
      </c>
      <c r="N687" s="24" t="n">
        <f aca="false">IF($L687=0,0,ROUND((SUMIFS('المرتبطة بسمو الوزير'!$M$2:$M$151,'المرتبطة بسمو الوزير'!$B$2:$B$151,$B687,'المرتبطة بسمو الوزير'!$G$2:$G$151,$G687,'المرتبطة بسمو الوزير'!$I$2:$I$151,$I687)+SUMIFS('الشؤون التنفيذية'!$N$2:$N$421,'الشؤون التنفيذية'!$B$2:$B$421,$B687,'الشؤون التنفيذية'!$G$2:$G$421,$G687,'الشؤون التنفيذية'!$I$2:$I$421,$I687)+SUMIFS('الجهاز العسكري'!$M$2:$M$631,'الجهاز العسكري'!$B$2:$B$631,$B687,'الجهاز العسكري'!$G$2:$G$631,$G687,'الجهاز العسكري'!$I$2:$I$631,$I687))/$L687,0))</f>
        <v>70</v>
      </c>
      <c r="O687" s="25" t="n">
        <f aca="false">IF($L687=0,0,ROUND((SUMIFS('المرتبطة بسمو الوزير'!$N$2:$N$151,'المرتبطة بسمو الوزير'!$B$2:$B$151,$B687,'المرتبطة بسمو الوزير'!$G$2:$G$151,$G687,'المرتبطة بسمو الوزير'!$I$2:$I$151,$I687)+SUMIFS('الشؤون التنفيذية'!$O$2:$O$421,'الشؤون التنفيذية'!$B$2:$B$421,$B687,'الشؤون التنفيذية'!$G$2:$G$421,$G687,'الشؤون التنفيذية'!$I$2:$I$421,$I687)+SUMIFS('الجهاز العسكري'!$N$2:$N$631,'الجهاز العسكري'!$B$2:$B$631,$B687,'الجهاز العسكري'!$G$2:$G$631,$G687,'الجهاز العسكري'!$I$2:$I$631,$I687))/$L687,0))</f>
        <v>100</v>
      </c>
      <c r="P687" s="22"/>
      <c r="Q687" s="19" t="n">
        <f aca="false">SUMIFS(المرجع!$G$2:$G$19,المرجع!$B$2:$B$19,$G687,المرجع!$E$2:$E$19,$I687)</f>
        <v>15</v>
      </c>
      <c r="R687" s="26" t="n">
        <f aca="false">ROUND($Q687*$N687/100,2)</f>
        <v>10.5</v>
      </c>
      <c r="S687" s="27" t="str">
        <f aca="false">IF($N687&gt;المرجع!$K$3,"متقدم",IF($N687&lt;=المرجع!$K$2,"أولي","جزئي"))</f>
        <v>جزئي</v>
      </c>
      <c r="T687" s="28" t="n">
        <f aca="false">ROUND($Q687*$O687/100,2)</f>
        <v>15</v>
      </c>
    </row>
    <row r="688" customFormat="false" ht="15" hidden="false" customHeight="true" outlineLevel="0" collapsed="false">
      <c r="A688" s="20" t="s">
        <v>2140</v>
      </c>
      <c r="B688" s="20" t="s">
        <v>234</v>
      </c>
      <c r="C688" s="19" t="str">
        <f aca="false">IFERROR(INDEX('قائمة الوحدات'!$B$2:$B$41,MATCH($B688,'قائمة الوحدات'!$A$2:$A$41,0)),"")</f>
        <v>MIL</v>
      </c>
      <c r="D688" s="18" t="str">
        <f aca="false">IFERROR(INDEX('قائمة الوحدات'!$C$2:$C$41,MATCH($B688,'قائمة الوحدات'!$A$2:$A$41,0)),"")</f>
        <v>الجهاز العسكري</v>
      </c>
      <c r="E688" s="18" t="str">
        <f aca="false">IFERROR(INDEX('قائمة الوحدات'!$D$2:$D$41,MATCH($B688,'قائمة الوحدات'!$A$2:$A$41,0)),"")</f>
        <v>الإدارة العامة للعلاقات العامة والإعلام العسكري</v>
      </c>
      <c r="F688" s="18" t="str">
        <f aca="false">IFERROR(INDEX('قائمة الوحدات'!$F$2:$F$41,MATCH($B688,'قائمة الوحدات'!$A$2:$A$41,0)),"")</f>
        <v>الإدارة العامة للعلاقات العامة والإعلام العسكري</v>
      </c>
      <c r="G688" s="20" t="s">
        <v>44</v>
      </c>
      <c r="H688" s="18" t="str">
        <f aca="false">IFERROR(INDEX(المرجع!$A$2:$A$19,MATCH($G688,المرجع!$B$2:$B$19,0)),"")</f>
        <v>التصميم</v>
      </c>
      <c r="I688" s="20" t="s">
        <v>52</v>
      </c>
      <c r="J688" s="18" t="str">
        <f aca="false">IFERROR(INDEX(المرجع!$D$2:$D$19,MATCH($I688,المرجع!$E$2:$E$19,0)),"")</f>
        <v>الحوكمة</v>
      </c>
      <c r="K688" s="19" t="n">
        <f aca="false">IFERROR(INDEX(المرجع!$F$2:$F$19,MATCH($I688,المرجع!$E$2:$E$19,0)),"")</f>
        <v>3</v>
      </c>
      <c r="L688" s="19" t="n">
        <f aca="false">SUMIFS(المرجع!$H$2:$H$19,المرجع!$B$2:$B$19,$G688,المرجع!$E$2:$E$19,$I688)</f>
        <v>1</v>
      </c>
      <c r="M688" s="19" t="n">
        <f aca="false">COUNTIFS('المرتبطة بسمو الوزير'!$B$2:$B$151,$B688,'المرتبطة بسمو الوزير'!$G$2:$G$151,$G688,'المرتبطة بسمو الوزير'!$I$2:$I$151,$I688,'المرتبطة بسمو الوزير'!$M$2:$M$151,"&lt;&gt;")+COUNTIFS('الشؤون التنفيذية'!$B$2:$B$421,$B688,'الشؤون التنفيذية'!$G$2:$G$421,$G688,'الشؤون التنفيذية'!$I$2:$I$421,$I688,'الشؤون التنفيذية'!$N$2:$N$421,"&lt;&gt;")+COUNTIFS('الجهاز العسكري'!$B$2:$B$631,$B688,'الجهاز العسكري'!$G$2:$G$631,$G688,'الجهاز العسكري'!$I$2:$I$631,$I688,'الجهاز العسكري'!$M$2:$M$631,"&lt;&gt;")</f>
        <v>1</v>
      </c>
      <c r="N688" s="24" t="n">
        <f aca="false">IF($L688=0,0,ROUND((SUMIFS('المرتبطة بسمو الوزير'!$M$2:$M$151,'المرتبطة بسمو الوزير'!$B$2:$B$151,$B688,'المرتبطة بسمو الوزير'!$G$2:$G$151,$G688,'المرتبطة بسمو الوزير'!$I$2:$I$151,$I688)+SUMIFS('الشؤون التنفيذية'!$N$2:$N$421,'الشؤون التنفيذية'!$B$2:$B$421,$B688,'الشؤون التنفيذية'!$G$2:$G$421,$G688,'الشؤون التنفيذية'!$I$2:$I$421,$I688)+SUMIFS('الجهاز العسكري'!$M$2:$M$631,'الجهاز العسكري'!$B$2:$B$631,$B688,'الجهاز العسكري'!$G$2:$G$631,$G688,'الجهاز العسكري'!$I$2:$I$631,$I688))/$L688,0))</f>
        <v>81</v>
      </c>
      <c r="O688" s="25" t="n">
        <f aca="false">IF($L688=0,0,ROUND((SUMIFS('المرتبطة بسمو الوزير'!$N$2:$N$151,'المرتبطة بسمو الوزير'!$B$2:$B$151,$B688,'المرتبطة بسمو الوزير'!$G$2:$G$151,$G688,'المرتبطة بسمو الوزير'!$I$2:$I$151,$I688)+SUMIFS('الشؤون التنفيذية'!$O$2:$O$421,'الشؤون التنفيذية'!$B$2:$B$421,$B688,'الشؤون التنفيذية'!$G$2:$G$421,$G688,'الشؤون التنفيذية'!$I$2:$I$421,$I688)+SUMIFS('الجهاز العسكري'!$N$2:$N$631,'الجهاز العسكري'!$B$2:$B$631,$B688,'الجهاز العسكري'!$G$2:$G$631,$G688,'الجهاز العسكري'!$I$2:$I$631,$I688))/$L688,0))</f>
        <v>100</v>
      </c>
      <c r="P688" s="22"/>
      <c r="Q688" s="19" t="n">
        <f aca="false">SUMIFS(المرجع!$G$2:$G$19,المرجع!$B$2:$B$19,$G688,المرجع!$E$2:$E$19,$I688)</f>
        <v>15</v>
      </c>
      <c r="R688" s="26" t="n">
        <f aca="false">ROUND($Q688*$N688/100,2)</f>
        <v>12.15</v>
      </c>
      <c r="S688" s="27" t="str">
        <f aca="false">IF($N688&gt;المرجع!$K$3,"متقدم",IF($N688&lt;=المرجع!$K$2,"أولي","جزئي"))</f>
        <v>متقدم</v>
      </c>
      <c r="T688" s="28" t="n">
        <f aca="false">ROUND($Q688*$O688/100,2)</f>
        <v>15</v>
      </c>
    </row>
    <row r="689" customFormat="false" ht="15" hidden="false" customHeight="true" outlineLevel="0" collapsed="false">
      <c r="A689" s="20" t="s">
        <v>2141</v>
      </c>
      <c r="B689" s="20" t="s">
        <v>234</v>
      </c>
      <c r="C689" s="19" t="str">
        <f aca="false">IFERROR(INDEX('قائمة الوحدات'!$B$2:$B$41,MATCH($B689,'قائمة الوحدات'!$A$2:$A$41,0)),"")</f>
        <v>MIL</v>
      </c>
      <c r="D689" s="18" t="str">
        <f aca="false">IFERROR(INDEX('قائمة الوحدات'!$C$2:$C$41,MATCH($B689,'قائمة الوحدات'!$A$2:$A$41,0)),"")</f>
        <v>الجهاز العسكري</v>
      </c>
      <c r="E689" s="18" t="str">
        <f aca="false">IFERROR(INDEX('قائمة الوحدات'!$D$2:$D$41,MATCH($B689,'قائمة الوحدات'!$A$2:$A$41,0)),"")</f>
        <v>الإدارة العامة للعلاقات العامة والإعلام العسكري</v>
      </c>
      <c r="F689" s="18" t="str">
        <f aca="false">IFERROR(INDEX('قائمة الوحدات'!$F$2:$F$41,MATCH($B689,'قائمة الوحدات'!$A$2:$A$41,0)),"")</f>
        <v>الإدارة العامة للعلاقات العامة والإعلام العسكري</v>
      </c>
      <c r="G689" s="20" t="s">
        <v>44</v>
      </c>
      <c r="H689" s="18" t="str">
        <f aca="false">IFERROR(INDEX(المرجع!$A$2:$A$19,MATCH($G689,المرجع!$B$2:$B$19,0)),"")</f>
        <v>التصميم</v>
      </c>
      <c r="I689" s="20" t="s">
        <v>55</v>
      </c>
      <c r="J689" s="18" t="str">
        <f aca="false">IFERROR(INDEX(المرجع!$D$2:$D$19,MATCH($I689,المرجع!$E$2:$E$19,0)),"")</f>
        <v>التنظيم</v>
      </c>
      <c r="K689" s="19" t="n">
        <f aca="false">IFERROR(INDEX(المرجع!$F$2:$F$19,MATCH($I689,المرجع!$E$2:$E$19,0)),"")</f>
        <v>4</v>
      </c>
      <c r="L689" s="19" t="n">
        <f aca="false">SUMIFS(المرجع!$H$2:$H$19,المرجع!$B$2:$B$19,$G689,المرجع!$E$2:$E$19,$I689)</f>
        <v>1</v>
      </c>
      <c r="M689" s="19" t="n">
        <f aca="false">COUNTIFS('المرتبطة بسمو الوزير'!$B$2:$B$151,$B689,'المرتبطة بسمو الوزير'!$G$2:$G$151,$G689,'المرتبطة بسمو الوزير'!$I$2:$I$151,$I689,'المرتبطة بسمو الوزير'!$M$2:$M$151,"&lt;&gt;")+COUNTIFS('الشؤون التنفيذية'!$B$2:$B$421,$B689,'الشؤون التنفيذية'!$G$2:$G$421,$G689,'الشؤون التنفيذية'!$I$2:$I$421,$I689,'الشؤون التنفيذية'!$N$2:$N$421,"&lt;&gt;")+COUNTIFS('الجهاز العسكري'!$B$2:$B$631,$B689,'الجهاز العسكري'!$G$2:$G$631,$G689,'الجهاز العسكري'!$I$2:$I$631,$I689,'الجهاز العسكري'!$M$2:$M$631,"&lt;&gt;")</f>
        <v>1</v>
      </c>
      <c r="N689" s="24" t="n">
        <f aca="false">IF($L689=0,0,ROUND((SUMIFS('المرتبطة بسمو الوزير'!$M$2:$M$151,'المرتبطة بسمو الوزير'!$B$2:$B$151,$B689,'المرتبطة بسمو الوزير'!$G$2:$G$151,$G689,'المرتبطة بسمو الوزير'!$I$2:$I$151,$I689)+SUMIFS('الشؤون التنفيذية'!$N$2:$N$421,'الشؤون التنفيذية'!$B$2:$B$421,$B689,'الشؤون التنفيذية'!$G$2:$G$421,$G689,'الشؤون التنفيذية'!$I$2:$I$421,$I689)+SUMIFS('الجهاز العسكري'!$M$2:$M$631,'الجهاز العسكري'!$B$2:$B$631,$B689,'الجهاز العسكري'!$G$2:$G$631,$G689,'الجهاز العسكري'!$I$2:$I$631,$I689))/$L689,0))</f>
        <v>77</v>
      </c>
      <c r="O689" s="25" t="n">
        <f aca="false">IF($L689=0,0,ROUND((SUMIFS('المرتبطة بسمو الوزير'!$N$2:$N$151,'المرتبطة بسمو الوزير'!$B$2:$B$151,$B689,'المرتبطة بسمو الوزير'!$G$2:$G$151,$G689,'المرتبطة بسمو الوزير'!$I$2:$I$151,$I689)+SUMIFS('الشؤون التنفيذية'!$O$2:$O$421,'الشؤون التنفيذية'!$B$2:$B$421,$B689,'الشؤون التنفيذية'!$G$2:$G$421,$G689,'الشؤون التنفيذية'!$I$2:$I$421,$I689)+SUMIFS('الجهاز العسكري'!$N$2:$N$631,'الجهاز العسكري'!$B$2:$B$631,$B689,'الجهاز العسكري'!$G$2:$G$631,$G689,'الجهاز العسكري'!$I$2:$I$631,$I689))/$L689,0))</f>
        <v>95</v>
      </c>
      <c r="P689" s="22"/>
      <c r="Q689" s="19" t="n">
        <f aca="false">SUMIFS(المرجع!$G$2:$G$19,المرجع!$B$2:$B$19,$G689,المرجع!$E$2:$E$19,$I689)</f>
        <v>20</v>
      </c>
      <c r="R689" s="26" t="n">
        <f aca="false">ROUND($Q689*$N689/100,2)</f>
        <v>15.4</v>
      </c>
      <c r="S689" s="27" t="str">
        <f aca="false">IF($N689&gt;المرجع!$K$3,"متقدم",IF($N689&lt;=المرجع!$K$2,"أولي","جزئي"))</f>
        <v>متقدم</v>
      </c>
      <c r="T689" s="28" t="n">
        <f aca="false">ROUND($Q689*$O689/100,2)</f>
        <v>19</v>
      </c>
    </row>
    <row r="690" customFormat="false" ht="15" hidden="false" customHeight="true" outlineLevel="0" collapsed="false">
      <c r="A690" s="20" t="s">
        <v>2142</v>
      </c>
      <c r="B690" s="20" t="s">
        <v>234</v>
      </c>
      <c r="C690" s="19" t="str">
        <f aca="false">IFERROR(INDEX('قائمة الوحدات'!$B$2:$B$41,MATCH($B690,'قائمة الوحدات'!$A$2:$A$41,0)),"")</f>
        <v>MIL</v>
      </c>
      <c r="D690" s="18" t="str">
        <f aca="false">IFERROR(INDEX('قائمة الوحدات'!$C$2:$C$41,MATCH($B690,'قائمة الوحدات'!$A$2:$A$41,0)),"")</f>
        <v>الجهاز العسكري</v>
      </c>
      <c r="E690" s="18" t="str">
        <f aca="false">IFERROR(INDEX('قائمة الوحدات'!$D$2:$D$41,MATCH($B690,'قائمة الوحدات'!$A$2:$A$41,0)),"")</f>
        <v>الإدارة العامة للعلاقات العامة والإعلام العسكري</v>
      </c>
      <c r="F690" s="18" t="str">
        <f aca="false">IFERROR(INDEX('قائمة الوحدات'!$F$2:$F$41,MATCH($B690,'قائمة الوحدات'!$A$2:$A$41,0)),"")</f>
        <v>الإدارة العامة للعلاقات العامة والإعلام العسكري</v>
      </c>
      <c r="G690" s="20" t="s">
        <v>44</v>
      </c>
      <c r="H690" s="18" t="str">
        <f aca="false">IFERROR(INDEX(المرجع!$A$2:$A$19,MATCH($G690,المرجع!$B$2:$B$19,0)),"")</f>
        <v>التصميم</v>
      </c>
      <c r="I690" s="20" t="s">
        <v>57</v>
      </c>
      <c r="J690" s="18" t="str">
        <f aca="false">IFERROR(INDEX(المرجع!$D$2:$D$19,MATCH($I690,المرجع!$E$2:$E$19,0)),"")</f>
        <v>الموارد</v>
      </c>
      <c r="K690" s="19" t="n">
        <f aca="false">IFERROR(INDEX(المرجع!$F$2:$F$19,MATCH($I690,المرجع!$E$2:$E$19,0)),"")</f>
        <v>5</v>
      </c>
      <c r="L690" s="19" t="n">
        <f aca="false">SUMIFS(المرجع!$H$2:$H$19,المرجع!$B$2:$B$19,$G690,المرجع!$E$2:$E$19,$I690)</f>
        <v>1</v>
      </c>
      <c r="M690" s="19" t="n">
        <f aca="false">COUNTIFS('المرتبطة بسمو الوزير'!$B$2:$B$151,$B690,'المرتبطة بسمو الوزير'!$G$2:$G$151,$G690,'المرتبطة بسمو الوزير'!$I$2:$I$151,$I690,'المرتبطة بسمو الوزير'!$M$2:$M$151,"&lt;&gt;")+COUNTIFS('الشؤون التنفيذية'!$B$2:$B$421,$B690,'الشؤون التنفيذية'!$G$2:$G$421,$G690,'الشؤون التنفيذية'!$I$2:$I$421,$I690,'الشؤون التنفيذية'!$N$2:$N$421,"&lt;&gt;")+COUNTIFS('الجهاز العسكري'!$B$2:$B$631,$B690,'الجهاز العسكري'!$G$2:$G$631,$G690,'الجهاز العسكري'!$I$2:$I$631,$I690,'الجهاز العسكري'!$M$2:$M$631,"&lt;&gt;")</f>
        <v>1</v>
      </c>
      <c r="N690" s="24" t="n">
        <f aca="false">IF($L690=0,0,ROUND((SUMIFS('المرتبطة بسمو الوزير'!$M$2:$M$151,'المرتبطة بسمو الوزير'!$B$2:$B$151,$B690,'المرتبطة بسمو الوزير'!$G$2:$G$151,$G690,'المرتبطة بسمو الوزير'!$I$2:$I$151,$I690)+SUMIFS('الشؤون التنفيذية'!$N$2:$N$421,'الشؤون التنفيذية'!$B$2:$B$421,$B690,'الشؤون التنفيذية'!$G$2:$G$421,$G690,'الشؤون التنفيذية'!$I$2:$I$421,$I690)+SUMIFS('الجهاز العسكري'!$M$2:$M$631,'الجهاز العسكري'!$B$2:$B$631,$B690,'الجهاز العسكري'!$G$2:$G$631,$G690,'الجهاز العسكري'!$I$2:$I$631,$I690))/$L690,0))</f>
        <v>97</v>
      </c>
      <c r="O690" s="25" t="n">
        <f aca="false">IF($L690=0,0,ROUND((SUMIFS('المرتبطة بسمو الوزير'!$N$2:$N$151,'المرتبطة بسمو الوزير'!$B$2:$B$151,$B690,'المرتبطة بسمو الوزير'!$G$2:$G$151,$G690,'المرتبطة بسمو الوزير'!$I$2:$I$151,$I690)+SUMIFS('الشؤون التنفيذية'!$O$2:$O$421,'الشؤون التنفيذية'!$B$2:$B$421,$B690,'الشؤون التنفيذية'!$G$2:$G$421,$G690,'الشؤون التنفيذية'!$I$2:$I$421,$I690)+SUMIFS('الجهاز العسكري'!$N$2:$N$631,'الجهاز العسكري'!$B$2:$B$631,$B690,'الجهاز العسكري'!$G$2:$G$631,$G690,'الجهاز العسكري'!$I$2:$I$631,$I690))/$L690,0))</f>
        <v>97</v>
      </c>
      <c r="P690" s="22"/>
      <c r="Q690" s="19" t="n">
        <f aca="false">SUMIFS(المرجع!$G$2:$G$19,المرجع!$B$2:$B$19,$G690,المرجع!$E$2:$E$19,$I690)</f>
        <v>20</v>
      </c>
      <c r="R690" s="26" t="n">
        <f aca="false">ROUND($Q690*$N690/100,2)</f>
        <v>19.4</v>
      </c>
      <c r="S690" s="27" t="str">
        <f aca="false">IF($N690&gt;المرجع!$K$3,"متقدم",IF($N690&lt;=المرجع!$K$2,"أولي","جزئي"))</f>
        <v>متقدم</v>
      </c>
      <c r="T690" s="28" t="n">
        <f aca="false">ROUND($Q690*$O690/100,2)</f>
        <v>19.4</v>
      </c>
    </row>
    <row r="691" customFormat="false" ht="15" hidden="false" customHeight="true" outlineLevel="0" collapsed="false">
      <c r="A691" s="20" t="s">
        <v>2143</v>
      </c>
      <c r="B691" s="20" t="s">
        <v>234</v>
      </c>
      <c r="C691" s="19" t="str">
        <f aca="false">IFERROR(INDEX('قائمة الوحدات'!$B$2:$B$41,MATCH($B691,'قائمة الوحدات'!$A$2:$A$41,0)),"")</f>
        <v>MIL</v>
      </c>
      <c r="D691" s="18" t="str">
        <f aca="false">IFERROR(INDEX('قائمة الوحدات'!$C$2:$C$41,MATCH($B691,'قائمة الوحدات'!$A$2:$A$41,0)),"")</f>
        <v>الجهاز العسكري</v>
      </c>
      <c r="E691" s="18" t="str">
        <f aca="false">IFERROR(INDEX('قائمة الوحدات'!$D$2:$D$41,MATCH($B691,'قائمة الوحدات'!$A$2:$A$41,0)),"")</f>
        <v>الإدارة العامة للعلاقات العامة والإعلام العسكري</v>
      </c>
      <c r="F691" s="18" t="str">
        <f aca="false">IFERROR(INDEX('قائمة الوحدات'!$F$2:$F$41,MATCH($B691,'قائمة الوحدات'!$A$2:$A$41,0)),"")</f>
        <v>الإدارة العامة للعلاقات العامة والإعلام العسكري</v>
      </c>
      <c r="G691" s="20" t="s">
        <v>44</v>
      </c>
      <c r="H691" s="18" t="str">
        <f aca="false">IFERROR(INDEX(المرجع!$A$2:$A$19,MATCH($G691,المرجع!$B$2:$B$19,0)),"")</f>
        <v>التصميم</v>
      </c>
      <c r="I691" s="20" t="s">
        <v>60</v>
      </c>
      <c r="J691" s="18" t="str">
        <f aca="false">IFERROR(INDEX(المرجع!$D$2:$D$19,MATCH($I691,المرجع!$E$2:$E$19,0)),"")</f>
        <v>الإجراءات</v>
      </c>
      <c r="K691" s="19" t="n">
        <f aca="false">IFERROR(INDEX(المرجع!$F$2:$F$19,MATCH($I691,المرجع!$E$2:$E$19,0)),"")</f>
        <v>6</v>
      </c>
      <c r="L691" s="19" t="n">
        <f aca="false">SUMIFS(المرجع!$H$2:$H$19,المرجع!$B$2:$B$19,$G691,المرجع!$E$2:$E$19,$I691)</f>
        <v>1</v>
      </c>
      <c r="M691" s="19" t="n">
        <f aca="false">COUNTIFS('المرتبطة بسمو الوزير'!$B$2:$B$151,$B691,'المرتبطة بسمو الوزير'!$G$2:$G$151,$G691,'المرتبطة بسمو الوزير'!$I$2:$I$151,$I691,'المرتبطة بسمو الوزير'!$M$2:$M$151,"&lt;&gt;")+COUNTIFS('الشؤون التنفيذية'!$B$2:$B$421,$B691,'الشؤون التنفيذية'!$G$2:$G$421,$G691,'الشؤون التنفيذية'!$I$2:$I$421,$I691,'الشؤون التنفيذية'!$N$2:$N$421,"&lt;&gt;")+COUNTIFS('الجهاز العسكري'!$B$2:$B$631,$B691,'الجهاز العسكري'!$G$2:$G$631,$G691,'الجهاز العسكري'!$I$2:$I$631,$I691,'الجهاز العسكري'!$M$2:$M$631,"&lt;&gt;")</f>
        <v>1</v>
      </c>
      <c r="N691" s="24" t="n">
        <f aca="false">IF($L691=0,0,ROUND((SUMIFS('المرتبطة بسمو الوزير'!$M$2:$M$151,'المرتبطة بسمو الوزير'!$B$2:$B$151,$B691,'المرتبطة بسمو الوزير'!$G$2:$G$151,$G691,'المرتبطة بسمو الوزير'!$I$2:$I$151,$I691)+SUMIFS('الشؤون التنفيذية'!$N$2:$N$421,'الشؤون التنفيذية'!$B$2:$B$421,$B691,'الشؤون التنفيذية'!$G$2:$G$421,$G691,'الشؤون التنفيذية'!$I$2:$I$421,$I691)+SUMIFS('الجهاز العسكري'!$M$2:$M$631,'الجهاز العسكري'!$B$2:$B$631,$B691,'الجهاز العسكري'!$G$2:$G$631,$G691,'الجهاز العسكري'!$I$2:$I$631,$I691))/$L691,0))</f>
        <v>83</v>
      </c>
      <c r="O691" s="25" t="n">
        <f aca="false">IF($L691=0,0,ROUND((SUMIFS('المرتبطة بسمو الوزير'!$N$2:$N$151,'المرتبطة بسمو الوزير'!$B$2:$B$151,$B691,'المرتبطة بسمو الوزير'!$G$2:$G$151,$G691,'المرتبطة بسمو الوزير'!$I$2:$I$151,$I691)+SUMIFS('الشؤون التنفيذية'!$O$2:$O$421,'الشؤون التنفيذية'!$B$2:$B$421,$B691,'الشؤون التنفيذية'!$G$2:$G$421,$G691,'الشؤون التنفيذية'!$I$2:$I$421,$I691)+SUMIFS('الجهاز العسكري'!$N$2:$N$631,'الجهاز العسكري'!$B$2:$B$631,$B691,'الجهاز العسكري'!$G$2:$G$631,$G691,'الجهاز العسكري'!$I$2:$I$631,$I691))/$L691,0))</f>
        <v>100</v>
      </c>
      <c r="P691" s="22"/>
      <c r="Q691" s="19" t="n">
        <f aca="false">SUMIFS(المرجع!$G$2:$G$19,المرجع!$B$2:$B$19,$G691,المرجع!$E$2:$E$19,$I691)</f>
        <v>5</v>
      </c>
      <c r="R691" s="26" t="n">
        <f aca="false">ROUND($Q691*$N691/100,2)</f>
        <v>4.15</v>
      </c>
      <c r="S691" s="27" t="str">
        <f aca="false">IF($N691&gt;المرجع!$K$3,"متقدم",IF($N691&lt;=المرجع!$K$2,"أولي","جزئي"))</f>
        <v>متقدم</v>
      </c>
      <c r="T691" s="28" t="n">
        <f aca="false">ROUND($Q691*$O691/100,2)</f>
        <v>5</v>
      </c>
    </row>
    <row r="692" customFormat="false" ht="15" hidden="false" customHeight="true" outlineLevel="0" collapsed="false">
      <c r="A692" s="20" t="s">
        <v>2144</v>
      </c>
      <c r="B692" s="20" t="s">
        <v>234</v>
      </c>
      <c r="C692" s="19" t="str">
        <f aca="false">IFERROR(INDEX('قائمة الوحدات'!$B$2:$B$41,MATCH($B692,'قائمة الوحدات'!$A$2:$A$41,0)),"")</f>
        <v>MIL</v>
      </c>
      <c r="D692" s="18" t="str">
        <f aca="false">IFERROR(INDEX('قائمة الوحدات'!$C$2:$C$41,MATCH($B692,'قائمة الوحدات'!$A$2:$A$41,0)),"")</f>
        <v>الجهاز العسكري</v>
      </c>
      <c r="E692" s="18" t="str">
        <f aca="false">IFERROR(INDEX('قائمة الوحدات'!$D$2:$D$41,MATCH($B692,'قائمة الوحدات'!$A$2:$A$41,0)),"")</f>
        <v>الإدارة العامة للعلاقات العامة والإعلام العسكري</v>
      </c>
      <c r="F692" s="18" t="str">
        <f aca="false">IFERROR(INDEX('قائمة الوحدات'!$F$2:$F$41,MATCH($B692,'قائمة الوحدات'!$A$2:$A$41,0)),"")</f>
        <v>الإدارة العامة للعلاقات العامة والإعلام العسكري</v>
      </c>
      <c r="G692" s="20" t="s">
        <v>62</v>
      </c>
      <c r="H692" s="18" t="str">
        <f aca="false">IFERROR(INDEX(المرجع!$A$2:$A$19,MATCH($G692,المرجع!$B$2:$B$19,0)),"")</f>
        <v>البناء المؤسسي</v>
      </c>
      <c r="I692" s="20" t="s">
        <v>46</v>
      </c>
      <c r="J692" s="18" t="str">
        <f aca="false">IFERROR(INDEX(المرجع!$D$2:$D$19,MATCH($I692,المرجع!$E$2:$E$19,0)),"")</f>
        <v>الدور</v>
      </c>
      <c r="K692" s="19" t="n">
        <f aca="false">IFERROR(INDEX(المرجع!$F$2:$F$19,MATCH($I692,المرجع!$E$2:$E$19,0)),"")</f>
        <v>1</v>
      </c>
      <c r="L692" s="19" t="n">
        <f aca="false">SUMIFS(المرجع!$H$2:$H$19,المرجع!$B$2:$B$19,$G692,المرجع!$E$2:$E$19,$I692)</f>
        <v>1</v>
      </c>
      <c r="M692" s="19" t="n">
        <f aca="false">COUNTIFS('المرتبطة بسمو الوزير'!$B$2:$B$151,$B692,'المرتبطة بسمو الوزير'!$G$2:$G$151,$G692,'المرتبطة بسمو الوزير'!$I$2:$I$151,$I692,'المرتبطة بسمو الوزير'!$M$2:$M$151,"&lt;&gt;")+COUNTIFS('الشؤون التنفيذية'!$B$2:$B$421,$B692,'الشؤون التنفيذية'!$G$2:$G$421,$G692,'الشؤون التنفيذية'!$I$2:$I$421,$I692,'الشؤون التنفيذية'!$N$2:$N$421,"&lt;&gt;")+COUNTIFS('الجهاز العسكري'!$B$2:$B$631,$B692,'الجهاز العسكري'!$G$2:$G$631,$G692,'الجهاز العسكري'!$I$2:$I$631,$I692,'الجهاز العسكري'!$M$2:$M$631,"&lt;&gt;")</f>
        <v>1</v>
      </c>
      <c r="N692" s="24" t="n">
        <f aca="false">IF($L692=0,0,ROUND((SUMIFS('المرتبطة بسمو الوزير'!$M$2:$M$151,'المرتبطة بسمو الوزير'!$B$2:$B$151,$B692,'المرتبطة بسمو الوزير'!$G$2:$G$151,$G692,'المرتبطة بسمو الوزير'!$I$2:$I$151,$I692)+SUMIFS('الشؤون التنفيذية'!$N$2:$N$421,'الشؤون التنفيذية'!$B$2:$B$421,$B692,'الشؤون التنفيذية'!$G$2:$G$421,$G692,'الشؤون التنفيذية'!$I$2:$I$421,$I692)+SUMIFS('الجهاز العسكري'!$M$2:$M$631,'الجهاز العسكري'!$B$2:$B$631,$B692,'الجهاز العسكري'!$G$2:$G$631,$G692,'الجهاز العسكري'!$I$2:$I$631,$I692))/$L692,0))</f>
        <v>79</v>
      </c>
      <c r="O692" s="25" t="n">
        <f aca="false">IF($L692=0,0,ROUND((SUMIFS('المرتبطة بسمو الوزير'!$N$2:$N$151,'المرتبطة بسمو الوزير'!$B$2:$B$151,$B692,'المرتبطة بسمو الوزير'!$G$2:$G$151,$G692,'المرتبطة بسمو الوزير'!$I$2:$I$151,$I692)+SUMIFS('الشؤون التنفيذية'!$O$2:$O$421,'الشؤون التنفيذية'!$B$2:$B$421,$B692,'الشؤون التنفيذية'!$G$2:$G$421,$G692,'الشؤون التنفيذية'!$I$2:$I$421,$I692)+SUMIFS('الجهاز العسكري'!$N$2:$N$631,'الجهاز العسكري'!$B$2:$B$631,$B692,'الجهاز العسكري'!$G$2:$G$631,$G692,'الجهاز العسكري'!$I$2:$I$631,$I692))/$L692,0))</f>
        <v>100</v>
      </c>
      <c r="P692" s="22"/>
      <c r="Q692" s="19" t="n">
        <f aca="false">SUMIFS(المرجع!$G$2:$G$19,المرجع!$B$2:$B$19,$G692,المرجع!$E$2:$E$19,$I692)</f>
        <v>15</v>
      </c>
      <c r="R692" s="26" t="n">
        <f aca="false">ROUND($Q692*$N692/100,2)</f>
        <v>11.85</v>
      </c>
      <c r="S692" s="27" t="str">
        <f aca="false">IF($N692&gt;المرجع!$K$3,"متقدم",IF($N692&lt;=المرجع!$K$2,"أولي","جزئي"))</f>
        <v>متقدم</v>
      </c>
      <c r="T692" s="28" t="n">
        <f aca="false">ROUND($Q692*$O692/100,2)</f>
        <v>15</v>
      </c>
    </row>
    <row r="693" customFormat="false" ht="15" hidden="false" customHeight="true" outlineLevel="0" collapsed="false">
      <c r="A693" s="20" t="s">
        <v>2145</v>
      </c>
      <c r="B693" s="20" t="s">
        <v>234</v>
      </c>
      <c r="C693" s="19" t="str">
        <f aca="false">IFERROR(INDEX('قائمة الوحدات'!$B$2:$B$41,MATCH($B693,'قائمة الوحدات'!$A$2:$A$41,0)),"")</f>
        <v>MIL</v>
      </c>
      <c r="D693" s="18" t="str">
        <f aca="false">IFERROR(INDEX('قائمة الوحدات'!$C$2:$C$41,MATCH($B693,'قائمة الوحدات'!$A$2:$A$41,0)),"")</f>
        <v>الجهاز العسكري</v>
      </c>
      <c r="E693" s="18" t="str">
        <f aca="false">IFERROR(INDEX('قائمة الوحدات'!$D$2:$D$41,MATCH($B693,'قائمة الوحدات'!$A$2:$A$41,0)),"")</f>
        <v>الإدارة العامة للعلاقات العامة والإعلام العسكري</v>
      </c>
      <c r="F693" s="18" t="str">
        <f aca="false">IFERROR(INDEX('قائمة الوحدات'!$F$2:$F$41,MATCH($B693,'قائمة الوحدات'!$A$2:$A$41,0)),"")</f>
        <v>الإدارة العامة للعلاقات العامة والإعلام العسكري</v>
      </c>
      <c r="G693" s="20" t="s">
        <v>62</v>
      </c>
      <c r="H693" s="18" t="str">
        <f aca="false">IFERROR(INDEX(المرجع!$A$2:$A$19,MATCH($G693,المرجع!$B$2:$B$19,0)),"")</f>
        <v>البناء المؤسسي</v>
      </c>
      <c r="I693" s="20" t="s">
        <v>49</v>
      </c>
      <c r="J693" s="18" t="str">
        <f aca="false">IFERROR(INDEX(المرجع!$D$2:$D$19,MATCH($I693,المرجع!$E$2:$E$19,0)),"")</f>
        <v>الأهداف ومؤشرات الأداء</v>
      </c>
      <c r="K693" s="19" t="n">
        <f aca="false">IFERROR(INDEX(المرجع!$F$2:$F$19,MATCH($I693,المرجع!$E$2:$E$19,0)),"")</f>
        <v>2</v>
      </c>
      <c r="L693" s="19" t="n">
        <f aca="false">SUMIFS(المرجع!$H$2:$H$19,المرجع!$B$2:$B$19,$G693,المرجع!$E$2:$E$19,$I693)</f>
        <v>2</v>
      </c>
      <c r="M693" s="19" t="n">
        <f aca="false">COUNTIFS('المرتبطة بسمو الوزير'!$B$2:$B$151,$B693,'المرتبطة بسمو الوزير'!$G$2:$G$151,$G693,'المرتبطة بسمو الوزير'!$I$2:$I$151,$I693,'المرتبطة بسمو الوزير'!$M$2:$M$151,"&lt;&gt;")+COUNTIFS('الشؤون التنفيذية'!$B$2:$B$421,$B693,'الشؤون التنفيذية'!$G$2:$G$421,$G693,'الشؤون التنفيذية'!$I$2:$I$421,$I693,'الشؤون التنفيذية'!$N$2:$N$421,"&lt;&gt;")+COUNTIFS('الجهاز العسكري'!$B$2:$B$631,$B693,'الجهاز العسكري'!$G$2:$G$631,$G693,'الجهاز العسكري'!$I$2:$I$631,$I693,'الجهاز العسكري'!$M$2:$M$631,"&lt;&gt;")</f>
        <v>2</v>
      </c>
      <c r="N693" s="24" t="n">
        <f aca="false">IF($L693=0,0,ROUND((SUMIFS('المرتبطة بسمو الوزير'!$M$2:$M$151,'المرتبطة بسمو الوزير'!$B$2:$B$151,$B693,'المرتبطة بسمو الوزير'!$G$2:$G$151,$G693,'المرتبطة بسمو الوزير'!$I$2:$I$151,$I693)+SUMIFS('الشؤون التنفيذية'!$N$2:$N$421,'الشؤون التنفيذية'!$B$2:$B$421,$B693,'الشؤون التنفيذية'!$G$2:$G$421,$G693,'الشؤون التنفيذية'!$I$2:$I$421,$I693)+SUMIFS('الجهاز العسكري'!$M$2:$M$631,'الجهاز العسكري'!$B$2:$B$631,$B693,'الجهاز العسكري'!$G$2:$G$631,$G693,'الجهاز العسكري'!$I$2:$I$631,$I693))/$L693,0))</f>
        <v>70</v>
      </c>
      <c r="O693" s="25" t="n">
        <f aca="false">IF($L693=0,0,ROUND((SUMIFS('المرتبطة بسمو الوزير'!$N$2:$N$151,'المرتبطة بسمو الوزير'!$B$2:$B$151,$B693,'المرتبطة بسمو الوزير'!$G$2:$G$151,$G693,'المرتبطة بسمو الوزير'!$I$2:$I$151,$I693)+SUMIFS('الشؤون التنفيذية'!$O$2:$O$421,'الشؤون التنفيذية'!$B$2:$B$421,$B693,'الشؤون التنفيذية'!$G$2:$G$421,$G693,'الشؤون التنفيذية'!$I$2:$I$421,$I693)+SUMIFS('الجهاز العسكري'!$N$2:$N$631,'الجهاز العسكري'!$B$2:$B$631,$B693,'الجهاز العسكري'!$G$2:$G$631,$G693,'الجهاز العسكري'!$I$2:$I$631,$I693))/$L693,0))</f>
        <v>80</v>
      </c>
      <c r="P693" s="22"/>
      <c r="Q693" s="19" t="n">
        <f aca="false">SUMIFS(المرجع!$G$2:$G$19,المرجع!$B$2:$B$19,$G693,المرجع!$E$2:$E$19,$I693)</f>
        <v>15</v>
      </c>
      <c r="R693" s="26" t="n">
        <f aca="false">ROUND($Q693*$N693/100,2)</f>
        <v>10.5</v>
      </c>
      <c r="S693" s="27" t="str">
        <f aca="false">IF($N693&gt;المرجع!$K$3,"متقدم",IF($N693&lt;=المرجع!$K$2,"أولي","جزئي"))</f>
        <v>جزئي</v>
      </c>
      <c r="T693" s="28" t="n">
        <f aca="false">ROUND($Q693*$O693/100,2)</f>
        <v>12</v>
      </c>
    </row>
    <row r="694" customFormat="false" ht="15" hidden="false" customHeight="true" outlineLevel="0" collapsed="false">
      <c r="A694" s="20" t="s">
        <v>2146</v>
      </c>
      <c r="B694" s="20" t="s">
        <v>234</v>
      </c>
      <c r="C694" s="19" t="str">
        <f aca="false">IFERROR(INDEX('قائمة الوحدات'!$B$2:$B$41,MATCH($B694,'قائمة الوحدات'!$A$2:$A$41,0)),"")</f>
        <v>MIL</v>
      </c>
      <c r="D694" s="18" t="str">
        <f aca="false">IFERROR(INDEX('قائمة الوحدات'!$C$2:$C$41,MATCH($B694,'قائمة الوحدات'!$A$2:$A$41,0)),"")</f>
        <v>الجهاز العسكري</v>
      </c>
      <c r="E694" s="18" t="str">
        <f aca="false">IFERROR(INDEX('قائمة الوحدات'!$D$2:$D$41,MATCH($B694,'قائمة الوحدات'!$A$2:$A$41,0)),"")</f>
        <v>الإدارة العامة للعلاقات العامة والإعلام العسكري</v>
      </c>
      <c r="F694" s="18" t="str">
        <f aca="false">IFERROR(INDEX('قائمة الوحدات'!$F$2:$F$41,MATCH($B694,'قائمة الوحدات'!$A$2:$A$41,0)),"")</f>
        <v>الإدارة العامة للعلاقات العامة والإعلام العسكري</v>
      </c>
      <c r="G694" s="20" t="s">
        <v>62</v>
      </c>
      <c r="H694" s="18" t="str">
        <f aca="false">IFERROR(INDEX(المرجع!$A$2:$A$19,MATCH($G694,المرجع!$B$2:$B$19,0)),"")</f>
        <v>البناء المؤسسي</v>
      </c>
      <c r="I694" s="20" t="s">
        <v>52</v>
      </c>
      <c r="J694" s="18" t="str">
        <f aca="false">IFERROR(INDEX(المرجع!$D$2:$D$19,MATCH($I694,المرجع!$E$2:$E$19,0)),"")</f>
        <v>الحوكمة</v>
      </c>
      <c r="K694" s="19" t="n">
        <f aca="false">IFERROR(INDEX(المرجع!$F$2:$F$19,MATCH($I694,المرجع!$E$2:$E$19,0)),"")</f>
        <v>3</v>
      </c>
      <c r="L694" s="19" t="n">
        <f aca="false">SUMIFS(المرجع!$H$2:$H$19,المرجع!$B$2:$B$19,$G694,المرجع!$E$2:$E$19,$I694)</f>
        <v>3</v>
      </c>
      <c r="M694" s="19" t="n">
        <f aca="false">COUNTIFS('المرتبطة بسمو الوزير'!$B$2:$B$151,$B694,'المرتبطة بسمو الوزير'!$G$2:$G$151,$G694,'المرتبطة بسمو الوزير'!$I$2:$I$151,$I694,'المرتبطة بسمو الوزير'!$M$2:$M$151,"&lt;&gt;")+COUNTIFS('الشؤون التنفيذية'!$B$2:$B$421,$B694,'الشؤون التنفيذية'!$G$2:$G$421,$G694,'الشؤون التنفيذية'!$I$2:$I$421,$I694,'الشؤون التنفيذية'!$N$2:$N$421,"&lt;&gt;")+COUNTIFS('الجهاز العسكري'!$B$2:$B$631,$B694,'الجهاز العسكري'!$G$2:$G$631,$G694,'الجهاز العسكري'!$I$2:$I$631,$I694,'الجهاز العسكري'!$M$2:$M$631,"&lt;&gt;")</f>
        <v>3</v>
      </c>
      <c r="N694" s="24" t="n">
        <f aca="false">IF($L694=0,0,ROUND((SUMIFS('المرتبطة بسمو الوزير'!$M$2:$M$151,'المرتبطة بسمو الوزير'!$B$2:$B$151,$B694,'المرتبطة بسمو الوزير'!$G$2:$G$151,$G694,'المرتبطة بسمو الوزير'!$I$2:$I$151,$I694)+SUMIFS('الشؤون التنفيذية'!$N$2:$N$421,'الشؤون التنفيذية'!$B$2:$B$421,$B694,'الشؤون التنفيذية'!$G$2:$G$421,$G694,'الشؤون التنفيذية'!$I$2:$I$421,$I694)+SUMIFS('الجهاز العسكري'!$M$2:$M$631,'الجهاز العسكري'!$B$2:$B$631,$B694,'الجهاز العسكري'!$G$2:$G$631,$G694,'الجهاز العسكري'!$I$2:$I$631,$I694))/$L694,0))</f>
        <v>85</v>
      </c>
      <c r="O694" s="25" t="n">
        <f aca="false">IF($L694=0,0,ROUND((SUMIFS('المرتبطة بسمو الوزير'!$N$2:$N$151,'المرتبطة بسمو الوزير'!$B$2:$B$151,$B694,'المرتبطة بسمو الوزير'!$G$2:$G$151,$G694,'المرتبطة بسمو الوزير'!$I$2:$I$151,$I694)+SUMIFS('الشؤون التنفيذية'!$O$2:$O$421,'الشؤون التنفيذية'!$B$2:$B$421,$B694,'الشؤون التنفيذية'!$G$2:$G$421,$G694,'الشؤون التنفيذية'!$I$2:$I$421,$I694)+SUMIFS('الجهاز العسكري'!$N$2:$N$631,'الجهاز العسكري'!$B$2:$B$631,$B694,'الجهاز العسكري'!$G$2:$G$631,$G694,'الجهاز العسكري'!$I$2:$I$631,$I694))/$L694,0))</f>
        <v>93</v>
      </c>
      <c r="P694" s="22"/>
      <c r="Q694" s="19" t="n">
        <f aca="false">SUMIFS(المرجع!$G$2:$G$19,المرجع!$B$2:$B$19,$G694,المرجع!$E$2:$E$19,$I694)</f>
        <v>15</v>
      </c>
      <c r="R694" s="26" t="n">
        <f aca="false">ROUND($Q694*$N694/100,2)</f>
        <v>12.75</v>
      </c>
      <c r="S694" s="27" t="str">
        <f aca="false">IF($N694&gt;المرجع!$K$3,"متقدم",IF($N694&lt;=المرجع!$K$2,"أولي","جزئي"))</f>
        <v>متقدم</v>
      </c>
      <c r="T694" s="28" t="n">
        <f aca="false">ROUND($Q694*$O694/100,2)</f>
        <v>13.95</v>
      </c>
    </row>
    <row r="695" customFormat="false" ht="15" hidden="false" customHeight="true" outlineLevel="0" collapsed="false">
      <c r="A695" s="20" t="s">
        <v>2147</v>
      </c>
      <c r="B695" s="20" t="s">
        <v>234</v>
      </c>
      <c r="C695" s="19" t="str">
        <f aca="false">IFERROR(INDEX('قائمة الوحدات'!$B$2:$B$41,MATCH($B695,'قائمة الوحدات'!$A$2:$A$41,0)),"")</f>
        <v>MIL</v>
      </c>
      <c r="D695" s="18" t="str">
        <f aca="false">IFERROR(INDEX('قائمة الوحدات'!$C$2:$C$41,MATCH($B695,'قائمة الوحدات'!$A$2:$A$41,0)),"")</f>
        <v>الجهاز العسكري</v>
      </c>
      <c r="E695" s="18" t="str">
        <f aca="false">IFERROR(INDEX('قائمة الوحدات'!$D$2:$D$41,MATCH($B695,'قائمة الوحدات'!$A$2:$A$41,0)),"")</f>
        <v>الإدارة العامة للعلاقات العامة والإعلام العسكري</v>
      </c>
      <c r="F695" s="18" t="str">
        <f aca="false">IFERROR(INDEX('قائمة الوحدات'!$F$2:$F$41,MATCH($B695,'قائمة الوحدات'!$A$2:$A$41,0)),"")</f>
        <v>الإدارة العامة للعلاقات العامة والإعلام العسكري</v>
      </c>
      <c r="G695" s="20" t="s">
        <v>62</v>
      </c>
      <c r="H695" s="18" t="str">
        <f aca="false">IFERROR(INDEX(المرجع!$A$2:$A$19,MATCH($G695,المرجع!$B$2:$B$19,0)),"")</f>
        <v>البناء المؤسسي</v>
      </c>
      <c r="I695" s="20" t="s">
        <v>55</v>
      </c>
      <c r="J695" s="18" t="str">
        <f aca="false">IFERROR(INDEX(المرجع!$D$2:$D$19,MATCH($I695,المرجع!$E$2:$E$19,0)),"")</f>
        <v>التنظيم</v>
      </c>
      <c r="K695" s="19" t="n">
        <f aca="false">IFERROR(INDEX(المرجع!$F$2:$F$19,MATCH($I695,المرجع!$E$2:$E$19,0)),"")</f>
        <v>4</v>
      </c>
      <c r="L695" s="19" t="n">
        <f aca="false">SUMIFS(المرجع!$H$2:$H$19,المرجع!$B$2:$B$19,$G695,المرجع!$E$2:$E$19,$I695)</f>
        <v>3</v>
      </c>
      <c r="M695" s="19" t="n">
        <f aca="false">COUNTIFS('المرتبطة بسمو الوزير'!$B$2:$B$151,$B695,'المرتبطة بسمو الوزير'!$G$2:$G$151,$G695,'المرتبطة بسمو الوزير'!$I$2:$I$151,$I695,'المرتبطة بسمو الوزير'!$M$2:$M$151,"&lt;&gt;")+COUNTIFS('الشؤون التنفيذية'!$B$2:$B$421,$B695,'الشؤون التنفيذية'!$G$2:$G$421,$G695,'الشؤون التنفيذية'!$I$2:$I$421,$I695,'الشؤون التنفيذية'!$N$2:$N$421,"&lt;&gt;")+COUNTIFS('الجهاز العسكري'!$B$2:$B$631,$B695,'الجهاز العسكري'!$G$2:$G$631,$G695,'الجهاز العسكري'!$I$2:$I$631,$I695,'الجهاز العسكري'!$M$2:$M$631,"&lt;&gt;")</f>
        <v>3</v>
      </c>
      <c r="N695" s="24" t="n">
        <f aca="false">IF($L695=0,0,ROUND((SUMIFS('المرتبطة بسمو الوزير'!$M$2:$M$151,'المرتبطة بسمو الوزير'!$B$2:$B$151,$B695,'المرتبطة بسمو الوزير'!$G$2:$G$151,$G695,'المرتبطة بسمو الوزير'!$I$2:$I$151,$I695)+SUMIFS('الشؤون التنفيذية'!$N$2:$N$421,'الشؤون التنفيذية'!$B$2:$B$421,$B695,'الشؤون التنفيذية'!$G$2:$G$421,$G695,'الشؤون التنفيذية'!$I$2:$I$421,$I695)+SUMIFS('الجهاز العسكري'!$M$2:$M$631,'الجهاز العسكري'!$B$2:$B$631,$B695,'الجهاز العسكري'!$G$2:$G$631,$G695,'الجهاز العسكري'!$I$2:$I$631,$I695))/$L695,0))</f>
        <v>50</v>
      </c>
      <c r="O695" s="25" t="n">
        <f aca="false">IF($L695=0,0,ROUND((SUMIFS('المرتبطة بسمو الوزير'!$N$2:$N$151,'المرتبطة بسمو الوزير'!$B$2:$B$151,$B695,'المرتبطة بسمو الوزير'!$G$2:$G$151,$G695,'المرتبطة بسمو الوزير'!$I$2:$I$151,$I695)+SUMIFS('الشؤون التنفيذية'!$O$2:$O$421,'الشؤون التنفيذية'!$B$2:$B$421,$B695,'الشؤون التنفيذية'!$G$2:$G$421,$G695,'الشؤون التنفيذية'!$I$2:$I$421,$I695)+SUMIFS('الجهاز العسكري'!$N$2:$N$631,'الجهاز العسكري'!$B$2:$B$631,$B695,'الجهاز العسكري'!$G$2:$G$631,$G695,'الجهاز العسكري'!$I$2:$I$631,$I695))/$L695,0))</f>
        <v>93</v>
      </c>
      <c r="P695" s="22"/>
      <c r="Q695" s="19" t="n">
        <f aca="false">SUMIFS(المرجع!$G$2:$G$19,المرجع!$B$2:$B$19,$G695,المرجع!$E$2:$E$19,$I695)</f>
        <v>20</v>
      </c>
      <c r="R695" s="26" t="n">
        <f aca="false">ROUND($Q695*$N695/100,2)</f>
        <v>10</v>
      </c>
      <c r="S695" s="27" t="str">
        <f aca="false">IF($N695&gt;المرجع!$K$3,"متقدم",IF($N695&lt;=المرجع!$K$2,"أولي","جزئي"))</f>
        <v>جزئي</v>
      </c>
      <c r="T695" s="28" t="n">
        <f aca="false">ROUND($Q695*$O695/100,2)</f>
        <v>18.6</v>
      </c>
    </row>
    <row r="696" customFormat="false" ht="15" hidden="false" customHeight="true" outlineLevel="0" collapsed="false">
      <c r="A696" s="20" t="s">
        <v>2148</v>
      </c>
      <c r="B696" s="20" t="s">
        <v>234</v>
      </c>
      <c r="C696" s="19" t="str">
        <f aca="false">IFERROR(INDEX('قائمة الوحدات'!$B$2:$B$41,MATCH($B696,'قائمة الوحدات'!$A$2:$A$41,0)),"")</f>
        <v>MIL</v>
      </c>
      <c r="D696" s="18" t="str">
        <f aca="false">IFERROR(INDEX('قائمة الوحدات'!$C$2:$C$41,MATCH($B696,'قائمة الوحدات'!$A$2:$A$41,0)),"")</f>
        <v>الجهاز العسكري</v>
      </c>
      <c r="E696" s="18" t="str">
        <f aca="false">IFERROR(INDEX('قائمة الوحدات'!$D$2:$D$41,MATCH($B696,'قائمة الوحدات'!$A$2:$A$41,0)),"")</f>
        <v>الإدارة العامة للعلاقات العامة والإعلام العسكري</v>
      </c>
      <c r="F696" s="18" t="str">
        <f aca="false">IFERROR(INDEX('قائمة الوحدات'!$F$2:$F$41,MATCH($B696,'قائمة الوحدات'!$A$2:$A$41,0)),"")</f>
        <v>الإدارة العامة للعلاقات العامة والإعلام العسكري</v>
      </c>
      <c r="G696" s="20" t="s">
        <v>62</v>
      </c>
      <c r="H696" s="18" t="str">
        <f aca="false">IFERROR(INDEX(المرجع!$A$2:$A$19,MATCH($G696,المرجع!$B$2:$B$19,0)),"")</f>
        <v>البناء المؤسسي</v>
      </c>
      <c r="I696" s="20" t="s">
        <v>57</v>
      </c>
      <c r="J696" s="18" t="str">
        <f aca="false">IFERROR(INDEX(المرجع!$D$2:$D$19,MATCH($I696,المرجع!$E$2:$E$19,0)),"")</f>
        <v>الموارد</v>
      </c>
      <c r="K696" s="19" t="n">
        <f aca="false">IFERROR(INDEX(المرجع!$F$2:$F$19,MATCH($I696,المرجع!$E$2:$E$19,0)),"")</f>
        <v>5</v>
      </c>
      <c r="L696" s="19" t="n">
        <f aca="false">SUMIFS(المرجع!$H$2:$H$19,المرجع!$B$2:$B$19,$G696,المرجع!$E$2:$E$19,$I696)</f>
        <v>4</v>
      </c>
      <c r="M696" s="19" t="n">
        <f aca="false">COUNTIFS('المرتبطة بسمو الوزير'!$B$2:$B$151,$B696,'المرتبطة بسمو الوزير'!$G$2:$G$151,$G696,'المرتبطة بسمو الوزير'!$I$2:$I$151,$I696,'المرتبطة بسمو الوزير'!$M$2:$M$151,"&lt;&gt;")+COUNTIFS('الشؤون التنفيذية'!$B$2:$B$421,$B696,'الشؤون التنفيذية'!$G$2:$G$421,$G696,'الشؤون التنفيذية'!$I$2:$I$421,$I696,'الشؤون التنفيذية'!$N$2:$N$421,"&lt;&gt;")+COUNTIFS('الجهاز العسكري'!$B$2:$B$631,$B696,'الجهاز العسكري'!$G$2:$G$631,$G696,'الجهاز العسكري'!$I$2:$I$631,$I696,'الجهاز العسكري'!$M$2:$M$631,"&lt;&gt;")</f>
        <v>4</v>
      </c>
      <c r="N696" s="24" t="n">
        <f aca="false">IF($L696=0,0,ROUND((SUMIFS('المرتبطة بسمو الوزير'!$M$2:$M$151,'المرتبطة بسمو الوزير'!$B$2:$B$151,$B696,'المرتبطة بسمو الوزير'!$G$2:$G$151,$G696,'المرتبطة بسمو الوزير'!$I$2:$I$151,$I696)+SUMIFS('الشؤون التنفيذية'!$N$2:$N$421,'الشؤون التنفيذية'!$B$2:$B$421,$B696,'الشؤون التنفيذية'!$G$2:$G$421,$G696,'الشؤون التنفيذية'!$I$2:$I$421,$I696)+SUMIFS('الجهاز العسكري'!$M$2:$M$631,'الجهاز العسكري'!$B$2:$B$631,$B696,'الجهاز العسكري'!$G$2:$G$631,$G696,'الجهاز العسكري'!$I$2:$I$631,$I696))/$L696,0))</f>
        <v>71</v>
      </c>
      <c r="O696" s="25" t="n">
        <f aca="false">IF($L696=0,0,ROUND((SUMIFS('المرتبطة بسمو الوزير'!$N$2:$N$151,'المرتبطة بسمو الوزير'!$B$2:$B$151,$B696,'المرتبطة بسمو الوزير'!$G$2:$G$151,$G696,'المرتبطة بسمو الوزير'!$I$2:$I$151,$I696)+SUMIFS('الشؤون التنفيذية'!$O$2:$O$421,'الشؤون التنفيذية'!$B$2:$B$421,$B696,'الشؤون التنفيذية'!$G$2:$G$421,$G696,'الشؤون التنفيذية'!$I$2:$I$421,$I696)+SUMIFS('الجهاز العسكري'!$N$2:$N$631,'الجهاز العسكري'!$B$2:$B$631,$B696,'الجهاز العسكري'!$G$2:$G$631,$G696,'الجهاز العسكري'!$I$2:$I$631,$I696))/$L696,0))</f>
        <v>94</v>
      </c>
      <c r="P696" s="22"/>
      <c r="Q696" s="19" t="n">
        <f aca="false">SUMIFS(المرجع!$G$2:$G$19,المرجع!$B$2:$B$19,$G696,المرجع!$E$2:$E$19,$I696)</f>
        <v>25</v>
      </c>
      <c r="R696" s="26" t="n">
        <f aca="false">ROUND($Q696*$N696/100,2)</f>
        <v>17.75</v>
      </c>
      <c r="S696" s="27" t="str">
        <f aca="false">IF($N696&gt;المرجع!$K$3,"متقدم",IF($N696&lt;=المرجع!$K$2,"أولي","جزئي"))</f>
        <v>متقدم</v>
      </c>
      <c r="T696" s="28" t="n">
        <f aca="false">ROUND($Q696*$O696/100,2)</f>
        <v>23.5</v>
      </c>
    </row>
    <row r="697" customFormat="false" ht="15" hidden="false" customHeight="true" outlineLevel="0" collapsed="false">
      <c r="A697" s="20" t="s">
        <v>2149</v>
      </c>
      <c r="B697" s="20" t="s">
        <v>234</v>
      </c>
      <c r="C697" s="19" t="str">
        <f aca="false">IFERROR(INDEX('قائمة الوحدات'!$B$2:$B$41,MATCH($B697,'قائمة الوحدات'!$A$2:$A$41,0)),"")</f>
        <v>MIL</v>
      </c>
      <c r="D697" s="18" t="str">
        <f aca="false">IFERROR(INDEX('قائمة الوحدات'!$C$2:$C$41,MATCH($B697,'قائمة الوحدات'!$A$2:$A$41,0)),"")</f>
        <v>الجهاز العسكري</v>
      </c>
      <c r="E697" s="18" t="str">
        <f aca="false">IFERROR(INDEX('قائمة الوحدات'!$D$2:$D$41,MATCH($B697,'قائمة الوحدات'!$A$2:$A$41,0)),"")</f>
        <v>الإدارة العامة للعلاقات العامة والإعلام العسكري</v>
      </c>
      <c r="F697" s="18" t="str">
        <f aca="false">IFERROR(INDEX('قائمة الوحدات'!$F$2:$F$41,MATCH($B697,'قائمة الوحدات'!$A$2:$A$41,0)),"")</f>
        <v>الإدارة العامة للعلاقات العامة والإعلام العسكري</v>
      </c>
      <c r="G697" s="20" t="s">
        <v>62</v>
      </c>
      <c r="H697" s="18" t="str">
        <f aca="false">IFERROR(INDEX(المرجع!$A$2:$A$19,MATCH($G697,المرجع!$B$2:$B$19,0)),"")</f>
        <v>البناء المؤسسي</v>
      </c>
      <c r="I697" s="20" t="s">
        <v>60</v>
      </c>
      <c r="J697" s="18" t="str">
        <f aca="false">IFERROR(INDEX(المرجع!$D$2:$D$19,MATCH($I697,المرجع!$E$2:$E$19,0)),"")</f>
        <v>الإجراءات</v>
      </c>
      <c r="K697" s="19" t="n">
        <f aca="false">IFERROR(INDEX(المرجع!$F$2:$F$19,MATCH($I697,المرجع!$E$2:$E$19,0)),"")</f>
        <v>6</v>
      </c>
      <c r="L697" s="19" t="n">
        <f aca="false">SUMIFS(المرجع!$H$2:$H$19,المرجع!$B$2:$B$19,$G697,المرجع!$E$2:$E$19,$I697)</f>
        <v>1</v>
      </c>
      <c r="M697" s="19" t="n">
        <f aca="false">COUNTIFS('المرتبطة بسمو الوزير'!$B$2:$B$151,$B697,'المرتبطة بسمو الوزير'!$G$2:$G$151,$G697,'المرتبطة بسمو الوزير'!$I$2:$I$151,$I697,'المرتبطة بسمو الوزير'!$M$2:$M$151,"&lt;&gt;")+COUNTIFS('الشؤون التنفيذية'!$B$2:$B$421,$B697,'الشؤون التنفيذية'!$G$2:$G$421,$G697,'الشؤون التنفيذية'!$I$2:$I$421,$I697,'الشؤون التنفيذية'!$N$2:$N$421,"&lt;&gt;")+COUNTIFS('الجهاز العسكري'!$B$2:$B$631,$B697,'الجهاز العسكري'!$G$2:$G$631,$G697,'الجهاز العسكري'!$I$2:$I$631,$I697,'الجهاز العسكري'!$M$2:$M$631,"&lt;&gt;")</f>
        <v>1</v>
      </c>
      <c r="N697" s="24" t="n">
        <f aca="false">IF($L697=0,0,ROUND((SUMIFS('المرتبطة بسمو الوزير'!$M$2:$M$151,'المرتبطة بسمو الوزير'!$B$2:$B$151,$B697,'المرتبطة بسمو الوزير'!$G$2:$G$151,$G697,'المرتبطة بسمو الوزير'!$I$2:$I$151,$I697)+SUMIFS('الشؤون التنفيذية'!$N$2:$N$421,'الشؤون التنفيذية'!$B$2:$B$421,$B697,'الشؤون التنفيذية'!$G$2:$G$421,$G697,'الشؤون التنفيذية'!$I$2:$I$421,$I697)+SUMIFS('الجهاز العسكري'!$M$2:$M$631,'الجهاز العسكري'!$B$2:$B$631,$B697,'الجهاز العسكري'!$G$2:$G$631,$G697,'الجهاز العسكري'!$I$2:$I$631,$I697))/$L697,0))</f>
        <v>55</v>
      </c>
      <c r="O697" s="25" t="n">
        <f aca="false">IF($L697=0,0,ROUND((SUMIFS('المرتبطة بسمو الوزير'!$N$2:$N$151,'المرتبطة بسمو الوزير'!$B$2:$B$151,$B697,'المرتبطة بسمو الوزير'!$G$2:$G$151,$G697,'المرتبطة بسمو الوزير'!$I$2:$I$151,$I697)+SUMIFS('الشؤون التنفيذية'!$O$2:$O$421,'الشؤون التنفيذية'!$B$2:$B$421,$B697,'الشؤون التنفيذية'!$G$2:$G$421,$G697,'الشؤون التنفيذية'!$I$2:$I$421,$I697)+SUMIFS('الجهاز العسكري'!$N$2:$N$631,'الجهاز العسكري'!$B$2:$B$631,$B697,'الجهاز العسكري'!$G$2:$G$631,$G697,'الجهاز العسكري'!$I$2:$I$631,$I697))/$L697,0))</f>
        <v>90</v>
      </c>
      <c r="P697" s="22"/>
      <c r="Q697" s="19" t="n">
        <f aca="false">SUMIFS(المرجع!$G$2:$G$19,المرجع!$B$2:$B$19,$G697,المرجع!$E$2:$E$19,$I697)</f>
        <v>5</v>
      </c>
      <c r="R697" s="26" t="n">
        <f aca="false">ROUND($Q697*$N697/100,2)</f>
        <v>2.75</v>
      </c>
      <c r="S697" s="27" t="str">
        <f aca="false">IF($N697&gt;المرجع!$K$3,"متقدم",IF($N697&lt;=المرجع!$K$2,"أولي","جزئي"))</f>
        <v>جزئي</v>
      </c>
      <c r="T697" s="28" t="n">
        <f aca="false">ROUND($Q697*$O697/100,2)</f>
        <v>4.5</v>
      </c>
    </row>
    <row r="698" customFormat="false" ht="15" hidden="false" customHeight="true" outlineLevel="0" collapsed="false">
      <c r="A698" s="20" t="s">
        <v>2150</v>
      </c>
      <c r="B698" s="20" t="s">
        <v>234</v>
      </c>
      <c r="C698" s="19" t="str">
        <f aca="false">IFERROR(INDEX('قائمة الوحدات'!$B$2:$B$41,MATCH($B698,'قائمة الوحدات'!$A$2:$A$41,0)),"")</f>
        <v>MIL</v>
      </c>
      <c r="D698" s="18" t="str">
        <f aca="false">IFERROR(INDEX('قائمة الوحدات'!$C$2:$C$41,MATCH($B698,'قائمة الوحدات'!$A$2:$A$41,0)),"")</f>
        <v>الجهاز العسكري</v>
      </c>
      <c r="E698" s="18" t="str">
        <f aca="false">IFERROR(INDEX('قائمة الوحدات'!$D$2:$D$41,MATCH($B698,'قائمة الوحدات'!$A$2:$A$41,0)),"")</f>
        <v>الإدارة العامة للعلاقات العامة والإعلام العسكري</v>
      </c>
      <c r="F698" s="18" t="str">
        <f aca="false">IFERROR(INDEX('قائمة الوحدات'!$F$2:$F$41,MATCH($B698,'قائمة الوحدات'!$A$2:$A$41,0)),"")</f>
        <v>الإدارة العامة للعلاقات العامة والإعلام العسكري</v>
      </c>
      <c r="G698" s="20" t="s">
        <v>62</v>
      </c>
      <c r="H698" s="18" t="str">
        <f aca="false">IFERROR(INDEX(المرجع!$A$2:$A$19,MATCH($G698,المرجع!$B$2:$B$19,0)),"")</f>
        <v>البناء المؤسسي</v>
      </c>
      <c r="I698" s="20" t="s">
        <v>69</v>
      </c>
      <c r="J698" s="18" t="str">
        <f aca="false">IFERROR(INDEX(المرجع!$D$2:$D$19,MATCH($I698,المرجع!$E$2:$E$19,0)),"")</f>
        <v>إنتاج المخرج الأول</v>
      </c>
      <c r="K698" s="19" t="n">
        <f aca="false">IFERROR(INDEX(المرجع!$F$2:$F$19,MATCH($I698,المرجع!$E$2:$E$19,0)),"")</f>
        <v>7</v>
      </c>
      <c r="L698" s="19" t="n">
        <f aca="false">SUMIFS(المرجع!$H$2:$H$19,المرجع!$B$2:$B$19,$G698,المرجع!$E$2:$E$19,$I698)</f>
        <v>1</v>
      </c>
      <c r="M698" s="19" t="n">
        <f aca="false">COUNTIFS('المرتبطة بسمو الوزير'!$B$2:$B$151,$B698,'المرتبطة بسمو الوزير'!$G$2:$G$151,$G698,'المرتبطة بسمو الوزير'!$I$2:$I$151,$I698,'المرتبطة بسمو الوزير'!$M$2:$M$151,"&lt;&gt;")+COUNTIFS('الشؤون التنفيذية'!$B$2:$B$421,$B698,'الشؤون التنفيذية'!$G$2:$G$421,$G698,'الشؤون التنفيذية'!$I$2:$I$421,$I698,'الشؤون التنفيذية'!$N$2:$N$421,"&lt;&gt;")+COUNTIFS('الجهاز العسكري'!$B$2:$B$631,$B698,'الجهاز العسكري'!$G$2:$G$631,$G698,'الجهاز العسكري'!$I$2:$I$631,$I698,'الجهاز العسكري'!$M$2:$M$631,"&lt;&gt;")</f>
        <v>1</v>
      </c>
      <c r="N698" s="24" t="n">
        <f aca="false">IF($L698=0,0,ROUND((SUMIFS('المرتبطة بسمو الوزير'!$M$2:$M$151,'المرتبطة بسمو الوزير'!$B$2:$B$151,$B698,'المرتبطة بسمو الوزير'!$G$2:$G$151,$G698,'المرتبطة بسمو الوزير'!$I$2:$I$151,$I698)+SUMIFS('الشؤون التنفيذية'!$N$2:$N$421,'الشؤون التنفيذية'!$B$2:$B$421,$B698,'الشؤون التنفيذية'!$G$2:$G$421,$G698,'الشؤون التنفيذية'!$I$2:$I$421,$I698)+SUMIFS('الجهاز العسكري'!$M$2:$M$631,'الجهاز العسكري'!$B$2:$B$631,$B698,'الجهاز العسكري'!$G$2:$G$631,$G698,'الجهاز العسكري'!$I$2:$I$631,$I698))/$L698,0))</f>
        <v>71</v>
      </c>
      <c r="O698" s="25" t="n">
        <f aca="false">IF($L698=0,0,ROUND((SUMIFS('المرتبطة بسمو الوزير'!$N$2:$N$151,'المرتبطة بسمو الوزير'!$B$2:$B$151,$B698,'المرتبطة بسمو الوزير'!$G$2:$G$151,$G698,'المرتبطة بسمو الوزير'!$I$2:$I$151,$I698)+SUMIFS('الشؤون التنفيذية'!$O$2:$O$421,'الشؤون التنفيذية'!$B$2:$B$421,$B698,'الشؤون التنفيذية'!$G$2:$G$421,$G698,'الشؤون التنفيذية'!$I$2:$I$421,$I698)+SUMIFS('الجهاز العسكري'!$N$2:$N$631,'الجهاز العسكري'!$B$2:$B$631,$B698,'الجهاز العسكري'!$G$2:$G$631,$G698,'الجهاز العسكري'!$I$2:$I$631,$I698))/$L698,0))</f>
        <v>100</v>
      </c>
      <c r="P698" s="22"/>
      <c r="Q698" s="19" t="n">
        <f aca="false">SUMIFS(المرجع!$G$2:$G$19,المرجع!$B$2:$B$19,$G698,المرجع!$E$2:$E$19,$I698)</f>
        <v>5</v>
      </c>
      <c r="R698" s="26" t="n">
        <f aca="false">ROUND($Q698*$N698/100,2)</f>
        <v>3.55</v>
      </c>
      <c r="S698" s="27" t="str">
        <f aca="false">IF($N698&gt;المرجع!$K$3,"متقدم",IF($N698&lt;=المرجع!$K$2,"أولي","جزئي"))</f>
        <v>متقدم</v>
      </c>
      <c r="T698" s="28" t="n">
        <f aca="false">ROUND($Q698*$O698/100,2)</f>
        <v>5</v>
      </c>
    </row>
    <row r="699" customFormat="false" ht="15" hidden="false" customHeight="true" outlineLevel="0" collapsed="false">
      <c r="A699" s="20" t="s">
        <v>2151</v>
      </c>
      <c r="B699" s="20" t="s">
        <v>234</v>
      </c>
      <c r="C699" s="19" t="str">
        <f aca="false">IFERROR(INDEX('قائمة الوحدات'!$B$2:$B$41,MATCH($B699,'قائمة الوحدات'!$A$2:$A$41,0)),"")</f>
        <v>MIL</v>
      </c>
      <c r="D699" s="18" t="str">
        <f aca="false">IFERROR(INDEX('قائمة الوحدات'!$C$2:$C$41,MATCH($B699,'قائمة الوحدات'!$A$2:$A$41,0)),"")</f>
        <v>الجهاز العسكري</v>
      </c>
      <c r="E699" s="18" t="str">
        <f aca="false">IFERROR(INDEX('قائمة الوحدات'!$D$2:$D$41,MATCH($B699,'قائمة الوحدات'!$A$2:$A$41,0)),"")</f>
        <v>الإدارة العامة للعلاقات العامة والإعلام العسكري</v>
      </c>
      <c r="F699" s="18" t="str">
        <f aca="false">IFERROR(INDEX('قائمة الوحدات'!$F$2:$F$41,MATCH($B699,'قائمة الوحدات'!$A$2:$A$41,0)),"")</f>
        <v>الإدارة العامة للعلاقات العامة والإعلام العسكري</v>
      </c>
      <c r="G699" s="20" t="s">
        <v>66</v>
      </c>
      <c r="H699" s="18" t="str">
        <f aca="false">IFERROR(INDEX(المرجع!$A$2:$A$19,MATCH($G699,المرجع!$B$2:$B$19,0)),"")</f>
        <v>التشغيل</v>
      </c>
      <c r="I699" s="20" t="s">
        <v>49</v>
      </c>
      <c r="J699" s="18" t="str">
        <f aca="false">IFERROR(INDEX(المرجع!$D$2:$D$19,MATCH($I699,المرجع!$E$2:$E$19,0)),"")</f>
        <v>الأهداف ومؤشرات الأداء</v>
      </c>
      <c r="K699" s="19" t="n">
        <f aca="false">IFERROR(INDEX(المرجع!$F$2:$F$19,MATCH($I699,المرجع!$E$2:$E$19,0)),"")</f>
        <v>2</v>
      </c>
      <c r="L699" s="19" t="n">
        <f aca="false">SUMIFS(المرجع!$H$2:$H$19,المرجع!$B$2:$B$19,$G699,المرجع!$E$2:$E$19,$I699)</f>
        <v>2</v>
      </c>
      <c r="M699" s="19" t="n">
        <f aca="false">COUNTIFS('المرتبطة بسمو الوزير'!$B$2:$B$151,$B699,'المرتبطة بسمو الوزير'!$G$2:$G$151,$G699,'المرتبطة بسمو الوزير'!$I$2:$I$151,$I699,'المرتبطة بسمو الوزير'!$M$2:$M$151,"&lt;&gt;")+COUNTIFS('الشؤون التنفيذية'!$B$2:$B$421,$B699,'الشؤون التنفيذية'!$G$2:$G$421,$G699,'الشؤون التنفيذية'!$I$2:$I$421,$I699,'الشؤون التنفيذية'!$N$2:$N$421,"&lt;&gt;")+COUNTIFS('الجهاز العسكري'!$B$2:$B$631,$B699,'الجهاز العسكري'!$G$2:$G$631,$G699,'الجهاز العسكري'!$I$2:$I$631,$I699,'الجهاز العسكري'!$M$2:$M$631,"&lt;&gt;")</f>
        <v>2</v>
      </c>
      <c r="N699" s="24" t="n">
        <f aca="false">IF($L699=0,0,ROUND((SUMIFS('المرتبطة بسمو الوزير'!$M$2:$M$151,'المرتبطة بسمو الوزير'!$B$2:$B$151,$B699,'المرتبطة بسمو الوزير'!$G$2:$G$151,$G699,'المرتبطة بسمو الوزير'!$I$2:$I$151,$I699)+SUMIFS('الشؤون التنفيذية'!$N$2:$N$421,'الشؤون التنفيذية'!$B$2:$B$421,$B699,'الشؤون التنفيذية'!$G$2:$G$421,$G699,'الشؤون التنفيذية'!$I$2:$I$421,$I699)+SUMIFS('الجهاز العسكري'!$M$2:$M$631,'الجهاز العسكري'!$B$2:$B$631,$B699,'الجهاز العسكري'!$G$2:$G$631,$G699,'الجهاز العسكري'!$I$2:$I$631,$I699))/$L699,0))</f>
        <v>35</v>
      </c>
      <c r="O699" s="25" t="n">
        <f aca="false">IF($L699=0,0,ROUND((SUMIFS('المرتبطة بسمو الوزير'!$N$2:$N$151,'المرتبطة بسمو الوزير'!$B$2:$B$151,$B699,'المرتبطة بسمو الوزير'!$G$2:$G$151,$G699,'المرتبطة بسمو الوزير'!$I$2:$I$151,$I699)+SUMIFS('الشؤون التنفيذية'!$O$2:$O$421,'الشؤون التنفيذية'!$B$2:$B$421,$B699,'الشؤون التنفيذية'!$G$2:$G$421,$G699,'الشؤون التنفيذية'!$I$2:$I$421,$I699)+SUMIFS('الجهاز العسكري'!$N$2:$N$631,'الجهاز العسكري'!$B$2:$B$631,$B699,'الجهاز العسكري'!$G$2:$G$631,$G699,'الجهاز العسكري'!$I$2:$I$631,$I699))/$L699,0))</f>
        <v>98</v>
      </c>
      <c r="P699" s="22"/>
      <c r="Q699" s="19" t="n">
        <f aca="false">SUMIFS(المرجع!$G$2:$G$19,المرجع!$B$2:$B$19,$G699,المرجع!$E$2:$E$19,$I699)</f>
        <v>25</v>
      </c>
      <c r="R699" s="26" t="n">
        <f aca="false">ROUND($Q699*$N699/100,2)</f>
        <v>8.75</v>
      </c>
      <c r="S699" s="27" t="str">
        <f aca="false">IF($N699&gt;المرجع!$K$3,"متقدم",IF($N699&lt;=المرجع!$K$2,"أولي","جزئي"))</f>
        <v>جزئي</v>
      </c>
      <c r="T699" s="28" t="n">
        <f aca="false">ROUND($Q699*$O699/100,2)</f>
        <v>24.5</v>
      </c>
    </row>
    <row r="700" customFormat="false" ht="15" hidden="false" customHeight="true" outlineLevel="0" collapsed="false">
      <c r="A700" s="20" t="s">
        <v>2152</v>
      </c>
      <c r="B700" s="20" t="s">
        <v>234</v>
      </c>
      <c r="C700" s="19" t="str">
        <f aca="false">IFERROR(INDEX('قائمة الوحدات'!$B$2:$B$41,MATCH($B700,'قائمة الوحدات'!$A$2:$A$41,0)),"")</f>
        <v>MIL</v>
      </c>
      <c r="D700" s="18" t="str">
        <f aca="false">IFERROR(INDEX('قائمة الوحدات'!$C$2:$C$41,MATCH($B700,'قائمة الوحدات'!$A$2:$A$41,0)),"")</f>
        <v>الجهاز العسكري</v>
      </c>
      <c r="E700" s="18" t="str">
        <f aca="false">IFERROR(INDEX('قائمة الوحدات'!$D$2:$D$41,MATCH($B700,'قائمة الوحدات'!$A$2:$A$41,0)),"")</f>
        <v>الإدارة العامة للعلاقات العامة والإعلام العسكري</v>
      </c>
      <c r="F700" s="18" t="str">
        <f aca="false">IFERROR(INDEX('قائمة الوحدات'!$F$2:$F$41,MATCH($B700,'قائمة الوحدات'!$A$2:$A$41,0)),"")</f>
        <v>الإدارة العامة للعلاقات العامة والإعلام العسكري</v>
      </c>
      <c r="G700" s="20" t="s">
        <v>66</v>
      </c>
      <c r="H700" s="18" t="str">
        <f aca="false">IFERROR(INDEX(المرجع!$A$2:$A$19,MATCH($G700,المرجع!$B$2:$B$19,0)),"")</f>
        <v>التشغيل</v>
      </c>
      <c r="I700" s="20" t="s">
        <v>52</v>
      </c>
      <c r="J700" s="18" t="str">
        <f aca="false">IFERROR(INDEX(المرجع!$D$2:$D$19,MATCH($I700,المرجع!$E$2:$E$19,0)),"")</f>
        <v>الحوكمة</v>
      </c>
      <c r="K700" s="19" t="n">
        <f aca="false">IFERROR(INDEX(المرجع!$F$2:$F$19,MATCH($I700,المرجع!$E$2:$E$19,0)),"")</f>
        <v>3</v>
      </c>
      <c r="L700" s="19" t="n">
        <f aca="false">SUMIFS(المرجع!$H$2:$H$19,المرجع!$B$2:$B$19,$G700,المرجع!$E$2:$E$19,$I700)</f>
        <v>3</v>
      </c>
      <c r="M700" s="19" t="n">
        <f aca="false">COUNTIFS('المرتبطة بسمو الوزير'!$B$2:$B$151,$B700,'المرتبطة بسمو الوزير'!$G$2:$G$151,$G700,'المرتبطة بسمو الوزير'!$I$2:$I$151,$I700,'المرتبطة بسمو الوزير'!$M$2:$M$151,"&lt;&gt;")+COUNTIFS('الشؤون التنفيذية'!$B$2:$B$421,$B700,'الشؤون التنفيذية'!$G$2:$G$421,$G700,'الشؤون التنفيذية'!$I$2:$I$421,$I700,'الشؤون التنفيذية'!$N$2:$N$421,"&lt;&gt;")+COUNTIFS('الجهاز العسكري'!$B$2:$B$631,$B700,'الجهاز العسكري'!$G$2:$G$631,$G700,'الجهاز العسكري'!$I$2:$I$631,$I700,'الجهاز العسكري'!$M$2:$M$631,"&lt;&gt;")</f>
        <v>3</v>
      </c>
      <c r="N700" s="24" t="n">
        <f aca="false">IF($L700=0,0,ROUND((SUMIFS('المرتبطة بسمو الوزير'!$M$2:$M$151,'المرتبطة بسمو الوزير'!$B$2:$B$151,$B700,'المرتبطة بسمو الوزير'!$G$2:$G$151,$G700,'المرتبطة بسمو الوزير'!$I$2:$I$151,$I700)+SUMIFS('الشؤون التنفيذية'!$N$2:$N$421,'الشؤون التنفيذية'!$B$2:$B$421,$B700,'الشؤون التنفيذية'!$G$2:$G$421,$G700,'الشؤون التنفيذية'!$I$2:$I$421,$I700)+SUMIFS('الجهاز العسكري'!$M$2:$M$631,'الجهاز العسكري'!$B$2:$B$631,$B700,'الجهاز العسكري'!$G$2:$G$631,$G700,'الجهاز العسكري'!$I$2:$I$631,$I700))/$L700,0))</f>
        <v>35</v>
      </c>
      <c r="O700" s="25" t="n">
        <f aca="false">IF($L700=0,0,ROUND((SUMIFS('المرتبطة بسمو الوزير'!$N$2:$N$151,'المرتبطة بسمو الوزير'!$B$2:$B$151,$B700,'المرتبطة بسمو الوزير'!$G$2:$G$151,$G700,'المرتبطة بسمو الوزير'!$I$2:$I$151,$I700)+SUMIFS('الشؤون التنفيذية'!$O$2:$O$421,'الشؤون التنفيذية'!$B$2:$B$421,$B700,'الشؤون التنفيذية'!$G$2:$G$421,$G700,'الشؤون التنفيذية'!$I$2:$I$421,$I700)+SUMIFS('الجهاز العسكري'!$N$2:$N$631,'الجهاز العسكري'!$B$2:$B$631,$B700,'الجهاز العسكري'!$G$2:$G$631,$G700,'الجهاز العسكري'!$I$2:$I$631,$I700))/$L700,0))</f>
        <v>93</v>
      </c>
      <c r="P700" s="22"/>
      <c r="Q700" s="19" t="n">
        <f aca="false">SUMIFS(المرجع!$G$2:$G$19,المرجع!$B$2:$B$19,$G700,المرجع!$E$2:$E$19,$I700)</f>
        <v>15</v>
      </c>
      <c r="R700" s="26" t="n">
        <f aca="false">ROUND($Q700*$N700/100,2)</f>
        <v>5.25</v>
      </c>
      <c r="S700" s="27" t="str">
        <f aca="false">IF($N700&gt;المرجع!$K$3,"متقدم",IF($N700&lt;=المرجع!$K$2,"أولي","جزئي"))</f>
        <v>جزئي</v>
      </c>
      <c r="T700" s="28" t="n">
        <f aca="false">ROUND($Q700*$O700/100,2)</f>
        <v>13.95</v>
      </c>
    </row>
    <row r="701" customFormat="false" ht="15" hidden="false" customHeight="true" outlineLevel="0" collapsed="false">
      <c r="A701" s="20" t="s">
        <v>2153</v>
      </c>
      <c r="B701" s="20" t="s">
        <v>234</v>
      </c>
      <c r="C701" s="19" t="str">
        <f aca="false">IFERROR(INDEX('قائمة الوحدات'!$B$2:$B$41,MATCH($B701,'قائمة الوحدات'!$A$2:$A$41,0)),"")</f>
        <v>MIL</v>
      </c>
      <c r="D701" s="18" t="str">
        <f aca="false">IFERROR(INDEX('قائمة الوحدات'!$C$2:$C$41,MATCH($B701,'قائمة الوحدات'!$A$2:$A$41,0)),"")</f>
        <v>الجهاز العسكري</v>
      </c>
      <c r="E701" s="18" t="str">
        <f aca="false">IFERROR(INDEX('قائمة الوحدات'!$D$2:$D$41,MATCH($B701,'قائمة الوحدات'!$A$2:$A$41,0)),"")</f>
        <v>الإدارة العامة للعلاقات العامة والإعلام العسكري</v>
      </c>
      <c r="F701" s="18" t="str">
        <f aca="false">IFERROR(INDEX('قائمة الوحدات'!$F$2:$F$41,MATCH($B701,'قائمة الوحدات'!$A$2:$A$41,0)),"")</f>
        <v>الإدارة العامة للعلاقات العامة والإعلام العسكري</v>
      </c>
      <c r="G701" s="20" t="s">
        <v>66</v>
      </c>
      <c r="H701" s="18" t="str">
        <f aca="false">IFERROR(INDEX(المرجع!$A$2:$A$19,MATCH($G701,المرجع!$B$2:$B$19,0)),"")</f>
        <v>التشغيل</v>
      </c>
      <c r="I701" s="20" t="s">
        <v>57</v>
      </c>
      <c r="J701" s="18" t="str">
        <f aca="false">IFERROR(INDEX(المرجع!$D$2:$D$19,MATCH($I701,المرجع!$E$2:$E$19,0)),"")</f>
        <v>الموارد</v>
      </c>
      <c r="K701" s="19" t="n">
        <f aca="false">IFERROR(INDEX(المرجع!$F$2:$F$19,MATCH($I701,المرجع!$E$2:$E$19,0)),"")</f>
        <v>5</v>
      </c>
      <c r="L701" s="19" t="n">
        <f aca="false">SUMIFS(المرجع!$H$2:$H$19,المرجع!$B$2:$B$19,$G701,المرجع!$E$2:$E$19,$I701)</f>
        <v>1</v>
      </c>
      <c r="M701" s="19" t="n">
        <f aca="false">COUNTIFS('المرتبطة بسمو الوزير'!$B$2:$B$151,$B701,'المرتبطة بسمو الوزير'!$G$2:$G$151,$G701,'المرتبطة بسمو الوزير'!$I$2:$I$151,$I701,'المرتبطة بسمو الوزير'!$M$2:$M$151,"&lt;&gt;")+COUNTIFS('الشؤون التنفيذية'!$B$2:$B$421,$B701,'الشؤون التنفيذية'!$G$2:$G$421,$G701,'الشؤون التنفيذية'!$I$2:$I$421,$I701,'الشؤون التنفيذية'!$N$2:$N$421,"&lt;&gt;")+COUNTIFS('الجهاز العسكري'!$B$2:$B$631,$B701,'الجهاز العسكري'!$G$2:$G$631,$G701,'الجهاز العسكري'!$I$2:$I$631,$I701,'الجهاز العسكري'!$M$2:$M$631,"&lt;&gt;")</f>
        <v>1</v>
      </c>
      <c r="N701" s="24" t="n">
        <f aca="false">IF($L701=0,0,ROUND((SUMIFS('المرتبطة بسمو الوزير'!$M$2:$M$151,'المرتبطة بسمو الوزير'!$B$2:$B$151,$B701,'المرتبطة بسمو الوزير'!$G$2:$G$151,$G701,'المرتبطة بسمو الوزير'!$I$2:$I$151,$I701)+SUMIFS('الشؤون التنفيذية'!$N$2:$N$421,'الشؤون التنفيذية'!$B$2:$B$421,$B701,'الشؤون التنفيذية'!$G$2:$G$421,$G701,'الشؤون التنفيذية'!$I$2:$I$421,$I701)+SUMIFS('الجهاز العسكري'!$M$2:$M$631,'الجهاز العسكري'!$B$2:$B$631,$B701,'الجهاز العسكري'!$G$2:$G$631,$G701,'الجهاز العسكري'!$I$2:$I$631,$I701))/$L701,0))</f>
        <v>47</v>
      </c>
      <c r="O701" s="25" t="n">
        <f aca="false">IF($L701=0,0,ROUND((SUMIFS('المرتبطة بسمو الوزير'!$N$2:$N$151,'المرتبطة بسمو الوزير'!$B$2:$B$151,$B701,'المرتبطة بسمو الوزير'!$G$2:$G$151,$G701,'المرتبطة بسمو الوزير'!$I$2:$I$151,$I701)+SUMIFS('الشؤون التنفيذية'!$O$2:$O$421,'الشؤون التنفيذية'!$B$2:$B$421,$B701,'الشؤون التنفيذية'!$G$2:$G$421,$G701,'الشؤون التنفيذية'!$I$2:$I$421,$I701)+SUMIFS('الجهاز العسكري'!$N$2:$N$631,'الجهاز العسكري'!$B$2:$B$631,$B701,'الجهاز العسكري'!$G$2:$G$631,$G701,'الجهاز العسكري'!$I$2:$I$631,$I701))/$L701,0))</f>
        <v>80</v>
      </c>
      <c r="P701" s="22"/>
      <c r="Q701" s="19" t="n">
        <f aca="false">SUMIFS(المرجع!$G$2:$G$19,المرجع!$B$2:$B$19,$G701,المرجع!$E$2:$E$19,$I701)</f>
        <v>15</v>
      </c>
      <c r="R701" s="26" t="n">
        <f aca="false">ROUND($Q701*$N701/100,2)</f>
        <v>7.05</v>
      </c>
      <c r="S701" s="27" t="str">
        <f aca="false">IF($N701&gt;المرجع!$K$3,"متقدم",IF($N701&lt;=المرجع!$K$2,"أولي","جزئي"))</f>
        <v>جزئي</v>
      </c>
      <c r="T701" s="28" t="n">
        <f aca="false">ROUND($Q701*$O701/100,2)</f>
        <v>12</v>
      </c>
    </row>
    <row r="702" customFormat="false" ht="15" hidden="false" customHeight="true" outlineLevel="0" collapsed="false">
      <c r="A702" s="20" t="s">
        <v>2154</v>
      </c>
      <c r="B702" s="20" t="s">
        <v>234</v>
      </c>
      <c r="C702" s="19" t="str">
        <f aca="false">IFERROR(INDEX('قائمة الوحدات'!$B$2:$B$41,MATCH($B702,'قائمة الوحدات'!$A$2:$A$41,0)),"")</f>
        <v>MIL</v>
      </c>
      <c r="D702" s="18" t="str">
        <f aca="false">IFERROR(INDEX('قائمة الوحدات'!$C$2:$C$41,MATCH($B702,'قائمة الوحدات'!$A$2:$A$41,0)),"")</f>
        <v>الجهاز العسكري</v>
      </c>
      <c r="E702" s="18" t="str">
        <f aca="false">IFERROR(INDEX('قائمة الوحدات'!$D$2:$D$41,MATCH($B702,'قائمة الوحدات'!$A$2:$A$41,0)),"")</f>
        <v>الإدارة العامة للعلاقات العامة والإعلام العسكري</v>
      </c>
      <c r="F702" s="18" t="str">
        <f aca="false">IFERROR(INDEX('قائمة الوحدات'!$F$2:$F$41,MATCH($B702,'قائمة الوحدات'!$A$2:$A$41,0)),"")</f>
        <v>الإدارة العامة للعلاقات العامة والإعلام العسكري</v>
      </c>
      <c r="G702" s="20" t="s">
        <v>66</v>
      </c>
      <c r="H702" s="18" t="str">
        <f aca="false">IFERROR(INDEX(المرجع!$A$2:$A$19,MATCH($G702,المرجع!$B$2:$B$19,0)),"")</f>
        <v>التشغيل</v>
      </c>
      <c r="I702" s="20" t="s">
        <v>60</v>
      </c>
      <c r="J702" s="18" t="str">
        <f aca="false">IFERROR(INDEX(المرجع!$D$2:$D$19,MATCH($I702,المرجع!$E$2:$E$19,0)),"")</f>
        <v>الإجراءات</v>
      </c>
      <c r="K702" s="19" t="n">
        <f aca="false">IFERROR(INDEX(المرجع!$F$2:$F$19,MATCH($I702,المرجع!$E$2:$E$19,0)),"")</f>
        <v>6</v>
      </c>
      <c r="L702" s="19" t="n">
        <f aca="false">SUMIFS(المرجع!$H$2:$H$19,المرجع!$B$2:$B$19,$G702,المرجع!$E$2:$E$19,$I702)</f>
        <v>1</v>
      </c>
      <c r="M702" s="19" t="n">
        <f aca="false">COUNTIFS('المرتبطة بسمو الوزير'!$B$2:$B$151,$B702,'المرتبطة بسمو الوزير'!$G$2:$G$151,$G702,'المرتبطة بسمو الوزير'!$I$2:$I$151,$I702,'المرتبطة بسمو الوزير'!$M$2:$M$151,"&lt;&gt;")+COUNTIFS('الشؤون التنفيذية'!$B$2:$B$421,$B702,'الشؤون التنفيذية'!$G$2:$G$421,$G702,'الشؤون التنفيذية'!$I$2:$I$421,$I702,'الشؤون التنفيذية'!$N$2:$N$421,"&lt;&gt;")+COUNTIFS('الجهاز العسكري'!$B$2:$B$631,$B702,'الجهاز العسكري'!$G$2:$G$631,$G702,'الجهاز العسكري'!$I$2:$I$631,$I702,'الجهاز العسكري'!$M$2:$M$631,"&lt;&gt;")</f>
        <v>1</v>
      </c>
      <c r="N702" s="24" t="n">
        <f aca="false">IF($L702=0,0,ROUND((SUMIFS('المرتبطة بسمو الوزير'!$M$2:$M$151,'المرتبطة بسمو الوزير'!$B$2:$B$151,$B702,'المرتبطة بسمو الوزير'!$G$2:$G$151,$G702,'المرتبطة بسمو الوزير'!$I$2:$I$151,$I702)+SUMIFS('الشؤون التنفيذية'!$N$2:$N$421,'الشؤون التنفيذية'!$B$2:$B$421,$B702,'الشؤون التنفيذية'!$G$2:$G$421,$G702,'الشؤون التنفيذية'!$I$2:$I$421,$I702)+SUMIFS('الجهاز العسكري'!$M$2:$M$631,'الجهاز العسكري'!$B$2:$B$631,$B702,'الجهاز العسكري'!$G$2:$G$631,$G702,'الجهاز العسكري'!$I$2:$I$631,$I702))/$L702,0))</f>
        <v>20</v>
      </c>
      <c r="O702" s="25" t="n">
        <f aca="false">IF($L702=0,0,ROUND((SUMIFS('المرتبطة بسمو الوزير'!$N$2:$N$151,'المرتبطة بسمو الوزير'!$B$2:$B$151,$B702,'المرتبطة بسمو الوزير'!$G$2:$G$151,$G702,'المرتبطة بسمو الوزير'!$I$2:$I$151,$I702)+SUMIFS('الشؤون التنفيذية'!$O$2:$O$421,'الشؤون التنفيذية'!$B$2:$B$421,$B702,'الشؤون التنفيذية'!$G$2:$G$421,$G702,'الشؤون التنفيذية'!$I$2:$I$421,$I702)+SUMIFS('الجهاز العسكري'!$N$2:$N$631,'الجهاز العسكري'!$B$2:$B$631,$B702,'الجهاز العسكري'!$G$2:$G$631,$G702,'الجهاز العسكري'!$I$2:$I$631,$I702))/$L702,0))</f>
        <v>80</v>
      </c>
      <c r="P702" s="22"/>
      <c r="Q702" s="19" t="n">
        <f aca="false">SUMIFS(المرجع!$G$2:$G$19,المرجع!$B$2:$B$19,$G702,المرجع!$E$2:$E$19,$I702)</f>
        <v>15</v>
      </c>
      <c r="R702" s="26" t="n">
        <f aca="false">ROUND($Q702*$N702/100,2)</f>
        <v>3</v>
      </c>
      <c r="S702" s="27" t="str">
        <f aca="false">IF($N702&gt;المرجع!$K$3,"متقدم",IF($N702&lt;=المرجع!$K$2,"أولي","جزئي"))</f>
        <v>أولي</v>
      </c>
      <c r="T702" s="28" t="n">
        <f aca="false">ROUND($Q702*$O702/100,2)</f>
        <v>12</v>
      </c>
    </row>
    <row r="703" customFormat="false" ht="15" hidden="false" customHeight="true" outlineLevel="0" collapsed="false">
      <c r="A703" s="20" t="s">
        <v>2155</v>
      </c>
      <c r="B703" s="20" t="s">
        <v>234</v>
      </c>
      <c r="C703" s="19" t="str">
        <f aca="false">IFERROR(INDEX('قائمة الوحدات'!$B$2:$B$41,MATCH($B703,'قائمة الوحدات'!$A$2:$A$41,0)),"")</f>
        <v>MIL</v>
      </c>
      <c r="D703" s="18" t="str">
        <f aca="false">IFERROR(INDEX('قائمة الوحدات'!$C$2:$C$41,MATCH($B703,'قائمة الوحدات'!$A$2:$A$41,0)),"")</f>
        <v>الجهاز العسكري</v>
      </c>
      <c r="E703" s="18" t="str">
        <f aca="false">IFERROR(INDEX('قائمة الوحدات'!$D$2:$D$41,MATCH($B703,'قائمة الوحدات'!$A$2:$A$41,0)),"")</f>
        <v>الإدارة العامة للعلاقات العامة والإعلام العسكري</v>
      </c>
      <c r="F703" s="18" t="str">
        <f aca="false">IFERROR(INDEX('قائمة الوحدات'!$F$2:$F$41,MATCH($B703,'قائمة الوحدات'!$A$2:$A$41,0)),"")</f>
        <v>الإدارة العامة للعلاقات العامة والإعلام العسكري</v>
      </c>
      <c r="G703" s="20" t="s">
        <v>66</v>
      </c>
      <c r="H703" s="18" t="str">
        <f aca="false">IFERROR(INDEX(المرجع!$A$2:$A$19,MATCH($G703,المرجع!$B$2:$B$19,0)),"")</f>
        <v>التشغيل</v>
      </c>
      <c r="I703" s="20" t="s">
        <v>71</v>
      </c>
      <c r="J703" s="18" t="str">
        <f aca="false">IFERROR(INDEX(المرجع!$D$2:$D$19,MATCH($I703,المرجع!$E$2:$E$19,0)),"")</f>
        <v>اكتمال المخرجات المستهدفة</v>
      </c>
      <c r="K703" s="19" t="n">
        <f aca="false">IFERROR(INDEX(المرجع!$F$2:$F$19,MATCH($I703,المرجع!$E$2:$E$19,0)),"")</f>
        <v>8</v>
      </c>
      <c r="L703" s="19" t="n">
        <f aca="false">SUMIFS(المرجع!$H$2:$H$19,المرجع!$B$2:$B$19,$G703,المرجع!$E$2:$E$19,$I703)</f>
        <v>1</v>
      </c>
      <c r="M703" s="19" t="n">
        <f aca="false">COUNTIFS('المرتبطة بسمو الوزير'!$B$2:$B$151,$B703,'المرتبطة بسمو الوزير'!$G$2:$G$151,$G703,'المرتبطة بسمو الوزير'!$I$2:$I$151,$I703,'المرتبطة بسمو الوزير'!$M$2:$M$151,"&lt;&gt;")+COUNTIFS('الشؤون التنفيذية'!$B$2:$B$421,$B703,'الشؤون التنفيذية'!$G$2:$G$421,$G703,'الشؤون التنفيذية'!$I$2:$I$421,$I703,'الشؤون التنفيذية'!$N$2:$N$421,"&lt;&gt;")+COUNTIFS('الجهاز العسكري'!$B$2:$B$631,$B703,'الجهاز العسكري'!$G$2:$G$631,$G703,'الجهاز العسكري'!$I$2:$I$631,$I703,'الجهاز العسكري'!$M$2:$M$631,"&lt;&gt;")</f>
        <v>1</v>
      </c>
      <c r="N703" s="24" t="n">
        <f aca="false">IF($L703=0,0,ROUND((SUMIFS('المرتبطة بسمو الوزير'!$M$2:$M$151,'المرتبطة بسمو الوزير'!$B$2:$B$151,$B703,'المرتبطة بسمو الوزير'!$G$2:$G$151,$G703,'المرتبطة بسمو الوزير'!$I$2:$I$151,$I703)+SUMIFS('الشؤون التنفيذية'!$N$2:$N$421,'الشؤون التنفيذية'!$B$2:$B$421,$B703,'الشؤون التنفيذية'!$G$2:$G$421,$G703,'الشؤون التنفيذية'!$I$2:$I$421,$I703)+SUMIFS('الجهاز العسكري'!$M$2:$M$631,'الجهاز العسكري'!$B$2:$B$631,$B703,'الجهاز العسكري'!$G$2:$G$631,$G703,'الجهاز العسكري'!$I$2:$I$631,$I703))/$L703,0))</f>
        <v>40</v>
      </c>
      <c r="O703" s="25" t="n">
        <f aca="false">IF($L703=0,0,ROUND((SUMIFS('المرتبطة بسمو الوزير'!$N$2:$N$151,'المرتبطة بسمو الوزير'!$B$2:$B$151,$B703,'المرتبطة بسمو الوزير'!$G$2:$G$151,$G703,'المرتبطة بسمو الوزير'!$I$2:$I$151,$I703)+SUMIFS('الشؤون التنفيذية'!$O$2:$O$421,'الشؤون التنفيذية'!$B$2:$B$421,$B703,'الشؤون التنفيذية'!$G$2:$G$421,$G703,'الشؤون التنفيذية'!$I$2:$I$421,$I703)+SUMIFS('الجهاز العسكري'!$N$2:$N$631,'الجهاز العسكري'!$B$2:$B$631,$B703,'الجهاز العسكري'!$G$2:$G$631,$G703,'الجهاز العسكري'!$I$2:$I$631,$I703))/$L703,0))</f>
        <v>90</v>
      </c>
      <c r="P703" s="22"/>
      <c r="Q703" s="19" t="n">
        <f aca="false">SUMIFS(المرجع!$G$2:$G$19,المرجع!$B$2:$B$19,$G703,المرجع!$E$2:$E$19,$I703)</f>
        <v>30</v>
      </c>
      <c r="R703" s="26" t="n">
        <f aca="false">ROUND($Q703*$N703/100,2)</f>
        <v>12</v>
      </c>
      <c r="S703" s="27" t="str">
        <f aca="false">IF($N703&gt;المرجع!$K$3,"متقدم",IF($N703&lt;=المرجع!$K$2,"أولي","جزئي"))</f>
        <v>جزئي</v>
      </c>
      <c r="T703" s="28" t="n">
        <f aca="false">ROUND($Q703*$O703/100,2)</f>
        <v>27</v>
      </c>
    </row>
    <row r="704" customFormat="false" ht="15" hidden="false" customHeight="true" outlineLevel="0" collapsed="false">
      <c r="A704" s="20" t="s">
        <v>2156</v>
      </c>
      <c r="B704" s="20" t="s">
        <v>236</v>
      </c>
      <c r="C704" s="19" t="str">
        <f aca="false">IFERROR(INDEX('قائمة الوحدات'!$B$2:$B$41,MATCH($B704,'قائمة الوحدات'!$A$2:$A$41,0)),"")</f>
        <v>MIL</v>
      </c>
      <c r="D704" s="18" t="str">
        <f aca="false">IFERROR(INDEX('قائمة الوحدات'!$C$2:$C$41,MATCH($B704,'قائمة الوحدات'!$A$2:$A$41,0)),"")</f>
        <v>الجهاز العسكري</v>
      </c>
      <c r="E704" s="18" t="str">
        <f aca="false">IFERROR(INDEX('قائمة الوحدات'!$D$2:$D$41,MATCH($B704,'قائمة الوحدات'!$A$2:$A$41,0)),"")</f>
        <v>الإدارة العامة للمراسم والتشريفات العسكرية</v>
      </c>
      <c r="F704" s="18" t="str">
        <f aca="false">IFERROR(INDEX('قائمة الوحدات'!$F$2:$F$41,MATCH($B704,'قائمة الوحدات'!$A$2:$A$41,0)),"")</f>
        <v>الإدارة العامة للمراسم والتشريفات العسكرية</v>
      </c>
      <c r="G704" s="20" t="s">
        <v>44</v>
      </c>
      <c r="H704" s="18" t="str">
        <f aca="false">IFERROR(INDEX(المرجع!$A$2:$A$19,MATCH($G704,المرجع!$B$2:$B$19,0)),"")</f>
        <v>التصميم</v>
      </c>
      <c r="I704" s="20" t="s">
        <v>46</v>
      </c>
      <c r="J704" s="18" t="str">
        <f aca="false">IFERROR(INDEX(المرجع!$D$2:$D$19,MATCH($I704,المرجع!$E$2:$E$19,0)),"")</f>
        <v>الدور</v>
      </c>
      <c r="K704" s="19" t="n">
        <f aca="false">IFERROR(INDEX(المرجع!$F$2:$F$19,MATCH($I704,المرجع!$E$2:$E$19,0)),"")</f>
        <v>1</v>
      </c>
      <c r="L704" s="19" t="n">
        <f aca="false">SUMIFS(المرجع!$H$2:$H$19,المرجع!$B$2:$B$19,$G704,المرجع!$E$2:$E$19,$I704)</f>
        <v>1</v>
      </c>
      <c r="M704" s="19" t="n">
        <f aca="false">COUNTIFS('المرتبطة بسمو الوزير'!$B$2:$B$151,$B704,'المرتبطة بسمو الوزير'!$G$2:$G$151,$G704,'المرتبطة بسمو الوزير'!$I$2:$I$151,$I704,'المرتبطة بسمو الوزير'!$M$2:$M$151,"&lt;&gt;")+COUNTIFS('الشؤون التنفيذية'!$B$2:$B$421,$B704,'الشؤون التنفيذية'!$G$2:$G$421,$G704,'الشؤون التنفيذية'!$I$2:$I$421,$I704,'الشؤون التنفيذية'!$N$2:$N$421,"&lt;&gt;")+COUNTIFS('الجهاز العسكري'!$B$2:$B$631,$B704,'الجهاز العسكري'!$G$2:$G$631,$G704,'الجهاز العسكري'!$I$2:$I$631,$I704,'الجهاز العسكري'!$M$2:$M$631,"&lt;&gt;")</f>
        <v>1</v>
      </c>
      <c r="N704" s="24" t="n">
        <f aca="false">IF($L704=0,0,ROUND((SUMIFS('المرتبطة بسمو الوزير'!$M$2:$M$151,'المرتبطة بسمو الوزير'!$B$2:$B$151,$B704,'المرتبطة بسمو الوزير'!$G$2:$G$151,$G704,'المرتبطة بسمو الوزير'!$I$2:$I$151,$I704)+SUMIFS('الشؤون التنفيذية'!$N$2:$N$421,'الشؤون التنفيذية'!$B$2:$B$421,$B704,'الشؤون التنفيذية'!$G$2:$G$421,$G704,'الشؤون التنفيذية'!$I$2:$I$421,$I704)+SUMIFS('الجهاز العسكري'!$M$2:$M$631,'الجهاز العسكري'!$B$2:$B$631,$B704,'الجهاز العسكري'!$G$2:$G$631,$G704,'الجهاز العسكري'!$I$2:$I$631,$I704))/$L704,0))</f>
        <v>88</v>
      </c>
      <c r="O704" s="25" t="n">
        <f aca="false">IF($L704=0,0,ROUND((SUMIFS('المرتبطة بسمو الوزير'!$N$2:$N$151,'المرتبطة بسمو الوزير'!$B$2:$B$151,$B704,'المرتبطة بسمو الوزير'!$G$2:$G$151,$G704,'المرتبطة بسمو الوزير'!$I$2:$I$151,$I704)+SUMIFS('الشؤون التنفيذية'!$O$2:$O$421,'الشؤون التنفيذية'!$B$2:$B$421,$B704,'الشؤون التنفيذية'!$G$2:$G$421,$G704,'الشؤون التنفيذية'!$I$2:$I$421,$I704)+SUMIFS('الجهاز العسكري'!$N$2:$N$631,'الجهاز العسكري'!$B$2:$B$631,$B704,'الجهاز العسكري'!$G$2:$G$631,$G704,'الجهاز العسكري'!$I$2:$I$631,$I704))/$L704,0))</f>
        <v>100</v>
      </c>
      <c r="P704" s="22"/>
      <c r="Q704" s="19" t="n">
        <f aca="false">SUMIFS(المرجع!$G$2:$G$19,المرجع!$B$2:$B$19,$G704,المرجع!$E$2:$E$19,$I704)</f>
        <v>25</v>
      </c>
      <c r="R704" s="26" t="n">
        <f aca="false">ROUND($Q704*$N704/100,2)</f>
        <v>22</v>
      </c>
      <c r="S704" s="27" t="str">
        <f aca="false">IF($N704&gt;المرجع!$K$3,"متقدم",IF($N704&lt;=المرجع!$K$2,"أولي","جزئي"))</f>
        <v>متقدم</v>
      </c>
      <c r="T704" s="28" t="n">
        <f aca="false">ROUND($Q704*$O704/100,2)</f>
        <v>25</v>
      </c>
    </row>
    <row r="705" customFormat="false" ht="15" hidden="false" customHeight="true" outlineLevel="0" collapsed="false">
      <c r="A705" s="20" t="s">
        <v>2157</v>
      </c>
      <c r="B705" s="20" t="s">
        <v>236</v>
      </c>
      <c r="C705" s="19" t="str">
        <f aca="false">IFERROR(INDEX('قائمة الوحدات'!$B$2:$B$41,MATCH($B705,'قائمة الوحدات'!$A$2:$A$41,0)),"")</f>
        <v>MIL</v>
      </c>
      <c r="D705" s="18" t="str">
        <f aca="false">IFERROR(INDEX('قائمة الوحدات'!$C$2:$C$41,MATCH($B705,'قائمة الوحدات'!$A$2:$A$41,0)),"")</f>
        <v>الجهاز العسكري</v>
      </c>
      <c r="E705" s="18" t="str">
        <f aca="false">IFERROR(INDEX('قائمة الوحدات'!$D$2:$D$41,MATCH($B705,'قائمة الوحدات'!$A$2:$A$41,0)),"")</f>
        <v>الإدارة العامة للمراسم والتشريفات العسكرية</v>
      </c>
      <c r="F705" s="18" t="str">
        <f aca="false">IFERROR(INDEX('قائمة الوحدات'!$F$2:$F$41,MATCH($B705,'قائمة الوحدات'!$A$2:$A$41,0)),"")</f>
        <v>الإدارة العامة للمراسم والتشريفات العسكرية</v>
      </c>
      <c r="G705" s="20" t="s">
        <v>44</v>
      </c>
      <c r="H705" s="18" t="str">
        <f aca="false">IFERROR(INDEX(المرجع!$A$2:$A$19,MATCH($G705,المرجع!$B$2:$B$19,0)),"")</f>
        <v>التصميم</v>
      </c>
      <c r="I705" s="20" t="s">
        <v>49</v>
      </c>
      <c r="J705" s="18" t="str">
        <f aca="false">IFERROR(INDEX(المرجع!$D$2:$D$19,MATCH($I705,المرجع!$E$2:$E$19,0)),"")</f>
        <v>الأهداف ومؤشرات الأداء</v>
      </c>
      <c r="K705" s="19" t="n">
        <f aca="false">IFERROR(INDEX(المرجع!$F$2:$F$19,MATCH($I705,المرجع!$E$2:$E$19,0)),"")</f>
        <v>2</v>
      </c>
      <c r="L705" s="19" t="n">
        <f aca="false">SUMIFS(المرجع!$H$2:$H$19,المرجع!$B$2:$B$19,$G705,المرجع!$E$2:$E$19,$I705)</f>
        <v>2</v>
      </c>
      <c r="M705" s="19" t="n">
        <f aca="false">COUNTIFS('المرتبطة بسمو الوزير'!$B$2:$B$151,$B705,'المرتبطة بسمو الوزير'!$G$2:$G$151,$G705,'المرتبطة بسمو الوزير'!$I$2:$I$151,$I705,'المرتبطة بسمو الوزير'!$M$2:$M$151,"&lt;&gt;")+COUNTIFS('الشؤون التنفيذية'!$B$2:$B$421,$B705,'الشؤون التنفيذية'!$G$2:$G$421,$G705,'الشؤون التنفيذية'!$I$2:$I$421,$I705,'الشؤون التنفيذية'!$N$2:$N$421,"&lt;&gt;")+COUNTIFS('الجهاز العسكري'!$B$2:$B$631,$B705,'الجهاز العسكري'!$G$2:$G$631,$G705,'الجهاز العسكري'!$I$2:$I$631,$I705,'الجهاز العسكري'!$M$2:$M$631,"&lt;&gt;")</f>
        <v>2</v>
      </c>
      <c r="N705" s="24" t="n">
        <f aca="false">IF($L705=0,0,ROUND((SUMIFS('المرتبطة بسمو الوزير'!$M$2:$M$151,'المرتبطة بسمو الوزير'!$B$2:$B$151,$B705,'المرتبطة بسمو الوزير'!$G$2:$G$151,$G705,'المرتبطة بسمو الوزير'!$I$2:$I$151,$I705)+SUMIFS('الشؤون التنفيذية'!$N$2:$N$421,'الشؤون التنفيذية'!$B$2:$B$421,$B705,'الشؤون التنفيذية'!$G$2:$G$421,$G705,'الشؤون التنفيذية'!$I$2:$I$421,$I705)+SUMIFS('الجهاز العسكري'!$M$2:$M$631,'الجهاز العسكري'!$B$2:$B$631,$B705,'الجهاز العسكري'!$G$2:$G$631,$G705,'الجهاز العسكري'!$I$2:$I$631,$I705))/$L705,0))</f>
        <v>88</v>
      </c>
      <c r="O705" s="25" t="n">
        <f aca="false">IF($L705=0,0,ROUND((SUMIFS('المرتبطة بسمو الوزير'!$N$2:$N$151,'المرتبطة بسمو الوزير'!$B$2:$B$151,$B705,'المرتبطة بسمو الوزير'!$G$2:$G$151,$G705,'المرتبطة بسمو الوزير'!$I$2:$I$151,$I705)+SUMIFS('الشؤون التنفيذية'!$O$2:$O$421,'الشؤون التنفيذية'!$B$2:$B$421,$B705,'الشؤون التنفيذية'!$G$2:$G$421,$G705,'الشؤون التنفيذية'!$I$2:$I$421,$I705)+SUMIFS('الجهاز العسكري'!$N$2:$N$631,'الجهاز العسكري'!$B$2:$B$631,$B705,'الجهاز العسكري'!$G$2:$G$631,$G705,'الجهاز العسكري'!$I$2:$I$631,$I705))/$L705,0))</f>
        <v>93</v>
      </c>
      <c r="P705" s="22"/>
      <c r="Q705" s="19" t="n">
        <f aca="false">SUMIFS(المرجع!$G$2:$G$19,المرجع!$B$2:$B$19,$G705,المرجع!$E$2:$E$19,$I705)</f>
        <v>15</v>
      </c>
      <c r="R705" s="26" t="n">
        <f aca="false">ROUND($Q705*$N705/100,2)</f>
        <v>13.2</v>
      </c>
      <c r="S705" s="27" t="str">
        <f aca="false">IF($N705&gt;المرجع!$K$3,"متقدم",IF($N705&lt;=المرجع!$K$2,"أولي","جزئي"))</f>
        <v>متقدم</v>
      </c>
      <c r="T705" s="28" t="n">
        <f aca="false">ROUND($Q705*$O705/100,2)</f>
        <v>13.95</v>
      </c>
    </row>
    <row r="706" customFormat="false" ht="15" hidden="false" customHeight="true" outlineLevel="0" collapsed="false">
      <c r="A706" s="20" t="s">
        <v>2158</v>
      </c>
      <c r="B706" s="20" t="s">
        <v>236</v>
      </c>
      <c r="C706" s="19" t="str">
        <f aca="false">IFERROR(INDEX('قائمة الوحدات'!$B$2:$B$41,MATCH($B706,'قائمة الوحدات'!$A$2:$A$41,0)),"")</f>
        <v>MIL</v>
      </c>
      <c r="D706" s="18" t="str">
        <f aca="false">IFERROR(INDEX('قائمة الوحدات'!$C$2:$C$41,MATCH($B706,'قائمة الوحدات'!$A$2:$A$41,0)),"")</f>
        <v>الجهاز العسكري</v>
      </c>
      <c r="E706" s="18" t="str">
        <f aca="false">IFERROR(INDEX('قائمة الوحدات'!$D$2:$D$41,MATCH($B706,'قائمة الوحدات'!$A$2:$A$41,0)),"")</f>
        <v>الإدارة العامة للمراسم والتشريفات العسكرية</v>
      </c>
      <c r="F706" s="18" t="str">
        <f aca="false">IFERROR(INDEX('قائمة الوحدات'!$F$2:$F$41,MATCH($B706,'قائمة الوحدات'!$A$2:$A$41,0)),"")</f>
        <v>الإدارة العامة للمراسم والتشريفات العسكرية</v>
      </c>
      <c r="G706" s="20" t="s">
        <v>44</v>
      </c>
      <c r="H706" s="18" t="str">
        <f aca="false">IFERROR(INDEX(المرجع!$A$2:$A$19,MATCH($G706,المرجع!$B$2:$B$19,0)),"")</f>
        <v>التصميم</v>
      </c>
      <c r="I706" s="20" t="s">
        <v>52</v>
      </c>
      <c r="J706" s="18" t="str">
        <f aca="false">IFERROR(INDEX(المرجع!$D$2:$D$19,MATCH($I706,المرجع!$E$2:$E$19,0)),"")</f>
        <v>الحوكمة</v>
      </c>
      <c r="K706" s="19" t="n">
        <f aca="false">IFERROR(INDEX(المرجع!$F$2:$F$19,MATCH($I706,المرجع!$E$2:$E$19,0)),"")</f>
        <v>3</v>
      </c>
      <c r="L706" s="19" t="n">
        <f aca="false">SUMIFS(المرجع!$H$2:$H$19,المرجع!$B$2:$B$19,$G706,المرجع!$E$2:$E$19,$I706)</f>
        <v>1</v>
      </c>
      <c r="M706" s="19" t="n">
        <f aca="false">COUNTIFS('المرتبطة بسمو الوزير'!$B$2:$B$151,$B706,'المرتبطة بسمو الوزير'!$G$2:$G$151,$G706,'المرتبطة بسمو الوزير'!$I$2:$I$151,$I706,'المرتبطة بسمو الوزير'!$M$2:$M$151,"&lt;&gt;")+COUNTIFS('الشؤون التنفيذية'!$B$2:$B$421,$B706,'الشؤون التنفيذية'!$G$2:$G$421,$G706,'الشؤون التنفيذية'!$I$2:$I$421,$I706,'الشؤون التنفيذية'!$N$2:$N$421,"&lt;&gt;")+COUNTIFS('الجهاز العسكري'!$B$2:$B$631,$B706,'الجهاز العسكري'!$G$2:$G$631,$G706,'الجهاز العسكري'!$I$2:$I$631,$I706,'الجهاز العسكري'!$M$2:$M$631,"&lt;&gt;")</f>
        <v>1</v>
      </c>
      <c r="N706" s="24" t="n">
        <f aca="false">IF($L706=0,0,ROUND((SUMIFS('المرتبطة بسمو الوزير'!$M$2:$M$151,'المرتبطة بسمو الوزير'!$B$2:$B$151,$B706,'المرتبطة بسمو الوزير'!$G$2:$G$151,$G706,'المرتبطة بسمو الوزير'!$I$2:$I$151,$I706)+SUMIFS('الشؤون التنفيذية'!$N$2:$N$421,'الشؤون التنفيذية'!$B$2:$B$421,$B706,'الشؤون التنفيذية'!$G$2:$G$421,$G706,'الشؤون التنفيذية'!$I$2:$I$421,$I706)+SUMIFS('الجهاز العسكري'!$M$2:$M$631,'الجهاز العسكري'!$B$2:$B$631,$B706,'الجهاز العسكري'!$G$2:$G$631,$G706,'الجهاز العسكري'!$I$2:$I$631,$I706))/$L706,0))</f>
        <v>78</v>
      </c>
      <c r="O706" s="25" t="n">
        <f aca="false">IF($L706=0,0,ROUND((SUMIFS('المرتبطة بسمو الوزير'!$N$2:$N$151,'المرتبطة بسمو الوزير'!$B$2:$B$151,$B706,'المرتبطة بسمو الوزير'!$G$2:$G$151,$G706,'المرتبطة بسمو الوزير'!$I$2:$I$151,$I706)+SUMIFS('الشؤون التنفيذية'!$O$2:$O$421,'الشؤون التنفيذية'!$B$2:$B$421,$B706,'الشؤون التنفيذية'!$G$2:$G$421,$G706,'الشؤون التنفيذية'!$I$2:$I$421,$I706)+SUMIFS('الجهاز العسكري'!$N$2:$N$631,'الجهاز العسكري'!$B$2:$B$631,$B706,'الجهاز العسكري'!$G$2:$G$631,$G706,'الجهاز العسكري'!$I$2:$I$631,$I706))/$L706,0))</f>
        <v>95</v>
      </c>
      <c r="P706" s="22"/>
      <c r="Q706" s="19" t="n">
        <f aca="false">SUMIFS(المرجع!$G$2:$G$19,المرجع!$B$2:$B$19,$G706,المرجع!$E$2:$E$19,$I706)</f>
        <v>15</v>
      </c>
      <c r="R706" s="26" t="n">
        <f aca="false">ROUND($Q706*$N706/100,2)</f>
        <v>11.7</v>
      </c>
      <c r="S706" s="27" t="str">
        <f aca="false">IF($N706&gt;المرجع!$K$3,"متقدم",IF($N706&lt;=المرجع!$K$2,"أولي","جزئي"))</f>
        <v>متقدم</v>
      </c>
      <c r="T706" s="28" t="n">
        <f aca="false">ROUND($Q706*$O706/100,2)</f>
        <v>14.25</v>
      </c>
    </row>
    <row r="707" customFormat="false" ht="15" hidden="false" customHeight="true" outlineLevel="0" collapsed="false">
      <c r="A707" s="20" t="s">
        <v>2159</v>
      </c>
      <c r="B707" s="20" t="s">
        <v>236</v>
      </c>
      <c r="C707" s="19" t="str">
        <f aca="false">IFERROR(INDEX('قائمة الوحدات'!$B$2:$B$41,MATCH($B707,'قائمة الوحدات'!$A$2:$A$41,0)),"")</f>
        <v>MIL</v>
      </c>
      <c r="D707" s="18" t="str">
        <f aca="false">IFERROR(INDEX('قائمة الوحدات'!$C$2:$C$41,MATCH($B707,'قائمة الوحدات'!$A$2:$A$41,0)),"")</f>
        <v>الجهاز العسكري</v>
      </c>
      <c r="E707" s="18" t="str">
        <f aca="false">IFERROR(INDEX('قائمة الوحدات'!$D$2:$D$41,MATCH($B707,'قائمة الوحدات'!$A$2:$A$41,0)),"")</f>
        <v>الإدارة العامة للمراسم والتشريفات العسكرية</v>
      </c>
      <c r="F707" s="18" t="str">
        <f aca="false">IFERROR(INDEX('قائمة الوحدات'!$F$2:$F$41,MATCH($B707,'قائمة الوحدات'!$A$2:$A$41,0)),"")</f>
        <v>الإدارة العامة للمراسم والتشريفات العسكرية</v>
      </c>
      <c r="G707" s="20" t="s">
        <v>44</v>
      </c>
      <c r="H707" s="18" t="str">
        <f aca="false">IFERROR(INDEX(المرجع!$A$2:$A$19,MATCH($G707,المرجع!$B$2:$B$19,0)),"")</f>
        <v>التصميم</v>
      </c>
      <c r="I707" s="20" t="s">
        <v>55</v>
      </c>
      <c r="J707" s="18" t="str">
        <f aca="false">IFERROR(INDEX(المرجع!$D$2:$D$19,MATCH($I707,المرجع!$E$2:$E$19,0)),"")</f>
        <v>التنظيم</v>
      </c>
      <c r="K707" s="19" t="n">
        <f aca="false">IFERROR(INDEX(المرجع!$F$2:$F$19,MATCH($I707,المرجع!$E$2:$E$19,0)),"")</f>
        <v>4</v>
      </c>
      <c r="L707" s="19" t="n">
        <f aca="false">SUMIFS(المرجع!$H$2:$H$19,المرجع!$B$2:$B$19,$G707,المرجع!$E$2:$E$19,$I707)</f>
        <v>1</v>
      </c>
      <c r="M707" s="19" t="n">
        <f aca="false">COUNTIFS('المرتبطة بسمو الوزير'!$B$2:$B$151,$B707,'المرتبطة بسمو الوزير'!$G$2:$G$151,$G707,'المرتبطة بسمو الوزير'!$I$2:$I$151,$I707,'المرتبطة بسمو الوزير'!$M$2:$M$151,"&lt;&gt;")+COUNTIFS('الشؤون التنفيذية'!$B$2:$B$421,$B707,'الشؤون التنفيذية'!$G$2:$G$421,$G707,'الشؤون التنفيذية'!$I$2:$I$421,$I707,'الشؤون التنفيذية'!$N$2:$N$421,"&lt;&gt;")+COUNTIFS('الجهاز العسكري'!$B$2:$B$631,$B707,'الجهاز العسكري'!$G$2:$G$631,$G707,'الجهاز العسكري'!$I$2:$I$631,$I707,'الجهاز العسكري'!$M$2:$M$631,"&lt;&gt;")</f>
        <v>1</v>
      </c>
      <c r="N707" s="24" t="n">
        <f aca="false">IF($L707=0,0,ROUND((SUMIFS('المرتبطة بسمو الوزير'!$M$2:$M$151,'المرتبطة بسمو الوزير'!$B$2:$B$151,$B707,'المرتبطة بسمو الوزير'!$G$2:$G$151,$G707,'المرتبطة بسمو الوزير'!$I$2:$I$151,$I707)+SUMIFS('الشؤون التنفيذية'!$N$2:$N$421,'الشؤون التنفيذية'!$B$2:$B$421,$B707,'الشؤون التنفيذية'!$G$2:$G$421,$G707,'الشؤون التنفيذية'!$I$2:$I$421,$I707)+SUMIFS('الجهاز العسكري'!$M$2:$M$631,'الجهاز العسكري'!$B$2:$B$631,$B707,'الجهاز العسكري'!$G$2:$G$631,$G707,'الجهاز العسكري'!$I$2:$I$631,$I707))/$L707,0))</f>
        <v>95</v>
      </c>
      <c r="O707" s="25" t="n">
        <f aca="false">IF($L707=0,0,ROUND((SUMIFS('المرتبطة بسمو الوزير'!$N$2:$N$151,'المرتبطة بسمو الوزير'!$B$2:$B$151,$B707,'المرتبطة بسمو الوزير'!$G$2:$G$151,$G707,'المرتبطة بسمو الوزير'!$I$2:$I$151,$I707)+SUMIFS('الشؤون التنفيذية'!$O$2:$O$421,'الشؤون التنفيذية'!$B$2:$B$421,$B707,'الشؤون التنفيذية'!$G$2:$G$421,$G707,'الشؤون التنفيذية'!$I$2:$I$421,$I707)+SUMIFS('الجهاز العسكري'!$N$2:$N$631,'الجهاز العسكري'!$B$2:$B$631,$B707,'الجهاز العسكري'!$G$2:$G$631,$G707,'الجهاز العسكري'!$I$2:$I$631,$I707))/$L707,0))</f>
        <v>95</v>
      </c>
      <c r="P707" s="22"/>
      <c r="Q707" s="19" t="n">
        <f aca="false">SUMIFS(المرجع!$G$2:$G$19,المرجع!$B$2:$B$19,$G707,المرجع!$E$2:$E$19,$I707)</f>
        <v>20</v>
      </c>
      <c r="R707" s="26" t="n">
        <f aca="false">ROUND($Q707*$N707/100,2)</f>
        <v>19</v>
      </c>
      <c r="S707" s="27" t="str">
        <f aca="false">IF($N707&gt;المرجع!$K$3,"متقدم",IF($N707&lt;=المرجع!$K$2,"أولي","جزئي"))</f>
        <v>متقدم</v>
      </c>
      <c r="T707" s="28" t="n">
        <f aca="false">ROUND($Q707*$O707/100,2)</f>
        <v>19</v>
      </c>
    </row>
    <row r="708" customFormat="false" ht="15" hidden="false" customHeight="true" outlineLevel="0" collapsed="false">
      <c r="A708" s="20" t="s">
        <v>2160</v>
      </c>
      <c r="B708" s="20" t="s">
        <v>236</v>
      </c>
      <c r="C708" s="19" t="str">
        <f aca="false">IFERROR(INDEX('قائمة الوحدات'!$B$2:$B$41,MATCH($B708,'قائمة الوحدات'!$A$2:$A$41,0)),"")</f>
        <v>MIL</v>
      </c>
      <c r="D708" s="18" t="str">
        <f aca="false">IFERROR(INDEX('قائمة الوحدات'!$C$2:$C$41,MATCH($B708,'قائمة الوحدات'!$A$2:$A$41,0)),"")</f>
        <v>الجهاز العسكري</v>
      </c>
      <c r="E708" s="18" t="str">
        <f aca="false">IFERROR(INDEX('قائمة الوحدات'!$D$2:$D$41,MATCH($B708,'قائمة الوحدات'!$A$2:$A$41,0)),"")</f>
        <v>الإدارة العامة للمراسم والتشريفات العسكرية</v>
      </c>
      <c r="F708" s="18" t="str">
        <f aca="false">IFERROR(INDEX('قائمة الوحدات'!$F$2:$F$41,MATCH($B708,'قائمة الوحدات'!$A$2:$A$41,0)),"")</f>
        <v>الإدارة العامة للمراسم والتشريفات العسكرية</v>
      </c>
      <c r="G708" s="20" t="s">
        <v>44</v>
      </c>
      <c r="H708" s="18" t="str">
        <f aca="false">IFERROR(INDEX(المرجع!$A$2:$A$19,MATCH($G708,المرجع!$B$2:$B$19,0)),"")</f>
        <v>التصميم</v>
      </c>
      <c r="I708" s="20" t="s">
        <v>57</v>
      </c>
      <c r="J708" s="18" t="str">
        <f aca="false">IFERROR(INDEX(المرجع!$D$2:$D$19,MATCH($I708,المرجع!$E$2:$E$19,0)),"")</f>
        <v>الموارد</v>
      </c>
      <c r="K708" s="19" t="n">
        <f aca="false">IFERROR(INDEX(المرجع!$F$2:$F$19,MATCH($I708,المرجع!$E$2:$E$19,0)),"")</f>
        <v>5</v>
      </c>
      <c r="L708" s="19" t="n">
        <f aca="false">SUMIFS(المرجع!$H$2:$H$19,المرجع!$B$2:$B$19,$G708,المرجع!$E$2:$E$19,$I708)</f>
        <v>1</v>
      </c>
      <c r="M708" s="19" t="n">
        <f aca="false">COUNTIFS('المرتبطة بسمو الوزير'!$B$2:$B$151,$B708,'المرتبطة بسمو الوزير'!$G$2:$G$151,$G708,'المرتبطة بسمو الوزير'!$I$2:$I$151,$I708,'المرتبطة بسمو الوزير'!$M$2:$M$151,"&lt;&gt;")+COUNTIFS('الشؤون التنفيذية'!$B$2:$B$421,$B708,'الشؤون التنفيذية'!$G$2:$G$421,$G708,'الشؤون التنفيذية'!$I$2:$I$421,$I708,'الشؤون التنفيذية'!$N$2:$N$421,"&lt;&gt;")+COUNTIFS('الجهاز العسكري'!$B$2:$B$631,$B708,'الجهاز العسكري'!$G$2:$G$631,$G708,'الجهاز العسكري'!$I$2:$I$631,$I708,'الجهاز العسكري'!$M$2:$M$631,"&lt;&gt;")</f>
        <v>1</v>
      </c>
      <c r="N708" s="24" t="n">
        <f aca="false">IF($L708=0,0,ROUND((SUMIFS('المرتبطة بسمو الوزير'!$M$2:$M$151,'المرتبطة بسمو الوزير'!$B$2:$B$151,$B708,'المرتبطة بسمو الوزير'!$G$2:$G$151,$G708,'المرتبطة بسمو الوزير'!$I$2:$I$151,$I708)+SUMIFS('الشؤون التنفيذية'!$N$2:$N$421,'الشؤون التنفيذية'!$B$2:$B$421,$B708,'الشؤون التنفيذية'!$G$2:$G$421,$G708,'الشؤون التنفيذية'!$I$2:$I$421,$I708)+SUMIFS('الجهاز العسكري'!$M$2:$M$631,'الجهاز العسكري'!$B$2:$B$631,$B708,'الجهاز العسكري'!$G$2:$G$631,$G708,'الجهاز العسكري'!$I$2:$I$631,$I708))/$L708,0))</f>
        <v>89</v>
      </c>
      <c r="O708" s="25" t="n">
        <f aca="false">IF($L708=0,0,ROUND((SUMIFS('المرتبطة بسمو الوزير'!$N$2:$N$151,'المرتبطة بسمو الوزير'!$B$2:$B$151,$B708,'المرتبطة بسمو الوزير'!$G$2:$G$151,$G708,'المرتبطة بسمو الوزير'!$I$2:$I$151,$I708)+SUMIFS('الشؤون التنفيذية'!$O$2:$O$421,'الشؤون التنفيذية'!$B$2:$B$421,$B708,'الشؤون التنفيذية'!$G$2:$G$421,$G708,'الشؤون التنفيذية'!$I$2:$I$421,$I708)+SUMIFS('الجهاز العسكري'!$N$2:$N$631,'الجهاز العسكري'!$B$2:$B$631,$B708,'الجهاز العسكري'!$G$2:$G$631,$G708,'الجهاز العسكري'!$I$2:$I$631,$I708))/$L708,0))</f>
        <v>89</v>
      </c>
      <c r="P708" s="22"/>
      <c r="Q708" s="19" t="n">
        <f aca="false">SUMIFS(المرجع!$G$2:$G$19,المرجع!$B$2:$B$19,$G708,المرجع!$E$2:$E$19,$I708)</f>
        <v>20</v>
      </c>
      <c r="R708" s="26" t="n">
        <f aca="false">ROUND($Q708*$N708/100,2)</f>
        <v>17.8</v>
      </c>
      <c r="S708" s="27" t="str">
        <f aca="false">IF($N708&gt;المرجع!$K$3,"متقدم",IF($N708&lt;=المرجع!$K$2,"أولي","جزئي"))</f>
        <v>متقدم</v>
      </c>
      <c r="T708" s="28" t="n">
        <f aca="false">ROUND($Q708*$O708/100,2)</f>
        <v>17.8</v>
      </c>
    </row>
    <row r="709" customFormat="false" ht="15" hidden="false" customHeight="true" outlineLevel="0" collapsed="false">
      <c r="A709" s="20" t="s">
        <v>2161</v>
      </c>
      <c r="B709" s="20" t="s">
        <v>236</v>
      </c>
      <c r="C709" s="19" t="str">
        <f aca="false">IFERROR(INDEX('قائمة الوحدات'!$B$2:$B$41,MATCH($B709,'قائمة الوحدات'!$A$2:$A$41,0)),"")</f>
        <v>MIL</v>
      </c>
      <c r="D709" s="18" t="str">
        <f aca="false">IFERROR(INDEX('قائمة الوحدات'!$C$2:$C$41,MATCH($B709,'قائمة الوحدات'!$A$2:$A$41,0)),"")</f>
        <v>الجهاز العسكري</v>
      </c>
      <c r="E709" s="18" t="str">
        <f aca="false">IFERROR(INDEX('قائمة الوحدات'!$D$2:$D$41,MATCH($B709,'قائمة الوحدات'!$A$2:$A$41,0)),"")</f>
        <v>الإدارة العامة للمراسم والتشريفات العسكرية</v>
      </c>
      <c r="F709" s="18" t="str">
        <f aca="false">IFERROR(INDEX('قائمة الوحدات'!$F$2:$F$41,MATCH($B709,'قائمة الوحدات'!$A$2:$A$41,0)),"")</f>
        <v>الإدارة العامة للمراسم والتشريفات العسكرية</v>
      </c>
      <c r="G709" s="20" t="s">
        <v>44</v>
      </c>
      <c r="H709" s="18" t="str">
        <f aca="false">IFERROR(INDEX(المرجع!$A$2:$A$19,MATCH($G709,المرجع!$B$2:$B$19,0)),"")</f>
        <v>التصميم</v>
      </c>
      <c r="I709" s="20" t="s">
        <v>60</v>
      </c>
      <c r="J709" s="18" t="str">
        <f aca="false">IFERROR(INDEX(المرجع!$D$2:$D$19,MATCH($I709,المرجع!$E$2:$E$19,0)),"")</f>
        <v>الإجراءات</v>
      </c>
      <c r="K709" s="19" t="n">
        <f aca="false">IFERROR(INDEX(المرجع!$F$2:$F$19,MATCH($I709,المرجع!$E$2:$E$19,0)),"")</f>
        <v>6</v>
      </c>
      <c r="L709" s="19" t="n">
        <f aca="false">SUMIFS(المرجع!$H$2:$H$19,المرجع!$B$2:$B$19,$G709,المرجع!$E$2:$E$19,$I709)</f>
        <v>1</v>
      </c>
      <c r="M709" s="19" t="n">
        <f aca="false">COUNTIFS('المرتبطة بسمو الوزير'!$B$2:$B$151,$B709,'المرتبطة بسمو الوزير'!$G$2:$G$151,$G709,'المرتبطة بسمو الوزير'!$I$2:$I$151,$I709,'المرتبطة بسمو الوزير'!$M$2:$M$151,"&lt;&gt;")+COUNTIFS('الشؤون التنفيذية'!$B$2:$B$421,$B709,'الشؤون التنفيذية'!$G$2:$G$421,$G709,'الشؤون التنفيذية'!$I$2:$I$421,$I709,'الشؤون التنفيذية'!$N$2:$N$421,"&lt;&gt;")+COUNTIFS('الجهاز العسكري'!$B$2:$B$631,$B709,'الجهاز العسكري'!$G$2:$G$631,$G709,'الجهاز العسكري'!$I$2:$I$631,$I709,'الجهاز العسكري'!$M$2:$M$631,"&lt;&gt;")</f>
        <v>1</v>
      </c>
      <c r="N709" s="24" t="n">
        <f aca="false">IF($L709=0,0,ROUND((SUMIFS('المرتبطة بسمو الوزير'!$M$2:$M$151,'المرتبطة بسمو الوزير'!$B$2:$B$151,$B709,'المرتبطة بسمو الوزير'!$G$2:$G$151,$G709,'المرتبطة بسمو الوزير'!$I$2:$I$151,$I709)+SUMIFS('الشؤون التنفيذية'!$N$2:$N$421,'الشؤون التنفيذية'!$B$2:$B$421,$B709,'الشؤون التنفيذية'!$G$2:$G$421,$G709,'الشؤون التنفيذية'!$I$2:$I$421,$I709)+SUMIFS('الجهاز العسكري'!$M$2:$M$631,'الجهاز العسكري'!$B$2:$B$631,$B709,'الجهاز العسكري'!$G$2:$G$631,$G709,'الجهاز العسكري'!$I$2:$I$631,$I709))/$L709,0))</f>
        <v>88</v>
      </c>
      <c r="O709" s="25" t="n">
        <f aca="false">IF($L709=0,0,ROUND((SUMIFS('المرتبطة بسمو الوزير'!$N$2:$N$151,'المرتبطة بسمو الوزير'!$B$2:$B$151,$B709,'المرتبطة بسمو الوزير'!$G$2:$G$151,$G709,'المرتبطة بسمو الوزير'!$I$2:$I$151,$I709)+SUMIFS('الشؤون التنفيذية'!$O$2:$O$421,'الشؤون التنفيذية'!$B$2:$B$421,$B709,'الشؤون التنفيذية'!$G$2:$G$421,$G709,'الشؤون التنفيذية'!$I$2:$I$421,$I709)+SUMIFS('الجهاز العسكري'!$N$2:$N$631,'الجهاز العسكري'!$B$2:$B$631,$B709,'الجهاز العسكري'!$G$2:$G$631,$G709,'الجهاز العسكري'!$I$2:$I$631,$I709))/$L709,0))</f>
        <v>100</v>
      </c>
      <c r="P709" s="22"/>
      <c r="Q709" s="19" t="n">
        <f aca="false">SUMIFS(المرجع!$G$2:$G$19,المرجع!$B$2:$B$19,$G709,المرجع!$E$2:$E$19,$I709)</f>
        <v>5</v>
      </c>
      <c r="R709" s="26" t="n">
        <f aca="false">ROUND($Q709*$N709/100,2)</f>
        <v>4.4</v>
      </c>
      <c r="S709" s="27" t="str">
        <f aca="false">IF($N709&gt;المرجع!$K$3,"متقدم",IF($N709&lt;=المرجع!$K$2,"أولي","جزئي"))</f>
        <v>متقدم</v>
      </c>
      <c r="T709" s="28" t="n">
        <f aca="false">ROUND($Q709*$O709/100,2)</f>
        <v>5</v>
      </c>
    </row>
    <row r="710" customFormat="false" ht="15" hidden="false" customHeight="true" outlineLevel="0" collapsed="false">
      <c r="A710" s="20" t="s">
        <v>2162</v>
      </c>
      <c r="B710" s="20" t="s">
        <v>236</v>
      </c>
      <c r="C710" s="19" t="str">
        <f aca="false">IFERROR(INDEX('قائمة الوحدات'!$B$2:$B$41,MATCH($B710,'قائمة الوحدات'!$A$2:$A$41,0)),"")</f>
        <v>MIL</v>
      </c>
      <c r="D710" s="18" t="str">
        <f aca="false">IFERROR(INDEX('قائمة الوحدات'!$C$2:$C$41,MATCH($B710,'قائمة الوحدات'!$A$2:$A$41,0)),"")</f>
        <v>الجهاز العسكري</v>
      </c>
      <c r="E710" s="18" t="str">
        <f aca="false">IFERROR(INDEX('قائمة الوحدات'!$D$2:$D$41,MATCH($B710,'قائمة الوحدات'!$A$2:$A$41,0)),"")</f>
        <v>الإدارة العامة للمراسم والتشريفات العسكرية</v>
      </c>
      <c r="F710" s="18" t="str">
        <f aca="false">IFERROR(INDEX('قائمة الوحدات'!$F$2:$F$41,MATCH($B710,'قائمة الوحدات'!$A$2:$A$41,0)),"")</f>
        <v>الإدارة العامة للمراسم والتشريفات العسكرية</v>
      </c>
      <c r="G710" s="20" t="s">
        <v>62</v>
      </c>
      <c r="H710" s="18" t="str">
        <f aca="false">IFERROR(INDEX(المرجع!$A$2:$A$19,MATCH($G710,المرجع!$B$2:$B$19,0)),"")</f>
        <v>البناء المؤسسي</v>
      </c>
      <c r="I710" s="20" t="s">
        <v>46</v>
      </c>
      <c r="J710" s="18" t="str">
        <f aca="false">IFERROR(INDEX(المرجع!$D$2:$D$19,MATCH($I710,المرجع!$E$2:$E$19,0)),"")</f>
        <v>الدور</v>
      </c>
      <c r="K710" s="19" t="n">
        <f aca="false">IFERROR(INDEX(المرجع!$F$2:$F$19,MATCH($I710,المرجع!$E$2:$E$19,0)),"")</f>
        <v>1</v>
      </c>
      <c r="L710" s="19" t="n">
        <f aca="false">SUMIFS(المرجع!$H$2:$H$19,المرجع!$B$2:$B$19,$G710,المرجع!$E$2:$E$19,$I710)</f>
        <v>1</v>
      </c>
      <c r="M710" s="19" t="n">
        <f aca="false">COUNTIFS('المرتبطة بسمو الوزير'!$B$2:$B$151,$B710,'المرتبطة بسمو الوزير'!$G$2:$G$151,$G710,'المرتبطة بسمو الوزير'!$I$2:$I$151,$I710,'المرتبطة بسمو الوزير'!$M$2:$M$151,"&lt;&gt;")+COUNTIFS('الشؤون التنفيذية'!$B$2:$B$421,$B710,'الشؤون التنفيذية'!$G$2:$G$421,$G710,'الشؤون التنفيذية'!$I$2:$I$421,$I710,'الشؤون التنفيذية'!$N$2:$N$421,"&lt;&gt;")+COUNTIFS('الجهاز العسكري'!$B$2:$B$631,$B710,'الجهاز العسكري'!$G$2:$G$631,$G710,'الجهاز العسكري'!$I$2:$I$631,$I710,'الجهاز العسكري'!$M$2:$M$631,"&lt;&gt;")</f>
        <v>1</v>
      </c>
      <c r="N710" s="24" t="n">
        <f aca="false">IF($L710=0,0,ROUND((SUMIFS('المرتبطة بسمو الوزير'!$M$2:$M$151,'المرتبطة بسمو الوزير'!$B$2:$B$151,$B710,'المرتبطة بسمو الوزير'!$G$2:$G$151,$G710,'المرتبطة بسمو الوزير'!$I$2:$I$151,$I710)+SUMIFS('الشؤون التنفيذية'!$N$2:$N$421,'الشؤون التنفيذية'!$B$2:$B$421,$B710,'الشؤون التنفيذية'!$G$2:$G$421,$G710,'الشؤون التنفيذية'!$I$2:$I$421,$I710)+SUMIFS('الجهاز العسكري'!$M$2:$M$631,'الجهاز العسكري'!$B$2:$B$631,$B710,'الجهاز العسكري'!$G$2:$G$631,$G710,'الجهاز العسكري'!$I$2:$I$631,$I710))/$L710,0))</f>
        <v>81</v>
      </c>
      <c r="O710" s="25" t="n">
        <f aca="false">IF($L710=0,0,ROUND((SUMIFS('المرتبطة بسمو الوزير'!$N$2:$N$151,'المرتبطة بسمو الوزير'!$B$2:$B$151,$B710,'المرتبطة بسمو الوزير'!$G$2:$G$151,$G710,'المرتبطة بسمو الوزير'!$I$2:$I$151,$I710)+SUMIFS('الشؤون التنفيذية'!$O$2:$O$421,'الشؤون التنفيذية'!$B$2:$B$421,$B710,'الشؤون التنفيذية'!$G$2:$G$421,$G710,'الشؤون التنفيذية'!$I$2:$I$421,$I710)+SUMIFS('الجهاز العسكري'!$N$2:$N$631,'الجهاز العسكري'!$B$2:$B$631,$B710,'الجهاز العسكري'!$G$2:$G$631,$G710,'الجهاز العسكري'!$I$2:$I$631,$I710))/$L710,0))</f>
        <v>100</v>
      </c>
      <c r="P710" s="22"/>
      <c r="Q710" s="19" t="n">
        <f aca="false">SUMIFS(المرجع!$G$2:$G$19,المرجع!$B$2:$B$19,$G710,المرجع!$E$2:$E$19,$I710)</f>
        <v>15</v>
      </c>
      <c r="R710" s="26" t="n">
        <f aca="false">ROUND($Q710*$N710/100,2)</f>
        <v>12.15</v>
      </c>
      <c r="S710" s="27" t="str">
        <f aca="false">IF($N710&gt;المرجع!$K$3,"متقدم",IF($N710&lt;=المرجع!$K$2,"أولي","جزئي"))</f>
        <v>متقدم</v>
      </c>
      <c r="T710" s="28" t="n">
        <f aca="false">ROUND($Q710*$O710/100,2)</f>
        <v>15</v>
      </c>
    </row>
    <row r="711" customFormat="false" ht="15" hidden="false" customHeight="true" outlineLevel="0" collapsed="false">
      <c r="A711" s="20" t="s">
        <v>2163</v>
      </c>
      <c r="B711" s="20" t="s">
        <v>236</v>
      </c>
      <c r="C711" s="19" t="str">
        <f aca="false">IFERROR(INDEX('قائمة الوحدات'!$B$2:$B$41,MATCH($B711,'قائمة الوحدات'!$A$2:$A$41,0)),"")</f>
        <v>MIL</v>
      </c>
      <c r="D711" s="18" t="str">
        <f aca="false">IFERROR(INDEX('قائمة الوحدات'!$C$2:$C$41,MATCH($B711,'قائمة الوحدات'!$A$2:$A$41,0)),"")</f>
        <v>الجهاز العسكري</v>
      </c>
      <c r="E711" s="18" t="str">
        <f aca="false">IFERROR(INDEX('قائمة الوحدات'!$D$2:$D$41,MATCH($B711,'قائمة الوحدات'!$A$2:$A$41,0)),"")</f>
        <v>الإدارة العامة للمراسم والتشريفات العسكرية</v>
      </c>
      <c r="F711" s="18" t="str">
        <f aca="false">IFERROR(INDEX('قائمة الوحدات'!$F$2:$F$41,MATCH($B711,'قائمة الوحدات'!$A$2:$A$41,0)),"")</f>
        <v>الإدارة العامة للمراسم والتشريفات العسكرية</v>
      </c>
      <c r="G711" s="20" t="s">
        <v>62</v>
      </c>
      <c r="H711" s="18" t="str">
        <f aca="false">IFERROR(INDEX(المرجع!$A$2:$A$19,MATCH($G711,المرجع!$B$2:$B$19,0)),"")</f>
        <v>البناء المؤسسي</v>
      </c>
      <c r="I711" s="20" t="s">
        <v>49</v>
      </c>
      <c r="J711" s="18" t="str">
        <f aca="false">IFERROR(INDEX(المرجع!$D$2:$D$19,MATCH($I711,المرجع!$E$2:$E$19,0)),"")</f>
        <v>الأهداف ومؤشرات الأداء</v>
      </c>
      <c r="K711" s="19" t="n">
        <f aca="false">IFERROR(INDEX(المرجع!$F$2:$F$19,MATCH($I711,المرجع!$E$2:$E$19,0)),"")</f>
        <v>2</v>
      </c>
      <c r="L711" s="19" t="n">
        <f aca="false">SUMIFS(المرجع!$H$2:$H$19,المرجع!$B$2:$B$19,$G711,المرجع!$E$2:$E$19,$I711)</f>
        <v>2</v>
      </c>
      <c r="M711" s="19" t="n">
        <f aca="false">COUNTIFS('المرتبطة بسمو الوزير'!$B$2:$B$151,$B711,'المرتبطة بسمو الوزير'!$G$2:$G$151,$G711,'المرتبطة بسمو الوزير'!$I$2:$I$151,$I711,'المرتبطة بسمو الوزير'!$M$2:$M$151,"&lt;&gt;")+COUNTIFS('الشؤون التنفيذية'!$B$2:$B$421,$B711,'الشؤون التنفيذية'!$G$2:$G$421,$G711,'الشؤون التنفيذية'!$I$2:$I$421,$I711,'الشؤون التنفيذية'!$N$2:$N$421,"&lt;&gt;")+COUNTIFS('الجهاز العسكري'!$B$2:$B$631,$B711,'الجهاز العسكري'!$G$2:$G$631,$G711,'الجهاز العسكري'!$I$2:$I$631,$I711,'الجهاز العسكري'!$M$2:$M$631,"&lt;&gt;")</f>
        <v>2</v>
      </c>
      <c r="N711" s="24" t="n">
        <f aca="false">IF($L711=0,0,ROUND((SUMIFS('المرتبطة بسمو الوزير'!$M$2:$M$151,'المرتبطة بسمو الوزير'!$B$2:$B$151,$B711,'المرتبطة بسمو الوزير'!$G$2:$G$151,$G711,'المرتبطة بسمو الوزير'!$I$2:$I$151,$I711)+SUMIFS('الشؤون التنفيذية'!$N$2:$N$421,'الشؤون التنفيذية'!$B$2:$B$421,$B711,'الشؤون التنفيذية'!$G$2:$G$421,$G711,'الشؤون التنفيذية'!$I$2:$I$421,$I711)+SUMIFS('الجهاز العسكري'!$M$2:$M$631,'الجهاز العسكري'!$B$2:$B$631,$B711,'الجهاز العسكري'!$G$2:$G$631,$G711,'الجهاز العسكري'!$I$2:$I$631,$I711))/$L711,0))</f>
        <v>50</v>
      </c>
      <c r="O711" s="25" t="n">
        <f aca="false">IF($L711=0,0,ROUND((SUMIFS('المرتبطة بسمو الوزير'!$N$2:$N$151,'المرتبطة بسمو الوزير'!$B$2:$B$151,$B711,'المرتبطة بسمو الوزير'!$G$2:$G$151,$G711,'المرتبطة بسمو الوزير'!$I$2:$I$151,$I711)+SUMIFS('الشؤون التنفيذية'!$O$2:$O$421,'الشؤون التنفيذية'!$B$2:$B$421,$B711,'الشؤون التنفيذية'!$G$2:$G$421,$G711,'الشؤون التنفيذية'!$I$2:$I$421,$I711)+SUMIFS('الجهاز العسكري'!$N$2:$N$631,'الجهاز العسكري'!$B$2:$B$631,$B711,'الجهاز العسكري'!$G$2:$G$631,$G711,'الجهاز العسكري'!$I$2:$I$631,$I711))/$L711,0))</f>
        <v>80</v>
      </c>
      <c r="P711" s="22"/>
      <c r="Q711" s="19" t="n">
        <f aca="false">SUMIFS(المرجع!$G$2:$G$19,المرجع!$B$2:$B$19,$G711,المرجع!$E$2:$E$19,$I711)</f>
        <v>15</v>
      </c>
      <c r="R711" s="26" t="n">
        <f aca="false">ROUND($Q711*$N711/100,2)</f>
        <v>7.5</v>
      </c>
      <c r="S711" s="27" t="str">
        <f aca="false">IF($N711&gt;المرجع!$K$3,"متقدم",IF($N711&lt;=المرجع!$K$2,"أولي","جزئي"))</f>
        <v>جزئي</v>
      </c>
      <c r="T711" s="28" t="n">
        <f aca="false">ROUND($Q711*$O711/100,2)</f>
        <v>12</v>
      </c>
    </row>
    <row r="712" customFormat="false" ht="15" hidden="false" customHeight="true" outlineLevel="0" collapsed="false">
      <c r="A712" s="20" t="s">
        <v>2164</v>
      </c>
      <c r="B712" s="20" t="s">
        <v>236</v>
      </c>
      <c r="C712" s="19" t="str">
        <f aca="false">IFERROR(INDEX('قائمة الوحدات'!$B$2:$B$41,MATCH($B712,'قائمة الوحدات'!$A$2:$A$41,0)),"")</f>
        <v>MIL</v>
      </c>
      <c r="D712" s="18" t="str">
        <f aca="false">IFERROR(INDEX('قائمة الوحدات'!$C$2:$C$41,MATCH($B712,'قائمة الوحدات'!$A$2:$A$41,0)),"")</f>
        <v>الجهاز العسكري</v>
      </c>
      <c r="E712" s="18" t="str">
        <f aca="false">IFERROR(INDEX('قائمة الوحدات'!$D$2:$D$41,MATCH($B712,'قائمة الوحدات'!$A$2:$A$41,0)),"")</f>
        <v>الإدارة العامة للمراسم والتشريفات العسكرية</v>
      </c>
      <c r="F712" s="18" t="str">
        <f aca="false">IFERROR(INDEX('قائمة الوحدات'!$F$2:$F$41,MATCH($B712,'قائمة الوحدات'!$A$2:$A$41,0)),"")</f>
        <v>الإدارة العامة للمراسم والتشريفات العسكرية</v>
      </c>
      <c r="G712" s="20" t="s">
        <v>62</v>
      </c>
      <c r="H712" s="18" t="str">
        <f aca="false">IFERROR(INDEX(المرجع!$A$2:$A$19,MATCH($G712,المرجع!$B$2:$B$19,0)),"")</f>
        <v>البناء المؤسسي</v>
      </c>
      <c r="I712" s="20" t="s">
        <v>52</v>
      </c>
      <c r="J712" s="18" t="str">
        <f aca="false">IFERROR(INDEX(المرجع!$D$2:$D$19,MATCH($I712,المرجع!$E$2:$E$19,0)),"")</f>
        <v>الحوكمة</v>
      </c>
      <c r="K712" s="19" t="n">
        <f aca="false">IFERROR(INDEX(المرجع!$F$2:$F$19,MATCH($I712,المرجع!$E$2:$E$19,0)),"")</f>
        <v>3</v>
      </c>
      <c r="L712" s="19" t="n">
        <f aca="false">SUMIFS(المرجع!$H$2:$H$19,المرجع!$B$2:$B$19,$G712,المرجع!$E$2:$E$19,$I712)</f>
        <v>3</v>
      </c>
      <c r="M712" s="19" t="n">
        <f aca="false">COUNTIFS('المرتبطة بسمو الوزير'!$B$2:$B$151,$B712,'المرتبطة بسمو الوزير'!$G$2:$G$151,$G712,'المرتبطة بسمو الوزير'!$I$2:$I$151,$I712,'المرتبطة بسمو الوزير'!$M$2:$M$151,"&lt;&gt;")+COUNTIFS('الشؤون التنفيذية'!$B$2:$B$421,$B712,'الشؤون التنفيذية'!$G$2:$G$421,$G712,'الشؤون التنفيذية'!$I$2:$I$421,$I712,'الشؤون التنفيذية'!$N$2:$N$421,"&lt;&gt;")+COUNTIFS('الجهاز العسكري'!$B$2:$B$631,$B712,'الجهاز العسكري'!$G$2:$G$631,$G712,'الجهاز العسكري'!$I$2:$I$631,$I712,'الجهاز العسكري'!$M$2:$M$631,"&lt;&gt;")</f>
        <v>3</v>
      </c>
      <c r="N712" s="24" t="n">
        <f aca="false">IF($L712=0,0,ROUND((SUMIFS('المرتبطة بسمو الوزير'!$M$2:$M$151,'المرتبطة بسمو الوزير'!$B$2:$B$151,$B712,'المرتبطة بسمو الوزير'!$G$2:$G$151,$G712,'المرتبطة بسمو الوزير'!$I$2:$I$151,$I712)+SUMIFS('الشؤون التنفيذية'!$N$2:$N$421,'الشؤون التنفيذية'!$B$2:$B$421,$B712,'الشؤون التنفيذية'!$G$2:$G$421,$G712,'الشؤون التنفيذية'!$I$2:$I$421,$I712)+SUMIFS('الجهاز العسكري'!$M$2:$M$631,'الجهاز العسكري'!$B$2:$B$631,$B712,'الجهاز العسكري'!$G$2:$G$631,$G712,'الجهاز العسكري'!$I$2:$I$631,$I712))/$L712,0))</f>
        <v>48</v>
      </c>
      <c r="O712" s="25" t="n">
        <f aca="false">IF($L712=0,0,ROUND((SUMIFS('المرتبطة بسمو الوزير'!$N$2:$N$151,'المرتبطة بسمو الوزير'!$B$2:$B$151,$B712,'المرتبطة بسمو الوزير'!$G$2:$G$151,$G712,'المرتبطة بسمو الوزير'!$I$2:$I$151,$I712)+SUMIFS('الشؤون التنفيذية'!$O$2:$O$421,'الشؤون التنفيذية'!$B$2:$B$421,$B712,'الشؤون التنفيذية'!$G$2:$G$421,$G712,'الشؤون التنفيذية'!$I$2:$I$421,$I712)+SUMIFS('الجهاز العسكري'!$N$2:$N$631,'الجهاز العسكري'!$B$2:$B$631,$B712,'الجهاز العسكري'!$G$2:$G$631,$G712,'الجهاز العسكري'!$I$2:$I$631,$I712))/$L712,0))</f>
        <v>95</v>
      </c>
      <c r="P712" s="22"/>
      <c r="Q712" s="19" t="n">
        <f aca="false">SUMIFS(المرجع!$G$2:$G$19,المرجع!$B$2:$B$19,$G712,المرجع!$E$2:$E$19,$I712)</f>
        <v>15</v>
      </c>
      <c r="R712" s="26" t="n">
        <f aca="false">ROUND($Q712*$N712/100,2)</f>
        <v>7.2</v>
      </c>
      <c r="S712" s="27" t="str">
        <f aca="false">IF($N712&gt;المرجع!$K$3,"متقدم",IF($N712&lt;=المرجع!$K$2,"أولي","جزئي"))</f>
        <v>جزئي</v>
      </c>
      <c r="T712" s="28" t="n">
        <f aca="false">ROUND($Q712*$O712/100,2)</f>
        <v>14.25</v>
      </c>
    </row>
    <row r="713" customFormat="false" ht="15" hidden="false" customHeight="true" outlineLevel="0" collapsed="false">
      <c r="A713" s="20" t="s">
        <v>2165</v>
      </c>
      <c r="B713" s="20" t="s">
        <v>236</v>
      </c>
      <c r="C713" s="19" t="str">
        <f aca="false">IFERROR(INDEX('قائمة الوحدات'!$B$2:$B$41,MATCH($B713,'قائمة الوحدات'!$A$2:$A$41,0)),"")</f>
        <v>MIL</v>
      </c>
      <c r="D713" s="18" t="str">
        <f aca="false">IFERROR(INDEX('قائمة الوحدات'!$C$2:$C$41,MATCH($B713,'قائمة الوحدات'!$A$2:$A$41,0)),"")</f>
        <v>الجهاز العسكري</v>
      </c>
      <c r="E713" s="18" t="str">
        <f aca="false">IFERROR(INDEX('قائمة الوحدات'!$D$2:$D$41,MATCH($B713,'قائمة الوحدات'!$A$2:$A$41,0)),"")</f>
        <v>الإدارة العامة للمراسم والتشريفات العسكرية</v>
      </c>
      <c r="F713" s="18" t="str">
        <f aca="false">IFERROR(INDEX('قائمة الوحدات'!$F$2:$F$41,MATCH($B713,'قائمة الوحدات'!$A$2:$A$41,0)),"")</f>
        <v>الإدارة العامة للمراسم والتشريفات العسكرية</v>
      </c>
      <c r="G713" s="20" t="s">
        <v>62</v>
      </c>
      <c r="H713" s="18" t="str">
        <f aca="false">IFERROR(INDEX(المرجع!$A$2:$A$19,MATCH($G713,المرجع!$B$2:$B$19,0)),"")</f>
        <v>البناء المؤسسي</v>
      </c>
      <c r="I713" s="20" t="s">
        <v>55</v>
      </c>
      <c r="J713" s="18" t="str">
        <f aca="false">IFERROR(INDEX(المرجع!$D$2:$D$19,MATCH($I713,المرجع!$E$2:$E$19,0)),"")</f>
        <v>التنظيم</v>
      </c>
      <c r="K713" s="19" t="n">
        <f aca="false">IFERROR(INDEX(المرجع!$F$2:$F$19,MATCH($I713,المرجع!$E$2:$E$19,0)),"")</f>
        <v>4</v>
      </c>
      <c r="L713" s="19" t="n">
        <f aca="false">SUMIFS(المرجع!$H$2:$H$19,المرجع!$B$2:$B$19,$G713,المرجع!$E$2:$E$19,$I713)</f>
        <v>3</v>
      </c>
      <c r="M713" s="19" t="n">
        <f aca="false">COUNTIFS('المرتبطة بسمو الوزير'!$B$2:$B$151,$B713,'المرتبطة بسمو الوزير'!$G$2:$G$151,$G713,'المرتبطة بسمو الوزير'!$I$2:$I$151,$I713,'المرتبطة بسمو الوزير'!$M$2:$M$151,"&lt;&gt;")+COUNTIFS('الشؤون التنفيذية'!$B$2:$B$421,$B713,'الشؤون التنفيذية'!$G$2:$G$421,$G713,'الشؤون التنفيذية'!$I$2:$I$421,$I713,'الشؤون التنفيذية'!$N$2:$N$421,"&lt;&gt;")+COUNTIFS('الجهاز العسكري'!$B$2:$B$631,$B713,'الجهاز العسكري'!$G$2:$G$631,$G713,'الجهاز العسكري'!$I$2:$I$631,$I713,'الجهاز العسكري'!$M$2:$M$631,"&lt;&gt;")</f>
        <v>3</v>
      </c>
      <c r="N713" s="24" t="n">
        <f aca="false">IF($L713=0,0,ROUND((SUMIFS('المرتبطة بسمو الوزير'!$M$2:$M$151,'المرتبطة بسمو الوزير'!$B$2:$B$151,$B713,'المرتبطة بسمو الوزير'!$G$2:$G$151,$G713,'المرتبطة بسمو الوزير'!$I$2:$I$151,$I713)+SUMIFS('الشؤون التنفيذية'!$N$2:$N$421,'الشؤون التنفيذية'!$B$2:$B$421,$B713,'الشؤون التنفيذية'!$G$2:$G$421,$G713,'الشؤون التنفيذية'!$I$2:$I$421,$I713)+SUMIFS('الجهاز العسكري'!$M$2:$M$631,'الجهاز العسكري'!$B$2:$B$631,$B713,'الجهاز العسكري'!$G$2:$G$631,$G713,'الجهاز العسكري'!$I$2:$I$631,$I713))/$L713,0))</f>
        <v>40</v>
      </c>
      <c r="O713" s="25" t="n">
        <f aca="false">IF($L713=0,0,ROUND((SUMIFS('المرتبطة بسمو الوزير'!$N$2:$N$151,'المرتبطة بسمو الوزير'!$B$2:$B$151,$B713,'المرتبطة بسمو الوزير'!$G$2:$G$151,$G713,'المرتبطة بسمو الوزير'!$I$2:$I$151,$I713)+SUMIFS('الشؤون التنفيذية'!$O$2:$O$421,'الشؤون التنفيذية'!$B$2:$B$421,$B713,'الشؤون التنفيذية'!$G$2:$G$421,$G713,'الشؤون التنفيذية'!$I$2:$I$421,$I713)+SUMIFS('الجهاز العسكري'!$N$2:$N$631,'الجهاز العسكري'!$B$2:$B$631,$B713,'الجهاز العسكري'!$G$2:$G$631,$G713,'الجهاز العسكري'!$I$2:$I$631,$I713))/$L713,0))</f>
        <v>93</v>
      </c>
      <c r="P713" s="22"/>
      <c r="Q713" s="19" t="n">
        <f aca="false">SUMIFS(المرجع!$G$2:$G$19,المرجع!$B$2:$B$19,$G713,المرجع!$E$2:$E$19,$I713)</f>
        <v>20</v>
      </c>
      <c r="R713" s="26" t="n">
        <f aca="false">ROUND($Q713*$N713/100,2)</f>
        <v>8</v>
      </c>
      <c r="S713" s="27" t="str">
        <f aca="false">IF($N713&gt;المرجع!$K$3,"متقدم",IF($N713&lt;=المرجع!$K$2,"أولي","جزئي"))</f>
        <v>جزئي</v>
      </c>
      <c r="T713" s="28" t="n">
        <f aca="false">ROUND($Q713*$O713/100,2)</f>
        <v>18.6</v>
      </c>
    </row>
    <row r="714" customFormat="false" ht="15" hidden="false" customHeight="true" outlineLevel="0" collapsed="false">
      <c r="A714" s="20" t="s">
        <v>2166</v>
      </c>
      <c r="B714" s="20" t="s">
        <v>236</v>
      </c>
      <c r="C714" s="19" t="str">
        <f aca="false">IFERROR(INDEX('قائمة الوحدات'!$B$2:$B$41,MATCH($B714,'قائمة الوحدات'!$A$2:$A$41,0)),"")</f>
        <v>MIL</v>
      </c>
      <c r="D714" s="18" t="str">
        <f aca="false">IFERROR(INDEX('قائمة الوحدات'!$C$2:$C$41,MATCH($B714,'قائمة الوحدات'!$A$2:$A$41,0)),"")</f>
        <v>الجهاز العسكري</v>
      </c>
      <c r="E714" s="18" t="str">
        <f aca="false">IFERROR(INDEX('قائمة الوحدات'!$D$2:$D$41,MATCH($B714,'قائمة الوحدات'!$A$2:$A$41,0)),"")</f>
        <v>الإدارة العامة للمراسم والتشريفات العسكرية</v>
      </c>
      <c r="F714" s="18" t="str">
        <f aca="false">IFERROR(INDEX('قائمة الوحدات'!$F$2:$F$41,MATCH($B714,'قائمة الوحدات'!$A$2:$A$41,0)),"")</f>
        <v>الإدارة العامة للمراسم والتشريفات العسكرية</v>
      </c>
      <c r="G714" s="20" t="s">
        <v>62</v>
      </c>
      <c r="H714" s="18" t="str">
        <f aca="false">IFERROR(INDEX(المرجع!$A$2:$A$19,MATCH($G714,المرجع!$B$2:$B$19,0)),"")</f>
        <v>البناء المؤسسي</v>
      </c>
      <c r="I714" s="20" t="s">
        <v>57</v>
      </c>
      <c r="J714" s="18" t="str">
        <f aca="false">IFERROR(INDEX(المرجع!$D$2:$D$19,MATCH($I714,المرجع!$E$2:$E$19,0)),"")</f>
        <v>الموارد</v>
      </c>
      <c r="K714" s="19" t="n">
        <f aca="false">IFERROR(INDEX(المرجع!$F$2:$F$19,MATCH($I714,المرجع!$E$2:$E$19,0)),"")</f>
        <v>5</v>
      </c>
      <c r="L714" s="19" t="n">
        <f aca="false">SUMIFS(المرجع!$H$2:$H$19,المرجع!$B$2:$B$19,$G714,المرجع!$E$2:$E$19,$I714)</f>
        <v>4</v>
      </c>
      <c r="M714" s="19" t="n">
        <f aca="false">COUNTIFS('المرتبطة بسمو الوزير'!$B$2:$B$151,$B714,'المرتبطة بسمو الوزير'!$G$2:$G$151,$G714,'المرتبطة بسمو الوزير'!$I$2:$I$151,$I714,'المرتبطة بسمو الوزير'!$M$2:$M$151,"&lt;&gt;")+COUNTIFS('الشؤون التنفيذية'!$B$2:$B$421,$B714,'الشؤون التنفيذية'!$G$2:$G$421,$G714,'الشؤون التنفيذية'!$I$2:$I$421,$I714,'الشؤون التنفيذية'!$N$2:$N$421,"&lt;&gt;")+COUNTIFS('الجهاز العسكري'!$B$2:$B$631,$B714,'الجهاز العسكري'!$G$2:$G$631,$G714,'الجهاز العسكري'!$I$2:$I$631,$I714,'الجهاز العسكري'!$M$2:$M$631,"&lt;&gt;")</f>
        <v>4</v>
      </c>
      <c r="N714" s="24" t="n">
        <f aca="false">IF($L714=0,0,ROUND((SUMIFS('المرتبطة بسمو الوزير'!$M$2:$M$151,'المرتبطة بسمو الوزير'!$B$2:$B$151,$B714,'المرتبطة بسمو الوزير'!$G$2:$G$151,$G714,'المرتبطة بسمو الوزير'!$I$2:$I$151,$I714)+SUMIFS('الشؤون التنفيذية'!$N$2:$N$421,'الشؤون التنفيذية'!$B$2:$B$421,$B714,'الشؤون التنفيذية'!$G$2:$G$421,$G714,'الشؤون التنفيذية'!$I$2:$I$421,$I714)+SUMIFS('الجهاز العسكري'!$M$2:$M$631,'الجهاز العسكري'!$B$2:$B$631,$B714,'الجهاز العسكري'!$G$2:$G$631,$G714,'الجهاز العسكري'!$I$2:$I$631,$I714))/$L714,0))</f>
        <v>78</v>
      </c>
      <c r="O714" s="25" t="n">
        <f aca="false">IF($L714=0,0,ROUND((SUMIFS('المرتبطة بسمو الوزير'!$N$2:$N$151,'المرتبطة بسمو الوزير'!$B$2:$B$151,$B714,'المرتبطة بسمو الوزير'!$G$2:$G$151,$G714,'المرتبطة بسمو الوزير'!$I$2:$I$151,$I714)+SUMIFS('الشؤون التنفيذية'!$O$2:$O$421,'الشؤون التنفيذية'!$B$2:$B$421,$B714,'الشؤون التنفيذية'!$G$2:$G$421,$G714,'الشؤون التنفيذية'!$I$2:$I$421,$I714)+SUMIFS('الجهاز العسكري'!$N$2:$N$631,'الجهاز العسكري'!$B$2:$B$631,$B714,'الجهاز العسكري'!$G$2:$G$631,$G714,'الجهاز العسكري'!$I$2:$I$631,$I714))/$L714,0))</f>
        <v>95</v>
      </c>
      <c r="P714" s="22"/>
      <c r="Q714" s="19" t="n">
        <f aca="false">SUMIFS(المرجع!$G$2:$G$19,المرجع!$B$2:$B$19,$G714,المرجع!$E$2:$E$19,$I714)</f>
        <v>25</v>
      </c>
      <c r="R714" s="26" t="n">
        <f aca="false">ROUND($Q714*$N714/100,2)</f>
        <v>19.5</v>
      </c>
      <c r="S714" s="27" t="str">
        <f aca="false">IF($N714&gt;المرجع!$K$3,"متقدم",IF($N714&lt;=المرجع!$K$2,"أولي","جزئي"))</f>
        <v>متقدم</v>
      </c>
      <c r="T714" s="28" t="n">
        <f aca="false">ROUND($Q714*$O714/100,2)</f>
        <v>23.75</v>
      </c>
    </row>
    <row r="715" customFormat="false" ht="15" hidden="false" customHeight="true" outlineLevel="0" collapsed="false">
      <c r="A715" s="20" t="s">
        <v>2167</v>
      </c>
      <c r="B715" s="20" t="s">
        <v>236</v>
      </c>
      <c r="C715" s="19" t="str">
        <f aca="false">IFERROR(INDEX('قائمة الوحدات'!$B$2:$B$41,MATCH($B715,'قائمة الوحدات'!$A$2:$A$41,0)),"")</f>
        <v>MIL</v>
      </c>
      <c r="D715" s="18" t="str">
        <f aca="false">IFERROR(INDEX('قائمة الوحدات'!$C$2:$C$41,MATCH($B715,'قائمة الوحدات'!$A$2:$A$41,0)),"")</f>
        <v>الجهاز العسكري</v>
      </c>
      <c r="E715" s="18" t="str">
        <f aca="false">IFERROR(INDEX('قائمة الوحدات'!$D$2:$D$41,MATCH($B715,'قائمة الوحدات'!$A$2:$A$41,0)),"")</f>
        <v>الإدارة العامة للمراسم والتشريفات العسكرية</v>
      </c>
      <c r="F715" s="18" t="str">
        <f aca="false">IFERROR(INDEX('قائمة الوحدات'!$F$2:$F$41,MATCH($B715,'قائمة الوحدات'!$A$2:$A$41,0)),"")</f>
        <v>الإدارة العامة للمراسم والتشريفات العسكرية</v>
      </c>
      <c r="G715" s="20" t="s">
        <v>62</v>
      </c>
      <c r="H715" s="18" t="str">
        <f aca="false">IFERROR(INDEX(المرجع!$A$2:$A$19,MATCH($G715,المرجع!$B$2:$B$19,0)),"")</f>
        <v>البناء المؤسسي</v>
      </c>
      <c r="I715" s="20" t="s">
        <v>60</v>
      </c>
      <c r="J715" s="18" t="str">
        <f aca="false">IFERROR(INDEX(المرجع!$D$2:$D$19,MATCH($I715,المرجع!$E$2:$E$19,0)),"")</f>
        <v>الإجراءات</v>
      </c>
      <c r="K715" s="19" t="n">
        <f aca="false">IFERROR(INDEX(المرجع!$F$2:$F$19,MATCH($I715,المرجع!$E$2:$E$19,0)),"")</f>
        <v>6</v>
      </c>
      <c r="L715" s="19" t="n">
        <f aca="false">SUMIFS(المرجع!$H$2:$H$19,المرجع!$B$2:$B$19,$G715,المرجع!$E$2:$E$19,$I715)</f>
        <v>1</v>
      </c>
      <c r="M715" s="19" t="n">
        <f aca="false">COUNTIFS('المرتبطة بسمو الوزير'!$B$2:$B$151,$B715,'المرتبطة بسمو الوزير'!$G$2:$G$151,$G715,'المرتبطة بسمو الوزير'!$I$2:$I$151,$I715,'المرتبطة بسمو الوزير'!$M$2:$M$151,"&lt;&gt;")+COUNTIFS('الشؤون التنفيذية'!$B$2:$B$421,$B715,'الشؤون التنفيذية'!$G$2:$G$421,$G715,'الشؤون التنفيذية'!$I$2:$I$421,$I715,'الشؤون التنفيذية'!$N$2:$N$421,"&lt;&gt;")+COUNTIFS('الجهاز العسكري'!$B$2:$B$631,$B715,'الجهاز العسكري'!$G$2:$G$631,$G715,'الجهاز العسكري'!$I$2:$I$631,$I715,'الجهاز العسكري'!$M$2:$M$631,"&lt;&gt;")</f>
        <v>1</v>
      </c>
      <c r="N715" s="24" t="n">
        <f aca="false">IF($L715=0,0,ROUND((SUMIFS('المرتبطة بسمو الوزير'!$M$2:$M$151,'المرتبطة بسمو الوزير'!$B$2:$B$151,$B715,'المرتبطة بسمو الوزير'!$G$2:$G$151,$G715,'المرتبطة بسمو الوزير'!$I$2:$I$151,$I715)+SUMIFS('الشؤون التنفيذية'!$N$2:$N$421,'الشؤون التنفيذية'!$B$2:$B$421,$B715,'الشؤون التنفيذية'!$G$2:$G$421,$G715,'الشؤون التنفيذية'!$I$2:$I$421,$I715)+SUMIFS('الجهاز العسكري'!$M$2:$M$631,'الجهاز العسكري'!$B$2:$B$631,$B715,'الجهاز العسكري'!$G$2:$G$631,$G715,'الجهاز العسكري'!$I$2:$I$631,$I715))/$L715,0))</f>
        <v>66</v>
      </c>
      <c r="O715" s="25" t="n">
        <f aca="false">IF($L715=0,0,ROUND((SUMIFS('المرتبطة بسمو الوزير'!$N$2:$N$151,'المرتبطة بسمو الوزير'!$B$2:$B$151,$B715,'المرتبطة بسمو الوزير'!$G$2:$G$151,$G715,'المرتبطة بسمو الوزير'!$I$2:$I$151,$I715)+SUMIFS('الشؤون التنفيذية'!$O$2:$O$421,'الشؤون التنفيذية'!$B$2:$B$421,$B715,'الشؤون التنفيذية'!$G$2:$G$421,$G715,'الشؤون التنفيذية'!$I$2:$I$421,$I715)+SUMIFS('الجهاز العسكري'!$N$2:$N$631,'الجهاز العسكري'!$B$2:$B$631,$B715,'الجهاز العسكري'!$G$2:$G$631,$G715,'الجهاز العسكري'!$I$2:$I$631,$I715))/$L715,0))</f>
        <v>85</v>
      </c>
      <c r="P715" s="22"/>
      <c r="Q715" s="19" t="n">
        <f aca="false">SUMIFS(المرجع!$G$2:$G$19,المرجع!$B$2:$B$19,$G715,المرجع!$E$2:$E$19,$I715)</f>
        <v>5</v>
      </c>
      <c r="R715" s="26" t="n">
        <f aca="false">ROUND($Q715*$N715/100,2)</f>
        <v>3.3</v>
      </c>
      <c r="S715" s="27" t="str">
        <f aca="false">IF($N715&gt;المرجع!$K$3,"متقدم",IF($N715&lt;=المرجع!$K$2,"أولي","جزئي"))</f>
        <v>جزئي</v>
      </c>
      <c r="T715" s="28" t="n">
        <f aca="false">ROUND($Q715*$O715/100,2)</f>
        <v>4.25</v>
      </c>
    </row>
    <row r="716" customFormat="false" ht="15" hidden="false" customHeight="true" outlineLevel="0" collapsed="false">
      <c r="A716" s="20" t="s">
        <v>2168</v>
      </c>
      <c r="B716" s="20" t="s">
        <v>236</v>
      </c>
      <c r="C716" s="19" t="str">
        <f aca="false">IFERROR(INDEX('قائمة الوحدات'!$B$2:$B$41,MATCH($B716,'قائمة الوحدات'!$A$2:$A$41,0)),"")</f>
        <v>MIL</v>
      </c>
      <c r="D716" s="18" t="str">
        <f aca="false">IFERROR(INDEX('قائمة الوحدات'!$C$2:$C$41,MATCH($B716,'قائمة الوحدات'!$A$2:$A$41,0)),"")</f>
        <v>الجهاز العسكري</v>
      </c>
      <c r="E716" s="18" t="str">
        <f aca="false">IFERROR(INDEX('قائمة الوحدات'!$D$2:$D$41,MATCH($B716,'قائمة الوحدات'!$A$2:$A$41,0)),"")</f>
        <v>الإدارة العامة للمراسم والتشريفات العسكرية</v>
      </c>
      <c r="F716" s="18" t="str">
        <f aca="false">IFERROR(INDEX('قائمة الوحدات'!$F$2:$F$41,MATCH($B716,'قائمة الوحدات'!$A$2:$A$41,0)),"")</f>
        <v>الإدارة العامة للمراسم والتشريفات العسكرية</v>
      </c>
      <c r="G716" s="20" t="s">
        <v>62</v>
      </c>
      <c r="H716" s="18" t="str">
        <f aca="false">IFERROR(INDEX(المرجع!$A$2:$A$19,MATCH($G716,المرجع!$B$2:$B$19,0)),"")</f>
        <v>البناء المؤسسي</v>
      </c>
      <c r="I716" s="20" t="s">
        <v>69</v>
      </c>
      <c r="J716" s="18" t="str">
        <f aca="false">IFERROR(INDEX(المرجع!$D$2:$D$19,MATCH($I716,المرجع!$E$2:$E$19,0)),"")</f>
        <v>إنتاج المخرج الأول</v>
      </c>
      <c r="K716" s="19" t="n">
        <f aca="false">IFERROR(INDEX(المرجع!$F$2:$F$19,MATCH($I716,المرجع!$E$2:$E$19,0)),"")</f>
        <v>7</v>
      </c>
      <c r="L716" s="19" t="n">
        <f aca="false">SUMIFS(المرجع!$H$2:$H$19,المرجع!$B$2:$B$19,$G716,المرجع!$E$2:$E$19,$I716)</f>
        <v>1</v>
      </c>
      <c r="M716" s="19" t="n">
        <f aca="false">COUNTIFS('المرتبطة بسمو الوزير'!$B$2:$B$151,$B716,'المرتبطة بسمو الوزير'!$G$2:$G$151,$G716,'المرتبطة بسمو الوزير'!$I$2:$I$151,$I716,'المرتبطة بسمو الوزير'!$M$2:$M$151,"&lt;&gt;")+COUNTIFS('الشؤون التنفيذية'!$B$2:$B$421,$B716,'الشؤون التنفيذية'!$G$2:$G$421,$G716,'الشؤون التنفيذية'!$I$2:$I$421,$I716,'الشؤون التنفيذية'!$N$2:$N$421,"&lt;&gt;")+COUNTIFS('الجهاز العسكري'!$B$2:$B$631,$B716,'الجهاز العسكري'!$G$2:$G$631,$G716,'الجهاز العسكري'!$I$2:$I$631,$I716,'الجهاز العسكري'!$M$2:$M$631,"&lt;&gt;")</f>
        <v>1</v>
      </c>
      <c r="N716" s="24" t="n">
        <f aca="false">IF($L716=0,0,ROUND((SUMIFS('المرتبطة بسمو الوزير'!$M$2:$M$151,'المرتبطة بسمو الوزير'!$B$2:$B$151,$B716,'المرتبطة بسمو الوزير'!$G$2:$G$151,$G716,'المرتبطة بسمو الوزير'!$I$2:$I$151,$I716)+SUMIFS('الشؤون التنفيذية'!$N$2:$N$421,'الشؤون التنفيذية'!$B$2:$B$421,$B716,'الشؤون التنفيذية'!$G$2:$G$421,$G716,'الشؤون التنفيذية'!$I$2:$I$421,$I716)+SUMIFS('الجهاز العسكري'!$M$2:$M$631,'الجهاز العسكري'!$B$2:$B$631,$B716,'الجهاز العسكري'!$G$2:$G$631,$G716,'الجهاز العسكري'!$I$2:$I$631,$I716))/$L716,0))</f>
        <v>42</v>
      </c>
      <c r="O716" s="25" t="n">
        <f aca="false">IF($L716=0,0,ROUND((SUMIFS('المرتبطة بسمو الوزير'!$N$2:$N$151,'المرتبطة بسمو الوزير'!$B$2:$B$151,$B716,'المرتبطة بسمو الوزير'!$G$2:$G$151,$G716,'المرتبطة بسمو الوزير'!$I$2:$I$151,$I716)+SUMIFS('الشؤون التنفيذية'!$O$2:$O$421,'الشؤون التنفيذية'!$B$2:$B$421,$B716,'الشؤون التنفيذية'!$G$2:$G$421,$G716,'الشؤون التنفيذية'!$I$2:$I$421,$I716)+SUMIFS('الجهاز العسكري'!$N$2:$N$631,'الجهاز العسكري'!$B$2:$B$631,$B716,'الجهاز العسكري'!$G$2:$G$631,$G716,'الجهاز العسكري'!$I$2:$I$631,$I716))/$L716,0))</f>
        <v>100</v>
      </c>
      <c r="P716" s="22"/>
      <c r="Q716" s="19" t="n">
        <f aca="false">SUMIFS(المرجع!$G$2:$G$19,المرجع!$B$2:$B$19,$G716,المرجع!$E$2:$E$19,$I716)</f>
        <v>5</v>
      </c>
      <c r="R716" s="26" t="n">
        <f aca="false">ROUND($Q716*$N716/100,2)</f>
        <v>2.1</v>
      </c>
      <c r="S716" s="27" t="str">
        <f aca="false">IF($N716&gt;المرجع!$K$3,"متقدم",IF($N716&lt;=المرجع!$K$2,"أولي","جزئي"))</f>
        <v>جزئي</v>
      </c>
      <c r="T716" s="28" t="n">
        <f aca="false">ROUND($Q716*$O716/100,2)</f>
        <v>5</v>
      </c>
    </row>
    <row r="717" customFormat="false" ht="15" hidden="false" customHeight="true" outlineLevel="0" collapsed="false">
      <c r="A717" s="20" t="s">
        <v>2169</v>
      </c>
      <c r="B717" s="20" t="s">
        <v>236</v>
      </c>
      <c r="C717" s="19" t="str">
        <f aca="false">IFERROR(INDEX('قائمة الوحدات'!$B$2:$B$41,MATCH($B717,'قائمة الوحدات'!$A$2:$A$41,0)),"")</f>
        <v>MIL</v>
      </c>
      <c r="D717" s="18" t="str">
        <f aca="false">IFERROR(INDEX('قائمة الوحدات'!$C$2:$C$41,MATCH($B717,'قائمة الوحدات'!$A$2:$A$41,0)),"")</f>
        <v>الجهاز العسكري</v>
      </c>
      <c r="E717" s="18" t="str">
        <f aca="false">IFERROR(INDEX('قائمة الوحدات'!$D$2:$D$41,MATCH($B717,'قائمة الوحدات'!$A$2:$A$41,0)),"")</f>
        <v>الإدارة العامة للمراسم والتشريفات العسكرية</v>
      </c>
      <c r="F717" s="18" t="str">
        <f aca="false">IFERROR(INDEX('قائمة الوحدات'!$F$2:$F$41,MATCH($B717,'قائمة الوحدات'!$A$2:$A$41,0)),"")</f>
        <v>الإدارة العامة للمراسم والتشريفات العسكرية</v>
      </c>
      <c r="G717" s="20" t="s">
        <v>66</v>
      </c>
      <c r="H717" s="18" t="str">
        <f aca="false">IFERROR(INDEX(المرجع!$A$2:$A$19,MATCH($G717,المرجع!$B$2:$B$19,0)),"")</f>
        <v>التشغيل</v>
      </c>
      <c r="I717" s="20" t="s">
        <v>49</v>
      </c>
      <c r="J717" s="18" t="str">
        <f aca="false">IFERROR(INDEX(المرجع!$D$2:$D$19,MATCH($I717,المرجع!$E$2:$E$19,0)),"")</f>
        <v>الأهداف ومؤشرات الأداء</v>
      </c>
      <c r="K717" s="19" t="n">
        <f aca="false">IFERROR(INDEX(المرجع!$F$2:$F$19,MATCH($I717,المرجع!$E$2:$E$19,0)),"")</f>
        <v>2</v>
      </c>
      <c r="L717" s="19" t="n">
        <f aca="false">SUMIFS(المرجع!$H$2:$H$19,المرجع!$B$2:$B$19,$G717,المرجع!$E$2:$E$19,$I717)</f>
        <v>2</v>
      </c>
      <c r="M717" s="19" t="n">
        <f aca="false">COUNTIFS('المرتبطة بسمو الوزير'!$B$2:$B$151,$B717,'المرتبطة بسمو الوزير'!$G$2:$G$151,$G717,'المرتبطة بسمو الوزير'!$I$2:$I$151,$I717,'المرتبطة بسمو الوزير'!$M$2:$M$151,"&lt;&gt;")+COUNTIFS('الشؤون التنفيذية'!$B$2:$B$421,$B717,'الشؤون التنفيذية'!$G$2:$G$421,$G717,'الشؤون التنفيذية'!$I$2:$I$421,$I717,'الشؤون التنفيذية'!$N$2:$N$421,"&lt;&gt;")+COUNTIFS('الجهاز العسكري'!$B$2:$B$631,$B717,'الجهاز العسكري'!$G$2:$G$631,$G717,'الجهاز العسكري'!$I$2:$I$631,$I717,'الجهاز العسكري'!$M$2:$M$631,"&lt;&gt;")</f>
        <v>2</v>
      </c>
      <c r="N717" s="24" t="n">
        <f aca="false">IF($L717=0,0,ROUND((SUMIFS('المرتبطة بسمو الوزير'!$M$2:$M$151,'المرتبطة بسمو الوزير'!$B$2:$B$151,$B717,'المرتبطة بسمو الوزير'!$G$2:$G$151,$G717,'المرتبطة بسمو الوزير'!$I$2:$I$151,$I717)+SUMIFS('الشؤون التنفيذية'!$N$2:$N$421,'الشؤون التنفيذية'!$B$2:$B$421,$B717,'الشؤون التنفيذية'!$G$2:$G$421,$G717,'الشؤون التنفيذية'!$I$2:$I$421,$I717)+SUMIFS('الجهاز العسكري'!$M$2:$M$631,'الجهاز العسكري'!$B$2:$B$631,$B717,'الجهاز العسكري'!$G$2:$G$631,$G717,'الجهاز العسكري'!$I$2:$I$631,$I717))/$L717,0))</f>
        <v>50</v>
      </c>
      <c r="O717" s="25" t="n">
        <f aca="false">IF($L717=0,0,ROUND((SUMIFS('المرتبطة بسمو الوزير'!$N$2:$N$151,'المرتبطة بسمو الوزير'!$B$2:$B$151,$B717,'المرتبطة بسمو الوزير'!$G$2:$G$151,$G717,'المرتبطة بسمو الوزير'!$I$2:$I$151,$I717)+SUMIFS('الشؤون التنفيذية'!$O$2:$O$421,'الشؤون التنفيذية'!$B$2:$B$421,$B717,'الشؤون التنفيذية'!$G$2:$G$421,$G717,'الشؤون التنفيذية'!$I$2:$I$421,$I717)+SUMIFS('الجهاز العسكري'!$N$2:$N$631,'الجهاز العسكري'!$B$2:$B$631,$B717,'الجهاز العسكري'!$G$2:$G$631,$G717,'الجهاز العسكري'!$I$2:$I$631,$I717))/$L717,0))</f>
        <v>83</v>
      </c>
      <c r="P717" s="22"/>
      <c r="Q717" s="19" t="n">
        <f aca="false">SUMIFS(المرجع!$G$2:$G$19,المرجع!$B$2:$B$19,$G717,المرجع!$E$2:$E$19,$I717)</f>
        <v>25</v>
      </c>
      <c r="R717" s="26" t="n">
        <f aca="false">ROUND($Q717*$N717/100,2)</f>
        <v>12.5</v>
      </c>
      <c r="S717" s="27" t="str">
        <f aca="false">IF($N717&gt;المرجع!$K$3,"متقدم",IF($N717&lt;=المرجع!$K$2,"أولي","جزئي"))</f>
        <v>جزئي</v>
      </c>
      <c r="T717" s="28" t="n">
        <f aca="false">ROUND($Q717*$O717/100,2)</f>
        <v>20.75</v>
      </c>
    </row>
    <row r="718" customFormat="false" ht="15" hidden="false" customHeight="true" outlineLevel="0" collapsed="false">
      <c r="A718" s="20" t="s">
        <v>2170</v>
      </c>
      <c r="B718" s="20" t="s">
        <v>236</v>
      </c>
      <c r="C718" s="19" t="str">
        <f aca="false">IFERROR(INDEX('قائمة الوحدات'!$B$2:$B$41,MATCH($B718,'قائمة الوحدات'!$A$2:$A$41,0)),"")</f>
        <v>MIL</v>
      </c>
      <c r="D718" s="18" t="str">
        <f aca="false">IFERROR(INDEX('قائمة الوحدات'!$C$2:$C$41,MATCH($B718,'قائمة الوحدات'!$A$2:$A$41,0)),"")</f>
        <v>الجهاز العسكري</v>
      </c>
      <c r="E718" s="18" t="str">
        <f aca="false">IFERROR(INDEX('قائمة الوحدات'!$D$2:$D$41,MATCH($B718,'قائمة الوحدات'!$A$2:$A$41,0)),"")</f>
        <v>الإدارة العامة للمراسم والتشريفات العسكرية</v>
      </c>
      <c r="F718" s="18" t="str">
        <f aca="false">IFERROR(INDEX('قائمة الوحدات'!$F$2:$F$41,MATCH($B718,'قائمة الوحدات'!$A$2:$A$41,0)),"")</f>
        <v>الإدارة العامة للمراسم والتشريفات العسكرية</v>
      </c>
      <c r="G718" s="20" t="s">
        <v>66</v>
      </c>
      <c r="H718" s="18" t="str">
        <f aca="false">IFERROR(INDEX(المرجع!$A$2:$A$19,MATCH($G718,المرجع!$B$2:$B$19,0)),"")</f>
        <v>التشغيل</v>
      </c>
      <c r="I718" s="20" t="s">
        <v>52</v>
      </c>
      <c r="J718" s="18" t="str">
        <f aca="false">IFERROR(INDEX(المرجع!$D$2:$D$19,MATCH($I718,المرجع!$E$2:$E$19,0)),"")</f>
        <v>الحوكمة</v>
      </c>
      <c r="K718" s="19" t="n">
        <f aca="false">IFERROR(INDEX(المرجع!$F$2:$F$19,MATCH($I718,المرجع!$E$2:$E$19,0)),"")</f>
        <v>3</v>
      </c>
      <c r="L718" s="19" t="n">
        <f aca="false">SUMIFS(المرجع!$H$2:$H$19,المرجع!$B$2:$B$19,$G718,المرجع!$E$2:$E$19,$I718)</f>
        <v>3</v>
      </c>
      <c r="M718" s="19" t="n">
        <f aca="false">COUNTIFS('المرتبطة بسمو الوزير'!$B$2:$B$151,$B718,'المرتبطة بسمو الوزير'!$G$2:$G$151,$G718,'المرتبطة بسمو الوزير'!$I$2:$I$151,$I718,'المرتبطة بسمو الوزير'!$M$2:$M$151,"&lt;&gt;")+COUNTIFS('الشؤون التنفيذية'!$B$2:$B$421,$B718,'الشؤون التنفيذية'!$G$2:$G$421,$G718,'الشؤون التنفيذية'!$I$2:$I$421,$I718,'الشؤون التنفيذية'!$N$2:$N$421,"&lt;&gt;")+COUNTIFS('الجهاز العسكري'!$B$2:$B$631,$B718,'الجهاز العسكري'!$G$2:$G$631,$G718,'الجهاز العسكري'!$I$2:$I$631,$I718,'الجهاز العسكري'!$M$2:$M$631,"&lt;&gt;")</f>
        <v>3</v>
      </c>
      <c r="N718" s="24" t="n">
        <f aca="false">IF($L718=0,0,ROUND((SUMIFS('المرتبطة بسمو الوزير'!$M$2:$M$151,'المرتبطة بسمو الوزير'!$B$2:$B$151,$B718,'المرتبطة بسمو الوزير'!$G$2:$G$151,$G718,'المرتبطة بسمو الوزير'!$I$2:$I$151,$I718)+SUMIFS('الشؤون التنفيذية'!$N$2:$N$421,'الشؤون التنفيذية'!$B$2:$B$421,$B718,'الشؤون التنفيذية'!$G$2:$G$421,$G718,'الشؤون التنفيذية'!$I$2:$I$421,$I718)+SUMIFS('الجهاز العسكري'!$M$2:$M$631,'الجهاز العسكري'!$B$2:$B$631,$B718,'الجهاز العسكري'!$G$2:$G$631,$G718,'الجهاز العسكري'!$I$2:$I$631,$I718))/$L718,0))</f>
        <v>65</v>
      </c>
      <c r="O718" s="25" t="n">
        <f aca="false">IF($L718=0,0,ROUND((SUMIFS('المرتبطة بسمو الوزير'!$N$2:$N$151,'المرتبطة بسمو الوزير'!$B$2:$B$151,$B718,'المرتبطة بسمو الوزير'!$G$2:$G$151,$G718,'المرتبطة بسمو الوزير'!$I$2:$I$151,$I718)+SUMIFS('الشؤون التنفيذية'!$O$2:$O$421,'الشؤون التنفيذية'!$B$2:$B$421,$B718,'الشؤون التنفيذية'!$G$2:$G$421,$G718,'الشؤون التنفيذية'!$I$2:$I$421,$I718)+SUMIFS('الجهاز العسكري'!$N$2:$N$631,'الجهاز العسكري'!$B$2:$B$631,$B718,'الجهاز العسكري'!$G$2:$G$631,$G718,'الجهاز العسكري'!$I$2:$I$631,$I718))/$L718,0))</f>
        <v>98</v>
      </c>
      <c r="P718" s="22"/>
      <c r="Q718" s="19" t="n">
        <f aca="false">SUMIFS(المرجع!$G$2:$G$19,المرجع!$B$2:$B$19,$G718,المرجع!$E$2:$E$19,$I718)</f>
        <v>15</v>
      </c>
      <c r="R718" s="26" t="n">
        <f aca="false">ROUND($Q718*$N718/100,2)</f>
        <v>9.75</v>
      </c>
      <c r="S718" s="27" t="str">
        <f aca="false">IF($N718&gt;المرجع!$K$3,"متقدم",IF($N718&lt;=المرجع!$K$2,"أولي","جزئي"))</f>
        <v>جزئي</v>
      </c>
      <c r="T718" s="28" t="n">
        <f aca="false">ROUND($Q718*$O718/100,2)</f>
        <v>14.7</v>
      </c>
    </row>
    <row r="719" customFormat="false" ht="15" hidden="false" customHeight="true" outlineLevel="0" collapsed="false">
      <c r="A719" s="20" t="s">
        <v>2171</v>
      </c>
      <c r="B719" s="20" t="s">
        <v>236</v>
      </c>
      <c r="C719" s="19" t="str">
        <f aca="false">IFERROR(INDEX('قائمة الوحدات'!$B$2:$B$41,MATCH($B719,'قائمة الوحدات'!$A$2:$A$41,0)),"")</f>
        <v>MIL</v>
      </c>
      <c r="D719" s="18" t="str">
        <f aca="false">IFERROR(INDEX('قائمة الوحدات'!$C$2:$C$41,MATCH($B719,'قائمة الوحدات'!$A$2:$A$41,0)),"")</f>
        <v>الجهاز العسكري</v>
      </c>
      <c r="E719" s="18" t="str">
        <f aca="false">IFERROR(INDEX('قائمة الوحدات'!$D$2:$D$41,MATCH($B719,'قائمة الوحدات'!$A$2:$A$41,0)),"")</f>
        <v>الإدارة العامة للمراسم والتشريفات العسكرية</v>
      </c>
      <c r="F719" s="18" t="str">
        <f aca="false">IFERROR(INDEX('قائمة الوحدات'!$F$2:$F$41,MATCH($B719,'قائمة الوحدات'!$A$2:$A$41,0)),"")</f>
        <v>الإدارة العامة للمراسم والتشريفات العسكرية</v>
      </c>
      <c r="G719" s="20" t="s">
        <v>66</v>
      </c>
      <c r="H719" s="18" t="str">
        <f aca="false">IFERROR(INDEX(المرجع!$A$2:$A$19,MATCH($G719,المرجع!$B$2:$B$19,0)),"")</f>
        <v>التشغيل</v>
      </c>
      <c r="I719" s="20" t="s">
        <v>57</v>
      </c>
      <c r="J719" s="18" t="str">
        <f aca="false">IFERROR(INDEX(المرجع!$D$2:$D$19,MATCH($I719,المرجع!$E$2:$E$19,0)),"")</f>
        <v>الموارد</v>
      </c>
      <c r="K719" s="19" t="n">
        <f aca="false">IFERROR(INDEX(المرجع!$F$2:$F$19,MATCH($I719,المرجع!$E$2:$E$19,0)),"")</f>
        <v>5</v>
      </c>
      <c r="L719" s="19" t="n">
        <f aca="false">SUMIFS(المرجع!$H$2:$H$19,المرجع!$B$2:$B$19,$G719,المرجع!$E$2:$E$19,$I719)</f>
        <v>1</v>
      </c>
      <c r="M719" s="19" t="n">
        <f aca="false">COUNTIFS('المرتبطة بسمو الوزير'!$B$2:$B$151,$B719,'المرتبطة بسمو الوزير'!$G$2:$G$151,$G719,'المرتبطة بسمو الوزير'!$I$2:$I$151,$I719,'المرتبطة بسمو الوزير'!$M$2:$M$151,"&lt;&gt;")+COUNTIFS('الشؤون التنفيذية'!$B$2:$B$421,$B719,'الشؤون التنفيذية'!$G$2:$G$421,$G719,'الشؤون التنفيذية'!$I$2:$I$421,$I719,'الشؤون التنفيذية'!$N$2:$N$421,"&lt;&gt;")+COUNTIFS('الجهاز العسكري'!$B$2:$B$631,$B719,'الجهاز العسكري'!$G$2:$G$631,$G719,'الجهاز العسكري'!$I$2:$I$631,$I719,'الجهاز العسكري'!$M$2:$M$631,"&lt;&gt;")</f>
        <v>1</v>
      </c>
      <c r="N719" s="24" t="n">
        <f aca="false">IF($L719=0,0,ROUND((SUMIFS('المرتبطة بسمو الوزير'!$M$2:$M$151,'المرتبطة بسمو الوزير'!$B$2:$B$151,$B719,'المرتبطة بسمو الوزير'!$G$2:$G$151,$G719,'المرتبطة بسمو الوزير'!$I$2:$I$151,$I719)+SUMIFS('الشؤون التنفيذية'!$N$2:$N$421,'الشؤون التنفيذية'!$B$2:$B$421,$B719,'الشؤون التنفيذية'!$G$2:$G$421,$G719,'الشؤون التنفيذية'!$I$2:$I$421,$I719)+SUMIFS('الجهاز العسكري'!$M$2:$M$631,'الجهاز العسكري'!$B$2:$B$631,$B719,'الجهاز العسكري'!$G$2:$G$631,$G719,'الجهاز العسكري'!$I$2:$I$631,$I719))/$L719,0))</f>
        <v>54</v>
      </c>
      <c r="O719" s="25" t="n">
        <f aca="false">IF($L719=0,0,ROUND((SUMIFS('المرتبطة بسمو الوزير'!$N$2:$N$151,'المرتبطة بسمو الوزير'!$B$2:$B$151,$B719,'المرتبطة بسمو الوزير'!$G$2:$G$151,$G719,'المرتبطة بسمو الوزير'!$I$2:$I$151,$I719)+SUMIFS('الشؤون التنفيذية'!$O$2:$O$421,'الشؤون التنفيذية'!$B$2:$B$421,$B719,'الشؤون التنفيذية'!$G$2:$G$421,$G719,'الشؤون التنفيذية'!$I$2:$I$421,$I719)+SUMIFS('الجهاز العسكري'!$N$2:$N$631,'الجهاز العسكري'!$B$2:$B$631,$B719,'الجهاز العسكري'!$G$2:$G$631,$G719,'الجهاز العسكري'!$I$2:$I$631,$I719))/$L719,0))</f>
        <v>90</v>
      </c>
      <c r="P719" s="22"/>
      <c r="Q719" s="19" t="n">
        <f aca="false">SUMIFS(المرجع!$G$2:$G$19,المرجع!$B$2:$B$19,$G719,المرجع!$E$2:$E$19,$I719)</f>
        <v>15</v>
      </c>
      <c r="R719" s="26" t="n">
        <f aca="false">ROUND($Q719*$N719/100,2)</f>
        <v>8.1</v>
      </c>
      <c r="S719" s="27" t="str">
        <f aca="false">IF($N719&gt;المرجع!$K$3,"متقدم",IF($N719&lt;=المرجع!$K$2,"أولي","جزئي"))</f>
        <v>جزئي</v>
      </c>
      <c r="T719" s="28" t="n">
        <f aca="false">ROUND($Q719*$O719/100,2)</f>
        <v>13.5</v>
      </c>
    </row>
    <row r="720" customFormat="false" ht="15" hidden="false" customHeight="true" outlineLevel="0" collapsed="false">
      <c r="A720" s="20" t="s">
        <v>2172</v>
      </c>
      <c r="B720" s="20" t="s">
        <v>236</v>
      </c>
      <c r="C720" s="19" t="str">
        <f aca="false">IFERROR(INDEX('قائمة الوحدات'!$B$2:$B$41,MATCH($B720,'قائمة الوحدات'!$A$2:$A$41,0)),"")</f>
        <v>MIL</v>
      </c>
      <c r="D720" s="18" t="str">
        <f aca="false">IFERROR(INDEX('قائمة الوحدات'!$C$2:$C$41,MATCH($B720,'قائمة الوحدات'!$A$2:$A$41,0)),"")</f>
        <v>الجهاز العسكري</v>
      </c>
      <c r="E720" s="18" t="str">
        <f aca="false">IFERROR(INDEX('قائمة الوحدات'!$D$2:$D$41,MATCH($B720,'قائمة الوحدات'!$A$2:$A$41,0)),"")</f>
        <v>الإدارة العامة للمراسم والتشريفات العسكرية</v>
      </c>
      <c r="F720" s="18" t="str">
        <f aca="false">IFERROR(INDEX('قائمة الوحدات'!$F$2:$F$41,MATCH($B720,'قائمة الوحدات'!$A$2:$A$41,0)),"")</f>
        <v>الإدارة العامة للمراسم والتشريفات العسكرية</v>
      </c>
      <c r="G720" s="20" t="s">
        <v>66</v>
      </c>
      <c r="H720" s="18" t="str">
        <f aca="false">IFERROR(INDEX(المرجع!$A$2:$A$19,MATCH($G720,المرجع!$B$2:$B$19,0)),"")</f>
        <v>التشغيل</v>
      </c>
      <c r="I720" s="20" t="s">
        <v>60</v>
      </c>
      <c r="J720" s="18" t="str">
        <f aca="false">IFERROR(INDEX(المرجع!$D$2:$D$19,MATCH($I720,المرجع!$E$2:$E$19,0)),"")</f>
        <v>الإجراءات</v>
      </c>
      <c r="K720" s="19" t="n">
        <f aca="false">IFERROR(INDEX(المرجع!$F$2:$F$19,MATCH($I720,المرجع!$E$2:$E$19,0)),"")</f>
        <v>6</v>
      </c>
      <c r="L720" s="19" t="n">
        <f aca="false">SUMIFS(المرجع!$H$2:$H$19,المرجع!$B$2:$B$19,$G720,المرجع!$E$2:$E$19,$I720)</f>
        <v>1</v>
      </c>
      <c r="M720" s="19" t="n">
        <f aca="false">COUNTIFS('المرتبطة بسمو الوزير'!$B$2:$B$151,$B720,'المرتبطة بسمو الوزير'!$G$2:$G$151,$G720,'المرتبطة بسمو الوزير'!$I$2:$I$151,$I720,'المرتبطة بسمو الوزير'!$M$2:$M$151,"&lt;&gt;")+COUNTIFS('الشؤون التنفيذية'!$B$2:$B$421,$B720,'الشؤون التنفيذية'!$G$2:$G$421,$G720,'الشؤون التنفيذية'!$I$2:$I$421,$I720,'الشؤون التنفيذية'!$N$2:$N$421,"&lt;&gt;")+COUNTIFS('الجهاز العسكري'!$B$2:$B$631,$B720,'الجهاز العسكري'!$G$2:$G$631,$G720,'الجهاز العسكري'!$I$2:$I$631,$I720,'الجهاز العسكري'!$M$2:$M$631,"&lt;&gt;")</f>
        <v>1</v>
      </c>
      <c r="N720" s="24" t="n">
        <f aca="false">IF($L720=0,0,ROUND((SUMIFS('المرتبطة بسمو الوزير'!$M$2:$M$151,'المرتبطة بسمو الوزير'!$B$2:$B$151,$B720,'المرتبطة بسمو الوزير'!$G$2:$G$151,$G720,'المرتبطة بسمو الوزير'!$I$2:$I$151,$I720)+SUMIFS('الشؤون التنفيذية'!$N$2:$N$421,'الشؤون التنفيذية'!$B$2:$B$421,$B720,'الشؤون التنفيذية'!$G$2:$G$421,$G720,'الشؤون التنفيذية'!$I$2:$I$421,$I720)+SUMIFS('الجهاز العسكري'!$M$2:$M$631,'الجهاز العسكري'!$B$2:$B$631,$B720,'الجهاز العسكري'!$G$2:$G$631,$G720,'الجهاز العسكري'!$I$2:$I$631,$I720))/$L720,0))</f>
        <v>35</v>
      </c>
      <c r="O720" s="25" t="n">
        <f aca="false">IF($L720=0,0,ROUND((SUMIFS('المرتبطة بسمو الوزير'!$N$2:$N$151,'المرتبطة بسمو الوزير'!$B$2:$B$151,$B720,'المرتبطة بسمو الوزير'!$G$2:$G$151,$G720,'المرتبطة بسمو الوزير'!$I$2:$I$151,$I720)+SUMIFS('الشؤون التنفيذية'!$O$2:$O$421,'الشؤون التنفيذية'!$B$2:$B$421,$B720,'الشؤون التنفيذية'!$G$2:$G$421,$G720,'الشؤون التنفيذية'!$I$2:$I$421,$I720)+SUMIFS('الجهاز العسكري'!$N$2:$N$631,'الجهاز العسكري'!$B$2:$B$631,$B720,'الجهاز العسكري'!$G$2:$G$631,$G720,'الجهاز العسكري'!$I$2:$I$631,$I720))/$L720,0))</f>
        <v>80</v>
      </c>
      <c r="P720" s="22"/>
      <c r="Q720" s="19" t="n">
        <f aca="false">SUMIFS(المرجع!$G$2:$G$19,المرجع!$B$2:$B$19,$G720,المرجع!$E$2:$E$19,$I720)</f>
        <v>15</v>
      </c>
      <c r="R720" s="26" t="n">
        <f aca="false">ROUND($Q720*$N720/100,2)</f>
        <v>5.25</v>
      </c>
      <c r="S720" s="27" t="str">
        <f aca="false">IF($N720&gt;المرجع!$K$3,"متقدم",IF($N720&lt;=المرجع!$K$2,"أولي","جزئي"))</f>
        <v>جزئي</v>
      </c>
      <c r="T720" s="28" t="n">
        <f aca="false">ROUND($Q720*$O720/100,2)</f>
        <v>12</v>
      </c>
    </row>
    <row r="721" customFormat="false" ht="15" hidden="false" customHeight="true" outlineLevel="0" collapsed="false">
      <c r="A721" s="20" t="s">
        <v>2173</v>
      </c>
      <c r="B721" s="20" t="s">
        <v>236</v>
      </c>
      <c r="C721" s="19" t="str">
        <f aca="false">IFERROR(INDEX('قائمة الوحدات'!$B$2:$B$41,MATCH($B721,'قائمة الوحدات'!$A$2:$A$41,0)),"")</f>
        <v>MIL</v>
      </c>
      <c r="D721" s="18" t="str">
        <f aca="false">IFERROR(INDEX('قائمة الوحدات'!$C$2:$C$41,MATCH($B721,'قائمة الوحدات'!$A$2:$A$41,0)),"")</f>
        <v>الجهاز العسكري</v>
      </c>
      <c r="E721" s="18" t="str">
        <f aca="false">IFERROR(INDEX('قائمة الوحدات'!$D$2:$D$41,MATCH($B721,'قائمة الوحدات'!$A$2:$A$41,0)),"")</f>
        <v>الإدارة العامة للمراسم والتشريفات العسكرية</v>
      </c>
      <c r="F721" s="18" t="str">
        <f aca="false">IFERROR(INDEX('قائمة الوحدات'!$F$2:$F$41,MATCH($B721,'قائمة الوحدات'!$A$2:$A$41,0)),"")</f>
        <v>الإدارة العامة للمراسم والتشريفات العسكرية</v>
      </c>
      <c r="G721" s="20" t="s">
        <v>66</v>
      </c>
      <c r="H721" s="18" t="str">
        <f aca="false">IFERROR(INDEX(المرجع!$A$2:$A$19,MATCH($G721,المرجع!$B$2:$B$19,0)),"")</f>
        <v>التشغيل</v>
      </c>
      <c r="I721" s="20" t="s">
        <v>71</v>
      </c>
      <c r="J721" s="18" t="str">
        <f aca="false">IFERROR(INDEX(المرجع!$D$2:$D$19,MATCH($I721,المرجع!$E$2:$E$19,0)),"")</f>
        <v>اكتمال المخرجات المستهدفة</v>
      </c>
      <c r="K721" s="19" t="n">
        <f aca="false">IFERROR(INDEX(المرجع!$F$2:$F$19,MATCH($I721,المرجع!$E$2:$E$19,0)),"")</f>
        <v>8</v>
      </c>
      <c r="L721" s="19" t="n">
        <f aca="false">SUMIFS(المرجع!$H$2:$H$19,المرجع!$B$2:$B$19,$G721,المرجع!$E$2:$E$19,$I721)</f>
        <v>1</v>
      </c>
      <c r="M721" s="19" t="n">
        <f aca="false">COUNTIFS('المرتبطة بسمو الوزير'!$B$2:$B$151,$B721,'المرتبطة بسمو الوزير'!$G$2:$G$151,$G721,'المرتبطة بسمو الوزير'!$I$2:$I$151,$I721,'المرتبطة بسمو الوزير'!$M$2:$M$151,"&lt;&gt;")+COUNTIFS('الشؤون التنفيذية'!$B$2:$B$421,$B721,'الشؤون التنفيذية'!$G$2:$G$421,$G721,'الشؤون التنفيذية'!$I$2:$I$421,$I721,'الشؤون التنفيذية'!$N$2:$N$421,"&lt;&gt;")+COUNTIFS('الجهاز العسكري'!$B$2:$B$631,$B721,'الجهاز العسكري'!$G$2:$G$631,$G721,'الجهاز العسكري'!$I$2:$I$631,$I721,'الجهاز العسكري'!$M$2:$M$631,"&lt;&gt;")</f>
        <v>1</v>
      </c>
      <c r="N721" s="24" t="n">
        <f aca="false">IF($L721=0,0,ROUND((SUMIFS('المرتبطة بسمو الوزير'!$M$2:$M$151,'المرتبطة بسمو الوزير'!$B$2:$B$151,$B721,'المرتبطة بسمو الوزير'!$G$2:$G$151,$G721,'المرتبطة بسمو الوزير'!$I$2:$I$151,$I721)+SUMIFS('الشؤون التنفيذية'!$N$2:$N$421,'الشؤون التنفيذية'!$B$2:$B$421,$B721,'الشؤون التنفيذية'!$G$2:$G$421,$G721,'الشؤون التنفيذية'!$I$2:$I$421,$I721)+SUMIFS('الجهاز العسكري'!$M$2:$M$631,'الجهاز العسكري'!$B$2:$B$631,$B721,'الجهاز العسكري'!$G$2:$G$631,$G721,'الجهاز العسكري'!$I$2:$I$631,$I721))/$L721,0))</f>
        <v>36</v>
      </c>
      <c r="O721" s="25" t="n">
        <f aca="false">IF($L721=0,0,ROUND((SUMIFS('المرتبطة بسمو الوزير'!$N$2:$N$151,'المرتبطة بسمو الوزير'!$B$2:$B$151,$B721,'المرتبطة بسمو الوزير'!$G$2:$G$151,$G721,'المرتبطة بسمو الوزير'!$I$2:$I$151,$I721)+SUMIFS('الشؤون التنفيذية'!$O$2:$O$421,'الشؤون التنفيذية'!$B$2:$B$421,$B721,'الشؤون التنفيذية'!$G$2:$G$421,$G721,'الشؤون التنفيذية'!$I$2:$I$421,$I721)+SUMIFS('الجهاز العسكري'!$N$2:$N$631,'الجهاز العسكري'!$B$2:$B$631,$B721,'الجهاز العسكري'!$G$2:$G$631,$G721,'الجهاز العسكري'!$I$2:$I$631,$I721))/$L721,0))</f>
        <v>80</v>
      </c>
      <c r="P721" s="22"/>
      <c r="Q721" s="19" t="n">
        <f aca="false">SUMIFS(المرجع!$G$2:$G$19,المرجع!$B$2:$B$19,$G721,المرجع!$E$2:$E$19,$I721)</f>
        <v>30</v>
      </c>
      <c r="R721" s="26" t="n">
        <f aca="false">ROUND($Q721*$N721/100,2)</f>
        <v>10.8</v>
      </c>
      <c r="S721" s="27" t="str">
        <f aca="false">IF($N721&gt;المرجع!$K$3,"متقدم",IF($N721&lt;=المرجع!$K$2,"أولي","جزئي"))</f>
        <v>جزئي</v>
      </c>
      <c r="T721" s="28" t="n">
        <f aca="false">ROUND($Q721*$O721/100,2)</f>
        <v>24</v>
      </c>
    </row>
  </sheetData>
  <autoFilter ref="A1:T721"/>
  <conditionalFormatting sqref="N2:N721">
    <cfRule type="cellIs" priority="2" operator="greaterThan" aboveAverage="0" equalAverage="0" bottom="0" percent="0" rank="0" text="" dxfId="10">
      <formula>70</formula>
    </cfRule>
    <cfRule type="cellIs" priority="3" operator="lessThanOrEqual" aboveAverage="0" equalAverage="0" bottom="0" percent="0" rank="0" text="" dxfId="11">
      <formula>30</formula>
    </cfRule>
  </conditionalFormatting>
  <conditionalFormatting sqref="R2:R721">
    <cfRule type="cellIs" priority="4" operator="equal" aboveAverage="0" equalAverage="0" bottom="0" percent="0" rank="0" text="" dxfId="10">
      <formula>"متقدم"</formula>
    </cfRule>
    <cfRule type="cellIs" priority="5" operator="equal" aboveAverage="0" equalAverage="0" bottom="0" percent="0" rank="0" text="" dxfId="12">
      <formula>"جزئي"</formula>
    </cfRule>
    <cfRule type="cellIs" priority="6" operator="equal" aboveAverage="0" equalAverage="0" bottom="0" percent="0" rank="0" text="" dxfId="11">
      <formula>"أولي"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2" activeCellId="0" sqref="E2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1" min="11" style="1" width="15"/>
    <col collapsed="false" customWidth="true" hidden="false" outlineLevel="0" max="13" min="13" style="1" width="20"/>
    <col collapsed="false" customWidth="true" hidden="false" outlineLevel="0" max="14" min="14" style="1" width="18"/>
  </cols>
  <sheetData>
    <row r="1" customFormat="false" ht="36" hidden="false" customHeight="true" outlineLevel="0" collapsed="false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34</v>
      </c>
      <c r="G1" s="5" t="s">
        <v>33</v>
      </c>
      <c r="H1" s="5" t="s">
        <v>2174</v>
      </c>
      <c r="I1" s="23" t="s">
        <v>2175</v>
      </c>
      <c r="J1" s="5" t="s">
        <v>2176</v>
      </c>
      <c r="K1" s="5" t="s">
        <v>2177</v>
      </c>
      <c r="L1" s="5" t="s">
        <v>2178</v>
      </c>
      <c r="M1" s="23" t="s">
        <v>2179</v>
      </c>
      <c r="N1" s="23" t="s">
        <v>2180</v>
      </c>
    </row>
    <row r="2" customFormat="false" ht="15" hidden="false" customHeight="true" outlineLevel="0" collapsed="false">
      <c r="A2" s="19" t="s">
        <v>145</v>
      </c>
      <c r="B2" s="19" t="str">
        <f aca="false">IFERROR(INDEX('قائمة الوحدات'!$B$2:$B$41,MATCH($A2,'قائمة الوحدات'!$A$2:$A$41,0)),"")</f>
        <v>TOP</v>
      </c>
      <c r="C2" s="18" t="str">
        <f aca="false">IFERROR(INDEX('قائمة الوحدات'!$C$2:$C$41,MATCH($A2,'قائمة الوحدات'!$A$2:$A$41,0)),"")</f>
        <v>المرتبطة بسمو الوزير</v>
      </c>
      <c r="D2" s="18" t="str">
        <f aca="false">IFERROR(INDEX('قائمة الوحدات'!$D$2:$D$41,MATCH($A2,'قائمة الوحدات'!$A$2:$A$41,0)),"")</f>
        <v>المكتب التنفيذي</v>
      </c>
      <c r="E2" s="18" t="str">
        <f aca="false">IFERROR(INDEX('قائمة الوحدات'!$F$2:$F$41,MATCH($A2,'قائمة الوحدات'!$A$2:$A$41,0)),"")</f>
        <v>المكتب التنفيذي</v>
      </c>
      <c r="F2" s="19" t="s">
        <v>44</v>
      </c>
      <c r="G2" s="18" t="str">
        <f aca="false">IFERROR(INDEX(المرجع!$A$2:$A$19,MATCH($F2,المرجع!$B$2:$B$19,0)),"")</f>
        <v>التصميم</v>
      </c>
      <c r="H2" s="29" t="n">
        <f aca="false">SUMIFS('تقييم العناصر'!$R$2:$R$721,'تقييم العناصر'!$B$2:$B$721,$A2,'تقييم العناصر'!$G$2:$G$721,$F2)</f>
        <v>75.85</v>
      </c>
      <c r="I2" s="30" t="n">
        <f aca="false">SUMIFS('تقييم العناصر'!$T$2:$T$721,'تقييم العناصر'!$B$2:$B$721,$A2,'تقييم العناصر'!$G$2:$G$721,$F2)</f>
        <v>91.6</v>
      </c>
      <c r="J2" s="27" t="str">
        <f aca="false">IF($H2&gt;المرجع!$K$3,"متقدم",IF($H2&lt;=المرجع!$K$2,"أولي","جزئي"))</f>
        <v>متقدم</v>
      </c>
      <c r="K2" s="31" t="n">
        <f aca="false">ROUND((SUMIFS($H$2:$H$121,$A$2:$A$121,$A2,$F$2:$F$121,"DESIGN")*INDEX(المرجع!$K$9:$K$11,MATCH("DESIGN",المرجع!$L$9:$L$11,0))+SUMIFS($H$2:$H$121,$A$2:$A$121,$A2,$F$2:$F$121,"BUILD")*INDEX(المرجع!$K$9:$K$11,MATCH("BUILD",المرجع!$L$9:$L$11,0))+SUMIFS($H$2:$H$121,$A$2:$A$121,$A2,$F$2:$F$121,"OPERATE")*INDEX(المرجع!$K$9:$K$11,MATCH("OPERATE",المرجع!$L$9:$L$11,0)))/100,1)</f>
        <v>58.6</v>
      </c>
      <c r="L2" s="32" t="str">
        <f aca="false">IF($K2&gt;المرجع!$K$3,"متقدم",IF($K2&lt;=المرجع!$K$2,"أولي","جزئي"))</f>
        <v>جزئي</v>
      </c>
      <c r="M2" s="31" t="n">
        <f aca="false">ROUND((SUMIFS($I$2:$I$121,$A$2:$A$121,$A2,$F$2:$F$121,"DESIGN")*INDEX(المرجع!$K$9:$K$11,MATCH("DESIGN",المرجع!$L$9:$L$11,0))+SUMIFS($I$2:$I$121,$A$2:$A$121,$A2,$F$2:$F$121,"BUILD")*INDEX(المرجع!$K$9:$K$11,MATCH("BUILD",المرجع!$L$9:$L$11,0))+SUMIFS($I$2:$I$121,$A$2:$A$121,$A2,$F$2:$F$121,"OPERATE")*INDEX(المرجع!$K$9:$K$11,MATCH("OPERATE",المرجع!$L$9:$L$11,0)))/100,1)</f>
        <v>92</v>
      </c>
      <c r="N2" s="32" t="str">
        <f aca="false">IF($M2&gt;المرجع!$K$3,"متقدم",IF($M2&lt;=المرجع!$K$2,"أولي","جزئي"))</f>
        <v>متقدم</v>
      </c>
    </row>
    <row r="3" customFormat="false" ht="15" hidden="false" customHeight="true" outlineLevel="0" collapsed="false">
      <c r="A3" s="19" t="s">
        <v>145</v>
      </c>
      <c r="B3" s="19" t="str">
        <f aca="false">IFERROR(INDEX('قائمة الوحدات'!$B$2:$B$41,MATCH($A3,'قائمة الوحدات'!$A$2:$A$41,0)),"")</f>
        <v>TOP</v>
      </c>
      <c r="C3" s="18" t="str">
        <f aca="false">IFERROR(INDEX('قائمة الوحدات'!$C$2:$C$41,MATCH($A3,'قائمة الوحدات'!$A$2:$A$41,0)),"")</f>
        <v>المرتبطة بسمو الوزير</v>
      </c>
      <c r="D3" s="18" t="str">
        <f aca="false">IFERROR(INDEX('قائمة الوحدات'!$D$2:$D$41,MATCH($A3,'قائمة الوحدات'!$A$2:$A$41,0)),"")</f>
        <v>المكتب التنفيذي</v>
      </c>
      <c r="E3" s="18" t="str">
        <f aca="false">IFERROR(INDEX('قائمة الوحدات'!$F$2:$F$41,MATCH($A3,'قائمة الوحدات'!$A$2:$A$41,0)),"")</f>
        <v>المكتب التنفيذي</v>
      </c>
      <c r="F3" s="19" t="s">
        <v>62</v>
      </c>
      <c r="G3" s="18" t="str">
        <f aca="false">IFERROR(INDEX(المرجع!$A$2:$A$19,MATCH($F3,المرجع!$B$2:$B$19,0)),"")</f>
        <v>البناء المؤسسي</v>
      </c>
      <c r="H3" s="29" t="n">
        <f aca="false">SUMIFS('تقييم العناصر'!$R$2:$R$721,'تقييم العناصر'!$B$2:$B$721,$A3,'تقييم العناصر'!$G$2:$G$721,$F3)</f>
        <v>68.85</v>
      </c>
      <c r="I3" s="30" t="n">
        <f aca="false">SUMIFS('تقييم العناصر'!$T$2:$T$721,'تقييم العناصر'!$B$2:$B$721,$A3,'تقييم العناصر'!$G$2:$G$721,$F3)</f>
        <v>89.55</v>
      </c>
      <c r="J3" s="27" t="str">
        <f aca="false">IF($H3&gt;المرجع!$K$3,"متقدم",IF($H3&lt;=المرجع!$K$2,"أولي","جزئي"))</f>
        <v>جزئي</v>
      </c>
      <c r="K3" s="31" t="n">
        <f aca="false">ROUND((SUMIFS($H$2:$H$121,$A$2:$A$121,$A3,$F$2:$F$121,"DESIGN")*INDEX(المرجع!$K$9:$K$11,MATCH("DESIGN",المرجع!$L$9:$L$11,0))+SUMIFS($H$2:$H$121,$A$2:$A$121,$A3,$F$2:$F$121,"BUILD")*INDEX(المرجع!$K$9:$K$11,MATCH("BUILD",المرجع!$L$9:$L$11,0))+SUMIFS($H$2:$H$121,$A$2:$A$121,$A3,$F$2:$F$121,"OPERATE")*INDEX(المرجع!$K$9:$K$11,MATCH("OPERATE",المرجع!$L$9:$L$11,0)))/100,1)</f>
        <v>58.6</v>
      </c>
      <c r="L3" s="32" t="str">
        <f aca="false">IF($K3&gt;المرجع!$K$3,"متقدم",IF($K3&lt;=المرجع!$K$2,"أولي","جزئي"))</f>
        <v>جزئي</v>
      </c>
      <c r="M3" s="31" t="n">
        <f aca="false">ROUND((SUMIFS($I$2:$I$121,$A$2:$A$121,$A3,$F$2:$F$121,"DESIGN")*INDEX(المرجع!$K$9:$K$11,MATCH("DESIGN",المرجع!$L$9:$L$11,0))+SUMIFS($I$2:$I$121,$A$2:$A$121,$A3,$F$2:$F$121,"BUILD")*INDEX(المرجع!$K$9:$K$11,MATCH("BUILD",المرجع!$L$9:$L$11,0))+SUMIFS($I$2:$I$121,$A$2:$A$121,$A3,$F$2:$F$121,"OPERATE")*INDEX(المرجع!$K$9:$K$11,MATCH("OPERATE",المرجع!$L$9:$L$11,0)))/100,1)</f>
        <v>92</v>
      </c>
      <c r="N3" s="32" t="str">
        <f aca="false">IF($M3&gt;المرجع!$K$3,"متقدم",IF($M3&lt;=المرجع!$K$2,"أولي","جزئي"))</f>
        <v>متقدم</v>
      </c>
    </row>
    <row r="4" customFormat="false" ht="15" hidden="false" customHeight="true" outlineLevel="0" collapsed="false">
      <c r="A4" s="19" t="s">
        <v>145</v>
      </c>
      <c r="B4" s="19" t="str">
        <f aca="false">IFERROR(INDEX('قائمة الوحدات'!$B$2:$B$41,MATCH($A4,'قائمة الوحدات'!$A$2:$A$41,0)),"")</f>
        <v>TOP</v>
      </c>
      <c r="C4" s="18" t="str">
        <f aca="false">IFERROR(INDEX('قائمة الوحدات'!$C$2:$C$41,MATCH($A4,'قائمة الوحدات'!$A$2:$A$41,0)),"")</f>
        <v>المرتبطة بسمو الوزير</v>
      </c>
      <c r="D4" s="18" t="str">
        <f aca="false">IFERROR(INDEX('قائمة الوحدات'!$D$2:$D$41,MATCH($A4,'قائمة الوحدات'!$A$2:$A$41,0)),"")</f>
        <v>المكتب التنفيذي</v>
      </c>
      <c r="E4" s="18" t="str">
        <f aca="false">IFERROR(INDEX('قائمة الوحدات'!$F$2:$F$41,MATCH($A4,'قائمة الوحدات'!$A$2:$A$41,0)),"")</f>
        <v>المكتب التنفيذي</v>
      </c>
      <c r="F4" s="19" t="s">
        <v>66</v>
      </c>
      <c r="G4" s="18" t="str">
        <f aca="false">IFERROR(INDEX(المرجع!$A$2:$A$19,MATCH($F4,المرجع!$B$2:$B$19,0)),"")</f>
        <v>التشغيل</v>
      </c>
      <c r="H4" s="29" t="n">
        <f aca="false">SUMIFS('تقييم العناصر'!$R$2:$R$721,'تقييم العناصر'!$B$2:$B$721,$A4,'تقييم العناصر'!$G$2:$G$721,$F4)</f>
        <v>45.55</v>
      </c>
      <c r="I4" s="30" t="n">
        <f aca="false">SUMIFS('تقييم العناصر'!$T$2:$T$721,'تقييم العناصر'!$B$2:$B$721,$A4,'تقييم العناصر'!$G$2:$G$721,$F4)</f>
        <v>93.7</v>
      </c>
      <c r="J4" s="27" t="str">
        <f aca="false">IF($H4&gt;المرجع!$K$3,"متقدم",IF($H4&lt;=المرجع!$K$2,"أولي","جزئي"))</f>
        <v>جزئي</v>
      </c>
      <c r="K4" s="31" t="n">
        <f aca="false">ROUND((SUMIFS($H$2:$H$121,$A$2:$A$121,$A4,$F$2:$F$121,"DESIGN")*INDEX(المرجع!$K$9:$K$11,MATCH("DESIGN",المرجع!$L$9:$L$11,0))+SUMIFS($H$2:$H$121,$A$2:$A$121,$A4,$F$2:$F$121,"BUILD")*INDEX(المرجع!$K$9:$K$11,MATCH("BUILD",المرجع!$L$9:$L$11,0))+SUMIFS($H$2:$H$121,$A$2:$A$121,$A4,$F$2:$F$121,"OPERATE")*INDEX(المرجع!$K$9:$K$11,MATCH("OPERATE",المرجع!$L$9:$L$11,0)))/100,1)</f>
        <v>58.6</v>
      </c>
      <c r="L4" s="32" t="str">
        <f aca="false">IF($K4&gt;المرجع!$K$3,"متقدم",IF($K4&lt;=المرجع!$K$2,"أولي","جزئي"))</f>
        <v>جزئي</v>
      </c>
      <c r="M4" s="31" t="n">
        <f aca="false">ROUND((SUMIFS($I$2:$I$121,$A$2:$A$121,$A4,$F$2:$F$121,"DESIGN")*INDEX(المرجع!$K$9:$K$11,MATCH("DESIGN",المرجع!$L$9:$L$11,0))+SUMIFS($I$2:$I$121,$A$2:$A$121,$A4,$F$2:$F$121,"BUILD")*INDEX(المرجع!$K$9:$K$11,MATCH("BUILD",المرجع!$L$9:$L$11,0))+SUMIFS($I$2:$I$121,$A$2:$A$121,$A4,$F$2:$F$121,"OPERATE")*INDEX(المرجع!$K$9:$K$11,MATCH("OPERATE",المرجع!$L$9:$L$11,0)))/100,1)</f>
        <v>92</v>
      </c>
      <c r="N4" s="32" t="str">
        <f aca="false">IF($M4&gt;المرجع!$K$3,"متقدم",IF($M4&lt;=المرجع!$K$2,"أولي","جزئي"))</f>
        <v>متقدم</v>
      </c>
    </row>
    <row r="5" customFormat="false" ht="15" hidden="false" customHeight="true" outlineLevel="0" collapsed="false">
      <c r="A5" s="19" t="s">
        <v>152</v>
      </c>
      <c r="B5" s="19" t="str">
        <f aca="false">IFERROR(INDEX('قائمة الوحدات'!$B$2:$B$41,MATCH($A5,'قائمة الوحدات'!$A$2:$A$41,0)),"")</f>
        <v>TOP</v>
      </c>
      <c r="C5" s="18" t="str">
        <f aca="false">IFERROR(INDEX('قائمة الوحدات'!$C$2:$C$41,MATCH($A5,'قائمة الوحدات'!$A$2:$A$41,0)),"")</f>
        <v>المرتبطة بسمو الوزير</v>
      </c>
      <c r="D5" s="18" t="str">
        <f aca="false">IFERROR(INDEX('قائمة الوحدات'!$D$2:$D$41,MATCH($A5,'قائمة الوحدات'!$A$2:$A$41,0)),"")</f>
        <v>إدارة المتابعة والتقارير</v>
      </c>
      <c r="E5" s="18" t="str">
        <f aca="false">IFERROR(INDEX('قائمة الوحدات'!$F$2:$F$41,MATCH($A5,'قائمة الوحدات'!$A$2:$A$41,0)),"")</f>
        <v>إدارة المتابعة والتقارير</v>
      </c>
      <c r="F5" s="19" t="s">
        <v>44</v>
      </c>
      <c r="G5" s="18" t="str">
        <f aca="false">IFERROR(INDEX(المرجع!$A$2:$A$19,MATCH($F5,المرجع!$B$2:$B$19,0)),"")</f>
        <v>التصميم</v>
      </c>
      <c r="H5" s="29" t="n">
        <f aca="false">SUMIFS('تقييم العناصر'!$R$2:$R$721,'تقييم العناصر'!$B$2:$B$721,$A5,'تقييم العناصر'!$G$2:$G$721,$F5)</f>
        <v>79.8</v>
      </c>
      <c r="I5" s="30" t="n">
        <f aca="false">SUMIFS('تقييم العناصر'!$T$2:$T$721,'تقييم العناصر'!$B$2:$B$721,$A5,'تقييم العناصر'!$G$2:$G$721,$F5)</f>
        <v>95.95</v>
      </c>
      <c r="J5" s="27" t="str">
        <f aca="false">IF($H5&gt;المرجع!$K$3,"متقدم",IF($H5&lt;=المرجع!$K$2,"أولي","جزئي"))</f>
        <v>متقدم</v>
      </c>
      <c r="K5" s="31" t="n">
        <f aca="false">ROUND((SUMIFS($H$2:$H$121,$A$2:$A$121,$A5,$F$2:$F$121,"DESIGN")*INDEX(المرجع!$K$9:$K$11,MATCH("DESIGN",المرجع!$L$9:$L$11,0))+SUMIFS($H$2:$H$121,$A$2:$A$121,$A5,$F$2:$F$121,"BUILD")*INDEX(المرجع!$K$9:$K$11,MATCH("BUILD",المرجع!$L$9:$L$11,0))+SUMIFS($H$2:$H$121,$A$2:$A$121,$A5,$F$2:$F$121,"OPERATE")*INDEX(المرجع!$K$9:$K$11,MATCH("OPERATE",المرجع!$L$9:$L$11,0)))/100,1)</f>
        <v>60</v>
      </c>
      <c r="L5" s="32" t="str">
        <f aca="false">IF($K5&gt;المرجع!$K$3,"متقدم",IF($K5&lt;=المرجع!$K$2,"أولي","جزئي"))</f>
        <v>جزئي</v>
      </c>
      <c r="M5" s="31" t="n">
        <f aca="false">ROUND((SUMIFS($I$2:$I$121,$A$2:$A$121,$A5,$F$2:$F$121,"DESIGN")*INDEX(المرجع!$K$9:$K$11,MATCH("DESIGN",المرجع!$L$9:$L$11,0))+SUMIFS($I$2:$I$121,$A$2:$A$121,$A5,$F$2:$F$121,"BUILD")*INDEX(المرجع!$K$9:$K$11,MATCH("BUILD",المرجع!$L$9:$L$11,0))+SUMIFS($I$2:$I$121,$A$2:$A$121,$A5,$F$2:$F$121,"OPERATE")*INDEX(المرجع!$K$9:$K$11,MATCH("OPERATE",المرجع!$L$9:$L$11,0)))/100,1)</f>
        <v>93.1</v>
      </c>
      <c r="N5" s="32" t="str">
        <f aca="false">IF($M5&gt;المرجع!$K$3,"متقدم",IF($M5&lt;=المرجع!$K$2,"أولي","جزئي"))</f>
        <v>متقدم</v>
      </c>
    </row>
    <row r="6" customFormat="false" ht="15" hidden="false" customHeight="true" outlineLevel="0" collapsed="false">
      <c r="A6" s="19" t="s">
        <v>152</v>
      </c>
      <c r="B6" s="19" t="str">
        <f aca="false">IFERROR(INDEX('قائمة الوحدات'!$B$2:$B$41,MATCH($A6,'قائمة الوحدات'!$A$2:$A$41,0)),"")</f>
        <v>TOP</v>
      </c>
      <c r="C6" s="18" t="str">
        <f aca="false">IFERROR(INDEX('قائمة الوحدات'!$C$2:$C$41,MATCH($A6,'قائمة الوحدات'!$A$2:$A$41,0)),"")</f>
        <v>المرتبطة بسمو الوزير</v>
      </c>
      <c r="D6" s="18" t="str">
        <f aca="false">IFERROR(INDEX('قائمة الوحدات'!$D$2:$D$41,MATCH($A6,'قائمة الوحدات'!$A$2:$A$41,0)),"")</f>
        <v>إدارة المتابعة والتقارير</v>
      </c>
      <c r="E6" s="18" t="str">
        <f aca="false">IFERROR(INDEX('قائمة الوحدات'!$F$2:$F$41,MATCH($A6,'قائمة الوحدات'!$A$2:$A$41,0)),"")</f>
        <v>إدارة المتابعة والتقارير</v>
      </c>
      <c r="F6" s="19" t="s">
        <v>62</v>
      </c>
      <c r="G6" s="18" t="str">
        <f aca="false">IFERROR(INDEX(المرجع!$A$2:$A$19,MATCH($F6,المرجع!$B$2:$B$19,0)),"")</f>
        <v>البناء المؤسسي</v>
      </c>
      <c r="H6" s="29" t="n">
        <f aca="false">SUMIFS('تقييم العناصر'!$R$2:$R$721,'تقييم العناصر'!$B$2:$B$721,$A6,'تقييم العناصر'!$G$2:$G$721,$F6)</f>
        <v>64.5</v>
      </c>
      <c r="I6" s="30" t="n">
        <f aca="false">SUMIFS('تقييم العناصر'!$T$2:$T$721,'تقييم العناصر'!$B$2:$B$721,$A6,'تقييم العناصر'!$G$2:$G$721,$F6)</f>
        <v>92.75</v>
      </c>
      <c r="J6" s="27" t="str">
        <f aca="false">IF($H6&gt;المرجع!$K$3,"متقدم",IF($H6&lt;=المرجع!$K$2,"أولي","جزئي"))</f>
        <v>جزئي</v>
      </c>
      <c r="K6" s="31" t="n">
        <f aca="false">ROUND((SUMIFS($H$2:$H$121,$A$2:$A$121,$A6,$F$2:$F$121,"DESIGN")*INDEX(المرجع!$K$9:$K$11,MATCH("DESIGN",المرجع!$L$9:$L$11,0))+SUMIFS($H$2:$H$121,$A$2:$A$121,$A6,$F$2:$F$121,"BUILD")*INDEX(المرجع!$K$9:$K$11,MATCH("BUILD",المرجع!$L$9:$L$11,0))+SUMIFS($H$2:$H$121,$A$2:$A$121,$A6,$F$2:$F$121,"OPERATE")*INDEX(المرجع!$K$9:$K$11,MATCH("OPERATE",المرجع!$L$9:$L$11,0)))/100,1)</f>
        <v>60</v>
      </c>
      <c r="L6" s="32" t="str">
        <f aca="false">IF($K6&gt;المرجع!$K$3,"متقدم",IF($K6&lt;=المرجع!$K$2,"أولي","جزئي"))</f>
        <v>جزئي</v>
      </c>
      <c r="M6" s="31" t="n">
        <f aca="false">ROUND((SUMIFS($I$2:$I$121,$A$2:$A$121,$A6,$F$2:$F$121,"DESIGN")*INDEX(المرجع!$K$9:$K$11,MATCH("DESIGN",المرجع!$L$9:$L$11,0))+SUMIFS($I$2:$I$121,$A$2:$A$121,$A6,$F$2:$F$121,"BUILD")*INDEX(المرجع!$K$9:$K$11,MATCH("BUILD",المرجع!$L$9:$L$11,0))+SUMIFS($I$2:$I$121,$A$2:$A$121,$A6,$F$2:$F$121,"OPERATE")*INDEX(المرجع!$K$9:$K$11,MATCH("OPERATE",المرجع!$L$9:$L$11,0)))/100,1)</f>
        <v>93.1</v>
      </c>
      <c r="N6" s="32" t="str">
        <f aca="false">IF($M6&gt;المرجع!$K$3,"متقدم",IF($M6&lt;=المرجع!$K$2,"أولي","جزئي"))</f>
        <v>متقدم</v>
      </c>
    </row>
    <row r="7" customFormat="false" ht="15" hidden="false" customHeight="true" outlineLevel="0" collapsed="false">
      <c r="A7" s="19" t="s">
        <v>152</v>
      </c>
      <c r="B7" s="19" t="str">
        <f aca="false">IFERROR(INDEX('قائمة الوحدات'!$B$2:$B$41,MATCH($A7,'قائمة الوحدات'!$A$2:$A$41,0)),"")</f>
        <v>TOP</v>
      </c>
      <c r="C7" s="18" t="str">
        <f aca="false">IFERROR(INDEX('قائمة الوحدات'!$C$2:$C$41,MATCH($A7,'قائمة الوحدات'!$A$2:$A$41,0)),"")</f>
        <v>المرتبطة بسمو الوزير</v>
      </c>
      <c r="D7" s="18" t="str">
        <f aca="false">IFERROR(INDEX('قائمة الوحدات'!$D$2:$D$41,MATCH($A7,'قائمة الوحدات'!$A$2:$A$41,0)),"")</f>
        <v>إدارة المتابعة والتقارير</v>
      </c>
      <c r="E7" s="18" t="str">
        <f aca="false">IFERROR(INDEX('قائمة الوحدات'!$F$2:$F$41,MATCH($A7,'قائمة الوحدات'!$A$2:$A$41,0)),"")</f>
        <v>إدارة المتابعة والتقارير</v>
      </c>
      <c r="F7" s="19" t="s">
        <v>66</v>
      </c>
      <c r="G7" s="18" t="str">
        <f aca="false">IFERROR(INDEX(المرجع!$A$2:$A$19,MATCH($F7,المرجع!$B$2:$B$19,0)),"")</f>
        <v>التشغيل</v>
      </c>
      <c r="H7" s="29" t="n">
        <f aca="false">SUMIFS('تقييم العناصر'!$R$2:$R$721,'تقييم العناصر'!$B$2:$B$721,$A7,'تقييم العناصر'!$G$2:$G$721,$F7)</f>
        <v>49.4</v>
      </c>
      <c r="I7" s="30" t="n">
        <f aca="false">SUMIFS('تقييم العناصر'!$T$2:$T$721,'تقييم العناصر'!$B$2:$B$721,$A7,'تقييم العناصر'!$G$2:$G$721,$F7)</f>
        <v>92.25</v>
      </c>
      <c r="J7" s="27" t="str">
        <f aca="false">IF($H7&gt;المرجع!$K$3,"متقدم",IF($H7&lt;=المرجع!$K$2,"أولي","جزئي"))</f>
        <v>جزئي</v>
      </c>
      <c r="K7" s="31" t="n">
        <f aca="false">ROUND((SUMIFS($H$2:$H$121,$A$2:$A$121,$A7,$F$2:$F$121,"DESIGN")*INDEX(المرجع!$K$9:$K$11,MATCH("DESIGN",المرجع!$L$9:$L$11,0))+SUMIFS($H$2:$H$121,$A$2:$A$121,$A7,$F$2:$F$121,"BUILD")*INDEX(المرجع!$K$9:$K$11,MATCH("BUILD",المرجع!$L$9:$L$11,0))+SUMIFS($H$2:$H$121,$A$2:$A$121,$A7,$F$2:$F$121,"OPERATE")*INDEX(المرجع!$K$9:$K$11,MATCH("OPERATE",المرجع!$L$9:$L$11,0)))/100,1)</f>
        <v>60</v>
      </c>
      <c r="L7" s="32" t="str">
        <f aca="false">IF($K7&gt;المرجع!$K$3,"متقدم",IF($K7&lt;=المرجع!$K$2,"أولي","جزئي"))</f>
        <v>جزئي</v>
      </c>
      <c r="M7" s="31" t="n">
        <f aca="false">ROUND((SUMIFS($I$2:$I$121,$A$2:$A$121,$A7,$F$2:$F$121,"DESIGN")*INDEX(المرجع!$K$9:$K$11,MATCH("DESIGN",المرجع!$L$9:$L$11,0))+SUMIFS($I$2:$I$121,$A$2:$A$121,$A7,$F$2:$F$121,"BUILD")*INDEX(المرجع!$K$9:$K$11,MATCH("BUILD",المرجع!$L$9:$L$11,0))+SUMIFS($I$2:$I$121,$A$2:$A$121,$A7,$F$2:$F$121,"OPERATE")*INDEX(المرجع!$K$9:$K$11,MATCH("OPERATE",المرجع!$L$9:$L$11,0)))/100,1)</f>
        <v>93.1</v>
      </c>
      <c r="N7" s="32" t="str">
        <f aca="false">IF($M7&gt;المرجع!$K$3,"متقدم",IF($M7&lt;=المرجع!$K$2,"أولي","جزئي"))</f>
        <v>متقدم</v>
      </c>
    </row>
    <row r="8" customFormat="false" ht="15" hidden="false" customHeight="true" outlineLevel="0" collapsed="false">
      <c r="A8" s="19" t="s">
        <v>154</v>
      </c>
      <c r="B8" s="19" t="str">
        <f aca="false">IFERROR(INDEX('قائمة الوحدات'!$B$2:$B$41,MATCH($A8,'قائمة الوحدات'!$A$2:$A$41,0)),"")</f>
        <v>TOP</v>
      </c>
      <c r="C8" s="18" t="str">
        <f aca="false">IFERROR(INDEX('قائمة الوحدات'!$C$2:$C$41,MATCH($A8,'قائمة الوحدات'!$A$2:$A$41,0)),"")</f>
        <v>المرتبطة بسمو الوزير</v>
      </c>
      <c r="D8" s="18" t="str">
        <f aca="false">IFERROR(INDEX('قائمة الوحدات'!$D$2:$D$41,MATCH($A8,'قائمة الوحدات'!$A$2:$A$41,0)),"")</f>
        <v>إدارة الحوكمة والمخاطر</v>
      </c>
      <c r="E8" s="18" t="str">
        <f aca="false">IFERROR(INDEX('قائمة الوحدات'!$F$2:$F$41,MATCH($A8,'قائمة الوحدات'!$A$2:$A$41,0)),"")</f>
        <v>إدارة الحوكمة والمخاطر</v>
      </c>
      <c r="F8" s="19" t="s">
        <v>44</v>
      </c>
      <c r="G8" s="18" t="str">
        <f aca="false">IFERROR(INDEX(المرجع!$A$2:$A$19,MATCH($F8,المرجع!$B$2:$B$19,0)),"")</f>
        <v>التصميم</v>
      </c>
      <c r="H8" s="29" t="n">
        <f aca="false">SUMIFS('تقييم العناصر'!$R$2:$R$721,'تقييم العناصر'!$B$2:$B$721,$A8,'تقييم العناصر'!$G$2:$G$721,$F8)</f>
        <v>80.45</v>
      </c>
      <c r="I8" s="30" t="n">
        <f aca="false">SUMIFS('تقييم العناصر'!$T$2:$T$721,'تقييم العناصر'!$B$2:$B$721,$A8,'تقييم العناصر'!$G$2:$G$721,$F8)</f>
        <v>93.95</v>
      </c>
      <c r="J8" s="27" t="str">
        <f aca="false">IF($H8&gt;المرجع!$K$3,"متقدم",IF($H8&lt;=المرجع!$K$2,"أولي","جزئي"))</f>
        <v>متقدم</v>
      </c>
      <c r="K8" s="31" t="n">
        <f aca="false">ROUND((SUMIFS($H$2:$H$121,$A$2:$A$121,$A8,$F$2:$F$121,"DESIGN")*INDEX(المرجع!$K$9:$K$11,MATCH("DESIGN",المرجع!$L$9:$L$11,0))+SUMIFS($H$2:$H$121,$A$2:$A$121,$A8,$F$2:$F$121,"BUILD")*INDEX(المرجع!$K$9:$K$11,MATCH("BUILD",المرجع!$L$9:$L$11,0))+SUMIFS($H$2:$H$121,$A$2:$A$121,$A8,$F$2:$F$121,"OPERATE")*INDEX(المرجع!$K$9:$K$11,MATCH("OPERATE",المرجع!$L$9:$L$11,0)))/100,1)</f>
        <v>51.2</v>
      </c>
      <c r="L8" s="32" t="str">
        <f aca="false">IF($K8&gt;المرجع!$K$3,"متقدم",IF($K8&lt;=المرجع!$K$2,"أولي","جزئي"))</f>
        <v>جزئي</v>
      </c>
      <c r="M8" s="31" t="n">
        <f aca="false">ROUND((SUMIFS($I$2:$I$121,$A$2:$A$121,$A8,$F$2:$F$121,"DESIGN")*INDEX(المرجع!$K$9:$K$11,MATCH("DESIGN",المرجع!$L$9:$L$11,0))+SUMIFS($I$2:$I$121,$A$2:$A$121,$A8,$F$2:$F$121,"BUILD")*INDEX(المرجع!$K$9:$K$11,MATCH("BUILD",المرجع!$L$9:$L$11,0))+SUMIFS($I$2:$I$121,$A$2:$A$121,$A8,$F$2:$F$121,"OPERATE")*INDEX(المرجع!$K$9:$K$11,MATCH("OPERATE",المرجع!$L$9:$L$11,0)))/100,1)</f>
        <v>94</v>
      </c>
      <c r="N8" s="32" t="str">
        <f aca="false">IF($M8&gt;المرجع!$K$3,"متقدم",IF($M8&lt;=المرجع!$K$2,"أولي","جزئي"))</f>
        <v>متقدم</v>
      </c>
    </row>
    <row r="9" customFormat="false" ht="15" hidden="false" customHeight="true" outlineLevel="0" collapsed="false">
      <c r="A9" s="19" t="s">
        <v>154</v>
      </c>
      <c r="B9" s="19" t="str">
        <f aca="false">IFERROR(INDEX('قائمة الوحدات'!$B$2:$B$41,MATCH($A9,'قائمة الوحدات'!$A$2:$A$41,0)),"")</f>
        <v>TOP</v>
      </c>
      <c r="C9" s="18" t="str">
        <f aca="false">IFERROR(INDEX('قائمة الوحدات'!$C$2:$C$41,MATCH($A9,'قائمة الوحدات'!$A$2:$A$41,0)),"")</f>
        <v>المرتبطة بسمو الوزير</v>
      </c>
      <c r="D9" s="18" t="str">
        <f aca="false">IFERROR(INDEX('قائمة الوحدات'!$D$2:$D$41,MATCH($A9,'قائمة الوحدات'!$A$2:$A$41,0)),"")</f>
        <v>إدارة الحوكمة والمخاطر</v>
      </c>
      <c r="E9" s="18" t="str">
        <f aca="false">IFERROR(INDEX('قائمة الوحدات'!$F$2:$F$41,MATCH($A9,'قائمة الوحدات'!$A$2:$A$41,0)),"")</f>
        <v>إدارة الحوكمة والمخاطر</v>
      </c>
      <c r="F9" s="19" t="s">
        <v>62</v>
      </c>
      <c r="G9" s="18" t="str">
        <f aca="false">IFERROR(INDEX(المرجع!$A$2:$A$19,MATCH($F9,المرجع!$B$2:$B$19,0)),"")</f>
        <v>البناء المؤسسي</v>
      </c>
      <c r="H9" s="29" t="n">
        <f aca="false">SUMIFS('تقييم العناصر'!$R$2:$R$721,'تقييم العناصر'!$B$2:$B$721,$A9,'تقييم العناصر'!$G$2:$G$721,$F9)</f>
        <v>58.3</v>
      </c>
      <c r="I9" s="30" t="n">
        <f aca="false">SUMIFS('تقييم العناصر'!$T$2:$T$721,'تقييم العناصر'!$B$2:$B$721,$A9,'تقييم العناصر'!$G$2:$G$721,$F9)</f>
        <v>95.45</v>
      </c>
      <c r="J9" s="27" t="str">
        <f aca="false">IF($H9&gt;المرجع!$K$3,"متقدم",IF($H9&lt;=المرجع!$K$2,"أولي","جزئي"))</f>
        <v>جزئي</v>
      </c>
      <c r="K9" s="31" t="n">
        <f aca="false">ROUND((SUMIFS($H$2:$H$121,$A$2:$A$121,$A9,$F$2:$F$121,"DESIGN")*INDEX(المرجع!$K$9:$K$11,MATCH("DESIGN",المرجع!$L$9:$L$11,0))+SUMIFS($H$2:$H$121,$A$2:$A$121,$A9,$F$2:$F$121,"BUILD")*INDEX(المرجع!$K$9:$K$11,MATCH("BUILD",المرجع!$L$9:$L$11,0))+SUMIFS($H$2:$H$121,$A$2:$A$121,$A9,$F$2:$F$121,"OPERATE")*INDEX(المرجع!$K$9:$K$11,MATCH("OPERATE",المرجع!$L$9:$L$11,0)))/100,1)</f>
        <v>51.2</v>
      </c>
      <c r="L9" s="32" t="str">
        <f aca="false">IF($K9&gt;المرجع!$K$3,"متقدم",IF($K9&lt;=المرجع!$K$2,"أولي","جزئي"))</f>
        <v>جزئي</v>
      </c>
      <c r="M9" s="31" t="n">
        <f aca="false">ROUND((SUMIFS($I$2:$I$121,$A$2:$A$121,$A9,$F$2:$F$121,"DESIGN")*INDEX(المرجع!$K$9:$K$11,MATCH("DESIGN",المرجع!$L$9:$L$11,0))+SUMIFS($I$2:$I$121,$A$2:$A$121,$A9,$F$2:$F$121,"BUILD")*INDEX(المرجع!$K$9:$K$11,MATCH("BUILD",المرجع!$L$9:$L$11,0))+SUMIFS($I$2:$I$121,$A$2:$A$121,$A9,$F$2:$F$121,"OPERATE")*INDEX(المرجع!$K$9:$K$11,MATCH("OPERATE",المرجع!$L$9:$L$11,0)))/100,1)</f>
        <v>94</v>
      </c>
      <c r="N9" s="32" t="str">
        <f aca="false">IF($M9&gt;المرجع!$K$3,"متقدم",IF($M9&lt;=المرجع!$K$2,"أولي","جزئي"))</f>
        <v>متقدم</v>
      </c>
    </row>
    <row r="10" customFormat="false" ht="15" hidden="false" customHeight="true" outlineLevel="0" collapsed="false">
      <c r="A10" s="19" t="s">
        <v>154</v>
      </c>
      <c r="B10" s="19" t="str">
        <f aca="false">IFERROR(INDEX('قائمة الوحدات'!$B$2:$B$41,MATCH($A10,'قائمة الوحدات'!$A$2:$A$41,0)),"")</f>
        <v>TOP</v>
      </c>
      <c r="C10" s="18" t="str">
        <f aca="false">IFERROR(INDEX('قائمة الوحدات'!$C$2:$C$41,MATCH($A10,'قائمة الوحدات'!$A$2:$A$41,0)),"")</f>
        <v>المرتبطة بسمو الوزير</v>
      </c>
      <c r="D10" s="18" t="str">
        <f aca="false">IFERROR(INDEX('قائمة الوحدات'!$D$2:$D$41,MATCH($A10,'قائمة الوحدات'!$A$2:$A$41,0)),"")</f>
        <v>إدارة الحوكمة والمخاطر</v>
      </c>
      <c r="E10" s="18" t="str">
        <f aca="false">IFERROR(INDEX('قائمة الوحدات'!$F$2:$F$41,MATCH($A10,'قائمة الوحدات'!$A$2:$A$41,0)),"")</f>
        <v>إدارة الحوكمة والمخاطر</v>
      </c>
      <c r="F10" s="19" t="s">
        <v>66</v>
      </c>
      <c r="G10" s="18" t="str">
        <f aca="false">IFERROR(INDEX(المرجع!$A$2:$A$19,MATCH($F10,المرجع!$B$2:$B$19,0)),"")</f>
        <v>التشغيل</v>
      </c>
      <c r="H10" s="29" t="n">
        <f aca="false">SUMIFS('تقييم العناصر'!$R$2:$R$721,'تقييم العناصر'!$B$2:$B$721,$A10,'تقييم العناصر'!$G$2:$G$721,$F10)</f>
        <v>35.2</v>
      </c>
      <c r="I10" s="30" t="n">
        <f aca="false">SUMIFS('تقييم العناصر'!$T$2:$T$721,'تقييم العناصر'!$B$2:$B$721,$A10,'تقييم العناصر'!$G$2:$G$721,$F10)</f>
        <v>93.05</v>
      </c>
      <c r="J10" s="27" t="str">
        <f aca="false">IF($H10&gt;المرجع!$K$3,"متقدم",IF($H10&lt;=المرجع!$K$2,"أولي","جزئي"))</f>
        <v>جزئي</v>
      </c>
      <c r="K10" s="31" t="n">
        <f aca="false">ROUND((SUMIFS($H$2:$H$121,$A$2:$A$121,$A10,$F$2:$F$121,"DESIGN")*INDEX(المرجع!$K$9:$K$11,MATCH("DESIGN",المرجع!$L$9:$L$11,0))+SUMIFS($H$2:$H$121,$A$2:$A$121,$A10,$F$2:$F$121,"BUILD")*INDEX(المرجع!$K$9:$K$11,MATCH("BUILD",المرجع!$L$9:$L$11,0))+SUMIFS($H$2:$H$121,$A$2:$A$121,$A10,$F$2:$F$121,"OPERATE")*INDEX(المرجع!$K$9:$K$11,MATCH("OPERATE",المرجع!$L$9:$L$11,0)))/100,1)</f>
        <v>51.2</v>
      </c>
      <c r="L10" s="32" t="str">
        <f aca="false">IF($K10&gt;المرجع!$K$3,"متقدم",IF($K10&lt;=المرجع!$K$2,"أولي","جزئي"))</f>
        <v>جزئي</v>
      </c>
      <c r="M10" s="31" t="n">
        <f aca="false">ROUND((SUMIFS($I$2:$I$121,$A$2:$A$121,$A10,$F$2:$F$121,"DESIGN")*INDEX(المرجع!$K$9:$K$11,MATCH("DESIGN",المرجع!$L$9:$L$11,0))+SUMIFS($I$2:$I$121,$A$2:$A$121,$A10,$F$2:$F$121,"BUILD")*INDEX(المرجع!$K$9:$K$11,MATCH("BUILD",المرجع!$L$9:$L$11,0))+SUMIFS($I$2:$I$121,$A$2:$A$121,$A10,$F$2:$F$121,"OPERATE")*INDEX(المرجع!$K$9:$K$11,MATCH("OPERATE",المرجع!$L$9:$L$11,0)))/100,1)</f>
        <v>94</v>
      </c>
      <c r="N10" s="32" t="str">
        <f aca="false">IF($M10&gt;المرجع!$K$3,"متقدم",IF($M10&lt;=المرجع!$K$2,"أولي","جزئي"))</f>
        <v>متقدم</v>
      </c>
    </row>
    <row r="11" customFormat="false" ht="15" hidden="false" customHeight="true" outlineLevel="0" collapsed="false">
      <c r="A11" s="19" t="s">
        <v>156</v>
      </c>
      <c r="B11" s="19" t="str">
        <f aca="false">IFERROR(INDEX('قائمة الوحدات'!$B$2:$B$41,MATCH($A11,'قائمة الوحدات'!$A$2:$A$41,0)),"")</f>
        <v>TOP</v>
      </c>
      <c r="C11" s="18" t="str">
        <f aca="false">IFERROR(INDEX('قائمة الوحدات'!$C$2:$C$41,MATCH($A11,'قائمة الوحدات'!$A$2:$A$41,0)),"")</f>
        <v>المرتبطة بسمو الوزير</v>
      </c>
      <c r="D11" s="18" t="str">
        <f aca="false">IFERROR(INDEX('قائمة الوحدات'!$D$2:$D$41,MATCH($A11,'قائمة الوحدات'!$A$2:$A$41,0)),"")</f>
        <v>إدارة الشؤون القانونية</v>
      </c>
      <c r="E11" s="18" t="str">
        <f aca="false">IFERROR(INDEX('قائمة الوحدات'!$F$2:$F$41,MATCH($A11,'قائمة الوحدات'!$A$2:$A$41,0)),"")</f>
        <v>إدارة الشؤون القانونية</v>
      </c>
      <c r="F11" s="19" t="s">
        <v>44</v>
      </c>
      <c r="G11" s="18" t="str">
        <f aca="false">IFERROR(INDEX(المرجع!$A$2:$A$19,MATCH($F11,المرجع!$B$2:$B$19,0)),"")</f>
        <v>التصميم</v>
      </c>
      <c r="H11" s="29" t="n">
        <f aca="false">SUMIFS('تقييم العناصر'!$R$2:$R$721,'تقييم العناصر'!$B$2:$B$721,$A11,'تقييم العناصر'!$G$2:$G$721,$F11)</f>
        <v>83.65</v>
      </c>
      <c r="I11" s="30" t="n">
        <f aca="false">SUMIFS('تقييم العناصر'!$T$2:$T$721,'تقييم العناصر'!$B$2:$B$721,$A11,'تقييم العناصر'!$G$2:$G$721,$F11)</f>
        <v>91.8</v>
      </c>
      <c r="J11" s="27" t="str">
        <f aca="false">IF($H11&gt;المرجع!$K$3,"متقدم",IF($H11&lt;=المرجع!$K$2,"أولي","جزئي"))</f>
        <v>متقدم</v>
      </c>
      <c r="K11" s="31" t="n">
        <f aca="false">ROUND((SUMIFS($H$2:$H$121,$A$2:$A$121,$A11,$F$2:$F$121,"DESIGN")*INDEX(المرجع!$K$9:$K$11,MATCH("DESIGN",المرجع!$L$9:$L$11,0))+SUMIFS($H$2:$H$121,$A$2:$A$121,$A11,$F$2:$F$121,"BUILD")*INDEX(المرجع!$K$9:$K$11,MATCH("BUILD",المرجع!$L$9:$L$11,0))+SUMIFS($H$2:$H$121,$A$2:$A$121,$A11,$F$2:$F$121,"OPERATE")*INDEX(المرجع!$K$9:$K$11,MATCH("OPERATE",المرجع!$L$9:$L$11,0)))/100,1)</f>
        <v>55.5</v>
      </c>
      <c r="L11" s="32" t="str">
        <f aca="false">IF($K11&gt;المرجع!$K$3,"متقدم",IF($K11&lt;=المرجع!$K$2,"أولي","جزئي"))</f>
        <v>جزئي</v>
      </c>
      <c r="M11" s="31" t="n">
        <f aca="false">ROUND((SUMIFS($I$2:$I$121,$A$2:$A$121,$A11,$F$2:$F$121,"DESIGN")*INDEX(المرجع!$K$9:$K$11,MATCH("DESIGN",المرجع!$L$9:$L$11,0))+SUMIFS($I$2:$I$121,$A$2:$A$121,$A11,$F$2:$F$121,"BUILD")*INDEX(المرجع!$K$9:$K$11,MATCH("BUILD",المرجع!$L$9:$L$11,0))+SUMIFS($I$2:$I$121,$A$2:$A$121,$A11,$F$2:$F$121,"OPERATE")*INDEX(المرجع!$K$9:$K$11,MATCH("OPERATE",المرجع!$L$9:$L$11,0)))/100,1)</f>
        <v>94.4</v>
      </c>
      <c r="N11" s="32" t="str">
        <f aca="false">IF($M11&gt;المرجع!$K$3,"متقدم",IF($M11&lt;=المرجع!$K$2,"أولي","جزئي"))</f>
        <v>متقدم</v>
      </c>
    </row>
    <row r="12" customFormat="false" ht="15" hidden="false" customHeight="true" outlineLevel="0" collapsed="false">
      <c r="A12" s="19" t="s">
        <v>156</v>
      </c>
      <c r="B12" s="19" t="str">
        <f aca="false">IFERROR(INDEX('قائمة الوحدات'!$B$2:$B$41,MATCH($A12,'قائمة الوحدات'!$A$2:$A$41,0)),"")</f>
        <v>TOP</v>
      </c>
      <c r="C12" s="18" t="str">
        <f aca="false">IFERROR(INDEX('قائمة الوحدات'!$C$2:$C$41,MATCH($A12,'قائمة الوحدات'!$A$2:$A$41,0)),"")</f>
        <v>المرتبطة بسمو الوزير</v>
      </c>
      <c r="D12" s="18" t="str">
        <f aca="false">IFERROR(INDEX('قائمة الوحدات'!$D$2:$D$41,MATCH($A12,'قائمة الوحدات'!$A$2:$A$41,0)),"")</f>
        <v>إدارة الشؤون القانونية</v>
      </c>
      <c r="E12" s="18" t="str">
        <f aca="false">IFERROR(INDEX('قائمة الوحدات'!$F$2:$F$41,MATCH($A12,'قائمة الوحدات'!$A$2:$A$41,0)),"")</f>
        <v>إدارة الشؤون القانونية</v>
      </c>
      <c r="F12" s="19" t="s">
        <v>62</v>
      </c>
      <c r="G12" s="18" t="str">
        <f aca="false">IFERROR(INDEX(المرجع!$A$2:$A$19,MATCH($F12,المرجع!$B$2:$B$19,0)),"")</f>
        <v>البناء المؤسسي</v>
      </c>
      <c r="H12" s="29" t="n">
        <f aca="false">SUMIFS('تقييم العناصر'!$R$2:$R$721,'تقييم العناصر'!$B$2:$B$721,$A12,'تقييم العناصر'!$G$2:$G$721,$F12)</f>
        <v>60.45</v>
      </c>
      <c r="I12" s="30" t="n">
        <f aca="false">SUMIFS('تقييم العناصر'!$T$2:$T$721,'تقييم العناصر'!$B$2:$B$721,$A12,'تقييم العناصر'!$G$2:$G$721,$F12)</f>
        <v>92.7</v>
      </c>
      <c r="J12" s="27" t="str">
        <f aca="false">IF($H12&gt;المرجع!$K$3,"متقدم",IF($H12&lt;=المرجع!$K$2,"أولي","جزئي"))</f>
        <v>جزئي</v>
      </c>
      <c r="K12" s="31" t="n">
        <f aca="false">ROUND((SUMIFS($H$2:$H$121,$A$2:$A$121,$A12,$F$2:$F$121,"DESIGN")*INDEX(المرجع!$K$9:$K$11,MATCH("DESIGN",المرجع!$L$9:$L$11,0))+SUMIFS($H$2:$H$121,$A$2:$A$121,$A12,$F$2:$F$121,"BUILD")*INDEX(المرجع!$K$9:$K$11,MATCH("BUILD",المرجع!$L$9:$L$11,0))+SUMIFS($H$2:$H$121,$A$2:$A$121,$A12,$F$2:$F$121,"OPERATE")*INDEX(المرجع!$K$9:$K$11,MATCH("OPERATE",المرجع!$L$9:$L$11,0)))/100,1)</f>
        <v>55.5</v>
      </c>
      <c r="L12" s="32" t="str">
        <f aca="false">IF($K12&gt;المرجع!$K$3,"متقدم",IF($K12&lt;=المرجع!$K$2,"أولي","جزئي"))</f>
        <v>جزئي</v>
      </c>
      <c r="M12" s="31" t="n">
        <f aca="false">ROUND((SUMIFS($I$2:$I$121,$A$2:$A$121,$A12,$F$2:$F$121,"DESIGN")*INDEX(المرجع!$K$9:$K$11,MATCH("DESIGN",المرجع!$L$9:$L$11,0))+SUMIFS($I$2:$I$121,$A$2:$A$121,$A12,$F$2:$F$121,"BUILD")*INDEX(المرجع!$K$9:$K$11,MATCH("BUILD",المرجع!$L$9:$L$11,0))+SUMIFS($I$2:$I$121,$A$2:$A$121,$A12,$F$2:$F$121,"OPERATE")*INDEX(المرجع!$K$9:$K$11,MATCH("OPERATE",المرجع!$L$9:$L$11,0)))/100,1)</f>
        <v>94.4</v>
      </c>
      <c r="N12" s="32" t="str">
        <f aca="false">IF($M12&gt;المرجع!$K$3,"متقدم",IF($M12&lt;=المرجع!$K$2,"أولي","جزئي"))</f>
        <v>متقدم</v>
      </c>
    </row>
    <row r="13" customFormat="false" ht="15" hidden="false" customHeight="true" outlineLevel="0" collapsed="false">
      <c r="A13" s="19" t="s">
        <v>156</v>
      </c>
      <c r="B13" s="19" t="str">
        <f aca="false">IFERROR(INDEX('قائمة الوحدات'!$B$2:$B$41,MATCH($A13,'قائمة الوحدات'!$A$2:$A$41,0)),"")</f>
        <v>TOP</v>
      </c>
      <c r="C13" s="18" t="str">
        <f aca="false">IFERROR(INDEX('قائمة الوحدات'!$C$2:$C$41,MATCH($A13,'قائمة الوحدات'!$A$2:$A$41,0)),"")</f>
        <v>المرتبطة بسمو الوزير</v>
      </c>
      <c r="D13" s="18" t="str">
        <f aca="false">IFERROR(INDEX('قائمة الوحدات'!$D$2:$D$41,MATCH($A13,'قائمة الوحدات'!$A$2:$A$41,0)),"")</f>
        <v>إدارة الشؤون القانونية</v>
      </c>
      <c r="E13" s="18" t="str">
        <f aca="false">IFERROR(INDEX('قائمة الوحدات'!$F$2:$F$41,MATCH($A13,'قائمة الوحدات'!$A$2:$A$41,0)),"")</f>
        <v>إدارة الشؤون القانونية</v>
      </c>
      <c r="F13" s="19" t="s">
        <v>66</v>
      </c>
      <c r="G13" s="18" t="str">
        <f aca="false">IFERROR(INDEX(المرجع!$A$2:$A$19,MATCH($F13,المرجع!$B$2:$B$19,0)),"")</f>
        <v>التشغيل</v>
      </c>
      <c r="H13" s="29" t="n">
        <f aca="false">SUMIFS('تقييم العناصر'!$R$2:$R$721,'تقييم العناصر'!$B$2:$B$721,$A13,'تقييم العناصر'!$G$2:$G$721,$F13)</f>
        <v>41.2</v>
      </c>
      <c r="I13" s="30" t="n">
        <f aca="false">SUMIFS('تقييم العناصر'!$T$2:$T$721,'تقييم العناصر'!$B$2:$B$721,$A13,'تقييم العناصر'!$G$2:$G$721,$F13)</f>
        <v>96.5</v>
      </c>
      <c r="J13" s="27" t="str">
        <f aca="false">IF($H13&gt;المرجع!$K$3,"متقدم",IF($H13&lt;=المرجع!$K$2,"أولي","جزئي"))</f>
        <v>جزئي</v>
      </c>
      <c r="K13" s="31" t="n">
        <f aca="false">ROUND((SUMIFS($H$2:$H$121,$A$2:$A$121,$A13,$F$2:$F$121,"DESIGN")*INDEX(المرجع!$K$9:$K$11,MATCH("DESIGN",المرجع!$L$9:$L$11,0))+SUMIFS($H$2:$H$121,$A$2:$A$121,$A13,$F$2:$F$121,"BUILD")*INDEX(المرجع!$K$9:$K$11,MATCH("BUILD",المرجع!$L$9:$L$11,0))+SUMIFS($H$2:$H$121,$A$2:$A$121,$A13,$F$2:$F$121,"OPERATE")*INDEX(المرجع!$K$9:$K$11,MATCH("OPERATE",المرجع!$L$9:$L$11,0)))/100,1)</f>
        <v>55.5</v>
      </c>
      <c r="L13" s="32" t="str">
        <f aca="false">IF($K13&gt;المرجع!$K$3,"متقدم",IF($K13&lt;=المرجع!$K$2,"أولي","جزئي"))</f>
        <v>جزئي</v>
      </c>
      <c r="M13" s="31" t="n">
        <f aca="false">ROUND((SUMIFS($I$2:$I$121,$A$2:$A$121,$A13,$F$2:$F$121,"DESIGN")*INDEX(المرجع!$K$9:$K$11,MATCH("DESIGN",المرجع!$L$9:$L$11,0))+SUMIFS($I$2:$I$121,$A$2:$A$121,$A13,$F$2:$F$121,"BUILD")*INDEX(المرجع!$K$9:$K$11,MATCH("BUILD",المرجع!$L$9:$L$11,0))+SUMIFS($I$2:$I$121,$A$2:$A$121,$A13,$F$2:$F$121,"OPERATE")*INDEX(المرجع!$K$9:$K$11,MATCH("OPERATE",المرجع!$L$9:$L$11,0)))/100,1)</f>
        <v>94.4</v>
      </c>
      <c r="N13" s="32" t="str">
        <f aca="false">IF($M13&gt;المرجع!$K$3,"متقدم",IF($M13&lt;=المرجع!$K$2,"أولي","جزئي"))</f>
        <v>متقدم</v>
      </c>
    </row>
    <row r="14" customFormat="false" ht="15" hidden="false" customHeight="true" outlineLevel="0" collapsed="false">
      <c r="A14" s="19" t="s">
        <v>158</v>
      </c>
      <c r="B14" s="19" t="str">
        <f aca="false">IFERROR(INDEX('قائمة الوحدات'!$B$2:$B$41,MATCH($A14,'قائمة الوحدات'!$A$2:$A$41,0)),"")</f>
        <v>TOP</v>
      </c>
      <c r="C14" s="18" t="str">
        <f aca="false">IFERROR(INDEX('قائمة الوحدات'!$C$2:$C$41,MATCH($A14,'قائمة الوحدات'!$A$2:$A$41,0)),"")</f>
        <v>المرتبطة بسمو الوزير</v>
      </c>
      <c r="D14" s="18" t="str">
        <f aca="false">IFERROR(INDEX('قائمة الوحدات'!$D$2:$D$41,MATCH($A14,'قائمة الوحدات'!$A$2:$A$41,0)),"")</f>
        <v>إدارة التميز المؤسسي</v>
      </c>
      <c r="E14" s="18" t="str">
        <f aca="false">IFERROR(INDEX('قائمة الوحدات'!$F$2:$F$41,MATCH($A14,'قائمة الوحدات'!$A$2:$A$41,0)),"")</f>
        <v>إدارة التميز المؤسسي</v>
      </c>
      <c r="F14" s="19" t="s">
        <v>44</v>
      </c>
      <c r="G14" s="18" t="str">
        <f aca="false">IFERROR(INDEX(المرجع!$A$2:$A$19,MATCH($F14,المرجع!$B$2:$B$19,0)),"")</f>
        <v>التصميم</v>
      </c>
      <c r="H14" s="29" t="n">
        <f aca="false">SUMIFS('تقييم العناصر'!$R$2:$R$721,'تقييم العناصر'!$B$2:$B$721,$A14,'تقييم العناصر'!$G$2:$G$721,$F14)</f>
        <v>81.9</v>
      </c>
      <c r="I14" s="30" t="n">
        <f aca="false">SUMIFS('تقييم العناصر'!$T$2:$T$721,'تقييم العناصر'!$B$2:$B$721,$A14,'تقييم العناصر'!$G$2:$G$721,$F14)</f>
        <v>93.6</v>
      </c>
      <c r="J14" s="27" t="str">
        <f aca="false">IF($H14&gt;المرجع!$K$3,"متقدم",IF($H14&lt;=المرجع!$K$2,"أولي","جزئي"))</f>
        <v>متقدم</v>
      </c>
      <c r="K14" s="31" t="n">
        <f aca="false">ROUND((SUMIFS($H$2:$H$121,$A$2:$A$121,$A14,$F$2:$F$121,"DESIGN")*INDEX(المرجع!$K$9:$K$11,MATCH("DESIGN",المرجع!$L$9:$L$11,0))+SUMIFS($H$2:$H$121,$A$2:$A$121,$A14,$F$2:$F$121,"BUILD")*INDEX(المرجع!$K$9:$K$11,MATCH("BUILD",المرجع!$L$9:$L$11,0))+SUMIFS($H$2:$H$121,$A$2:$A$121,$A14,$F$2:$F$121,"OPERATE")*INDEX(المرجع!$K$9:$K$11,MATCH("OPERATE",المرجع!$L$9:$L$11,0)))/100,1)</f>
        <v>52.5</v>
      </c>
      <c r="L14" s="32" t="str">
        <f aca="false">IF($K14&gt;المرجع!$K$3,"متقدم",IF($K14&lt;=المرجع!$K$2,"أولي","جزئي"))</f>
        <v>جزئي</v>
      </c>
      <c r="M14" s="31" t="n">
        <f aca="false">ROUND((SUMIFS($I$2:$I$121,$A$2:$A$121,$A14,$F$2:$F$121,"DESIGN")*INDEX(المرجع!$K$9:$K$11,MATCH("DESIGN",المرجع!$L$9:$L$11,0))+SUMIFS($I$2:$I$121,$A$2:$A$121,$A14,$F$2:$F$121,"BUILD")*INDEX(المرجع!$K$9:$K$11,MATCH("BUILD",المرجع!$L$9:$L$11,0))+SUMIFS($I$2:$I$121,$A$2:$A$121,$A14,$F$2:$F$121,"OPERATE")*INDEX(المرجع!$K$9:$K$11,MATCH("OPERATE",المرجع!$L$9:$L$11,0)))/100,1)</f>
        <v>89.7</v>
      </c>
      <c r="N14" s="32" t="str">
        <f aca="false">IF($M14&gt;المرجع!$K$3,"متقدم",IF($M14&lt;=المرجع!$K$2,"أولي","جزئي"))</f>
        <v>متقدم</v>
      </c>
    </row>
    <row r="15" customFormat="false" ht="15" hidden="false" customHeight="true" outlineLevel="0" collapsed="false">
      <c r="A15" s="19" t="s">
        <v>158</v>
      </c>
      <c r="B15" s="19" t="str">
        <f aca="false">IFERROR(INDEX('قائمة الوحدات'!$B$2:$B$41,MATCH($A15,'قائمة الوحدات'!$A$2:$A$41,0)),"")</f>
        <v>TOP</v>
      </c>
      <c r="C15" s="18" t="str">
        <f aca="false">IFERROR(INDEX('قائمة الوحدات'!$C$2:$C$41,MATCH($A15,'قائمة الوحدات'!$A$2:$A$41,0)),"")</f>
        <v>المرتبطة بسمو الوزير</v>
      </c>
      <c r="D15" s="18" t="str">
        <f aca="false">IFERROR(INDEX('قائمة الوحدات'!$D$2:$D$41,MATCH($A15,'قائمة الوحدات'!$A$2:$A$41,0)),"")</f>
        <v>إدارة التميز المؤسسي</v>
      </c>
      <c r="E15" s="18" t="str">
        <f aca="false">IFERROR(INDEX('قائمة الوحدات'!$F$2:$F$41,MATCH($A15,'قائمة الوحدات'!$A$2:$A$41,0)),"")</f>
        <v>إدارة التميز المؤسسي</v>
      </c>
      <c r="F15" s="19" t="s">
        <v>62</v>
      </c>
      <c r="G15" s="18" t="str">
        <f aca="false">IFERROR(INDEX(المرجع!$A$2:$A$19,MATCH($F15,المرجع!$B$2:$B$19,0)),"")</f>
        <v>البناء المؤسسي</v>
      </c>
      <c r="H15" s="29" t="n">
        <f aca="false">SUMIFS('تقييم العناصر'!$R$2:$R$721,'تقييم العناصر'!$B$2:$B$721,$A15,'تقييم العناصر'!$G$2:$G$721,$F15)</f>
        <v>64.8</v>
      </c>
      <c r="I15" s="30" t="n">
        <f aca="false">SUMIFS('تقييم العناصر'!$T$2:$T$721,'تقييم العناصر'!$B$2:$B$721,$A15,'تقييم العناصر'!$G$2:$G$721,$F15)</f>
        <v>93.3</v>
      </c>
      <c r="J15" s="27" t="str">
        <f aca="false">IF($H15&gt;المرجع!$K$3,"متقدم",IF($H15&lt;=المرجع!$K$2,"أولي","جزئي"))</f>
        <v>جزئي</v>
      </c>
      <c r="K15" s="31" t="n">
        <f aca="false">ROUND((SUMIFS($H$2:$H$121,$A$2:$A$121,$A15,$F$2:$F$121,"DESIGN")*INDEX(المرجع!$K$9:$K$11,MATCH("DESIGN",المرجع!$L$9:$L$11,0))+SUMIFS($H$2:$H$121,$A$2:$A$121,$A15,$F$2:$F$121,"BUILD")*INDEX(المرجع!$K$9:$K$11,MATCH("BUILD",المرجع!$L$9:$L$11,0))+SUMIFS($H$2:$H$121,$A$2:$A$121,$A15,$F$2:$F$121,"OPERATE")*INDEX(المرجع!$K$9:$K$11,MATCH("OPERATE",المرجع!$L$9:$L$11,0)))/100,1)</f>
        <v>52.5</v>
      </c>
      <c r="L15" s="32" t="str">
        <f aca="false">IF($K15&gt;المرجع!$K$3,"متقدم",IF($K15&lt;=المرجع!$K$2,"أولي","جزئي"))</f>
        <v>جزئي</v>
      </c>
      <c r="M15" s="31" t="n">
        <f aca="false">ROUND((SUMIFS($I$2:$I$121,$A$2:$A$121,$A15,$F$2:$F$121,"DESIGN")*INDEX(المرجع!$K$9:$K$11,MATCH("DESIGN",المرجع!$L$9:$L$11,0))+SUMIFS($I$2:$I$121,$A$2:$A$121,$A15,$F$2:$F$121,"BUILD")*INDEX(المرجع!$K$9:$K$11,MATCH("BUILD",المرجع!$L$9:$L$11,0))+SUMIFS($I$2:$I$121,$A$2:$A$121,$A15,$F$2:$F$121,"OPERATE")*INDEX(المرجع!$K$9:$K$11,MATCH("OPERATE",المرجع!$L$9:$L$11,0)))/100,1)</f>
        <v>89.7</v>
      </c>
      <c r="N15" s="32" t="str">
        <f aca="false">IF($M15&gt;المرجع!$K$3,"متقدم",IF($M15&lt;=المرجع!$K$2,"أولي","جزئي"))</f>
        <v>متقدم</v>
      </c>
    </row>
    <row r="16" customFormat="false" ht="15" hidden="false" customHeight="true" outlineLevel="0" collapsed="false">
      <c r="A16" s="19" t="s">
        <v>158</v>
      </c>
      <c r="B16" s="19" t="str">
        <f aca="false">IFERROR(INDEX('قائمة الوحدات'!$B$2:$B$41,MATCH($A16,'قائمة الوحدات'!$A$2:$A$41,0)),"")</f>
        <v>TOP</v>
      </c>
      <c r="C16" s="18" t="str">
        <f aca="false">IFERROR(INDEX('قائمة الوحدات'!$C$2:$C$41,MATCH($A16,'قائمة الوحدات'!$A$2:$A$41,0)),"")</f>
        <v>المرتبطة بسمو الوزير</v>
      </c>
      <c r="D16" s="18" t="str">
        <f aca="false">IFERROR(INDEX('قائمة الوحدات'!$D$2:$D$41,MATCH($A16,'قائمة الوحدات'!$A$2:$A$41,0)),"")</f>
        <v>إدارة التميز المؤسسي</v>
      </c>
      <c r="E16" s="18" t="str">
        <f aca="false">IFERROR(INDEX('قائمة الوحدات'!$F$2:$F$41,MATCH($A16,'قائمة الوحدات'!$A$2:$A$41,0)),"")</f>
        <v>إدارة التميز المؤسسي</v>
      </c>
      <c r="F16" s="19" t="s">
        <v>66</v>
      </c>
      <c r="G16" s="18" t="str">
        <f aca="false">IFERROR(INDEX(المرجع!$A$2:$A$19,MATCH($F16,المرجع!$B$2:$B$19,0)),"")</f>
        <v>التشغيل</v>
      </c>
      <c r="H16" s="29" t="n">
        <f aca="false">SUMIFS('تقييم العناصر'!$R$2:$R$721,'تقييم العناصر'!$B$2:$B$721,$A16,'تقييم العناصر'!$G$2:$G$721,$F16)</f>
        <v>33.35</v>
      </c>
      <c r="I16" s="30" t="n">
        <f aca="false">SUMIFS('تقييم العناصر'!$T$2:$T$721,'تقييم العناصر'!$B$2:$B$721,$A16,'تقييم العناصر'!$G$2:$G$721,$F16)</f>
        <v>86.05</v>
      </c>
      <c r="J16" s="27" t="str">
        <f aca="false">IF($H16&gt;المرجع!$K$3,"متقدم",IF($H16&lt;=المرجع!$K$2,"أولي","جزئي"))</f>
        <v>جزئي</v>
      </c>
      <c r="K16" s="31" t="n">
        <f aca="false">ROUND((SUMIFS($H$2:$H$121,$A$2:$A$121,$A16,$F$2:$F$121,"DESIGN")*INDEX(المرجع!$K$9:$K$11,MATCH("DESIGN",المرجع!$L$9:$L$11,0))+SUMIFS($H$2:$H$121,$A$2:$A$121,$A16,$F$2:$F$121,"BUILD")*INDEX(المرجع!$K$9:$K$11,MATCH("BUILD",المرجع!$L$9:$L$11,0))+SUMIFS($H$2:$H$121,$A$2:$A$121,$A16,$F$2:$F$121,"OPERATE")*INDEX(المرجع!$K$9:$K$11,MATCH("OPERATE",المرجع!$L$9:$L$11,0)))/100,1)</f>
        <v>52.5</v>
      </c>
      <c r="L16" s="32" t="str">
        <f aca="false">IF($K16&gt;المرجع!$K$3,"متقدم",IF($K16&lt;=المرجع!$K$2,"أولي","جزئي"))</f>
        <v>جزئي</v>
      </c>
      <c r="M16" s="31" t="n">
        <f aca="false">ROUND((SUMIFS($I$2:$I$121,$A$2:$A$121,$A16,$F$2:$F$121,"DESIGN")*INDEX(المرجع!$K$9:$K$11,MATCH("DESIGN",المرجع!$L$9:$L$11,0))+SUMIFS($I$2:$I$121,$A$2:$A$121,$A16,$F$2:$F$121,"BUILD")*INDEX(المرجع!$K$9:$K$11,MATCH("BUILD",المرجع!$L$9:$L$11,0))+SUMIFS($I$2:$I$121,$A$2:$A$121,$A16,$F$2:$F$121,"OPERATE")*INDEX(المرجع!$K$9:$K$11,MATCH("OPERATE",المرجع!$L$9:$L$11,0)))/100,1)</f>
        <v>89.7</v>
      </c>
      <c r="N16" s="32" t="str">
        <f aca="false">IF($M16&gt;المرجع!$K$3,"متقدم",IF($M16&lt;=المرجع!$K$2,"أولي","جزئي"))</f>
        <v>متقدم</v>
      </c>
    </row>
    <row r="17" customFormat="false" ht="15" hidden="false" customHeight="true" outlineLevel="0" collapsed="false">
      <c r="A17" s="19" t="s">
        <v>160</v>
      </c>
      <c r="B17" s="19" t="str">
        <f aca="false">IFERROR(INDEX('قائمة الوحدات'!$B$2:$B$41,MATCH($A17,'قائمة الوحدات'!$A$2:$A$41,0)),"")</f>
        <v>EXE</v>
      </c>
      <c r="C17" s="18" t="str">
        <f aca="false">IFERROR(INDEX('قائمة الوحدات'!$C$2:$C$41,MATCH($A17,'قائمة الوحدات'!$A$2:$A$41,0)),"")</f>
        <v>الشؤون التنفيذية</v>
      </c>
      <c r="D17" s="18" t="str">
        <f aca="false">IFERROR(INDEX('قائمة الوحدات'!$D$2:$D$41,MATCH($A17,'قائمة الوحدات'!$A$2:$A$41,0)),"")</f>
        <v>وكالة الشؤون الفنية</v>
      </c>
      <c r="E17" s="18" t="str">
        <f aca="false">IFERROR(INDEX('قائمة الوحدات'!$F$2:$F$41,MATCH($A17,'قائمة الوحدات'!$A$2:$A$41,0)),"")</f>
        <v>الإدارة العامة للتخطيط والدراسات</v>
      </c>
      <c r="F17" s="19" t="s">
        <v>44</v>
      </c>
      <c r="G17" s="18" t="str">
        <f aca="false">IFERROR(INDEX(المرجع!$A$2:$A$19,MATCH($F17,المرجع!$B$2:$B$19,0)),"")</f>
        <v>التصميم</v>
      </c>
      <c r="H17" s="29" t="n">
        <f aca="false">SUMIFS('تقييم العناصر'!$R$2:$R$721,'تقييم العناصر'!$B$2:$B$721,$A17,'تقييم العناصر'!$G$2:$G$721,$F17)</f>
        <v>81.1</v>
      </c>
      <c r="I17" s="30" t="n">
        <f aca="false">SUMIFS('تقييم العناصر'!$T$2:$T$721,'تقييم العناصر'!$B$2:$B$721,$A17,'تقييم العناصر'!$G$2:$G$721,$F17)</f>
        <v>91.7</v>
      </c>
      <c r="J17" s="27" t="str">
        <f aca="false">IF($H17&gt;المرجع!$K$3,"متقدم",IF($H17&lt;=المرجع!$K$2,"أولي","جزئي"))</f>
        <v>متقدم</v>
      </c>
      <c r="K17" s="31" t="n">
        <f aca="false">ROUND((SUMIFS($H$2:$H$121,$A$2:$A$121,$A17,$F$2:$F$121,"DESIGN")*INDEX(المرجع!$K$9:$K$11,MATCH("DESIGN",المرجع!$L$9:$L$11,0))+SUMIFS($H$2:$H$121,$A$2:$A$121,$A17,$F$2:$F$121,"BUILD")*INDEX(المرجع!$K$9:$K$11,MATCH("BUILD",المرجع!$L$9:$L$11,0))+SUMIFS($H$2:$H$121,$A$2:$A$121,$A17,$F$2:$F$121,"OPERATE")*INDEX(المرجع!$K$9:$K$11,MATCH("OPERATE",المرجع!$L$9:$L$11,0)))/100,1)</f>
        <v>57.1</v>
      </c>
      <c r="L17" s="32" t="str">
        <f aca="false">IF($K17&gt;المرجع!$K$3,"متقدم",IF($K17&lt;=المرجع!$K$2,"أولي","جزئي"))</f>
        <v>جزئي</v>
      </c>
      <c r="M17" s="31" t="n">
        <f aca="false">ROUND((SUMIFS($I$2:$I$121,$A$2:$A$121,$A17,$F$2:$F$121,"DESIGN")*INDEX(المرجع!$K$9:$K$11,MATCH("DESIGN",المرجع!$L$9:$L$11,0))+SUMIFS($I$2:$I$121,$A$2:$A$121,$A17,$F$2:$F$121,"BUILD")*INDEX(المرجع!$K$9:$K$11,MATCH("BUILD",المرجع!$L$9:$L$11,0))+SUMIFS($I$2:$I$121,$A$2:$A$121,$A17,$F$2:$F$121,"OPERATE")*INDEX(المرجع!$K$9:$K$11,MATCH("OPERATE",المرجع!$L$9:$L$11,0)))/100,1)</f>
        <v>91.1</v>
      </c>
      <c r="N17" s="32" t="str">
        <f aca="false">IF($M17&gt;المرجع!$K$3,"متقدم",IF($M17&lt;=المرجع!$K$2,"أولي","جزئي"))</f>
        <v>متقدم</v>
      </c>
    </row>
    <row r="18" customFormat="false" ht="15" hidden="false" customHeight="true" outlineLevel="0" collapsed="false">
      <c r="A18" s="19" t="s">
        <v>160</v>
      </c>
      <c r="B18" s="19" t="str">
        <f aca="false">IFERROR(INDEX('قائمة الوحدات'!$B$2:$B$41,MATCH($A18,'قائمة الوحدات'!$A$2:$A$41,0)),"")</f>
        <v>EXE</v>
      </c>
      <c r="C18" s="18" t="str">
        <f aca="false">IFERROR(INDEX('قائمة الوحدات'!$C$2:$C$41,MATCH($A18,'قائمة الوحدات'!$A$2:$A$41,0)),"")</f>
        <v>الشؤون التنفيذية</v>
      </c>
      <c r="D18" s="18" t="str">
        <f aca="false">IFERROR(INDEX('قائمة الوحدات'!$D$2:$D$41,MATCH($A18,'قائمة الوحدات'!$A$2:$A$41,0)),"")</f>
        <v>وكالة الشؤون الفنية</v>
      </c>
      <c r="E18" s="18" t="str">
        <f aca="false">IFERROR(INDEX('قائمة الوحدات'!$F$2:$F$41,MATCH($A18,'قائمة الوحدات'!$A$2:$A$41,0)),"")</f>
        <v>الإدارة العامة للتخطيط والدراسات</v>
      </c>
      <c r="F18" s="19" t="s">
        <v>62</v>
      </c>
      <c r="G18" s="18" t="str">
        <f aca="false">IFERROR(INDEX(المرجع!$A$2:$A$19,MATCH($F18,المرجع!$B$2:$B$19,0)),"")</f>
        <v>البناء المؤسسي</v>
      </c>
      <c r="H18" s="29" t="n">
        <f aca="false">SUMIFS('تقييم العناصر'!$R$2:$R$721,'تقييم العناصر'!$B$2:$B$721,$A18,'تقييم العناصر'!$G$2:$G$721,$F18)</f>
        <v>65.55</v>
      </c>
      <c r="I18" s="30" t="n">
        <f aca="false">SUMIFS('تقييم العناصر'!$T$2:$T$721,'تقييم العناصر'!$B$2:$B$721,$A18,'تقييم العناصر'!$G$2:$G$721,$F18)</f>
        <v>95.3</v>
      </c>
      <c r="J18" s="27" t="str">
        <f aca="false">IF($H18&gt;المرجع!$K$3,"متقدم",IF($H18&lt;=المرجع!$K$2,"أولي","جزئي"))</f>
        <v>جزئي</v>
      </c>
      <c r="K18" s="31" t="n">
        <f aca="false">ROUND((SUMIFS($H$2:$H$121,$A$2:$A$121,$A18,$F$2:$F$121,"DESIGN")*INDEX(المرجع!$K$9:$K$11,MATCH("DESIGN",المرجع!$L$9:$L$11,0))+SUMIFS($H$2:$H$121,$A$2:$A$121,$A18,$F$2:$F$121,"BUILD")*INDEX(المرجع!$K$9:$K$11,MATCH("BUILD",المرجع!$L$9:$L$11,0))+SUMIFS($H$2:$H$121,$A$2:$A$121,$A18,$F$2:$F$121,"OPERATE")*INDEX(المرجع!$K$9:$K$11,MATCH("OPERATE",المرجع!$L$9:$L$11,0)))/100,1)</f>
        <v>57.1</v>
      </c>
      <c r="L18" s="32" t="str">
        <f aca="false">IF($K18&gt;المرجع!$K$3,"متقدم",IF($K18&lt;=المرجع!$K$2,"أولي","جزئي"))</f>
        <v>جزئي</v>
      </c>
      <c r="M18" s="31" t="n">
        <f aca="false">ROUND((SUMIFS($I$2:$I$121,$A$2:$A$121,$A18,$F$2:$F$121,"DESIGN")*INDEX(المرجع!$K$9:$K$11,MATCH("DESIGN",المرجع!$L$9:$L$11,0))+SUMIFS($I$2:$I$121,$A$2:$A$121,$A18,$F$2:$F$121,"BUILD")*INDEX(المرجع!$K$9:$K$11,MATCH("BUILD",المرجع!$L$9:$L$11,0))+SUMIFS($I$2:$I$121,$A$2:$A$121,$A18,$F$2:$F$121,"OPERATE")*INDEX(المرجع!$K$9:$K$11,MATCH("OPERATE",المرجع!$L$9:$L$11,0)))/100,1)</f>
        <v>91.1</v>
      </c>
      <c r="N18" s="32" t="str">
        <f aca="false">IF($M18&gt;المرجع!$K$3,"متقدم",IF($M18&lt;=المرجع!$K$2,"أولي","جزئي"))</f>
        <v>متقدم</v>
      </c>
    </row>
    <row r="19" customFormat="false" ht="15" hidden="false" customHeight="true" outlineLevel="0" collapsed="false">
      <c r="A19" s="19" t="s">
        <v>160</v>
      </c>
      <c r="B19" s="19" t="str">
        <f aca="false">IFERROR(INDEX('قائمة الوحدات'!$B$2:$B$41,MATCH($A19,'قائمة الوحدات'!$A$2:$A$41,0)),"")</f>
        <v>EXE</v>
      </c>
      <c r="C19" s="18" t="str">
        <f aca="false">IFERROR(INDEX('قائمة الوحدات'!$C$2:$C$41,MATCH($A19,'قائمة الوحدات'!$A$2:$A$41,0)),"")</f>
        <v>الشؤون التنفيذية</v>
      </c>
      <c r="D19" s="18" t="str">
        <f aca="false">IFERROR(INDEX('قائمة الوحدات'!$D$2:$D$41,MATCH($A19,'قائمة الوحدات'!$A$2:$A$41,0)),"")</f>
        <v>وكالة الشؤون الفنية</v>
      </c>
      <c r="E19" s="18" t="str">
        <f aca="false">IFERROR(INDEX('قائمة الوحدات'!$F$2:$F$41,MATCH($A19,'قائمة الوحدات'!$A$2:$A$41,0)),"")</f>
        <v>الإدارة العامة للتخطيط والدراسات</v>
      </c>
      <c r="F19" s="19" t="s">
        <v>66</v>
      </c>
      <c r="G19" s="18" t="str">
        <f aca="false">IFERROR(INDEX(المرجع!$A$2:$A$19,MATCH($F19,المرجع!$B$2:$B$19,0)),"")</f>
        <v>التشغيل</v>
      </c>
      <c r="H19" s="29" t="n">
        <f aca="false">SUMIFS('تقييم العناصر'!$R$2:$R$721,'تقييم العناصر'!$B$2:$B$721,$A19,'تقييم العناصر'!$G$2:$G$721,$F19)</f>
        <v>42.4</v>
      </c>
      <c r="I19" s="30" t="n">
        <f aca="false">SUMIFS('تقييم العناصر'!$T$2:$T$721,'تقييم العناصر'!$B$2:$B$721,$A19,'تقييم العناصر'!$G$2:$G$721,$F19)</f>
        <v>88.25</v>
      </c>
      <c r="J19" s="27" t="str">
        <f aca="false">IF($H19&gt;المرجع!$K$3,"متقدم",IF($H19&lt;=المرجع!$K$2,"أولي","جزئي"))</f>
        <v>جزئي</v>
      </c>
      <c r="K19" s="31" t="n">
        <f aca="false">ROUND((SUMIFS($H$2:$H$121,$A$2:$A$121,$A19,$F$2:$F$121,"DESIGN")*INDEX(المرجع!$K$9:$K$11,MATCH("DESIGN",المرجع!$L$9:$L$11,0))+SUMIFS($H$2:$H$121,$A$2:$A$121,$A19,$F$2:$F$121,"BUILD")*INDEX(المرجع!$K$9:$K$11,MATCH("BUILD",المرجع!$L$9:$L$11,0))+SUMIFS($H$2:$H$121,$A$2:$A$121,$A19,$F$2:$F$121,"OPERATE")*INDEX(المرجع!$K$9:$K$11,MATCH("OPERATE",المرجع!$L$9:$L$11,0)))/100,1)</f>
        <v>57.1</v>
      </c>
      <c r="L19" s="32" t="str">
        <f aca="false">IF($K19&gt;المرجع!$K$3,"متقدم",IF($K19&lt;=المرجع!$K$2,"أولي","جزئي"))</f>
        <v>جزئي</v>
      </c>
      <c r="M19" s="31" t="n">
        <f aca="false">ROUND((SUMIFS($I$2:$I$121,$A$2:$A$121,$A19,$F$2:$F$121,"DESIGN")*INDEX(المرجع!$K$9:$K$11,MATCH("DESIGN",المرجع!$L$9:$L$11,0))+SUMIFS($I$2:$I$121,$A$2:$A$121,$A19,$F$2:$F$121,"BUILD")*INDEX(المرجع!$K$9:$K$11,MATCH("BUILD",المرجع!$L$9:$L$11,0))+SUMIFS($I$2:$I$121,$A$2:$A$121,$A19,$F$2:$F$121,"OPERATE")*INDEX(المرجع!$K$9:$K$11,MATCH("OPERATE",المرجع!$L$9:$L$11,0)))/100,1)</f>
        <v>91.1</v>
      </c>
      <c r="N19" s="32" t="str">
        <f aca="false">IF($M19&gt;المرجع!$K$3,"متقدم",IF($M19&lt;=المرجع!$K$2,"أولي","جزئي"))</f>
        <v>متقدم</v>
      </c>
    </row>
    <row r="20" customFormat="false" ht="15" hidden="false" customHeight="true" outlineLevel="0" collapsed="false">
      <c r="A20" s="19" t="s">
        <v>166</v>
      </c>
      <c r="B20" s="19" t="str">
        <f aca="false">IFERROR(INDEX('قائمة الوحدات'!$B$2:$B$41,MATCH($A20,'قائمة الوحدات'!$A$2:$A$41,0)),"")</f>
        <v>EXE</v>
      </c>
      <c r="C20" s="18" t="str">
        <f aca="false">IFERROR(INDEX('قائمة الوحدات'!$C$2:$C$41,MATCH($A20,'قائمة الوحدات'!$A$2:$A$41,0)),"")</f>
        <v>الشؤون التنفيذية</v>
      </c>
      <c r="D20" s="18" t="str">
        <f aca="false">IFERROR(INDEX('قائمة الوحدات'!$D$2:$D$41,MATCH($A20,'قائمة الوحدات'!$A$2:$A$41,0)),"")</f>
        <v>وكالة الشؤون الفنية</v>
      </c>
      <c r="E20" s="18" t="str">
        <f aca="false">IFERROR(INDEX('قائمة الوحدات'!$F$2:$F$41,MATCH($A20,'قائمة الوحدات'!$A$2:$A$41,0)),"")</f>
        <v>الإدارة العامة للجودة والتطوير</v>
      </c>
      <c r="F20" s="19" t="s">
        <v>44</v>
      </c>
      <c r="G20" s="18" t="str">
        <f aca="false">IFERROR(INDEX(المرجع!$A$2:$A$19,MATCH($F20,المرجع!$B$2:$B$19,0)),"")</f>
        <v>التصميم</v>
      </c>
      <c r="H20" s="29" t="n">
        <f aca="false">SUMIFS('تقييم العناصر'!$R$2:$R$721,'تقييم العناصر'!$B$2:$B$721,$A20,'تقييم العناصر'!$G$2:$G$721,$F20)</f>
        <v>81.9</v>
      </c>
      <c r="I20" s="30" t="n">
        <f aca="false">SUMIFS('تقييم العناصر'!$T$2:$T$721,'تقييم العناصر'!$B$2:$B$721,$A20,'تقييم العناصر'!$G$2:$G$721,$F20)</f>
        <v>89.5</v>
      </c>
      <c r="J20" s="27" t="str">
        <f aca="false">IF($H20&gt;المرجع!$K$3,"متقدم",IF($H20&lt;=المرجع!$K$2,"أولي","جزئي"))</f>
        <v>متقدم</v>
      </c>
      <c r="K20" s="31" t="n">
        <f aca="false">ROUND((SUMIFS($H$2:$H$121,$A$2:$A$121,$A20,$F$2:$F$121,"DESIGN")*INDEX(المرجع!$K$9:$K$11,MATCH("DESIGN",المرجع!$L$9:$L$11,0))+SUMIFS($H$2:$H$121,$A$2:$A$121,$A20,$F$2:$F$121,"BUILD")*INDEX(المرجع!$K$9:$K$11,MATCH("BUILD",المرجع!$L$9:$L$11,0))+SUMIFS($H$2:$H$121,$A$2:$A$121,$A20,$F$2:$F$121,"OPERATE")*INDEX(المرجع!$K$9:$K$11,MATCH("OPERATE",المرجع!$L$9:$L$11,0)))/100,1)</f>
        <v>55.5</v>
      </c>
      <c r="L20" s="32" t="str">
        <f aca="false">IF($K20&gt;المرجع!$K$3,"متقدم",IF($K20&lt;=المرجع!$K$2,"أولي","جزئي"))</f>
        <v>جزئي</v>
      </c>
      <c r="M20" s="31" t="n">
        <f aca="false">ROUND((SUMIFS($I$2:$I$121,$A$2:$A$121,$A20,$F$2:$F$121,"DESIGN")*INDEX(المرجع!$K$9:$K$11,MATCH("DESIGN",المرجع!$L$9:$L$11,0))+SUMIFS($I$2:$I$121,$A$2:$A$121,$A20,$F$2:$F$121,"BUILD")*INDEX(المرجع!$K$9:$K$11,MATCH("BUILD",المرجع!$L$9:$L$11,0))+SUMIFS($I$2:$I$121,$A$2:$A$121,$A20,$F$2:$F$121,"OPERATE")*INDEX(المرجع!$K$9:$K$11,MATCH("OPERATE",المرجع!$L$9:$L$11,0)))/100,1)</f>
        <v>93.7</v>
      </c>
      <c r="N20" s="32" t="str">
        <f aca="false">IF($M20&gt;المرجع!$K$3,"متقدم",IF($M20&lt;=المرجع!$K$2,"أولي","جزئي"))</f>
        <v>متقدم</v>
      </c>
    </row>
    <row r="21" customFormat="false" ht="15" hidden="false" customHeight="true" outlineLevel="0" collapsed="false">
      <c r="A21" s="19" t="s">
        <v>166</v>
      </c>
      <c r="B21" s="19" t="str">
        <f aca="false">IFERROR(INDEX('قائمة الوحدات'!$B$2:$B$41,MATCH($A21,'قائمة الوحدات'!$A$2:$A$41,0)),"")</f>
        <v>EXE</v>
      </c>
      <c r="C21" s="18" t="str">
        <f aca="false">IFERROR(INDEX('قائمة الوحدات'!$C$2:$C$41,MATCH($A21,'قائمة الوحدات'!$A$2:$A$41,0)),"")</f>
        <v>الشؤون التنفيذية</v>
      </c>
      <c r="D21" s="18" t="str">
        <f aca="false">IFERROR(INDEX('قائمة الوحدات'!$D$2:$D$41,MATCH($A21,'قائمة الوحدات'!$A$2:$A$41,0)),"")</f>
        <v>وكالة الشؤون الفنية</v>
      </c>
      <c r="E21" s="18" t="str">
        <f aca="false">IFERROR(INDEX('قائمة الوحدات'!$F$2:$F$41,MATCH($A21,'قائمة الوحدات'!$A$2:$A$41,0)),"")</f>
        <v>الإدارة العامة للجودة والتطوير</v>
      </c>
      <c r="F21" s="19" t="s">
        <v>62</v>
      </c>
      <c r="G21" s="18" t="str">
        <f aca="false">IFERROR(INDEX(المرجع!$A$2:$A$19,MATCH($F21,المرجع!$B$2:$B$19,0)),"")</f>
        <v>البناء المؤسسي</v>
      </c>
      <c r="H21" s="29" t="n">
        <f aca="false">SUMIFS('تقييم العناصر'!$R$2:$R$721,'تقييم العناصر'!$B$2:$B$721,$A21,'تقييم العناصر'!$G$2:$G$721,$F21)</f>
        <v>63.65</v>
      </c>
      <c r="I21" s="30" t="n">
        <f aca="false">SUMIFS('تقييم العناصر'!$T$2:$T$721,'تقييم العناصر'!$B$2:$B$721,$A21,'تقييم العناصر'!$G$2:$G$721,$F21)</f>
        <v>93.6</v>
      </c>
      <c r="J21" s="27" t="str">
        <f aca="false">IF($H21&gt;المرجع!$K$3,"متقدم",IF($H21&lt;=المرجع!$K$2,"أولي","جزئي"))</f>
        <v>جزئي</v>
      </c>
      <c r="K21" s="31" t="n">
        <f aca="false">ROUND((SUMIFS($H$2:$H$121,$A$2:$A$121,$A21,$F$2:$F$121,"DESIGN")*INDEX(المرجع!$K$9:$K$11,MATCH("DESIGN",المرجع!$L$9:$L$11,0))+SUMIFS($H$2:$H$121,$A$2:$A$121,$A21,$F$2:$F$121,"BUILD")*INDEX(المرجع!$K$9:$K$11,MATCH("BUILD",المرجع!$L$9:$L$11,0))+SUMIFS($H$2:$H$121,$A$2:$A$121,$A21,$F$2:$F$121,"OPERATE")*INDEX(المرجع!$K$9:$K$11,MATCH("OPERATE",المرجع!$L$9:$L$11,0)))/100,1)</f>
        <v>55.5</v>
      </c>
      <c r="L21" s="32" t="str">
        <f aca="false">IF($K21&gt;المرجع!$K$3,"متقدم",IF($K21&lt;=المرجع!$K$2,"أولي","جزئي"))</f>
        <v>جزئي</v>
      </c>
      <c r="M21" s="31" t="n">
        <f aca="false">ROUND((SUMIFS($I$2:$I$121,$A$2:$A$121,$A21,$F$2:$F$121,"DESIGN")*INDEX(المرجع!$K$9:$K$11,MATCH("DESIGN",المرجع!$L$9:$L$11,0))+SUMIFS($I$2:$I$121,$A$2:$A$121,$A21,$F$2:$F$121,"BUILD")*INDEX(المرجع!$K$9:$K$11,MATCH("BUILD",المرجع!$L$9:$L$11,0))+SUMIFS($I$2:$I$121,$A$2:$A$121,$A21,$F$2:$F$121,"OPERATE")*INDEX(المرجع!$K$9:$K$11,MATCH("OPERATE",المرجع!$L$9:$L$11,0)))/100,1)</f>
        <v>93.7</v>
      </c>
      <c r="N21" s="32" t="str">
        <f aca="false">IF($M21&gt;المرجع!$K$3,"متقدم",IF($M21&lt;=المرجع!$K$2,"أولي","جزئي"))</f>
        <v>متقدم</v>
      </c>
    </row>
    <row r="22" customFormat="false" ht="15" hidden="false" customHeight="true" outlineLevel="0" collapsed="false">
      <c r="A22" s="19" t="s">
        <v>166</v>
      </c>
      <c r="B22" s="19" t="str">
        <f aca="false">IFERROR(INDEX('قائمة الوحدات'!$B$2:$B$41,MATCH($A22,'قائمة الوحدات'!$A$2:$A$41,0)),"")</f>
        <v>EXE</v>
      </c>
      <c r="C22" s="18" t="str">
        <f aca="false">IFERROR(INDEX('قائمة الوحدات'!$C$2:$C$41,MATCH($A22,'قائمة الوحدات'!$A$2:$A$41,0)),"")</f>
        <v>الشؤون التنفيذية</v>
      </c>
      <c r="D22" s="18" t="str">
        <f aca="false">IFERROR(INDEX('قائمة الوحدات'!$D$2:$D$41,MATCH($A22,'قائمة الوحدات'!$A$2:$A$41,0)),"")</f>
        <v>وكالة الشؤون الفنية</v>
      </c>
      <c r="E22" s="18" t="str">
        <f aca="false">IFERROR(INDEX('قائمة الوحدات'!$F$2:$F$41,MATCH($A22,'قائمة الوحدات'!$A$2:$A$41,0)),"")</f>
        <v>الإدارة العامة للجودة والتطوير</v>
      </c>
      <c r="F22" s="19" t="s">
        <v>66</v>
      </c>
      <c r="G22" s="18" t="str">
        <f aca="false">IFERROR(INDEX(المرجع!$A$2:$A$19,MATCH($F22,المرجع!$B$2:$B$19,0)),"")</f>
        <v>التشغيل</v>
      </c>
      <c r="H22" s="29" t="n">
        <f aca="false">SUMIFS('تقييم العناصر'!$R$2:$R$721,'تقييم العناصر'!$B$2:$B$721,$A22,'تقييم العناصر'!$G$2:$G$721,$F22)</f>
        <v>39.95</v>
      </c>
      <c r="I22" s="30" t="n">
        <f aca="false">SUMIFS('تقييم العناصر'!$T$2:$T$721,'تقييم العناصر'!$B$2:$B$721,$A22,'تقييم العناصر'!$G$2:$G$721,$F22)</f>
        <v>95.5</v>
      </c>
      <c r="J22" s="27" t="str">
        <f aca="false">IF($H22&gt;المرجع!$K$3,"متقدم",IF($H22&lt;=المرجع!$K$2,"أولي","جزئي"))</f>
        <v>جزئي</v>
      </c>
      <c r="K22" s="31" t="n">
        <f aca="false">ROUND((SUMIFS($H$2:$H$121,$A$2:$A$121,$A22,$F$2:$F$121,"DESIGN")*INDEX(المرجع!$K$9:$K$11,MATCH("DESIGN",المرجع!$L$9:$L$11,0))+SUMIFS($H$2:$H$121,$A$2:$A$121,$A22,$F$2:$F$121,"BUILD")*INDEX(المرجع!$K$9:$K$11,MATCH("BUILD",المرجع!$L$9:$L$11,0))+SUMIFS($H$2:$H$121,$A$2:$A$121,$A22,$F$2:$F$121,"OPERATE")*INDEX(المرجع!$K$9:$K$11,MATCH("OPERATE",المرجع!$L$9:$L$11,0)))/100,1)</f>
        <v>55.5</v>
      </c>
      <c r="L22" s="32" t="str">
        <f aca="false">IF($K22&gt;المرجع!$K$3,"متقدم",IF($K22&lt;=المرجع!$K$2,"أولي","جزئي"))</f>
        <v>جزئي</v>
      </c>
      <c r="M22" s="31" t="n">
        <f aca="false">ROUND((SUMIFS($I$2:$I$121,$A$2:$A$121,$A22,$F$2:$F$121,"DESIGN")*INDEX(المرجع!$K$9:$K$11,MATCH("DESIGN",المرجع!$L$9:$L$11,0))+SUMIFS($I$2:$I$121,$A$2:$A$121,$A22,$F$2:$F$121,"BUILD")*INDEX(المرجع!$K$9:$K$11,MATCH("BUILD",المرجع!$L$9:$L$11,0))+SUMIFS($I$2:$I$121,$A$2:$A$121,$A22,$F$2:$F$121,"OPERATE")*INDEX(المرجع!$K$9:$K$11,MATCH("OPERATE",المرجع!$L$9:$L$11,0)))/100,1)</f>
        <v>93.7</v>
      </c>
      <c r="N22" s="32" t="str">
        <f aca="false">IF($M22&gt;المرجع!$K$3,"متقدم",IF($M22&lt;=المرجع!$K$2,"أولي","جزئي"))</f>
        <v>متقدم</v>
      </c>
    </row>
    <row r="23" customFormat="false" ht="15" hidden="false" customHeight="true" outlineLevel="0" collapsed="false">
      <c r="A23" s="19" t="s">
        <v>168</v>
      </c>
      <c r="B23" s="19" t="str">
        <f aca="false">IFERROR(INDEX('قائمة الوحدات'!$B$2:$B$41,MATCH($A23,'قائمة الوحدات'!$A$2:$A$41,0)),"")</f>
        <v>EXE</v>
      </c>
      <c r="C23" s="18" t="str">
        <f aca="false">IFERROR(INDEX('قائمة الوحدات'!$C$2:$C$41,MATCH($A23,'قائمة الوحدات'!$A$2:$A$41,0)),"")</f>
        <v>الشؤون التنفيذية</v>
      </c>
      <c r="D23" s="18" t="str">
        <f aca="false">IFERROR(INDEX('قائمة الوحدات'!$D$2:$D$41,MATCH($A23,'قائمة الوحدات'!$A$2:$A$41,0)),"")</f>
        <v>وكالة الشؤون الفنية</v>
      </c>
      <c r="E23" s="18" t="str">
        <f aca="false">IFERROR(INDEX('قائمة الوحدات'!$F$2:$F$41,MATCH($A23,'قائمة الوحدات'!$A$2:$A$41,0)),"")</f>
        <v>الإدارة العامة للمشاريع</v>
      </c>
      <c r="F23" s="19" t="s">
        <v>44</v>
      </c>
      <c r="G23" s="18" t="str">
        <f aca="false">IFERROR(INDEX(المرجع!$A$2:$A$19,MATCH($F23,المرجع!$B$2:$B$19,0)),"")</f>
        <v>التصميم</v>
      </c>
      <c r="H23" s="29" t="n">
        <f aca="false">SUMIFS('تقييم العناصر'!$R$2:$R$721,'تقييم العناصر'!$B$2:$B$721,$A23,'تقييم العناصر'!$G$2:$G$721,$F23)</f>
        <v>86.9</v>
      </c>
      <c r="I23" s="30" t="n">
        <f aca="false">SUMIFS('تقييم العناصر'!$T$2:$T$721,'تقييم العناصر'!$B$2:$B$721,$A23,'تقييم العناصر'!$G$2:$G$721,$F23)</f>
        <v>99.9</v>
      </c>
      <c r="J23" s="27" t="str">
        <f aca="false">IF($H23&gt;المرجع!$K$3,"متقدم",IF($H23&lt;=المرجع!$K$2,"أولي","جزئي"))</f>
        <v>متقدم</v>
      </c>
      <c r="K23" s="31" t="n">
        <f aca="false">ROUND((SUMIFS($H$2:$H$121,$A$2:$A$121,$A23,$F$2:$F$121,"DESIGN")*INDEX(المرجع!$K$9:$K$11,MATCH("DESIGN",المرجع!$L$9:$L$11,0))+SUMIFS($H$2:$H$121,$A$2:$A$121,$A23,$F$2:$F$121,"BUILD")*INDEX(المرجع!$K$9:$K$11,MATCH("BUILD",المرجع!$L$9:$L$11,0))+SUMIFS($H$2:$H$121,$A$2:$A$121,$A23,$F$2:$F$121,"OPERATE")*INDEX(المرجع!$K$9:$K$11,MATCH("OPERATE",المرجع!$L$9:$L$11,0)))/100,1)</f>
        <v>59.7</v>
      </c>
      <c r="L23" s="32" t="str">
        <f aca="false">IF($K23&gt;المرجع!$K$3,"متقدم",IF($K23&lt;=المرجع!$K$2,"أولي","جزئي"))</f>
        <v>جزئي</v>
      </c>
      <c r="M23" s="31" t="n">
        <f aca="false">ROUND((SUMIFS($I$2:$I$121,$A$2:$A$121,$A23,$F$2:$F$121,"DESIGN")*INDEX(المرجع!$K$9:$K$11,MATCH("DESIGN",المرجع!$L$9:$L$11,0))+SUMIFS($I$2:$I$121,$A$2:$A$121,$A23,$F$2:$F$121,"BUILD")*INDEX(المرجع!$K$9:$K$11,MATCH("BUILD",المرجع!$L$9:$L$11,0))+SUMIFS($I$2:$I$121,$A$2:$A$121,$A23,$F$2:$F$121,"OPERATE")*INDEX(المرجع!$K$9:$K$11,MATCH("OPERATE",المرجع!$L$9:$L$11,0)))/100,1)</f>
        <v>91.3</v>
      </c>
      <c r="N23" s="32" t="str">
        <f aca="false">IF($M23&gt;المرجع!$K$3,"متقدم",IF($M23&lt;=المرجع!$K$2,"أولي","جزئي"))</f>
        <v>متقدم</v>
      </c>
    </row>
    <row r="24" customFormat="false" ht="15" hidden="false" customHeight="true" outlineLevel="0" collapsed="false">
      <c r="A24" s="19" t="s">
        <v>168</v>
      </c>
      <c r="B24" s="19" t="str">
        <f aca="false">IFERROR(INDEX('قائمة الوحدات'!$B$2:$B$41,MATCH($A24,'قائمة الوحدات'!$A$2:$A$41,0)),"")</f>
        <v>EXE</v>
      </c>
      <c r="C24" s="18" t="str">
        <f aca="false">IFERROR(INDEX('قائمة الوحدات'!$C$2:$C$41,MATCH($A24,'قائمة الوحدات'!$A$2:$A$41,0)),"")</f>
        <v>الشؤون التنفيذية</v>
      </c>
      <c r="D24" s="18" t="str">
        <f aca="false">IFERROR(INDEX('قائمة الوحدات'!$D$2:$D$41,MATCH($A24,'قائمة الوحدات'!$A$2:$A$41,0)),"")</f>
        <v>وكالة الشؤون الفنية</v>
      </c>
      <c r="E24" s="18" t="str">
        <f aca="false">IFERROR(INDEX('قائمة الوحدات'!$F$2:$F$41,MATCH($A24,'قائمة الوحدات'!$A$2:$A$41,0)),"")</f>
        <v>الإدارة العامة للمشاريع</v>
      </c>
      <c r="F24" s="19" t="s">
        <v>62</v>
      </c>
      <c r="G24" s="18" t="str">
        <f aca="false">IFERROR(INDEX(المرجع!$A$2:$A$19,MATCH($F24,المرجع!$B$2:$B$19,0)),"")</f>
        <v>البناء المؤسسي</v>
      </c>
      <c r="H24" s="29" t="n">
        <f aca="false">SUMIFS('تقييم العناصر'!$R$2:$R$721,'تقييم العناصر'!$B$2:$B$721,$A24,'تقييم العناصر'!$G$2:$G$721,$F24)</f>
        <v>69.25</v>
      </c>
      <c r="I24" s="30" t="n">
        <f aca="false">SUMIFS('تقييم العناصر'!$T$2:$T$721,'تقييم العناصر'!$B$2:$B$721,$A24,'تقييم العناصر'!$G$2:$G$721,$F24)</f>
        <v>92.1</v>
      </c>
      <c r="J24" s="27" t="str">
        <f aca="false">IF($H24&gt;المرجع!$K$3,"متقدم",IF($H24&lt;=المرجع!$K$2,"أولي","جزئي"))</f>
        <v>جزئي</v>
      </c>
      <c r="K24" s="31" t="n">
        <f aca="false">ROUND((SUMIFS($H$2:$H$121,$A$2:$A$121,$A24,$F$2:$F$121,"DESIGN")*INDEX(المرجع!$K$9:$K$11,MATCH("DESIGN",المرجع!$L$9:$L$11,0))+SUMIFS($H$2:$H$121,$A$2:$A$121,$A24,$F$2:$F$121,"BUILD")*INDEX(المرجع!$K$9:$K$11,MATCH("BUILD",المرجع!$L$9:$L$11,0))+SUMIFS($H$2:$H$121,$A$2:$A$121,$A24,$F$2:$F$121,"OPERATE")*INDEX(المرجع!$K$9:$K$11,MATCH("OPERATE",المرجع!$L$9:$L$11,0)))/100,1)</f>
        <v>59.7</v>
      </c>
      <c r="L24" s="32" t="str">
        <f aca="false">IF($K24&gt;المرجع!$K$3,"متقدم",IF($K24&lt;=المرجع!$K$2,"أولي","جزئي"))</f>
        <v>جزئي</v>
      </c>
      <c r="M24" s="31" t="n">
        <f aca="false">ROUND((SUMIFS($I$2:$I$121,$A$2:$A$121,$A24,$F$2:$F$121,"DESIGN")*INDEX(المرجع!$K$9:$K$11,MATCH("DESIGN",المرجع!$L$9:$L$11,0))+SUMIFS($I$2:$I$121,$A$2:$A$121,$A24,$F$2:$F$121,"BUILD")*INDEX(المرجع!$K$9:$K$11,MATCH("BUILD",المرجع!$L$9:$L$11,0))+SUMIFS($I$2:$I$121,$A$2:$A$121,$A24,$F$2:$F$121,"OPERATE")*INDEX(المرجع!$K$9:$K$11,MATCH("OPERATE",المرجع!$L$9:$L$11,0)))/100,1)</f>
        <v>91.3</v>
      </c>
      <c r="N24" s="32" t="str">
        <f aca="false">IF($M24&gt;المرجع!$K$3,"متقدم",IF($M24&lt;=المرجع!$K$2,"أولي","جزئي"))</f>
        <v>متقدم</v>
      </c>
    </row>
    <row r="25" customFormat="false" ht="15" hidden="false" customHeight="true" outlineLevel="0" collapsed="false">
      <c r="A25" s="19" t="s">
        <v>168</v>
      </c>
      <c r="B25" s="19" t="str">
        <f aca="false">IFERROR(INDEX('قائمة الوحدات'!$B$2:$B$41,MATCH($A25,'قائمة الوحدات'!$A$2:$A$41,0)),"")</f>
        <v>EXE</v>
      </c>
      <c r="C25" s="18" t="str">
        <f aca="false">IFERROR(INDEX('قائمة الوحدات'!$C$2:$C$41,MATCH($A25,'قائمة الوحدات'!$A$2:$A$41,0)),"")</f>
        <v>الشؤون التنفيذية</v>
      </c>
      <c r="D25" s="18" t="str">
        <f aca="false">IFERROR(INDEX('قائمة الوحدات'!$D$2:$D$41,MATCH($A25,'قائمة الوحدات'!$A$2:$A$41,0)),"")</f>
        <v>وكالة الشؤون الفنية</v>
      </c>
      <c r="E25" s="18" t="str">
        <f aca="false">IFERROR(INDEX('قائمة الوحدات'!$F$2:$F$41,MATCH($A25,'قائمة الوحدات'!$A$2:$A$41,0)),"")</f>
        <v>الإدارة العامة للمشاريع</v>
      </c>
      <c r="F25" s="19" t="s">
        <v>66</v>
      </c>
      <c r="G25" s="18" t="str">
        <f aca="false">IFERROR(INDEX(المرجع!$A$2:$A$19,MATCH($F25,المرجع!$B$2:$B$19,0)),"")</f>
        <v>التشغيل</v>
      </c>
      <c r="H25" s="29" t="n">
        <f aca="false">SUMIFS('تقييم العناصر'!$R$2:$R$721,'تقييم العناصر'!$B$2:$B$721,$A25,'تقييم العناصر'!$G$2:$G$721,$F25)</f>
        <v>43</v>
      </c>
      <c r="I25" s="30" t="n">
        <f aca="false">SUMIFS('تقييم العناصر'!$T$2:$T$721,'تقييم العناصر'!$B$2:$B$721,$A25,'تقييم العناصر'!$G$2:$G$721,$F25)</f>
        <v>87.3</v>
      </c>
      <c r="J25" s="27" t="str">
        <f aca="false">IF($H25&gt;المرجع!$K$3,"متقدم",IF($H25&lt;=المرجع!$K$2,"أولي","جزئي"))</f>
        <v>جزئي</v>
      </c>
      <c r="K25" s="31" t="n">
        <f aca="false">ROUND((SUMIFS($H$2:$H$121,$A$2:$A$121,$A25,$F$2:$F$121,"DESIGN")*INDEX(المرجع!$K$9:$K$11,MATCH("DESIGN",المرجع!$L$9:$L$11,0))+SUMIFS($H$2:$H$121,$A$2:$A$121,$A25,$F$2:$F$121,"BUILD")*INDEX(المرجع!$K$9:$K$11,MATCH("BUILD",المرجع!$L$9:$L$11,0))+SUMIFS($H$2:$H$121,$A$2:$A$121,$A25,$F$2:$F$121,"OPERATE")*INDEX(المرجع!$K$9:$K$11,MATCH("OPERATE",المرجع!$L$9:$L$11,0)))/100,1)</f>
        <v>59.7</v>
      </c>
      <c r="L25" s="32" t="str">
        <f aca="false">IF($K25&gt;المرجع!$K$3,"متقدم",IF($K25&lt;=المرجع!$K$2,"أولي","جزئي"))</f>
        <v>جزئي</v>
      </c>
      <c r="M25" s="31" t="n">
        <f aca="false">ROUND((SUMIFS($I$2:$I$121,$A$2:$A$121,$A25,$F$2:$F$121,"DESIGN")*INDEX(المرجع!$K$9:$K$11,MATCH("DESIGN",المرجع!$L$9:$L$11,0))+SUMIFS($I$2:$I$121,$A$2:$A$121,$A25,$F$2:$F$121,"BUILD")*INDEX(المرجع!$K$9:$K$11,MATCH("BUILD",المرجع!$L$9:$L$11,0))+SUMIFS($I$2:$I$121,$A$2:$A$121,$A25,$F$2:$F$121,"OPERATE")*INDEX(المرجع!$K$9:$K$11,MATCH("OPERATE",المرجع!$L$9:$L$11,0)))/100,1)</f>
        <v>91.3</v>
      </c>
      <c r="N25" s="32" t="str">
        <f aca="false">IF($M25&gt;المرجع!$K$3,"متقدم",IF($M25&lt;=المرجع!$K$2,"أولي","جزئي"))</f>
        <v>متقدم</v>
      </c>
    </row>
    <row r="26" customFormat="false" ht="15" hidden="false" customHeight="true" outlineLevel="0" collapsed="false">
      <c r="A26" s="19" t="s">
        <v>170</v>
      </c>
      <c r="B26" s="19" t="str">
        <f aca="false">IFERROR(INDEX('قائمة الوحدات'!$B$2:$B$41,MATCH($A26,'قائمة الوحدات'!$A$2:$A$41,0)),"")</f>
        <v>EXE</v>
      </c>
      <c r="C26" s="18" t="str">
        <f aca="false">IFERROR(INDEX('قائمة الوحدات'!$C$2:$C$41,MATCH($A26,'قائمة الوحدات'!$A$2:$A$41,0)),"")</f>
        <v>الشؤون التنفيذية</v>
      </c>
      <c r="D26" s="18" t="str">
        <f aca="false">IFERROR(INDEX('قائمة الوحدات'!$D$2:$D$41,MATCH($A26,'قائمة الوحدات'!$A$2:$A$41,0)),"")</f>
        <v>وكالة الشؤون الفنية</v>
      </c>
      <c r="E26" s="18" t="str">
        <f aca="false">IFERROR(INDEX('قائمة الوحدات'!$F$2:$F$41,MATCH($A26,'قائمة الوحدات'!$A$2:$A$41,0)),"")</f>
        <v>الإدارة العامة للتشغيل والصيانة</v>
      </c>
      <c r="F26" s="19" t="s">
        <v>44</v>
      </c>
      <c r="G26" s="18" t="str">
        <f aca="false">IFERROR(INDEX(المرجع!$A$2:$A$19,MATCH($F26,المرجع!$B$2:$B$19,0)),"")</f>
        <v>التصميم</v>
      </c>
      <c r="H26" s="29" t="n">
        <f aca="false">SUMIFS('تقييم العناصر'!$R$2:$R$721,'تقييم العناصر'!$B$2:$B$721,$A26,'تقييم العناصر'!$G$2:$G$721,$F26)</f>
        <v>80.95</v>
      </c>
      <c r="I26" s="30" t="n">
        <f aca="false">SUMIFS('تقييم العناصر'!$T$2:$T$721,'تقييم العناصر'!$B$2:$B$721,$A26,'تقييم العناصر'!$G$2:$G$721,$F26)</f>
        <v>90</v>
      </c>
      <c r="J26" s="27" t="str">
        <f aca="false">IF($H26&gt;المرجع!$K$3,"متقدم",IF($H26&lt;=المرجع!$K$2,"أولي","جزئي"))</f>
        <v>متقدم</v>
      </c>
      <c r="K26" s="31" t="n">
        <f aca="false">ROUND((SUMIFS($H$2:$H$121,$A$2:$A$121,$A26,$F$2:$F$121,"DESIGN")*INDEX(المرجع!$K$9:$K$11,MATCH("DESIGN",المرجع!$L$9:$L$11,0))+SUMIFS($H$2:$H$121,$A$2:$A$121,$A26,$F$2:$F$121,"BUILD")*INDEX(المرجع!$K$9:$K$11,MATCH("BUILD",المرجع!$L$9:$L$11,0))+SUMIFS($H$2:$H$121,$A$2:$A$121,$A26,$F$2:$F$121,"OPERATE")*INDEX(المرجع!$K$9:$K$11,MATCH("OPERATE",المرجع!$L$9:$L$11,0)))/100,1)</f>
        <v>57.2</v>
      </c>
      <c r="L26" s="32" t="str">
        <f aca="false">IF($K26&gt;المرجع!$K$3,"متقدم",IF($K26&lt;=المرجع!$K$2,"أولي","جزئي"))</f>
        <v>جزئي</v>
      </c>
      <c r="M26" s="31" t="n">
        <f aca="false">ROUND((SUMIFS($I$2:$I$121,$A$2:$A$121,$A26,$F$2:$F$121,"DESIGN")*INDEX(المرجع!$K$9:$K$11,MATCH("DESIGN",المرجع!$L$9:$L$11,0))+SUMIFS($I$2:$I$121,$A$2:$A$121,$A26,$F$2:$F$121,"BUILD")*INDEX(المرجع!$K$9:$K$11,MATCH("BUILD",المرجع!$L$9:$L$11,0))+SUMIFS($I$2:$I$121,$A$2:$A$121,$A26,$F$2:$F$121,"OPERATE")*INDEX(المرجع!$K$9:$K$11,MATCH("OPERATE",المرجع!$L$9:$L$11,0)))/100,1)</f>
        <v>91</v>
      </c>
      <c r="N26" s="32" t="str">
        <f aca="false">IF($M26&gt;المرجع!$K$3,"متقدم",IF($M26&lt;=المرجع!$K$2,"أولي","جزئي"))</f>
        <v>متقدم</v>
      </c>
    </row>
    <row r="27" customFormat="false" ht="15" hidden="false" customHeight="true" outlineLevel="0" collapsed="false">
      <c r="A27" s="19" t="s">
        <v>170</v>
      </c>
      <c r="B27" s="19" t="str">
        <f aca="false">IFERROR(INDEX('قائمة الوحدات'!$B$2:$B$41,MATCH($A27,'قائمة الوحدات'!$A$2:$A$41,0)),"")</f>
        <v>EXE</v>
      </c>
      <c r="C27" s="18" t="str">
        <f aca="false">IFERROR(INDEX('قائمة الوحدات'!$C$2:$C$41,MATCH($A27,'قائمة الوحدات'!$A$2:$A$41,0)),"")</f>
        <v>الشؤون التنفيذية</v>
      </c>
      <c r="D27" s="18" t="str">
        <f aca="false">IFERROR(INDEX('قائمة الوحدات'!$D$2:$D$41,MATCH($A27,'قائمة الوحدات'!$A$2:$A$41,0)),"")</f>
        <v>وكالة الشؤون الفنية</v>
      </c>
      <c r="E27" s="18" t="str">
        <f aca="false">IFERROR(INDEX('قائمة الوحدات'!$F$2:$F$41,MATCH($A27,'قائمة الوحدات'!$A$2:$A$41,0)),"")</f>
        <v>الإدارة العامة للتشغيل والصيانة</v>
      </c>
      <c r="F27" s="19" t="s">
        <v>62</v>
      </c>
      <c r="G27" s="18" t="str">
        <f aca="false">IFERROR(INDEX(المرجع!$A$2:$A$19,MATCH($F27,المرجع!$B$2:$B$19,0)),"")</f>
        <v>البناء المؤسسي</v>
      </c>
      <c r="H27" s="29" t="n">
        <f aca="false">SUMIFS('تقييم العناصر'!$R$2:$R$721,'تقييم العناصر'!$B$2:$B$721,$A27,'تقييم العناصر'!$G$2:$G$721,$F27)</f>
        <v>68.6</v>
      </c>
      <c r="I27" s="30" t="n">
        <f aca="false">SUMIFS('تقييم العناصر'!$T$2:$T$721,'تقييم العناصر'!$B$2:$B$721,$A27,'تقييم العناصر'!$G$2:$G$721,$F27)</f>
        <v>93.3</v>
      </c>
      <c r="J27" s="27" t="str">
        <f aca="false">IF($H27&gt;المرجع!$K$3,"متقدم",IF($H27&lt;=المرجع!$K$2,"أولي","جزئي"))</f>
        <v>جزئي</v>
      </c>
      <c r="K27" s="31" t="n">
        <f aca="false">ROUND((SUMIFS($H$2:$H$121,$A$2:$A$121,$A27,$F$2:$F$121,"DESIGN")*INDEX(المرجع!$K$9:$K$11,MATCH("DESIGN",المرجع!$L$9:$L$11,0))+SUMIFS($H$2:$H$121,$A$2:$A$121,$A27,$F$2:$F$121,"BUILD")*INDEX(المرجع!$K$9:$K$11,MATCH("BUILD",المرجع!$L$9:$L$11,0))+SUMIFS($H$2:$H$121,$A$2:$A$121,$A27,$F$2:$F$121,"OPERATE")*INDEX(المرجع!$K$9:$K$11,MATCH("OPERATE",المرجع!$L$9:$L$11,0)))/100,1)</f>
        <v>57.2</v>
      </c>
      <c r="L27" s="32" t="str">
        <f aca="false">IF($K27&gt;المرجع!$K$3,"متقدم",IF($K27&lt;=المرجع!$K$2,"أولي","جزئي"))</f>
        <v>جزئي</v>
      </c>
      <c r="M27" s="31" t="n">
        <f aca="false">ROUND((SUMIFS($I$2:$I$121,$A$2:$A$121,$A27,$F$2:$F$121,"DESIGN")*INDEX(المرجع!$K$9:$K$11,MATCH("DESIGN",المرجع!$L$9:$L$11,0))+SUMIFS($I$2:$I$121,$A$2:$A$121,$A27,$F$2:$F$121,"BUILD")*INDEX(المرجع!$K$9:$K$11,MATCH("BUILD",المرجع!$L$9:$L$11,0))+SUMIFS($I$2:$I$121,$A$2:$A$121,$A27,$F$2:$F$121,"OPERATE")*INDEX(المرجع!$K$9:$K$11,MATCH("OPERATE",المرجع!$L$9:$L$11,0)))/100,1)</f>
        <v>91</v>
      </c>
      <c r="N27" s="32" t="str">
        <f aca="false">IF($M27&gt;المرجع!$K$3,"متقدم",IF($M27&lt;=المرجع!$K$2,"أولي","جزئي"))</f>
        <v>متقدم</v>
      </c>
    </row>
    <row r="28" customFormat="false" ht="15" hidden="false" customHeight="true" outlineLevel="0" collapsed="false">
      <c r="A28" s="19" t="s">
        <v>170</v>
      </c>
      <c r="B28" s="19" t="str">
        <f aca="false">IFERROR(INDEX('قائمة الوحدات'!$B$2:$B$41,MATCH($A28,'قائمة الوحدات'!$A$2:$A$41,0)),"")</f>
        <v>EXE</v>
      </c>
      <c r="C28" s="18" t="str">
        <f aca="false">IFERROR(INDEX('قائمة الوحدات'!$C$2:$C$41,MATCH($A28,'قائمة الوحدات'!$A$2:$A$41,0)),"")</f>
        <v>الشؤون التنفيذية</v>
      </c>
      <c r="D28" s="18" t="str">
        <f aca="false">IFERROR(INDEX('قائمة الوحدات'!$D$2:$D$41,MATCH($A28,'قائمة الوحدات'!$A$2:$A$41,0)),"")</f>
        <v>وكالة الشؤون الفنية</v>
      </c>
      <c r="E28" s="18" t="str">
        <f aca="false">IFERROR(INDEX('قائمة الوحدات'!$F$2:$F$41,MATCH($A28,'قائمة الوحدات'!$A$2:$A$41,0)),"")</f>
        <v>الإدارة العامة للتشغيل والصيانة</v>
      </c>
      <c r="F28" s="19" t="s">
        <v>66</v>
      </c>
      <c r="G28" s="18" t="str">
        <f aca="false">IFERROR(INDEX(المرجع!$A$2:$A$19,MATCH($F28,المرجع!$B$2:$B$19,0)),"")</f>
        <v>التشغيل</v>
      </c>
      <c r="H28" s="29" t="n">
        <f aca="false">SUMIFS('تقييم العناصر'!$R$2:$R$721,'تقييم العناصر'!$B$2:$B$721,$A28,'تقييم العناصر'!$G$2:$G$721,$F28)</f>
        <v>40.95</v>
      </c>
      <c r="I28" s="30" t="n">
        <f aca="false">SUMIFS('تقييم العناصر'!$T$2:$T$721,'تقييم العناصر'!$B$2:$B$721,$A28,'تقييم العناصر'!$G$2:$G$721,$F28)</f>
        <v>89.95</v>
      </c>
      <c r="J28" s="27" t="str">
        <f aca="false">IF($H28&gt;المرجع!$K$3,"متقدم",IF($H28&lt;=المرجع!$K$2,"أولي","جزئي"))</f>
        <v>جزئي</v>
      </c>
      <c r="K28" s="31" t="n">
        <f aca="false">ROUND((SUMIFS($H$2:$H$121,$A$2:$A$121,$A28,$F$2:$F$121,"DESIGN")*INDEX(المرجع!$K$9:$K$11,MATCH("DESIGN",المرجع!$L$9:$L$11,0))+SUMIFS($H$2:$H$121,$A$2:$A$121,$A28,$F$2:$F$121,"BUILD")*INDEX(المرجع!$K$9:$K$11,MATCH("BUILD",المرجع!$L$9:$L$11,0))+SUMIFS($H$2:$H$121,$A$2:$A$121,$A28,$F$2:$F$121,"OPERATE")*INDEX(المرجع!$K$9:$K$11,MATCH("OPERATE",المرجع!$L$9:$L$11,0)))/100,1)</f>
        <v>57.2</v>
      </c>
      <c r="L28" s="32" t="str">
        <f aca="false">IF($K28&gt;المرجع!$K$3,"متقدم",IF($K28&lt;=المرجع!$K$2,"أولي","جزئي"))</f>
        <v>جزئي</v>
      </c>
      <c r="M28" s="31" t="n">
        <f aca="false">ROUND((SUMIFS($I$2:$I$121,$A$2:$A$121,$A28,$F$2:$F$121,"DESIGN")*INDEX(المرجع!$K$9:$K$11,MATCH("DESIGN",المرجع!$L$9:$L$11,0))+SUMIFS($I$2:$I$121,$A$2:$A$121,$A28,$F$2:$F$121,"BUILD")*INDEX(المرجع!$K$9:$K$11,MATCH("BUILD",المرجع!$L$9:$L$11,0))+SUMIFS($I$2:$I$121,$A$2:$A$121,$A28,$F$2:$F$121,"OPERATE")*INDEX(المرجع!$K$9:$K$11,MATCH("OPERATE",المرجع!$L$9:$L$11,0)))/100,1)</f>
        <v>91</v>
      </c>
      <c r="N28" s="32" t="str">
        <f aca="false">IF($M28&gt;المرجع!$K$3,"متقدم",IF($M28&lt;=المرجع!$K$2,"أولي","جزئي"))</f>
        <v>متقدم</v>
      </c>
    </row>
    <row r="29" customFormat="false" ht="15" hidden="false" customHeight="true" outlineLevel="0" collapsed="false">
      <c r="A29" s="19" t="s">
        <v>172</v>
      </c>
      <c r="B29" s="19" t="str">
        <f aca="false">IFERROR(INDEX('قائمة الوحدات'!$B$2:$B$41,MATCH($A29,'قائمة الوحدات'!$A$2:$A$41,0)),"")</f>
        <v>EXE</v>
      </c>
      <c r="C29" s="18" t="str">
        <f aca="false">IFERROR(INDEX('قائمة الوحدات'!$C$2:$C$41,MATCH($A29,'قائمة الوحدات'!$A$2:$A$41,0)),"")</f>
        <v>الشؤون التنفيذية</v>
      </c>
      <c r="D29" s="18" t="str">
        <f aca="false">IFERROR(INDEX('قائمة الوحدات'!$D$2:$D$41,MATCH($A29,'قائمة الوحدات'!$A$2:$A$41,0)),"")</f>
        <v>وكالة الشؤون الفنية</v>
      </c>
      <c r="E29" s="18" t="str">
        <f aca="false">IFERROR(INDEX('قائمة الوحدات'!$F$2:$F$41,MATCH($A29,'قائمة الوحدات'!$A$2:$A$41,0)),"")</f>
        <v>الإدارة العامة للسلامة والبيئة</v>
      </c>
      <c r="F29" s="19" t="s">
        <v>44</v>
      </c>
      <c r="G29" s="18" t="str">
        <f aca="false">IFERROR(INDEX(المرجع!$A$2:$A$19,MATCH($F29,المرجع!$B$2:$B$19,0)),"")</f>
        <v>التصميم</v>
      </c>
      <c r="H29" s="29" t="n">
        <f aca="false">SUMIFS('تقييم العناصر'!$R$2:$R$721,'تقييم العناصر'!$B$2:$B$721,$A29,'تقييم العناصر'!$G$2:$G$721,$F29)</f>
        <v>91.3</v>
      </c>
      <c r="I29" s="30" t="n">
        <f aca="false">SUMIFS('تقييم العناصر'!$T$2:$T$721,'تقييم العناصر'!$B$2:$B$721,$A29,'تقييم العناصر'!$G$2:$G$721,$F29)</f>
        <v>96.35</v>
      </c>
      <c r="J29" s="27" t="str">
        <f aca="false">IF($H29&gt;المرجع!$K$3,"متقدم",IF($H29&lt;=المرجع!$K$2,"أولي","جزئي"))</f>
        <v>متقدم</v>
      </c>
      <c r="K29" s="31" t="n">
        <f aca="false">ROUND((SUMIFS($H$2:$H$121,$A$2:$A$121,$A29,$F$2:$F$121,"DESIGN")*INDEX(المرجع!$K$9:$K$11,MATCH("DESIGN",المرجع!$L$9:$L$11,0))+SUMIFS($H$2:$H$121,$A$2:$A$121,$A29,$F$2:$F$121,"BUILD")*INDEX(المرجع!$K$9:$K$11,MATCH("BUILD",المرجع!$L$9:$L$11,0))+SUMIFS($H$2:$H$121,$A$2:$A$121,$A29,$F$2:$F$121,"OPERATE")*INDEX(المرجع!$K$9:$K$11,MATCH("OPERATE",المرجع!$L$9:$L$11,0)))/100,1)</f>
        <v>56</v>
      </c>
      <c r="L29" s="32" t="str">
        <f aca="false">IF($K29&gt;المرجع!$K$3,"متقدم",IF($K29&lt;=المرجع!$K$2,"أولي","جزئي"))</f>
        <v>جزئي</v>
      </c>
      <c r="M29" s="31" t="n">
        <f aca="false">ROUND((SUMIFS($I$2:$I$121,$A$2:$A$121,$A29,$F$2:$F$121,"DESIGN")*INDEX(المرجع!$K$9:$K$11,MATCH("DESIGN",المرجع!$L$9:$L$11,0))+SUMIFS($I$2:$I$121,$A$2:$A$121,$A29,$F$2:$F$121,"BUILD")*INDEX(المرجع!$K$9:$K$11,MATCH("BUILD",المرجع!$L$9:$L$11,0))+SUMIFS($I$2:$I$121,$A$2:$A$121,$A29,$F$2:$F$121,"OPERATE")*INDEX(المرجع!$K$9:$K$11,MATCH("OPERATE",المرجع!$L$9:$L$11,0)))/100,1)</f>
        <v>95.4</v>
      </c>
      <c r="N29" s="32" t="str">
        <f aca="false">IF($M29&gt;المرجع!$K$3,"متقدم",IF($M29&lt;=المرجع!$K$2,"أولي","جزئي"))</f>
        <v>متقدم</v>
      </c>
    </row>
    <row r="30" customFormat="false" ht="15" hidden="false" customHeight="true" outlineLevel="0" collapsed="false">
      <c r="A30" s="19" t="s">
        <v>172</v>
      </c>
      <c r="B30" s="19" t="str">
        <f aca="false">IFERROR(INDEX('قائمة الوحدات'!$B$2:$B$41,MATCH($A30,'قائمة الوحدات'!$A$2:$A$41,0)),"")</f>
        <v>EXE</v>
      </c>
      <c r="C30" s="18" t="str">
        <f aca="false">IFERROR(INDEX('قائمة الوحدات'!$C$2:$C$41,MATCH($A30,'قائمة الوحدات'!$A$2:$A$41,0)),"")</f>
        <v>الشؤون التنفيذية</v>
      </c>
      <c r="D30" s="18" t="str">
        <f aca="false">IFERROR(INDEX('قائمة الوحدات'!$D$2:$D$41,MATCH($A30,'قائمة الوحدات'!$A$2:$A$41,0)),"")</f>
        <v>وكالة الشؤون الفنية</v>
      </c>
      <c r="E30" s="18" t="str">
        <f aca="false">IFERROR(INDEX('قائمة الوحدات'!$F$2:$F$41,MATCH($A30,'قائمة الوحدات'!$A$2:$A$41,0)),"")</f>
        <v>الإدارة العامة للسلامة والبيئة</v>
      </c>
      <c r="F30" s="19" t="s">
        <v>62</v>
      </c>
      <c r="G30" s="18" t="str">
        <f aca="false">IFERROR(INDEX(المرجع!$A$2:$A$19,MATCH($F30,المرجع!$B$2:$B$19,0)),"")</f>
        <v>البناء المؤسسي</v>
      </c>
      <c r="H30" s="29" t="n">
        <f aca="false">SUMIFS('تقييم العناصر'!$R$2:$R$721,'تقييم العناصر'!$B$2:$B$721,$A30,'تقييم العناصر'!$G$2:$G$721,$F30)</f>
        <v>63.3</v>
      </c>
      <c r="I30" s="30" t="n">
        <f aca="false">SUMIFS('تقييم العناصر'!$T$2:$T$721,'تقييم العناصر'!$B$2:$B$721,$A30,'تقييم العناصر'!$G$2:$G$721,$F30)</f>
        <v>94.8</v>
      </c>
      <c r="J30" s="27" t="str">
        <f aca="false">IF($H30&gt;المرجع!$K$3,"متقدم",IF($H30&lt;=المرجع!$K$2,"أولي","جزئي"))</f>
        <v>جزئي</v>
      </c>
      <c r="K30" s="31" t="n">
        <f aca="false">ROUND((SUMIFS($H$2:$H$121,$A$2:$A$121,$A30,$F$2:$F$121,"DESIGN")*INDEX(المرجع!$K$9:$K$11,MATCH("DESIGN",المرجع!$L$9:$L$11,0))+SUMIFS($H$2:$H$121,$A$2:$A$121,$A30,$F$2:$F$121,"BUILD")*INDEX(المرجع!$K$9:$K$11,MATCH("BUILD",المرجع!$L$9:$L$11,0))+SUMIFS($H$2:$H$121,$A$2:$A$121,$A30,$F$2:$F$121,"OPERATE")*INDEX(المرجع!$K$9:$K$11,MATCH("OPERATE",المرجع!$L$9:$L$11,0)))/100,1)</f>
        <v>56</v>
      </c>
      <c r="L30" s="32" t="str">
        <f aca="false">IF($K30&gt;المرجع!$K$3,"متقدم",IF($K30&lt;=المرجع!$K$2,"أولي","جزئي"))</f>
        <v>جزئي</v>
      </c>
      <c r="M30" s="31" t="n">
        <f aca="false">ROUND((SUMIFS($I$2:$I$121,$A$2:$A$121,$A30,$F$2:$F$121,"DESIGN")*INDEX(المرجع!$K$9:$K$11,MATCH("DESIGN",المرجع!$L$9:$L$11,0))+SUMIFS($I$2:$I$121,$A$2:$A$121,$A30,$F$2:$F$121,"BUILD")*INDEX(المرجع!$K$9:$K$11,MATCH("BUILD",المرجع!$L$9:$L$11,0))+SUMIFS($I$2:$I$121,$A$2:$A$121,$A30,$F$2:$F$121,"OPERATE")*INDEX(المرجع!$K$9:$K$11,MATCH("OPERATE",المرجع!$L$9:$L$11,0)))/100,1)</f>
        <v>95.4</v>
      </c>
      <c r="N30" s="32" t="str">
        <f aca="false">IF($M30&gt;المرجع!$K$3,"متقدم",IF($M30&lt;=المرجع!$K$2,"أولي","جزئي"))</f>
        <v>متقدم</v>
      </c>
    </row>
    <row r="31" customFormat="false" ht="15" hidden="false" customHeight="true" outlineLevel="0" collapsed="false">
      <c r="A31" s="19" t="s">
        <v>172</v>
      </c>
      <c r="B31" s="19" t="str">
        <f aca="false">IFERROR(INDEX('قائمة الوحدات'!$B$2:$B$41,MATCH($A31,'قائمة الوحدات'!$A$2:$A$41,0)),"")</f>
        <v>EXE</v>
      </c>
      <c r="C31" s="18" t="str">
        <f aca="false">IFERROR(INDEX('قائمة الوحدات'!$C$2:$C$41,MATCH($A31,'قائمة الوحدات'!$A$2:$A$41,0)),"")</f>
        <v>الشؤون التنفيذية</v>
      </c>
      <c r="D31" s="18" t="str">
        <f aca="false">IFERROR(INDEX('قائمة الوحدات'!$D$2:$D$41,MATCH($A31,'قائمة الوحدات'!$A$2:$A$41,0)),"")</f>
        <v>وكالة الشؤون الفنية</v>
      </c>
      <c r="E31" s="18" t="str">
        <f aca="false">IFERROR(INDEX('قائمة الوحدات'!$F$2:$F$41,MATCH($A31,'قائمة الوحدات'!$A$2:$A$41,0)),"")</f>
        <v>الإدارة العامة للسلامة والبيئة</v>
      </c>
      <c r="F31" s="19" t="s">
        <v>66</v>
      </c>
      <c r="G31" s="18" t="str">
        <f aca="false">IFERROR(INDEX(المرجع!$A$2:$A$19,MATCH($F31,المرجع!$B$2:$B$19,0)),"")</f>
        <v>التشغيل</v>
      </c>
      <c r="H31" s="29" t="n">
        <f aca="false">SUMIFS('تقييم العناصر'!$R$2:$R$721,'تقييم العناصر'!$B$2:$B$721,$A31,'تقييم العناصر'!$G$2:$G$721,$F31)</f>
        <v>37.45</v>
      </c>
      <c r="I31" s="30" t="n">
        <f aca="false">SUMIFS('تقييم العناصر'!$T$2:$T$721,'تقييم العناصر'!$B$2:$B$721,$A31,'تقييم العناصر'!$G$2:$G$721,$F31)</f>
        <v>95.3</v>
      </c>
      <c r="J31" s="27" t="str">
        <f aca="false">IF($H31&gt;المرجع!$K$3,"متقدم",IF($H31&lt;=المرجع!$K$2,"أولي","جزئي"))</f>
        <v>جزئي</v>
      </c>
      <c r="K31" s="31" t="n">
        <f aca="false">ROUND((SUMIFS($H$2:$H$121,$A$2:$A$121,$A31,$F$2:$F$121,"DESIGN")*INDEX(المرجع!$K$9:$K$11,MATCH("DESIGN",المرجع!$L$9:$L$11,0))+SUMIFS($H$2:$H$121,$A$2:$A$121,$A31,$F$2:$F$121,"BUILD")*INDEX(المرجع!$K$9:$K$11,MATCH("BUILD",المرجع!$L$9:$L$11,0))+SUMIFS($H$2:$H$121,$A$2:$A$121,$A31,$F$2:$F$121,"OPERATE")*INDEX(المرجع!$K$9:$K$11,MATCH("OPERATE",المرجع!$L$9:$L$11,0)))/100,1)</f>
        <v>56</v>
      </c>
      <c r="L31" s="32" t="str">
        <f aca="false">IF($K31&gt;المرجع!$K$3,"متقدم",IF($K31&lt;=المرجع!$K$2,"أولي","جزئي"))</f>
        <v>جزئي</v>
      </c>
      <c r="M31" s="31" t="n">
        <f aca="false">ROUND((SUMIFS($I$2:$I$121,$A$2:$A$121,$A31,$F$2:$F$121,"DESIGN")*INDEX(المرجع!$K$9:$K$11,MATCH("DESIGN",المرجع!$L$9:$L$11,0))+SUMIFS($I$2:$I$121,$A$2:$A$121,$A31,$F$2:$F$121,"BUILD")*INDEX(المرجع!$K$9:$K$11,MATCH("BUILD",المرجع!$L$9:$L$11,0))+SUMIFS($I$2:$I$121,$A$2:$A$121,$A31,$F$2:$F$121,"OPERATE")*INDEX(المرجع!$K$9:$K$11,MATCH("OPERATE",المرجع!$L$9:$L$11,0)))/100,1)</f>
        <v>95.4</v>
      </c>
      <c r="N31" s="32" t="str">
        <f aca="false">IF($M31&gt;المرجع!$K$3,"متقدم",IF($M31&lt;=المرجع!$K$2,"أولي","جزئي"))</f>
        <v>متقدم</v>
      </c>
    </row>
    <row r="32" customFormat="false" ht="15" hidden="false" customHeight="true" outlineLevel="0" collapsed="false">
      <c r="A32" s="19" t="s">
        <v>174</v>
      </c>
      <c r="B32" s="19" t="str">
        <f aca="false">IFERROR(INDEX('قائمة الوحدات'!$B$2:$B$41,MATCH($A32,'قائمة الوحدات'!$A$2:$A$41,0)),"")</f>
        <v>EXE</v>
      </c>
      <c r="C32" s="18" t="str">
        <f aca="false">IFERROR(INDEX('قائمة الوحدات'!$C$2:$C$41,MATCH($A32,'قائمة الوحدات'!$A$2:$A$41,0)),"")</f>
        <v>الشؤون التنفيذية</v>
      </c>
      <c r="D32" s="18" t="str">
        <f aca="false">IFERROR(INDEX('قائمة الوحدات'!$D$2:$D$41,MATCH($A32,'قائمة الوحدات'!$A$2:$A$41,0)),"")</f>
        <v>وكالة الشؤون الفنية</v>
      </c>
      <c r="E32" s="18" t="str">
        <f aca="false">IFERROR(INDEX('قائمة الوحدات'!$F$2:$F$41,MATCH($A32,'قائمة الوحدات'!$A$2:$A$41,0)),"")</f>
        <v>الإدارة العامة للأصول والمرافق</v>
      </c>
      <c r="F32" s="19" t="s">
        <v>44</v>
      </c>
      <c r="G32" s="18" t="str">
        <f aca="false">IFERROR(INDEX(المرجع!$A$2:$A$19,MATCH($F32,المرجع!$B$2:$B$19,0)),"")</f>
        <v>التصميم</v>
      </c>
      <c r="H32" s="29" t="n">
        <f aca="false">SUMIFS('تقييم العناصر'!$R$2:$R$721,'تقييم العناصر'!$B$2:$B$721,$A32,'تقييم العناصر'!$G$2:$G$721,$F32)</f>
        <v>78.5</v>
      </c>
      <c r="I32" s="30" t="n">
        <f aca="false">SUMIFS('تقييم العناصر'!$T$2:$T$721,'تقييم العناصر'!$B$2:$B$721,$A32,'تقييم العناصر'!$G$2:$G$721,$F32)</f>
        <v>96.25</v>
      </c>
      <c r="J32" s="27" t="str">
        <f aca="false">IF($H32&gt;المرجع!$K$3,"متقدم",IF($H32&lt;=المرجع!$K$2,"أولي","جزئي"))</f>
        <v>متقدم</v>
      </c>
      <c r="K32" s="31" t="n">
        <f aca="false">ROUND((SUMIFS($H$2:$H$121,$A$2:$A$121,$A32,$F$2:$F$121,"DESIGN")*INDEX(المرجع!$K$9:$K$11,MATCH("DESIGN",المرجع!$L$9:$L$11,0))+SUMIFS($H$2:$H$121,$A$2:$A$121,$A32,$F$2:$F$121,"BUILD")*INDEX(المرجع!$K$9:$K$11,MATCH("BUILD",المرجع!$L$9:$L$11,0))+SUMIFS($H$2:$H$121,$A$2:$A$121,$A32,$F$2:$F$121,"OPERATE")*INDEX(المرجع!$K$9:$K$11,MATCH("OPERATE",المرجع!$L$9:$L$11,0)))/100,1)</f>
        <v>57.9</v>
      </c>
      <c r="L32" s="32" t="str">
        <f aca="false">IF($K32&gt;المرجع!$K$3,"متقدم",IF($K32&lt;=المرجع!$K$2,"أولي","جزئي"))</f>
        <v>جزئي</v>
      </c>
      <c r="M32" s="31" t="n">
        <f aca="false">ROUND((SUMIFS($I$2:$I$121,$A$2:$A$121,$A32,$F$2:$F$121,"DESIGN")*INDEX(المرجع!$K$9:$K$11,MATCH("DESIGN",المرجع!$L$9:$L$11,0))+SUMIFS($I$2:$I$121,$A$2:$A$121,$A32,$F$2:$F$121,"BUILD")*INDEX(المرجع!$K$9:$K$11,MATCH("BUILD",المرجع!$L$9:$L$11,0))+SUMIFS($I$2:$I$121,$A$2:$A$121,$A32,$F$2:$F$121,"OPERATE")*INDEX(المرجع!$K$9:$K$11,MATCH("OPERATE",المرجع!$L$9:$L$11,0)))/100,1)</f>
        <v>92.6</v>
      </c>
      <c r="N32" s="32" t="str">
        <f aca="false">IF($M32&gt;المرجع!$K$3,"متقدم",IF($M32&lt;=المرجع!$K$2,"أولي","جزئي"))</f>
        <v>متقدم</v>
      </c>
    </row>
    <row r="33" customFormat="false" ht="15" hidden="false" customHeight="true" outlineLevel="0" collapsed="false">
      <c r="A33" s="19" t="s">
        <v>174</v>
      </c>
      <c r="B33" s="19" t="str">
        <f aca="false">IFERROR(INDEX('قائمة الوحدات'!$B$2:$B$41,MATCH($A33,'قائمة الوحدات'!$A$2:$A$41,0)),"")</f>
        <v>EXE</v>
      </c>
      <c r="C33" s="18" t="str">
        <f aca="false">IFERROR(INDEX('قائمة الوحدات'!$C$2:$C$41,MATCH($A33,'قائمة الوحدات'!$A$2:$A$41,0)),"")</f>
        <v>الشؤون التنفيذية</v>
      </c>
      <c r="D33" s="18" t="str">
        <f aca="false">IFERROR(INDEX('قائمة الوحدات'!$D$2:$D$41,MATCH($A33,'قائمة الوحدات'!$A$2:$A$41,0)),"")</f>
        <v>وكالة الشؤون الفنية</v>
      </c>
      <c r="E33" s="18" t="str">
        <f aca="false">IFERROR(INDEX('قائمة الوحدات'!$F$2:$F$41,MATCH($A33,'قائمة الوحدات'!$A$2:$A$41,0)),"")</f>
        <v>الإدارة العامة للأصول والمرافق</v>
      </c>
      <c r="F33" s="19" t="s">
        <v>62</v>
      </c>
      <c r="G33" s="18" t="str">
        <f aca="false">IFERROR(INDEX(المرجع!$A$2:$A$19,MATCH($F33,المرجع!$B$2:$B$19,0)),"")</f>
        <v>البناء المؤسسي</v>
      </c>
      <c r="H33" s="29" t="n">
        <f aca="false">SUMIFS('تقييم العناصر'!$R$2:$R$721,'تقييم العناصر'!$B$2:$B$721,$A33,'تقييم العناصر'!$G$2:$G$721,$F33)</f>
        <v>57.3</v>
      </c>
      <c r="I33" s="30" t="n">
        <f aca="false">SUMIFS('تقييم العناصر'!$T$2:$T$721,'تقييم العناصر'!$B$2:$B$721,$A33,'تقييم العناصر'!$G$2:$G$721,$F33)</f>
        <v>95.6</v>
      </c>
      <c r="J33" s="27" t="str">
        <f aca="false">IF($H33&gt;المرجع!$K$3,"متقدم",IF($H33&lt;=المرجع!$K$2,"أولي","جزئي"))</f>
        <v>جزئي</v>
      </c>
      <c r="K33" s="31" t="n">
        <f aca="false">ROUND((SUMIFS($H$2:$H$121,$A$2:$A$121,$A33,$F$2:$F$121,"DESIGN")*INDEX(المرجع!$K$9:$K$11,MATCH("DESIGN",المرجع!$L$9:$L$11,0))+SUMIFS($H$2:$H$121,$A$2:$A$121,$A33,$F$2:$F$121,"BUILD")*INDEX(المرجع!$K$9:$K$11,MATCH("BUILD",المرجع!$L$9:$L$11,0))+SUMIFS($H$2:$H$121,$A$2:$A$121,$A33,$F$2:$F$121,"OPERATE")*INDEX(المرجع!$K$9:$K$11,MATCH("OPERATE",المرجع!$L$9:$L$11,0)))/100,1)</f>
        <v>57.9</v>
      </c>
      <c r="L33" s="32" t="str">
        <f aca="false">IF($K33&gt;المرجع!$K$3,"متقدم",IF($K33&lt;=المرجع!$K$2,"أولي","جزئي"))</f>
        <v>جزئي</v>
      </c>
      <c r="M33" s="31" t="n">
        <f aca="false">ROUND((SUMIFS($I$2:$I$121,$A$2:$A$121,$A33,$F$2:$F$121,"DESIGN")*INDEX(المرجع!$K$9:$K$11,MATCH("DESIGN",المرجع!$L$9:$L$11,0))+SUMIFS($I$2:$I$121,$A$2:$A$121,$A33,$F$2:$F$121,"BUILD")*INDEX(المرجع!$K$9:$K$11,MATCH("BUILD",المرجع!$L$9:$L$11,0))+SUMIFS($I$2:$I$121,$A$2:$A$121,$A33,$F$2:$F$121,"OPERATE")*INDEX(المرجع!$K$9:$K$11,MATCH("OPERATE",المرجع!$L$9:$L$11,0)))/100,1)</f>
        <v>92.6</v>
      </c>
      <c r="N33" s="32" t="str">
        <f aca="false">IF($M33&gt;المرجع!$K$3,"متقدم",IF($M33&lt;=المرجع!$K$2,"أولي","جزئي"))</f>
        <v>متقدم</v>
      </c>
    </row>
    <row r="34" customFormat="false" ht="15" hidden="false" customHeight="true" outlineLevel="0" collapsed="false">
      <c r="A34" s="19" t="s">
        <v>174</v>
      </c>
      <c r="B34" s="19" t="str">
        <f aca="false">IFERROR(INDEX('قائمة الوحدات'!$B$2:$B$41,MATCH($A34,'قائمة الوحدات'!$A$2:$A$41,0)),"")</f>
        <v>EXE</v>
      </c>
      <c r="C34" s="18" t="str">
        <f aca="false">IFERROR(INDEX('قائمة الوحدات'!$C$2:$C$41,MATCH($A34,'قائمة الوحدات'!$A$2:$A$41,0)),"")</f>
        <v>الشؤون التنفيذية</v>
      </c>
      <c r="D34" s="18" t="str">
        <f aca="false">IFERROR(INDEX('قائمة الوحدات'!$D$2:$D$41,MATCH($A34,'قائمة الوحدات'!$A$2:$A$41,0)),"")</f>
        <v>وكالة الشؤون الفنية</v>
      </c>
      <c r="E34" s="18" t="str">
        <f aca="false">IFERROR(INDEX('قائمة الوحدات'!$F$2:$F$41,MATCH($A34,'قائمة الوحدات'!$A$2:$A$41,0)),"")</f>
        <v>الإدارة العامة للأصول والمرافق</v>
      </c>
      <c r="F34" s="19" t="s">
        <v>66</v>
      </c>
      <c r="G34" s="18" t="str">
        <f aca="false">IFERROR(INDEX(المرجع!$A$2:$A$19,MATCH($F34,المرجع!$B$2:$B$19,0)),"")</f>
        <v>التشغيل</v>
      </c>
      <c r="H34" s="29" t="n">
        <f aca="false">SUMIFS('تقييم العناصر'!$R$2:$R$721,'تقييم العناصر'!$B$2:$B$721,$A34,'تقييم العناصر'!$G$2:$G$721,$F34)</f>
        <v>50.1</v>
      </c>
      <c r="I34" s="30" t="n">
        <f aca="false">SUMIFS('تقييم العناصر'!$T$2:$T$721,'تقييم العناصر'!$B$2:$B$721,$A34,'تقييم العناصر'!$G$2:$G$721,$F34)</f>
        <v>89.25</v>
      </c>
      <c r="J34" s="27" t="str">
        <f aca="false">IF($H34&gt;المرجع!$K$3,"متقدم",IF($H34&lt;=المرجع!$K$2,"أولي","جزئي"))</f>
        <v>جزئي</v>
      </c>
      <c r="K34" s="31" t="n">
        <f aca="false">ROUND((SUMIFS($H$2:$H$121,$A$2:$A$121,$A34,$F$2:$F$121,"DESIGN")*INDEX(المرجع!$K$9:$K$11,MATCH("DESIGN",المرجع!$L$9:$L$11,0))+SUMIFS($H$2:$H$121,$A$2:$A$121,$A34,$F$2:$F$121,"BUILD")*INDEX(المرجع!$K$9:$K$11,MATCH("BUILD",المرجع!$L$9:$L$11,0))+SUMIFS($H$2:$H$121,$A$2:$A$121,$A34,$F$2:$F$121,"OPERATE")*INDEX(المرجع!$K$9:$K$11,MATCH("OPERATE",المرجع!$L$9:$L$11,0)))/100,1)</f>
        <v>57.9</v>
      </c>
      <c r="L34" s="32" t="str">
        <f aca="false">IF($K34&gt;المرجع!$K$3,"متقدم",IF($K34&lt;=المرجع!$K$2,"أولي","جزئي"))</f>
        <v>جزئي</v>
      </c>
      <c r="M34" s="31" t="n">
        <f aca="false">ROUND((SUMIFS($I$2:$I$121,$A$2:$A$121,$A34,$F$2:$F$121,"DESIGN")*INDEX(المرجع!$K$9:$K$11,MATCH("DESIGN",المرجع!$L$9:$L$11,0))+SUMIFS($I$2:$I$121,$A$2:$A$121,$A34,$F$2:$F$121,"BUILD")*INDEX(المرجع!$K$9:$K$11,MATCH("BUILD",المرجع!$L$9:$L$11,0))+SUMIFS($I$2:$I$121,$A$2:$A$121,$A34,$F$2:$F$121,"OPERATE")*INDEX(المرجع!$K$9:$K$11,MATCH("OPERATE",المرجع!$L$9:$L$11,0)))/100,1)</f>
        <v>92.6</v>
      </c>
      <c r="N34" s="32" t="str">
        <f aca="false">IF($M34&gt;المرجع!$K$3,"متقدم",IF($M34&lt;=المرجع!$K$2,"أولي","جزئي"))</f>
        <v>متقدم</v>
      </c>
    </row>
    <row r="35" customFormat="false" ht="15" hidden="false" customHeight="true" outlineLevel="0" collapsed="false">
      <c r="A35" s="19" t="s">
        <v>176</v>
      </c>
      <c r="B35" s="19" t="str">
        <f aca="false">IFERROR(INDEX('قائمة الوحدات'!$B$2:$B$41,MATCH($A35,'قائمة الوحدات'!$A$2:$A$41,0)),"")</f>
        <v>EXE</v>
      </c>
      <c r="C35" s="18" t="str">
        <f aca="false">IFERROR(INDEX('قائمة الوحدات'!$C$2:$C$41,MATCH($A35,'قائمة الوحدات'!$A$2:$A$41,0)),"")</f>
        <v>الشؤون التنفيذية</v>
      </c>
      <c r="D35" s="18" t="str">
        <f aca="false">IFERROR(INDEX('قائمة الوحدات'!$D$2:$D$41,MATCH($A35,'قائمة الوحدات'!$A$2:$A$41,0)),"")</f>
        <v>وكالة الشؤون الفنية</v>
      </c>
      <c r="E35" s="18" t="str">
        <f aca="false">IFERROR(INDEX('قائمة الوحدات'!$F$2:$F$41,MATCH($A35,'قائمة الوحدات'!$A$2:$A$41,0)),"")</f>
        <v>الإدارة العامة للأمن والحماية</v>
      </c>
      <c r="F35" s="19" t="s">
        <v>44</v>
      </c>
      <c r="G35" s="18" t="str">
        <f aca="false">IFERROR(INDEX(المرجع!$A$2:$A$19,MATCH($F35,المرجع!$B$2:$B$19,0)),"")</f>
        <v>التصميم</v>
      </c>
      <c r="H35" s="29" t="n">
        <f aca="false">SUMIFS('تقييم العناصر'!$R$2:$R$721,'تقييم العناصر'!$B$2:$B$721,$A35,'تقييم العناصر'!$G$2:$G$721,$F35)</f>
        <v>81.45</v>
      </c>
      <c r="I35" s="30" t="n">
        <f aca="false">SUMIFS('تقييم العناصر'!$T$2:$T$721,'تقييم العناصر'!$B$2:$B$721,$A35,'تقييم العناصر'!$G$2:$G$721,$F35)</f>
        <v>98</v>
      </c>
      <c r="J35" s="27" t="str">
        <f aca="false">IF($H35&gt;المرجع!$K$3,"متقدم",IF($H35&lt;=المرجع!$K$2,"أولي","جزئي"))</f>
        <v>متقدم</v>
      </c>
      <c r="K35" s="31" t="n">
        <f aca="false">ROUND((SUMIFS($H$2:$H$121,$A$2:$A$121,$A35,$F$2:$F$121,"DESIGN")*INDEX(المرجع!$K$9:$K$11,MATCH("DESIGN",المرجع!$L$9:$L$11,0))+SUMIFS($H$2:$H$121,$A$2:$A$121,$A35,$F$2:$F$121,"BUILD")*INDEX(المرجع!$K$9:$K$11,MATCH("BUILD",المرجع!$L$9:$L$11,0))+SUMIFS($H$2:$H$121,$A$2:$A$121,$A35,$F$2:$F$121,"OPERATE")*INDEX(المرجع!$K$9:$K$11,MATCH("OPERATE",المرجع!$L$9:$L$11,0)))/100,1)</f>
        <v>56.8</v>
      </c>
      <c r="L35" s="32" t="str">
        <f aca="false">IF($K35&gt;المرجع!$K$3,"متقدم",IF($K35&lt;=المرجع!$K$2,"أولي","جزئي"))</f>
        <v>جزئي</v>
      </c>
      <c r="M35" s="31" t="n">
        <f aca="false">ROUND((SUMIFS($I$2:$I$121,$A$2:$A$121,$A35,$F$2:$F$121,"DESIGN")*INDEX(المرجع!$K$9:$K$11,MATCH("DESIGN",المرجع!$L$9:$L$11,0))+SUMIFS($I$2:$I$121,$A$2:$A$121,$A35,$F$2:$F$121,"BUILD")*INDEX(المرجع!$K$9:$K$11,MATCH("BUILD",المرجع!$L$9:$L$11,0))+SUMIFS($I$2:$I$121,$A$2:$A$121,$A35,$F$2:$F$121,"OPERATE")*INDEX(المرجع!$K$9:$K$11,MATCH("OPERATE",المرجع!$L$9:$L$11,0)))/100,1)</f>
        <v>93.2</v>
      </c>
      <c r="N35" s="32" t="str">
        <f aca="false">IF($M35&gt;المرجع!$K$3,"متقدم",IF($M35&lt;=المرجع!$K$2,"أولي","جزئي"))</f>
        <v>متقدم</v>
      </c>
    </row>
    <row r="36" customFormat="false" ht="15" hidden="false" customHeight="true" outlineLevel="0" collapsed="false">
      <c r="A36" s="19" t="s">
        <v>176</v>
      </c>
      <c r="B36" s="19" t="str">
        <f aca="false">IFERROR(INDEX('قائمة الوحدات'!$B$2:$B$41,MATCH($A36,'قائمة الوحدات'!$A$2:$A$41,0)),"")</f>
        <v>EXE</v>
      </c>
      <c r="C36" s="18" t="str">
        <f aca="false">IFERROR(INDEX('قائمة الوحدات'!$C$2:$C$41,MATCH($A36,'قائمة الوحدات'!$A$2:$A$41,0)),"")</f>
        <v>الشؤون التنفيذية</v>
      </c>
      <c r="D36" s="18" t="str">
        <f aca="false">IFERROR(INDEX('قائمة الوحدات'!$D$2:$D$41,MATCH($A36,'قائمة الوحدات'!$A$2:$A$41,0)),"")</f>
        <v>وكالة الشؤون الفنية</v>
      </c>
      <c r="E36" s="18" t="str">
        <f aca="false">IFERROR(INDEX('قائمة الوحدات'!$F$2:$F$41,MATCH($A36,'قائمة الوحدات'!$A$2:$A$41,0)),"")</f>
        <v>الإدارة العامة للأمن والحماية</v>
      </c>
      <c r="F36" s="19" t="s">
        <v>62</v>
      </c>
      <c r="G36" s="18" t="str">
        <f aca="false">IFERROR(INDEX(المرجع!$A$2:$A$19,MATCH($F36,المرجع!$B$2:$B$19,0)),"")</f>
        <v>البناء المؤسسي</v>
      </c>
      <c r="H36" s="29" t="n">
        <f aca="false">SUMIFS('تقييم العناصر'!$R$2:$R$721,'تقييم العناصر'!$B$2:$B$721,$A36,'تقييم العناصر'!$G$2:$G$721,$F36)</f>
        <v>71.5</v>
      </c>
      <c r="I36" s="30" t="n">
        <f aca="false">SUMIFS('تقييم العناصر'!$T$2:$T$721,'تقييم العناصر'!$B$2:$B$721,$A36,'تقييم العناصر'!$G$2:$G$721,$F36)</f>
        <v>92.45</v>
      </c>
      <c r="J36" s="27" t="str">
        <f aca="false">IF($H36&gt;المرجع!$K$3,"متقدم",IF($H36&lt;=المرجع!$K$2,"أولي","جزئي"))</f>
        <v>متقدم</v>
      </c>
      <c r="K36" s="31" t="n">
        <f aca="false">ROUND((SUMIFS($H$2:$H$121,$A$2:$A$121,$A36,$F$2:$F$121,"DESIGN")*INDEX(المرجع!$K$9:$K$11,MATCH("DESIGN",المرجع!$L$9:$L$11,0))+SUMIFS($H$2:$H$121,$A$2:$A$121,$A36,$F$2:$F$121,"BUILD")*INDEX(المرجع!$K$9:$K$11,MATCH("BUILD",المرجع!$L$9:$L$11,0))+SUMIFS($H$2:$H$121,$A$2:$A$121,$A36,$F$2:$F$121,"OPERATE")*INDEX(المرجع!$K$9:$K$11,MATCH("OPERATE",المرجع!$L$9:$L$11,0)))/100,1)</f>
        <v>56.8</v>
      </c>
      <c r="L36" s="32" t="str">
        <f aca="false">IF($K36&gt;المرجع!$K$3,"متقدم",IF($K36&lt;=المرجع!$K$2,"أولي","جزئي"))</f>
        <v>جزئي</v>
      </c>
      <c r="M36" s="31" t="n">
        <f aca="false">ROUND((SUMIFS($I$2:$I$121,$A$2:$A$121,$A36,$F$2:$F$121,"DESIGN")*INDEX(المرجع!$K$9:$K$11,MATCH("DESIGN",المرجع!$L$9:$L$11,0))+SUMIFS($I$2:$I$121,$A$2:$A$121,$A36,$F$2:$F$121,"BUILD")*INDEX(المرجع!$K$9:$K$11,MATCH("BUILD",المرجع!$L$9:$L$11,0))+SUMIFS($I$2:$I$121,$A$2:$A$121,$A36,$F$2:$F$121,"OPERATE")*INDEX(المرجع!$K$9:$K$11,MATCH("OPERATE",المرجع!$L$9:$L$11,0)))/100,1)</f>
        <v>93.2</v>
      </c>
      <c r="N36" s="32" t="str">
        <f aca="false">IF($M36&gt;المرجع!$K$3,"متقدم",IF($M36&lt;=المرجع!$K$2,"أولي","جزئي"))</f>
        <v>متقدم</v>
      </c>
    </row>
    <row r="37" customFormat="false" ht="15" hidden="false" customHeight="true" outlineLevel="0" collapsed="false">
      <c r="A37" s="19" t="s">
        <v>176</v>
      </c>
      <c r="B37" s="19" t="str">
        <f aca="false">IFERROR(INDEX('قائمة الوحدات'!$B$2:$B$41,MATCH($A37,'قائمة الوحدات'!$A$2:$A$41,0)),"")</f>
        <v>EXE</v>
      </c>
      <c r="C37" s="18" t="str">
        <f aca="false">IFERROR(INDEX('قائمة الوحدات'!$C$2:$C$41,MATCH($A37,'قائمة الوحدات'!$A$2:$A$41,0)),"")</f>
        <v>الشؤون التنفيذية</v>
      </c>
      <c r="D37" s="18" t="str">
        <f aca="false">IFERROR(INDEX('قائمة الوحدات'!$D$2:$D$41,MATCH($A37,'قائمة الوحدات'!$A$2:$A$41,0)),"")</f>
        <v>وكالة الشؤون الفنية</v>
      </c>
      <c r="E37" s="18" t="str">
        <f aca="false">IFERROR(INDEX('قائمة الوحدات'!$F$2:$F$41,MATCH($A37,'قائمة الوحدات'!$A$2:$A$41,0)),"")</f>
        <v>الإدارة العامة للأمن والحماية</v>
      </c>
      <c r="F37" s="19" t="s">
        <v>66</v>
      </c>
      <c r="G37" s="18" t="str">
        <f aca="false">IFERROR(INDEX(المرجع!$A$2:$A$19,MATCH($F37,المرجع!$B$2:$B$19,0)),"")</f>
        <v>التشغيل</v>
      </c>
      <c r="H37" s="29" t="n">
        <f aca="false">SUMIFS('تقييم العناصر'!$R$2:$R$721,'تقييم العناصر'!$B$2:$B$721,$A37,'تقييم العناصر'!$G$2:$G$721,$F37)</f>
        <v>38.2</v>
      </c>
      <c r="I37" s="30" t="n">
        <f aca="false">SUMIFS('تقييم العناصر'!$T$2:$T$721,'تقييم العناصر'!$B$2:$B$721,$A37,'تقييم العناصر'!$G$2:$G$721,$F37)</f>
        <v>91.7</v>
      </c>
      <c r="J37" s="27" t="str">
        <f aca="false">IF($H37&gt;المرجع!$K$3,"متقدم",IF($H37&lt;=المرجع!$K$2,"أولي","جزئي"))</f>
        <v>جزئي</v>
      </c>
      <c r="K37" s="31" t="n">
        <f aca="false">ROUND((SUMIFS($H$2:$H$121,$A$2:$A$121,$A37,$F$2:$F$121,"DESIGN")*INDEX(المرجع!$K$9:$K$11,MATCH("DESIGN",المرجع!$L$9:$L$11,0))+SUMIFS($H$2:$H$121,$A$2:$A$121,$A37,$F$2:$F$121,"BUILD")*INDEX(المرجع!$K$9:$K$11,MATCH("BUILD",المرجع!$L$9:$L$11,0))+SUMIFS($H$2:$H$121,$A$2:$A$121,$A37,$F$2:$F$121,"OPERATE")*INDEX(المرجع!$K$9:$K$11,MATCH("OPERATE",المرجع!$L$9:$L$11,0)))/100,1)</f>
        <v>56.8</v>
      </c>
      <c r="L37" s="32" t="str">
        <f aca="false">IF($K37&gt;المرجع!$K$3,"متقدم",IF($K37&lt;=المرجع!$K$2,"أولي","جزئي"))</f>
        <v>جزئي</v>
      </c>
      <c r="M37" s="31" t="n">
        <f aca="false">ROUND((SUMIFS($I$2:$I$121,$A$2:$A$121,$A37,$F$2:$F$121,"DESIGN")*INDEX(المرجع!$K$9:$K$11,MATCH("DESIGN",المرجع!$L$9:$L$11,0))+SUMIFS($I$2:$I$121,$A$2:$A$121,$A37,$F$2:$F$121,"BUILD")*INDEX(المرجع!$K$9:$K$11,MATCH("BUILD",المرجع!$L$9:$L$11,0))+SUMIFS($I$2:$I$121,$A$2:$A$121,$A37,$F$2:$F$121,"OPERATE")*INDEX(المرجع!$K$9:$K$11,MATCH("OPERATE",المرجع!$L$9:$L$11,0)))/100,1)</f>
        <v>93.2</v>
      </c>
      <c r="N37" s="32" t="str">
        <f aca="false">IF($M37&gt;المرجع!$K$3,"متقدم",IF($M37&lt;=المرجع!$K$2,"أولي","جزئي"))</f>
        <v>متقدم</v>
      </c>
    </row>
    <row r="38" customFormat="false" ht="15" hidden="false" customHeight="true" outlineLevel="0" collapsed="false">
      <c r="A38" s="19" t="s">
        <v>178</v>
      </c>
      <c r="B38" s="19" t="str">
        <f aca="false">IFERROR(INDEX('قائمة الوحدات'!$B$2:$B$41,MATCH($A38,'قائمة الوحدات'!$A$2:$A$41,0)),"")</f>
        <v>EXE</v>
      </c>
      <c r="C38" s="18" t="str">
        <f aca="false">IFERROR(INDEX('قائمة الوحدات'!$C$2:$C$41,MATCH($A38,'قائمة الوحدات'!$A$2:$A$41,0)),"")</f>
        <v>الشؤون التنفيذية</v>
      </c>
      <c r="D38" s="18" t="str">
        <f aca="false">IFERROR(INDEX('قائمة الوحدات'!$D$2:$D$41,MATCH($A38,'قائمة الوحدات'!$A$2:$A$41,0)),"")</f>
        <v>وكالة الخدمات المساندة</v>
      </c>
      <c r="E38" s="18" t="str">
        <f aca="false">IFERROR(INDEX('قائمة الوحدات'!$F$2:$F$41,MATCH($A38,'قائمة الوحدات'!$A$2:$A$41,0)),"")</f>
        <v>الإدارة العامة للموارد البشرية</v>
      </c>
      <c r="F38" s="19" t="s">
        <v>44</v>
      </c>
      <c r="G38" s="18" t="str">
        <f aca="false">IFERROR(INDEX(المرجع!$A$2:$A$19,MATCH($F38,المرجع!$B$2:$B$19,0)),"")</f>
        <v>التصميم</v>
      </c>
      <c r="H38" s="29" t="n">
        <f aca="false">SUMIFS('تقييم العناصر'!$R$2:$R$721,'تقييم العناصر'!$B$2:$B$721,$A38,'تقييم العناصر'!$G$2:$G$721,$F38)</f>
        <v>82.5</v>
      </c>
      <c r="I38" s="30" t="n">
        <f aca="false">SUMIFS('تقييم العناصر'!$T$2:$T$721,'تقييم العناصر'!$B$2:$B$721,$A38,'تقييم العناصر'!$G$2:$G$721,$F38)</f>
        <v>96</v>
      </c>
      <c r="J38" s="27" t="str">
        <f aca="false">IF($H38&gt;المرجع!$K$3,"متقدم",IF($H38&lt;=المرجع!$K$2,"أولي","جزئي"))</f>
        <v>متقدم</v>
      </c>
      <c r="K38" s="31" t="n">
        <f aca="false">ROUND((SUMIFS($H$2:$H$121,$A$2:$A$121,$A38,$F$2:$F$121,"DESIGN")*INDEX(المرجع!$K$9:$K$11,MATCH("DESIGN",المرجع!$L$9:$L$11,0))+SUMIFS($H$2:$H$121,$A$2:$A$121,$A38,$F$2:$F$121,"BUILD")*INDEX(المرجع!$K$9:$K$11,MATCH("BUILD",المرجع!$L$9:$L$11,0))+SUMIFS($H$2:$H$121,$A$2:$A$121,$A38,$F$2:$F$121,"OPERATE")*INDEX(المرجع!$K$9:$K$11,MATCH("OPERATE",المرجع!$L$9:$L$11,0)))/100,1)</f>
        <v>56.5</v>
      </c>
      <c r="L38" s="32" t="str">
        <f aca="false">IF($K38&gt;المرجع!$K$3,"متقدم",IF($K38&lt;=المرجع!$K$2,"أولي","جزئي"))</f>
        <v>جزئي</v>
      </c>
      <c r="M38" s="31" t="n">
        <f aca="false">ROUND((SUMIFS($I$2:$I$121,$A$2:$A$121,$A38,$F$2:$F$121,"DESIGN")*INDEX(المرجع!$K$9:$K$11,MATCH("DESIGN",المرجع!$L$9:$L$11,0))+SUMIFS($I$2:$I$121,$A$2:$A$121,$A38,$F$2:$F$121,"BUILD")*INDEX(المرجع!$K$9:$K$11,MATCH("BUILD",المرجع!$L$9:$L$11,0))+SUMIFS($I$2:$I$121,$A$2:$A$121,$A38,$F$2:$F$121,"OPERATE")*INDEX(المرجع!$K$9:$K$11,MATCH("OPERATE",المرجع!$L$9:$L$11,0)))/100,1)</f>
        <v>92.5</v>
      </c>
      <c r="N38" s="32" t="str">
        <f aca="false">IF($M38&gt;المرجع!$K$3,"متقدم",IF($M38&lt;=المرجع!$K$2,"أولي","جزئي"))</f>
        <v>متقدم</v>
      </c>
    </row>
    <row r="39" customFormat="false" ht="15" hidden="false" customHeight="true" outlineLevel="0" collapsed="false">
      <c r="A39" s="19" t="s">
        <v>178</v>
      </c>
      <c r="B39" s="19" t="str">
        <f aca="false">IFERROR(INDEX('قائمة الوحدات'!$B$2:$B$41,MATCH($A39,'قائمة الوحدات'!$A$2:$A$41,0)),"")</f>
        <v>EXE</v>
      </c>
      <c r="C39" s="18" t="str">
        <f aca="false">IFERROR(INDEX('قائمة الوحدات'!$C$2:$C$41,MATCH($A39,'قائمة الوحدات'!$A$2:$A$41,0)),"")</f>
        <v>الشؤون التنفيذية</v>
      </c>
      <c r="D39" s="18" t="str">
        <f aca="false">IFERROR(INDEX('قائمة الوحدات'!$D$2:$D$41,MATCH($A39,'قائمة الوحدات'!$A$2:$A$41,0)),"")</f>
        <v>وكالة الخدمات المساندة</v>
      </c>
      <c r="E39" s="18" t="str">
        <f aca="false">IFERROR(INDEX('قائمة الوحدات'!$F$2:$F$41,MATCH($A39,'قائمة الوحدات'!$A$2:$A$41,0)),"")</f>
        <v>الإدارة العامة للموارد البشرية</v>
      </c>
      <c r="F39" s="19" t="s">
        <v>62</v>
      </c>
      <c r="G39" s="18" t="str">
        <f aca="false">IFERROR(INDEX(المرجع!$A$2:$A$19,MATCH($F39,المرجع!$B$2:$B$19,0)),"")</f>
        <v>البناء المؤسسي</v>
      </c>
      <c r="H39" s="29" t="n">
        <f aca="false">SUMIFS('تقييم العناصر'!$R$2:$R$721,'تقييم العناصر'!$B$2:$B$721,$A39,'تقييم العناصر'!$G$2:$G$721,$F39)</f>
        <v>66.55</v>
      </c>
      <c r="I39" s="30" t="n">
        <f aca="false">SUMIFS('تقييم العناصر'!$T$2:$T$721,'تقييم العناصر'!$B$2:$B$721,$A39,'تقييم العناصر'!$G$2:$G$721,$F39)</f>
        <v>94.15</v>
      </c>
      <c r="J39" s="27" t="str">
        <f aca="false">IF($H39&gt;المرجع!$K$3,"متقدم",IF($H39&lt;=المرجع!$K$2,"أولي","جزئي"))</f>
        <v>جزئي</v>
      </c>
      <c r="K39" s="31" t="n">
        <f aca="false">ROUND((SUMIFS($H$2:$H$121,$A$2:$A$121,$A39,$F$2:$F$121,"DESIGN")*INDEX(المرجع!$K$9:$K$11,MATCH("DESIGN",المرجع!$L$9:$L$11,0))+SUMIFS($H$2:$H$121,$A$2:$A$121,$A39,$F$2:$F$121,"BUILD")*INDEX(المرجع!$K$9:$K$11,MATCH("BUILD",المرجع!$L$9:$L$11,0))+SUMIFS($H$2:$H$121,$A$2:$A$121,$A39,$F$2:$F$121,"OPERATE")*INDEX(المرجع!$K$9:$K$11,MATCH("OPERATE",المرجع!$L$9:$L$11,0)))/100,1)</f>
        <v>56.5</v>
      </c>
      <c r="L39" s="32" t="str">
        <f aca="false">IF($K39&gt;المرجع!$K$3,"متقدم",IF($K39&lt;=المرجع!$K$2,"أولي","جزئي"))</f>
        <v>جزئي</v>
      </c>
      <c r="M39" s="31" t="n">
        <f aca="false">ROUND((SUMIFS($I$2:$I$121,$A$2:$A$121,$A39,$F$2:$F$121,"DESIGN")*INDEX(المرجع!$K$9:$K$11,MATCH("DESIGN",المرجع!$L$9:$L$11,0))+SUMIFS($I$2:$I$121,$A$2:$A$121,$A39,$F$2:$F$121,"BUILD")*INDEX(المرجع!$K$9:$K$11,MATCH("BUILD",المرجع!$L$9:$L$11,0))+SUMIFS($I$2:$I$121,$A$2:$A$121,$A39,$F$2:$F$121,"OPERATE")*INDEX(المرجع!$K$9:$K$11,MATCH("OPERATE",المرجع!$L$9:$L$11,0)))/100,1)</f>
        <v>92.5</v>
      </c>
      <c r="N39" s="32" t="str">
        <f aca="false">IF($M39&gt;المرجع!$K$3,"متقدم",IF($M39&lt;=المرجع!$K$2,"أولي","جزئي"))</f>
        <v>متقدم</v>
      </c>
    </row>
    <row r="40" customFormat="false" ht="15" hidden="false" customHeight="true" outlineLevel="0" collapsed="false">
      <c r="A40" s="19" t="s">
        <v>178</v>
      </c>
      <c r="B40" s="19" t="str">
        <f aca="false">IFERROR(INDEX('قائمة الوحدات'!$B$2:$B$41,MATCH($A40,'قائمة الوحدات'!$A$2:$A$41,0)),"")</f>
        <v>EXE</v>
      </c>
      <c r="C40" s="18" t="str">
        <f aca="false">IFERROR(INDEX('قائمة الوحدات'!$C$2:$C$41,MATCH($A40,'قائمة الوحدات'!$A$2:$A$41,0)),"")</f>
        <v>الشؤون التنفيذية</v>
      </c>
      <c r="D40" s="18" t="str">
        <f aca="false">IFERROR(INDEX('قائمة الوحدات'!$D$2:$D$41,MATCH($A40,'قائمة الوحدات'!$A$2:$A$41,0)),"")</f>
        <v>وكالة الخدمات المساندة</v>
      </c>
      <c r="E40" s="18" t="str">
        <f aca="false">IFERROR(INDEX('قائمة الوحدات'!$F$2:$F$41,MATCH($A40,'قائمة الوحدات'!$A$2:$A$41,0)),"")</f>
        <v>الإدارة العامة للموارد البشرية</v>
      </c>
      <c r="F40" s="19" t="s">
        <v>66</v>
      </c>
      <c r="G40" s="18" t="str">
        <f aca="false">IFERROR(INDEX(المرجع!$A$2:$A$19,MATCH($F40,المرجع!$B$2:$B$19,0)),"")</f>
        <v>التشغيل</v>
      </c>
      <c r="H40" s="29" t="n">
        <f aca="false">SUMIFS('تقييم العناصر'!$R$2:$R$721,'تقييم العناصر'!$B$2:$B$721,$A40,'تقييم العناصر'!$G$2:$G$721,$F40)</f>
        <v>40.1</v>
      </c>
      <c r="I40" s="30" t="n">
        <f aca="false">SUMIFS('تقييم العناصر'!$T$2:$T$721,'تقييم العناصر'!$B$2:$B$721,$A40,'تقييم العناصر'!$G$2:$G$721,$F40)</f>
        <v>90.2</v>
      </c>
      <c r="J40" s="27" t="str">
        <f aca="false">IF($H40&gt;المرجع!$K$3,"متقدم",IF($H40&lt;=المرجع!$K$2,"أولي","جزئي"))</f>
        <v>جزئي</v>
      </c>
      <c r="K40" s="31" t="n">
        <f aca="false">ROUND((SUMIFS($H$2:$H$121,$A$2:$A$121,$A40,$F$2:$F$121,"DESIGN")*INDEX(المرجع!$K$9:$K$11,MATCH("DESIGN",المرجع!$L$9:$L$11,0))+SUMIFS($H$2:$H$121,$A$2:$A$121,$A40,$F$2:$F$121,"BUILD")*INDEX(المرجع!$K$9:$K$11,MATCH("BUILD",المرجع!$L$9:$L$11,0))+SUMIFS($H$2:$H$121,$A$2:$A$121,$A40,$F$2:$F$121,"OPERATE")*INDEX(المرجع!$K$9:$K$11,MATCH("OPERATE",المرجع!$L$9:$L$11,0)))/100,1)</f>
        <v>56.5</v>
      </c>
      <c r="L40" s="32" t="str">
        <f aca="false">IF($K40&gt;المرجع!$K$3,"متقدم",IF($K40&lt;=المرجع!$K$2,"أولي","جزئي"))</f>
        <v>جزئي</v>
      </c>
      <c r="M40" s="31" t="n">
        <f aca="false">ROUND((SUMIFS($I$2:$I$121,$A$2:$A$121,$A40,$F$2:$F$121,"DESIGN")*INDEX(المرجع!$K$9:$K$11,MATCH("DESIGN",المرجع!$L$9:$L$11,0))+SUMIFS($I$2:$I$121,$A$2:$A$121,$A40,$F$2:$F$121,"BUILD")*INDEX(المرجع!$K$9:$K$11,MATCH("BUILD",المرجع!$L$9:$L$11,0))+SUMIFS($I$2:$I$121,$A$2:$A$121,$A40,$F$2:$F$121,"OPERATE")*INDEX(المرجع!$K$9:$K$11,MATCH("OPERATE",المرجع!$L$9:$L$11,0)))/100,1)</f>
        <v>92.5</v>
      </c>
      <c r="N40" s="32" t="str">
        <f aca="false">IF($M40&gt;المرجع!$K$3,"متقدم",IF($M40&lt;=المرجع!$K$2,"أولي","جزئي"))</f>
        <v>متقدم</v>
      </c>
    </row>
    <row r="41" customFormat="false" ht="15" hidden="false" customHeight="true" outlineLevel="0" collapsed="false">
      <c r="A41" s="19" t="s">
        <v>181</v>
      </c>
      <c r="B41" s="19" t="str">
        <f aca="false">IFERROR(INDEX('قائمة الوحدات'!$B$2:$B$41,MATCH($A41,'قائمة الوحدات'!$A$2:$A$41,0)),"")</f>
        <v>EXE</v>
      </c>
      <c r="C41" s="18" t="str">
        <f aca="false">IFERROR(INDEX('قائمة الوحدات'!$C$2:$C$41,MATCH($A41,'قائمة الوحدات'!$A$2:$A$41,0)),"")</f>
        <v>الشؤون التنفيذية</v>
      </c>
      <c r="D41" s="18" t="str">
        <f aca="false">IFERROR(INDEX('قائمة الوحدات'!$D$2:$D$41,MATCH($A41,'قائمة الوحدات'!$A$2:$A$41,0)),"")</f>
        <v>وكالة الخدمات المساندة</v>
      </c>
      <c r="E41" s="18" t="str">
        <f aca="false">IFERROR(INDEX('قائمة الوحدات'!$F$2:$F$41,MATCH($A41,'قائمة الوحدات'!$A$2:$A$41,0)),"")</f>
        <v>الإدارة العامة للشؤون المالية</v>
      </c>
      <c r="F41" s="19" t="s">
        <v>44</v>
      </c>
      <c r="G41" s="18" t="str">
        <f aca="false">IFERROR(INDEX(المرجع!$A$2:$A$19,MATCH($F41,المرجع!$B$2:$B$19,0)),"")</f>
        <v>التصميم</v>
      </c>
      <c r="H41" s="29" t="n">
        <f aca="false">SUMIFS('تقييم العناصر'!$R$2:$R$721,'تقييم العناصر'!$B$2:$B$721,$A41,'تقييم العناصر'!$G$2:$G$721,$F41)</f>
        <v>78.45</v>
      </c>
      <c r="I41" s="30" t="n">
        <f aca="false">SUMIFS('تقييم العناصر'!$T$2:$T$721,'تقييم العناصر'!$B$2:$B$721,$A41,'تقييم العناصر'!$G$2:$G$721,$F41)</f>
        <v>96.5</v>
      </c>
      <c r="J41" s="27" t="str">
        <f aca="false">IF($H41&gt;المرجع!$K$3,"متقدم",IF($H41&lt;=المرجع!$K$2,"أولي","جزئي"))</f>
        <v>متقدم</v>
      </c>
      <c r="K41" s="31" t="n">
        <f aca="false">ROUND((SUMIFS($H$2:$H$121,$A$2:$A$121,$A41,$F$2:$F$121,"DESIGN")*INDEX(المرجع!$K$9:$K$11,MATCH("DESIGN",المرجع!$L$9:$L$11,0))+SUMIFS($H$2:$H$121,$A$2:$A$121,$A41,$F$2:$F$121,"BUILD")*INDEX(المرجع!$K$9:$K$11,MATCH("BUILD",المرجع!$L$9:$L$11,0))+SUMIFS($H$2:$H$121,$A$2:$A$121,$A41,$F$2:$F$121,"OPERATE")*INDEX(المرجع!$K$9:$K$11,MATCH("OPERATE",المرجع!$L$9:$L$11,0)))/100,1)</f>
        <v>54.1</v>
      </c>
      <c r="L41" s="32" t="str">
        <f aca="false">IF($K41&gt;المرجع!$K$3,"متقدم",IF($K41&lt;=المرجع!$K$2,"أولي","جزئي"))</f>
        <v>جزئي</v>
      </c>
      <c r="M41" s="31" t="n">
        <f aca="false">ROUND((SUMIFS($I$2:$I$121,$A$2:$A$121,$A41,$F$2:$F$121,"DESIGN")*INDEX(المرجع!$K$9:$K$11,MATCH("DESIGN",المرجع!$L$9:$L$11,0))+SUMIFS($I$2:$I$121,$A$2:$A$121,$A41,$F$2:$F$121,"BUILD")*INDEX(المرجع!$K$9:$K$11,MATCH("BUILD",المرجع!$L$9:$L$11,0))+SUMIFS($I$2:$I$121,$A$2:$A$121,$A41,$F$2:$F$121,"OPERATE")*INDEX(المرجع!$K$9:$K$11,MATCH("OPERATE",المرجع!$L$9:$L$11,0)))/100,1)</f>
        <v>94.7</v>
      </c>
      <c r="N41" s="32" t="str">
        <f aca="false">IF($M41&gt;المرجع!$K$3,"متقدم",IF($M41&lt;=المرجع!$K$2,"أولي","جزئي"))</f>
        <v>متقدم</v>
      </c>
    </row>
    <row r="42" customFormat="false" ht="15" hidden="false" customHeight="true" outlineLevel="0" collapsed="false">
      <c r="A42" s="19" t="s">
        <v>181</v>
      </c>
      <c r="B42" s="19" t="str">
        <f aca="false">IFERROR(INDEX('قائمة الوحدات'!$B$2:$B$41,MATCH($A42,'قائمة الوحدات'!$A$2:$A$41,0)),"")</f>
        <v>EXE</v>
      </c>
      <c r="C42" s="18" t="str">
        <f aca="false">IFERROR(INDEX('قائمة الوحدات'!$C$2:$C$41,MATCH($A42,'قائمة الوحدات'!$A$2:$A$41,0)),"")</f>
        <v>الشؤون التنفيذية</v>
      </c>
      <c r="D42" s="18" t="str">
        <f aca="false">IFERROR(INDEX('قائمة الوحدات'!$D$2:$D$41,MATCH($A42,'قائمة الوحدات'!$A$2:$A$41,0)),"")</f>
        <v>وكالة الخدمات المساندة</v>
      </c>
      <c r="E42" s="18" t="str">
        <f aca="false">IFERROR(INDEX('قائمة الوحدات'!$F$2:$F$41,MATCH($A42,'قائمة الوحدات'!$A$2:$A$41,0)),"")</f>
        <v>الإدارة العامة للشؤون المالية</v>
      </c>
      <c r="F42" s="19" t="s">
        <v>62</v>
      </c>
      <c r="G42" s="18" t="str">
        <f aca="false">IFERROR(INDEX(المرجع!$A$2:$A$19,MATCH($F42,المرجع!$B$2:$B$19,0)),"")</f>
        <v>البناء المؤسسي</v>
      </c>
      <c r="H42" s="29" t="n">
        <f aca="false">SUMIFS('تقييم العناصر'!$R$2:$R$721,'تقييم العناصر'!$B$2:$B$721,$A42,'تقييم العناصر'!$G$2:$G$721,$F42)</f>
        <v>65.2</v>
      </c>
      <c r="I42" s="30" t="n">
        <f aca="false">SUMIFS('تقييم العناصر'!$T$2:$T$721,'تقييم العناصر'!$B$2:$B$721,$A42,'تقييم العناصر'!$G$2:$G$721,$F42)</f>
        <v>94.8</v>
      </c>
      <c r="J42" s="27" t="str">
        <f aca="false">IF($H42&gt;المرجع!$K$3,"متقدم",IF($H42&lt;=المرجع!$K$2,"أولي","جزئي"))</f>
        <v>جزئي</v>
      </c>
      <c r="K42" s="31" t="n">
        <f aca="false">ROUND((SUMIFS($H$2:$H$121,$A$2:$A$121,$A42,$F$2:$F$121,"DESIGN")*INDEX(المرجع!$K$9:$K$11,MATCH("DESIGN",المرجع!$L$9:$L$11,0))+SUMIFS($H$2:$H$121,$A$2:$A$121,$A42,$F$2:$F$121,"BUILD")*INDEX(المرجع!$K$9:$K$11,MATCH("BUILD",المرجع!$L$9:$L$11,0))+SUMIFS($H$2:$H$121,$A$2:$A$121,$A42,$F$2:$F$121,"OPERATE")*INDEX(المرجع!$K$9:$K$11,MATCH("OPERATE",المرجع!$L$9:$L$11,0)))/100,1)</f>
        <v>54.1</v>
      </c>
      <c r="L42" s="32" t="str">
        <f aca="false">IF($K42&gt;المرجع!$K$3,"متقدم",IF($K42&lt;=المرجع!$K$2,"أولي","جزئي"))</f>
        <v>جزئي</v>
      </c>
      <c r="M42" s="31" t="n">
        <f aca="false">ROUND((SUMIFS($I$2:$I$121,$A$2:$A$121,$A42,$F$2:$F$121,"DESIGN")*INDEX(المرجع!$K$9:$K$11,MATCH("DESIGN",المرجع!$L$9:$L$11,0))+SUMIFS($I$2:$I$121,$A$2:$A$121,$A42,$F$2:$F$121,"BUILD")*INDEX(المرجع!$K$9:$K$11,MATCH("BUILD",المرجع!$L$9:$L$11,0))+SUMIFS($I$2:$I$121,$A$2:$A$121,$A42,$F$2:$F$121,"OPERATE")*INDEX(المرجع!$K$9:$K$11,MATCH("OPERATE",المرجع!$L$9:$L$11,0)))/100,1)</f>
        <v>94.7</v>
      </c>
      <c r="N42" s="32" t="str">
        <f aca="false">IF($M42&gt;المرجع!$K$3,"متقدم",IF($M42&lt;=المرجع!$K$2,"أولي","جزئي"))</f>
        <v>متقدم</v>
      </c>
    </row>
    <row r="43" customFormat="false" ht="15" hidden="false" customHeight="true" outlineLevel="0" collapsed="false">
      <c r="A43" s="19" t="s">
        <v>181</v>
      </c>
      <c r="B43" s="19" t="str">
        <f aca="false">IFERROR(INDEX('قائمة الوحدات'!$B$2:$B$41,MATCH($A43,'قائمة الوحدات'!$A$2:$A$41,0)),"")</f>
        <v>EXE</v>
      </c>
      <c r="C43" s="18" t="str">
        <f aca="false">IFERROR(INDEX('قائمة الوحدات'!$C$2:$C$41,MATCH($A43,'قائمة الوحدات'!$A$2:$A$41,0)),"")</f>
        <v>الشؤون التنفيذية</v>
      </c>
      <c r="D43" s="18" t="str">
        <f aca="false">IFERROR(INDEX('قائمة الوحدات'!$D$2:$D$41,MATCH($A43,'قائمة الوحدات'!$A$2:$A$41,0)),"")</f>
        <v>وكالة الخدمات المساندة</v>
      </c>
      <c r="E43" s="18" t="str">
        <f aca="false">IFERROR(INDEX('قائمة الوحدات'!$F$2:$F$41,MATCH($A43,'قائمة الوحدات'!$A$2:$A$41,0)),"")</f>
        <v>الإدارة العامة للشؤون المالية</v>
      </c>
      <c r="F43" s="19" t="s">
        <v>66</v>
      </c>
      <c r="G43" s="18" t="str">
        <f aca="false">IFERROR(INDEX(المرجع!$A$2:$A$19,MATCH($F43,المرجع!$B$2:$B$19,0)),"")</f>
        <v>التشغيل</v>
      </c>
      <c r="H43" s="29" t="n">
        <f aca="false">SUMIFS('تقييم العناصر'!$R$2:$R$721,'تقييم العناصر'!$B$2:$B$721,$A43,'تقييم العناصر'!$G$2:$G$721,$F43)</f>
        <v>37.75</v>
      </c>
      <c r="I43" s="30" t="n">
        <f aca="false">SUMIFS('تقييم العناصر'!$T$2:$T$721,'تقييم العناصر'!$B$2:$B$721,$A43,'تقييم العناصر'!$G$2:$G$721,$F43)</f>
        <v>94</v>
      </c>
      <c r="J43" s="27" t="str">
        <f aca="false">IF($H43&gt;المرجع!$K$3,"متقدم",IF($H43&lt;=المرجع!$K$2,"أولي","جزئي"))</f>
        <v>جزئي</v>
      </c>
      <c r="K43" s="31" t="n">
        <f aca="false">ROUND((SUMIFS($H$2:$H$121,$A$2:$A$121,$A43,$F$2:$F$121,"DESIGN")*INDEX(المرجع!$K$9:$K$11,MATCH("DESIGN",المرجع!$L$9:$L$11,0))+SUMIFS($H$2:$H$121,$A$2:$A$121,$A43,$F$2:$F$121,"BUILD")*INDEX(المرجع!$K$9:$K$11,MATCH("BUILD",المرجع!$L$9:$L$11,0))+SUMIFS($H$2:$H$121,$A$2:$A$121,$A43,$F$2:$F$121,"OPERATE")*INDEX(المرجع!$K$9:$K$11,MATCH("OPERATE",المرجع!$L$9:$L$11,0)))/100,1)</f>
        <v>54.1</v>
      </c>
      <c r="L43" s="32" t="str">
        <f aca="false">IF($K43&gt;المرجع!$K$3,"متقدم",IF($K43&lt;=المرجع!$K$2,"أولي","جزئي"))</f>
        <v>جزئي</v>
      </c>
      <c r="M43" s="31" t="n">
        <f aca="false">ROUND((SUMIFS($I$2:$I$121,$A$2:$A$121,$A43,$F$2:$F$121,"DESIGN")*INDEX(المرجع!$K$9:$K$11,MATCH("DESIGN",المرجع!$L$9:$L$11,0))+SUMIFS($I$2:$I$121,$A$2:$A$121,$A43,$F$2:$F$121,"BUILD")*INDEX(المرجع!$K$9:$K$11,MATCH("BUILD",المرجع!$L$9:$L$11,0))+SUMIFS($I$2:$I$121,$A$2:$A$121,$A43,$F$2:$F$121,"OPERATE")*INDEX(المرجع!$K$9:$K$11,MATCH("OPERATE",المرجع!$L$9:$L$11,0)))/100,1)</f>
        <v>94.7</v>
      </c>
      <c r="N43" s="32" t="str">
        <f aca="false">IF($M43&gt;المرجع!$K$3,"متقدم",IF($M43&lt;=المرجع!$K$2,"أولي","جزئي"))</f>
        <v>متقدم</v>
      </c>
    </row>
    <row r="44" customFormat="false" ht="15" hidden="false" customHeight="true" outlineLevel="0" collapsed="false">
      <c r="A44" s="19" t="s">
        <v>183</v>
      </c>
      <c r="B44" s="19" t="str">
        <f aca="false">IFERROR(INDEX('قائمة الوحدات'!$B$2:$B$41,MATCH($A44,'قائمة الوحدات'!$A$2:$A$41,0)),"")</f>
        <v>EXE</v>
      </c>
      <c r="C44" s="18" t="str">
        <f aca="false">IFERROR(INDEX('قائمة الوحدات'!$C$2:$C$41,MATCH($A44,'قائمة الوحدات'!$A$2:$A$41,0)),"")</f>
        <v>الشؤون التنفيذية</v>
      </c>
      <c r="D44" s="18" t="str">
        <f aca="false">IFERROR(INDEX('قائمة الوحدات'!$D$2:$D$41,MATCH($A44,'قائمة الوحدات'!$A$2:$A$41,0)),"")</f>
        <v>وكالة الخدمات المساندة</v>
      </c>
      <c r="E44" s="18" t="str">
        <f aca="false">IFERROR(INDEX('قائمة الوحدات'!$F$2:$F$41,MATCH($A44,'قائمة الوحدات'!$A$2:$A$41,0)),"")</f>
        <v>الإدارة العامة لتقنية المعلومات</v>
      </c>
      <c r="F44" s="19" t="s">
        <v>44</v>
      </c>
      <c r="G44" s="18" t="str">
        <f aca="false">IFERROR(INDEX(المرجع!$A$2:$A$19,MATCH($F44,المرجع!$B$2:$B$19,0)),"")</f>
        <v>التصميم</v>
      </c>
      <c r="H44" s="29" t="n">
        <f aca="false">SUMIFS('تقييم العناصر'!$R$2:$R$721,'تقييم العناصر'!$B$2:$B$721,$A44,'تقييم العناصر'!$G$2:$G$721,$F44)</f>
        <v>73.45</v>
      </c>
      <c r="I44" s="30" t="n">
        <f aca="false">SUMIFS('تقييم العناصر'!$T$2:$T$721,'تقييم العناصر'!$B$2:$B$721,$A44,'تقييم العناصر'!$G$2:$G$721,$F44)</f>
        <v>92.5</v>
      </c>
      <c r="J44" s="27" t="str">
        <f aca="false">IF($H44&gt;المرجع!$K$3,"متقدم",IF($H44&lt;=المرجع!$K$2,"أولي","جزئي"))</f>
        <v>متقدم</v>
      </c>
      <c r="K44" s="31" t="n">
        <f aca="false">ROUND((SUMIFS($H$2:$H$121,$A$2:$A$121,$A44,$F$2:$F$121,"DESIGN")*INDEX(المرجع!$K$9:$K$11,MATCH("DESIGN",المرجع!$L$9:$L$11,0))+SUMIFS($H$2:$H$121,$A$2:$A$121,$A44,$F$2:$F$121,"BUILD")*INDEX(المرجع!$K$9:$K$11,MATCH("BUILD",المرجع!$L$9:$L$11,0))+SUMIFS($H$2:$H$121,$A$2:$A$121,$A44,$F$2:$F$121,"OPERATE")*INDEX(المرجع!$K$9:$K$11,MATCH("OPERATE",المرجع!$L$9:$L$11,0)))/100,1)</f>
        <v>57.5</v>
      </c>
      <c r="L44" s="32" t="str">
        <f aca="false">IF($K44&gt;المرجع!$K$3,"متقدم",IF($K44&lt;=المرجع!$K$2,"أولي","جزئي"))</f>
        <v>جزئي</v>
      </c>
      <c r="M44" s="31" t="n">
        <f aca="false">ROUND((SUMIFS($I$2:$I$121,$A$2:$A$121,$A44,$F$2:$F$121,"DESIGN")*INDEX(المرجع!$K$9:$K$11,MATCH("DESIGN",المرجع!$L$9:$L$11,0))+SUMIFS($I$2:$I$121,$A$2:$A$121,$A44,$F$2:$F$121,"BUILD")*INDEX(المرجع!$K$9:$K$11,MATCH("BUILD",المرجع!$L$9:$L$11,0))+SUMIFS($I$2:$I$121,$A$2:$A$121,$A44,$F$2:$F$121,"OPERATE")*INDEX(المرجع!$K$9:$K$11,MATCH("OPERATE",المرجع!$L$9:$L$11,0)))/100,1)</f>
        <v>93.2</v>
      </c>
      <c r="N44" s="32" t="str">
        <f aca="false">IF($M44&gt;المرجع!$K$3,"متقدم",IF($M44&lt;=المرجع!$K$2,"أولي","جزئي"))</f>
        <v>متقدم</v>
      </c>
    </row>
    <row r="45" customFormat="false" ht="15" hidden="false" customHeight="true" outlineLevel="0" collapsed="false">
      <c r="A45" s="19" t="s">
        <v>183</v>
      </c>
      <c r="B45" s="19" t="str">
        <f aca="false">IFERROR(INDEX('قائمة الوحدات'!$B$2:$B$41,MATCH($A45,'قائمة الوحدات'!$A$2:$A$41,0)),"")</f>
        <v>EXE</v>
      </c>
      <c r="C45" s="18" t="str">
        <f aca="false">IFERROR(INDEX('قائمة الوحدات'!$C$2:$C$41,MATCH($A45,'قائمة الوحدات'!$A$2:$A$41,0)),"")</f>
        <v>الشؤون التنفيذية</v>
      </c>
      <c r="D45" s="18" t="str">
        <f aca="false">IFERROR(INDEX('قائمة الوحدات'!$D$2:$D$41,MATCH($A45,'قائمة الوحدات'!$A$2:$A$41,0)),"")</f>
        <v>وكالة الخدمات المساندة</v>
      </c>
      <c r="E45" s="18" t="str">
        <f aca="false">IFERROR(INDEX('قائمة الوحدات'!$F$2:$F$41,MATCH($A45,'قائمة الوحدات'!$A$2:$A$41,0)),"")</f>
        <v>الإدارة العامة لتقنية المعلومات</v>
      </c>
      <c r="F45" s="19" t="s">
        <v>62</v>
      </c>
      <c r="G45" s="18" t="str">
        <f aca="false">IFERROR(INDEX(المرجع!$A$2:$A$19,MATCH($F45,المرجع!$B$2:$B$19,0)),"")</f>
        <v>البناء المؤسسي</v>
      </c>
      <c r="H45" s="29" t="n">
        <f aca="false">SUMIFS('تقييم العناصر'!$R$2:$R$721,'تقييم العناصر'!$B$2:$B$721,$A45,'تقييم العناصر'!$G$2:$G$721,$F45)</f>
        <v>63.75</v>
      </c>
      <c r="I45" s="30" t="n">
        <f aca="false">SUMIFS('تقييم العناصر'!$T$2:$T$721,'تقييم العناصر'!$B$2:$B$721,$A45,'تقييم العناصر'!$G$2:$G$721,$F45)</f>
        <v>95.7</v>
      </c>
      <c r="J45" s="27" t="str">
        <f aca="false">IF($H45&gt;المرجع!$K$3,"متقدم",IF($H45&lt;=المرجع!$K$2,"أولي","جزئي"))</f>
        <v>جزئي</v>
      </c>
      <c r="K45" s="31" t="n">
        <f aca="false">ROUND((SUMIFS($H$2:$H$121,$A$2:$A$121,$A45,$F$2:$F$121,"DESIGN")*INDEX(المرجع!$K$9:$K$11,MATCH("DESIGN",المرجع!$L$9:$L$11,0))+SUMIFS($H$2:$H$121,$A$2:$A$121,$A45,$F$2:$F$121,"BUILD")*INDEX(المرجع!$K$9:$K$11,MATCH("BUILD",المرجع!$L$9:$L$11,0))+SUMIFS($H$2:$H$121,$A$2:$A$121,$A45,$F$2:$F$121,"OPERATE")*INDEX(المرجع!$K$9:$K$11,MATCH("OPERATE",المرجع!$L$9:$L$11,0)))/100,1)</f>
        <v>57.5</v>
      </c>
      <c r="L45" s="32" t="str">
        <f aca="false">IF($K45&gt;المرجع!$K$3,"متقدم",IF($K45&lt;=المرجع!$K$2,"أولي","جزئي"))</f>
        <v>جزئي</v>
      </c>
      <c r="M45" s="31" t="n">
        <f aca="false">ROUND((SUMIFS($I$2:$I$121,$A$2:$A$121,$A45,$F$2:$F$121,"DESIGN")*INDEX(المرجع!$K$9:$K$11,MATCH("DESIGN",المرجع!$L$9:$L$11,0))+SUMIFS($I$2:$I$121,$A$2:$A$121,$A45,$F$2:$F$121,"BUILD")*INDEX(المرجع!$K$9:$K$11,MATCH("BUILD",المرجع!$L$9:$L$11,0))+SUMIFS($I$2:$I$121,$A$2:$A$121,$A45,$F$2:$F$121,"OPERATE")*INDEX(المرجع!$K$9:$K$11,MATCH("OPERATE",المرجع!$L$9:$L$11,0)))/100,1)</f>
        <v>93.2</v>
      </c>
      <c r="N45" s="32" t="str">
        <f aca="false">IF($M45&gt;المرجع!$K$3,"متقدم",IF($M45&lt;=المرجع!$K$2,"أولي","جزئي"))</f>
        <v>متقدم</v>
      </c>
    </row>
    <row r="46" customFormat="false" ht="15" hidden="false" customHeight="true" outlineLevel="0" collapsed="false">
      <c r="A46" s="19" t="s">
        <v>183</v>
      </c>
      <c r="B46" s="19" t="str">
        <f aca="false">IFERROR(INDEX('قائمة الوحدات'!$B$2:$B$41,MATCH($A46,'قائمة الوحدات'!$A$2:$A$41,0)),"")</f>
        <v>EXE</v>
      </c>
      <c r="C46" s="18" t="str">
        <f aca="false">IFERROR(INDEX('قائمة الوحدات'!$C$2:$C$41,MATCH($A46,'قائمة الوحدات'!$A$2:$A$41,0)),"")</f>
        <v>الشؤون التنفيذية</v>
      </c>
      <c r="D46" s="18" t="str">
        <f aca="false">IFERROR(INDEX('قائمة الوحدات'!$D$2:$D$41,MATCH($A46,'قائمة الوحدات'!$A$2:$A$41,0)),"")</f>
        <v>وكالة الخدمات المساندة</v>
      </c>
      <c r="E46" s="18" t="str">
        <f aca="false">IFERROR(INDEX('قائمة الوحدات'!$F$2:$F$41,MATCH($A46,'قائمة الوحدات'!$A$2:$A$41,0)),"")</f>
        <v>الإدارة العامة لتقنية المعلومات</v>
      </c>
      <c r="F46" s="19" t="s">
        <v>66</v>
      </c>
      <c r="G46" s="18" t="str">
        <f aca="false">IFERROR(INDEX(المرجع!$A$2:$A$19,MATCH($F46,المرجع!$B$2:$B$19,0)),"")</f>
        <v>التشغيل</v>
      </c>
      <c r="H46" s="29" t="n">
        <f aca="false">SUMIFS('تقييم العناصر'!$R$2:$R$721,'تقييم العناصر'!$B$2:$B$721,$A46,'تقييم العناصر'!$G$2:$G$721,$F46)</f>
        <v>47.4</v>
      </c>
      <c r="I46" s="30" t="n">
        <f aca="false">SUMIFS('تقييم العناصر'!$T$2:$T$721,'تقييم العناصر'!$B$2:$B$721,$A46,'تقييم العناصر'!$G$2:$G$721,$F46)</f>
        <v>91.95</v>
      </c>
      <c r="J46" s="27" t="str">
        <f aca="false">IF($H46&gt;المرجع!$K$3,"متقدم",IF($H46&lt;=المرجع!$K$2,"أولي","جزئي"))</f>
        <v>جزئي</v>
      </c>
      <c r="K46" s="31" t="n">
        <f aca="false">ROUND((SUMIFS($H$2:$H$121,$A$2:$A$121,$A46,$F$2:$F$121,"DESIGN")*INDEX(المرجع!$K$9:$K$11,MATCH("DESIGN",المرجع!$L$9:$L$11,0))+SUMIFS($H$2:$H$121,$A$2:$A$121,$A46,$F$2:$F$121,"BUILD")*INDEX(المرجع!$K$9:$K$11,MATCH("BUILD",المرجع!$L$9:$L$11,0))+SUMIFS($H$2:$H$121,$A$2:$A$121,$A46,$F$2:$F$121,"OPERATE")*INDEX(المرجع!$K$9:$K$11,MATCH("OPERATE",المرجع!$L$9:$L$11,0)))/100,1)</f>
        <v>57.5</v>
      </c>
      <c r="L46" s="32" t="str">
        <f aca="false">IF($K46&gt;المرجع!$K$3,"متقدم",IF($K46&lt;=المرجع!$K$2,"أولي","جزئي"))</f>
        <v>جزئي</v>
      </c>
      <c r="M46" s="31" t="n">
        <f aca="false">ROUND((SUMIFS($I$2:$I$121,$A$2:$A$121,$A46,$F$2:$F$121,"DESIGN")*INDEX(المرجع!$K$9:$K$11,MATCH("DESIGN",المرجع!$L$9:$L$11,0))+SUMIFS($I$2:$I$121,$A$2:$A$121,$A46,$F$2:$F$121,"BUILD")*INDEX(المرجع!$K$9:$K$11,MATCH("BUILD",المرجع!$L$9:$L$11,0))+SUMIFS($I$2:$I$121,$A$2:$A$121,$A46,$F$2:$F$121,"OPERATE")*INDEX(المرجع!$K$9:$K$11,MATCH("OPERATE",المرجع!$L$9:$L$11,0)))/100,1)</f>
        <v>93.2</v>
      </c>
      <c r="N46" s="32" t="str">
        <f aca="false">IF($M46&gt;المرجع!$K$3,"متقدم",IF($M46&lt;=المرجع!$K$2,"أولي","جزئي"))</f>
        <v>متقدم</v>
      </c>
    </row>
    <row r="47" customFormat="false" ht="15" hidden="false" customHeight="true" outlineLevel="0" collapsed="false">
      <c r="A47" s="19" t="s">
        <v>185</v>
      </c>
      <c r="B47" s="19" t="str">
        <f aca="false">IFERROR(INDEX('قائمة الوحدات'!$B$2:$B$41,MATCH($A47,'قائمة الوحدات'!$A$2:$A$41,0)),"")</f>
        <v>EXE</v>
      </c>
      <c r="C47" s="18" t="str">
        <f aca="false">IFERROR(INDEX('قائمة الوحدات'!$C$2:$C$41,MATCH($A47,'قائمة الوحدات'!$A$2:$A$41,0)),"")</f>
        <v>الشؤون التنفيذية</v>
      </c>
      <c r="D47" s="18" t="str">
        <f aca="false">IFERROR(INDEX('قائمة الوحدات'!$D$2:$D$41,MATCH($A47,'قائمة الوحدات'!$A$2:$A$41,0)),"")</f>
        <v>وكالة الشؤون الاستراتيجية</v>
      </c>
      <c r="E47" s="18" t="str">
        <f aca="false">IFERROR(INDEX('قائمة الوحدات'!$F$2:$F$41,MATCH($A47,'قائمة الوحدات'!$A$2:$A$41,0)),"")</f>
        <v>وكالة الشؤون الاستراتيجية</v>
      </c>
      <c r="F47" s="19" t="s">
        <v>44</v>
      </c>
      <c r="G47" s="18" t="str">
        <f aca="false">IFERROR(INDEX(المرجع!$A$2:$A$19,MATCH($F47,المرجع!$B$2:$B$19,0)),"")</f>
        <v>التصميم</v>
      </c>
      <c r="H47" s="29" t="n">
        <f aca="false">SUMIFS('تقييم العناصر'!$R$2:$R$721,'تقييم العناصر'!$B$2:$B$721,$A47,'تقييم العناصر'!$G$2:$G$721,$F47)</f>
        <v>84.35</v>
      </c>
      <c r="I47" s="30" t="n">
        <f aca="false">SUMIFS('تقييم العناصر'!$T$2:$T$721,'تقييم العناصر'!$B$2:$B$721,$A47,'تقييم العناصر'!$G$2:$G$721,$F47)</f>
        <v>94.85</v>
      </c>
      <c r="J47" s="27" t="str">
        <f aca="false">IF($H47&gt;المرجع!$K$3,"متقدم",IF($H47&lt;=المرجع!$K$2,"أولي","جزئي"))</f>
        <v>متقدم</v>
      </c>
      <c r="K47" s="31" t="n">
        <f aca="false">ROUND((SUMIFS($H$2:$H$121,$A$2:$A$121,$A47,$F$2:$F$121,"DESIGN")*INDEX(المرجع!$K$9:$K$11,MATCH("DESIGN",المرجع!$L$9:$L$11,0))+SUMIFS($H$2:$H$121,$A$2:$A$121,$A47,$F$2:$F$121,"BUILD")*INDEX(المرجع!$K$9:$K$11,MATCH("BUILD",المرجع!$L$9:$L$11,0))+SUMIFS($H$2:$H$121,$A$2:$A$121,$A47,$F$2:$F$121,"OPERATE")*INDEX(المرجع!$K$9:$K$11,MATCH("OPERATE",المرجع!$L$9:$L$11,0)))/100,1)</f>
        <v>56</v>
      </c>
      <c r="L47" s="32" t="str">
        <f aca="false">IF($K47&gt;المرجع!$K$3,"متقدم",IF($K47&lt;=المرجع!$K$2,"أولي","جزئي"))</f>
        <v>جزئي</v>
      </c>
      <c r="M47" s="31" t="n">
        <f aca="false">ROUND((SUMIFS($I$2:$I$121,$A$2:$A$121,$A47,$F$2:$F$121,"DESIGN")*INDEX(المرجع!$K$9:$K$11,MATCH("DESIGN",المرجع!$L$9:$L$11,0))+SUMIFS($I$2:$I$121,$A$2:$A$121,$A47,$F$2:$F$121,"BUILD")*INDEX(المرجع!$K$9:$K$11,MATCH("BUILD",المرجع!$L$9:$L$11,0))+SUMIFS($I$2:$I$121,$A$2:$A$121,$A47,$F$2:$F$121,"OPERATE")*INDEX(المرجع!$K$9:$K$11,MATCH("OPERATE",المرجع!$L$9:$L$11,0)))/100,1)</f>
        <v>90.9</v>
      </c>
      <c r="N47" s="32" t="str">
        <f aca="false">IF($M47&gt;المرجع!$K$3,"متقدم",IF($M47&lt;=المرجع!$K$2,"أولي","جزئي"))</f>
        <v>متقدم</v>
      </c>
    </row>
    <row r="48" customFormat="false" ht="15" hidden="false" customHeight="true" outlineLevel="0" collapsed="false">
      <c r="A48" s="19" t="s">
        <v>185</v>
      </c>
      <c r="B48" s="19" t="str">
        <f aca="false">IFERROR(INDEX('قائمة الوحدات'!$B$2:$B$41,MATCH($A48,'قائمة الوحدات'!$A$2:$A$41,0)),"")</f>
        <v>EXE</v>
      </c>
      <c r="C48" s="18" t="str">
        <f aca="false">IFERROR(INDEX('قائمة الوحدات'!$C$2:$C$41,MATCH($A48,'قائمة الوحدات'!$A$2:$A$41,0)),"")</f>
        <v>الشؤون التنفيذية</v>
      </c>
      <c r="D48" s="18" t="str">
        <f aca="false">IFERROR(INDEX('قائمة الوحدات'!$D$2:$D$41,MATCH($A48,'قائمة الوحدات'!$A$2:$A$41,0)),"")</f>
        <v>وكالة الشؤون الاستراتيجية</v>
      </c>
      <c r="E48" s="18" t="str">
        <f aca="false">IFERROR(INDEX('قائمة الوحدات'!$F$2:$F$41,MATCH($A48,'قائمة الوحدات'!$A$2:$A$41,0)),"")</f>
        <v>وكالة الشؤون الاستراتيجية</v>
      </c>
      <c r="F48" s="19" t="s">
        <v>62</v>
      </c>
      <c r="G48" s="18" t="str">
        <f aca="false">IFERROR(INDEX(المرجع!$A$2:$A$19,MATCH($F48,المرجع!$B$2:$B$19,0)),"")</f>
        <v>البناء المؤسسي</v>
      </c>
      <c r="H48" s="29" t="n">
        <f aca="false">SUMIFS('تقييم العناصر'!$R$2:$R$721,'تقييم العناصر'!$B$2:$B$721,$A48,'تقييم العناصر'!$G$2:$G$721,$F48)</f>
        <v>62.45</v>
      </c>
      <c r="I48" s="30" t="n">
        <f aca="false">SUMIFS('تقييم العناصر'!$T$2:$T$721,'تقييم العناصر'!$B$2:$B$721,$A48,'تقييم العناصر'!$G$2:$G$721,$F48)</f>
        <v>95.45</v>
      </c>
      <c r="J48" s="27" t="str">
        <f aca="false">IF($H48&gt;المرجع!$K$3,"متقدم",IF($H48&lt;=المرجع!$K$2,"أولي","جزئي"))</f>
        <v>جزئي</v>
      </c>
      <c r="K48" s="31" t="n">
        <f aca="false">ROUND((SUMIFS($H$2:$H$121,$A$2:$A$121,$A48,$F$2:$F$121,"DESIGN")*INDEX(المرجع!$K$9:$K$11,MATCH("DESIGN",المرجع!$L$9:$L$11,0))+SUMIFS($H$2:$H$121,$A$2:$A$121,$A48,$F$2:$F$121,"BUILD")*INDEX(المرجع!$K$9:$K$11,MATCH("BUILD",المرجع!$L$9:$L$11,0))+SUMIFS($H$2:$H$121,$A$2:$A$121,$A48,$F$2:$F$121,"OPERATE")*INDEX(المرجع!$K$9:$K$11,MATCH("OPERATE",المرجع!$L$9:$L$11,0)))/100,1)</f>
        <v>56</v>
      </c>
      <c r="L48" s="32" t="str">
        <f aca="false">IF($K48&gt;المرجع!$K$3,"متقدم",IF($K48&lt;=المرجع!$K$2,"أولي","جزئي"))</f>
        <v>جزئي</v>
      </c>
      <c r="M48" s="31" t="n">
        <f aca="false">ROUND((SUMIFS($I$2:$I$121,$A$2:$A$121,$A48,$F$2:$F$121,"DESIGN")*INDEX(المرجع!$K$9:$K$11,MATCH("DESIGN",المرجع!$L$9:$L$11,0))+SUMIFS($I$2:$I$121,$A$2:$A$121,$A48,$F$2:$F$121,"BUILD")*INDEX(المرجع!$K$9:$K$11,MATCH("BUILD",المرجع!$L$9:$L$11,0))+SUMIFS($I$2:$I$121,$A$2:$A$121,$A48,$F$2:$F$121,"OPERATE")*INDEX(المرجع!$K$9:$K$11,MATCH("OPERATE",المرجع!$L$9:$L$11,0)))/100,1)</f>
        <v>90.9</v>
      </c>
      <c r="N48" s="32" t="str">
        <f aca="false">IF($M48&gt;المرجع!$K$3,"متقدم",IF($M48&lt;=المرجع!$K$2,"أولي","جزئي"))</f>
        <v>متقدم</v>
      </c>
    </row>
    <row r="49" customFormat="false" ht="15" hidden="false" customHeight="true" outlineLevel="0" collapsed="false">
      <c r="A49" s="19" t="s">
        <v>185</v>
      </c>
      <c r="B49" s="19" t="str">
        <f aca="false">IFERROR(INDEX('قائمة الوحدات'!$B$2:$B$41,MATCH($A49,'قائمة الوحدات'!$A$2:$A$41,0)),"")</f>
        <v>EXE</v>
      </c>
      <c r="C49" s="18" t="str">
        <f aca="false">IFERROR(INDEX('قائمة الوحدات'!$C$2:$C$41,MATCH($A49,'قائمة الوحدات'!$A$2:$A$41,0)),"")</f>
        <v>الشؤون التنفيذية</v>
      </c>
      <c r="D49" s="18" t="str">
        <f aca="false">IFERROR(INDEX('قائمة الوحدات'!$D$2:$D$41,MATCH($A49,'قائمة الوحدات'!$A$2:$A$41,0)),"")</f>
        <v>وكالة الشؤون الاستراتيجية</v>
      </c>
      <c r="E49" s="18" t="str">
        <f aca="false">IFERROR(INDEX('قائمة الوحدات'!$F$2:$F$41,MATCH($A49,'قائمة الوحدات'!$A$2:$A$41,0)),"")</f>
        <v>وكالة الشؤون الاستراتيجية</v>
      </c>
      <c r="F49" s="19" t="s">
        <v>66</v>
      </c>
      <c r="G49" s="18" t="str">
        <f aca="false">IFERROR(INDEX(المرجع!$A$2:$A$19,MATCH($F49,المرجع!$B$2:$B$19,0)),"")</f>
        <v>التشغيل</v>
      </c>
      <c r="H49" s="29" t="n">
        <f aca="false">SUMIFS('تقييم العناصر'!$R$2:$R$721,'تقييم العناصر'!$B$2:$B$721,$A49,'تقييم العناصر'!$G$2:$G$721,$F49)</f>
        <v>40.85</v>
      </c>
      <c r="I49" s="30" t="n">
        <f aca="false">SUMIFS('تقييم العناصر'!$T$2:$T$721,'تقييم العناصر'!$B$2:$B$721,$A49,'تقييم العناصر'!$G$2:$G$721,$F49)</f>
        <v>86.55</v>
      </c>
      <c r="J49" s="27" t="str">
        <f aca="false">IF($H49&gt;المرجع!$K$3,"متقدم",IF($H49&lt;=المرجع!$K$2,"أولي","جزئي"))</f>
        <v>جزئي</v>
      </c>
      <c r="K49" s="31" t="n">
        <f aca="false">ROUND((SUMIFS($H$2:$H$121,$A$2:$A$121,$A49,$F$2:$F$121,"DESIGN")*INDEX(المرجع!$K$9:$K$11,MATCH("DESIGN",المرجع!$L$9:$L$11,0))+SUMIFS($H$2:$H$121,$A$2:$A$121,$A49,$F$2:$F$121,"BUILD")*INDEX(المرجع!$K$9:$K$11,MATCH("BUILD",المرجع!$L$9:$L$11,0))+SUMIFS($H$2:$H$121,$A$2:$A$121,$A49,$F$2:$F$121,"OPERATE")*INDEX(المرجع!$K$9:$K$11,MATCH("OPERATE",المرجع!$L$9:$L$11,0)))/100,1)</f>
        <v>56</v>
      </c>
      <c r="L49" s="32" t="str">
        <f aca="false">IF($K49&gt;المرجع!$K$3,"متقدم",IF($K49&lt;=المرجع!$K$2,"أولي","جزئي"))</f>
        <v>جزئي</v>
      </c>
      <c r="M49" s="31" t="n">
        <f aca="false">ROUND((SUMIFS($I$2:$I$121,$A$2:$A$121,$A49,$F$2:$F$121,"DESIGN")*INDEX(المرجع!$K$9:$K$11,MATCH("DESIGN",المرجع!$L$9:$L$11,0))+SUMIFS($I$2:$I$121,$A$2:$A$121,$A49,$F$2:$F$121,"BUILD")*INDEX(المرجع!$K$9:$K$11,MATCH("BUILD",المرجع!$L$9:$L$11,0))+SUMIFS($I$2:$I$121,$A$2:$A$121,$A49,$F$2:$F$121,"OPERATE")*INDEX(المرجع!$K$9:$K$11,MATCH("OPERATE",المرجع!$L$9:$L$11,0)))/100,1)</f>
        <v>90.9</v>
      </c>
      <c r="N49" s="32" t="str">
        <f aca="false">IF($M49&gt;المرجع!$K$3,"متقدم",IF($M49&lt;=المرجع!$K$2,"أولي","جزئي"))</f>
        <v>متقدم</v>
      </c>
    </row>
    <row r="50" customFormat="false" ht="15" hidden="false" customHeight="true" outlineLevel="0" collapsed="false">
      <c r="A50" s="19" t="s">
        <v>188</v>
      </c>
      <c r="B50" s="19" t="str">
        <f aca="false">IFERROR(INDEX('قائمة الوحدات'!$B$2:$B$41,MATCH($A50,'قائمة الوحدات'!$A$2:$A$41,0)),"")</f>
        <v>EXE</v>
      </c>
      <c r="C50" s="18" t="str">
        <f aca="false">IFERROR(INDEX('قائمة الوحدات'!$C$2:$C$41,MATCH($A50,'قائمة الوحدات'!$A$2:$A$41,0)),"")</f>
        <v>الشؤون التنفيذية</v>
      </c>
      <c r="D50" s="18" t="str">
        <f aca="false">IFERROR(INDEX('قائمة الوحدات'!$D$2:$D$41,MATCH($A50,'قائمة الوحدات'!$A$2:$A$41,0)),"")</f>
        <v>وكالة التحول الرقمي</v>
      </c>
      <c r="E50" s="18" t="str">
        <f aca="false">IFERROR(INDEX('قائمة الوحدات'!$F$2:$F$41,MATCH($A50,'قائمة الوحدات'!$A$2:$A$41,0)),"")</f>
        <v>وكالة التحول الرقمي</v>
      </c>
      <c r="F50" s="19" t="s">
        <v>44</v>
      </c>
      <c r="G50" s="18" t="str">
        <f aca="false">IFERROR(INDEX(المرجع!$A$2:$A$19,MATCH($F50,المرجع!$B$2:$B$19,0)),"")</f>
        <v>التصميم</v>
      </c>
      <c r="H50" s="29" t="n">
        <f aca="false">SUMIFS('تقييم العناصر'!$R$2:$R$721,'تقييم العناصر'!$B$2:$B$721,$A50,'تقييم العناصر'!$G$2:$G$721,$F50)</f>
        <v>80.35</v>
      </c>
      <c r="I50" s="30" t="n">
        <f aca="false">SUMIFS('تقييم العناصر'!$T$2:$T$721,'تقييم العناصر'!$B$2:$B$721,$A50,'تقييم العناصر'!$G$2:$G$721,$F50)</f>
        <v>95.05</v>
      </c>
      <c r="J50" s="27" t="str">
        <f aca="false">IF($H50&gt;المرجع!$K$3,"متقدم",IF($H50&lt;=المرجع!$K$2,"أولي","جزئي"))</f>
        <v>متقدم</v>
      </c>
      <c r="K50" s="31" t="n">
        <f aca="false">ROUND((SUMIFS($H$2:$H$121,$A$2:$A$121,$A50,$F$2:$F$121,"DESIGN")*INDEX(المرجع!$K$9:$K$11,MATCH("DESIGN",المرجع!$L$9:$L$11,0))+SUMIFS($H$2:$H$121,$A$2:$A$121,$A50,$F$2:$F$121,"BUILD")*INDEX(المرجع!$K$9:$K$11,MATCH("BUILD",المرجع!$L$9:$L$11,0))+SUMIFS($H$2:$H$121,$A$2:$A$121,$A50,$F$2:$F$121,"OPERATE")*INDEX(المرجع!$K$9:$K$11,MATCH("OPERATE",المرجع!$L$9:$L$11,0)))/100,1)</f>
        <v>48.1</v>
      </c>
      <c r="L50" s="32" t="str">
        <f aca="false">IF($K50&gt;المرجع!$K$3,"متقدم",IF($K50&lt;=المرجع!$K$2,"أولي","جزئي"))</f>
        <v>جزئي</v>
      </c>
      <c r="M50" s="31" t="n">
        <f aca="false">ROUND((SUMIFS($I$2:$I$121,$A$2:$A$121,$A50,$F$2:$F$121,"DESIGN")*INDEX(المرجع!$K$9:$K$11,MATCH("DESIGN",المرجع!$L$9:$L$11,0))+SUMIFS($I$2:$I$121,$A$2:$A$121,$A50,$F$2:$F$121,"BUILD")*INDEX(المرجع!$K$9:$K$11,MATCH("BUILD",المرجع!$L$9:$L$11,0))+SUMIFS($I$2:$I$121,$A$2:$A$121,$A50,$F$2:$F$121,"OPERATE")*INDEX(المرجع!$K$9:$K$11,MATCH("OPERATE",المرجع!$L$9:$L$11,0)))/100,1)</f>
        <v>94.5</v>
      </c>
      <c r="N50" s="32" t="str">
        <f aca="false">IF($M50&gt;المرجع!$K$3,"متقدم",IF($M50&lt;=المرجع!$K$2,"أولي","جزئي"))</f>
        <v>متقدم</v>
      </c>
    </row>
    <row r="51" customFormat="false" ht="15" hidden="false" customHeight="true" outlineLevel="0" collapsed="false">
      <c r="A51" s="19" t="s">
        <v>188</v>
      </c>
      <c r="B51" s="19" t="str">
        <f aca="false">IFERROR(INDEX('قائمة الوحدات'!$B$2:$B$41,MATCH($A51,'قائمة الوحدات'!$A$2:$A$41,0)),"")</f>
        <v>EXE</v>
      </c>
      <c r="C51" s="18" t="str">
        <f aca="false">IFERROR(INDEX('قائمة الوحدات'!$C$2:$C$41,MATCH($A51,'قائمة الوحدات'!$A$2:$A$41,0)),"")</f>
        <v>الشؤون التنفيذية</v>
      </c>
      <c r="D51" s="18" t="str">
        <f aca="false">IFERROR(INDEX('قائمة الوحدات'!$D$2:$D$41,MATCH($A51,'قائمة الوحدات'!$A$2:$A$41,0)),"")</f>
        <v>وكالة التحول الرقمي</v>
      </c>
      <c r="E51" s="18" t="str">
        <f aca="false">IFERROR(INDEX('قائمة الوحدات'!$F$2:$F$41,MATCH($A51,'قائمة الوحدات'!$A$2:$A$41,0)),"")</f>
        <v>وكالة التحول الرقمي</v>
      </c>
      <c r="F51" s="19" t="s">
        <v>62</v>
      </c>
      <c r="G51" s="18" t="str">
        <f aca="false">IFERROR(INDEX(المرجع!$A$2:$A$19,MATCH($F51,المرجع!$B$2:$B$19,0)),"")</f>
        <v>البناء المؤسسي</v>
      </c>
      <c r="H51" s="29" t="n">
        <f aca="false">SUMIFS('تقييم العناصر'!$R$2:$R$721,'تقييم العناصر'!$B$2:$B$721,$A51,'تقييم العناصر'!$G$2:$G$721,$F51)</f>
        <v>57.3</v>
      </c>
      <c r="I51" s="30" t="n">
        <f aca="false">SUMIFS('تقييم العناصر'!$T$2:$T$721,'تقييم العناصر'!$B$2:$B$721,$A51,'تقييم العناصر'!$G$2:$G$721,$F51)</f>
        <v>95.75</v>
      </c>
      <c r="J51" s="27" t="str">
        <f aca="false">IF($H51&gt;المرجع!$K$3,"متقدم",IF($H51&lt;=المرجع!$K$2,"أولي","جزئي"))</f>
        <v>جزئي</v>
      </c>
      <c r="K51" s="31" t="n">
        <f aca="false">ROUND((SUMIFS($H$2:$H$121,$A$2:$A$121,$A51,$F$2:$F$121,"DESIGN")*INDEX(المرجع!$K$9:$K$11,MATCH("DESIGN",المرجع!$L$9:$L$11,0))+SUMIFS($H$2:$H$121,$A$2:$A$121,$A51,$F$2:$F$121,"BUILD")*INDEX(المرجع!$K$9:$K$11,MATCH("BUILD",المرجع!$L$9:$L$11,0))+SUMIFS($H$2:$H$121,$A$2:$A$121,$A51,$F$2:$F$121,"OPERATE")*INDEX(المرجع!$K$9:$K$11,MATCH("OPERATE",المرجع!$L$9:$L$11,0)))/100,1)</f>
        <v>48.1</v>
      </c>
      <c r="L51" s="32" t="str">
        <f aca="false">IF($K51&gt;المرجع!$K$3,"متقدم",IF($K51&lt;=المرجع!$K$2,"أولي","جزئي"))</f>
        <v>جزئي</v>
      </c>
      <c r="M51" s="31" t="n">
        <f aca="false">ROUND((SUMIFS($I$2:$I$121,$A$2:$A$121,$A51,$F$2:$F$121,"DESIGN")*INDEX(المرجع!$K$9:$K$11,MATCH("DESIGN",المرجع!$L$9:$L$11,0))+SUMIFS($I$2:$I$121,$A$2:$A$121,$A51,$F$2:$F$121,"BUILD")*INDEX(المرجع!$K$9:$K$11,MATCH("BUILD",المرجع!$L$9:$L$11,0))+SUMIFS($I$2:$I$121,$A$2:$A$121,$A51,$F$2:$F$121,"OPERATE")*INDEX(المرجع!$K$9:$K$11,MATCH("OPERATE",المرجع!$L$9:$L$11,0)))/100,1)</f>
        <v>94.5</v>
      </c>
      <c r="N51" s="32" t="str">
        <f aca="false">IF($M51&gt;المرجع!$K$3,"متقدم",IF($M51&lt;=المرجع!$K$2,"أولي","جزئي"))</f>
        <v>متقدم</v>
      </c>
    </row>
    <row r="52" customFormat="false" ht="15" hidden="false" customHeight="true" outlineLevel="0" collapsed="false">
      <c r="A52" s="19" t="s">
        <v>188</v>
      </c>
      <c r="B52" s="19" t="str">
        <f aca="false">IFERROR(INDEX('قائمة الوحدات'!$B$2:$B$41,MATCH($A52,'قائمة الوحدات'!$A$2:$A$41,0)),"")</f>
        <v>EXE</v>
      </c>
      <c r="C52" s="18" t="str">
        <f aca="false">IFERROR(INDEX('قائمة الوحدات'!$C$2:$C$41,MATCH($A52,'قائمة الوحدات'!$A$2:$A$41,0)),"")</f>
        <v>الشؤون التنفيذية</v>
      </c>
      <c r="D52" s="18" t="str">
        <f aca="false">IFERROR(INDEX('قائمة الوحدات'!$D$2:$D$41,MATCH($A52,'قائمة الوحدات'!$A$2:$A$41,0)),"")</f>
        <v>وكالة التحول الرقمي</v>
      </c>
      <c r="E52" s="18" t="str">
        <f aca="false">IFERROR(INDEX('قائمة الوحدات'!$F$2:$F$41,MATCH($A52,'قائمة الوحدات'!$A$2:$A$41,0)),"")</f>
        <v>وكالة التحول الرقمي</v>
      </c>
      <c r="F52" s="19" t="s">
        <v>66</v>
      </c>
      <c r="G52" s="18" t="str">
        <f aca="false">IFERROR(INDEX(المرجع!$A$2:$A$19,MATCH($F52,المرجع!$B$2:$B$19,0)),"")</f>
        <v>التشغيل</v>
      </c>
      <c r="H52" s="29" t="n">
        <f aca="false">SUMIFS('تقييم العناصر'!$R$2:$R$721,'تقييم العناصر'!$B$2:$B$721,$A52,'تقييم العناصر'!$G$2:$G$721,$F52)</f>
        <v>29.65</v>
      </c>
      <c r="I52" s="30" t="n">
        <f aca="false">SUMIFS('تقييم العناصر'!$T$2:$T$721,'تقييم العناصر'!$B$2:$B$721,$A52,'تقييم العناصر'!$G$2:$G$721,$F52)</f>
        <v>93.55</v>
      </c>
      <c r="J52" s="27" t="str">
        <f aca="false">IF($H52&gt;المرجع!$K$3,"متقدم",IF($H52&lt;=المرجع!$K$2,"أولي","جزئي"))</f>
        <v>أولي</v>
      </c>
      <c r="K52" s="31" t="n">
        <f aca="false">ROUND((SUMIFS($H$2:$H$121,$A$2:$A$121,$A52,$F$2:$F$121,"DESIGN")*INDEX(المرجع!$K$9:$K$11,MATCH("DESIGN",المرجع!$L$9:$L$11,0))+SUMIFS($H$2:$H$121,$A$2:$A$121,$A52,$F$2:$F$121,"BUILD")*INDEX(المرجع!$K$9:$K$11,MATCH("BUILD",المرجع!$L$9:$L$11,0))+SUMIFS($H$2:$H$121,$A$2:$A$121,$A52,$F$2:$F$121,"OPERATE")*INDEX(المرجع!$K$9:$K$11,MATCH("OPERATE",المرجع!$L$9:$L$11,0)))/100,1)</f>
        <v>48.1</v>
      </c>
      <c r="L52" s="32" t="str">
        <f aca="false">IF($K52&gt;المرجع!$K$3,"متقدم",IF($K52&lt;=المرجع!$K$2,"أولي","جزئي"))</f>
        <v>جزئي</v>
      </c>
      <c r="M52" s="31" t="n">
        <f aca="false">ROUND((SUMIFS($I$2:$I$121,$A$2:$A$121,$A52,$F$2:$F$121,"DESIGN")*INDEX(المرجع!$K$9:$K$11,MATCH("DESIGN",المرجع!$L$9:$L$11,0))+SUMIFS($I$2:$I$121,$A$2:$A$121,$A52,$F$2:$F$121,"BUILD")*INDEX(المرجع!$K$9:$K$11,MATCH("BUILD",المرجع!$L$9:$L$11,0))+SUMIFS($I$2:$I$121,$A$2:$A$121,$A52,$F$2:$F$121,"OPERATE")*INDEX(المرجع!$K$9:$K$11,MATCH("OPERATE",المرجع!$L$9:$L$11,0)))/100,1)</f>
        <v>94.5</v>
      </c>
      <c r="N52" s="32" t="str">
        <f aca="false">IF($M52&gt;المرجع!$K$3,"متقدم",IF($M52&lt;=المرجع!$K$2,"أولي","جزئي"))</f>
        <v>متقدم</v>
      </c>
    </row>
    <row r="53" customFormat="false" ht="15" hidden="false" customHeight="true" outlineLevel="0" collapsed="false">
      <c r="A53" s="19" t="s">
        <v>190</v>
      </c>
      <c r="B53" s="19" t="str">
        <f aca="false">IFERROR(INDEX('قائمة الوحدات'!$B$2:$B$41,MATCH($A53,'قائمة الوحدات'!$A$2:$A$41,0)),"")</f>
        <v>EXE</v>
      </c>
      <c r="C53" s="18" t="str">
        <f aca="false">IFERROR(INDEX('قائمة الوحدات'!$C$2:$C$41,MATCH($A53,'قائمة الوحدات'!$A$2:$A$41,0)),"")</f>
        <v>الشؤون التنفيذية</v>
      </c>
      <c r="D53" s="18" t="str">
        <f aca="false">IFERROR(INDEX('قائمة الوحدات'!$D$2:$D$41,MATCH($A53,'قائمة الوحدات'!$A$2:$A$41,0)),"")</f>
        <v>وكالة الاتصال المؤسسي</v>
      </c>
      <c r="E53" s="18" t="str">
        <f aca="false">IFERROR(INDEX('قائمة الوحدات'!$F$2:$F$41,MATCH($A53,'قائمة الوحدات'!$A$2:$A$41,0)),"")</f>
        <v>وكالة الاتصال المؤسسي</v>
      </c>
      <c r="F53" s="19" t="s">
        <v>44</v>
      </c>
      <c r="G53" s="18" t="str">
        <f aca="false">IFERROR(INDEX(المرجع!$A$2:$A$19,MATCH($F53,المرجع!$B$2:$B$19,0)),"")</f>
        <v>التصميم</v>
      </c>
      <c r="H53" s="29" t="n">
        <f aca="false">SUMIFS('تقييم العناصر'!$R$2:$R$721,'تقييم العناصر'!$B$2:$B$721,$A53,'تقييم العناصر'!$G$2:$G$721,$F53)</f>
        <v>83</v>
      </c>
      <c r="I53" s="30" t="n">
        <f aca="false">SUMIFS('تقييم العناصر'!$T$2:$T$721,'تقييم العناصر'!$B$2:$B$721,$A53,'تقييم العناصر'!$G$2:$G$721,$F53)</f>
        <v>94.2</v>
      </c>
      <c r="J53" s="27" t="str">
        <f aca="false">IF($H53&gt;المرجع!$K$3,"متقدم",IF($H53&lt;=المرجع!$K$2,"أولي","جزئي"))</f>
        <v>متقدم</v>
      </c>
      <c r="K53" s="31" t="n">
        <f aca="false">ROUND((SUMIFS($H$2:$H$121,$A$2:$A$121,$A53,$F$2:$F$121,"DESIGN")*INDEX(المرجع!$K$9:$K$11,MATCH("DESIGN",المرجع!$L$9:$L$11,0))+SUMIFS($H$2:$H$121,$A$2:$A$121,$A53,$F$2:$F$121,"BUILD")*INDEX(المرجع!$K$9:$K$11,MATCH("BUILD",المرجع!$L$9:$L$11,0))+SUMIFS($H$2:$H$121,$A$2:$A$121,$A53,$F$2:$F$121,"OPERATE")*INDEX(المرجع!$K$9:$K$11,MATCH("OPERATE",المرجع!$L$9:$L$11,0)))/100,1)</f>
        <v>58</v>
      </c>
      <c r="L53" s="32" t="str">
        <f aca="false">IF($K53&gt;المرجع!$K$3,"متقدم",IF($K53&lt;=المرجع!$K$2,"أولي","جزئي"))</f>
        <v>جزئي</v>
      </c>
      <c r="M53" s="31" t="n">
        <f aca="false">ROUND((SUMIFS($I$2:$I$121,$A$2:$A$121,$A53,$F$2:$F$121,"DESIGN")*INDEX(المرجع!$K$9:$K$11,MATCH("DESIGN",المرجع!$L$9:$L$11,0))+SUMIFS($I$2:$I$121,$A$2:$A$121,$A53,$F$2:$F$121,"BUILD")*INDEX(المرجع!$K$9:$K$11,MATCH("BUILD",المرجع!$L$9:$L$11,0))+SUMIFS($I$2:$I$121,$A$2:$A$121,$A53,$F$2:$F$121,"OPERATE")*INDEX(المرجع!$K$9:$K$11,MATCH("OPERATE",المرجع!$L$9:$L$11,0)))/100,1)</f>
        <v>91.6</v>
      </c>
      <c r="N53" s="32" t="str">
        <f aca="false">IF($M53&gt;المرجع!$K$3,"متقدم",IF($M53&lt;=المرجع!$K$2,"أولي","جزئي"))</f>
        <v>متقدم</v>
      </c>
    </row>
    <row r="54" customFormat="false" ht="15" hidden="false" customHeight="true" outlineLevel="0" collapsed="false">
      <c r="A54" s="19" t="s">
        <v>190</v>
      </c>
      <c r="B54" s="19" t="str">
        <f aca="false">IFERROR(INDEX('قائمة الوحدات'!$B$2:$B$41,MATCH($A54,'قائمة الوحدات'!$A$2:$A$41,0)),"")</f>
        <v>EXE</v>
      </c>
      <c r="C54" s="18" t="str">
        <f aca="false">IFERROR(INDEX('قائمة الوحدات'!$C$2:$C$41,MATCH($A54,'قائمة الوحدات'!$A$2:$A$41,0)),"")</f>
        <v>الشؤون التنفيذية</v>
      </c>
      <c r="D54" s="18" t="str">
        <f aca="false">IFERROR(INDEX('قائمة الوحدات'!$D$2:$D$41,MATCH($A54,'قائمة الوحدات'!$A$2:$A$41,0)),"")</f>
        <v>وكالة الاتصال المؤسسي</v>
      </c>
      <c r="E54" s="18" t="str">
        <f aca="false">IFERROR(INDEX('قائمة الوحدات'!$F$2:$F$41,MATCH($A54,'قائمة الوحدات'!$A$2:$A$41,0)),"")</f>
        <v>وكالة الاتصال المؤسسي</v>
      </c>
      <c r="F54" s="19" t="s">
        <v>62</v>
      </c>
      <c r="G54" s="18" t="str">
        <f aca="false">IFERROR(INDEX(المرجع!$A$2:$A$19,MATCH($F54,المرجع!$B$2:$B$19,0)),"")</f>
        <v>البناء المؤسسي</v>
      </c>
      <c r="H54" s="29" t="n">
        <f aca="false">SUMIFS('تقييم العناصر'!$R$2:$R$721,'تقييم العناصر'!$B$2:$B$721,$A54,'تقييم العناصر'!$G$2:$G$721,$F54)</f>
        <v>60.45</v>
      </c>
      <c r="I54" s="30" t="n">
        <f aca="false">SUMIFS('تقييم العناصر'!$T$2:$T$721,'تقييم العناصر'!$B$2:$B$721,$A54,'تقييم العناصر'!$G$2:$G$721,$F54)</f>
        <v>91.2</v>
      </c>
      <c r="J54" s="27" t="str">
        <f aca="false">IF($H54&gt;المرجع!$K$3,"متقدم",IF($H54&lt;=المرجع!$K$2,"أولي","جزئي"))</f>
        <v>جزئي</v>
      </c>
      <c r="K54" s="31" t="n">
        <f aca="false">ROUND((SUMIFS($H$2:$H$121,$A$2:$A$121,$A54,$F$2:$F$121,"DESIGN")*INDEX(المرجع!$K$9:$K$11,MATCH("DESIGN",المرجع!$L$9:$L$11,0))+SUMIFS($H$2:$H$121,$A$2:$A$121,$A54,$F$2:$F$121,"BUILD")*INDEX(المرجع!$K$9:$K$11,MATCH("BUILD",المرجع!$L$9:$L$11,0))+SUMIFS($H$2:$H$121,$A$2:$A$121,$A54,$F$2:$F$121,"OPERATE")*INDEX(المرجع!$K$9:$K$11,MATCH("OPERATE",المرجع!$L$9:$L$11,0)))/100,1)</f>
        <v>58</v>
      </c>
      <c r="L54" s="32" t="str">
        <f aca="false">IF($K54&gt;المرجع!$K$3,"متقدم",IF($K54&lt;=المرجع!$K$2,"أولي","جزئي"))</f>
        <v>جزئي</v>
      </c>
      <c r="M54" s="31" t="n">
        <f aca="false">ROUND((SUMIFS($I$2:$I$121,$A$2:$A$121,$A54,$F$2:$F$121,"DESIGN")*INDEX(المرجع!$K$9:$K$11,MATCH("DESIGN",المرجع!$L$9:$L$11,0))+SUMIFS($I$2:$I$121,$A$2:$A$121,$A54,$F$2:$F$121,"BUILD")*INDEX(المرجع!$K$9:$K$11,MATCH("BUILD",المرجع!$L$9:$L$11,0))+SUMIFS($I$2:$I$121,$A$2:$A$121,$A54,$F$2:$F$121,"OPERATE")*INDEX(المرجع!$K$9:$K$11,MATCH("OPERATE",المرجع!$L$9:$L$11,0)))/100,1)</f>
        <v>91.6</v>
      </c>
      <c r="N54" s="32" t="str">
        <f aca="false">IF($M54&gt;المرجع!$K$3,"متقدم",IF($M54&lt;=المرجع!$K$2,"أولي","جزئي"))</f>
        <v>متقدم</v>
      </c>
    </row>
    <row r="55" customFormat="false" ht="15" hidden="false" customHeight="true" outlineLevel="0" collapsed="false">
      <c r="A55" s="19" t="s">
        <v>190</v>
      </c>
      <c r="B55" s="19" t="str">
        <f aca="false">IFERROR(INDEX('قائمة الوحدات'!$B$2:$B$41,MATCH($A55,'قائمة الوحدات'!$A$2:$A$41,0)),"")</f>
        <v>EXE</v>
      </c>
      <c r="C55" s="18" t="str">
        <f aca="false">IFERROR(INDEX('قائمة الوحدات'!$C$2:$C$41,MATCH($A55,'قائمة الوحدات'!$A$2:$A$41,0)),"")</f>
        <v>الشؤون التنفيذية</v>
      </c>
      <c r="D55" s="18" t="str">
        <f aca="false">IFERROR(INDEX('قائمة الوحدات'!$D$2:$D$41,MATCH($A55,'قائمة الوحدات'!$A$2:$A$41,0)),"")</f>
        <v>وكالة الاتصال المؤسسي</v>
      </c>
      <c r="E55" s="18" t="str">
        <f aca="false">IFERROR(INDEX('قائمة الوحدات'!$F$2:$F$41,MATCH($A55,'قائمة الوحدات'!$A$2:$A$41,0)),"")</f>
        <v>وكالة الاتصال المؤسسي</v>
      </c>
      <c r="F55" s="19" t="s">
        <v>66</v>
      </c>
      <c r="G55" s="18" t="str">
        <f aca="false">IFERROR(INDEX(المرجع!$A$2:$A$19,MATCH($F55,المرجع!$B$2:$B$19,0)),"")</f>
        <v>التشغيل</v>
      </c>
      <c r="H55" s="29" t="n">
        <f aca="false">SUMIFS('تقييم العناصر'!$R$2:$R$721,'تقييم العناصر'!$B$2:$B$721,$A55,'تقييم العناصر'!$G$2:$G$721,$F55)</f>
        <v>46.5</v>
      </c>
      <c r="I55" s="30" t="n">
        <f aca="false">SUMIFS('تقييم العناصر'!$T$2:$T$721,'تقييم العناصر'!$B$2:$B$721,$A55,'تقييم العناصر'!$G$2:$G$721,$F55)</f>
        <v>90.7</v>
      </c>
      <c r="J55" s="27" t="str">
        <f aca="false">IF($H55&gt;المرجع!$K$3,"متقدم",IF($H55&lt;=المرجع!$K$2,"أولي","جزئي"))</f>
        <v>جزئي</v>
      </c>
      <c r="K55" s="31" t="n">
        <f aca="false">ROUND((SUMIFS($H$2:$H$121,$A$2:$A$121,$A55,$F$2:$F$121,"DESIGN")*INDEX(المرجع!$K$9:$K$11,MATCH("DESIGN",المرجع!$L$9:$L$11,0))+SUMIFS($H$2:$H$121,$A$2:$A$121,$A55,$F$2:$F$121,"BUILD")*INDEX(المرجع!$K$9:$K$11,MATCH("BUILD",المرجع!$L$9:$L$11,0))+SUMIFS($H$2:$H$121,$A$2:$A$121,$A55,$F$2:$F$121,"OPERATE")*INDEX(المرجع!$K$9:$K$11,MATCH("OPERATE",المرجع!$L$9:$L$11,0)))/100,1)</f>
        <v>58</v>
      </c>
      <c r="L55" s="32" t="str">
        <f aca="false">IF($K55&gt;المرجع!$K$3,"متقدم",IF($K55&lt;=المرجع!$K$2,"أولي","جزئي"))</f>
        <v>جزئي</v>
      </c>
      <c r="M55" s="31" t="n">
        <f aca="false">ROUND((SUMIFS($I$2:$I$121,$A$2:$A$121,$A55,$F$2:$F$121,"DESIGN")*INDEX(المرجع!$K$9:$K$11,MATCH("DESIGN",المرجع!$L$9:$L$11,0))+SUMIFS($I$2:$I$121,$A$2:$A$121,$A55,$F$2:$F$121,"BUILD")*INDEX(المرجع!$K$9:$K$11,MATCH("BUILD",المرجع!$L$9:$L$11,0))+SUMIFS($I$2:$I$121,$A$2:$A$121,$A55,$F$2:$F$121,"OPERATE")*INDEX(المرجع!$K$9:$K$11,MATCH("OPERATE",المرجع!$L$9:$L$11,0)))/100,1)</f>
        <v>91.6</v>
      </c>
      <c r="N55" s="32" t="str">
        <f aca="false">IF($M55&gt;المرجع!$K$3,"متقدم",IF($M55&lt;=المرجع!$K$2,"أولي","جزئي"))</f>
        <v>متقدم</v>
      </c>
    </row>
    <row r="56" customFormat="false" ht="15" hidden="false" customHeight="true" outlineLevel="0" collapsed="false">
      <c r="A56" s="19" t="s">
        <v>192</v>
      </c>
      <c r="B56" s="19" t="str">
        <f aca="false">IFERROR(INDEX('قائمة الوحدات'!$B$2:$B$41,MATCH($A56,'قائمة الوحدات'!$A$2:$A$41,0)),"")</f>
        <v>EXE</v>
      </c>
      <c r="C56" s="18" t="str">
        <f aca="false">IFERROR(INDEX('قائمة الوحدات'!$C$2:$C$41,MATCH($A56,'قائمة الوحدات'!$A$2:$A$41,0)),"")</f>
        <v>الشؤون التنفيذية</v>
      </c>
      <c r="D56" s="18" t="str">
        <f aca="false">IFERROR(INDEX('قائمة الوحدات'!$D$2:$D$41,MATCH($A56,'قائمة الوحدات'!$A$2:$A$41,0)),"")</f>
        <v>وكالة الرقابة والالتزام</v>
      </c>
      <c r="E56" s="18" t="str">
        <f aca="false">IFERROR(INDEX('قائمة الوحدات'!$F$2:$F$41,MATCH($A56,'قائمة الوحدات'!$A$2:$A$41,0)),"")</f>
        <v>وكالة الرقابة والالتزام</v>
      </c>
      <c r="F56" s="19" t="s">
        <v>44</v>
      </c>
      <c r="G56" s="18" t="str">
        <f aca="false">IFERROR(INDEX(المرجع!$A$2:$A$19,MATCH($F56,المرجع!$B$2:$B$19,0)),"")</f>
        <v>التصميم</v>
      </c>
      <c r="H56" s="29" t="n">
        <f aca="false">SUMIFS('تقييم العناصر'!$R$2:$R$721,'تقييم العناصر'!$B$2:$B$721,$A56,'تقييم العناصر'!$G$2:$G$721,$F56)</f>
        <v>79.25</v>
      </c>
      <c r="I56" s="30" t="n">
        <f aca="false">SUMIFS('تقييم العناصر'!$T$2:$T$721,'تقييم العناصر'!$B$2:$B$721,$A56,'تقييم العناصر'!$G$2:$G$721,$F56)</f>
        <v>90.75</v>
      </c>
      <c r="J56" s="27" t="str">
        <f aca="false">IF($H56&gt;المرجع!$K$3,"متقدم",IF($H56&lt;=المرجع!$K$2,"أولي","جزئي"))</f>
        <v>متقدم</v>
      </c>
      <c r="K56" s="31" t="n">
        <f aca="false">ROUND((SUMIFS($H$2:$H$121,$A$2:$A$121,$A56,$F$2:$F$121,"DESIGN")*INDEX(المرجع!$K$9:$K$11,MATCH("DESIGN",المرجع!$L$9:$L$11,0))+SUMIFS($H$2:$H$121,$A$2:$A$121,$A56,$F$2:$F$121,"BUILD")*INDEX(المرجع!$K$9:$K$11,MATCH("BUILD",المرجع!$L$9:$L$11,0))+SUMIFS($H$2:$H$121,$A$2:$A$121,$A56,$F$2:$F$121,"OPERATE")*INDEX(المرجع!$K$9:$K$11,MATCH("OPERATE",المرجع!$L$9:$L$11,0)))/100,1)</f>
        <v>62.4</v>
      </c>
      <c r="L56" s="32" t="str">
        <f aca="false">IF($K56&gt;المرجع!$K$3,"متقدم",IF($K56&lt;=المرجع!$K$2,"أولي","جزئي"))</f>
        <v>جزئي</v>
      </c>
      <c r="M56" s="31" t="n">
        <f aca="false">ROUND((SUMIFS($I$2:$I$121,$A$2:$A$121,$A56,$F$2:$F$121,"DESIGN")*INDEX(المرجع!$K$9:$K$11,MATCH("DESIGN",المرجع!$L$9:$L$11,0))+SUMIFS($I$2:$I$121,$A$2:$A$121,$A56,$F$2:$F$121,"BUILD")*INDEX(المرجع!$K$9:$K$11,MATCH("BUILD",المرجع!$L$9:$L$11,0))+SUMIFS($I$2:$I$121,$A$2:$A$121,$A56,$F$2:$F$121,"OPERATE")*INDEX(المرجع!$K$9:$K$11,MATCH("OPERATE",المرجع!$L$9:$L$11,0)))/100,1)</f>
        <v>93.6</v>
      </c>
      <c r="N56" s="32" t="str">
        <f aca="false">IF($M56&gt;المرجع!$K$3,"متقدم",IF($M56&lt;=المرجع!$K$2,"أولي","جزئي"))</f>
        <v>متقدم</v>
      </c>
    </row>
    <row r="57" customFormat="false" ht="15" hidden="false" customHeight="true" outlineLevel="0" collapsed="false">
      <c r="A57" s="19" t="s">
        <v>192</v>
      </c>
      <c r="B57" s="19" t="str">
        <f aca="false">IFERROR(INDEX('قائمة الوحدات'!$B$2:$B$41,MATCH($A57,'قائمة الوحدات'!$A$2:$A$41,0)),"")</f>
        <v>EXE</v>
      </c>
      <c r="C57" s="18" t="str">
        <f aca="false">IFERROR(INDEX('قائمة الوحدات'!$C$2:$C$41,MATCH($A57,'قائمة الوحدات'!$A$2:$A$41,0)),"")</f>
        <v>الشؤون التنفيذية</v>
      </c>
      <c r="D57" s="18" t="str">
        <f aca="false">IFERROR(INDEX('قائمة الوحدات'!$D$2:$D$41,MATCH($A57,'قائمة الوحدات'!$A$2:$A$41,0)),"")</f>
        <v>وكالة الرقابة والالتزام</v>
      </c>
      <c r="E57" s="18" t="str">
        <f aca="false">IFERROR(INDEX('قائمة الوحدات'!$F$2:$F$41,MATCH($A57,'قائمة الوحدات'!$A$2:$A$41,0)),"")</f>
        <v>وكالة الرقابة والالتزام</v>
      </c>
      <c r="F57" s="19" t="s">
        <v>62</v>
      </c>
      <c r="G57" s="18" t="str">
        <f aca="false">IFERROR(INDEX(المرجع!$A$2:$A$19,MATCH($F57,المرجع!$B$2:$B$19,0)),"")</f>
        <v>البناء المؤسسي</v>
      </c>
      <c r="H57" s="29" t="n">
        <f aca="false">SUMIFS('تقييم العناصر'!$R$2:$R$721,'تقييم العناصر'!$B$2:$B$721,$A57,'تقييم العناصر'!$G$2:$G$721,$F57)</f>
        <v>76.15</v>
      </c>
      <c r="I57" s="30" t="n">
        <f aca="false">SUMIFS('تقييم العناصر'!$T$2:$T$721,'تقييم العناصر'!$B$2:$B$721,$A57,'تقييم العناصر'!$G$2:$G$721,$F57)</f>
        <v>92.7</v>
      </c>
      <c r="J57" s="27" t="str">
        <f aca="false">IF($H57&gt;المرجع!$K$3,"متقدم",IF($H57&lt;=المرجع!$K$2,"أولي","جزئي"))</f>
        <v>متقدم</v>
      </c>
      <c r="K57" s="31" t="n">
        <f aca="false">ROUND((SUMIFS($H$2:$H$121,$A$2:$A$121,$A57,$F$2:$F$121,"DESIGN")*INDEX(المرجع!$K$9:$K$11,MATCH("DESIGN",المرجع!$L$9:$L$11,0))+SUMIFS($H$2:$H$121,$A$2:$A$121,$A57,$F$2:$F$121,"BUILD")*INDEX(المرجع!$K$9:$K$11,MATCH("BUILD",المرجع!$L$9:$L$11,0))+SUMIFS($H$2:$H$121,$A$2:$A$121,$A57,$F$2:$F$121,"OPERATE")*INDEX(المرجع!$K$9:$K$11,MATCH("OPERATE",المرجع!$L$9:$L$11,0)))/100,1)</f>
        <v>62.4</v>
      </c>
      <c r="L57" s="32" t="str">
        <f aca="false">IF($K57&gt;المرجع!$K$3,"متقدم",IF($K57&lt;=المرجع!$K$2,"أولي","جزئي"))</f>
        <v>جزئي</v>
      </c>
      <c r="M57" s="31" t="n">
        <f aca="false">ROUND((SUMIFS($I$2:$I$121,$A$2:$A$121,$A57,$F$2:$F$121,"DESIGN")*INDEX(المرجع!$K$9:$K$11,MATCH("DESIGN",المرجع!$L$9:$L$11,0))+SUMIFS($I$2:$I$121,$A$2:$A$121,$A57,$F$2:$F$121,"BUILD")*INDEX(المرجع!$K$9:$K$11,MATCH("BUILD",المرجع!$L$9:$L$11,0))+SUMIFS($I$2:$I$121,$A$2:$A$121,$A57,$F$2:$F$121,"OPERATE")*INDEX(المرجع!$K$9:$K$11,MATCH("OPERATE",المرجع!$L$9:$L$11,0)))/100,1)</f>
        <v>93.6</v>
      </c>
      <c r="N57" s="32" t="str">
        <f aca="false">IF($M57&gt;المرجع!$K$3,"متقدم",IF($M57&lt;=المرجع!$K$2,"أولي","جزئي"))</f>
        <v>متقدم</v>
      </c>
    </row>
    <row r="58" customFormat="false" ht="15" hidden="false" customHeight="true" outlineLevel="0" collapsed="false">
      <c r="A58" s="19" t="s">
        <v>192</v>
      </c>
      <c r="B58" s="19" t="str">
        <f aca="false">IFERROR(INDEX('قائمة الوحدات'!$B$2:$B$41,MATCH($A58,'قائمة الوحدات'!$A$2:$A$41,0)),"")</f>
        <v>EXE</v>
      </c>
      <c r="C58" s="18" t="str">
        <f aca="false">IFERROR(INDEX('قائمة الوحدات'!$C$2:$C$41,MATCH($A58,'قائمة الوحدات'!$A$2:$A$41,0)),"")</f>
        <v>الشؤون التنفيذية</v>
      </c>
      <c r="D58" s="18" t="str">
        <f aca="false">IFERROR(INDEX('قائمة الوحدات'!$D$2:$D$41,MATCH($A58,'قائمة الوحدات'!$A$2:$A$41,0)),"")</f>
        <v>وكالة الرقابة والالتزام</v>
      </c>
      <c r="E58" s="18" t="str">
        <f aca="false">IFERROR(INDEX('قائمة الوحدات'!$F$2:$F$41,MATCH($A58,'قائمة الوحدات'!$A$2:$A$41,0)),"")</f>
        <v>وكالة الرقابة والالتزام</v>
      </c>
      <c r="F58" s="19" t="s">
        <v>66</v>
      </c>
      <c r="G58" s="18" t="str">
        <f aca="false">IFERROR(INDEX(المرجع!$A$2:$A$19,MATCH($F58,المرجع!$B$2:$B$19,0)),"")</f>
        <v>التشغيل</v>
      </c>
      <c r="H58" s="29" t="n">
        <f aca="false">SUMIFS('تقييم العناصر'!$R$2:$R$721,'تقييم العناصر'!$B$2:$B$721,$A58,'تقييم العناصر'!$G$2:$G$721,$F58)</f>
        <v>47.35</v>
      </c>
      <c r="I58" s="30" t="n">
        <f aca="false">SUMIFS('تقييم العناصر'!$T$2:$T$721,'تقييم العناصر'!$B$2:$B$721,$A58,'تقييم العناصر'!$G$2:$G$721,$F58)</f>
        <v>95.25</v>
      </c>
      <c r="J58" s="27" t="str">
        <f aca="false">IF($H58&gt;المرجع!$K$3,"متقدم",IF($H58&lt;=المرجع!$K$2,"أولي","جزئي"))</f>
        <v>جزئي</v>
      </c>
      <c r="K58" s="31" t="n">
        <f aca="false">ROUND((SUMIFS($H$2:$H$121,$A$2:$A$121,$A58,$F$2:$F$121,"DESIGN")*INDEX(المرجع!$K$9:$K$11,MATCH("DESIGN",المرجع!$L$9:$L$11,0))+SUMIFS($H$2:$H$121,$A$2:$A$121,$A58,$F$2:$F$121,"BUILD")*INDEX(المرجع!$K$9:$K$11,MATCH("BUILD",المرجع!$L$9:$L$11,0))+SUMIFS($H$2:$H$121,$A$2:$A$121,$A58,$F$2:$F$121,"OPERATE")*INDEX(المرجع!$K$9:$K$11,MATCH("OPERATE",المرجع!$L$9:$L$11,0)))/100,1)</f>
        <v>62.4</v>
      </c>
      <c r="L58" s="32" t="str">
        <f aca="false">IF($K58&gt;المرجع!$K$3,"متقدم",IF($K58&lt;=المرجع!$K$2,"أولي","جزئي"))</f>
        <v>جزئي</v>
      </c>
      <c r="M58" s="31" t="n">
        <f aca="false">ROUND((SUMIFS($I$2:$I$121,$A$2:$A$121,$A58,$F$2:$F$121,"DESIGN")*INDEX(المرجع!$K$9:$K$11,MATCH("DESIGN",المرجع!$L$9:$L$11,0))+SUMIFS($I$2:$I$121,$A$2:$A$121,$A58,$F$2:$F$121,"BUILD")*INDEX(المرجع!$K$9:$K$11,MATCH("BUILD",المرجع!$L$9:$L$11,0))+SUMIFS($I$2:$I$121,$A$2:$A$121,$A58,$F$2:$F$121,"OPERATE")*INDEX(المرجع!$K$9:$K$11,MATCH("OPERATE",المرجع!$L$9:$L$11,0)))/100,1)</f>
        <v>93.6</v>
      </c>
      <c r="N58" s="32" t="str">
        <f aca="false">IF($M58&gt;المرجع!$K$3,"متقدم",IF($M58&lt;=المرجع!$K$2,"أولي","جزئي"))</f>
        <v>متقدم</v>
      </c>
    </row>
    <row r="59" customFormat="false" ht="15" hidden="false" customHeight="true" outlineLevel="0" collapsed="false">
      <c r="A59" s="19" t="s">
        <v>194</v>
      </c>
      <c r="B59" s="19" t="str">
        <f aca="false">IFERROR(INDEX('قائمة الوحدات'!$B$2:$B$41,MATCH($A59,'قائمة الوحدات'!$A$2:$A$41,0)),"")</f>
        <v>MIL</v>
      </c>
      <c r="C59" s="18" t="str">
        <f aca="false">IFERROR(INDEX('قائمة الوحدات'!$C$2:$C$41,MATCH($A59,'قائمة الوحدات'!$A$2:$A$41,0)),"")</f>
        <v>الجهاز العسكري</v>
      </c>
      <c r="D59" s="18" t="str">
        <f aca="false">IFERROR(INDEX('قائمة الوحدات'!$D$2:$D$41,MATCH($A59,'قائمة الوحدات'!$A$2:$A$41,0)),"")</f>
        <v>هيئة الأركان</v>
      </c>
      <c r="E59" s="18" t="str">
        <f aca="false">IFERROR(INDEX('قائمة الوحدات'!$F$2:$F$41,MATCH($A59,'قائمة الوحدات'!$A$2:$A$41,0)),"")</f>
        <v>هيئة الأركان</v>
      </c>
      <c r="F59" s="19" t="s">
        <v>44</v>
      </c>
      <c r="G59" s="18" t="str">
        <f aca="false">IFERROR(INDEX(المرجع!$A$2:$A$19,MATCH($F59,المرجع!$B$2:$B$19,0)),"")</f>
        <v>التصميم</v>
      </c>
      <c r="H59" s="29" t="n">
        <f aca="false">SUMIFS('تقييم العناصر'!$R$2:$R$721,'تقييم العناصر'!$B$2:$B$721,$A59,'تقييم العناصر'!$G$2:$G$721,$F59)</f>
        <v>72.25</v>
      </c>
      <c r="I59" s="30" t="n">
        <f aca="false">SUMIFS('تقييم العناصر'!$T$2:$T$721,'تقييم العناصر'!$B$2:$B$721,$A59,'تقييم العناصر'!$G$2:$G$721,$F59)</f>
        <v>82.75</v>
      </c>
      <c r="J59" s="27" t="str">
        <f aca="false">IF($H59&gt;المرجع!$K$3,"متقدم",IF($H59&lt;=المرجع!$K$2,"أولي","جزئي"))</f>
        <v>متقدم</v>
      </c>
      <c r="K59" s="31" t="n">
        <f aca="false">ROUND((SUMIFS($H$2:$H$121,$A$2:$A$121,$A59,$F$2:$F$121,"DESIGN")*INDEX(المرجع!$K$9:$K$11,MATCH("DESIGN",المرجع!$L$9:$L$11,0))+SUMIFS($H$2:$H$121,$A$2:$A$121,$A59,$F$2:$F$121,"BUILD")*INDEX(المرجع!$K$9:$K$11,MATCH("BUILD",المرجع!$L$9:$L$11,0))+SUMIFS($H$2:$H$121,$A$2:$A$121,$A59,$F$2:$F$121,"OPERATE")*INDEX(المرجع!$K$9:$K$11,MATCH("OPERATE",المرجع!$L$9:$L$11,0)))/100,1)</f>
        <v>52.8</v>
      </c>
      <c r="L59" s="32" t="str">
        <f aca="false">IF($K59&gt;المرجع!$K$3,"متقدم",IF($K59&lt;=المرجع!$K$2,"أولي","جزئي"))</f>
        <v>جزئي</v>
      </c>
      <c r="M59" s="31" t="n">
        <f aca="false">ROUND((SUMIFS($I$2:$I$121,$A$2:$A$121,$A59,$F$2:$F$121,"DESIGN")*INDEX(المرجع!$K$9:$K$11,MATCH("DESIGN",المرجع!$L$9:$L$11,0))+SUMIFS($I$2:$I$121,$A$2:$A$121,$A59,$F$2:$F$121,"BUILD")*INDEX(المرجع!$K$9:$K$11,MATCH("BUILD",المرجع!$L$9:$L$11,0))+SUMIFS($I$2:$I$121,$A$2:$A$121,$A59,$F$2:$F$121,"OPERATE")*INDEX(المرجع!$K$9:$K$11,MATCH("OPERATE",المرجع!$L$9:$L$11,0)))/100,1)</f>
        <v>90.5</v>
      </c>
      <c r="N59" s="32" t="str">
        <f aca="false">IF($M59&gt;المرجع!$K$3,"متقدم",IF($M59&lt;=المرجع!$K$2,"أولي","جزئي"))</f>
        <v>متقدم</v>
      </c>
    </row>
    <row r="60" customFormat="false" ht="15" hidden="false" customHeight="true" outlineLevel="0" collapsed="false">
      <c r="A60" s="19" t="s">
        <v>194</v>
      </c>
      <c r="B60" s="19" t="str">
        <f aca="false">IFERROR(INDEX('قائمة الوحدات'!$B$2:$B$41,MATCH($A60,'قائمة الوحدات'!$A$2:$A$41,0)),"")</f>
        <v>MIL</v>
      </c>
      <c r="C60" s="18" t="str">
        <f aca="false">IFERROR(INDEX('قائمة الوحدات'!$C$2:$C$41,MATCH($A60,'قائمة الوحدات'!$A$2:$A$41,0)),"")</f>
        <v>الجهاز العسكري</v>
      </c>
      <c r="D60" s="18" t="str">
        <f aca="false">IFERROR(INDEX('قائمة الوحدات'!$D$2:$D$41,MATCH($A60,'قائمة الوحدات'!$A$2:$A$41,0)),"")</f>
        <v>هيئة الأركان</v>
      </c>
      <c r="E60" s="18" t="str">
        <f aca="false">IFERROR(INDEX('قائمة الوحدات'!$F$2:$F$41,MATCH($A60,'قائمة الوحدات'!$A$2:$A$41,0)),"")</f>
        <v>هيئة الأركان</v>
      </c>
      <c r="F60" s="19" t="s">
        <v>62</v>
      </c>
      <c r="G60" s="18" t="str">
        <f aca="false">IFERROR(INDEX(المرجع!$A$2:$A$19,MATCH($F60,المرجع!$B$2:$B$19,0)),"")</f>
        <v>البناء المؤسسي</v>
      </c>
      <c r="H60" s="29" t="n">
        <f aca="false">SUMIFS('تقييم العناصر'!$R$2:$R$721,'تقييم العناصر'!$B$2:$B$721,$A60,'تقييم العناصر'!$G$2:$G$721,$F60)</f>
        <v>61.6</v>
      </c>
      <c r="I60" s="30" t="n">
        <f aca="false">SUMIFS('تقييم العناصر'!$T$2:$T$721,'تقييم العناصر'!$B$2:$B$721,$A60,'تقييم العناصر'!$G$2:$G$721,$F60)</f>
        <v>92.9</v>
      </c>
      <c r="J60" s="27" t="str">
        <f aca="false">IF($H60&gt;المرجع!$K$3,"متقدم",IF($H60&lt;=المرجع!$K$2,"أولي","جزئي"))</f>
        <v>جزئي</v>
      </c>
      <c r="K60" s="31" t="n">
        <f aca="false">ROUND((SUMIFS($H$2:$H$121,$A$2:$A$121,$A60,$F$2:$F$121,"DESIGN")*INDEX(المرجع!$K$9:$K$11,MATCH("DESIGN",المرجع!$L$9:$L$11,0))+SUMIFS($H$2:$H$121,$A$2:$A$121,$A60,$F$2:$F$121,"BUILD")*INDEX(المرجع!$K$9:$K$11,MATCH("BUILD",المرجع!$L$9:$L$11,0))+SUMIFS($H$2:$H$121,$A$2:$A$121,$A60,$F$2:$F$121,"OPERATE")*INDEX(المرجع!$K$9:$K$11,MATCH("OPERATE",المرجع!$L$9:$L$11,0)))/100,1)</f>
        <v>52.8</v>
      </c>
      <c r="L60" s="32" t="str">
        <f aca="false">IF($K60&gt;المرجع!$K$3,"متقدم",IF($K60&lt;=المرجع!$K$2,"أولي","جزئي"))</f>
        <v>جزئي</v>
      </c>
      <c r="M60" s="31" t="n">
        <f aca="false">ROUND((SUMIFS($I$2:$I$121,$A$2:$A$121,$A60,$F$2:$F$121,"DESIGN")*INDEX(المرجع!$K$9:$K$11,MATCH("DESIGN",المرجع!$L$9:$L$11,0))+SUMIFS($I$2:$I$121,$A$2:$A$121,$A60,$F$2:$F$121,"BUILD")*INDEX(المرجع!$K$9:$K$11,MATCH("BUILD",المرجع!$L$9:$L$11,0))+SUMIFS($I$2:$I$121,$A$2:$A$121,$A60,$F$2:$F$121,"OPERATE")*INDEX(المرجع!$K$9:$K$11,MATCH("OPERATE",المرجع!$L$9:$L$11,0)))/100,1)</f>
        <v>90.5</v>
      </c>
      <c r="N60" s="32" t="str">
        <f aca="false">IF($M60&gt;المرجع!$K$3,"متقدم",IF($M60&lt;=المرجع!$K$2,"أولي","جزئي"))</f>
        <v>متقدم</v>
      </c>
    </row>
    <row r="61" customFormat="false" ht="15" hidden="false" customHeight="true" outlineLevel="0" collapsed="false">
      <c r="A61" s="19" t="s">
        <v>194</v>
      </c>
      <c r="B61" s="19" t="str">
        <f aca="false">IFERROR(INDEX('قائمة الوحدات'!$B$2:$B$41,MATCH($A61,'قائمة الوحدات'!$A$2:$A$41,0)),"")</f>
        <v>MIL</v>
      </c>
      <c r="C61" s="18" t="str">
        <f aca="false">IFERROR(INDEX('قائمة الوحدات'!$C$2:$C$41,MATCH($A61,'قائمة الوحدات'!$A$2:$A$41,0)),"")</f>
        <v>الجهاز العسكري</v>
      </c>
      <c r="D61" s="18" t="str">
        <f aca="false">IFERROR(INDEX('قائمة الوحدات'!$D$2:$D$41,MATCH($A61,'قائمة الوحدات'!$A$2:$A$41,0)),"")</f>
        <v>هيئة الأركان</v>
      </c>
      <c r="E61" s="18" t="str">
        <f aca="false">IFERROR(INDEX('قائمة الوحدات'!$F$2:$F$41,MATCH($A61,'قائمة الوحدات'!$A$2:$A$41,0)),"")</f>
        <v>هيئة الأركان</v>
      </c>
      <c r="F61" s="19" t="s">
        <v>66</v>
      </c>
      <c r="G61" s="18" t="str">
        <f aca="false">IFERROR(INDEX(المرجع!$A$2:$A$19,MATCH($F61,المرجع!$B$2:$B$19,0)),"")</f>
        <v>التشغيل</v>
      </c>
      <c r="H61" s="29" t="n">
        <f aca="false">SUMIFS('تقييم العناصر'!$R$2:$R$721,'تقييم العناصر'!$B$2:$B$721,$A61,'تقييم العناصر'!$G$2:$G$721,$F61)</f>
        <v>39.7</v>
      </c>
      <c r="I61" s="30" t="n">
        <f aca="false">SUMIFS('تقييم العناصر'!$T$2:$T$721,'تقييم العناصر'!$B$2:$B$721,$A61,'تقييم العناصر'!$G$2:$G$721,$F61)</f>
        <v>92.2</v>
      </c>
      <c r="J61" s="27" t="str">
        <f aca="false">IF($H61&gt;المرجع!$K$3,"متقدم",IF($H61&lt;=المرجع!$K$2,"أولي","جزئي"))</f>
        <v>جزئي</v>
      </c>
      <c r="K61" s="31" t="n">
        <f aca="false">ROUND((SUMIFS($H$2:$H$121,$A$2:$A$121,$A61,$F$2:$F$121,"DESIGN")*INDEX(المرجع!$K$9:$K$11,MATCH("DESIGN",المرجع!$L$9:$L$11,0))+SUMIFS($H$2:$H$121,$A$2:$A$121,$A61,$F$2:$F$121,"BUILD")*INDEX(المرجع!$K$9:$K$11,MATCH("BUILD",المرجع!$L$9:$L$11,0))+SUMIFS($H$2:$H$121,$A$2:$A$121,$A61,$F$2:$F$121,"OPERATE")*INDEX(المرجع!$K$9:$K$11,MATCH("OPERATE",المرجع!$L$9:$L$11,0)))/100,1)</f>
        <v>52.8</v>
      </c>
      <c r="L61" s="32" t="str">
        <f aca="false">IF($K61&gt;المرجع!$K$3,"متقدم",IF($K61&lt;=المرجع!$K$2,"أولي","جزئي"))</f>
        <v>جزئي</v>
      </c>
      <c r="M61" s="31" t="n">
        <f aca="false">ROUND((SUMIFS($I$2:$I$121,$A$2:$A$121,$A61,$F$2:$F$121,"DESIGN")*INDEX(المرجع!$K$9:$K$11,MATCH("DESIGN",المرجع!$L$9:$L$11,0))+SUMIFS($I$2:$I$121,$A$2:$A$121,$A61,$F$2:$F$121,"BUILD")*INDEX(المرجع!$K$9:$K$11,MATCH("BUILD",المرجع!$L$9:$L$11,0))+SUMIFS($I$2:$I$121,$A$2:$A$121,$A61,$F$2:$F$121,"OPERATE")*INDEX(المرجع!$K$9:$K$11,MATCH("OPERATE",المرجع!$L$9:$L$11,0)))/100,1)</f>
        <v>90.5</v>
      </c>
      <c r="N61" s="32" t="str">
        <f aca="false">IF($M61&gt;المرجع!$K$3,"متقدم",IF($M61&lt;=المرجع!$K$2,"أولي","جزئي"))</f>
        <v>متقدم</v>
      </c>
    </row>
    <row r="62" customFormat="false" ht="15" hidden="false" customHeight="true" outlineLevel="0" collapsed="false">
      <c r="A62" s="19" t="s">
        <v>198</v>
      </c>
      <c r="B62" s="19" t="str">
        <f aca="false">IFERROR(INDEX('قائمة الوحدات'!$B$2:$B$41,MATCH($A62,'قائمة الوحدات'!$A$2:$A$41,0)),"")</f>
        <v>MIL</v>
      </c>
      <c r="C62" s="18" t="str">
        <f aca="false">IFERROR(INDEX('قائمة الوحدات'!$C$2:$C$41,MATCH($A62,'قائمة الوحدات'!$A$2:$A$41,0)),"")</f>
        <v>الجهاز العسكري</v>
      </c>
      <c r="D62" s="18" t="str">
        <f aca="false">IFERROR(INDEX('قائمة الوحدات'!$D$2:$D$41,MATCH($A62,'قائمة الوحدات'!$A$2:$A$41,0)),"")</f>
        <v>قيادة القوات البرية</v>
      </c>
      <c r="E62" s="18" t="str">
        <f aca="false">IFERROR(INDEX('قائمة الوحدات'!$F$2:$F$41,MATCH($A62,'قائمة الوحدات'!$A$2:$A$41,0)),"")</f>
        <v>قيادة القوات البرية</v>
      </c>
      <c r="F62" s="19" t="s">
        <v>44</v>
      </c>
      <c r="G62" s="18" t="str">
        <f aca="false">IFERROR(INDEX(المرجع!$A$2:$A$19,MATCH($F62,المرجع!$B$2:$B$19,0)),"")</f>
        <v>التصميم</v>
      </c>
      <c r="H62" s="29" t="n">
        <f aca="false">SUMIFS('تقييم العناصر'!$R$2:$R$721,'تقييم العناصر'!$B$2:$B$721,$A62,'تقييم العناصر'!$G$2:$G$721,$F62)</f>
        <v>74.1</v>
      </c>
      <c r="I62" s="30" t="n">
        <f aca="false">SUMIFS('تقييم العناصر'!$T$2:$T$721,'تقييم العناصر'!$B$2:$B$721,$A62,'تقييم العناصر'!$G$2:$G$721,$F62)</f>
        <v>87.25</v>
      </c>
      <c r="J62" s="27" t="str">
        <f aca="false">IF($H62&gt;المرجع!$K$3,"متقدم",IF($H62&lt;=المرجع!$K$2,"أولي","جزئي"))</f>
        <v>متقدم</v>
      </c>
      <c r="K62" s="31" t="n">
        <f aca="false">ROUND((SUMIFS($H$2:$H$121,$A$2:$A$121,$A62,$F$2:$F$121,"DESIGN")*INDEX(المرجع!$K$9:$K$11,MATCH("DESIGN",المرجع!$L$9:$L$11,0))+SUMIFS($H$2:$H$121,$A$2:$A$121,$A62,$F$2:$F$121,"BUILD")*INDEX(المرجع!$K$9:$K$11,MATCH("BUILD",المرجع!$L$9:$L$11,0))+SUMIFS($H$2:$H$121,$A$2:$A$121,$A62,$F$2:$F$121,"OPERATE")*INDEX(المرجع!$K$9:$K$11,MATCH("OPERATE",المرجع!$L$9:$L$11,0)))/100,1)</f>
        <v>54.2</v>
      </c>
      <c r="L62" s="32" t="str">
        <f aca="false">IF($K62&gt;المرجع!$K$3,"متقدم",IF($K62&lt;=المرجع!$K$2,"أولي","جزئي"))</f>
        <v>جزئي</v>
      </c>
      <c r="M62" s="31" t="n">
        <f aca="false">ROUND((SUMIFS($I$2:$I$121,$A$2:$A$121,$A62,$F$2:$F$121,"DESIGN")*INDEX(المرجع!$K$9:$K$11,MATCH("DESIGN",المرجع!$L$9:$L$11,0))+SUMIFS($I$2:$I$121,$A$2:$A$121,$A62,$F$2:$F$121,"BUILD")*INDEX(المرجع!$K$9:$K$11,MATCH("BUILD",المرجع!$L$9:$L$11,0))+SUMIFS($I$2:$I$121,$A$2:$A$121,$A62,$F$2:$F$121,"OPERATE")*INDEX(المرجع!$K$9:$K$11,MATCH("OPERATE",المرجع!$L$9:$L$11,0)))/100,1)</f>
        <v>90.5</v>
      </c>
      <c r="N62" s="32" t="str">
        <f aca="false">IF($M62&gt;المرجع!$K$3,"متقدم",IF($M62&lt;=المرجع!$K$2,"أولي","جزئي"))</f>
        <v>متقدم</v>
      </c>
    </row>
    <row r="63" customFormat="false" ht="15" hidden="false" customHeight="true" outlineLevel="0" collapsed="false">
      <c r="A63" s="19" t="s">
        <v>198</v>
      </c>
      <c r="B63" s="19" t="str">
        <f aca="false">IFERROR(INDEX('قائمة الوحدات'!$B$2:$B$41,MATCH($A63,'قائمة الوحدات'!$A$2:$A$41,0)),"")</f>
        <v>MIL</v>
      </c>
      <c r="C63" s="18" t="str">
        <f aca="false">IFERROR(INDEX('قائمة الوحدات'!$C$2:$C$41,MATCH($A63,'قائمة الوحدات'!$A$2:$A$41,0)),"")</f>
        <v>الجهاز العسكري</v>
      </c>
      <c r="D63" s="18" t="str">
        <f aca="false">IFERROR(INDEX('قائمة الوحدات'!$D$2:$D$41,MATCH($A63,'قائمة الوحدات'!$A$2:$A$41,0)),"")</f>
        <v>قيادة القوات البرية</v>
      </c>
      <c r="E63" s="18" t="str">
        <f aca="false">IFERROR(INDEX('قائمة الوحدات'!$F$2:$F$41,MATCH($A63,'قائمة الوحدات'!$A$2:$A$41,0)),"")</f>
        <v>قيادة القوات البرية</v>
      </c>
      <c r="F63" s="19" t="s">
        <v>62</v>
      </c>
      <c r="G63" s="18" t="str">
        <f aca="false">IFERROR(INDEX(المرجع!$A$2:$A$19,MATCH($F63,المرجع!$B$2:$B$19,0)),"")</f>
        <v>البناء المؤسسي</v>
      </c>
      <c r="H63" s="29" t="n">
        <f aca="false">SUMIFS('تقييم العناصر'!$R$2:$R$721,'تقييم العناصر'!$B$2:$B$721,$A63,'تقييم العناصر'!$G$2:$G$721,$F63)</f>
        <v>57.3</v>
      </c>
      <c r="I63" s="30" t="n">
        <f aca="false">SUMIFS('تقييم العناصر'!$T$2:$T$721,'تقييم العناصر'!$B$2:$B$721,$A63,'تقييم العناصر'!$G$2:$G$721,$F63)</f>
        <v>88.75</v>
      </c>
      <c r="J63" s="27" t="str">
        <f aca="false">IF($H63&gt;المرجع!$K$3,"متقدم",IF($H63&lt;=المرجع!$K$2,"أولي","جزئي"))</f>
        <v>جزئي</v>
      </c>
      <c r="K63" s="31" t="n">
        <f aca="false">ROUND((SUMIFS($H$2:$H$121,$A$2:$A$121,$A63,$F$2:$F$121,"DESIGN")*INDEX(المرجع!$K$9:$K$11,MATCH("DESIGN",المرجع!$L$9:$L$11,0))+SUMIFS($H$2:$H$121,$A$2:$A$121,$A63,$F$2:$F$121,"BUILD")*INDEX(المرجع!$K$9:$K$11,MATCH("BUILD",المرجع!$L$9:$L$11,0))+SUMIFS($H$2:$H$121,$A$2:$A$121,$A63,$F$2:$F$121,"OPERATE")*INDEX(المرجع!$K$9:$K$11,MATCH("OPERATE",المرجع!$L$9:$L$11,0)))/100,1)</f>
        <v>54.2</v>
      </c>
      <c r="L63" s="32" t="str">
        <f aca="false">IF($K63&gt;المرجع!$K$3,"متقدم",IF($K63&lt;=المرجع!$K$2,"أولي","جزئي"))</f>
        <v>جزئي</v>
      </c>
      <c r="M63" s="31" t="n">
        <f aca="false">ROUND((SUMIFS($I$2:$I$121,$A$2:$A$121,$A63,$F$2:$F$121,"DESIGN")*INDEX(المرجع!$K$9:$K$11,MATCH("DESIGN",المرجع!$L$9:$L$11,0))+SUMIFS($I$2:$I$121,$A$2:$A$121,$A63,$F$2:$F$121,"BUILD")*INDEX(المرجع!$K$9:$K$11,MATCH("BUILD",المرجع!$L$9:$L$11,0))+SUMIFS($I$2:$I$121,$A$2:$A$121,$A63,$F$2:$F$121,"OPERATE")*INDEX(المرجع!$K$9:$K$11,MATCH("OPERATE",المرجع!$L$9:$L$11,0)))/100,1)</f>
        <v>90.5</v>
      </c>
      <c r="N63" s="32" t="str">
        <f aca="false">IF($M63&gt;المرجع!$K$3,"متقدم",IF($M63&lt;=المرجع!$K$2,"أولي","جزئي"))</f>
        <v>متقدم</v>
      </c>
    </row>
    <row r="64" customFormat="false" ht="15" hidden="false" customHeight="true" outlineLevel="0" collapsed="false">
      <c r="A64" s="19" t="s">
        <v>198</v>
      </c>
      <c r="B64" s="19" t="str">
        <f aca="false">IFERROR(INDEX('قائمة الوحدات'!$B$2:$B$41,MATCH($A64,'قائمة الوحدات'!$A$2:$A$41,0)),"")</f>
        <v>MIL</v>
      </c>
      <c r="C64" s="18" t="str">
        <f aca="false">IFERROR(INDEX('قائمة الوحدات'!$C$2:$C$41,MATCH($A64,'قائمة الوحدات'!$A$2:$A$41,0)),"")</f>
        <v>الجهاز العسكري</v>
      </c>
      <c r="D64" s="18" t="str">
        <f aca="false">IFERROR(INDEX('قائمة الوحدات'!$D$2:$D$41,MATCH($A64,'قائمة الوحدات'!$A$2:$A$41,0)),"")</f>
        <v>قيادة القوات البرية</v>
      </c>
      <c r="E64" s="18" t="str">
        <f aca="false">IFERROR(INDEX('قائمة الوحدات'!$F$2:$F$41,MATCH($A64,'قائمة الوحدات'!$A$2:$A$41,0)),"")</f>
        <v>قيادة القوات البرية</v>
      </c>
      <c r="F64" s="19" t="s">
        <v>66</v>
      </c>
      <c r="G64" s="18" t="str">
        <f aca="false">IFERROR(INDEX(المرجع!$A$2:$A$19,MATCH($F64,المرجع!$B$2:$B$19,0)),"")</f>
        <v>التشغيل</v>
      </c>
      <c r="H64" s="29" t="n">
        <f aca="false">SUMIFS('تقييم العناصر'!$R$2:$R$721,'تقييم العناصر'!$B$2:$B$721,$A64,'تقييم العناصر'!$G$2:$G$721,$F64)</f>
        <v>44.3</v>
      </c>
      <c r="I64" s="30" t="n">
        <f aca="false">SUMIFS('تقييم العناصر'!$T$2:$T$721,'تقييم العناصر'!$B$2:$B$721,$A64,'تقييم العناصر'!$G$2:$G$721,$F64)</f>
        <v>92.75</v>
      </c>
      <c r="J64" s="27" t="str">
        <f aca="false">IF($H64&gt;المرجع!$K$3,"متقدم",IF($H64&lt;=المرجع!$K$2,"أولي","جزئي"))</f>
        <v>جزئي</v>
      </c>
      <c r="K64" s="31" t="n">
        <f aca="false">ROUND((SUMIFS($H$2:$H$121,$A$2:$A$121,$A64,$F$2:$F$121,"DESIGN")*INDEX(المرجع!$K$9:$K$11,MATCH("DESIGN",المرجع!$L$9:$L$11,0))+SUMIFS($H$2:$H$121,$A$2:$A$121,$A64,$F$2:$F$121,"BUILD")*INDEX(المرجع!$K$9:$K$11,MATCH("BUILD",المرجع!$L$9:$L$11,0))+SUMIFS($H$2:$H$121,$A$2:$A$121,$A64,$F$2:$F$121,"OPERATE")*INDEX(المرجع!$K$9:$K$11,MATCH("OPERATE",المرجع!$L$9:$L$11,0)))/100,1)</f>
        <v>54.2</v>
      </c>
      <c r="L64" s="32" t="str">
        <f aca="false">IF($K64&gt;المرجع!$K$3,"متقدم",IF($K64&lt;=المرجع!$K$2,"أولي","جزئي"))</f>
        <v>جزئي</v>
      </c>
      <c r="M64" s="31" t="n">
        <f aca="false">ROUND((SUMIFS($I$2:$I$121,$A$2:$A$121,$A64,$F$2:$F$121,"DESIGN")*INDEX(المرجع!$K$9:$K$11,MATCH("DESIGN",المرجع!$L$9:$L$11,0))+SUMIFS($I$2:$I$121,$A$2:$A$121,$A64,$F$2:$F$121,"BUILD")*INDEX(المرجع!$K$9:$K$11,MATCH("BUILD",المرجع!$L$9:$L$11,0))+SUMIFS($I$2:$I$121,$A$2:$A$121,$A64,$F$2:$F$121,"OPERATE")*INDEX(المرجع!$K$9:$K$11,MATCH("OPERATE",المرجع!$L$9:$L$11,0)))/100,1)</f>
        <v>90.5</v>
      </c>
      <c r="N64" s="32" t="str">
        <f aca="false">IF($M64&gt;المرجع!$K$3,"متقدم",IF($M64&lt;=المرجع!$K$2,"أولي","جزئي"))</f>
        <v>متقدم</v>
      </c>
    </row>
    <row r="65" customFormat="false" ht="15" hidden="false" customHeight="true" outlineLevel="0" collapsed="false">
      <c r="A65" s="19" t="s">
        <v>200</v>
      </c>
      <c r="B65" s="19" t="str">
        <f aca="false">IFERROR(INDEX('قائمة الوحدات'!$B$2:$B$41,MATCH($A65,'قائمة الوحدات'!$A$2:$A$41,0)),"")</f>
        <v>MIL</v>
      </c>
      <c r="C65" s="18" t="str">
        <f aca="false">IFERROR(INDEX('قائمة الوحدات'!$C$2:$C$41,MATCH($A65,'قائمة الوحدات'!$A$2:$A$41,0)),"")</f>
        <v>الجهاز العسكري</v>
      </c>
      <c r="D65" s="18" t="str">
        <f aca="false">IFERROR(INDEX('قائمة الوحدات'!$D$2:$D$41,MATCH($A65,'قائمة الوحدات'!$A$2:$A$41,0)),"")</f>
        <v>قيادة القوات الجوية</v>
      </c>
      <c r="E65" s="18" t="str">
        <f aca="false">IFERROR(INDEX('قائمة الوحدات'!$F$2:$F$41,MATCH($A65,'قائمة الوحدات'!$A$2:$A$41,0)),"")</f>
        <v>قيادة القوات الجوية</v>
      </c>
      <c r="F65" s="19" t="s">
        <v>44</v>
      </c>
      <c r="G65" s="18" t="str">
        <f aca="false">IFERROR(INDEX(المرجع!$A$2:$A$19,MATCH($F65,المرجع!$B$2:$B$19,0)),"")</f>
        <v>التصميم</v>
      </c>
      <c r="H65" s="29" t="n">
        <f aca="false">SUMIFS('تقييم العناصر'!$R$2:$R$721,'تقييم العناصر'!$B$2:$B$721,$A65,'تقييم العناصر'!$G$2:$G$721,$F65)</f>
        <v>81.15</v>
      </c>
      <c r="I65" s="30" t="n">
        <f aca="false">SUMIFS('تقييم العناصر'!$T$2:$T$721,'تقييم العناصر'!$B$2:$B$721,$A65,'تقييم العناصر'!$G$2:$G$721,$F65)</f>
        <v>90.1</v>
      </c>
      <c r="J65" s="27" t="str">
        <f aca="false">IF($H65&gt;المرجع!$K$3,"متقدم",IF($H65&lt;=المرجع!$K$2,"أولي","جزئي"))</f>
        <v>متقدم</v>
      </c>
      <c r="K65" s="31" t="n">
        <f aca="false">ROUND((SUMIFS($H$2:$H$121,$A$2:$A$121,$A65,$F$2:$F$121,"DESIGN")*INDEX(المرجع!$K$9:$K$11,MATCH("DESIGN",المرجع!$L$9:$L$11,0))+SUMIFS($H$2:$H$121,$A$2:$A$121,$A65,$F$2:$F$121,"BUILD")*INDEX(المرجع!$K$9:$K$11,MATCH("BUILD",المرجع!$L$9:$L$11,0))+SUMIFS($H$2:$H$121,$A$2:$A$121,$A65,$F$2:$F$121,"OPERATE")*INDEX(المرجع!$K$9:$K$11,MATCH("OPERATE",المرجع!$L$9:$L$11,0)))/100,1)</f>
        <v>60.9</v>
      </c>
      <c r="L65" s="32" t="str">
        <f aca="false">IF($K65&gt;المرجع!$K$3,"متقدم",IF($K65&lt;=المرجع!$K$2,"أولي","جزئي"))</f>
        <v>جزئي</v>
      </c>
      <c r="M65" s="31" t="n">
        <f aca="false">ROUND((SUMIFS($I$2:$I$121,$A$2:$A$121,$A65,$F$2:$F$121,"DESIGN")*INDEX(المرجع!$K$9:$K$11,MATCH("DESIGN",المرجع!$L$9:$L$11,0))+SUMIFS($I$2:$I$121,$A$2:$A$121,$A65,$F$2:$F$121,"BUILD")*INDEX(المرجع!$K$9:$K$11,MATCH("BUILD",المرجع!$L$9:$L$11,0))+SUMIFS($I$2:$I$121,$A$2:$A$121,$A65,$F$2:$F$121,"OPERATE")*INDEX(المرجع!$K$9:$K$11,MATCH("OPERATE",المرجع!$L$9:$L$11,0)))/100,1)</f>
        <v>92.4</v>
      </c>
      <c r="N65" s="32" t="str">
        <f aca="false">IF($M65&gt;المرجع!$K$3,"متقدم",IF($M65&lt;=المرجع!$K$2,"أولي","جزئي"))</f>
        <v>متقدم</v>
      </c>
    </row>
    <row r="66" customFormat="false" ht="15" hidden="false" customHeight="true" outlineLevel="0" collapsed="false">
      <c r="A66" s="19" t="s">
        <v>200</v>
      </c>
      <c r="B66" s="19" t="str">
        <f aca="false">IFERROR(INDEX('قائمة الوحدات'!$B$2:$B$41,MATCH($A66,'قائمة الوحدات'!$A$2:$A$41,0)),"")</f>
        <v>MIL</v>
      </c>
      <c r="C66" s="18" t="str">
        <f aca="false">IFERROR(INDEX('قائمة الوحدات'!$C$2:$C$41,MATCH($A66,'قائمة الوحدات'!$A$2:$A$41,0)),"")</f>
        <v>الجهاز العسكري</v>
      </c>
      <c r="D66" s="18" t="str">
        <f aca="false">IFERROR(INDEX('قائمة الوحدات'!$D$2:$D$41,MATCH($A66,'قائمة الوحدات'!$A$2:$A$41,0)),"")</f>
        <v>قيادة القوات الجوية</v>
      </c>
      <c r="E66" s="18" t="str">
        <f aca="false">IFERROR(INDEX('قائمة الوحدات'!$F$2:$F$41,MATCH($A66,'قائمة الوحدات'!$A$2:$A$41,0)),"")</f>
        <v>قيادة القوات الجوية</v>
      </c>
      <c r="F66" s="19" t="s">
        <v>62</v>
      </c>
      <c r="G66" s="18" t="str">
        <f aca="false">IFERROR(INDEX(المرجع!$A$2:$A$19,MATCH($F66,المرجع!$B$2:$B$19,0)),"")</f>
        <v>البناء المؤسسي</v>
      </c>
      <c r="H66" s="29" t="n">
        <f aca="false">SUMIFS('تقييم العناصر'!$R$2:$R$721,'تقييم العناصر'!$B$2:$B$721,$A66,'تقييم العناصر'!$G$2:$G$721,$F66)</f>
        <v>63.6</v>
      </c>
      <c r="I66" s="30" t="n">
        <f aca="false">SUMIFS('تقييم العناصر'!$T$2:$T$721,'تقييم العناصر'!$B$2:$B$721,$A66,'تقييم العناصر'!$G$2:$G$721,$F66)</f>
        <v>92.55</v>
      </c>
      <c r="J66" s="27" t="str">
        <f aca="false">IF($H66&gt;المرجع!$K$3,"متقدم",IF($H66&lt;=المرجع!$K$2,"أولي","جزئي"))</f>
        <v>جزئي</v>
      </c>
      <c r="K66" s="31" t="n">
        <f aca="false">ROUND((SUMIFS($H$2:$H$121,$A$2:$A$121,$A66,$F$2:$F$121,"DESIGN")*INDEX(المرجع!$K$9:$K$11,MATCH("DESIGN",المرجع!$L$9:$L$11,0))+SUMIFS($H$2:$H$121,$A$2:$A$121,$A66,$F$2:$F$121,"BUILD")*INDEX(المرجع!$K$9:$K$11,MATCH("BUILD",المرجع!$L$9:$L$11,0))+SUMIFS($H$2:$H$121,$A$2:$A$121,$A66,$F$2:$F$121,"OPERATE")*INDEX(المرجع!$K$9:$K$11,MATCH("OPERATE",المرجع!$L$9:$L$11,0)))/100,1)</f>
        <v>60.9</v>
      </c>
      <c r="L66" s="32" t="str">
        <f aca="false">IF($K66&gt;المرجع!$K$3,"متقدم",IF($K66&lt;=المرجع!$K$2,"أولي","جزئي"))</f>
        <v>جزئي</v>
      </c>
      <c r="M66" s="31" t="n">
        <f aca="false">ROUND((SUMIFS($I$2:$I$121,$A$2:$A$121,$A66,$F$2:$F$121,"DESIGN")*INDEX(المرجع!$K$9:$K$11,MATCH("DESIGN",المرجع!$L$9:$L$11,0))+SUMIFS($I$2:$I$121,$A$2:$A$121,$A66,$F$2:$F$121,"BUILD")*INDEX(المرجع!$K$9:$K$11,MATCH("BUILD",المرجع!$L$9:$L$11,0))+SUMIFS($I$2:$I$121,$A$2:$A$121,$A66,$F$2:$F$121,"OPERATE")*INDEX(المرجع!$K$9:$K$11,MATCH("OPERATE",المرجع!$L$9:$L$11,0)))/100,1)</f>
        <v>92.4</v>
      </c>
      <c r="N66" s="32" t="str">
        <f aca="false">IF($M66&gt;المرجع!$K$3,"متقدم",IF($M66&lt;=المرجع!$K$2,"أولي","جزئي"))</f>
        <v>متقدم</v>
      </c>
    </row>
    <row r="67" customFormat="false" ht="15" hidden="false" customHeight="true" outlineLevel="0" collapsed="false">
      <c r="A67" s="19" t="s">
        <v>200</v>
      </c>
      <c r="B67" s="19" t="str">
        <f aca="false">IFERROR(INDEX('قائمة الوحدات'!$B$2:$B$41,MATCH($A67,'قائمة الوحدات'!$A$2:$A$41,0)),"")</f>
        <v>MIL</v>
      </c>
      <c r="C67" s="18" t="str">
        <f aca="false">IFERROR(INDEX('قائمة الوحدات'!$C$2:$C$41,MATCH($A67,'قائمة الوحدات'!$A$2:$A$41,0)),"")</f>
        <v>الجهاز العسكري</v>
      </c>
      <c r="D67" s="18" t="str">
        <f aca="false">IFERROR(INDEX('قائمة الوحدات'!$D$2:$D$41,MATCH($A67,'قائمة الوحدات'!$A$2:$A$41,0)),"")</f>
        <v>قيادة القوات الجوية</v>
      </c>
      <c r="E67" s="18" t="str">
        <f aca="false">IFERROR(INDEX('قائمة الوحدات'!$F$2:$F$41,MATCH($A67,'قائمة الوحدات'!$A$2:$A$41,0)),"")</f>
        <v>قيادة القوات الجوية</v>
      </c>
      <c r="F67" s="19" t="s">
        <v>66</v>
      </c>
      <c r="G67" s="18" t="str">
        <f aca="false">IFERROR(INDEX(المرجع!$A$2:$A$19,MATCH($F67,المرجع!$B$2:$B$19,0)),"")</f>
        <v>التشغيل</v>
      </c>
      <c r="H67" s="29" t="n">
        <f aca="false">SUMIFS('تقييم العناصر'!$R$2:$R$721,'تقييم العناصر'!$B$2:$B$721,$A67,'تقييم العناصر'!$G$2:$G$721,$F67)</f>
        <v>51.2</v>
      </c>
      <c r="I67" s="30" t="n">
        <f aca="false">SUMIFS('تقييم العناصر'!$T$2:$T$721,'تقييم العناصر'!$B$2:$B$721,$A67,'تقييم العناصر'!$G$2:$G$721,$F67)</f>
        <v>93.25</v>
      </c>
      <c r="J67" s="27" t="str">
        <f aca="false">IF($H67&gt;المرجع!$K$3,"متقدم",IF($H67&lt;=المرجع!$K$2,"أولي","جزئي"))</f>
        <v>جزئي</v>
      </c>
      <c r="K67" s="31" t="n">
        <f aca="false">ROUND((SUMIFS($H$2:$H$121,$A$2:$A$121,$A67,$F$2:$F$121,"DESIGN")*INDEX(المرجع!$K$9:$K$11,MATCH("DESIGN",المرجع!$L$9:$L$11,0))+SUMIFS($H$2:$H$121,$A$2:$A$121,$A67,$F$2:$F$121,"BUILD")*INDEX(المرجع!$K$9:$K$11,MATCH("BUILD",المرجع!$L$9:$L$11,0))+SUMIFS($H$2:$H$121,$A$2:$A$121,$A67,$F$2:$F$121,"OPERATE")*INDEX(المرجع!$K$9:$K$11,MATCH("OPERATE",المرجع!$L$9:$L$11,0)))/100,1)</f>
        <v>60.9</v>
      </c>
      <c r="L67" s="32" t="str">
        <f aca="false">IF($K67&gt;المرجع!$K$3,"متقدم",IF($K67&lt;=المرجع!$K$2,"أولي","جزئي"))</f>
        <v>جزئي</v>
      </c>
      <c r="M67" s="31" t="n">
        <f aca="false">ROUND((SUMIFS($I$2:$I$121,$A$2:$A$121,$A67,$F$2:$F$121,"DESIGN")*INDEX(المرجع!$K$9:$K$11,MATCH("DESIGN",المرجع!$L$9:$L$11,0))+SUMIFS($I$2:$I$121,$A$2:$A$121,$A67,$F$2:$F$121,"BUILD")*INDEX(المرجع!$K$9:$K$11,MATCH("BUILD",المرجع!$L$9:$L$11,0))+SUMIFS($I$2:$I$121,$A$2:$A$121,$A67,$F$2:$F$121,"OPERATE")*INDEX(المرجع!$K$9:$K$11,MATCH("OPERATE",المرجع!$L$9:$L$11,0)))/100,1)</f>
        <v>92.4</v>
      </c>
      <c r="N67" s="32" t="str">
        <f aca="false">IF($M67&gt;المرجع!$K$3,"متقدم",IF($M67&lt;=المرجع!$K$2,"أولي","جزئي"))</f>
        <v>متقدم</v>
      </c>
    </row>
    <row r="68" customFormat="false" ht="15" hidden="false" customHeight="true" outlineLevel="0" collapsed="false">
      <c r="A68" s="19" t="s">
        <v>202</v>
      </c>
      <c r="B68" s="19" t="str">
        <f aca="false">IFERROR(INDEX('قائمة الوحدات'!$B$2:$B$41,MATCH($A68,'قائمة الوحدات'!$A$2:$A$41,0)),"")</f>
        <v>MIL</v>
      </c>
      <c r="C68" s="18" t="str">
        <f aca="false">IFERROR(INDEX('قائمة الوحدات'!$C$2:$C$41,MATCH($A68,'قائمة الوحدات'!$A$2:$A$41,0)),"")</f>
        <v>الجهاز العسكري</v>
      </c>
      <c r="D68" s="18" t="str">
        <f aca="false">IFERROR(INDEX('قائمة الوحدات'!$D$2:$D$41,MATCH($A68,'قائمة الوحدات'!$A$2:$A$41,0)),"")</f>
        <v>قيادة القوات البحرية</v>
      </c>
      <c r="E68" s="18" t="str">
        <f aca="false">IFERROR(INDEX('قائمة الوحدات'!$F$2:$F$41,MATCH($A68,'قائمة الوحدات'!$A$2:$A$41,0)),"")</f>
        <v>قيادة القوات البحرية</v>
      </c>
      <c r="F68" s="19" t="s">
        <v>44</v>
      </c>
      <c r="G68" s="18" t="str">
        <f aca="false">IFERROR(INDEX(المرجع!$A$2:$A$19,MATCH($F68,المرجع!$B$2:$B$19,0)),"")</f>
        <v>التصميم</v>
      </c>
      <c r="H68" s="29" t="n">
        <f aca="false">SUMIFS('تقييم العناصر'!$R$2:$R$721,'تقييم العناصر'!$B$2:$B$721,$A68,'تقييم العناصر'!$G$2:$G$721,$F68)</f>
        <v>83.75</v>
      </c>
      <c r="I68" s="30" t="n">
        <f aca="false">SUMIFS('تقييم العناصر'!$T$2:$T$721,'تقييم العناصر'!$B$2:$B$721,$A68,'تقييم العناصر'!$G$2:$G$721,$F68)</f>
        <v>91.05</v>
      </c>
      <c r="J68" s="27" t="str">
        <f aca="false">IF($H68&gt;المرجع!$K$3,"متقدم",IF($H68&lt;=المرجع!$K$2,"أولي","جزئي"))</f>
        <v>متقدم</v>
      </c>
      <c r="K68" s="31" t="n">
        <f aca="false">ROUND((SUMIFS($H$2:$H$121,$A$2:$A$121,$A68,$F$2:$F$121,"DESIGN")*INDEX(المرجع!$K$9:$K$11,MATCH("DESIGN",المرجع!$L$9:$L$11,0))+SUMIFS($H$2:$H$121,$A$2:$A$121,$A68,$F$2:$F$121,"BUILD")*INDEX(المرجع!$K$9:$K$11,MATCH("BUILD",المرجع!$L$9:$L$11,0))+SUMIFS($H$2:$H$121,$A$2:$A$121,$A68,$F$2:$F$121,"OPERATE")*INDEX(المرجع!$K$9:$K$11,MATCH("OPERATE",المرجع!$L$9:$L$11,0)))/100,1)</f>
        <v>53.9</v>
      </c>
      <c r="L68" s="32" t="str">
        <f aca="false">IF($K68&gt;المرجع!$K$3,"متقدم",IF($K68&lt;=المرجع!$K$2,"أولي","جزئي"))</f>
        <v>جزئي</v>
      </c>
      <c r="M68" s="31" t="n">
        <f aca="false">ROUND((SUMIFS($I$2:$I$121,$A$2:$A$121,$A68,$F$2:$F$121,"DESIGN")*INDEX(المرجع!$K$9:$K$11,MATCH("DESIGN",المرجع!$L$9:$L$11,0))+SUMIFS($I$2:$I$121,$A$2:$A$121,$A68,$F$2:$F$121,"BUILD")*INDEX(المرجع!$K$9:$K$11,MATCH("BUILD",المرجع!$L$9:$L$11,0))+SUMIFS($I$2:$I$121,$A$2:$A$121,$A68,$F$2:$F$121,"OPERATE")*INDEX(المرجع!$K$9:$K$11,MATCH("OPERATE",المرجع!$L$9:$L$11,0)))/100,1)</f>
        <v>92.3</v>
      </c>
      <c r="N68" s="32" t="str">
        <f aca="false">IF($M68&gt;المرجع!$K$3,"متقدم",IF($M68&lt;=المرجع!$K$2,"أولي","جزئي"))</f>
        <v>متقدم</v>
      </c>
    </row>
    <row r="69" customFormat="false" ht="15" hidden="false" customHeight="true" outlineLevel="0" collapsed="false">
      <c r="A69" s="19" t="s">
        <v>202</v>
      </c>
      <c r="B69" s="19" t="str">
        <f aca="false">IFERROR(INDEX('قائمة الوحدات'!$B$2:$B$41,MATCH($A69,'قائمة الوحدات'!$A$2:$A$41,0)),"")</f>
        <v>MIL</v>
      </c>
      <c r="C69" s="18" t="str">
        <f aca="false">IFERROR(INDEX('قائمة الوحدات'!$C$2:$C$41,MATCH($A69,'قائمة الوحدات'!$A$2:$A$41,0)),"")</f>
        <v>الجهاز العسكري</v>
      </c>
      <c r="D69" s="18" t="str">
        <f aca="false">IFERROR(INDEX('قائمة الوحدات'!$D$2:$D$41,MATCH($A69,'قائمة الوحدات'!$A$2:$A$41,0)),"")</f>
        <v>قيادة القوات البحرية</v>
      </c>
      <c r="E69" s="18" t="str">
        <f aca="false">IFERROR(INDEX('قائمة الوحدات'!$F$2:$F$41,MATCH($A69,'قائمة الوحدات'!$A$2:$A$41,0)),"")</f>
        <v>قيادة القوات البحرية</v>
      </c>
      <c r="F69" s="19" t="s">
        <v>62</v>
      </c>
      <c r="G69" s="18" t="str">
        <f aca="false">IFERROR(INDEX(المرجع!$A$2:$A$19,MATCH($F69,المرجع!$B$2:$B$19,0)),"")</f>
        <v>البناء المؤسسي</v>
      </c>
      <c r="H69" s="29" t="n">
        <f aca="false">SUMIFS('تقييم العناصر'!$R$2:$R$721,'تقييم العناصر'!$B$2:$B$721,$A69,'تقييم العناصر'!$G$2:$G$721,$F69)</f>
        <v>60.25</v>
      </c>
      <c r="I69" s="30" t="n">
        <f aca="false">SUMIFS('تقييم العناصر'!$T$2:$T$721,'تقييم العناصر'!$B$2:$B$721,$A69,'تقييم العناصر'!$G$2:$G$721,$F69)</f>
        <v>95.4</v>
      </c>
      <c r="J69" s="27" t="str">
        <f aca="false">IF($H69&gt;المرجع!$K$3,"متقدم",IF($H69&lt;=المرجع!$K$2,"أولي","جزئي"))</f>
        <v>جزئي</v>
      </c>
      <c r="K69" s="31" t="n">
        <f aca="false">ROUND((SUMIFS($H$2:$H$121,$A$2:$A$121,$A69,$F$2:$F$121,"DESIGN")*INDEX(المرجع!$K$9:$K$11,MATCH("DESIGN",المرجع!$L$9:$L$11,0))+SUMIFS($H$2:$H$121,$A$2:$A$121,$A69,$F$2:$F$121,"BUILD")*INDEX(المرجع!$K$9:$K$11,MATCH("BUILD",المرجع!$L$9:$L$11,0))+SUMIFS($H$2:$H$121,$A$2:$A$121,$A69,$F$2:$F$121,"OPERATE")*INDEX(المرجع!$K$9:$K$11,MATCH("OPERATE",المرجع!$L$9:$L$11,0)))/100,1)</f>
        <v>53.9</v>
      </c>
      <c r="L69" s="32" t="str">
        <f aca="false">IF($K69&gt;المرجع!$K$3,"متقدم",IF($K69&lt;=المرجع!$K$2,"أولي","جزئي"))</f>
        <v>جزئي</v>
      </c>
      <c r="M69" s="31" t="n">
        <f aca="false">ROUND((SUMIFS($I$2:$I$121,$A$2:$A$121,$A69,$F$2:$F$121,"DESIGN")*INDEX(المرجع!$K$9:$K$11,MATCH("DESIGN",المرجع!$L$9:$L$11,0))+SUMIFS($I$2:$I$121,$A$2:$A$121,$A69,$F$2:$F$121,"BUILD")*INDEX(المرجع!$K$9:$K$11,MATCH("BUILD",المرجع!$L$9:$L$11,0))+SUMIFS($I$2:$I$121,$A$2:$A$121,$A69,$F$2:$F$121,"OPERATE")*INDEX(المرجع!$K$9:$K$11,MATCH("OPERATE",المرجع!$L$9:$L$11,0)))/100,1)</f>
        <v>92.3</v>
      </c>
      <c r="N69" s="32" t="str">
        <f aca="false">IF($M69&gt;المرجع!$K$3,"متقدم",IF($M69&lt;=المرجع!$K$2,"أولي","جزئي"))</f>
        <v>متقدم</v>
      </c>
    </row>
    <row r="70" customFormat="false" ht="15" hidden="false" customHeight="true" outlineLevel="0" collapsed="false">
      <c r="A70" s="19" t="s">
        <v>202</v>
      </c>
      <c r="B70" s="19" t="str">
        <f aca="false">IFERROR(INDEX('قائمة الوحدات'!$B$2:$B$41,MATCH($A70,'قائمة الوحدات'!$A$2:$A$41,0)),"")</f>
        <v>MIL</v>
      </c>
      <c r="C70" s="18" t="str">
        <f aca="false">IFERROR(INDEX('قائمة الوحدات'!$C$2:$C$41,MATCH($A70,'قائمة الوحدات'!$A$2:$A$41,0)),"")</f>
        <v>الجهاز العسكري</v>
      </c>
      <c r="D70" s="18" t="str">
        <f aca="false">IFERROR(INDEX('قائمة الوحدات'!$D$2:$D$41,MATCH($A70,'قائمة الوحدات'!$A$2:$A$41,0)),"")</f>
        <v>قيادة القوات البحرية</v>
      </c>
      <c r="E70" s="18" t="str">
        <f aca="false">IFERROR(INDEX('قائمة الوحدات'!$F$2:$F$41,MATCH($A70,'قائمة الوحدات'!$A$2:$A$41,0)),"")</f>
        <v>قيادة القوات البحرية</v>
      </c>
      <c r="F70" s="19" t="s">
        <v>66</v>
      </c>
      <c r="G70" s="18" t="str">
        <f aca="false">IFERROR(INDEX(المرجع!$A$2:$A$19,MATCH($F70,المرجع!$B$2:$B$19,0)),"")</f>
        <v>التشغيل</v>
      </c>
      <c r="H70" s="29" t="n">
        <f aca="false">SUMIFS('تقييم العناصر'!$R$2:$R$721,'تقييم العناصر'!$B$2:$B$721,$A70,'تقييم العناصر'!$G$2:$G$721,$F70)</f>
        <v>38.05</v>
      </c>
      <c r="I70" s="30" t="n">
        <f aca="false">SUMIFS('تقييم العناصر'!$T$2:$T$721,'تقييم العناصر'!$B$2:$B$721,$A70,'تقييم العناصر'!$G$2:$G$721,$F70)</f>
        <v>91</v>
      </c>
      <c r="J70" s="27" t="str">
        <f aca="false">IF($H70&gt;المرجع!$K$3,"متقدم",IF($H70&lt;=المرجع!$K$2,"أولي","جزئي"))</f>
        <v>جزئي</v>
      </c>
      <c r="K70" s="31" t="n">
        <f aca="false">ROUND((SUMIFS($H$2:$H$121,$A$2:$A$121,$A70,$F$2:$F$121,"DESIGN")*INDEX(المرجع!$K$9:$K$11,MATCH("DESIGN",المرجع!$L$9:$L$11,0))+SUMIFS($H$2:$H$121,$A$2:$A$121,$A70,$F$2:$F$121,"BUILD")*INDEX(المرجع!$K$9:$K$11,MATCH("BUILD",المرجع!$L$9:$L$11,0))+SUMIFS($H$2:$H$121,$A$2:$A$121,$A70,$F$2:$F$121,"OPERATE")*INDEX(المرجع!$K$9:$K$11,MATCH("OPERATE",المرجع!$L$9:$L$11,0)))/100,1)</f>
        <v>53.9</v>
      </c>
      <c r="L70" s="32" t="str">
        <f aca="false">IF($K70&gt;المرجع!$K$3,"متقدم",IF($K70&lt;=المرجع!$K$2,"أولي","جزئي"))</f>
        <v>جزئي</v>
      </c>
      <c r="M70" s="31" t="n">
        <f aca="false">ROUND((SUMIFS($I$2:$I$121,$A$2:$A$121,$A70,$F$2:$F$121,"DESIGN")*INDEX(المرجع!$K$9:$K$11,MATCH("DESIGN",المرجع!$L$9:$L$11,0))+SUMIFS($I$2:$I$121,$A$2:$A$121,$A70,$F$2:$F$121,"BUILD")*INDEX(المرجع!$K$9:$K$11,MATCH("BUILD",المرجع!$L$9:$L$11,0))+SUMIFS($I$2:$I$121,$A$2:$A$121,$A70,$F$2:$F$121,"OPERATE")*INDEX(المرجع!$K$9:$K$11,MATCH("OPERATE",المرجع!$L$9:$L$11,0)))/100,1)</f>
        <v>92.3</v>
      </c>
      <c r="N70" s="32" t="str">
        <f aca="false">IF($M70&gt;المرجع!$K$3,"متقدم",IF($M70&lt;=المرجع!$K$2,"أولي","جزئي"))</f>
        <v>متقدم</v>
      </c>
    </row>
    <row r="71" customFormat="false" ht="15" hidden="false" customHeight="true" outlineLevel="0" collapsed="false">
      <c r="A71" s="19" t="s">
        <v>204</v>
      </c>
      <c r="B71" s="19" t="str">
        <f aca="false">IFERROR(INDEX('قائمة الوحدات'!$B$2:$B$41,MATCH($A71,'قائمة الوحدات'!$A$2:$A$41,0)),"")</f>
        <v>MIL</v>
      </c>
      <c r="C71" s="18" t="str">
        <f aca="false">IFERROR(INDEX('قائمة الوحدات'!$C$2:$C$41,MATCH($A71,'قائمة الوحدات'!$A$2:$A$41,0)),"")</f>
        <v>الجهاز العسكري</v>
      </c>
      <c r="D71" s="18" t="str">
        <f aca="false">IFERROR(INDEX('قائمة الوحدات'!$D$2:$D$41,MATCH($A71,'قائمة الوحدات'!$A$2:$A$41,0)),"")</f>
        <v>قيادة قوات الدفاع الجوي</v>
      </c>
      <c r="E71" s="18" t="str">
        <f aca="false">IFERROR(INDEX('قائمة الوحدات'!$F$2:$F$41,MATCH($A71,'قائمة الوحدات'!$A$2:$A$41,0)),"")</f>
        <v>قيادة قوات الدفاع الجوي</v>
      </c>
      <c r="F71" s="19" t="s">
        <v>44</v>
      </c>
      <c r="G71" s="18" t="str">
        <f aca="false">IFERROR(INDEX(المرجع!$A$2:$A$19,MATCH($F71,المرجع!$B$2:$B$19,0)),"")</f>
        <v>التصميم</v>
      </c>
      <c r="H71" s="29" t="n">
        <f aca="false">SUMIFS('تقييم العناصر'!$R$2:$R$721,'تقييم العناصر'!$B$2:$B$721,$A71,'تقييم العناصر'!$G$2:$G$721,$F71)</f>
        <v>85.4</v>
      </c>
      <c r="I71" s="30" t="n">
        <f aca="false">SUMIFS('تقييم العناصر'!$T$2:$T$721,'تقييم العناصر'!$B$2:$B$721,$A71,'تقييم العناصر'!$G$2:$G$721,$F71)</f>
        <v>95.85</v>
      </c>
      <c r="J71" s="27" t="str">
        <f aca="false">IF($H71&gt;المرجع!$K$3,"متقدم",IF($H71&lt;=المرجع!$K$2,"أولي","جزئي"))</f>
        <v>متقدم</v>
      </c>
      <c r="K71" s="31" t="n">
        <f aca="false">ROUND((SUMIFS($H$2:$H$121,$A$2:$A$121,$A71,$F$2:$F$121,"DESIGN")*INDEX(المرجع!$K$9:$K$11,MATCH("DESIGN",المرجع!$L$9:$L$11,0))+SUMIFS($H$2:$H$121,$A$2:$A$121,$A71,$F$2:$F$121,"BUILD")*INDEX(المرجع!$K$9:$K$11,MATCH("BUILD",المرجع!$L$9:$L$11,0))+SUMIFS($H$2:$H$121,$A$2:$A$121,$A71,$F$2:$F$121,"OPERATE")*INDEX(المرجع!$K$9:$K$11,MATCH("OPERATE",المرجع!$L$9:$L$11,0)))/100,1)</f>
        <v>56.6</v>
      </c>
      <c r="L71" s="32" t="str">
        <f aca="false">IF($K71&gt;المرجع!$K$3,"متقدم",IF($K71&lt;=المرجع!$K$2,"أولي","جزئي"))</f>
        <v>جزئي</v>
      </c>
      <c r="M71" s="31" t="n">
        <f aca="false">ROUND((SUMIFS($I$2:$I$121,$A$2:$A$121,$A71,$F$2:$F$121,"DESIGN")*INDEX(المرجع!$K$9:$K$11,MATCH("DESIGN",المرجع!$L$9:$L$11,0))+SUMIFS($I$2:$I$121,$A$2:$A$121,$A71,$F$2:$F$121,"BUILD")*INDEX(المرجع!$K$9:$K$11,MATCH("BUILD",المرجع!$L$9:$L$11,0))+SUMIFS($I$2:$I$121,$A$2:$A$121,$A71,$F$2:$F$121,"OPERATE")*INDEX(المرجع!$K$9:$K$11,MATCH("OPERATE",المرجع!$L$9:$L$11,0)))/100,1)</f>
        <v>91.3</v>
      </c>
      <c r="N71" s="32" t="str">
        <f aca="false">IF($M71&gt;المرجع!$K$3,"متقدم",IF($M71&lt;=المرجع!$K$2,"أولي","جزئي"))</f>
        <v>متقدم</v>
      </c>
    </row>
    <row r="72" customFormat="false" ht="15" hidden="false" customHeight="true" outlineLevel="0" collapsed="false">
      <c r="A72" s="19" t="s">
        <v>204</v>
      </c>
      <c r="B72" s="19" t="str">
        <f aca="false">IFERROR(INDEX('قائمة الوحدات'!$B$2:$B$41,MATCH($A72,'قائمة الوحدات'!$A$2:$A$41,0)),"")</f>
        <v>MIL</v>
      </c>
      <c r="C72" s="18" t="str">
        <f aca="false">IFERROR(INDEX('قائمة الوحدات'!$C$2:$C$41,MATCH($A72,'قائمة الوحدات'!$A$2:$A$41,0)),"")</f>
        <v>الجهاز العسكري</v>
      </c>
      <c r="D72" s="18" t="str">
        <f aca="false">IFERROR(INDEX('قائمة الوحدات'!$D$2:$D$41,MATCH($A72,'قائمة الوحدات'!$A$2:$A$41,0)),"")</f>
        <v>قيادة قوات الدفاع الجوي</v>
      </c>
      <c r="E72" s="18" t="str">
        <f aca="false">IFERROR(INDEX('قائمة الوحدات'!$F$2:$F$41,MATCH($A72,'قائمة الوحدات'!$A$2:$A$41,0)),"")</f>
        <v>قيادة قوات الدفاع الجوي</v>
      </c>
      <c r="F72" s="19" t="s">
        <v>62</v>
      </c>
      <c r="G72" s="18" t="str">
        <f aca="false">IFERROR(INDEX(المرجع!$A$2:$A$19,MATCH($F72,المرجع!$B$2:$B$19,0)),"")</f>
        <v>البناء المؤسسي</v>
      </c>
      <c r="H72" s="29" t="n">
        <f aca="false">SUMIFS('تقييم العناصر'!$R$2:$R$721,'تقييم العناصر'!$B$2:$B$721,$A72,'تقييم العناصر'!$G$2:$G$721,$F72)</f>
        <v>67.9</v>
      </c>
      <c r="I72" s="30" t="n">
        <f aca="false">SUMIFS('تقييم العناصر'!$T$2:$T$721,'تقييم العناصر'!$B$2:$B$721,$A72,'تقييم العناصر'!$G$2:$G$721,$F72)</f>
        <v>93.25</v>
      </c>
      <c r="J72" s="27" t="str">
        <f aca="false">IF($H72&gt;المرجع!$K$3,"متقدم",IF($H72&lt;=المرجع!$K$2,"أولي","جزئي"))</f>
        <v>جزئي</v>
      </c>
      <c r="K72" s="31" t="n">
        <f aca="false">ROUND((SUMIFS($H$2:$H$121,$A$2:$A$121,$A72,$F$2:$F$121,"DESIGN")*INDEX(المرجع!$K$9:$K$11,MATCH("DESIGN",المرجع!$L$9:$L$11,0))+SUMIFS($H$2:$H$121,$A$2:$A$121,$A72,$F$2:$F$121,"BUILD")*INDEX(المرجع!$K$9:$K$11,MATCH("BUILD",المرجع!$L$9:$L$11,0))+SUMIFS($H$2:$H$121,$A$2:$A$121,$A72,$F$2:$F$121,"OPERATE")*INDEX(المرجع!$K$9:$K$11,MATCH("OPERATE",المرجع!$L$9:$L$11,0)))/100,1)</f>
        <v>56.6</v>
      </c>
      <c r="L72" s="32" t="str">
        <f aca="false">IF($K72&gt;المرجع!$K$3,"متقدم",IF($K72&lt;=المرجع!$K$2,"أولي","جزئي"))</f>
        <v>جزئي</v>
      </c>
      <c r="M72" s="31" t="n">
        <f aca="false">ROUND((SUMIFS($I$2:$I$121,$A$2:$A$121,$A72,$F$2:$F$121,"DESIGN")*INDEX(المرجع!$K$9:$K$11,MATCH("DESIGN",المرجع!$L$9:$L$11,0))+SUMIFS($I$2:$I$121,$A$2:$A$121,$A72,$F$2:$F$121,"BUILD")*INDEX(المرجع!$K$9:$K$11,MATCH("BUILD",المرجع!$L$9:$L$11,0))+SUMIFS($I$2:$I$121,$A$2:$A$121,$A72,$F$2:$F$121,"OPERATE")*INDEX(المرجع!$K$9:$K$11,MATCH("OPERATE",المرجع!$L$9:$L$11,0)))/100,1)</f>
        <v>91.3</v>
      </c>
      <c r="N72" s="32" t="str">
        <f aca="false">IF($M72&gt;المرجع!$K$3,"متقدم",IF($M72&lt;=المرجع!$K$2,"أولي","جزئي"))</f>
        <v>متقدم</v>
      </c>
    </row>
    <row r="73" customFormat="false" ht="15" hidden="false" customHeight="true" outlineLevel="0" collapsed="false">
      <c r="A73" s="19" t="s">
        <v>204</v>
      </c>
      <c r="B73" s="19" t="str">
        <f aca="false">IFERROR(INDEX('قائمة الوحدات'!$B$2:$B$41,MATCH($A73,'قائمة الوحدات'!$A$2:$A$41,0)),"")</f>
        <v>MIL</v>
      </c>
      <c r="C73" s="18" t="str">
        <f aca="false">IFERROR(INDEX('قائمة الوحدات'!$C$2:$C$41,MATCH($A73,'قائمة الوحدات'!$A$2:$A$41,0)),"")</f>
        <v>الجهاز العسكري</v>
      </c>
      <c r="D73" s="18" t="str">
        <f aca="false">IFERROR(INDEX('قائمة الوحدات'!$D$2:$D$41,MATCH($A73,'قائمة الوحدات'!$A$2:$A$41,0)),"")</f>
        <v>قيادة قوات الدفاع الجوي</v>
      </c>
      <c r="E73" s="18" t="str">
        <f aca="false">IFERROR(INDEX('قائمة الوحدات'!$F$2:$F$41,MATCH($A73,'قائمة الوحدات'!$A$2:$A$41,0)),"")</f>
        <v>قيادة قوات الدفاع الجوي</v>
      </c>
      <c r="F73" s="19" t="s">
        <v>66</v>
      </c>
      <c r="G73" s="18" t="str">
        <f aca="false">IFERROR(INDEX(المرجع!$A$2:$A$19,MATCH($F73,المرجع!$B$2:$B$19,0)),"")</f>
        <v>التشغيل</v>
      </c>
      <c r="H73" s="29" t="n">
        <f aca="false">SUMIFS('تقييم العناصر'!$R$2:$R$721,'تقييم العناصر'!$B$2:$B$721,$A73,'تقييم العناصر'!$G$2:$G$721,$F73)</f>
        <v>38.35</v>
      </c>
      <c r="I73" s="30" t="n">
        <f aca="false">SUMIFS('تقييم العناصر'!$T$2:$T$721,'تقييم العناصر'!$B$2:$B$721,$A73,'تقييم العناصر'!$G$2:$G$721,$F73)</f>
        <v>88.3</v>
      </c>
      <c r="J73" s="27" t="str">
        <f aca="false">IF($H73&gt;المرجع!$K$3,"متقدم",IF($H73&lt;=المرجع!$K$2,"أولي","جزئي"))</f>
        <v>جزئي</v>
      </c>
      <c r="K73" s="31" t="n">
        <f aca="false">ROUND((SUMIFS($H$2:$H$121,$A$2:$A$121,$A73,$F$2:$F$121,"DESIGN")*INDEX(المرجع!$K$9:$K$11,MATCH("DESIGN",المرجع!$L$9:$L$11,0))+SUMIFS($H$2:$H$121,$A$2:$A$121,$A73,$F$2:$F$121,"BUILD")*INDEX(المرجع!$K$9:$K$11,MATCH("BUILD",المرجع!$L$9:$L$11,0))+SUMIFS($H$2:$H$121,$A$2:$A$121,$A73,$F$2:$F$121,"OPERATE")*INDEX(المرجع!$K$9:$K$11,MATCH("OPERATE",المرجع!$L$9:$L$11,0)))/100,1)</f>
        <v>56.6</v>
      </c>
      <c r="L73" s="32" t="str">
        <f aca="false">IF($K73&gt;المرجع!$K$3,"متقدم",IF($K73&lt;=المرجع!$K$2,"أولي","جزئي"))</f>
        <v>جزئي</v>
      </c>
      <c r="M73" s="31" t="n">
        <f aca="false">ROUND((SUMIFS($I$2:$I$121,$A$2:$A$121,$A73,$F$2:$F$121,"DESIGN")*INDEX(المرجع!$K$9:$K$11,MATCH("DESIGN",المرجع!$L$9:$L$11,0))+SUMIFS($I$2:$I$121,$A$2:$A$121,$A73,$F$2:$F$121,"BUILD")*INDEX(المرجع!$K$9:$K$11,MATCH("BUILD",المرجع!$L$9:$L$11,0))+SUMIFS($I$2:$I$121,$A$2:$A$121,$A73,$F$2:$F$121,"OPERATE")*INDEX(المرجع!$K$9:$K$11,MATCH("OPERATE",المرجع!$L$9:$L$11,0)))/100,1)</f>
        <v>91.3</v>
      </c>
      <c r="N73" s="32" t="str">
        <f aca="false">IF($M73&gt;المرجع!$K$3,"متقدم",IF($M73&lt;=المرجع!$K$2,"أولي","جزئي"))</f>
        <v>متقدم</v>
      </c>
    </row>
    <row r="74" customFormat="false" ht="15" hidden="false" customHeight="true" outlineLevel="0" collapsed="false">
      <c r="A74" s="19" t="s">
        <v>206</v>
      </c>
      <c r="B74" s="19" t="str">
        <f aca="false">IFERROR(INDEX('قائمة الوحدات'!$B$2:$B$41,MATCH($A74,'قائمة الوحدات'!$A$2:$A$41,0)),"")</f>
        <v>MIL</v>
      </c>
      <c r="C74" s="18" t="str">
        <f aca="false">IFERROR(INDEX('قائمة الوحدات'!$C$2:$C$41,MATCH($A74,'قائمة الوحدات'!$A$2:$A$41,0)),"")</f>
        <v>الجهاز العسكري</v>
      </c>
      <c r="D74" s="18" t="str">
        <f aca="false">IFERROR(INDEX('قائمة الوحدات'!$D$2:$D$41,MATCH($A74,'قائمة الوحدات'!$A$2:$A$41,0)),"")</f>
        <v>قيادة القوات الاستراتيجية</v>
      </c>
      <c r="E74" s="18" t="str">
        <f aca="false">IFERROR(INDEX('قائمة الوحدات'!$F$2:$F$41,MATCH($A74,'قائمة الوحدات'!$A$2:$A$41,0)),"")</f>
        <v>قيادة القوات الاستراتيجية</v>
      </c>
      <c r="F74" s="19" t="s">
        <v>44</v>
      </c>
      <c r="G74" s="18" t="str">
        <f aca="false">IFERROR(INDEX(المرجع!$A$2:$A$19,MATCH($F74,المرجع!$B$2:$B$19,0)),"")</f>
        <v>التصميم</v>
      </c>
      <c r="H74" s="29" t="n">
        <f aca="false">SUMIFS('تقييم العناصر'!$R$2:$R$721,'تقييم العناصر'!$B$2:$B$721,$A74,'تقييم العناصر'!$G$2:$G$721,$F74)</f>
        <v>84.75</v>
      </c>
      <c r="I74" s="30" t="n">
        <f aca="false">SUMIFS('تقييم العناصر'!$T$2:$T$721,'تقييم العناصر'!$B$2:$B$721,$A74,'تقييم العناصر'!$G$2:$G$721,$F74)</f>
        <v>89.35</v>
      </c>
      <c r="J74" s="27" t="str">
        <f aca="false">IF($H74&gt;المرجع!$K$3,"متقدم",IF($H74&lt;=المرجع!$K$2,"أولي","جزئي"))</f>
        <v>متقدم</v>
      </c>
      <c r="K74" s="31" t="n">
        <f aca="false">ROUND((SUMIFS($H$2:$H$121,$A$2:$A$121,$A74,$F$2:$F$121,"DESIGN")*INDEX(المرجع!$K$9:$K$11,MATCH("DESIGN",المرجع!$L$9:$L$11,0))+SUMIFS($H$2:$H$121,$A$2:$A$121,$A74,$F$2:$F$121,"BUILD")*INDEX(المرجع!$K$9:$K$11,MATCH("BUILD",المرجع!$L$9:$L$11,0))+SUMIFS($H$2:$H$121,$A$2:$A$121,$A74,$F$2:$F$121,"OPERATE")*INDEX(المرجع!$K$9:$K$11,MATCH("OPERATE",المرجع!$L$9:$L$11,0)))/100,1)</f>
        <v>54</v>
      </c>
      <c r="L74" s="32" t="str">
        <f aca="false">IF($K74&gt;المرجع!$K$3,"متقدم",IF($K74&lt;=المرجع!$K$2,"أولي","جزئي"))</f>
        <v>جزئي</v>
      </c>
      <c r="M74" s="31" t="n">
        <f aca="false">ROUND((SUMIFS($I$2:$I$121,$A$2:$A$121,$A74,$F$2:$F$121,"DESIGN")*INDEX(المرجع!$K$9:$K$11,MATCH("DESIGN",المرجع!$L$9:$L$11,0))+SUMIFS($I$2:$I$121,$A$2:$A$121,$A74,$F$2:$F$121,"BUILD")*INDEX(المرجع!$K$9:$K$11,MATCH("BUILD",المرجع!$L$9:$L$11,0))+SUMIFS($I$2:$I$121,$A$2:$A$121,$A74,$F$2:$F$121,"OPERATE")*INDEX(المرجع!$K$9:$K$11,MATCH("OPERATE",المرجع!$L$9:$L$11,0)))/100,1)</f>
        <v>90.1</v>
      </c>
      <c r="N74" s="32" t="str">
        <f aca="false">IF($M74&gt;المرجع!$K$3,"متقدم",IF($M74&lt;=المرجع!$K$2,"أولي","جزئي"))</f>
        <v>متقدم</v>
      </c>
    </row>
    <row r="75" customFormat="false" ht="15" hidden="false" customHeight="true" outlineLevel="0" collapsed="false">
      <c r="A75" s="19" t="s">
        <v>206</v>
      </c>
      <c r="B75" s="19" t="str">
        <f aca="false">IFERROR(INDEX('قائمة الوحدات'!$B$2:$B$41,MATCH($A75,'قائمة الوحدات'!$A$2:$A$41,0)),"")</f>
        <v>MIL</v>
      </c>
      <c r="C75" s="18" t="str">
        <f aca="false">IFERROR(INDEX('قائمة الوحدات'!$C$2:$C$41,MATCH($A75,'قائمة الوحدات'!$A$2:$A$41,0)),"")</f>
        <v>الجهاز العسكري</v>
      </c>
      <c r="D75" s="18" t="str">
        <f aca="false">IFERROR(INDEX('قائمة الوحدات'!$D$2:$D$41,MATCH($A75,'قائمة الوحدات'!$A$2:$A$41,0)),"")</f>
        <v>قيادة القوات الاستراتيجية</v>
      </c>
      <c r="E75" s="18" t="str">
        <f aca="false">IFERROR(INDEX('قائمة الوحدات'!$F$2:$F$41,MATCH($A75,'قائمة الوحدات'!$A$2:$A$41,0)),"")</f>
        <v>قيادة القوات الاستراتيجية</v>
      </c>
      <c r="F75" s="19" t="s">
        <v>62</v>
      </c>
      <c r="G75" s="18" t="str">
        <f aca="false">IFERROR(INDEX(المرجع!$A$2:$A$19,MATCH($F75,المرجع!$B$2:$B$19,0)),"")</f>
        <v>البناء المؤسسي</v>
      </c>
      <c r="H75" s="29" t="n">
        <f aca="false">SUMIFS('تقييم العناصر'!$R$2:$R$721,'تقييم العناصر'!$B$2:$B$721,$A75,'تقييم العناصر'!$G$2:$G$721,$F75)</f>
        <v>62.45</v>
      </c>
      <c r="I75" s="30" t="n">
        <f aca="false">SUMIFS('تقييم العناصر'!$T$2:$T$721,'تقييم العناصر'!$B$2:$B$721,$A75,'تقييم العناصر'!$G$2:$G$721,$F75)</f>
        <v>90</v>
      </c>
      <c r="J75" s="27" t="str">
        <f aca="false">IF($H75&gt;المرجع!$K$3,"متقدم",IF($H75&lt;=المرجع!$K$2,"أولي","جزئي"))</f>
        <v>جزئي</v>
      </c>
      <c r="K75" s="31" t="n">
        <f aca="false">ROUND((SUMIFS($H$2:$H$121,$A$2:$A$121,$A75,$F$2:$F$121,"DESIGN")*INDEX(المرجع!$K$9:$K$11,MATCH("DESIGN",المرجع!$L$9:$L$11,0))+SUMIFS($H$2:$H$121,$A$2:$A$121,$A75,$F$2:$F$121,"BUILD")*INDEX(المرجع!$K$9:$K$11,MATCH("BUILD",المرجع!$L$9:$L$11,0))+SUMIFS($H$2:$H$121,$A$2:$A$121,$A75,$F$2:$F$121,"OPERATE")*INDEX(المرجع!$K$9:$K$11,MATCH("OPERATE",المرجع!$L$9:$L$11,0)))/100,1)</f>
        <v>54</v>
      </c>
      <c r="L75" s="32" t="str">
        <f aca="false">IF($K75&gt;المرجع!$K$3,"متقدم",IF($K75&lt;=المرجع!$K$2,"أولي","جزئي"))</f>
        <v>جزئي</v>
      </c>
      <c r="M75" s="31" t="n">
        <f aca="false">ROUND((SUMIFS($I$2:$I$121,$A$2:$A$121,$A75,$F$2:$F$121,"DESIGN")*INDEX(المرجع!$K$9:$K$11,MATCH("DESIGN",المرجع!$L$9:$L$11,0))+SUMIFS($I$2:$I$121,$A$2:$A$121,$A75,$F$2:$F$121,"BUILD")*INDEX(المرجع!$K$9:$K$11,MATCH("BUILD",المرجع!$L$9:$L$11,0))+SUMIFS($I$2:$I$121,$A$2:$A$121,$A75,$F$2:$F$121,"OPERATE")*INDEX(المرجع!$K$9:$K$11,MATCH("OPERATE",المرجع!$L$9:$L$11,0)))/100,1)</f>
        <v>90.1</v>
      </c>
      <c r="N75" s="32" t="str">
        <f aca="false">IF($M75&gt;المرجع!$K$3,"متقدم",IF($M75&lt;=المرجع!$K$2,"أولي","جزئي"))</f>
        <v>متقدم</v>
      </c>
    </row>
    <row r="76" customFormat="false" ht="15" hidden="false" customHeight="true" outlineLevel="0" collapsed="false">
      <c r="A76" s="19" t="s">
        <v>206</v>
      </c>
      <c r="B76" s="19" t="str">
        <f aca="false">IFERROR(INDEX('قائمة الوحدات'!$B$2:$B$41,MATCH($A76,'قائمة الوحدات'!$A$2:$A$41,0)),"")</f>
        <v>MIL</v>
      </c>
      <c r="C76" s="18" t="str">
        <f aca="false">IFERROR(INDEX('قائمة الوحدات'!$C$2:$C$41,MATCH($A76,'قائمة الوحدات'!$A$2:$A$41,0)),"")</f>
        <v>الجهاز العسكري</v>
      </c>
      <c r="D76" s="18" t="str">
        <f aca="false">IFERROR(INDEX('قائمة الوحدات'!$D$2:$D$41,MATCH($A76,'قائمة الوحدات'!$A$2:$A$41,0)),"")</f>
        <v>قيادة القوات الاستراتيجية</v>
      </c>
      <c r="E76" s="18" t="str">
        <f aca="false">IFERROR(INDEX('قائمة الوحدات'!$F$2:$F$41,MATCH($A76,'قائمة الوحدات'!$A$2:$A$41,0)),"")</f>
        <v>قيادة القوات الاستراتيجية</v>
      </c>
      <c r="F76" s="19" t="s">
        <v>66</v>
      </c>
      <c r="G76" s="18" t="str">
        <f aca="false">IFERROR(INDEX(المرجع!$A$2:$A$19,MATCH($F76,المرجع!$B$2:$B$19,0)),"")</f>
        <v>التشغيل</v>
      </c>
      <c r="H76" s="29" t="n">
        <f aca="false">SUMIFS('تقييم العناصر'!$R$2:$R$721,'تقييم العناصر'!$B$2:$B$721,$A76,'تقييم العناصر'!$G$2:$G$721,$F76)</f>
        <v>36.6</v>
      </c>
      <c r="I76" s="30" t="n">
        <f aca="false">SUMIFS('تقييم العناصر'!$T$2:$T$721,'تقييم العناصر'!$B$2:$B$721,$A76,'تقييم العناصر'!$G$2:$G$721,$F76)</f>
        <v>90.5</v>
      </c>
      <c r="J76" s="27" t="str">
        <f aca="false">IF($H76&gt;المرجع!$K$3,"متقدم",IF($H76&lt;=المرجع!$K$2,"أولي","جزئي"))</f>
        <v>جزئي</v>
      </c>
      <c r="K76" s="31" t="n">
        <f aca="false">ROUND((SUMIFS($H$2:$H$121,$A$2:$A$121,$A76,$F$2:$F$121,"DESIGN")*INDEX(المرجع!$K$9:$K$11,MATCH("DESIGN",المرجع!$L$9:$L$11,0))+SUMIFS($H$2:$H$121,$A$2:$A$121,$A76,$F$2:$F$121,"BUILD")*INDEX(المرجع!$K$9:$K$11,MATCH("BUILD",المرجع!$L$9:$L$11,0))+SUMIFS($H$2:$H$121,$A$2:$A$121,$A76,$F$2:$F$121,"OPERATE")*INDEX(المرجع!$K$9:$K$11,MATCH("OPERATE",المرجع!$L$9:$L$11,0)))/100,1)</f>
        <v>54</v>
      </c>
      <c r="L76" s="32" t="str">
        <f aca="false">IF($K76&gt;المرجع!$K$3,"متقدم",IF($K76&lt;=المرجع!$K$2,"أولي","جزئي"))</f>
        <v>جزئي</v>
      </c>
      <c r="M76" s="31" t="n">
        <f aca="false">ROUND((SUMIFS($I$2:$I$121,$A$2:$A$121,$A76,$F$2:$F$121,"DESIGN")*INDEX(المرجع!$K$9:$K$11,MATCH("DESIGN",المرجع!$L$9:$L$11,0))+SUMIFS($I$2:$I$121,$A$2:$A$121,$A76,$F$2:$F$121,"BUILD")*INDEX(المرجع!$K$9:$K$11,MATCH("BUILD",المرجع!$L$9:$L$11,0))+SUMIFS($I$2:$I$121,$A$2:$A$121,$A76,$F$2:$F$121,"OPERATE")*INDEX(المرجع!$K$9:$K$11,MATCH("OPERATE",المرجع!$L$9:$L$11,0)))/100,1)</f>
        <v>90.1</v>
      </c>
      <c r="N76" s="32" t="str">
        <f aca="false">IF($M76&gt;المرجع!$K$3,"متقدم",IF($M76&lt;=المرجع!$K$2,"أولي","جزئي"))</f>
        <v>متقدم</v>
      </c>
    </row>
    <row r="77" customFormat="false" ht="15" hidden="false" customHeight="true" outlineLevel="0" collapsed="false">
      <c r="A77" s="19" t="s">
        <v>208</v>
      </c>
      <c r="B77" s="19" t="str">
        <f aca="false">IFERROR(INDEX('قائمة الوحدات'!$B$2:$B$41,MATCH($A77,'قائمة الوحدات'!$A$2:$A$41,0)),"")</f>
        <v>MIL</v>
      </c>
      <c r="C77" s="18" t="str">
        <f aca="false">IFERROR(INDEX('قائمة الوحدات'!$C$2:$C$41,MATCH($A77,'قائمة الوحدات'!$A$2:$A$41,0)),"")</f>
        <v>الجهاز العسكري</v>
      </c>
      <c r="D77" s="18" t="str">
        <f aca="false">IFERROR(INDEX('قائمة الوحدات'!$D$2:$D$41,MATCH($A77,'قائمة الوحدات'!$A$2:$A$41,0)),"")</f>
        <v>الإدارة العامة للاستخبارات العسكرية</v>
      </c>
      <c r="E77" s="18" t="str">
        <f aca="false">IFERROR(INDEX('قائمة الوحدات'!$F$2:$F$41,MATCH($A77,'قائمة الوحدات'!$A$2:$A$41,0)),"")</f>
        <v>الإدارة العامة للاستخبارات العسكرية</v>
      </c>
      <c r="F77" s="19" t="s">
        <v>44</v>
      </c>
      <c r="G77" s="18" t="str">
        <f aca="false">IFERROR(INDEX(المرجع!$A$2:$A$19,MATCH($F77,المرجع!$B$2:$B$19,0)),"")</f>
        <v>التصميم</v>
      </c>
      <c r="H77" s="29" t="n">
        <f aca="false">SUMIFS('تقييم العناصر'!$R$2:$R$721,'تقييم العناصر'!$B$2:$B$721,$A77,'تقييم العناصر'!$G$2:$G$721,$F77)</f>
        <v>82.95</v>
      </c>
      <c r="I77" s="30" t="n">
        <f aca="false">SUMIFS('تقييم العناصر'!$T$2:$T$721,'تقييم العناصر'!$B$2:$B$721,$A77,'تقييم العناصر'!$G$2:$G$721,$F77)</f>
        <v>93.45</v>
      </c>
      <c r="J77" s="27" t="str">
        <f aca="false">IF($H77&gt;المرجع!$K$3,"متقدم",IF($H77&lt;=المرجع!$K$2,"أولي","جزئي"))</f>
        <v>متقدم</v>
      </c>
      <c r="K77" s="31" t="n">
        <f aca="false">ROUND((SUMIFS($H$2:$H$121,$A$2:$A$121,$A77,$F$2:$F$121,"DESIGN")*INDEX(المرجع!$K$9:$K$11,MATCH("DESIGN",المرجع!$L$9:$L$11,0))+SUMIFS($H$2:$H$121,$A$2:$A$121,$A77,$F$2:$F$121,"BUILD")*INDEX(المرجع!$K$9:$K$11,MATCH("BUILD",المرجع!$L$9:$L$11,0))+SUMIFS($H$2:$H$121,$A$2:$A$121,$A77,$F$2:$F$121,"OPERATE")*INDEX(المرجع!$K$9:$K$11,MATCH("OPERATE",المرجع!$L$9:$L$11,0)))/100,1)</f>
        <v>57.6</v>
      </c>
      <c r="L77" s="32" t="str">
        <f aca="false">IF($K77&gt;المرجع!$K$3,"متقدم",IF($K77&lt;=المرجع!$K$2,"أولي","جزئي"))</f>
        <v>جزئي</v>
      </c>
      <c r="M77" s="31" t="n">
        <f aca="false">ROUND((SUMIFS($I$2:$I$121,$A$2:$A$121,$A77,$F$2:$F$121,"DESIGN")*INDEX(المرجع!$K$9:$K$11,MATCH("DESIGN",المرجع!$L$9:$L$11,0))+SUMIFS($I$2:$I$121,$A$2:$A$121,$A77,$F$2:$F$121,"BUILD")*INDEX(المرجع!$K$9:$K$11,MATCH("BUILD",المرجع!$L$9:$L$11,0))+SUMIFS($I$2:$I$121,$A$2:$A$121,$A77,$F$2:$F$121,"OPERATE")*INDEX(المرجع!$K$9:$K$11,MATCH("OPERATE",المرجع!$L$9:$L$11,0)))/100,1)</f>
        <v>93.1</v>
      </c>
      <c r="N77" s="32" t="str">
        <f aca="false">IF($M77&gt;المرجع!$K$3,"متقدم",IF($M77&lt;=المرجع!$K$2,"أولي","جزئي"))</f>
        <v>متقدم</v>
      </c>
    </row>
    <row r="78" customFormat="false" ht="15" hidden="false" customHeight="true" outlineLevel="0" collapsed="false">
      <c r="A78" s="19" t="s">
        <v>208</v>
      </c>
      <c r="B78" s="19" t="str">
        <f aca="false">IFERROR(INDEX('قائمة الوحدات'!$B$2:$B$41,MATCH($A78,'قائمة الوحدات'!$A$2:$A$41,0)),"")</f>
        <v>MIL</v>
      </c>
      <c r="C78" s="18" t="str">
        <f aca="false">IFERROR(INDEX('قائمة الوحدات'!$C$2:$C$41,MATCH($A78,'قائمة الوحدات'!$A$2:$A$41,0)),"")</f>
        <v>الجهاز العسكري</v>
      </c>
      <c r="D78" s="18" t="str">
        <f aca="false">IFERROR(INDEX('قائمة الوحدات'!$D$2:$D$41,MATCH($A78,'قائمة الوحدات'!$A$2:$A$41,0)),"")</f>
        <v>الإدارة العامة للاستخبارات العسكرية</v>
      </c>
      <c r="E78" s="18" t="str">
        <f aca="false">IFERROR(INDEX('قائمة الوحدات'!$F$2:$F$41,MATCH($A78,'قائمة الوحدات'!$A$2:$A$41,0)),"")</f>
        <v>الإدارة العامة للاستخبارات العسكرية</v>
      </c>
      <c r="F78" s="19" t="s">
        <v>62</v>
      </c>
      <c r="G78" s="18" t="str">
        <f aca="false">IFERROR(INDEX(المرجع!$A$2:$A$19,MATCH($F78,المرجع!$B$2:$B$19,0)),"")</f>
        <v>البناء المؤسسي</v>
      </c>
      <c r="H78" s="29" t="n">
        <f aca="false">SUMIFS('تقييم العناصر'!$R$2:$R$721,'تقييم العناصر'!$B$2:$B$721,$A78,'تقييم العناصر'!$G$2:$G$721,$F78)</f>
        <v>74.2</v>
      </c>
      <c r="I78" s="30" t="n">
        <f aca="false">SUMIFS('تقييم العناصر'!$T$2:$T$721,'تقييم العناصر'!$B$2:$B$721,$A78,'تقييم العناصر'!$G$2:$G$721,$F78)</f>
        <v>95</v>
      </c>
      <c r="J78" s="27" t="str">
        <f aca="false">IF($H78&gt;المرجع!$K$3,"متقدم",IF($H78&lt;=المرجع!$K$2,"أولي","جزئي"))</f>
        <v>متقدم</v>
      </c>
      <c r="K78" s="31" t="n">
        <f aca="false">ROUND((SUMIFS($H$2:$H$121,$A$2:$A$121,$A78,$F$2:$F$121,"DESIGN")*INDEX(المرجع!$K$9:$K$11,MATCH("DESIGN",المرجع!$L$9:$L$11,0))+SUMIFS($H$2:$H$121,$A$2:$A$121,$A78,$F$2:$F$121,"BUILD")*INDEX(المرجع!$K$9:$K$11,MATCH("BUILD",المرجع!$L$9:$L$11,0))+SUMIFS($H$2:$H$121,$A$2:$A$121,$A78,$F$2:$F$121,"OPERATE")*INDEX(المرجع!$K$9:$K$11,MATCH("OPERATE",المرجع!$L$9:$L$11,0)))/100,1)</f>
        <v>57.6</v>
      </c>
      <c r="L78" s="32" t="str">
        <f aca="false">IF($K78&gt;المرجع!$K$3,"متقدم",IF($K78&lt;=المرجع!$K$2,"أولي","جزئي"))</f>
        <v>جزئي</v>
      </c>
      <c r="M78" s="31" t="n">
        <f aca="false">ROUND((SUMIFS($I$2:$I$121,$A$2:$A$121,$A78,$F$2:$F$121,"DESIGN")*INDEX(المرجع!$K$9:$K$11,MATCH("DESIGN",المرجع!$L$9:$L$11,0))+SUMIFS($I$2:$I$121,$A$2:$A$121,$A78,$F$2:$F$121,"BUILD")*INDEX(المرجع!$K$9:$K$11,MATCH("BUILD",المرجع!$L$9:$L$11,0))+SUMIFS($I$2:$I$121,$A$2:$A$121,$A78,$F$2:$F$121,"OPERATE")*INDEX(المرجع!$K$9:$K$11,MATCH("OPERATE",المرجع!$L$9:$L$11,0)))/100,1)</f>
        <v>93.1</v>
      </c>
      <c r="N78" s="32" t="str">
        <f aca="false">IF($M78&gt;المرجع!$K$3,"متقدم",IF($M78&lt;=المرجع!$K$2,"أولي","جزئي"))</f>
        <v>متقدم</v>
      </c>
    </row>
    <row r="79" customFormat="false" ht="15" hidden="false" customHeight="true" outlineLevel="0" collapsed="false">
      <c r="A79" s="19" t="s">
        <v>208</v>
      </c>
      <c r="B79" s="19" t="str">
        <f aca="false">IFERROR(INDEX('قائمة الوحدات'!$B$2:$B$41,MATCH($A79,'قائمة الوحدات'!$A$2:$A$41,0)),"")</f>
        <v>MIL</v>
      </c>
      <c r="C79" s="18" t="str">
        <f aca="false">IFERROR(INDEX('قائمة الوحدات'!$C$2:$C$41,MATCH($A79,'قائمة الوحدات'!$A$2:$A$41,0)),"")</f>
        <v>الجهاز العسكري</v>
      </c>
      <c r="D79" s="18" t="str">
        <f aca="false">IFERROR(INDEX('قائمة الوحدات'!$D$2:$D$41,MATCH($A79,'قائمة الوحدات'!$A$2:$A$41,0)),"")</f>
        <v>الإدارة العامة للاستخبارات العسكرية</v>
      </c>
      <c r="E79" s="18" t="str">
        <f aca="false">IFERROR(INDEX('قائمة الوحدات'!$F$2:$F$41,MATCH($A79,'قائمة الوحدات'!$A$2:$A$41,0)),"")</f>
        <v>الإدارة العامة للاستخبارات العسكرية</v>
      </c>
      <c r="F79" s="19" t="s">
        <v>66</v>
      </c>
      <c r="G79" s="18" t="str">
        <f aca="false">IFERROR(INDEX(المرجع!$A$2:$A$19,MATCH($F79,المرجع!$B$2:$B$19,0)),"")</f>
        <v>التشغيل</v>
      </c>
      <c r="H79" s="29" t="n">
        <f aca="false">SUMIFS('تقييم العناصر'!$R$2:$R$721,'تقييم العناصر'!$B$2:$B$721,$A79,'تقييم العناصر'!$G$2:$G$721,$F79)</f>
        <v>37.45</v>
      </c>
      <c r="I79" s="30" t="n">
        <f aca="false">SUMIFS('تقييم العناصر'!$T$2:$T$721,'تقييم العناصر'!$B$2:$B$721,$A79,'تقييم العناصر'!$G$2:$G$721,$F79)</f>
        <v>91.75</v>
      </c>
      <c r="J79" s="27" t="str">
        <f aca="false">IF($H79&gt;المرجع!$K$3,"متقدم",IF($H79&lt;=المرجع!$K$2,"أولي","جزئي"))</f>
        <v>جزئي</v>
      </c>
      <c r="K79" s="31" t="n">
        <f aca="false">ROUND((SUMIFS($H$2:$H$121,$A$2:$A$121,$A79,$F$2:$F$121,"DESIGN")*INDEX(المرجع!$K$9:$K$11,MATCH("DESIGN",المرجع!$L$9:$L$11,0))+SUMIFS($H$2:$H$121,$A$2:$A$121,$A79,$F$2:$F$121,"BUILD")*INDEX(المرجع!$K$9:$K$11,MATCH("BUILD",المرجع!$L$9:$L$11,0))+SUMIFS($H$2:$H$121,$A$2:$A$121,$A79,$F$2:$F$121,"OPERATE")*INDEX(المرجع!$K$9:$K$11,MATCH("OPERATE",المرجع!$L$9:$L$11,0)))/100,1)</f>
        <v>57.6</v>
      </c>
      <c r="L79" s="32" t="str">
        <f aca="false">IF($K79&gt;المرجع!$K$3,"متقدم",IF($K79&lt;=المرجع!$K$2,"أولي","جزئي"))</f>
        <v>جزئي</v>
      </c>
      <c r="M79" s="31" t="n">
        <f aca="false">ROUND((SUMIFS($I$2:$I$121,$A$2:$A$121,$A79,$F$2:$F$121,"DESIGN")*INDEX(المرجع!$K$9:$K$11,MATCH("DESIGN",المرجع!$L$9:$L$11,0))+SUMIFS($I$2:$I$121,$A$2:$A$121,$A79,$F$2:$F$121,"BUILD")*INDEX(المرجع!$K$9:$K$11,MATCH("BUILD",المرجع!$L$9:$L$11,0))+SUMIFS($I$2:$I$121,$A$2:$A$121,$A79,$F$2:$F$121,"OPERATE")*INDEX(المرجع!$K$9:$K$11,MATCH("OPERATE",المرجع!$L$9:$L$11,0)))/100,1)</f>
        <v>93.1</v>
      </c>
      <c r="N79" s="32" t="str">
        <f aca="false">IF($M79&gt;المرجع!$K$3,"متقدم",IF($M79&lt;=المرجع!$K$2,"أولي","جزئي"))</f>
        <v>متقدم</v>
      </c>
    </row>
    <row r="80" customFormat="false" ht="15" hidden="false" customHeight="true" outlineLevel="0" collapsed="false">
      <c r="A80" s="19" t="s">
        <v>210</v>
      </c>
      <c r="B80" s="19" t="str">
        <f aca="false">IFERROR(INDEX('قائمة الوحدات'!$B$2:$B$41,MATCH($A80,'قائمة الوحدات'!$A$2:$A$41,0)),"")</f>
        <v>MIL</v>
      </c>
      <c r="C80" s="18" t="str">
        <f aca="false">IFERROR(INDEX('قائمة الوحدات'!$C$2:$C$41,MATCH($A80,'قائمة الوحدات'!$A$2:$A$41,0)),"")</f>
        <v>الجهاز العسكري</v>
      </c>
      <c r="D80" s="18" t="str">
        <f aca="false">IFERROR(INDEX('قائمة الوحدات'!$D$2:$D$41,MATCH($A80,'قائمة الوحدات'!$A$2:$A$41,0)),"")</f>
        <v>الإدارة العامة للعمليات المشتركة</v>
      </c>
      <c r="E80" s="18" t="str">
        <f aca="false">IFERROR(INDEX('قائمة الوحدات'!$F$2:$F$41,MATCH($A80,'قائمة الوحدات'!$A$2:$A$41,0)),"")</f>
        <v>الإدارة العامة للعمليات المشتركة</v>
      </c>
      <c r="F80" s="19" t="s">
        <v>44</v>
      </c>
      <c r="G80" s="18" t="str">
        <f aca="false">IFERROR(INDEX(المرجع!$A$2:$A$19,MATCH($F80,المرجع!$B$2:$B$19,0)),"")</f>
        <v>التصميم</v>
      </c>
      <c r="H80" s="29" t="n">
        <f aca="false">SUMIFS('تقييم العناصر'!$R$2:$R$721,'تقييم العناصر'!$B$2:$B$721,$A80,'تقييم العناصر'!$G$2:$G$721,$F80)</f>
        <v>80.65</v>
      </c>
      <c r="I80" s="30" t="n">
        <f aca="false">SUMIFS('تقييم العناصر'!$T$2:$T$721,'تقييم العناصر'!$B$2:$B$721,$A80,'تقييم العناصر'!$G$2:$G$721,$F80)</f>
        <v>99</v>
      </c>
      <c r="J80" s="27" t="str">
        <f aca="false">IF($H80&gt;المرجع!$K$3,"متقدم",IF($H80&lt;=المرجع!$K$2,"أولي","جزئي"))</f>
        <v>متقدم</v>
      </c>
      <c r="K80" s="31" t="n">
        <f aca="false">ROUND((SUMIFS($H$2:$H$121,$A$2:$A$121,$A80,$F$2:$F$121,"DESIGN")*INDEX(المرجع!$K$9:$K$11,MATCH("DESIGN",المرجع!$L$9:$L$11,0))+SUMIFS($H$2:$H$121,$A$2:$A$121,$A80,$F$2:$F$121,"BUILD")*INDEX(المرجع!$K$9:$K$11,MATCH("BUILD",المرجع!$L$9:$L$11,0))+SUMIFS($H$2:$H$121,$A$2:$A$121,$A80,$F$2:$F$121,"OPERATE")*INDEX(المرجع!$K$9:$K$11,MATCH("OPERATE",المرجع!$L$9:$L$11,0)))/100,1)</f>
        <v>59.8</v>
      </c>
      <c r="L80" s="32" t="str">
        <f aca="false">IF($K80&gt;المرجع!$K$3,"متقدم",IF($K80&lt;=المرجع!$K$2,"أولي","جزئي"))</f>
        <v>جزئي</v>
      </c>
      <c r="M80" s="31" t="n">
        <f aca="false">ROUND((SUMIFS($I$2:$I$121,$A$2:$A$121,$A80,$F$2:$F$121,"DESIGN")*INDEX(المرجع!$K$9:$K$11,MATCH("DESIGN",المرجع!$L$9:$L$11,0))+SUMIFS($I$2:$I$121,$A$2:$A$121,$A80,$F$2:$F$121,"BUILD")*INDEX(المرجع!$K$9:$K$11,MATCH("BUILD",المرجع!$L$9:$L$11,0))+SUMIFS($I$2:$I$121,$A$2:$A$121,$A80,$F$2:$F$121,"OPERATE")*INDEX(المرجع!$K$9:$K$11,MATCH("OPERATE",المرجع!$L$9:$L$11,0)))/100,1)</f>
        <v>92.8</v>
      </c>
      <c r="N80" s="32" t="str">
        <f aca="false">IF($M80&gt;المرجع!$K$3,"متقدم",IF($M80&lt;=المرجع!$K$2,"أولي","جزئي"))</f>
        <v>متقدم</v>
      </c>
    </row>
    <row r="81" customFormat="false" ht="15" hidden="false" customHeight="true" outlineLevel="0" collapsed="false">
      <c r="A81" s="19" t="s">
        <v>210</v>
      </c>
      <c r="B81" s="19" t="str">
        <f aca="false">IFERROR(INDEX('قائمة الوحدات'!$B$2:$B$41,MATCH($A81,'قائمة الوحدات'!$A$2:$A$41,0)),"")</f>
        <v>MIL</v>
      </c>
      <c r="C81" s="18" t="str">
        <f aca="false">IFERROR(INDEX('قائمة الوحدات'!$C$2:$C$41,MATCH($A81,'قائمة الوحدات'!$A$2:$A$41,0)),"")</f>
        <v>الجهاز العسكري</v>
      </c>
      <c r="D81" s="18" t="str">
        <f aca="false">IFERROR(INDEX('قائمة الوحدات'!$D$2:$D$41,MATCH($A81,'قائمة الوحدات'!$A$2:$A$41,0)),"")</f>
        <v>الإدارة العامة للعمليات المشتركة</v>
      </c>
      <c r="E81" s="18" t="str">
        <f aca="false">IFERROR(INDEX('قائمة الوحدات'!$F$2:$F$41,MATCH($A81,'قائمة الوحدات'!$A$2:$A$41,0)),"")</f>
        <v>الإدارة العامة للعمليات المشتركة</v>
      </c>
      <c r="F81" s="19" t="s">
        <v>62</v>
      </c>
      <c r="G81" s="18" t="str">
        <f aca="false">IFERROR(INDEX(المرجع!$A$2:$A$19,MATCH($F81,المرجع!$B$2:$B$19,0)),"")</f>
        <v>البناء المؤسسي</v>
      </c>
      <c r="H81" s="29" t="n">
        <f aca="false">SUMIFS('تقييم العناصر'!$R$2:$R$721,'تقييم العناصر'!$B$2:$B$721,$A81,'تقييم العناصر'!$G$2:$G$721,$F81)</f>
        <v>74.95</v>
      </c>
      <c r="I81" s="30" t="n">
        <f aca="false">SUMIFS('تقييم العناصر'!$T$2:$T$721,'تقييم العناصر'!$B$2:$B$721,$A81,'تقييم العناصر'!$G$2:$G$721,$F81)</f>
        <v>97.95</v>
      </c>
      <c r="J81" s="27" t="str">
        <f aca="false">IF($H81&gt;المرجع!$K$3,"متقدم",IF($H81&lt;=المرجع!$K$2,"أولي","جزئي"))</f>
        <v>متقدم</v>
      </c>
      <c r="K81" s="31" t="n">
        <f aca="false">ROUND((SUMIFS($H$2:$H$121,$A$2:$A$121,$A81,$F$2:$F$121,"DESIGN")*INDEX(المرجع!$K$9:$K$11,MATCH("DESIGN",المرجع!$L$9:$L$11,0))+SUMIFS($H$2:$H$121,$A$2:$A$121,$A81,$F$2:$F$121,"BUILD")*INDEX(المرجع!$K$9:$K$11,MATCH("BUILD",المرجع!$L$9:$L$11,0))+SUMIFS($H$2:$H$121,$A$2:$A$121,$A81,$F$2:$F$121,"OPERATE")*INDEX(المرجع!$K$9:$K$11,MATCH("OPERATE",المرجع!$L$9:$L$11,0)))/100,1)</f>
        <v>59.8</v>
      </c>
      <c r="L81" s="32" t="str">
        <f aca="false">IF($K81&gt;المرجع!$K$3,"متقدم",IF($K81&lt;=المرجع!$K$2,"أولي","جزئي"))</f>
        <v>جزئي</v>
      </c>
      <c r="M81" s="31" t="n">
        <f aca="false">ROUND((SUMIFS($I$2:$I$121,$A$2:$A$121,$A81,$F$2:$F$121,"DESIGN")*INDEX(المرجع!$K$9:$K$11,MATCH("DESIGN",المرجع!$L$9:$L$11,0))+SUMIFS($I$2:$I$121,$A$2:$A$121,$A81,$F$2:$F$121,"BUILD")*INDEX(المرجع!$K$9:$K$11,MATCH("BUILD",المرجع!$L$9:$L$11,0))+SUMIFS($I$2:$I$121,$A$2:$A$121,$A81,$F$2:$F$121,"OPERATE")*INDEX(المرجع!$K$9:$K$11,MATCH("OPERATE",المرجع!$L$9:$L$11,0)))/100,1)</f>
        <v>92.8</v>
      </c>
      <c r="N81" s="32" t="str">
        <f aca="false">IF($M81&gt;المرجع!$K$3,"متقدم",IF($M81&lt;=المرجع!$K$2,"أولي","جزئي"))</f>
        <v>متقدم</v>
      </c>
    </row>
    <row r="82" customFormat="false" ht="15" hidden="false" customHeight="true" outlineLevel="0" collapsed="false">
      <c r="A82" s="19" t="s">
        <v>210</v>
      </c>
      <c r="B82" s="19" t="str">
        <f aca="false">IFERROR(INDEX('قائمة الوحدات'!$B$2:$B$41,MATCH($A82,'قائمة الوحدات'!$A$2:$A$41,0)),"")</f>
        <v>MIL</v>
      </c>
      <c r="C82" s="18" t="str">
        <f aca="false">IFERROR(INDEX('قائمة الوحدات'!$C$2:$C$41,MATCH($A82,'قائمة الوحدات'!$A$2:$A$41,0)),"")</f>
        <v>الجهاز العسكري</v>
      </c>
      <c r="D82" s="18" t="str">
        <f aca="false">IFERROR(INDEX('قائمة الوحدات'!$D$2:$D$41,MATCH($A82,'قائمة الوحدات'!$A$2:$A$41,0)),"")</f>
        <v>الإدارة العامة للعمليات المشتركة</v>
      </c>
      <c r="E82" s="18" t="str">
        <f aca="false">IFERROR(INDEX('قائمة الوحدات'!$F$2:$F$41,MATCH($A82,'قائمة الوحدات'!$A$2:$A$41,0)),"")</f>
        <v>الإدارة العامة للعمليات المشتركة</v>
      </c>
      <c r="F82" s="19" t="s">
        <v>66</v>
      </c>
      <c r="G82" s="18" t="str">
        <f aca="false">IFERROR(INDEX(المرجع!$A$2:$A$19,MATCH($F82,المرجع!$B$2:$B$19,0)),"")</f>
        <v>التشغيل</v>
      </c>
      <c r="H82" s="29" t="n">
        <f aca="false">SUMIFS('تقييم العناصر'!$R$2:$R$721,'تقييم العناصر'!$B$2:$B$721,$A82,'تقييم العناصر'!$G$2:$G$721,$F82)</f>
        <v>42.45</v>
      </c>
      <c r="I82" s="30" t="n">
        <f aca="false">SUMIFS('تقييم العناصر'!$T$2:$T$721,'تقييم العناصر'!$B$2:$B$721,$A82,'تقييم العناصر'!$G$2:$G$721,$F82)</f>
        <v>87.25</v>
      </c>
      <c r="J82" s="27" t="str">
        <f aca="false">IF($H82&gt;المرجع!$K$3,"متقدم",IF($H82&lt;=المرجع!$K$2,"أولي","جزئي"))</f>
        <v>جزئي</v>
      </c>
      <c r="K82" s="31" t="n">
        <f aca="false">ROUND((SUMIFS($H$2:$H$121,$A$2:$A$121,$A82,$F$2:$F$121,"DESIGN")*INDEX(المرجع!$K$9:$K$11,MATCH("DESIGN",المرجع!$L$9:$L$11,0))+SUMIFS($H$2:$H$121,$A$2:$A$121,$A82,$F$2:$F$121,"BUILD")*INDEX(المرجع!$K$9:$K$11,MATCH("BUILD",المرجع!$L$9:$L$11,0))+SUMIFS($H$2:$H$121,$A$2:$A$121,$A82,$F$2:$F$121,"OPERATE")*INDEX(المرجع!$K$9:$K$11,MATCH("OPERATE",المرجع!$L$9:$L$11,0)))/100,1)</f>
        <v>59.8</v>
      </c>
      <c r="L82" s="32" t="str">
        <f aca="false">IF($K82&gt;المرجع!$K$3,"متقدم",IF($K82&lt;=المرجع!$K$2,"أولي","جزئي"))</f>
        <v>جزئي</v>
      </c>
      <c r="M82" s="31" t="n">
        <f aca="false">ROUND((SUMIFS($I$2:$I$121,$A$2:$A$121,$A82,$F$2:$F$121,"DESIGN")*INDEX(المرجع!$K$9:$K$11,MATCH("DESIGN",المرجع!$L$9:$L$11,0))+SUMIFS($I$2:$I$121,$A$2:$A$121,$A82,$F$2:$F$121,"BUILD")*INDEX(المرجع!$K$9:$K$11,MATCH("BUILD",المرجع!$L$9:$L$11,0))+SUMIFS($I$2:$I$121,$A$2:$A$121,$A82,$F$2:$F$121,"OPERATE")*INDEX(المرجع!$K$9:$K$11,MATCH("OPERATE",المرجع!$L$9:$L$11,0)))/100,1)</f>
        <v>92.8</v>
      </c>
      <c r="N82" s="32" t="str">
        <f aca="false">IF($M82&gt;المرجع!$K$3,"متقدم",IF($M82&lt;=المرجع!$K$2,"أولي","جزئي"))</f>
        <v>متقدم</v>
      </c>
    </row>
    <row r="83" customFormat="false" ht="15" hidden="false" customHeight="true" outlineLevel="0" collapsed="false">
      <c r="A83" s="19" t="s">
        <v>212</v>
      </c>
      <c r="B83" s="19" t="str">
        <f aca="false">IFERROR(INDEX('قائمة الوحدات'!$B$2:$B$41,MATCH($A83,'قائمة الوحدات'!$A$2:$A$41,0)),"")</f>
        <v>MIL</v>
      </c>
      <c r="C83" s="18" t="str">
        <f aca="false">IFERROR(INDEX('قائمة الوحدات'!$C$2:$C$41,MATCH($A83,'قائمة الوحدات'!$A$2:$A$41,0)),"")</f>
        <v>الجهاز العسكري</v>
      </c>
      <c r="D83" s="18" t="str">
        <f aca="false">IFERROR(INDEX('قائمة الوحدات'!$D$2:$D$41,MATCH($A83,'قائمة الوحدات'!$A$2:$A$41,0)),"")</f>
        <v>الإدارة العامة للتخطيط والتنظيم العسكري</v>
      </c>
      <c r="E83" s="18" t="str">
        <f aca="false">IFERROR(INDEX('قائمة الوحدات'!$F$2:$F$41,MATCH($A83,'قائمة الوحدات'!$A$2:$A$41,0)),"")</f>
        <v>الإدارة العامة للتخطيط والتنظيم العسكري</v>
      </c>
      <c r="F83" s="19" t="s">
        <v>44</v>
      </c>
      <c r="G83" s="18" t="str">
        <f aca="false">IFERROR(INDEX(المرجع!$A$2:$A$19,MATCH($F83,المرجع!$B$2:$B$19,0)),"")</f>
        <v>التصميم</v>
      </c>
      <c r="H83" s="29" t="n">
        <f aca="false">SUMIFS('تقييم العناصر'!$R$2:$R$721,'تقييم العناصر'!$B$2:$B$721,$A83,'تقييم العناصر'!$G$2:$G$721,$F83)</f>
        <v>80.25</v>
      </c>
      <c r="I83" s="30" t="n">
        <f aca="false">SUMIFS('تقييم العناصر'!$T$2:$T$721,'تقييم العناصر'!$B$2:$B$721,$A83,'تقييم العناصر'!$G$2:$G$721,$F83)</f>
        <v>91.25</v>
      </c>
      <c r="J83" s="27" t="str">
        <f aca="false">IF($H83&gt;المرجع!$K$3,"متقدم",IF($H83&lt;=المرجع!$K$2,"أولي","جزئي"))</f>
        <v>متقدم</v>
      </c>
      <c r="K83" s="31" t="n">
        <f aca="false">ROUND((SUMIFS($H$2:$H$121,$A$2:$A$121,$A83,$F$2:$F$121,"DESIGN")*INDEX(المرجع!$K$9:$K$11,MATCH("DESIGN",المرجع!$L$9:$L$11,0))+SUMIFS($H$2:$H$121,$A$2:$A$121,$A83,$F$2:$F$121,"BUILD")*INDEX(المرجع!$K$9:$K$11,MATCH("BUILD",المرجع!$L$9:$L$11,0))+SUMIFS($H$2:$H$121,$A$2:$A$121,$A83,$F$2:$F$121,"OPERATE")*INDEX(المرجع!$K$9:$K$11,MATCH("OPERATE",المرجع!$L$9:$L$11,0)))/100,1)</f>
        <v>49.9</v>
      </c>
      <c r="L83" s="32" t="str">
        <f aca="false">IF($K83&gt;المرجع!$K$3,"متقدم",IF($K83&lt;=المرجع!$K$2,"أولي","جزئي"))</f>
        <v>جزئي</v>
      </c>
      <c r="M83" s="31" t="n">
        <f aca="false">ROUND((SUMIFS($I$2:$I$121,$A$2:$A$121,$A83,$F$2:$F$121,"DESIGN")*INDEX(المرجع!$K$9:$K$11,MATCH("DESIGN",المرجع!$L$9:$L$11,0))+SUMIFS($I$2:$I$121,$A$2:$A$121,$A83,$F$2:$F$121,"BUILD")*INDEX(المرجع!$K$9:$K$11,MATCH("BUILD",المرجع!$L$9:$L$11,0))+SUMIFS($I$2:$I$121,$A$2:$A$121,$A83,$F$2:$F$121,"OPERATE")*INDEX(المرجع!$K$9:$K$11,MATCH("OPERATE",المرجع!$L$9:$L$11,0)))/100,1)</f>
        <v>94.5</v>
      </c>
      <c r="N83" s="32" t="str">
        <f aca="false">IF($M83&gt;المرجع!$K$3,"متقدم",IF($M83&lt;=المرجع!$K$2,"أولي","جزئي"))</f>
        <v>متقدم</v>
      </c>
    </row>
    <row r="84" customFormat="false" ht="15" hidden="false" customHeight="true" outlineLevel="0" collapsed="false">
      <c r="A84" s="19" t="s">
        <v>212</v>
      </c>
      <c r="B84" s="19" t="str">
        <f aca="false">IFERROR(INDEX('قائمة الوحدات'!$B$2:$B$41,MATCH($A84,'قائمة الوحدات'!$A$2:$A$41,0)),"")</f>
        <v>MIL</v>
      </c>
      <c r="C84" s="18" t="str">
        <f aca="false">IFERROR(INDEX('قائمة الوحدات'!$C$2:$C$41,MATCH($A84,'قائمة الوحدات'!$A$2:$A$41,0)),"")</f>
        <v>الجهاز العسكري</v>
      </c>
      <c r="D84" s="18" t="str">
        <f aca="false">IFERROR(INDEX('قائمة الوحدات'!$D$2:$D$41,MATCH($A84,'قائمة الوحدات'!$A$2:$A$41,0)),"")</f>
        <v>الإدارة العامة للتخطيط والتنظيم العسكري</v>
      </c>
      <c r="E84" s="18" t="str">
        <f aca="false">IFERROR(INDEX('قائمة الوحدات'!$F$2:$F$41,MATCH($A84,'قائمة الوحدات'!$A$2:$A$41,0)),"")</f>
        <v>الإدارة العامة للتخطيط والتنظيم العسكري</v>
      </c>
      <c r="F84" s="19" t="s">
        <v>62</v>
      </c>
      <c r="G84" s="18" t="str">
        <f aca="false">IFERROR(INDEX(المرجع!$A$2:$A$19,MATCH($F84,المرجع!$B$2:$B$19,0)),"")</f>
        <v>البناء المؤسسي</v>
      </c>
      <c r="H84" s="29" t="n">
        <f aca="false">SUMIFS('تقييم العناصر'!$R$2:$R$721,'تقييم العناصر'!$B$2:$B$721,$A84,'تقييم العناصر'!$G$2:$G$721,$F84)</f>
        <v>60.15</v>
      </c>
      <c r="I84" s="30" t="n">
        <f aca="false">SUMIFS('تقييم العناصر'!$T$2:$T$721,'تقييم العناصر'!$B$2:$B$721,$A84,'تقييم العناصر'!$G$2:$G$721,$F84)</f>
        <v>94.3</v>
      </c>
      <c r="J84" s="27" t="str">
        <f aca="false">IF($H84&gt;المرجع!$K$3,"متقدم",IF($H84&lt;=المرجع!$K$2,"أولي","جزئي"))</f>
        <v>جزئي</v>
      </c>
      <c r="K84" s="31" t="n">
        <f aca="false">ROUND((SUMIFS($H$2:$H$121,$A$2:$A$121,$A84,$F$2:$F$121,"DESIGN")*INDEX(المرجع!$K$9:$K$11,MATCH("DESIGN",المرجع!$L$9:$L$11,0))+SUMIFS($H$2:$H$121,$A$2:$A$121,$A84,$F$2:$F$121,"BUILD")*INDEX(المرجع!$K$9:$K$11,MATCH("BUILD",المرجع!$L$9:$L$11,0))+SUMIFS($H$2:$H$121,$A$2:$A$121,$A84,$F$2:$F$121,"OPERATE")*INDEX(المرجع!$K$9:$K$11,MATCH("OPERATE",المرجع!$L$9:$L$11,0)))/100,1)</f>
        <v>49.9</v>
      </c>
      <c r="L84" s="32" t="str">
        <f aca="false">IF($K84&gt;المرجع!$K$3,"متقدم",IF($K84&lt;=المرجع!$K$2,"أولي","جزئي"))</f>
        <v>جزئي</v>
      </c>
      <c r="M84" s="31" t="n">
        <f aca="false">ROUND((SUMIFS($I$2:$I$121,$A$2:$A$121,$A84,$F$2:$F$121,"DESIGN")*INDEX(المرجع!$K$9:$K$11,MATCH("DESIGN",المرجع!$L$9:$L$11,0))+SUMIFS($I$2:$I$121,$A$2:$A$121,$A84,$F$2:$F$121,"BUILD")*INDEX(المرجع!$K$9:$K$11,MATCH("BUILD",المرجع!$L$9:$L$11,0))+SUMIFS($I$2:$I$121,$A$2:$A$121,$A84,$F$2:$F$121,"OPERATE")*INDEX(المرجع!$K$9:$K$11,MATCH("OPERATE",المرجع!$L$9:$L$11,0)))/100,1)</f>
        <v>94.5</v>
      </c>
      <c r="N84" s="32" t="str">
        <f aca="false">IF($M84&gt;المرجع!$K$3,"متقدم",IF($M84&lt;=المرجع!$K$2,"أولي","جزئي"))</f>
        <v>متقدم</v>
      </c>
    </row>
    <row r="85" customFormat="false" ht="15" hidden="false" customHeight="true" outlineLevel="0" collapsed="false">
      <c r="A85" s="19" t="s">
        <v>212</v>
      </c>
      <c r="B85" s="19" t="str">
        <f aca="false">IFERROR(INDEX('قائمة الوحدات'!$B$2:$B$41,MATCH($A85,'قائمة الوحدات'!$A$2:$A$41,0)),"")</f>
        <v>MIL</v>
      </c>
      <c r="C85" s="18" t="str">
        <f aca="false">IFERROR(INDEX('قائمة الوحدات'!$C$2:$C$41,MATCH($A85,'قائمة الوحدات'!$A$2:$A$41,0)),"")</f>
        <v>الجهاز العسكري</v>
      </c>
      <c r="D85" s="18" t="str">
        <f aca="false">IFERROR(INDEX('قائمة الوحدات'!$D$2:$D$41,MATCH($A85,'قائمة الوحدات'!$A$2:$A$41,0)),"")</f>
        <v>الإدارة العامة للتخطيط والتنظيم العسكري</v>
      </c>
      <c r="E85" s="18" t="str">
        <f aca="false">IFERROR(INDEX('قائمة الوحدات'!$F$2:$F$41,MATCH($A85,'قائمة الوحدات'!$A$2:$A$41,0)),"")</f>
        <v>الإدارة العامة للتخطيط والتنظيم العسكري</v>
      </c>
      <c r="F85" s="19" t="s">
        <v>66</v>
      </c>
      <c r="G85" s="18" t="str">
        <f aca="false">IFERROR(INDEX(المرجع!$A$2:$A$19,MATCH($F85,المرجع!$B$2:$B$19,0)),"")</f>
        <v>التشغيل</v>
      </c>
      <c r="H85" s="29" t="n">
        <f aca="false">SUMIFS('تقييم العناصر'!$R$2:$R$721,'تقييم العناصر'!$B$2:$B$721,$A85,'تقييم العناصر'!$G$2:$G$721,$F85)</f>
        <v>31.6</v>
      </c>
      <c r="I85" s="30" t="n">
        <f aca="false">SUMIFS('تقييم العناصر'!$T$2:$T$721,'تقييم العناصر'!$B$2:$B$721,$A85,'تقييم العناصر'!$G$2:$G$721,$F85)</f>
        <v>95.95</v>
      </c>
      <c r="J85" s="27" t="str">
        <f aca="false">IF($H85&gt;المرجع!$K$3,"متقدم",IF($H85&lt;=المرجع!$K$2,"أولي","جزئي"))</f>
        <v>جزئي</v>
      </c>
      <c r="K85" s="31" t="n">
        <f aca="false">ROUND((SUMIFS($H$2:$H$121,$A$2:$A$121,$A85,$F$2:$F$121,"DESIGN")*INDEX(المرجع!$K$9:$K$11,MATCH("DESIGN",المرجع!$L$9:$L$11,0))+SUMIFS($H$2:$H$121,$A$2:$A$121,$A85,$F$2:$F$121,"BUILD")*INDEX(المرجع!$K$9:$K$11,MATCH("BUILD",المرجع!$L$9:$L$11,0))+SUMIFS($H$2:$H$121,$A$2:$A$121,$A85,$F$2:$F$121,"OPERATE")*INDEX(المرجع!$K$9:$K$11,MATCH("OPERATE",المرجع!$L$9:$L$11,0)))/100,1)</f>
        <v>49.9</v>
      </c>
      <c r="L85" s="32" t="str">
        <f aca="false">IF($K85&gt;المرجع!$K$3,"متقدم",IF($K85&lt;=المرجع!$K$2,"أولي","جزئي"))</f>
        <v>جزئي</v>
      </c>
      <c r="M85" s="31" t="n">
        <f aca="false">ROUND((SUMIFS($I$2:$I$121,$A$2:$A$121,$A85,$F$2:$F$121,"DESIGN")*INDEX(المرجع!$K$9:$K$11,MATCH("DESIGN",المرجع!$L$9:$L$11,0))+SUMIFS($I$2:$I$121,$A$2:$A$121,$A85,$F$2:$F$121,"BUILD")*INDEX(المرجع!$K$9:$K$11,MATCH("BUILD",المرجع!$L$9:$L$11,0))+SUMIFS($I$2:$I$121,$A$2:$A$121,$A85,$F$2:$F$121,"OPERATE")*INDEX(المرجع!$K$9:$K$11,MATCH("OPERATE",المرجع!$L$9:$L$11,0)))/100,1)</f>
        <v>94.5</v>
      </c>
      <c r="N85" s="32" t="str">
        <f aca="false">IF($M85&gt;المرجع!$K$3,"متقدم",IF($M85&lt;=المرجع!$K$2,"أولي","جزئي"))</f>
        <v>متقدم</v>
      </c>
    </row>
    <row r="86" customFormat="false" ht="15" hidden="false" customHeight="true" outlineLevel="0" collapsed="false">
      <c r="A86" s="19" t="s">
        <v>214</v>
      </c>
      <c r="B86" s="19" t="str">
        <f aca="false">IFERROR(INDEX('قائمة الوحدات'!$B$2:$B$41,MATCH($A86,'قائمة الوحدات'!$A$2:$A$41,0)),"")</f>
        <v>MIL</v>
      </c>
      <c r="C86" s="18" t="str">
        <f aca="false">IFERROR(INDEX('قائمة الوحدات'!$C$2:$C$41,MATCH($A86,'قائمة الوحدات'!$A$2:$A$41,0)),"")</f>
        <v>الجهاز العسكري</v>
      </c>
      <c r="D86" s="18" t="str">
        <f aca="false">IFERROR(INDEX('قائمة الوحدات'!$D$2:$D$41,MATCH($A86,'قائمة الوحدات'!$A$2:$A$41,0)),"")</f>
        <v>الإدارة العامة للإمداد والتموين</v>
      </c>
      <c r="E86" s="18" t="str">
        <f aca="false">IFERROR(INDEX('قائمة الوحدات'!$F$2:$F$41,MATCH($A86,'قائمة الوحدات'!$A$2:$A$41,0)),"")</f>
        <v>الإدارة العامة للإمداد والتموين</v>
      </c>
      <c r="F86" s="19" t="s">
        <v>44</v>
      </c>
      <c r="G86" s="18" t="str">
        <f aca="false">IFERROR(INDEX(المرجع!$A$2:$A$19,MATCH($F86,المرجع!$B$2:$B$19,0)),"")</f>
        <v>التصميم</v>
      </c>
      <c r="H86" s="29" t="n">
        <f aca="false">SUMIFS('تقييم العناصر'!$R$2:$R$721,'تقييم العناصر'!$B$2:$B$721,$A86,'تقييم العناصر'!$G$2:$G$721,$F86)</f>
        <v>88.75</v>
      </c>
      <c r="I86" s="30" t="n">
        <f aca="false">SUMIFS('تقييم العناصر'!$T$2:$T$721,'تقييم العناصر'!$B$2:$B$721,$A86,'تقييم العناصر'!$G$2:$G$721,$F86)</f>
        <v>96.8</v>
      </c>
      <c r="J86" s="27" t="str">
        <f aca="false">IF($H86&gt;المرجع!$K$3,"متقدم",IF($H86&lt;=المرجع!$K$2,"أولي","جزئي"))</f>
        <v>متقدم</v>
      </c>
      <c r="K86" s="31" t="n">
        <f aca="false">ROUND((SUMIFS($H$2:$H$121,$A$2:$A$121,$A86,$F$2:$F$121,"DESIGN")*INDEX(المرجع!$K$9:$K$11,MATCH("DESIGN",المرجع!$L$9:$L$11,0))+SUMIFS($H$2:$H$121,$A$2:$A$121,$A86,$F$2:$F$121,"BUILD")*INDEX(المرجع!$K$9:$K$11,MATCH("BUILD",المرجع!$L$9:$L$11,0))+SUMIFS($H$2:$H$121,$A$2:$A$121,$A86,$F$2:$F$121,"OPERATE")*INDEX(المرجع!$K$9:$K$11,MATCH("OPERATE",المرجع!$L$9:$L$11,0)))/100,1)</f>
        <v>61.2</v>
      </c>
      <c r="L86" s="32" t="str">
        <f aca="false">IF($K86&gt;المرجع!$K$3,"متقدم",IF($K86&lt;=المرجع!$K$2,"أولي","جزئي"))</f>
        <v>جزئي</v>
      </c>
      <c r="M86" s="31" t="n">
        <f aca="false">ROUND((SUMIFS($I$2:$I$121,$A$2:$A$121,$A86,$F$2:$F$121,"DESIGN")*INDEX(المرجع!$K$9:$K$11,MATCH("DESIGN",المرجع!$L$9:$L$11,0))+SUMIFS($I$2:$I$121,$A$2:$A$121,$A86,$F$2:$F$121,"BUILD")*INDEX(المرجع!$K$9:$K$11,MATCH("BUILD",المرجع!$L$9:$L$11,0))+SUMIFS($I$2:$I$121,$A$2:$A$121,$A86,$F$2:$F$121,"OPERATE")*INDEX(المرجع!$K$9:$K$11,MATCH("OPERATE",المرجع!$L$9:$L$11,0)))/100,1)</f>
        <v>92.8</v>
      </c>
      <c r="N86" s="32" t="str">
        <f aca="false">IF($M86&gt;المرجع!$K$3,"متقدم",IF($M86&lt;=المرجع!$K$2,"أولي","جزئي"))</f>
        <v>متقدم</v>
      </c>
    </row>
    <row r="87" customFormat="false" ht="15" hidden="false" customHeight="true" outlineLevel="0" collapsed="false">
      <c r="A87" s="19" t="s">
        <v>214</v>
      </c>
      <c r="B87" s="19" t="str">
        <f aca="false">IFERROR(INDEX('قائمة الوحدات'!$B$2:$B$41,MATCH($A87,'قائمة الوحدات'!$A$2:$A$41,0)),"")</f>
        <v>MIL</v>
      </c>
      <c r="C87" s="18" t="str">
        <f aca="false">IFERROR(INDEX('قائمة الوحدات'!$C$2:$C$41,MATCH($A87,'قائمة الوحدات'!$A$2:$A$41,0)),"")</f>
        <v>الجهاز العسكري</v>
      </c>
      <c r="D87" s="18" t="str">
        <f aca="false">IFERROR(INDEX('قائمة الوحدات'!$D$2:$D$41,MATCH($A87,'قائمة الوحدات'!$A$2:$A$41,0)),"")</f>
        <v>الإدارة العامة للإمداد والتموين</v>
      </c>
      <c r="E87" s="18" t="str">
        <f aca="false">IFERROR(INDEX('قائمة الوحدات'!$F$2:$F$41,MATCH($A87,'قائمة الوحدات'!$A$2:$A$41,0)),"")</f>
        <v>الإدارة العامة للإمداد والتموين</v>
      </c>
      <c r="F87" s="19" t="s">
        <v>62</v>
      </c>
      <c r="G87" s="18" t="str">
        <f aca="false">IFERROR(INDEX(المرجع!$A$2:$A$19,MATCH($F87,المرجع!$B$2:$B$19,0)),"")</f>
        <v>البناء المؤسسي</v>
      </c>
      <c r="H87" s="29" t="n">
        <f aca="false">SUMIFS('تقييم العناصر'!$R$2:$R$721,'تقييم العناصر'!$B$2:$B$721,$A87,'تقييم العناصر'!$G$2:$G$721,$F87)</f>
        <v>66.3</v>
      </c>
      <c r="I87" s="30" t="n">
        <f aca="false">SUMIFS('تقييم العناصر'!$T$2:$T$721,'تقييم العناصر'!$B$2:$B$721,$A87,'تقييم العناصر'!$G$2:$G$721,$F87)</f>
        <v>96.1</v>
      </c>
      <c r="J87" s="27" t="str">
        <f aca="false">IF($H87&gt;المرجع!$K$3,"متقدم",IF($H87&lt;=المرجع!$K$2,"أولي","جزئي"))</f>
        <v>جزئي</v>
      </c>
      <c r="K87" s="31" t="n">
        <f aca="false">ROUND((SUMIFS($H$2:$H$121,$A$2:$A$121,$A87,$F$2:$F$121,"DESIGN")*INDEX(المرجع!$K$9:$K$11,MATCH("DESIGN",المرجع!$L$9:$L$11,0))+SUMIFS($H$2:$H$121,$A$2:$A$121,$A87,$F$2:$F$121,"BUILD")*INDEX(المرجع!$K$9:$K$11,MATCH("BUILD",المرجع!$L$9:$L$11,0))+SUMIFS($H$2:$H$121,$A$2:$A$121,$A87,$F$2:$F$121,"OPERATE")*INDEX(المرجع!$K$9:$K$11,MATCH("OPERATE",المرجع!$L$9:$L$11,0)))/100,1)</f>
        <v>61.2</v>
      </c>
      <c r="L87" s="32" t="str">
        <f aca="false">IF($K87&gt;المرجع!$K$3,"متقدم",IF($K87&lt;=المرجع!$K$2,"أولي","جزئي"))</f>
        <v>جزئي</v>
      </c>
      <c r="M87" s="31" t="n">
        <f aca="false">ROUND((SUMIFS($I$2:$I$121,$A$2:$A$121,$A87,$F$2:$F$121,"DESIGN")*INDEX(المرجع!$K$9:$K$11,MATCH("DESIGN",المرجع!$L$9:$L$11,0))+SUMIFS($I$2:$I$121,$A$2:$A$121,$A87,$F$2:$F$121,"BUILD")*INDEX(المرجع!$K$9:$K$11,MATCH("BUILD",المرجع!$L$9:$L$11,0))+SUMIFS($I$2:$I$121,$A$2:$A$121,$A87,$F$2:$F$121,"OPERATE")*INDEX(المرجع!$K$9:$K$11,MATCH("OPERATE",المرجع!$L$9:$L$11,0)))/100,1)</f>
        <v>92.8</v>
      </c>
      <c r="N87" s="32" t="str">
        <f aca="false">IF($M87&gt;المرجع!$K$3,"متقدم",IF($M87&lt;=المرجع!$K$2,"أولي","جزئي"))</f>
        <v>متقدم</v>
      </c>
    </row>
    <row r="88" customFormat="false" ht="15" hidden="false" customHeight="true" outlineLevel="0" collapsed="false">
      <c r="A88" s="19" t="s">
        <v>214</v>
      </c>
      <c r="B88" s="19" t="str">
        <f aca="false">IFERROR(INDEX('قائمة الوحدات'!$B$2:$B$41,MATCH($A88,'قائمة الوحدات'!$A$2:$A$41,0)),"")</f>
        <v>MIL</v>
      </c>
      <c r="C88" s="18" t="str">
        <f aca="false">IFERROR(INDEX('قائمة الوحدات'!$C$2:$C$41,MATCH($A88,'قائمة الوحدات'!$A$2:$A$41,0)),"")</f>
        <v>الجهاز العسكري</v>
      </c>
      <c r="D88" s="18" t="str">
        <f aca="false">IFERROR(INDEX('قائمة الوحدات'!$D$2:$D$41,MATCH($A88,'قائمة الوحدات'!$A$2:$A$41,0)),"")</f>
        <v>الإدارة العامة للإمداد والتموين</v>
      </c>
      <c r="E88" s="18" t="str">
        <f aca="false">IFERROR(INDEX('قائمة الوحدات'!$F$2:$F$41,MATCH($A88,'قائمة الوحدات'!$A$2:$A$41,0)),"")</f>
        <v>الإدارة العامة للإمداد والتموين</v>
      </c>
      <c r="F88" s="19" t="s">
        <v>66</v>
      </c>
      <c r="G88" s="18" t="str">
        <f aca="false">IFERROR(INDEX(المرجع!$A$2:$A$19,MATCH($F88,المرجع!$B$2:$B$19,0)),"")</f>
        <v>التشغيل</v>
      </c>
      <c r="H88" s="29" t="n">
        <f aca="false">SUMIFS('تقييم العناصر'!$R$2:$R$721,'تقييم العناصر'!$B$2:$B$721,$A88,'تقييم العناصر'!$G$2:$G$721,$F88)</f>
        <v>47.1</v>
      </c>
      <c r="I88" s="30" t="n">
        <f aca="false">SUMIFS('تقييم العناصر'!$T$2:$T$721,'تقييم العناصر'!$B$2:$B$721,$A88,'تقييم العناصر'!$G$2:$G$721,$F88)</f>
        <v>89.25</v>
      </c>
      <c r="J88" s="27" t="str">
        <f aca="false">IF($H88&gt;المرجع!$K$3,"متقدم",IF($H88&lt;=المرجع!$K$2,"أولي","جزئي"))</f>
        <v>جزئي</v>
      </c>
      <c r="K88" s="31" t="n">
        <f aca="false">ROUND((SUMIFS($H$2:$H$121,$A$2:$A$121,$A88,$F$2:$F$121,"DESIGN")*INDEX(المرجع!$K$9:$K$11,MATCH("DESIGN",المرجع!$L$9:$L$11,0))+SUMIFS($H$2:$H$121,$A$2:$A$121,$A88,$F$2:$F$121,"BUILD")*INDEX(المرجع!$K$9:$K$11,MATCH("BUILD",المرجع!$L$9:$L$11,0))+SUMIFS($H$2:$H$121,$A$2:$A$121,$A88,$F$2:$F$121,"OPERATE")*INDEX(المرجع!$K$9:$K$11,MATCH("OPERATE",المرجع!$L$9:$L$11,0)))/100,1)</f>
        <v>61.2</v>
      </c>
      <c r="L88" s="32" t="str">
        <f aca="false">IF($K88&gt;المرجع!$K$3,"متقدم",IF($K88&lt;=المرجع!$K$2,"أولي","جزئي"))</f>
        <v>جزئي</v>
      </c>
      <c r="M88" s="31" t="n">
        <f aca="false">ROUND((SUMIFS($I$2:$I$121,$A$2:$A$121,$A88,$F$2:$F$121,"DESIGN")*INDEX(المرجع!$K$9:$K$11,MATCH("DESIGN",المرجع!$L$9:$L$11,0))+SUMIFS($I$2:$I$121,$A$2:$A$121,$A88,$F$2:$F$121,"BUILD")*INDEX(المرجع!$K$9:$K$11,MATCH("BUILD",المرجع!$L$9:$L$11,0))+SUMIFS($I$2:$I$121,$A$2:$A$121,$A88,$F$2:$F$121,"OPERATE")*INDEX(المرجع!$K$9:$K$11,MATCH("OPERATE",المرجع!$L$9:$L$11,0)))/100,1)</f>
        <v>92.8</v>
      </c>
      <c r="N88" s="32" t="str">
        <f aca="false">IF($M88&gt;المرجع!$K$3,"متقدم",IF($M88&lt;=المرجع!$K$2,"أولي","جزئي"))</f>
        <v>متقدم</v>
      </c>
    </row>
    <row r="89" customFormat="false" ht="15" hidden="false" customHeight="true" outlineLevel="0" collapsed="false">
      <c r="A89" s="19" t="s">
        <v>216</v>
      </c>
      <c r="B89" s="19" t="str">
        <f aca="false">IFERROR(INDEX('قائمة الوحدات'!$B$2:$B$41,MATCH($A89,'قائمة الوحدات'!$A$2:$A$41,0)),"")</f>
        <v>MIL</v>
      </c>
      <c r="C89" s="18" t="str">
        <f aca="false">IFERROR(INDEX('قائمة الوحدات'!$C$2:$C$41,MATCH($A89,'قائمة الوحدات'!$A$2:$A$41,0)),"")</f>
        <v>الجهاز العسكري</v>
      </c>
      <c r="D89" s="18" t="str">
        <f aca="false">IFERROR(INDEX('قائمة الوحدات'!$D$2:$D$41,MATCH($A89,'قائمة الوحدات'!$A$2:$A$41,0)),"")</f>
        <v>الإدارة العامة للاتصالات وتقنية المعلومات العسكرية</v>
      </c>
      <c r="E89" s="18" t="str">
        <f aca="false">IFERROR(INDEX('قائمة الوحدات'!$F$2:$F$41,MATCH($A89,'قائمة الوحدات'!$A$2:$A$41,0)),"")</f>
        <v>الإدارة العامة للاتصالات وتقنية المعلومات العسكرية</v>
      </c>
      <c r="F89" s="19" t="s">
        <v>44</v>
      </c>
      <c r="G89" s="18" t="str">
        <f aca="false">IFERROR(INDEX(المرجع!$A$2:$A$19,MATCH($F89,المرجع!$B$2:$B$19,0)),"")</f>
        <v>التصميم</v>
      </c>
      <c r="H89" s="29" t="n">
        <f aca="false">SUMIFS('تقييم العناصر'!$R$2:$R$721,'تقييم العناصر'!$B$2:$B$721,$A89,'تقييم العناصر'!$G$2:$G$721,$F89)</f>
        <v>85.5</v>
      </c>
      <c r="I89" s="30" t="n">
        <f aca="false">SUMIFS('تقييم العناصر'!$T$2:$T$721,'تقييم العناصر'!$B$2:$B$721,$A89,'تقييم العناصر'!$G$2:$G$721,$F89)</f>
        <v>94.75</v>
      </c>
      <c r="J89" s="27" t="str">
        <f aca="false">IF($H89&gt;المرجع!$K$3,"متقدم",IF($H89&lt;=المرجع!$K$2,"أولي","جزئي"))</f>
        <v>متقدم</v>
      </c>
      <c r="K89" s="31" t="n">
        <f aca="false">ROUND((SUMIFS($H$2:$H$121,$A$2:$A$121,$A89,$F$2:$F$121,"DESIGN")*INDEX(المرجع!$K$9:$K$11,MATCH("DESIGN",المرجع!$L$9:$L$11,0))+SUMIFS($H$2:$H$121,$A$2:$A$121,$A89,$F$2:$F$121,"BUILD")*INDEX(المرجع!$K$9:$K$11,MATCH("BUILD",المرجع!$L$9:$L$11,0))+SUMIFS($H$2:$H$121,$A$2:$A$121,$A89,$F$2:$F$121,"OPERATE")*INDEX(المرجع!$K$9:$K$11,MATCH("OPERATE",المرجع!$L$9:$L$11,0)))/100,1)</f>
        <v>58.6</v>
      </c>
      <c r="L89" s="32" t="str">
        <f aca="false">IF($K89&gt;المرجع!$K$3,"متقدم",IF($K89&lt;=المرجع!$K$2,"أولي","جزئي"))</f>
        <v>جزئي</v>
      </c>
      <c r="M89" s="31" t="n">
        <f aca="false">ROUND((SUMIFS($I$2:$I$121,$A$2:$A$121,$A89,$F$2:$F$121,"DESIGN")*INDEX(المرجع!$K$9:$K$11,MATCH("DESIGN",المرجع!$L$9:$L$11,0))+SUMIFS($I$2:$I$121,$A$2:$A$121,$A89,$F$2:$F$121,"BUILD")*INDEX(المرجع!$K$9:$K$11,MATCH("BUILD",المرجع!$L$9:$L$11,0))+SUMIFS($I$2:$I$121,$A$2:$A$121,$A89,$F$2:$F$121,"OPERATE")*INDEX(المرجع!$K$9:$K$11,MATCH("OPERATE",المرجع!$L$9:$L$11,0)))/100,1)</f>
        <v>94.3</v>
      </c>
      <c r="N89" s="32" t="str">
        <f aca="false">IF($M89&gt;المرجع!$K$3,"متقدم",IF($M89&lt;=المرجع!$K$2,"أولي","جزئي"))</f>
        <v>متقدم</v>
      </c>
    </row>
    <row r="90" customFormat="false" ht="15" hidden="false" customHeight="true" outlineLevel="0" collapsed="false">
      <c r="A90" s="19" t="s">
        <v>216</v>
      </c>
      <c r="B90" s="19" t="str">
        <f aca="false">IFERROR(INDEX('قائمة الوحدات'!$B$2:$B$41,MATCH($A90,'قائمة الوحدات'!$A$2:$A$41,0)),"")</f>
        <v>MIL</v>
      </c>
      <c r="C90" s="18" t="str">
        <f aca="false">IFERROR(INDEX('قائمة الوحدات'!$C$2:$C$41,MATCH($A90,'قائمة الوحدات'!$A$2:$A$41,0)),"")</f>
        <v>الجهاز العسكري</v>
      </c>
      <c r="D90" s="18" t="str">
        <f aca="false">IFERROR(INDEX('قائمة الوحدات'!$D$2:$D$41,MATCH($A90,'قائمة الوحدات'!$A$2:$A$41,0)),"")</f>
        <v>الإدارة العامة للاتصالات وتقنية المعلومات العسكرية</v>
      </c>
      <c r="E90" s="18" t="str">
        <f aca="false">IFERROR(INDEX('قائمة الوحدات'!$F$2:$F$41,MATCH($A90,'قائمة الوحدات'!$A$2:$A$41,0)),"")</f>
        <v>الإدارة العامة للاتصالات وتقنية المعلومات العسكرية</v>
      </c>
      <c r="F90" s="19" t="s">
        <v>62</v>
      </c>
      <c r="G90" s="18" t="str">
        <f aca="false">IFERROR(INDEX(المرجع!$A$2:$A$19,MATCH($F90,المرجع!$B$2:$B$19,0)),"")</f>
        <v>البناء المؤسسي</v>
      </c>
      <c r="H90" s="29" t="n">
        <f aca="false">SUMIFS('تقييم العناصر'!$R$2:$R$721,'تقييم العناصر'!$B$2:$B$721,$A90,'تقييم العناصر'!$G$2:$G$721,$F90)</f>
        <v>69.2</v>
      </c>
      <c r="I90" s="30" t="n">
        <f aca="false">SUMIFS('تقييم العناصر'!$T$2:$T$721,'تقييم العناصر'!$B$2:$B$721,$A90,'تقييم العناصر'!$G$2:$G$721,$F90)</f>
        <v>92.95</v>
      </c>
      <c r="J90" s="27" t="str">
        <f aca="false">IF($H90&gt;المرجع!$K$3,"متقدم",IF($H90&lt;=المرجع!$K$2,"أولي","جزئي"))</f>
        <v>جزئي</v>
      </c>
      <c r="K90" s="31" t="n">
        <f aca="false">ROUND((SUMIFS($H$2:$H$121,$A$2:$A$121,$A90,$F$2:$F$121,"DESIGN")*INDEX(المرجع!$K$9:$K$11,MATCH("DESIGN",المرجع!$L$9:$L$11,0))+SUMIFS($H$2:$H$121,$A$2:$A$121,$A90,$F$2:$F$121,"BUILD")*INDEX(المرجع!$K$9:$K$11,MATCH("BUILD",المرجع!$L$9:$L$11,0))+SUMIFS($H$2:$H$121,$A$2:$A$121,$A90,$F$2:$F$121,"OPERATE")*INDEX(المرجع!$K$9:$K$11,MATCH("OPERATE",المرجع!$L$9:$L$11,0)))/100,1)</f>
        <v>58.6</v>
      </c>
      <c r="L90" s="32" t="str">
        <f aca="false">IF($K90&gt;المرجع!$K$3,"متقدم",IF($K90&lt;=المرجع!$K$2,"أولي","جزئي"))</f>
        <v>جزئي</v>
      </c>
      <c r="M90" s="31" t="n">
        <f aca="false">ROUND((SUMIFS($I$2:$I$121,$A$2:$A$121,$A90,$F$2:$F$121,"DESIGN")*INDEX(المرجع!$K$9:$K$11,MATCH("DESIGN",المرجع!$L$9:$L$11,0))+SUMIFS($I$2:$I$121,$A$2:$A$121,$A90,$F$2:$F$121,"BUILD")*INDEX(المرجع!$K$9:$K$11,MATCH("BUILD",المرجع!$L$9:$L$11,0))+SUMIFS($I$2:$I$121,$A$2:$A$121,$A90,$F$2:$F$121,"OPERATE")*INDEX(المرجع!$K$9:$K$11,MATCH("OPERATE",المرجع!$L$9:$L$11,0)))/100,1)</f>
        <v>94.3</v>
      </c>
      <c r="N90" s="32" t="str">
        <f aca="false">IF($M90&gt;المرجع!$K$3,"متقدم",IF($M90&lt;=المرجع!$K$2,"أولي","جزئي"))</f>
        <v>متقدم</v>
      </c>
    </row>
    <row r="91" customFormat="false" ht="15" hidden="false" customHeight="true" outlineLevel="0" collapsed="false">
      <c r="A91" s="19" t="s">
        <v>216</v>
      </c>
      <c r="B91" s="19" t="str">
        <f aca="false">IFERROR(INDEX('قائمة الوحدات'!$B$2:$B$41,MATCH($A91,'قائمة الوحدات'!$A$2:$A$41,0)),"")</f>
        <v>MIL</v>
      </c>
      <c r="C91" s="18" t="str">
        <f aca="false">IFERROR(INDEX('قائمة الوحدات'!$C$2:$C$41,MATCH($A91,'قائمة الوحدات'!$A$2:$A$41,0)),"")</f>
        <v>الجهاز العسكري</v>
      </c>
      <c r="D91" s="18" t="str">
        <f aca="false">IFERROR(INDEX('قائمة الوحدات'!$D$2:$D$41,MATCH($A91,'قائمة الوحدات'!$A$2:$A$41,0)),"")</f>
        <v>الإدارة العامة للاتصالات وتقنية المعلومات العسكرية</v>
      </c>
      <c r="E91" s="18" t="str">
        <f aca="false">IFERROR(INDEX('قائمة الوحدات'!$F$2:$F$41,MATCH($A91,'قائمة الوحدات'!$A$2:$A$41,0)),"")</f>
        <v>الإدارة العامة للاتصالات وتقنية المعلومات العسكرية</v>
      </c>
      <c r="F91" s="19" t="s">
        <v>66</v>
      </c>
      <c r="G91" s="18" t="str">
        <f aca="false">IFERROR(INDEX(المرجع!$A$2:$A$19,MATCH($F91,المرجع!$B$2:$B$19,0)),"")</f>
        <v>التشغيل</v>
      </c>
      <c r="H91" s="29" t="n">
        <f aca="false">SUMIFS('تقييم العناصر'!$R$2:$R$721,'تقييم العناصر'!$B$2:$B$721,$A91,'تقييم العناصر'!$G$2:$G$721,$F91)</f>
        <v>41.45</v>
      </c>
      <c r="I91" s="30" t="n">
        <f aca="false">SUMIFS('تقييم العناصر'!$T$2:$T$721,'تقييم العناصر'!$B$2:$B$721,$A91,'تقييم العناصر'!$G$2:$G$721,$F91)</f>
        <v>95</v>
      </c>
      <c r="J91" s="27" t="str">
        <f aca="false">IF($H91&gt;المرجع!$K$3,"متقدم",IF($H91&lt;=المرجع!$K$2,"أولي","جزئي"))</f>
        <v>جزئي</v>
      </c>
      <c r="K91" s="31" t="n">
        <f aca="false">ROUND((SUMIFS($H$2:$H$121,$A$2:$A$121,$A91,$F$2:$F$121,"DESIGN")*INDEX(المرجع!$K$9:$K$11,MATCH("DESIGN",المرجع!$L$9:$L$11,0))+SUMIFS($H$2:$H$121,$A$2:$A$121,$A91,$F$2:$F$121,"BUILD")*INDEX(المرجع!$K$9:$K$11,MATCH("BUILD",المرجع!$L$9:$L$11,0))+SUMIFS($H$2:$H$121,$A$2:$A$121,$A91,$F$2:$F$121,"OPERATE")*INDEX(المرجع!$K$9:$K$11,MATCH("OPERATE",المرجع!$L$9:$L$11,0)))/100,1)</f>
        <v>58.6</v>
      </c>
      <c r="L91" s="32" t="str">
        <f aca="false">IF($K91&gt;المرجع!$K$3,"متقدم",IF($K91&lt;=المرجع!$K$2,"أولي","جزئي"))</f>
        <v>جزئي</v>
      </c>
      <c r="M91" s="31" t="n">
        <f aca="false">ROUND((SUMIFS($I$2:$I$121,$A$2:$A$121,$A91,$F$2:$F$121,"DESIGN")*INDEX(المرجع!$K$9:$K$11,MATCH("DESIGN",المرجع!$L$9:$L$11,0))+SUMIFS($I$2:$I$121,$A$2:$A$121,$A91,$F$2:$F$121,"BUILD")*INDEX(المرجع!$K$9:$K$11,MATCH("BUILD",المرجع!$L$9:$L$11,0))+SUMIFS($I$2:$I$121,$A$2:$A$121,$A91,$F$2:$F$121,"OPERATE")*INDEX(المرجع!$K$9:$K$11,MATCH("OPERATE",المرجع!$L$9:$L$11,0)))/100,1)</f>
        <v>94.3</v>
      </c>
      <c r="N91" s="32" t="str">
        <f aca="false">IF($M91&gt;المرجع!$K$3,"متقدم",IF($M91&lt;=المرجع!$K$2,"أولي","جزئي"))</f>
        <v>متقدم</v>
      </c>
    </row>
    <row r="92" customFormat="false" ht="15" hidden="false" customHeight="true" outlineLevel="0" collapsed="false">
      <c r="A92" s="19" t="s">
        <v>218</v>
      </c>
      <c r="B92" s="19" t="str">
        <f aca="false">IFERROR(INDEX('قائمة الوحدات'!$B$2:$B$41,MATCH($A92,'قائمة الوحدات'!$A$2:$A$41,0)),"")</f>
        <v>MIL</v>
      </c>
      <c r="C92" s="18" t="str">
        <f aca="false">IFERROR(INDEX('قائمة الوحدات'!$C$2:$C$41,MATCH($A92,'قائمة الوحدات'!$A$2:$A$41,0)),"")</f>
        <v>الجهاز العسكري</v>
      </c>
      <c r="D92" s="18" t="str">
        <f aca="false">IFERROR(INDEX('قائمة الوحدات'!$D$2:$D$41,MATCH($A92,'قائمة الوحدات'!$A$2:$A$41,0)),"")</f>
        <v>الإدارة العامة للشؤون الهندسية العسكرية</v>
      </c>
      <c r="E92" s="18" t="str">
        <f aca="false">IFERROR(INDEX('قائمة الوحدات'!$F$2:$F$41,MATCH($A92,'قائمة الوحدات'!$A$2:$A$41,0)),"")</f>
        <v>الإدارة العامة للشؤون الهندسية العسكرية</v>
      </c>
      <c r="F92" s="19" t="s">
        <v>44</v>
      </c>
      <c r="G92" s="18" t="str">
        <f aca="false">IFERROR(INDEX(المرجع!$A$2:$A$19,MATCH($F92,المرجع!$B$2:$B$19,0)),"")</f>
        <v>التصميم</v>
      </c>
      <c r="H92" s="29" t="n">
        <f aca="false">SUMIFS('تقييم العناصر'!$R$2:$R$721,'تقييم العناصر'!$B$2:$B$721,$A92,'تقييم العناصر'!$G$2:$G$721,$F92)</f>
        <v>81.35</v>
      </c>
      <c r="I92" s="30" t="n">
        <f aca="false">SUMIFS('تقييم العناصر'!$T$2:$T$721,'تقييم العناصر'!$B$2:$B$721,$A92,'تقييم العناصر'!$G$2:$G$721,$F92)</f>
        <v>87.85</v>
      </c>
      <c r="J92" s="27" t="str">
        <f aca="false">IF($H92&gt;المرجع!$K$3,"متقدم",IF($H92&lt;=المرجع!$K$2,"أولي","جزئي"))</f>
        <v>متقدم</v>
      </c>
      <c r="K92" s="31" t="n">
        <f aca="false">ROUND((SUMIFS($H$2:$H$121,$A$2:$A$121,$A92,$F$2:$F$121,"DESIGN")*INDEX(المرجع!$K$9:$K$11,MATCH("DESIGN",المرجع!$L$9:$L$11,0))+SUMIFS($H$2:$H$121,$A$2:$A$121,$A92,$F$2:$F$121,"BUILD")*INDEX(المرجع!$K$9:$K$11,MATCH("BUILD",المرجع!$L$9:$L$11,0))+SUMIFS($H$2:$H$121,$A$2:$A$121,$A92,$F$2:$F$121,"OPERATE")*INDEX(المرجع!$K$9:$K$11,MATCH("OPERATE",المرجع!$L$9:$L$11,0)))/100,1)</f>
        <v>53</v>
      </c>
      <c r="L92" s="32" t="str">
        <f aca="false">IF($K92&gt;المرجع!$K$3,"متقدم",IF($K92&lt;=المرجع!$K$2,"أولي","جزئي"))</f>
        <v>جزئي</v>
      </c>
      <c r="M92" s="31" t="n">
        <f aca="false">ROUND((SUMIFS($I$2:$I$121,$A$2:$A$121,$A92,$F$2:$F$121,"DESIGN")*INDEX(المرجع!$K$9:$K$11,MATCH("DESIGN",المرجع!$L$9:$L$11,0))+SUMIFS($I$2:$I$121,$A$2:$A$121,$A92,$F$2:$F$121,"BUILD")*INDEX(المرجع!$K$9:$K$11,MATCH("BUILD",المرجع!$L$9:$L$11,0))+SUMIFS($I$2:$I$121,$A$2:$A$121,$A92,$F$2:$F$121,"OPERATE")*INDEX(المرجع!$K$9:$K$11,MATCH("OPERATE",المرجع!$L$9:$L$11,0)))/100,1)</f>
        <v>89.3</v>
      </c>
      <c r="N92" s="32" t="str">
        <f aca="false">IF($M92&gt;المرجع!$K$3,"متقدم",IF($M92&lt;=المرجع!$K$2,"أولي","جزئي"))</f>
        <v>متقدم</v>
      </c>
    </row>
    <row r="93" customFormat="false" ht="15" hidden="false" customHeight="true" outlineLevel="0" collapsed="false">
      <c r="A93" s="19" t="s">
        <v>218</v>
      </c>
      <c r="B93" s="19" t="str">
        <f aca="false">IFERROR(INDEX('قائمة الوحدات'!$B$2:$B$41,MATCH($A93,'قائمة الوحدات'!$A$2:$A$41,0)),"")</f>
        <v>MIL</v>
      </c>
      <c r="C93" s="18" t="str">
        <f aca="false">IFERROR(INDEX('قائمة الوحدات'!$C$2:$C$41,MATCH($A93,'قائمة الوحدات'!$A$2:$A$41,0)),"")</f>
        <v>الجهاز العسكري</v>
      </c>
      <c r="D93" s="18" t="str">
        <f aca="false">IFERROR(INDEX('قائمة الوحدات'!$D$2:$D$41,MATCH($A93,'قائمة الوحدات'!$A$2:$A$41,0)),"")</f>
        <v>الإدارة العامة للشؤون الهندسية العسكرية</v>
      </c>
      <c r="E93" s="18" t="str">
        <f aca="false">IFERROR(INDEX('قائمة الوحدات'!$F$2:$F$41,MATCH($A93,'قائمة الوحدات'!$A$2:$A$41,0)),"")</f>
        <v>الإدارة العامة للشؤون الهندسية العسكرية</v>
      </c>
      <c r="F93" s="19" t="s">
        <v>62</v>
      </c>
      <c r="G93" s="18" t="str">
        <f aca="false">IFERROR(INDEX(المرجع!$A$2:$A$19,MATCH($F93,المرجع!$B$2:$B$19,0)),"")</f>
        <v>البناء المؤسسي</v>
      </c>
      <c r="H93" s="29" t="n">
        <f aca="false">SUMIFS('تقييم العناصر'!$R$2:$R$721,'تقييم العناصر'!$B$2:$B$721,$A93,'تقييم العناصر'!$G$2:$G$721,$F93)</f>
        <v>59.55</v>
      </c>
      <c r="I93" s="30" t="n">
        <f aca="false">SUMIFS('تقييم العناصر'!$T$2:$T$721,'تقييم العناصر'!$B$2:$B$721,$A93,'تقييم العناصر'!$G$2:$G$721,$F93)</f>
        <v>89.8</v>
      </c>
      <c r="J93" s="27" t="str">
        <f aca="false">IF($H93&gt;المرجع!$K$3,"متقدم",IF($H93&lt;=المرجع!$K$2,"أولي","جزئي"))</f>
        <v>جزئي</v>
      </c>
      <c r="K93" s="31" t="n">
        <f aca="false">ROUND((SUMIFS($H$2:$H$121,$A$2:$A$121,$A93,$F$2:$F$121,"DESIGN")*INDEX(المرجع!$K$9:$K$11,MATCH("DESIGN",المرجع!$L$9:$L$11,0))+SUMIFS($H$2:$H$121,$A$2:$A$121,$A93,$F$2:$F$121,"BUILD")*INDEX(المرجع!$K$9:$K$11,MATCH("BUILD",المرجع!$L$9:$L$11,0))+SUMIFS($H$2:$H$121,$A$2:$A$121,$A93,$F$2:$F$121,"OPERATE")*INDEX(المرجع!$K$9:$K$11,MATCH("OPERATE",المرجع!$L$9:$L$11,0)))/100,1)</f>
        <v>53</v>
      </c>
      <c r="L93" s="32" t="str">
        <f aca="false">IF($K93&gt;المرجع!$K$3,"متقدم",IF($K93&lt;=المرجع!$K$2,"أولي","جزئي"))</f>
        <v>جزئي</v>
      </c>
      <c r="M93" s="31" t="n">
        <f aca="false">ROUND((SUMIFS($I$2:$I$121,$A$2:$A$121,$A93,$F$2:$F$121,"DESIGN")*INDEX(المرجع!$K$9:$K$11,MATCH("DESIGN",المرجع!$L$9:$L$11,0))+SUMIFS($I$2:$I$121,$A$2:$A$121,$A93,$F$2:$F$121,"BUILD")*INDEX(المرجع!$K$9:$K$11,MATCH("BUILD",المرجع!$L$9:$L$11,0))+SUMIFS($I$2:$I$121,$A$2:$A$121,$A93,$F$2:$F$121,"OPERATE")*INDEX(المرجع!$K$9:$K$11,MATCH("OPERATE",المرجع!$L$9:$L$11,0)))/100,1)</f>
        <v>89.3</v>
      </c>
      <c r="N93" s="32" t="str">
        <f aca="false">IF($M93&gt;المرجع!$K$3,"متقدم",IF($M93&lt;=المرجع!$K$2,"أولي","جزئي"))</f>
        <v>متقدم</v>
      </c>
    </row>
    <row r="94" customFormat="false" ht="15" hidden="false" customHeight="true" outlineLevel="0" collapsed="false">
      <c r="A94" s="19" t="s">
        <v>218</v>
      </c>
      <c r="B94" s="19" t="str">
        <f aca="false">IFERROR(INDEX('قائمة الوحدات'!$B$2:$B$41,MATCH($A94,'قائمة الوحدات'!$A$2:$A$41,0)),"")</f>
        <v>MIL</v>
      </c>
      <c r="C94" s="18" t="str">
        <f aca="false">IFERROR(INDEX('قائمة الوحدات'!$C$2:$C$41,MATCH($A94,'قائمة الوحدات'!$A$2:$A$41,0)),"")</f>
        <v>الجهاز العسكري</v>
      </c>
      <c r="D94" s="18" t="str">
        <f aca="false">IFERROR(INDEX('قائمة الوحدات'!$D$2:$D$41,MATCH($A94,'قائمة الوحدات'!$A$2:$A$41,0)),"")</f>
        <v>الإدارة العامة للشؤون الهندسية العسكرية</v>
      </c>
      <c r="E94" s="18" t="str">
        <f aca="false">IFERROR(INDEX('قائمة الوحدات'!$F$2:$F$41,MATCH($A94,'قائمة الوحدات'!$A$2:$A$41,0)),"")</f>
        <v>الإدارة العامة للشؤون الهندسية العسكرية</v>
      </c>
      <c r="F94" s="19" t="s">
        <v>66</v>
      </c>
      <c r="G94" s="18" t="str">
        <f aca="false">IFERROR(INDEX(المرجع!$A$2:$A$19,MATCH($F94,المرجع!$B$2:$B$19,0)),"")</f>
        <v>التشغيل</v>
      </c>
      <c r="H94" s="29" t="n">
        <f aca="false">SUMIFS('تقييم العناصر'!$R$2:$R$721,'تقييم العناصر'!$B$2:$B$721,$A94,'تقييم العناصر'!$G$2:$G$721,$F94)</f>
        <v>37.75</v>
      </c>
      <c r="I94" s="30" t="n">
        <f aca="false">SUMIFS('تقييم العناصر'!$T$2:$T$721,'تقييم العناصر'!$B$2:$B$721,$A94,'تقييم العناصر'!$G$2:$G$721,$F94)</f>
        <v>89.5</v>
      </c>
      <c r="J94" s="27" t="str">
        <f aca="false">IF($H94&gt;المرجع!$K$3,"متقدم",IF($H94&lt;=المرجع!$K$2,"أولي","جزئي"))</f>
        <v>جزئي</v>
      </c>
      <c r="K94" s="31" t="n">
        <f aca="false">ROUND((SUMIFS($H$2:$H$121,$A$2:$A$121,$A94,$F$2:$F$121,"DESIGN")*INDEX(المرجع!$K$9:$K$11,MATCH("DESIGN",المرجع!$L$9:$L$11,0))+SUMIFS($H$2:$H$121,$A$2:$A$121,$A94,$F$2:$F$121,"BUILD")*INDEX(المرجع!$K$9:$K$11,MATCH("BUILD",المرجع!$L$9:$L$11,0))+SUMIFS($H$2:$H$121,$A$2:$A$121,$A94,$F$2:$F$121,"OPERATE")*INDEX(المرجع!$K$9:$K$11,MATCH("OPERATE",المرجع!$L$9:$L$11,0)))/100,1)</f>
        <v>53</v>
      </c>
      <c r="L94" s="32" t="str">
        <f aca="false">IF($K94&gt;المرجع!$K$3,"متقدم",IF($K94&lt;=المرجع!$K$2,"أولي","جزئي"))</f>
        <v>جزئي</v>
      </c>
      <c r="M94" s="31" t="n">
        <f aca="false">ROUND((SUMIFS($I$2:$I$121,$A$2:$A$121,$A94,$F$2:$F$121,"DESIGN")*INDEX(المرجع!$K$9:$K$11,MATCH("DESIGN",المرجع!$L$9:$L$11,0))+SUMIFS($I$2:$I$121,$A$2:$A$121,$A94,$F$2:$F$121,"BUILD")*INDEX(المرجع!$K$9:$K$11,MATCH("BUILD",المرجع!$L$9:$L$11,0))+SUMIFS($I$2:$I$121,$A$2:$A$121,$A94,$F$2:$F$121,"OPERATE")*INDEX(المرجع!$K$9:$K$11,MATCH("OPERATE",المرجع!$L$9:$L$11,0)))/100,1)</f>
        <v>89.3</v>
      </c>
      <c r="N94" s="32" t="str">
        <f aca="false">IF($M94&gt;المرجع!$K$3,"متقدم",IF($M94&lt;=المرجع!$K$2,"أولي","جزئي"))</f>
        <v>متقدم</v>
      </c>
    </row>
    <row r="95" customFormat="false" ht="15" hidden="false" customHeight="true" outlineLevel="0" collapsed="false">
      <c r="A95" s="19" t="s">
        <v>220</v>
      </c>
      <c r="B95" s="19" t="str">
        <f aca="false">IFERROR(INDEX('قائمة الوحدات'!$B$2:$B$41,MATCH($A95,'قائمة الوحدات'!$A$2:$A$41,0)),"")</f>
        <v>MIL</v>
      </c>
      <c r="C95" s="18" t="str">
        <f aca="false">IFERROR(INDEX('قائمة الوحدات'!$C$2:$C$41,MATCH($A95,'قائمة الوحدات'!$A$2:$A$41,0)),"")</f>
        <v>الجهاز العسكري</v>
      </c>
      <c r="D95" s="18" t="str">
        <f aca="false">IFERROR(INDEX('قائمة الوحدات'!$D$2:$D$41,MATCH($A95,'قائمة الوحدات'!$A$2:$A$41,0)),"")</f>
        <v>الإدارة العامة للخدمات الطبية العسكرية</v>
      </c>
      <c r="E95" s="18" t="str">
        <f aca="false">IFERROR(INDEX('قائمة الوحدات'!$F$2:$F$41,MATCH($A95,'قائمة الوحدات'!$A$2:$A$41,0)),"")</f>
        <v>الإدارة العامة للخدمات الطبية العسكرية</v>
      </c>
      <c r="F95" s="19" t="s">
        <v>44</v>
      </c>
      <c r="G95" s="18" t="str">
        <f aca="false">IFERROR(INDEX(المرجع!$A$2:$A$19,MATCH($F95,المرجع!$B$2:$B$19,0)),"")</f>
        <v>التصميم</v>
      </c>
      <c r="H95" s="29" t="n">
        <f aca="false">SUMIFS('تقييم العناصر'!$R$2:$R$721,'تقييم العناصر'!$B$2:$B$721,$A95,'تقييم العناصر'!$G$2:$G$721,$F95)</f>
        <v>83.6</v>
      </c>
      <c r="I95" s="30" t="n">
        <f aca="false">SUMIFS('تقييم العناصر'!$T$2:$T$721,'تقييم العناصر'!$B$2:$B$721,$A95,'تقييم العناصر'!$G$2:$G$721,$F95)</f>
        <v>94.75</v>
      </c>
      <c r="J95" s="27" t="str">
        <f aca="false">IF($H95&gt;المرجع!$K$3,"متقدم",IF($H95&lt;=المرجع!$K$2,"أولي","جزئي"))</f>
        <v>متقدم</v>
      </c>
      <c r="K95" s="31" t="n">
        <f aca="false">ROUND((SUMIFS($H$2:$H$121,$A$2:$A$121,$A95,$F$2:$F$121,"DESIGN")*INDEX(المرجع!$K$9:$K$11,MATCH("DESIGN",المرجع!$L$9:$L$11,0))+SUMIFS($H$2:$H$121,$A$2:$A$121,$A95,$F$2:$F$121,"BUILD")*INDEX(المرجع!$K$9:$K$11,MATCH("BUILD",المرجع!$L$9:$L$11,0))+SUMIFS($H$2:$H$121,$A$2:$A$121,$A95,$F$2:$F$121,"OPERATE")*INDEX(المرجع!$K$9:$K$11,MATCH("OPERATE",المرجع!$L$9:$L$11,0)))/100,1)</f>
        <v>62.3</v>
      </c>
      <c r="L95" s="32" t="str">
        <f aca="false">IF($K95&gt;المرجع!$K$3,"متقدم",IF($K95&lt;=المرجع!$K$2,"أولي","جزئي"))</f>
        <v>جزئي</v>
      </c>
      <c r="M95" s="31" t="n">
        <f aca="false">ROUND((SUMIFS($I$2:$I$121,$A$2:$A$121,$A95,$F$2:$F$121,"DESIGN")*INDEX(المرجع!$K$9:$K$11,MATCH("DESIGN",المرجع!$L$9:$L$11,0))+SUMIFS($I$2:$I$121,$A$2:$A$121,$A95,$F$2:$F$121,"BUILD")*INDEX(المرجع!$K$9:$K$11,MATCH("BUILD",المرجع!$L$9:$L$11,0))+SUMIFS($I$2:$I$121,$A$2:$A$121,$A95,$F$2:$F$121,"OPERATE")*INDEX(المرجع!$K$9:$K$11,MATCH("OPERATE",المرجع!$L$9:$L$11,0)))/100,1)</f>
        <v>90.7</v>
      </c>
      <c r="N95" s="32" t="str">
        <f aca="false">IF($M95&gt;المرجع!$K$3,"متقدم",IF($M95&lt;=المرجع!$K$2,"أولي","جزئي"))</f>
        <v>متقدم</v>
      </c>
    </row>
    <row r="96" customFormat="false" ht="15" hidden="false" customHeight="true" outlineLevel="0" collapsed="false">
      <c r="A96" s="19" t="s">
        <v>220</v>
      </c>
      <c r="B96" s="19" t="str">
        <f aca="false">IFERROR(INDEX('قائمة الوحدات'!$B$2:$B$41,MATCH($A96,'قائمة الوحدات'!$A$2:$A$41,0)),"")</f>
        <v>MIL</v>
      </c>
      <c r="C96" s="18" t="str">
        <f aca="false">IFERROR(INDEX('قائمة الوحدات'!$C$2:$C$41,MATCH($A96,'قائمة الوحدات'!$A$2:$A$41,0)),"")</f>
        <v>الجهاز العسكري</v>
      </c>
      <c r="D96" s="18" t="str">
        <f aca="false">IFERROR(INDEX('قائمة الوحدات'!$D$2:$D$41,MATCH($A96,'قائمة الوحدات'!$A$2:$A$41,0)),"")</f>
        <v>الإدارة العامة للخدمات الطبية العسكرية</v>
      </c>
      <c r="E96" s="18" t="str">
        <f aca="false">IFERROR(INDEX('قائمة الوحدات'!$F$2:$F$41,MATCH($A96,'قائمة الوحدات'!$A$2:$A$41,0)),"")</f>
        <v>الإدارة العامة للخدمات الطبية العسكرية</v>
      </c>
      <c r="F96" s="19" t="s">
        <v>62</v>
      </c>
      <c r="G96" s="18" t="str">
        <f aca="false">IFERROR(INDEX(المرجع!$A$2:$A$19,MATCH($F96,المرجع!$B$2:$B$19,0)),"")</f>
        <v>البناء المؤسسي</v>
      </c>
      <c r="H96" s="29" t="n">
        <f aca="false">SUMIFS('تقييم العناصر'!$R$2:$R$721,'تقييم العناصر'!$B$2:$B$721,$A96,'تقييم العناصر'!$G$2:$G$721,$F96)</f>
        <v>66.35</v>
      </c>
      <c r="I96" s="30" t="n">
        <f aca="false">SUMIFS('تقييم العناصر'!$T$2:$T$721,'تقييم العناصر'!$B$2:$B$721,$A96,'تقييم العناصر'!$G$2:$G$721,$F96)</f>
        <v>91.75</v>
      </c>
      <c r="J96" s="27" t="str">
        <f aca="false">IF($H96&gt;المرجع!$K$3,"متقدم",IF($H96&lt;=المرجع!$K$2,"أولي","جزئي"))</f>
        <v>جزئي</v>
      </c>
      <c r="K96" s="31" t="n">
        <f aca="false">ROUND((SUMIFS($H$2:$H$121,$A$2:$A$121,$A96,$F$2:$F$121,"DESIGN")*INDEX(المرجع!$K$9:$K$11,MATCH("DESIGN",المرجع!$L$9:$L$11,0))+SUMIFS($H$2:$H$121,$A$2:$A$121,$A96,$F$2:$F$121,"BUILD")*INDEX(المرجع!$K$9:$K$11,MATCH("BUILD",المرجع!$L$9:$L$11,0))+SUMIFS($H$2:$H$121,$A$2:$A$121,$A96,$F$2:$F$121,"OPERATE")*INDEX(المرجع!$K$9:$K$11,MATCH("OPERATE",المرجع!$L$9:$L$11,0)))/100,1)</f>
        <v>62.3</v>
      </c>
      <c r="L96" s="32" t="str">
        <f aca="false">IF($K96&gt;المرجع!$K$3,"متقدم",IF($K96&lt;=المرجع!$K$2,"أولي","جزئي"))</f>
        <v>جزئي</v>
      </c>
      <c r="M96" s="31" t="n">
        <f aca="false">ROUND((SUMIFS($I$2:$I$121,$A$2:$A$121,$A96,$F$2:$F$121,"DESIGN")*INDEX(المرجع!$K$9:$K$11,MATCH("DESIGN",المرجع!$L$9:$L$11,0))+SUMIFS($I$2:$I$121,$A$2:$A$121,$A96,$F$2:$F$121,"BUILD")*INDEX(المرجع!$K$9:$K$11,MATCH("BUILD",المرجع!$L$9:$L$11,0))+SUMIFS($I$2:$I$121,$A$2:$A$121,$A96,$F$2:$F$121,"OPERATE")*INDEX(المرجع!$K$9:$K$11,MATCH("OPERATE",المرجع!$L$9:$L$11,0)))/100,1)</f>
        <v>90.7</v>
      </c>
      <c r="N96" s="32" t="str">
        <f aca="false">IF($M96&gt;المرجع!$K$3,"متقدم",IF($M96&lt;=المرجع!$K$2,"أولي","جزئي"))</f>
        <v>متقدم</v>
      </c>
    </row>
    <row r="97" customFormat="false" ht="15" hidden="false" customHeight="true" outlineLevel="0" collapsed="false">
      <c r="A97" s="19" t="s">
        <v>220</v>
      </c>
      <c r="B97" s="19" t="str">
        <f aca="false">IFERROR(INDEX('قائمة الوحدات'!$B$2:$B$41,MATCH($A97,'قائمة الوحدات'!$A$2:$A$41,0)),"")</f>
        <v>MIL</v>
      </c>
      <c r="C97" s="18" t="str">
        <f aca="false">IFERROR(INDEX('قائمة الوحدات'!$C$2:$C$41,MATCH($A97,'قائمة الوحدات'!$A$2:$A$41,0)),"")</f>
        <v>الجهاز العسكري</v>
      </c>
      <c r="D97" s="18" t="str">
        <f aca="false">IFERROR(INDEX('قائمة الوحدات'!$D$2:$D$41,MATCH($A97,'قائمة الوحدات'!$A$2:$A$41,0)),"")</f>
        <v>الإدارة العامة للخدمات الطبية العسكرية</v>
      </c>
      <c r="E97" s="18" t="str">
        <f aca="false">IFERROR(INDEX('قائمة الوحدات'!$F$2:$F$41,MATCH($A97,'قائمة الوحدات'!$A$2:$A$41,0)),"")</f>
        <v>الإدارة العامة للخدمات الطبية العسكرية</v>
      </c>
      <c r="F97" s="19" t="s">
        <v>66</v>
      </c>
      <c r="G97" s="18" t="str">
        <f aca="false">IFERROR(INDEX(المرجع!$A$2:$A$19,MATCH($F97,المرجع!$B$2:$B$19,0)),"")</f>
        <v>التشغيل</v>
      </c>
      <c r="H97" s="29" t="n">
        <f aca="false">SUMIFS('تقييم العناصر'!$R$2:$R$721,'تقييم العناصر'!$B$2:$B$721,$A97,'تقييم العناصر'!$G$2:$G$721,$F97)</f>
        <v>51.3</v>
      </c>
      <c r="I97" s="30" t="n">
        <f aca="false">SUMIFS('تقييم العناصر'!$T$2:$T$721,'تقييم العناصر'!$B$2:$B$721,$A97,'تقييم العناصر'!$G$2:$G$721,$F97)</f>
        <v>88.45</v>
      </c>
      <c r="J97" s="27" t="str">
        <f aca="false">IF($H97&gt;المرجع!$K$3,"متقدم",IF($H97&lt;=المرجع!$K$2,"أولي","جزئي"))</f>
        <v>جزئي</v>
      </c>
      <c r="K97" s="31" t="n">
        <f aca="false">ROUND((SUMIFS($H$2:$H$121,$A$2:$A$121,$A97,$F$2:$F$121,"DESIGN")*INDEX(المرجع!$K$9:$K$11,MATCH("DESIGN",المرجع!$L$9:$L$11,0))+SUMIFS($H$2:$H$121,$A$2:$A$121,$A97,$F$2:$F$121,"BUILD")*INDEX(المرجع!$K$9:$K$11,MATCH("BUILD",المرجع!$L$9:$L$11,0))+SUMIFS($H$2:$H$121,$A$2:$A$121,$A97,$F$2:$F$121,"OPERATE")*INDEX(المرجع!$K$9:$K$11,MATCH("OPERATE",المرجع!$L$9:$L$11,0)))/100,1)</f>
        <v>62.3</v>
      </c>
      <c r="L97" s="32" t="str">
        <f aca="false">IF($K97&gt;المرجع!$K$3,"متقدم",IF($K97&lt;=المرجع!$K$2,"أولي","جزئي"))</f>
        <v>جزئي</v>
      </c>
      <c r="M97" s="31" t="n">
        <f aca="false">ROUND((SUMIFS($I$2:$I$121,$A$2:$A$121,$A97,$F$2:$F$121,"DESIGN")*INDEX(المرجع!$K$9:$K$11,MATCH("DESIGN",المرجع!$L$9:$L$11,0))+SUMIFS($I$2:$I$121,$A$2:$A$121,$A97,$F$2:$F$121,"BUILD")*INDEX(المرجع!$K$9:$K$11,MATCH("BUILD",المرجع!$L$9:$L$11,0))+SUMIFS($I$2:$I$121,$A$2:$A$121,$A97,$F$2:$F$121,"OPERATE")*INDEX(المرجع!$K$9:$K$11,MATCH("OPERATE",المرجع!$L$9:$L$11,0)))/100,1)</f>
        <v>90.7</v>
      </c>
      <c r="N97" s="32" t="str">
        <f aca="false">IF($M97&gt;المرجع!$K$3,"متقدم",IF($M97&lt;=المرجع!$K$2,"أولي","جزئي"))</f>
        <v>متقدم</v>
      </c>
    </row>
    <row r="98" customFormat="false" ht="15" hidden="false" customHeight="true" outlineLevel="0" collapsed="false">
      <c r="A98" s="19" t="s">
        <v>222</v>
      </c>
      <c r="B98" s="19" t="str">
        <f aca="false">IFERROR(INDEX('قائمة الوحدات'!$B$2:$B$41,MATCH($A98,'قائمة الوحدات'!$A$2:$A$41,0)),"")</f>
        <v>MIL</v>
      </c>
      <c r="C98" s="18" t="str">
        <f aca="false">IFERROR(INDEX('قائمة الوحدات'!$C$2:$C$41,MATCH($A98,'قائمة الوحدات'!$A$2:$A$41,0)),"")</f>
        <v>الجهاز العسكري</v>
      </c>
      <c r="D98" s="18" t="str">
        <f aca="false">IFERROR(INDEX('قائمة الوحدات'!$D$2:$D$41,MATCH($A98,'قائمة الوحدات'!$A$2:$A$41,0)),"")</f>
        <v>الإدارة العامة للقوى البشرية العسكرية</v>
      </c>
      <c r="E98" s="18" t="str">
        <f aca="false">IFERROR(INDEX('قائمة الوحدات'!$F$2:$F$41,MATCH($A98,'قائمة الوحدات'!$A$2:$A$41,0)),"")</f>
        <v>الإدارة العامة للقوى البشرية العسكرية</v>
      </c>
      <c r="F98" s="19" t="s">
        <v>44</v>
      </c>
      <c r="G98" s="18" t="str">
        <f aca="false">IFERROR(INDEX(المرجع!$A$2:$A$19,MATCH($F98,المرجع!$B$2:$B$19,0)),"")</f>
        <v>التصميم</v>
      </c>
      <c r="H98" s="29" t="n">
        <f aca="false">SUMIFS('تقييم العناصر'!$R$2:$R$721,'تقييم العناصر'!$B$2:$B$721,$A98,'تقييم العناصر'!$G$2:$G$721,$F98)</f>
        <v>83.2</v>
      </c>
      <c r="I98" s="30" t="n">
        <f aca="false">SUMIFS('تقييم العناصر'!$T$2:$T$721,'تقييم العناصر'!$B$2:$B$721,$A98,'تقييم العناصر'!$G$2:$G$721,$F98)</f>
        <v>90.45</v>
      </c>
      <c r="J98" s="27" t="str">
        <f aca="false">IF($H98&gt;المرجع!$K$3,"متقدم",IF($H98&lt;=المرجع!$K$2,"أولي","جزئي"))</f>
        <v>متقدم</v>
      </c>
      <c r="K98" s="31" t="n">
        <f aca="false">ROUND((SUMIFS($H$2:$H$121,$A$2:$A$121,$A98,$F$2:$F$121,"DESIGN")*INDEX(المرجع!$K$9:$K$11,MATCH("DESIGN",المرجع!$L$9:$L$11,0))+SUMIFS($H$2:$H$121,$A$2:$A$121,$A98,$F$2:$F$121,"BUILD")*INDEX(المرجع!$K$9:$K$11,MATCH("BUILD",المرجع!$L$9:$L$11,0))+SUMIFS($H$2:$H$121,$A$2:$A$121,$A98,$F$2:$F$121,"OPERATE")*INDEX(المرجع!$K$9:$K$11,MATCH("OPERATE",المرجع!$L$9:$L$11,0)))/100,1)</f>
        <v>58</v>
      </c>
      <c r="L98" s="32" t="str">
        <f aca="false">IF($K98&gt;المرجع!$K$3,"متقدم",IF($K98&lt;=المرجع!$K$2,"أولي","جزئي"))</f>
        <v>جزئي</v>
      </c>
      <c r="M98" s="31" t="n">
        <f aca="false">ROUND((SUMIFS($I$2:$I$121,$A$2:$A$121,$A98,$F$2:$F$121,"DESIGN")*INDEX(المرجع!$K$9:$K$11,MATCH("DESIGN",المرجع!$L$9:$L$11,0))+SUMIFS($I$2:$I$121,$A$2:$A$121,$A98,$F$2:$F$121,"BUILD")*INDEX(المرجع!$K$9:$K$11,MATCH("BUILD",المرجع!$L$9:$L$11,0))+SUMIFS($I$2:$I$121,$A$2:$A$121,$A98,$F$2:$F$121,"OPERATE")*INDEX(المرجع!$K$9:$K$11,MATCH("OPERATE",المرجع!$L$9:$L$11,0)))/100,1)</f>
        <v>91.9</v>
      </c>
      <c r="N98" s="32" t="str">
        <f aca="false">IF($M98&gt;المرجع!$K$3,"متقدم",IF($M98&lt;=المرجع!$K$2,"أولي","جزئي"))</f>
        <v>متقدم</v>
      </c>
    </row>
    <row r="99" customFormat="false" ht="15" hidden="false" customHeight="true" outlineLevel="0" collapsed="false">
      <c r="A99" s="19" t="s">
        <v>222</v>
      </c>
      <c r="B99" s="19" t="str">
        <f aca="false">IFERROR(INDEX('قائمة الوحدات'!$B$2:$B$41,MATCH($A99,'قائمة الوحدات'!$A$2:$A$41,0)),"")</f>
        <v>MIL</v>
      </c>
      <c r="C99" s="18" t="str">
        <f aca="false">IFERROR(INDEX('قائمة الوحدات'!$C$2:$C$41,MATCH($A99,'قائمة الوحدات'!$A$2:$A$41,0)),"")</f>
        <v>الجهاز العسكري</v>
      </c>
      <c r="D99" s="18" t="str">
        <f aca="false">IFERROR(INDEX('قائمة الوحدات'!$D$2:$D$41,MATCH($A99,'قائمة الوحدات'!$A$2:$A$41,0)),"")</f>
        <v>الإدارة العامة للقوى البشرية العسكرية</v>
      </c>
      <c r="E99" s="18" t="str">
        <f aca="false">IFERROR(INDEX('قائمة الوحدات'!$F$2:$F$41,MATCH($A99,'قائمة الوحدات'!$A$2:$A$41,0)),"")</f>
        <v>الإدارة العامة للقوى البشرية العسكرية</v>
      </c>
      <c r="F99" s="19" t="s">
        <v>62</v>
      </c>
      <c r="G99" s="18" t="str">
        <f aca="false">IFERROR(INDEX(المرجع!$A$2:$A$19,MATCH($F99,المرجع!$B$2:$B$19,0)),"")</f>
        <v>البناء المؤسسي</v>
      </c>
      <c r="H99" s="29" t="n">
        <f aca="false">SUMIFS('تقييم العناصر'!$R$2:$R$721,'تقييم العناصر'!$B$2:$B$721,$A99,'تقييم العناصر'!$G$2:$G$721,$F99)</f>
        <v>55.65</v>
      </c>
      <c r="I99" s="30" t="n">
        <f aca="false">SUMIFS('تقييم العناصر'!$T$2:$T$721,'تقييم العناصر'!$B$2:$B$721,$A99,'تقييم العناصر'!$G$2:$G$721,$F99)</f>
        <v>90.05</v>
      </c>
      <c r="J99" s="27" t="str">
        <f aca="false">IF($H99&gt;المرجع!$K$3,"متقدم",IF($H99&lt;=المرجع!$K$2,"أولي","جزئي"))</f>
        <v>جزئي</v>
      </c>
      <c r="K99" s="31" t="n">
        <f aca="false">ROUND((SUMIFS($H$2:$H$121,$A$2:$A$121,$A99,$F$2:$F$121,"DESIGN")*INDEX(المرجع!$K$9:$K$11,MATCH("DESIGN",المرجع!$L$9:$L$11,0))+SUMIFS($H$2:$H$121,$A$2:$A$121,$A99,$F$2:$F$121,"BUILD")*INDEX(المرجع!$K$9:$K$11,MATCH("BUILD",المرجع!$L$9:$L$11,0))+SUMIFS($H$2:$H$121,$A$2:$A$121,$A99,$F$2:$F$121,"OPERATE")*INDEX(المرجع!$K$9:$K$11,MATCH("OPERATE",المرجع!$L$9:$L$11,0)))/100,1)</f>
        <v>58</v>
      </c>
      <c r="L99" s="32" t="str">
        <f aca="false">IF($K99&gt;المرجع!$K$3,"متقدم",IF($K99&lt;=المرجع!$K$2,"أولي","جزئي"))</f>
        <v>جزئي</v>
      </c>
      <c r="M99" s="31" t="n">
        <f aca="false">ROUND((SUMIFS($I$2:$I$121,$A$2:$A$121,$A99,$F$2:$F$121,"DESIGN")*INDEX(المرجع!$K$9:$K$11,MATCH("DESIGN",المرجع!$L$9:$L$11,0))+SUMIFS($I$2:$I$121,$A$2:$A$121,$A99,$F$2:$F$121,"BUILD")*INDEX(المرجع!$K$9:$K$11,MATCH("BUILD",المرجع!$L$9:$L$11,0))+SUMIFS($I$2:$I$121,$A$2:$A$121,$A99,$F$2:$F$121,"OPERATE")*INDEX(المرجع!$K$9:$K$11,MATCH("OPERATE",المرجع!$L$9:$L$11,0)))/100,1)</f>
        <v>91.9</v>
      </c>
      <c r="N99" s="32" t="str">
        <f aca="false">IF($M99&gt;المرجع!$K$3,"متقدم",IF($M99&lt;=المرجع!$K$2,"أولي","جزئي"))</f>
        <v>متقدم</v>
      </c>
    </row>
    <row r="100" customFormat="false" ht="15" hidden="false" customHeight="true" outlineLevel="0" collapsed="false">
      <c r="A100" s="19" t="s">
        <v>222</v>
      </c>
      <c r="B100" s="19" t="str">
        <f aca="false">IFERROR(INDEX('قائمة الوحدات'!$B$2:$B$41,MATCH($A100,'قائمة الوحدات'!$A$2:$A$41,0)),"")</f>
        <v>MIL</v>
      </c>
      <c r="C100" s="18" t="str">
        <f aca="false">IFERROR(INDEX('قائمة الوحدات'!$C$2:$C$41,MATCH($A100,'قائمة الوحدات'!$A$2:$A$41,0)),"")</f>
        <v>الجهاز العسكري</v>
      </c>
      <c r="D100" s="18" t="str">
        <f aca="false">IFERROR(INDEX('قائمة الوحدات'!$D$2:$D$41,MATCH($A100,'قائمة الوحدات'!$A$2:$A$41,0)),"")</f>
        <v>الإدارة العامة للقوى البشرية العسكرية</v>
      </c>
      <c r="E100" s="18" t="str">
        <f aca="false">IFERROR(INDEX('قائمة الوحدات'!$F$2:$F$41,MATCH($A100,'قائمة الوحدات'!$A$2:$A$41,0)),"")</f>
        <v>الإدارة العامة للقوى البشرية العسكرية</v>
      </c>
      <c r="F100" s="19" t="s">
        <v>66</v>
      </c>
      <c r="G100" s="18" t="str">
        <f aca="false">IFERROR(INDEX(المرجع!$A$2:$A$19,MATCH($F100,المرجع!$B$2:$B$19,0)),"")</f>
        <v>التشغيل</v>
      </c>
      <c r="H100" s="29" t="n">
        <f aca="false">SUMIFS('تقييم العناصر'!$R$2:$R$721,'تقييم العناصر'!$B$2:$B$721,$A100,'تقييم العناصر'!$G$2:$G$721,$F100)</f>
        <v>49.25</v>
      </c>
      <c r="I100" s="30" t="n">
        <f aca="false">SUMIFS('تقييم العناصر'!$T$2:$T$721,'تقييم العناصر'!$B$2:$B$721,$A100,'تقييم العناصر'!$G$2:$G$721,$F100)</f>
        <v>93.55</v>
      </c>
      <c r="J100" s="27" t="str">
        <f aca="false">IF($H100&gt;المرجع!$K$3,"متقدم",IF($H100&lt;=المرجع!$K$2,"أولي","جزئي"))</f>
        <v>جزئي</v>
      </c>
      <c r="K100" s="31" t="n">
        <f aca="false">ROUND((SUMIFS($H$2:$H$121,$A$2:$A$121,$A100,$F$2:$F$121,"DESIGN")*INDEX(المرجع!$K$9:$K$11,MATCH("DESIGN",المرجع!$L$9:$L$11,0))+SUMIFS($H$2:$H$121,$A$2:$A$121,$A100,$F$2:$F$121,"BUILD")*INDEX(المرجع!$K$9:$K$11,MATCH("BUILD",المرجع!$L$9:$L$11,0))+SUMIFS($H$2:$H$121,$A$2:$A$121,$A100,$F$2:$F$121,"OPERATE")*INDEX(المرجع!$K$9:$K$11,MATCH("OPERATE",المرجع!$L$9:$L$11,0)))/100,1)</f>
        <v>58</v>
      </c>
      <c r="L100" s="32" t="str">
        <f aca="false">IF($K100&gt;المرجع!$K$3,"متقدم",IF($K100&lt;=المرجع!$K$2,"أولي","جزئي"))</f>
        <v>جزئي</v>
      </c>
      <c r="M100" s="31" t="n">
        <f aca="false">ROUND((SUMIFS($I$2:$I$121,$A$2:$A$121,$A100,$F$2:$F$121,"DESIGN")*INDEX(المرجع!$K$9:$K$11,MATCH("DESIGN",المرجع!$L$9:$L$11,0))+SUMIFS($I$2:$I$121,$A$2:$A$121,$A100,$F$2:$F$121,"BUILD")*INDEX(المرجع!$K$9:$K$11,MATCH("BUILD",المرجع!$L$9:$L$11,0))+SUMIFS($I$2:$I$121,$A$2:$A$121,$A100,$F$2:$F$121,"OPERATE")*INDEX(المرجع!$K$9:$K$11,MATCH("OPERATE",المرجع!$L$9:$L$11,0)))/100,1)</f>
        <v>91.9</v>
      </c>
      <c r="N100" s="32" t="str">
        <f aca="false">IF($M100&gt;المرجع!$K$3,"متقدم",IF($M100&lt;=المرجع!$K$2,"أولي","جزئي"))</f>
        <v>متقدم</v>
      </c>
    </row>
    <row r="101" customFormat="false" ht="15" hidden="false" customHeight="true" outlineLevel="0" collapsed="false">
      <c r="A101" s="19" t="s">
        <v>224</v>
      </c>
      <c r="B101" s="19" t="str">
        <f aca="false">IFERROR(INDEX('قائمة الوحدات'!$B$2:$B$41,MATCH($A101,'قائمة الوحدات'!$A$2:$A$41,0)),"")</f>
        <v>MIL</v>
      </c>
      <c r="C101" s="18" t="str">
        <f aca="false">IFERROR(INDEX('قائمة الوحدات'!$C$2:$C$41,MATCH($A101,'قائمة الوحدات'!$A$2:$A$41,0)),"")</f>
        <v>الجهاز العسكري</v>
      </c>
      <c r="D101" s="18" t="str">
        <f aca="false">IFERROR(INDEX('قائمة الوحدات'!$D$2:$D$41,MATCH($A101,'قائمة الوحدات'!$A$2:$A$41,0)),"")</f>
        <v>الإدارة العامة للتدريب والتأهيل العسكري</v>
      </c>
      <c r="E101" s="18" t="str">
        <f aca="false">IFERROR(INDEX('قائمة الوحدات'!$F$2:$F$41,MATCH($A101,'قائمة الوحدات'!$A$2:$A$41,0)),"")</f>
        <v>الإدارة العامة للتدريب والتأهيل العسكري</v>
      </c>
      <c r="F101" s="19" t="s">
        <v>44</v>
      </c>
      <c r="G101" s="18" t="str">
        <f aca="false">IFERROR(INDEX(المرجع!$A$2:$A$19,MATCH($F101,المرجع!$B$2:$B$19,0)),"")</f>
        <v>التصميم</v>
      </c>
      <c r="H101" s="29" t="n">
        <f aca="false">SUMIFS('تقييم العناصر'!$R$2:$R$721,'تقييم العناصر'!$B$2:$B$721,$A101,'تقييم العناصر'!$G$2:$G$721,$F101)</f>
        <v>90.55</v>
      </c>
      <c r="I101" s="30" t="n">
        <f aca="false">SUMIFS('تقييم العناصر'!$T$2:$T$721,'تقييم العناصر'!$B$2:$B$721,$A101,'تقييم العناصر'!$G$2:$G$721,$F101)</f>
        <v>97.15</v>
      </c>
      <c r="J101" s="27" t="str">
        <f aca="false">IF($H101&gt;المرجع!$K$3,"متقدم",IF($H101&lt;=المرجع!$K$2,"أولي","جزئي"))</f>
        <v>متقدم</v>
      </c>
      <c r="K101" s="31" t="n">
        <f aca="false">ROUND((SUMIFS($H$2:$H$121,$A$2:$A$121,$A101,$F$2:$F$121,"DESIGN")*INDEX(المرجع!$K$9:$K$11,MATCH("DESIGN",المرجع!$L$9:$L$11,0))+SUMIFS($H$2:$H$121,$A$2:$A$121,$A101,$F$2:$F$121,"BUILD")*INDEX(المرجع!$K$9:$K$11,MATCH("BUILD",المرجع!$L$9:$L$11,0))+SUMIFS($H$2:$H$121,$A$2:$A$121,$A101,$F$2:$F$121,"OPERATE")*INDEX(المرجع!$K$9:$K$11,MATCH("OPERATE",المرجع!$L$9:$L$11,0)))/100,1)</f>
        <v>59.9</v>
      </c>
      <c r="L101" s="32" t="str">
        <f aca="false">IF($K101&gt;المرجع!$K$3,"متقدم",IF($K101&lt;=المرجع!$K$2,"أولي","جزئي"))</f>
        <v>جزئي</v>
      </c>
      <c r="M101" s="31" t="n">
        <f aca="false">ROUND((SUMIFS($I$2:$I$121,$A$2:$A$121,$A101,$F$2:$F$121,"DESIGN")*INDEX(المرجع!$K$9:$K$11,MATCH("DESIGN",المرجع!$L$9:$L$11,0))+SUMIFS($I$2:$I$121,$A$2:$A$121,$A101,$F$2:$F$121,"BUILD")*INDEX(المرجع!$K$9:$K$11,MATCH("BUILD",المرجع!$L$9:$L$11,0))+SUMIFS($I$2:$I$121,$A$2:$A$121,$A101,$F$2:$F$121,"OPERATE")*INDEX(المرجع!$K$9:$K$11,MATCH("OPERATE",المرجع!$L$9:$L$11,0)))/100,1)</f>
        <v>94.3</v>
      </c>
      <c r="N101" s="32" t="str">
        <f aca="false">IF($M101&gt;المرجع!$K$3,"متقدم",IF($M101&lt;=المرجع!$K$2,"أولي","جزئي"))</f>
        <v>متقدم</v>
      </c>
    </row>
    <row r="102" customFormat="false" ht="15" hidden="false" customHeight="true" outlineLevel="0" collapsed="false">
      <c r="A102" s="19" t="s">
        <v>224</v>
      </c>
      <c r="B102" s="19" t="str">
        <f aca="false">IFERROR(INDEX('قائمة الوحدات'!$B$2:$B$41,MATCH($A102,'قائمة الوحدات'!$A$2:$A$41,0)),"")</f>
        <v>MIL</v>
      </c>
      <c r="C102" s="18" t="str">
        <f aca="false">IFERROR(INDEX('قائمة الوحدات'!$C$2:$C$41,MATCH($A102,'قائمة الوحدات'!$A$2:$A$41,0)),"")</f>
        <v>الجهاز العسكري</v>
      </c>
      <c r="D102" s="18" t="str">
        <f aca="false">IFERROR(INDEX('قائمة الوحدات'!$D$2:$D$41,MATCH($A102,'قائمة الوحدات'!$A$2:$A$41,0)),"")</f>
        <v>الإدارة العامة للتدريب والتأهيل العسكري</v>
      </c>
      <c r="E102" s="18" t="str">
        <f aca="false">IFERROR(INDEX('قائمة الوحدات'!$F$2:$F$41,MATCH($A102,'قائمة الوحدات'!$A$2:$A$41,0)),"")</f>
        <v>الإدارة العامة للتدريب والتأهيل العسكري</v>
      </c>
      <c r="F102" s="19" t="s">
        <v>62</v>
      </c>
      <c r="G102" s="18" t="str">
        <f aca="false">IFERROR(INDEX(المرجع!$A$2:$A$19,MATCH($F102,المرجع!$B$2:$B$19,0)),"")</f>
        <v>البناء المؤسسي</v>
      </c>
      <c r="H102" s="29" t="n">
        <f aca="false">SUMIFS('تقييم العناصر'!$R$2:$R$721,'تقييم العناصر'!$B$2:$B$721,$A102,'تقييم العناصر'!$G$2:$G$721,$F102)</f>
        <v>69.75</v>
      </c>
      <c r="I102" s="30" t="n">
        <f aca="false">SUMIFS('تقييم العناصر'!$T$2:$T$721,'تقييم العناصر'!$B$2:$B$721,$A102,'تقييم العناصر'!$G$2:$G$721,$F102)</f>
        <v>92.7</v>
      </c>
      <c r="J102" s="27" t="str">
        <f aca="false">IF($H102&gt;المرجع!$K$3,"متقدم",IF($H102&lt;=المرجع!$K$2,"أولي","جزئي"))</f>
        <v>جزئي</v>
      </c>
      <c r="K102" s="31" t="n">
        <f aca="false">ROUND((SUMIFS($H$2:$H$121,$A$2:$A$121,$A102,$F$2:$F$121,"DESIGN")*INDEX(المرجع!$K$9:$K$11,MATCH("DESIGN",المرجع!$L$9:$L$11,0))+SUMIFS($H$2:$H$121,$A$2:$A$121,$A102,$F$2:$F$121,"BUILD")*INDEX(المرجع!$K$9:$K$11,MATCH("BUILD",المرجع!$L$9:$L$11,0))+SUMIFS($H$2:$H$121,$A$2:$A$121,$A102,$F$2:$F$121,"OPERATE")*INDEX(المرجع!$K$9:$K$11,MATCH("OPERATE",المرجع!$L$9:$L$11,0)))/100,1)</f>
        <v>59.9</v>
      </c>
      <c r="L102" s="32" t="str">
        <f aca="false">IF($K102&gt;المرجع!$K$3,"متقدم",IF($K102&lt;=المرجع!$K$2,"أولي","جزئي"))</f>
        <v>جزئي</v>
      </c>
      <c r="M102" s="31" t="n">
        <f aca="false">ROUND((SUMIFS($I$2:$I$121,$A$2:$A$121,$A102,$F$2:$F$121,"DESIGN")*INDEX(المرجع!$K$9:$K$11,MATCH("DESIGN",المرجع!$L$9:$L$11,0))+SUMIFS($I$2:$I$121,$A$2:$A$121,$A102,$F$2:$F$121,"BUILD")*INDEX(المرجع!$K$9:$K$11,MATCH("BUILD",المرجع!$L$9:$L$11,0))+SUMIFS($I$2:$I$121,$A$2:$A$121,$A102,$F$2:$F$121,"OPERATE")*INDEX(المرجع!$K$9:$K$11,MATCH("OPERATE",المرجع!$L$9:$L$11,0)))/100,1)</f>
        <v>94.3</v>
      </c>
      <c r="N102" s="32" t="str">
        <f aca="false">IF($M102&gt;المرجع!$K$3,"متقدم",IF($M102&lt;=المرجع!$K$2,"أولي","جزئي"))</f>
        <v>متقدم</v>
      </c>
    </row>
    <row r="103" customFormat="false" ht="15" hidden="false" customHeight="true" outlineLevel="0" collapsed="false">
      <c r="A103" s="19" t="s">
        <v>224</v>
      </c>
      <c r="B103" s="19" t="str">
        <f aca="false">IFERROR(INDEX('قائمة الوحدات'!$B$2:$B$41,MATCH($A103,'قائمة الوحدات'!$A$2:$A$41,0)),"")</f>
        <v>MIL</v>
      </c>
      <c r="C103" s="18" t="str">
        <f aca="false">IFERROR(INDEX('قائمة الوحدات'!$C$2:$C$41,MATCH($A103,'قائمة الوحدات'!$A$2:$A$41,0)),"")</f>
        <v>الجهاز العسكري</v>
      </c>
      <c r="D103" s="18" t="str">
        <f aca="false">IFERROR(INDEX('قائمة الوحدات'!$D$2:$D$41,MATCH($A103,'قائمة الوحدات'!$A$2:$A$41,0)),"")</f>
        <v>الإدارة العامة للتدريب والتأهيل العسكري</v>
      </c>
      <c r="E103" s="18" t="str">
        <f aca="false">IFERROR(INDEX('قائمة الوحدات'!$F$2:$F$41,MATCH($A103,'قائمة الوحدات'!$A$2:$A$41,0)),"")</f>
        <v>الإدارة العامة للتدريب والتأهيل العسكري</v>
      </c>
      <c r="F103" s="19" t="s">
        <v>66</v>
      </c>
      <c r="G103" s="18" t="str">
        <f aca="false">IFERROR(INDEX(المرجع!$A$2:$A$19,MATCH($F103,المرجع!$B$2:$B$19,0)),"")</f>
        <v>التشغيل</v>
      </c>
      <c r="H103" s="29" t="n">
        <f aca="false">SUMIFS('تقييم العناصر'!$R$2:$R$721,'تقييم العناصر'!$B$2:$B$721,$A103,'تقييم العناصر'!$G$2:$G$721,$F103)</f>
        <v>41.8</v>
      </c>
      <c r="I103" s="30" t="n">
        <f aca="false">SUMIFS('تقييم العناصر'!$T$2:$T$721,'تقييم العناصر'!$B$2:$B$721,$A103,'تقييم العناصر'!$G$2:$G$721,$F103)</f>
        <v>94.05</v>
      </c>
      <c r="J103" s="27" t="str">
        <f aca="false">IF($H103&gt;المرجع!$K$3,"متقدم",IF($H103&lt;=المرجع!$K$2,"أولي","جزئي"))</f>
        <v>جزئي</v>
      </c>
      <c r="K103" s="31" t="n">
        <f aca="false">ROUND((SUMIFS($H$2:$H$121,$A$2:$A$121,$A103,$F$2:$F$121,"DESIGN")*INDEX(المرجع!$K$9:$K$11,MATCH("DESIGN",المرجع!$L$9:$L$11,0))+SUMIFS($H$2:$H$121,$A$2:$A$121,$A103,$F$2:$F$121,"BUILD")*INDEX(المرجع!$K$9:$K$11,MATCH("BUILD",المرجع!$L$9:$L$11,0))+SUMIFS($H$2:$H$121,$A$2:$A$121,$A103,$F$2:$F$121,"OPERATE")*INDEX(المرجع!$K$9:$K$11,MATCH("OPERATE",المرجع!$L$9:$L$11,0)))/100,1)</f>
        <v>59.9</v>
      </c>
      <c r="L103" s="32" t="str">
        <f aca="false">IF($K103&gt;المرجع!$K$3,"متقدم",IF($K103&lt;=المرجع!$K$2,"أولي","جزئي"))</f>
        <v>جزئي</v>
      </c>
      <c r="M103" s="31" t="n">
        <f aca="false">ROUND((SUMIFS($I$2:$I$121,$A$2:$A$121,$A103,$F$2:$F$121,"DESIGN")*INDEX(المرجع!$K$9:$K$11,MATCH("DESIGN",المرجع!$L$9:$L$11,0))+SUMIFS($I$2:$I$121,$A$2:$A$121,$A103,$F$2:$F$121,"BUILD")*INDEX(المرجع!$K$9:$K$11,MATCH("BUILD",المرجع!$L$9:$L$11,0))+SUMIFS($I$2:$I$121,$A$2:$A$121,$A103,$F$2:$F$121,"OPERATE")*INDEX(المرجع!$K$9:$K$11,MATCH("OPERATE",المرجع!$L$9:$L$11,0)))/100,1)</f>
        <v>94.3</v>
      </c>
      <c r="N103" s="32" t="str">
        <f aca="false">IF($M103&gt;المرجع!$K$3,"متقدم",IF($M103&lt;=المرجع!$K$2,"أولي","جزئي"))</f>
        <v>متقدم</v>
      </c>
    </row>
    <row r="104" customFormat="false" ht="15" hidden="false" customHeight="true" outlineLevel="0" collapsed="false">
      <c r="A104" s="19" t="s">
        <v>226</v>
      </c>
      <c r="B104" s="19" t="str">
        <f aca="false">IFERROR(INDEX('قائمة الوحدات'!$B$2:$B$41,MATCH($A104,'قائمة الوحدات'!$A$2:$A$41,0)),"")</f>
        <v>MIL</v>
      </c>
      <c r="C104" s="18" t="str">
        <f aca="false">IFERROR(INDEX('قائمة الوحدات'!$C$2:$C$41,MATCH($A104,'قائمة الوحدات'!$A$2:$A$41,0)),"")</f>
        <v>الجهاز العسكري</v>
      </c>
      <c r="D104" s="18" t="str">
        <f aca="false">IFERROR(INDEX('قائمة الوحدات'!$D$2:$D$41,MATCH($A104,'قائمة الوحدات'!$A$2:$A$41,0)),"")</f>
        <v>الإدارة العامة للتسليح والعتاد</v>
      </c>
      <c r="E104" s="18" t="str">
        <f aca="false">IFERROR(INDEX('قائمة الوحدات'!$F$2:$F$41,MATCH($A104,'قائمة الوحدات'!$A$2:$A$41,0)),"")</f>
        <v>الإدارة العامة للتسليح والعتاد</v>
      </c>
      <c r="F104" s="19" t="s">
        <v>44</v>
      </c>
      <c r="G104" s="18" t="str">
        <f aca="false">IFERROR(INDEX(المرجع!$A$2:$A$19,MATCH($F104,المرجع!$B$2:$B$19,0)),"")</f>
        <v>التصميم</v>
      </c>
      <c r="H104" s="29" t="n">
        <f aca="false">SUMIFS('تقييم العناصر'!$R$2:$R$721,'تقييم العناصر'!$B$2:$B$721,$A104,'تقييم العناصر'!$G$2:$G$721,$F104)</f>
        <v>82.3</v>
      </c>
      <c r="I104" s="30" t="n">
        <f aca="false">SUMIFS('تقييم العناصر'!$T$2:$T$721,'تقييم العناصر'!$B$2:$B$721,$A104,'تقييم العناصر'!$G$2:$G$721,$F104)</f>
        <v>89.95</v>
      </c>
      <c r="J104" s="27" t="str">
        <f aca="false">IF($H104&gt;المرجع!$K$3,"متقدم",IF($H104&lt;=المرجع!$K$2,"أولي","جزئي"))</f>
        <v>متقدم</v>
      </c>
      <c r="K104" s="31" t="n">
        <f aca="false">ROUND((SUMIFS($H$2:$H$121,$A$2:$A$121,$A104,$F$2:$F$121,"DESIGN")*INDEX(المرجع!$K$9:$K$11,MATCH("DESIGN",المرجع!$L$9:$L$11,0))+SUMIFS($H$2:$H$121,$A$2:$A$121,$A104,$F$2:$F$121,"BUILD")*INDEX(المرجع!$K$9:$K$11,MATCH("BUILD",المرجع!$L$9:$L$11,0))+SUMIFS($H$2:$H$121,$A$2:$A$121,$A104,$F$2:$F$121,"OPERATE")*INDEX(المرجع!$K$9:$K$11,MATCH("OPERATE",المرجع!$L$9:$L$11,0)))/100,1)</f>
        <v>55.6</v>
      </c>
      <c r="L104" s="32" t="str">
        <f aca="false">IF($K104&gt;المرجع!$K$3,"متقدم",IF($K104&lt;=المرجع!$K$2,"أولي","جزئي"))</f>
        <v>جزئي</v>
      </c>
      <c r="M104" s="31" t="n">
        <f aca="false">ROUND((SUMIFS($I$2:$I$121,$A$2:$A$121,$A104,$F$2:$F$121,"DESIGN")*INDEX(المرجع!$K$9:$K$11,MATCH("DESIGN",المرجع!$L$9:$L$11,0))+SUMIFS($I$2:$I$121,$A$2:$A$121,$A104,$F$2:$F$121,"BUILD")*INDEX(المرجع!$K$9:$K$11,MATCH("BUILD",المرجع!$L$9:$L$11,0))+SUMIFS($I$2:$I$121,$A$2:$A$121,$A104,$F$2:$F$121,"OPERATE")*INDEX(المرجع!$K$9:$K$11,MATCH("OPERATE",المرجع!$L$9:$L$11,0)))/100,1)</f>
        <v>94.1</v>
      </c>
      <c r="N104" s="32" t="str">
        <f aca="false">IF($M104&gt;المرجع!$K$3,"متقدم",IF($M104&lt;=المرجع!$K$2,"أولي","جزئي"))</f>
        <v>متقدم</v>
      </c>
    </row>
    <row r="105" customFormat="false" ht="15" hidden="false" customHeight="true" outlineLevel="0" collapsed="false">
      <c r="A105" s="19" t="s">
        <v>226</v>
      </c>
      <c r="B105" s="19" t="str">
        <f aca="false">IFERROR(INDEX('قائمة الوحدات'!$B$2:$B$41,MATCH($A105,'قائمة الوحدات'!$A$2:$A$41,0)),"")</f>
        <v>MIL</v>
      </c>
      <c r="C105" s="18" t="str">
        <f aca="false">IFERROR(INDEX('قائمة الوحدات'!$C$2:$C$41,MATCH($A105,'قائمة الوحدات'!$A$2:$A$41,0)),"")</f>
        <v>الجهاز العسكري</v>
      </c>
      <c r="D105" s="18" t="str">
        <f aca="false">IFERROR(INDEX('قائمة الوحدات'!$D$2:$D$41,MATCH($A105,'قائمة الوحدات'!$A$2:$A$41,0)),"")</f>
        <v>الإدارة العامة للتسليح والعتاد</v>
      </c>
      <c r="E105" s="18" t="str">
        <f aca="false">IFERROR(INDEX('قائمة الوحدات'!$F$2:$F$41,MATCH($A105,'قائمة الوحدات'!$A$2:$A$41,0)),"")</f>
        <v>الإدارة العامة للتسليح والعتاد</v>
      </c>
      <c r="F105" s="19" t="s">
        <v>62</v>
      </c>
      <c r="G105" s="18" t="str">
        <f aca="false">IFERROR(INDEX(المرجع!$A$2:$A$19,MATCH($F105,المرجع!$B$2:$B$19,0)),"")</f>
        <v>البناء المؤسسي</v>
      </c>
      <c r="H105" s="29" t="n">
        <f aca="false">SUMIFS('تقييم العناصر'!$R$2:$R$721,'تقييم العناصر'!$B$2:$B$721,$A105,'تقييم العناصر'!$G$2:$G$721,$F105)</f>
        <v>69.05</v>
      </c>
      <c r="I105" s="30" t="n">
        <f aca="false">SUMIFS('تقييم العناصر'!$T$2:$T$721,'تقييم العناصر'!$B$2:$B$721,$A105,'تقييم العناصر'!$G$2:$G$721,$F105)</f>
        <v>94.2</v>
      </c>
      <c r="J105" s="27" t="str">
        <f aca="false">IF($H105&gt;المرجع!$K$3,"متقدم",IF($H105&lt;=المرجع!$K$2,"أولي","جزئي"))</f>
        <v>جزئي</v>
      </c>
      <c r="K105" s="31" t="n">
        <f aca="false">ROUND((SUMIFS($H$2:$H$121,$A$2:$A$121,$A105,$F$2:$F$121,"DESIGN")*INDEX(المرجع!$K$9:$K$11,MATCH("DESIGN",المرجع!$L$9:$L$11,0))+SUMIFS($H$2:$H$121,$A$2:$A$121,$A105,$F$2:$F$121,"BUILD")*INDEX(المرجع!$K$9:$K$11,MATCH("BUILD",المرجع!$L$9:$L$11,0))+SUMIFS($H$2:$H$121,$A$2:$A$121,$A105,$F$2:$F$121,"OPERATE")*INDEX(المرجع!$K$9:$K$11,MATCH("OPERATE",المرجع!$L$9:$L$11,0)))/100,1)</f>
        <v>55.6</v>
      </c>
      <c r="L105" s="32" t="str">
        <f aca="false">IF($K105&gt;المرجع!$K$3,"متقدم",IF($K105&lt;=المرجع!$K$2,"أولي","جزئي"))</f>
        <v>جزئي</v>
      </c>
      <c r="M105" s="31" t="n">
        <f aca="false">ROUND((SUMIFS($I$2:$I$121,$A$2:$A$121,$A105,$F$2:$F$121,"DESIGN")*INDEX(المرجع!$K$9:$K$11,MATCH("DESIGN",المرجع!$L$9:$L$11,0))+SUMIFS($I$2:$I$121,$A$2:$A$121,$A105,$F$2:$F$121,"BUILD")*INDEX(المرجع!$K$9:$K$11,MATCH("BUILD",المرجع!$L$9:$L$11,0))+SUMIFS($I$2:$I$121,$A$2:$A$121,$A105,$F$2:$F$121,"OPERATE")*INDEX(المرجع!$K$9:$K$11,MATCH("OPERATE",المرجع!$L$9:$L$11,0)))/100,1)</f>
        <v>94.1</v>
      </c>
      <c r="N105" s="32" t="str">
        <f aca="false">IF($M105&gt;المرجع!$K$3,"متقدم",IF($M105&lt;=المرجع!$K$2,"أولي","جزئي"))</f>
        <v>متقدم</v>
      </c>
    </row>
    <row r="106" customFormat="false" ht="15" hidden="false" customHeight="true" outlineLevel="0" collapsed="false">
      <c r="A106" s="19" t="s">
        <v>226</v>
      </c>
      <c r="B106" s="19" t="str">
        <f aca="false">IFERROR(INDEX('قائمة الوحدات'!$B$2:$B$41,MATCH($A106,'قائمة الوحدات'!$A$2:$A$41,0)),"")</f>
        <v>MIL</v>
      </c>
      <c r="C106" s="18" t="str">
        <f aca="false">IFERROR(INDEX('قائمة الوحدات'!$C$2:$C$41,MATCH($A106,'قائمة الوحدات'!$A$2:$A$41,0)),"")</f>
        <v>الجهاز العسكري</v>
      </c>
      <c r="D106" s="18" t="str">
        <f aca="false">IFERROR(INDEX('قائمة الوحدات'!$D$2:$D$41,MATCH($A106,'قائمة الوحدات'!$A$2:$A$41,0)),"")</f>
        <v>الإدارة العامة للتسليح والعتاد</v>
      </c>
      <c r="E106" s="18" t="str">
        <f aca="false">IFERROR(INDEX('قائمة الوحدات'!$F$2:$F$41,MATCH($A106,'قائمة الوحدات'!$A$2:$A$41,0)),"")</f>
        <v>الإدارة العامة للتسليح والعتاد</v>
      </c>
      <c r="F106" s="19" t="s">
        <v>66</v>
      </c>
      <c r="G106" s="18" t="str">
        <f aca="false">IFERROR(INDEX(المرجع!$A$2:$A$19,MATCH($F106,المرجع!$B$2:$B$19,0)),"")</f>
        <v>التشغيل</v>
      </c>
      <c r="H106" s="29" t="n">
        <f aca="false">SUMIFS('تقييم العناصر'!$R$2:$R$721,'تقييم العناصر'!$B$2:$B$721,$A106,'تقييم العناصر'!$G$2:$G$721,$F106)</f>
        <v>36.75</v>
      </c>
      <c r="I106" s="30" t="n">
        <f aca="false">SUMIFS('تقييم العناصر'!$T$2:$T$721,'تقييم العناصر'!$B$2:$B$721,$A106,'تقييم العناصر'!$G$2:$G$721,$F106)</f>
        <v>95.7</v>
      </c>
      <c r="J106" s="27" t="str">
        <f aca="false">IF($H106&gt;المرجع!$K$3,"متقدم",IF($H106&lt;=المرجع!$K$2,"أولي","جزئي"))</f>
        <v>جزئي</v>
      </c>
      <c r="K106" s="31" t="n">
        <f aca="false">ROUND((SUMIFS($H$2:$H$121,$A$2:$A$121,$A106,$F$2:$F$121,"DESIGN")*INDEX(المرجع!$K$9:$K$11,MATCH("DESIGN",المرجع!$L$9:$L$11,0))+SUMIFS($H$2:$H$121,$A$2:$A$121,$A106,$F$2:$F$121,"BUILD")*INDEX(المرجع!$K$9:$K$11,MATCH("BUILD",المرجع!$L$9:$L$11,0))+SUMIFS($H$2:$H$121,$A$2:$A$121,$A106,$F$2:$F$121,"OPERATE")*INDEX(المرجع!$K$9:$K$11,MATCH("OPERATE",المرجع!$L$9:$L$11,0)))/100,1)</f>
        <v>55.6</v>
      </c>
      <c r="L106" s="32" t="str">
        <f aca="false">IF($K106&gt;المرجع!$K$3,"متقدم",IF($K106&lt;=المرجع!$K$2,"أولي","جزئي"))</f>
        <v>جزئي</v>
      </c>
      <c r="M106" s="31" t="n">
        <f aca="false">ROUND((SUMIFS($I$2:$I$121,$A$2:$A$121,$A106,$F$2:$F$121,"DESIGN")*INDEX(المرجع!$K$9:$K$11,MATCH("DESIGN",المرجع!$L$9:$L$11,0))+SUMIFS($I$2:$I$121,$A$2:$A$121,$A106,$F$2:$F$121,"BUILD")*INDEX(المرجع!$K$9:$K$11,MATCH("BUILD",المرجع!$L$9:$L$11,0))+SUMIFS($I$2:$I$121,$A$2:$A$121,$A106,$F$2:$F$121,"OPERATE")*INDEX(المرجع!$K$9:$K$11,MATCH("OPERATE",المرجع!$L$9:$L$11,0)))/100,1)</f>
        <v>94.1</v>
      </c>
      <c r="N106" s="32" t="str">
        <f aca="false">IF($M106&gt;المرجع!$K$3,"متقدم",IF($M106&lt;=المرجع!$K$2,"أولي","جزئي"))</f>
        <v>متقدم</v>
      </c>
    </row>
    <row r="107" customFormat="false" ht="15" hidden="false" customHeight="true" outlineLevel="0" collapsed="false">
      <c r="A107" s="19" t="s">
        <v>228</v>
      </c>
      <c r="B107" s="19" t="str">
        <f aca="false">IFERROR(INDEX('قائمة الوحدات'!$B$2:$B$41,MATCH($A107,'قائمة الوحدات'!$A$2:$A$41,0)),"")</f>
        <v>MIL</v>
      </c>
      <c r="C107" s="18" t="str">
        <f aca="false">IFERROR(INDEX('قائمة الوحدات'!$C$2:$C$41,MATCH($A107,'قائمة الوحدات'!$A$2:$A$41,0)),"")</f>
        <v>الجهاز العسكري</v>
      </c>
      <c r="D107" s="18" t="str">
        <f aca="false">IFERROR(INDEX('قائمة الوحدات'!$D$2:$D$41,MATCH($A107,'قائمة الوحدات'!$A$2:$A$41,0)),"")</f>
        <v>الإدارة العامة للقضاء العسكري</v>
      </c>
      <c r="E107" s="18" t="str">
        <f aca="false">IFERROR(INDEX('قائمة الوحدات'!$F$2:$F$41,MATCH($A107,'قائمة الوحدات'!$A$2:$A$41,0)),"")</f>
        <v>الإدارة العامة للقضاء العسكري</v>
      </c>
      <c r="F107" s="19" t="s">
        <v>44</v>
      </c>
      <c r="G107" s="18" t="str">
        <f aca="false">IFERROR(INDEX(المرجع!$A$2:$A$19,MATCH($F107,المرجع!$B$2:$B$19,0)),"")</f>
        <v>التصميم</v>
      </c>
      <c r="H107" s="29" t="n">
        <f aca="false">SUMIFS('تقييم العناصر'!$R$2:$R$721,'تقييم العناصر'!$B$2:$B$721,$A107,'تقييم العناصر'!$G$2:$G$721,$F107)</f>
        <v>87.3</v>
      </c>
      <c r="I107" s="30" t="n">
        <f aca="false">SUMIFS('تقييم العناصر'!$T$2:$T$721,'تقييم العناصر'!$B$2:$B$721,$A107,'تقييم العناصر'!$G$2:$G$721,$F107)</f>
        <v>94.95</v>
      </c>
      <c r="J107" s="27" t="str">
        <f aca="false">IF($H107&gt;المرجع!$K$3,"متقدم",IF($H107&lt;=المرجع!$K$2,"أولي","جزئي"))</f>
        <v>متقدم</v>
      </c>
      <c r="K107" s="31" t="n">
        <f aca="false">ROUND((SUMIFS($H$2:$H$121,$A$2:$A$121,$A107,$F$2:$F$121,"DESIGN")*INDEX(المرجع!$K$9:$K$11,MATCH("DESIGN",المرجع!$L$9:$L$11,0))+SUMIFS($H$2:$H$121,$A$2:$A$121,$A107,$F$2:$F$121,"BUILD")*INDEX(المرجع!$K$9:$K$11,MATCH("BUILD",المرجع!$L$9:$L$11,0))+SUMIFS($H$2:$H$121,$A$2:$A$121,$A107,$F$2:$F$121,"OPERATE")*INDEX(المرجع!$K$9:$K$11,MATCH("OPERATE",المرجع!$L$9:$L$11,0)))/100,1)</f>
        <v>52.6</v>
      </c>
      <c r="L107" s="32" t="str">
        <f aca="false">IF($K107&gt;المرجع!$K$3,"متقدم",IF($K107&lt;=المرجع!$K$2,"أولي","جزئي"))</f>
        <v>جزئي</v>
      </c>
      <c r="M107" s="31" t="n">
        <f aca="false">ROUND((SUMIFS($I$2:$I$121,$A$2:$A$121,$A107,$F$2:$F$121,"DESIGN")*INDEX(المرجع!$K$9:$K$11,MATCH("DESIGN",المرجع!$L$9:$L$11,0))+SUMIFS($I$2:$I$121,$A$2:$A$121,$A107,$F$2:$F$121,"BUILD")*INDEX(المرجع!$K$9:$K$11,MATCH("BUILD",المرجع!$L$9:$L$11,0))+SUMIFS($I$2:$I$121,$A$2:$A$121,$A107,$F$2:$F$121,"OPERATE")*INDEX(المرجع!$K$9:$K$11,MATCH("OPERATE",المرجع!$L$9:$L$11,0)))/100,1)</f>
        <v>94.3</v>
      </c>
      <c r="N107" s="32" t="str">
        <f aca="false">IF($M107&gt;المرجع!$K$3,"متقدم",IF($M107&lt;=المرجع!$K$2,"أولي","جزئي"))</f>
        <v>متقدم</v>
      </c>
    </row>
    <row r="108" customFormat="false" ht="15" hidden="false" customHeight="true" outlineLevel="0" collapsed="false">
      <c r="A108" s="19" t="s">
        <v>228</v>
      </c>
      <c r="B108" s="19" t="str">
        <f aca="false">IFERROR(INDEX('قائمة الوحدات'!$B$2:$B$41,MATCH($A108,'قائمة الوحدات'!$A$2:$A$41,0)),"")</f>
        <v>MIL</v>
      </c>
      <c r="C108" s="18" t="str">
        <f aca="false">IFERROR(INDEX('قائمة الوحدات'!$C$2:$C$41,MATCH($A108,'قائمة الوحدات'!$A$2:$A$41,0)),"")</f>
        <v>الجهاز العسكري</v>
      </c>
      <c r="D108" s="18" t="str">
        <f aca="false">IFERROR(INDEX('قائمة الوحدات'!$D$2:$D$41,MATCH($A108,'قائمة الوحدات'!$A$2:$A$41,0)),"")</f>
        <v>الإدارة العامة للقضاء العسكري</v>
      </c>
      <c r="E108" s="18" t="str">
        <f aca="false">IFERROR(INDEX('قائمة الوحدات'!$F$2:$F$41,MATCH($A108,'قائمة الوحدات'!$A$2:$A$41,0)),"")</f>
        <v>الإدارة العامة للقضاء العسكري</v>
      </c>
      <c r="F108" s="19" t="s">
        <v>62</v>
      </c>
      <c r="G108" s="18" t="str">
        <f aca="false">IFERROR(INDEX(المرجع!$A$2:$A$19,MATCH($F108,المرجع!$B$2:$B$19,0)),"")</f>
        <v>البناء المؤسسي</v>
      </c>
      <c r="H108" s="29" t="n">
        <f aca="false">SUMIFS('تقييم العناصر'!$R$2:$R$721,'تقييم العناصر'!$B$2:$B$721,$A108,'تقييم العناصر'!$G$2:$G$721,$F108)</f>
        <v>63.5</v>
      </c>
      <c r="I108" s="30" t="n">
        <f aca="false">SUMIFS('تقييم العناصر'!$T$2:$T$721,'تقييم العناصر'!$B$2:$B$721,$A108,'تقييم العناصر'!$G$2:$G$721,$F108)</f>
        <v>90.55</v>
      </c>
      <c r="J108" s="27" t="str">
        <f aca="false">IF($H108&gt;المرجع!$K$3,"متقدم",IF($H108&lt;=المرجع!$K$2,"أولي","جزئي"))</f>
        <v>جزئي</v>
      </c>
      <c r="K108" s="31" t="n">
        <f aca="false">ROUND((SUMIFS($H$2:$H$121,$A$2:$A$121,$A108,$F$2:$F$121,"DESIGN")*INDEX(المرجع!$K$9:$K$11,MATCH("DESIGN",المرجع!$L$9:$L$11,0))+SUMIFS($H$2:$H$121,$A$2:$A$121,$A108,$F$2:$F$121,"BUILD")*INDEX(المرجع!$K$9:$K$11,MATCH("BUILD",المرجع!$L$9:$L$11,0))+SUMIFS($H$2:$H$121,$A$2:$A$121,$A108,$F$2:$F$121,"OPERATE")*INDEX(المرجع!$K$9:$K$11,MATCH("OPERATE",المرجع!$L$9:$L$11,0)))/100,1)</f>
        <v>52.6</v>
      </c>
      <c r="L108" s="32" t="str">
        <f aca="false">IF($K108&gt;المرجع!$K$3,"متقدم",IF($K108&lt;=المرجع!$K$2,"أولي","جزئي"))</f>
        <v>جزئي</v>
      </c>
      <c r="M108" s="31" t="n">
        <f aca="false">ROUND((SUMIFS($I$2:$I$121,$A$2:$A$121,$A108,$F$2:$F$121,"DESIGN")*INDEX(المرجع!$K$9:$K$11,MATCH("DESIGN",المرجع!$L$9:$L$11,0))+SUMIFS($I$2:$I$121,$A$2:$A$121,$A108,$F$2:$F$121,"BUILD")*INDEX(المرجع!$K$9:$K$11,MATCH("BUILD",المرجع!$L$9:$L$11,0))+SUMIFS($I$2:$I$121,$A$2:$A$121,$A108,$F$2:$F$121,"OPERATE")*INDEX(المرجع!$K$9:$K$11,MATCH("OPERATE",المرجع!$L$9:$L$11,0)))/100,1)</f>
        <v>94.3</v>
      </c>
      <c r="N108" s="32" t="str">
        <f aca="false">IF($M108&gt;المرجع!$K$3,"متقدم",IF($M108&lt;=المرجع!$K$2,"أولي","جزئي"))</f>
        <v>متقدم</v>
      </c>
    </row>
    <row r="109" customFormat="false" ht="15" hidden="false" customHeight="true" outlineLevel="0" collapsed="false">
      <c r="A109" s="19" t="s">
        <v>228</v>
      </c>
      <c r="B109" s="19" t="str">
        <f aca="false">IFERROR(INDEX('قائمة الوحدات'!$B$2:$B$41,MATCH($A109,'قائمة الوحدات'!$A$2:$A$41,0)),"")</f>
        <v>MIL</v>
      </c>
      <c r="C109" s="18" t="str">
        <f aca="false">IFERROR(INDEX('قائمة الوحدات'!$C$2:$C$41,MATCH($A109,'قائمة الوحدات'!$A$2:$A$41,0)),"")</f>
        <v>الجهاز العسكري</v>
      </c>
      <c r="D109" s="18" t="str">
        <f aca="false">IFERROR(INDEX('قائمة الوحدات'!$D$2:$D$41,MATCH($A109,'قائمة الوحدات'!$A$2:$A$41,0)),"")</f>
        <v>الإدارة العامة للقضاء العسكري</v>
      </c>
      <c r="E109" s="18" t="str">
        <f aca="false">IFERROR(INDEX('قائمة الوحدات'!$F$2:$F$41,MATCH($A109,'قائمة الوحدات'!$A$2:$A$41,0)),"")</f>
        <v>الإدارة العامة للقضاء العسكري</v>
      </c>
      <c r="F109" s="19" t="s">
        <v>66</v>
      </c>
      <c r="G109" s="18" t="str">
        <f aca="false">IFERROR(INDEX(المرجع!$A$2:$A$19,MATCH($F109,المرجع!$B$2:$B$19,0)),"")</f>
        <v>التشغيل</v>
      </c>
      <c r="H109" s="29" t="n">
        <f aca="false">SUMIFS('تقييم العناصر'!$R$2:$R$721,'تقييم العناصر'!$B$2:$B$721,$A109,'تقييم العناصر'!$G$2:$G$721,$F109)</f>
        <v>32.1</v>
      </c>
      <c r="I109" s="30" t="n">
        <f aca="false">SUMIFS('تقييم العناصر'!$T$2:$T$721,'تقييم العناصر'!$B$2:$B$721,$A109,'تقييم العناصر'!$G$2:$G$721,$F109)</f>
        <v>96.3</v>
      </c>
      <c r="J109" s="27" t="str">
        <f aca="false">IF($H109&gt;المرجع!$K$3,"متقدم",IF($H109&lt;=المرجع!$K$2,"أولي","جزئي"))</f>
        <v>جزئي</v>
      </c>
      <c r="K109" s="31" t="n">
        <f aca="false">ROUND((SUMIFS($H$2:$H$121,$A$2:$A$121,$A109,$F$2:$F$121,"DESIGN")*INDEX(المرجع!$K$9:$K$11,MATCH("DESIGN",المرجع!$L$9:$L$11,0))+SUMIFS($H$2:$H$121,$A$2:$A$121,$A109,$F$2:$F$121,"BUILD")*INDEX(المرجع!$K$9:$K$11,MATCH("BUILD",المرجع!$L$9:$L$11,0))+SUMIFS($H$2:$H$121,$A$2:$A$121,$A109,$F$2:$F$121,"OPERATE")*INDEX(المرجع!$K$9:$K$11,MATCH("OPERATE",المرجع!$L$9:$L$11,0)))/100,1)</f>
        <v>52.6</v>
      </c>
      <c r="L109" s="32" t="str">
        <f aca="false">IF($K109&gt;المرجع!$K$3,"متقدم",IF($K109&lt;=المرجع!$K$2,"أولي","جزئي"))</f>
        <v>جزئي</v>
      </c>
      <c r="M109" s="31" t="n">
        <f aca="false">ROUND((SUMIFS($I$2:$I$121,$A$2:$A$121,$A109,$F$2:$F$121,"DESIGN")*INDEX(المرجع!$K$9:$K$11,MATCH("DESIGN",المرجع!$L$9:$L$11,0))+SUMIFS($I$2:$I$121,$A$2:$A$121,$A109,$F$2:$F$121,"BUILD")*INDEX(المرجع!$K$9:$K$11,MATCH("BUILD",المرجع!$L$9:$L$11,0))+SUMIFS($I$2:$I$121,$A$2:$A$121,$A109,$F$2:$F$121,"OPERATE")*INDEX(المرجع!$K$9:$K$11,MATCH("OPERATE",المرجع!$L$9:$L$11,0)))/100,1)</f>
        <v>94.3</v>
      </c>
      <c r="N109" s="32" t="str">
        <f aca="false">IF($M109&gt;المرجع!$K$3,"متقدم",IF($M109&lt;=المرجع!$K$2,"أولي","جزئي"))</f>
        <v>متقدم</v>
      </c>
    </row>
    <row r="110" customFormat="false" ht="15" hidden="false" customHeight="true" outlineLevel="0" collapsed="false">
      <c r="A110" s="19" t="s">
        <v>230</v>
      </c>
      <c r="B110" s="19" t="str">
        <f aca="false">IFERROR(INDEX('قائمة الوحدات'!$B$2:$B$41,MATCH($A110,'قائمة الوحدات'!$A$2:$A$41,0)),"")</f>
        <v>MIL</v>
      </c>
      <c r="C110" s="18" t="str">
        <f aca="false">IFERROR(INDEX('قائمة الوحدات'!$C$2:$C$41,MATCH($A110,'قائمة الوحدات'!$A$2:$A$41,0)),"")</f>
        <v>الجهاز العسكري</v>
      </c>
      <c r="D110" s="18" t="str">
        <f aca="false">IFERROR(INDEX('قائمة الوحدات'!$D$2:$D$41,MATCH($A110,'قائمة الوحدات'!$A$2:$A$41,0)),"")</f>
        <v>الإدارة العامة للأمن العسكري</v>
      </c>
      <c r="E110" s="18" t="str">
        <f aca="false">IFERROR(INDEX('قائمة الوحدات'!$F$2:$F$41,MATCH($A110,'قائمة الوحدات'!$A$2:$A$41,0)),"")</f>
        <v>الإدارة العامة للأمن العسكري</v>
      </c>
      <c r="F110" s="19" t="s">
        <v>44</v>
      </c>
      <c r="G110" s="18" t="str">
        <f aca="false">IFERROR(INDEX(المرجع!$A$2:$A$19,MATCH($F110,المرجع!$B$2:$B$19,0)),"")</f>
        <v>التصميم</v>
      </c>
      <c r="H110" s="29" t="n">
        <f aca="false">SUMIFS('تقييم العناصر'!$R$2:$R$721,'تقييم العناصر'!$B$2:$B$721,$A110,'تقييم العناصر'!$G$2:$G$721,$F110)</f>
        <v>84.7</v>
      </c>
      <c r="I110" s="30" t="n">
        <f aca="false">SUMIFS('تقييم العناصر'!$T$2:$T$721,'تقييم العناصر'!$B$2:$B$721,$A110,'تقييم العناصر'!$G$2:$G$721,$F110)</f>
        <v>89.45</v>
      </c>
      <c r="J110" s="27" t="str">
        <f aca="false">IF($H110&gt;المرجع!$K$3,"متقدم",IF($H110&lt;=المرجع!$K$2,"أولي","جزئي"))</f>
        <v>متقدم</v>
      </c>
      <c r="K110" s="31" t="n">
        <f aca="false">ROUND((SUMIFS($H$2:$H$121,$A$2:$A$121,$A110,$F$2:$F$121,"DESIGN")*INDEX(المرجع!$K$9:$K$11,MATCH("DESIGN",المرجع!$L$9:$L$11,0))+SUMIFS($H$2:$H$121,$A$2:$A$121,$A110,$F$2:$F$121,"BUILD")*INDEX(المرجع!$K$9:$K$11,MATCH("BUILD",المرجع!$L$9:$L$11,0))+SUMIFS($H$2:$H$121,$A$2:$A$121,$A110,$F$2:$F$121,"OPERATE")*INDEX(المرجع!$K$9:$K$11,MATCH("OPERATE",المرجع!$L$9:$L$11,0)))/100,1)</f>
        <v>54.3</v>
      </c>
      <c r="L110" s="32" t="str">
        <f aca="false">IF($K110&gt;المرجع!$K$3,"متقدم",IF($K110&lt;=المرجع!$K$2,"أولي","جزئي"))</f>
        <v>جزئي</v>
      </c>
      <c r="M110" s="31" t="n">
        <f aca="false">ROUND((SUMIFS($I$2:$I$121,$A$2:$A$121,$A110,$F$2:$F$121,"DESIGN")*INDEX(المرجع!$K$9:$K$11,MATCH("DESIGN",المرجع!$L$9:$L$11,0))+SUMIFS($I$2:$I$121,$A$2:$A$121,$A110,$F$2:$F$121,"BUILD")*INDEX(المرجع!$K$9:$K$11,MATCH("BUILD",المرجع!$L$9:$L$11,0))+SUMIFS($I$2:$I$121,$A$2:$A$121,$A110,$F$2:$F$121,"OPERATE")*INDEX(المرجع!$K$9:$K$11,MATCH("OPERATE",المرجع!$L$9:$L$11,0)))/100,1)</f>
        <v>94.3</v>
      </c>
      <c r="N110" s="32" t="str">
        <f aca="false">IF($M110&gt;المرجع!$K$3,"متقدم",IF($M110&lt;=المرجع!$K$2,"أولي","جزئي"))</f>
        <v>متقدم</v>
      </c>
    </row>
    <row r="111" customFormat="false" ht="15" hidden="false" customHeight="true" outlineLevel="0" collapsed="false">
      <c r="A111" s="19" t="s">
        <v>230</v>
      </c>
      <c r="B111" s="19" t="str">
        <f aca="false">IFERROR(INDEX('قائمة الوحدات'!$B$2:$B$41,MATCH($A111,'قائمة الوحدات'!$A$2:$A$41,0)),"")</f>
        <v>MIL</v>
      </c>
      <c r="C111" s="18" t="str">
        <f aca="false">IFERROR(INDEX('قائمة الوحدات'!$C$2:$C$41,MATCH($A111,'قائمة الوحدات'!$A$2:$A$41,0)),"")</f>
        <v>الجهاز العسكري</v>
      </c>
      <c r="D111" s="18" t="str">
        <f aca="false">IFERROR(INDEX('قائمة الوحدات'!$D$2:$D$41,MATCH($A111,'قائمة الوحدات'!$A$2:$A$41,0)),"")</f>
        <v>الإدارة العامة للأمن العسكري</v>
      </c>
      <c r="E111" s="18" t="str">
        <f aca="false">IFERROR(INDEX('قائمة الوحدات'!$F$2:$F$41,MATCH($A111,'قائمة الوحدات'!$A$2:$A$41,0)),"")</f>
        <v>الإدارة العامة للأمن العسكري</v>
      </c>
      <c r="F111" s="19" t="s">
        <v>62</v>
      </c>
      <c r="G111" s="18" t="str">
        <f aca="false">IFERROR(INDEX(المرجع!$A$2:$A$19,MATCH($F111,المرجع!$B$2:$B$19,0)),"")</f>
        <v>البناء المؤسسي</v>
      </c>
      <c r="H111" s="29" t="n">
        <f aca="false">SUMIFS('تقييم العناصر'!$R$2:$R$721,'تقييم العناصر'!$B$2:$B$721,$A111,'تقييم العناصر'!$G$2:$G$721,$F111)</f>
        <v>65.1</v>
      </c>
      <c r="I111" s="30" t="n">
        <f aca="false">SUMIFS('تقييم العناصر'!$T$2:$T$721,'تقييم العناصر'!$B$2:$B$721,$A111,'تقييم العناصر'!$G$2:$G$721,$F111)</f>
        <v>93.5</v>
      </c>
      <c r="J111" s="27" t="str">
        <f aca="false">IF($H111&gt;المرجع!$K$3,"متقدم",IF($H111&lt;=المرجع!$K$2,"أولي","جزئي"))</f>
        <v>جزئي</v>
      </c>
      <c r="K111" s="31" t="n">
        <f aca="false">ROUND((SUMIFS($H$2:$H$121,$A$2:$A$121,$A111,$F$2:$F$121,"DESIGN")*INDEX(المرجع!$K$9:$K$11,MATCH("DESIGN",المرجع!$L$9:$L$11,0))+SUMIFS($H$2:$H$121,$A$2:$A$121,$A111,$F$2:$F$121,"BUILD")*INDEX(المرجع!$K$9:$K$11,MATCH("BUILD",المرجع!$L$9:$L$11,0))+SUMIFS($H$2:$H$121,$A$2:$A$121,$A111,$F$2:$F$121,"OPERATE")*INDEX(المرجع!$K$9:$K$11,MATCH("OPERATE",المرجع!$L$9:$L$11,0)))/100,1)</f>
        <v>54.3</v>
      </c>
      <c r="L111" s="32" t="str">
        <f aca="false">IF($K111&gt;المرجع!$K$3,"متقدم",IF($K111&lt;=المرجع!$K$2,"أولي","جزئي"))</f>
        <v>جزئي</v>
      </c>
      <c r="M111" s="31" t="n">
        <f aca="false">ROUND((SUMIFS($I$2:$I$121,$A$2:$A$121,$A111,$F$2:$F$121,"DESIGN")*INDEX(المرجع!$K$9:$K$11,MATCH("DESIGN",المرجع!$L$9:$L$11,0))+SUMIFS($I$2:$I$121,$A$2:$A$121,$A111,$F$2:$F$121,"BUILD")*INDEX(المرجع!$K$9:$K$11,MATCH("BUILD",المرجع!$L$9:$L$11,0))+SUMIFS($I$2:$I$121,$A$2:$A$121,$A111,$F$2:$F$121,"OPERATE")*INDEX(المرجع!$K$9:$K$11,MATCH("OPERATE",المرجع!$L$9:$L$11,0)))/100,1)</f>
        <v>94.3</v>
      </c>
      <c r="N111" s="32" t="str">
        <f aca="false">IF($M111&gt;المرجع!$K$3,"متقدم",IF($M111&lt;=المرجع!$K$2,"أولي","جزئي"))</f>
        <v>متقدم</v>
      </c>
    </row>
    <row r="112" customFormat="false" ht="15" hidden="false" customHeight="true" outlineLevel="0" collapsed="false">
      <c r="A112" s="19" t="s">
        <v>230</v>
      </c>
      <c r="B112" s="19" t="str">
        <f aca="false">IFERROR(INDEX('قائمة الوحدات'!$B$2:$B$41,MATCH($A112,'قائمة الوحدات'!$A$2:$A$41,0)),"")</f>
        <v>MIL</v>
      </c>
      <c r="C112" s="18" t="str">
        <f aca="false">IFERROR(INDEX('قائمة الوحدات'!$C$2:$C$41,MATCH($A112,'قائمة الوحدات'!$A$2:$A$41,0)),"")</f>
        <v>الجهاز العسكري</v>
      </c>
      <c r="D112" s="18" t="str">
        <f aca="false">IFERROR(INDEX('قائمة الوحدات'!$D$2:$D$41,MATCH($A112,'قائمة الوحدات'!$A$2:$A$41,0)),"")</f>
        <v>الإدارة العامة للأمن العسكري</v>
      </c>
      <c r="E112" s="18" t="str">
        <f aca="false">IFERROR(INDEX('قائمة الوحدات'!$F$2:$F$41,MATCH($A112,'قائمة الوحدات'!$A$2:$A$41,0)),"")</f>
        <v>الإدارة العامة للأمن العسكري</v>
      </c>
      <c r="F112" s="19" t="s">
        <v>66</v>
      </c>
      <c r="G112" s="18" t="str">
        <f aca="false">IFERROR(INDEX(المرجع!$A$2:$A$19,MATCH($F112,المرجع!$B$2:$B$19,0)),"")</f>
        <v>التشغيل</v>
      </c>
      <c r="H112" s="29" t="n">
        <f aca="false">SUMIFS('تقييم العناصر'!$R$2:$R$721,'تقييم العناصر'!$B$2:$B$721,$A112,'تقييم العناصر'!$G$2:$G$721,$F112)</f>
        <v>35.65</v>
      </c>
      <c r="I112" s="30" t="n">
        <f aca="false">SUMIFS('تقييم العناصر'!$T$2:$T$721,'تقييم العناصر'!$B$2:$B$721,$A112,'تقييم العناصر'!$G$2:$G$721,$F112)</f>
        <v>96.8</v>
      </c>
      <c r="J112" s="27" t="str">
        <f aca="false">IF($H112&gt;المرجع!$K$3,"متقدم",IF($H112&lt;=المرجع!$K$2,"أولي","جزئي"))</f>
        <v>جزئي</v>
      </c>
      <c r="K112" s="31" t="n">
        <f aca="false">ROUND((SUMIFS($H$2:$H$121,$A$2:$A$121,$A112,$F$2:$F$121,"DESIGN")*INDEX(المرجع!$K$9:$K$11,MATCH("DESIGN",المرجع!$L$9:$L$11,0))+SUMIFS($H$2:$H$121,$A$2:$A$121,$A112,$F$2:$F$121,"BUILD")*INDEX(المرجع!$K$9:$K$11,MATCH("BUILD",المرجع!$L$9:$L$11,0))+SUMIFS($H$2:$H$121,$A$2:$A$121,$A112,$F$2:$F$121,"OPERATE")*INDEX(المرجع!$K$9:$K$11,MATCH("OPERATE",المرجع!$L$9:$L$11,0)))/100,1)</f>
        <v>54.3</v>
      </c>
      <c r="L112" s="32" t="str">
        <f aca="false">IF($K112&gt;المرجع!$K$3,"متقدم",IF($K112&lt;=المرجع!$K$2,"أولي","جزئي"))</f>
        <v>جزئي</v>
      </c>
      <c r="M112" s="31" t="n">
        <f aca="false">ROUND((SUMIFS($I$2:$I$121,$A$2:$A$121,$A112,$F$2:$F$121,"DESIGN")*INDEX(المرجع!$K$9:$K$11,MATCH("DESIGN",المرجع!$L$9:$L$11,0))+SUMIFS($I$2:$I$121,$A$2:$A$121,$A112,$F$2:$F$121,"BUILD")*INDEX(المرجع!$K$9:$K$11,MATCH("BUILD",المرجع!$L$9:$L$11,0))+SUMIFS($I$2:$I$121,$A$2:$A$121,$A112,$F$2:$F$121,"OPERATE")*INDEX(المرجع!$K$9:$K$11,MATCH("OPERATE",المرجع!$L$9:$L$11,0)))/100,1)</f>
        <v>94.3</v>
      </c>
      <c r="N112" s="32" t="str">
        <f aca="false">IF($M112&gt;المرجع!$K$3,"متقدم",IF($M112&lt;=المرجع!$K$2,"أولي","جزئي"))</f>
        <v>متقدم</v>
      </c>
    </row>
    <row r="113" customFormat="false" ht="15" hidden="false" customHeight="true" outlineLevel="0" collapsed="false">
      <c r="A113" s="19" t="s">
        <v>232</v>
      </c>
      <c r="B113" s="19" t="str">
        <f aca="false">IFERROR(INDEX('قائمة الوحدات'!$B$2:$B$41,MATCH($A113,'قائمة الوحدات'!$A$2:$A$41,0)),"")</f>
        <v>MIL</v>
      </c>
      <c r="C113" s="18" t="str">
        <f aca="false">IFERROR(INDEX('قائمة الوحدات'!$C$2:$C$41,MATCH($A113,'قائمة الوحدات'!$A$2:$A$41,0)),"")</f>
        <v>الجهاز العسكري</v>
      </c>
      <c r="D113" s="18" t="str">
        <f aca="false">IFERROR(INDEX('قائمة الوحدات'!$D$2:$D$41,MATCH($A113,'قائمة الوحدات'!$A$2:$A$41,0)),"")</f>
        <v>الإدارة العامة للمالية والميزانية العسكرية</v>
      </c>
      <c r="E113" s="18" t="str">
        <f aca="false">IFERROR(INDEX('قائمة الوحدات'!$F$2:$F$41,MATCH($A113,'قائمة الوحدات'!$A$2:$A$41,0)),"")</f>
        <v>الإدارة العامة للمالية والميزانية العسكرية</v>
      </c>
      <c r="F113" s="19" t="s">
        <v>44</v>
      </c>
      <c r="G113" s="18" t="str">
        <f aca="false">IFERROR(INDEX(المرجع!$A$2:$A$19,MATCH($F113,المرجع!$B$2:$B$19,0)),"")</f>
        <v>التصميم</v>
      </c>
      <c r="H113" s="29" t="n">
        <f aca="false">SUMIFS('تقييم العناصر'!$R$2:$R$721,'تقييم العناصر'!$B$2:$B$721,$A113,'تقييم العناصر'!$G$2:$G$721,$F113)</f>
        <v>81.3</v>
      </c>
      <c r="I113" s="30" t="n">
        <f aca="false">SUMIFS('تقييم العناصر'!$T$2:$T$721,'تقييم العناصر'!$B$2:$B$721,$A113,'تقييم العناصر'!$G$2:$G$721,$F113)</f>
        <v>93.45</v>
      </c>
      <c r="J113" s="27" t="str">
        <f aca="false">IF($H113&gt;المرجع!$K$3,"متقدم",IF($H113&lt;=المرجع!$K$2,"أولي","جزئي"))</f>
        <v>متقدم</v>
      </c>
      <c r="K113" s="31" t="n">
        <f aca="false">ROUND((SUMIFS($H$2:$H$121,$A$2:$A$121,$A113,$F$2:$F$121,"DESIGN")*INDEX(المرجع!$K$9:$K$11,MATCH("DESIGN",المرجع!$L$9:$L$11,0))+SUMIFS($H$2:$H$121,$A$2:$A$121,$A113,$F$2:$F$121,"BUILD")*INDEX(المرجع!$K$9:$K$11,MATCH("BUILD",المرجع!$L$9:$L$11,0))+SUMIFS($H$2:$H$121,$A$2:$A$121,$A113,$F$2:$F$121,"OPERATE")*INDEX(المرجع!$K$9:$K$11,MATCH("OPERATE",المرجع!$L$9:$L$11,0)))/100,1)</f>
        <v>53.4</v>
      </c>
      <c r="L113" s="32" t="str">
        <f aca="false">IF($K113&gt;المرجع!$K$3,"متقدم",IF($K113&lt;=المرجع!$K$2,"أولي","جزئي"))</f>
        <v>جزئي</v>
      </c>
      <c r="M113" s="31" t="n">
        <f aca="false">ROUND((SUMIFS($I$2:$I$121,$A$2:$A$121,$A113,$F$2:$F$121,"DESIGN")*INDEX(المرجع!$K$9:$K$11,MATCH("DESIGN",المرجع!$L$9:$L$11,0))+SUMIFS($I$2:$I$121,$A$2:$A$121,$A113,$F$2:$F$121,"BUILD")*INDEX(المرجع!$K$9:$K$11,MATCH("BUILD",المرجع!$L$9:$L$11,0))+SUMIFS($I$2:$I$121,$A$2:$A$121,$A113,$F$2:$F$121,"OPERATE")*INDEX(المرجع!$K$9:$K$11,MATCH("OPERATE",المرجع!$L$9:$L$11,0)))/100,1)</f>
        <v>93.3</v>
      </c>
      <c r="N113" s="32" t="str">
        <f aca="false">IF($M113&gt;المرجع!$K$3,"متقدم",IF($M113&lt;=المرجع!$K$2,"أولي","جزئي"))</f>
        <v>متقدم</v>
      </c>
    </row>
    <row r="114" customFormat="false" ht="15" hidden="false" customHeight="true" outlineLevel="0" collapsed="false">
      <c r="A114" s="19" t="s">
        <v>232</v>
      </c>
      <c r="B114" s="19" t="str">
        <f aca="false">IFERROR(INDEX('قائمة الوحدات'!$B$2:$B$41,MATCH($A114,'قائمة الوحدات'!$A$2:$A$41,0)),"")</f>
        <v>MIL</v>
      </c>
      <c r="C114" s="18" t="str">
        <f aca="false">IFERROR(INDEX('قائمة الوحدات'!$C$2:$C$41,MATCH($A114,'قائمة الوحدات'!$A$2:$A$41,0)),"")</f>
        <v>الجهاز العسكري</v>
      </c>
      <c r="D114" s="18" t="str">
        <f aca="false">IFERROR(INDEX('قائمة الوحدات'!$D$2:$D$41,MATCH($A114,'قائمة الوحدات'!$A$2:$A$41,0)),"")</f>
        <v>الإدارة العامة للمالية والميزانية العسكرية</v>
      </c>
      <c r="E114" s="18" t="str">
        <f aca="false">IFERROR(INDEX('قائمة الوحدات'!$F$2:$F$41,MATCH($A114,'قائمة الوحدات'!$A$2:$A$41,0)),"")</f>
        <v>الإدارة العامة للمالية والميزانية العسكرية</v>
      </c>
      <c r="F114" s="19" t="s">
        <v>62</v>
      </c>
      <c r="G114" s="18" t="str">
        <f aca="false">IFERROR(INDEX(المرجع!$A$2:$A$19,MATCH($F114,المرجع!$B$2:$B$19,0)),"")</f>
        <v>البناء المؤسسي</v>
      </c>
      <c r="H114" s="29" t="n">
        <f aca="false">SUMIFS('تقييم العناصر'!$R$2:$R$721,'تقييم العناصر'!$B$2:$B$721,$A114,'تقييم العناصر'!$G$2:$G$721,$F114)</f>
        <v>68.95</v>
      </c>
      <c r="I114" s="30" t="n">
        <f aca="false">SUMIFS('تقييم العناصر'!$T$2:$T$721,'تقييم العناصر'!$B$2:$B$721,$A114,'تقييم العناصر'!$G$2:$G$721,$F114)</f>
        <v>94.55</v>
      </c>
      <c r="J114" s="27" t="str">
        <f aca="false">IF($H114&gt;المرجع!$K$3,"متقدم",IF($H114&lt;=المرجع!$K$2,"أولي","جزئي"))</f>
        <v>جزئي</v>
      </c>
      <c r="K114" s="31" t="n">
        <f aca="false">ROUND((SUMIFS($H$2:$H$121,$A$2:$A$121,$A114,$F$2:$F$121,"DESIGN")*INDEX(المرجع!$K$9:$K$11,MATCH("DESIGN",المرجع!$L$9:$L$11,0))+SUMIFS($H$2:$H$121,$A$2:$A$121,$A114,$F$2:$F$121,"BUILD")*INDEX(المرجع!$K$9:$K$11,MATCH("BUILD",المرجع!$L$9:$L$11,0))+SUMIFS($H$2:$H$121,$A$2:$A$121,$A114,$F$2:$F$121,"OPERATE")*INDEX(المرجع!$K$9:$K$11,MATCH("OPERATE",المرجع!$L$9:$L$11,0)))/100,1)</f>
        <v>53.4</v>
      </c>
      <c r="L114" s="32" t="str">
        <f aca="false">IF($K114&gt;المرجع!$K$3,"متقدم",IF($K114&lt;=المرجع!$K$2,"أولي","جزئي"))</f>
        <v>جزئي</v>
      </c>
      <c r="M114" s="31" t="n">
        <f aca="false">ROUND((SUMIFS($I$2:$I$121,$A$2:$A$121,$A114,$F$2:$F$121,"DESIGN")*INDEX(المرجع!$K$9:$K$11,MATCH("DESIGN",المرجع!$L$9:$L$11,0))+SUMIFS($I$2:$I$121,$A$2:$A$121,$A114,$F$2:$F$121,"BUILD")*INDEX(المرجع!$K$9:$K$11,MATCH("BUILD",المرجع!$L$9:$L$11,0))+SUMIFS($I$2:$I$121,$A$2:$A$121,$A114,$F$2:$F$121,"OPERATE")*INDEX(المرجع!$K$9:$K$11,MATCH("OPERATE",المرجع!$L$9:$L$11,0)))/100,1)</f>
        <v>93.3</v>
      </c>
      <c r="N114" s="32" t="str">
        <f aca="false">IF($M114&gt;المرجع!$K$3,"متقدم",IF($M114&lt;=المرجع!$K$2,"أولي","جزئي"))</f>
        <v>متقدم</v>
      </c>
    </row>
    <row r="115" customFormat="false" ht="15" hidden="false" customHeight="true" outlineLevel="0" collapsed="false">
      <c r="A115" s="19" t="s">
        <v>232</v>
      </c>
      <c r="B115" s="19" t="str">
        <f aca="false">IFERROR(INDEX('قائمة الوحدات'!$B$2:$B$41,MATCH($A115,'قائمة الوحدات'!$A$2:$A$41,0)),"")</f>
        <v>MIL</v>
      </c>
      <c r="C115" s="18" t="str">
        <f aca="false">IFERROR(INDEX('قائمة الوحدات'!$C$2:$C$41,MATCH($A115,'قائمة الوحدات'!$A$2:$A$41,0)),"")</f>
        <v>الجهاز العسكري</v>
      </c>
      <c r="D115" s="18" t="str">
        <f aca="false">IFERROR(INDEX('قائمة الوحدات'!$D$2:$D$41,MATCH($A115,'قائمة الوحدات'!$A$2:$A$41,0)),"")</f>
        <v>الإدارة العامة للمالية والميزانية العسكرية</v>
      </c>
      <c r="E115" s="18" t="str">
        <f aca="false">IFERROR(INDEX('قائمة الوحدات'!$F$2:$F$41,MATCH($A115,'قائمة الوحدات'!$A$2:$A$41,0)),"")</f>
        <v>الإدارة العامة للمالية والميزانية العسكرية</v>
      </c>
      <c r="F115" s="19" t="s">
        <v>66</v>
      </c>
      <c r="G115" s="18" t="str">
        <f aca="false">IFERROR(INDEX(المرجع!$A$2:$A$19,MATCH($F115,المرجع!$B$2:$B$19,0)),"")</f>
        <v>التشغيل</v>
      </c>
      <c r="H115" s="29" t="n">
        <f aca="false">SUMIFS('تقييم العناصر'!$R$2:$R$721,'تقييم العناصر'!$B$2:$B$721,$A115,'تقييم العناصر'!$G$2:$G$721,$F115)</f>
        <v>33</v>
      </c>
      <c r="I115" s="30" t="n">
        <f aca="false">SUMIFS('تقييم العناصر'!$T$2:$T$721,'تقييم العناصر'!$B$2:$B$721,$A115,'تقييم العناصر'!$G$2:$G$721,$F115)</f>
        <v>92.5</v>
      </c>
      <c r="J115" s="27" t="str">
        <f aca="false">IF($H115&gt;المرجع!$K$3,"متقدم",IF($H115&lt;=المرجع!$K$2,"أولي","جزئي"))</f>
        <v>جزئي</v>
      </c>
      <c r="K115" s="31" t="n">
        <f aca="false">ROUND((SUMIFS($H$2:$H$121,$A$2:$A$121,$A115,$F$2:$F$121,"DESIGN")*INDEX(المرجع!$K$9:$K$11,MATCH("DESIGN",المرجع!$L$9:$L$11,0))+SUMIFS($H$2:$H$121,$A$2:$A$121,$A115,$F$2:$F$121,"BUILD")*INDEX(المرجع!$K$9:$K$11,MATCH("BUILD",المرجع!$L$9:$L$11,0))+SUMIFS($H$2:$H$121,$A$2:$A$121,$A115,$F$2:$F$121,"OPERATE")*INDEX(المرجع!$K$9:$K$11,MATCH("OPERATE",المرجع!$L$9:$L$11,0)))/100,1)</f>
        <v>53.4</v>
      </c>
      <c r="L115" s="32" t="str">
        <f aca="false">IF($K115&gt;المرجع!$K$3,"متقدم",IF($K115&lt;=المرجع!$K$2,"أولي","جزئي"))</f>
        <v>جزئي</v>
      </c>
      <c r="M115" s="31" t="n">
        <f aca="false">ROUND((SUMIFS($I$2:$I$121,$A$2:$A$121,$A115,$F$2:$F$121,"DESIGN")*INDEX(المرجع!$K$9:$K$11,MATCH("DESIGN",المرجع!$L$9:$L$11,0))+SUMIFS($I$2:$I$121,$A$2:$A$121,$A115,$F$2:$F$121,"BUILD")*INDEX(المرجع!$K$9:$K$11,MATCH("BUILD",المرجع!$L$9:$L$11,0))+SUMIFS($I$2:$I$121,$A$2:$A$121,$A115,$F$2:$F$121,"OPERATE")*INDEX(المرجع!$K$9:$K$11,MATCH("OPERATE",المرجع!$L$9:$L$11,0)))/100,1)</f>
        <v>93.3</v>
      </c>
      <c r="N115" s="32" t="str">
        <f aca="false">IF($M115&gt;المرجع!$K$3,"متقدم",IF($M115&lt;=المرجع!$K$2,"أولي","جزئي"))</f>
        <v>متقدم</v>
      </c>
    </row>
    <row r="116" customFormat="false" ht="15" hidden="false" customHeight="true" outlineLevel="0" collapsed="false">
      <c r="A116" s="19" t="s">
        <v>234</v>
      </c>
      <c r="B116" s="19" t="str">
        <f aca="false">IFERROR(INDEX('قائمة الوحدات'!$B$2:$B$41,MATCH($A116,'قائمة الوحدات'!$A$2:$A$41,0)),"")</f>
        <v>MIL</v>
      </c>
      <c r="C116" s="18" t="str">
        <f aca="false">IFERROR(INDEX('قائمة الوحدات'!$C$2:$C$41,MATCH($A116,'قائمة الوحدات'!$A$2:$A$41,0)),"")</f>
        <v>الجهاز العسكري</v>
      </c>
      <c r="D116" s="18" t="str">
        <f aca="false">IFERROR(INDEX('قائمة الوحدات'!$D$2:$D$41,MATCH($A116,'قائمة الوحدات'!$A$2:$A$41,0)),"")</f>
        <v>الإدارة العامة للعلاقات العامة والإعلام العسكري</v>
      </c>
      <c r="E116" s="18" t="str">
        <f aca="false">IFERROR(INDEX('قائمة الوحدات'!$F$2:$F$41,MATCH($A116,'قائمة الوحدات'!$A$2:$A$41,0)),"")</f>
        <v>الإدارة العامة للعلاقات العامة والإعلام العسكري</v>
      </c>
      <c r="F116" s="19" t="s">
        <v>44</v>
      </c>
      <c r="G116" s="18" t="str">
        <f aca="false">IFERROR(INDEX(المرجع!$A$2:$A$19,MATCH($F116,المرجع!$B$2:$B$19,0)),"")</f>
        <v>التصميم</v>
      </c>
      <c r="H116" s="29" t="n">
        <f aca="false">SUMIFS('تقييم العناصر'!$R$2:$R$721,'تقييم العناصر'!$B$2:$B$721,$A116,'تقييم العناصر'!$G$2:$G$721,$F116)</f>
        <v>79.35</v>
      </c>
      <c r="I116" s="30" t="n">
        <f aca="false">SUMIFS('تقييم العناصر'!$T$2:$T$721,'تقييم العناصر'!$B$2:$B$721,$A116,'تقييم العناصر'!$G$2:$G$721,$F116)</f>
        <v>98.4</v>
      </c>
      <c r="J116" s="27" t="str">
        <f aca="false">IF($H116&gt;المرجع!$K$3,"متقدم",IF($H116&lt;=المرجع!$K$2,"أولي","جزئي"))</f>
        <v>متقدم</v>
      </c>
      <c r="K116" s="31" t="n">
        <f aca="false">ROUND((SUMIFS($H$2:$H$121,$A$2:$A$121,$A116,$F$2:$F$121,"DESIGN")*INDEX(المرجع!$K$9:$K$11,MATCH("DESIGN",المرجع!$L$9:$L$11,0))+SUMIFS($H$2:$H$121,$A$2:$A$121,$A116,$F$2:$F$121,"BUILD")*INDEX(المرجع!$K$9:$K$11,MATCH("BUILD",المرجع!$L$9:$L$11,0))+SUMIFS($H$2:$H$121,$A$2:$A$121,$A116,$F$2:$F$121,"OPERATE")*INDEX(المرجع!$K$9:$K$11,MATCH("OPERATE",المرجع!$L$9:$L$11,0)))/100,1)</f>
        <v>54.6</v>
      </c>
      <c r="L116" s="32" t="str">
        <f aca="false">IF($K116&gt;المرجع!$K$3,"متقدم",IF($K116&lt;=المرجع!$K$2,"أولي","جزئي"))</f>
        <v>جزئي</v>
      </c>
      <c r="M116" s="31" t="n">
        <f aca="false">ROUND((SUMIFS($I$2:$I$121,$A$2:$A$121,$A116,$F$2:$F$121,"DESIGN")*INDEX(المرجع!$K$9:$K$11,MATCH("DESIGN",المرجع!$L$9:$L$11,0))+SUMIFS($I$2:$I$121,$A$2:$A$121,$A116,$F$2:$F$121,"BUILD")*INDEX(المرجع!$K$9:$K$11,MATCH("BUILD",المرجع!$L$9:$L$11,0))+SUMIFS($I$2:$I$121,$A$2:$A$121,$A116,$F$2:$F$121,"OPERATE")*INDEX(المرجع!$K$9:$K$11,MATCH("OPERATE",المرجع!$L$9:$L$11,0)))/100,1)</f>
        <v>92.2</v>
      </c>
      <c r="N116" s="32" t="str">
        <f aca="false">IF($M116&gt;المرجع!$K$3,"متقدم",IF($M116&lt;=المرجع!$K$2,"أولي","جزئي"))</f>
        <v>متقدم</v>
      </c>
    </row>
    <row r="117" customFormat="false" ht="15" hidden="false" customHeight="true" outlineLevel="0" collapsed="false">
      <c r="A117" s="19" t="s">
        <v>234</v>
      </c>
      <c r="B117" s="19" t="str">
        <f aca="false">IFERROR(INDEX('قائمة الوحدات'!$B$2:$B$41,MATCH($A117,'قائمة الوحدات'!$A$2:$A$41,0)),"")</f>
        <v>MIL</v>
      </c>
      <c r="C117" s="18" t="str">
        <f aca="false">IFERROR(INDEX('قائمة الوحدات'!$C$2:$C$41,MATCH($A117,'قائمة الوحدات'!$A$2:$A$41,0)),"")</f>
        <v>الجهاز العسكري</v>
      </c>
      <c r="D117" s="18" t="str">
        <f aca="false">IFERROR(INDEX('قائمة الوحدات'!$D$2:$D$41,MATCH($A117,'قائمة الوحدات'!$A$2:$A$41,0)),"")</f>
        <v>الإدارة العامة للعلاقات العامة والإعلام العسكري</v>
      </c>
      <c r="E117" s="18" t="str">
        <f aca="false">IFERROR(INDEX('قائمة الوحدات'!$F$2:$F$41,MATCH($A117,'قائمة الوحدات'!$A$2:$A$41,0)),"")</f>
        <v>الإدارة العامة للعلاقات العامة والإعلام العسكري</v>
      </c>
      <c r="F117" s="19" t="s">
        <v>62</v>
      </c>
      <c r="G117" s="18" t="str">
        <f aca="false">IFERROR(INDEX(المرجع!$A$2:$A$19,MATCH($F117,المرجع!$B$2:$B$19,0)),"")</f>
        <v>البناء المؤسسي</v>
      </c>
      <c r="H117" s="29" t="n">
        <f aca="false">SUMIFS('تقييم العناصر'!$R$2:$R$721,'تقييم العناصر'!$B$2:$B$721,$A117,'تقييم العناصر'!$G$2:$G$721,$F117)</f>
        <v>69.15</v>
      </c>
      <c r="I117" s="30" t="n">
        <f aca="false">SUMIFS('تقييم العناصر'!$T$2:$T$721,'تقييم العناصر'!$B$2:$B$721,$A117,'تقييم العناصر'!$G$2:$G$721,$F117)</f>
        <v>92.55</v>
      </c>
      <c r="J117" s="27" t="str">
        <f aca="false">IF($H117&gt;المرجع!$K$3,"متقدم",IF($H117&lt;=المرجع!$K$2,"أولي","جزئي"))</f>
        <v>جزئي</v>
      </c>
      <c r="K117" s="31" t="n">
        <f aca="false">ROUND((SUMIFS($H$2:$H$121,$A$2:$A$121,$A117,$F$2:$F$121,"DESIGN")*INDEX(المرجع!$K$9:$K$11,MATCH("DESIGN",المرجع!$L$9:$L$11,0))+SUMIFS($H$2:$H$121,$A$2:$A$121,$A117,$F$2:$F$121,"BUILD")*INDEX(المرجع!$K$9:$K$11,MATCH("BUILD",المرجع!$L$9:$L$11,0))+SUMIFS($H$2:$H$121,$A$2:$A$121,$A117,$F$2:$F$121,"OPERATE")*INDEX(المرجع!$K$9:$K$11,MATCH("OPERATE",المرجع!$L$9:$L$11,0)))/100,1)</f>
        <v>54.6</v>
      </c>
      <c r="L117" s="32" t="str">
        <f aca="false">IF($K117&gt;المرجع!$K$3,"متقدم",IF($K117&lt;=المرجع!$K$2,"أولي","جزئي"))</f>
        <v>جزئي</v>
      </c>
      <c r="M117" s="31" t="n">
        <f aca="false">ROUND((SUMIFS($I$2:$I$121,$A$2:$A$121,$A117,$F$2:$F$121,"DESIGN")*INDEX(المرجع!$K$9:$K$11,MATCH("DESIGN",المرجع!$L$9:$L$11,0))+SUMIFS($I$2:$I$121,$A$2:$A$121,$A117,$F$2:$F$121,"BUILD")*INDEX(المرجع!$K$9:$K$11,MATCH("BUILD",المرجع!$L$9:$L$11,0))+SUMIFS($I$2:$I$121,$A$2:$A$121,$A117,$F$2:$F$121,"OPERATE")*INDEX(المرجع!$K$9:$K$11,MATCH("OPERATE",المرجع!$L$9:$L$11,0)))/100,1)</f>
        <v>92.2</v>
      </c>
      <c r="N117" s="32" t="str">
        <f aca="false">IF($M117&gt;المرجع!$K$3,"متقدم",IF($M117&lt;=المرجع!$K$2,"أولي","جزئي"))</f>
        <v>متقدم</v>
      </c>
    </row>
    <row r="118" customFormat="false" ht="15" hidden="false" customHeight="true" outlineLevel="0" collapsed="false">
      <c r="A118" s="19" t="s">
        <v>234</v>
      </c>
      <c r="B118" s="19" t="str">
        <f aca="false">IFERROR(INDEX('قائمة الوحدات'!$B$2:$B$41,MATCH($A118,'قائمة الوحدات'!$A$2:$A$41,0)),"")</f>
        <v>MIL</v>
      </c>
      <c r="C118" s="18" t="str">
        <f aca="false">IFERROR(INDEX('قائمة الوحدات'!$C$2:$C$41,MATCH($A118,'قائمة الوحدات'!$A$2:$A$41,0)),"")</f>
        <v>الجهاز العسكري</v>
      </c>
      <c r="D118" s="18" t="str">
        <f aca="false">IFERROR(INDEX('قائمة الوحدات'!$D$2:$D$41,MATCH($A118,'قائمة الوحدات'!$A$2:$A$41,0)),"")</f>
        <v>الإدارة العامة للعلاقات العامة والإعلام العسكري</v>
      </c>
      <c r="E118" s="18" t="str">
        <f aca="false">IFERROR(INDEX('قائمة الوحدات'!$F$2:$F$41,MATCH($A118,'قائمة الوحدات'!$A$2:$A$41,0)),"")</f>
        <v>الإدارة العامة للعلاقات العامة والإعلام العسكري</v>
      </c>
      <c r="F118" s="19" t="s">
        <v>66</v>
      </c>
      <c r="G118" s="18" t="str">
        <f aca="false">IFERROR(INDEX(المرجع!$A$2:$A$19,MATCH($F118,المرجع!$B$2:$B$19,0)),"")</f>
        <v>التشغيل</v>
      </c>
      <c r="H118" s="29" t="n">
        <f aca="false">SUMIFS('تقييم العناصر'!$R$2:$R$721,'تقييم العناصر'!$B$2:$B$721,$A118,'تقييم العناصر'!$G$2:$G$721,$F118)</f>
        <v>36.05</v>
      </c>
      <c r="I118" s="30" t="n">
        <f aca="false">SUMIFS('تقييم العناصر'!$T$2:$T$721,'تقييم العناصر'!$B$2:$B$721,$A118,'تقييم العناصر'!$G$2:$G$721,$F118)</f>
        <v>89.45</v>
      </c>
      <c r="J118" s="27" t="str">
        <f aca="false">IF($H118&gt;المرجع!$K$3,"متقدم",IF($H118&lt;=المرجع!$K$2,"أولي","جزئي"))</f>
        <v>جزئي</v>
      </c>
      <c r="K118" s="31" t="n">
        <f aca="false">ROUND((SUMIFS($H$2:$H$121,$A$2:$A$121,$A118,$F$2:$F$121,"DESIGN")*INDEX(المرجع!$K$9:$K$11,MATCH("DESIGN",المرجع!$L$9:$L$11,0))+SUMIFS($H$2:$H$121,$A$2:$A$121,$A118,$F$2:$F$121,"BUILD")*INDEX(المرجع!$K$9:$K$11,MATCH("BUILD",المرجع!$L$9:$L$11,0))+SUMIFS($H$2:$H$121,$A$2:$A$121,$A118,$F$2:$F$121,"OPERATE")*INDEX(المرجع!$K$9:$K$11,MATCH("OPERATE",المرجع!$L$9:$L$11,0)))/100,1)</f>
        <v>54.6</v>
      </c>
      <c r="L118" s="32" t="str">
        <f aca="false">IF($K118&gt;المرجع!$K$3,"متقدم",IF($K118&lt;=المرجع!$K$2,"أولي","جزئي"))</f>
        <v>جزئي</v>
      </c>
      <c r="M118" s="31" t="n">
        <f aca="false">ROUND((SUMIFS($I$2:$I$121,$A$2:$A$121,$A118,$F$2:$F$121,"DESIGN")*INDEX(المرجع!$K$9:$K$11,MATCH("DESIGN",المرجع!$L$9:$L$11,0))+SUMIFS($I$2:$I$121,$A$2:$A$121,$A118,$F$2:$F$121,"BUILD")*INDEX(المرجع!$K$9:$K$11,MATCH("BUILD",المرجع!$L$9:$L$11,0))+SUMIFS($I$2:$I$121,$A$2:$A$121,$A118,$F$2:$F$121,"OPERATE")*INDEX(المرجع!$K$9:$K$11,MATCH("OPERATE",المرجع!$L$9:$L$11,0)))/100,1)</f>
        <v>92.2</v>
      </c>
      <c r="N118" s="32" t="str">
        <f aca="false">IF($M118&gt;المرجع!$K$3,"متقدم",IF($M118&lt;=المرجع!$K$2,"أولي","جزئي"))</f>
        <v>متقدم</v>
      </c>
    </row>
    <row r="119" customFormat="false" ht="15" hidden="false" customHeight="true" outlineLevel="0" collapsed="false">
      <c r="A119" s="19" t="s">
        <v>236</v>
      </c>
      <c r="B119" s="19" t="str">
        <f aca="false">IFERROR(INDEX('قائمة الوحدات'!$B$2:$B$41,MATCH($A119,'قائمة الوحدات'!$A$2:$A$41,0)),"")</f>
        <v>MIL</v>
      </c>
      <c r="C119" s="18" t="str">
        <f aca="false">IFERROR(INDEX('قائمة الوحدات'!$C$2:$C$41,MATCH($A119,'قائمة الوحدات'!$A$2:$A$41,0)),"")</f>
        <v>الجهاز العسكري</v>
      </c>
      <c r="D119" s="18" t="str">
        <f aca="false">IFERROR(INDEX('قائمة الوحدات'!$D$2:$D$41,MATCH($A119,'قائمة الوحدات'!$A$2:$A$41,0)),"")</f>
        <v>الإدارة العامة للمراسم والتشريفات العسكرية</v>
      </c>
      <c r="E119" s="18" t="str">
        <f aca="false">IFERROR(INDEX('قائمة الوحدات'!$F$2:$F$41,MATCH($A119,'قائمة الوحدات'!$A$2:$A$41,0)),"")</f>
        <v>الإدارة العامة للمراسم والتشريفات العسكرية</v>
      </c>
      <c r="F119" s="19" t="s">
        <v>44</v>
      </c>
      <c r="G119" s="18" t="str">
        <f aca="false">IFERROR(INDEX(المرجع!$A$2:$A$19,MATCH($F119,المرجع!$B$2:$B$19,0)),"")</f>
        <v>التصميم</v>
      </c>
      <c r="H119" s="29" t="n">
        <f aca="false">SUMIFS('تقييم العناصر'!$R$2:$R$721,'تقييم العناصر'!$B$2:$B$721,$A119,'تقييم العناصر'!$G$2:$G$721,$F119)</f>
        <v>88.1</v>
      </c>
      <c r="I119" s="30" t="n">
        <f aca="false">SUMIFS('تقييم العناصر'!$T$2:$T$721,'تقييم العناصر'!$B$2:$B$721,$A119,'تقييم العناصر'!$G$2:$G$721,$F119)</f>
        <v>95</v>
      </c>
      <c r="J119" s="27" t="str">
        <f aca="false">IF($H119&gt;المرجع!$K$3,"متقدم",IF($H119&lt;=المرجع!$K$2,"أولي","جزئي"))</f>
        <v>متقدم</v>
      </c>
      <c r="K119" s="31" t="n">
        <f aca="false">ROUND((SUMIFS($H$2:$H$121,$A$2:$A$121,$A119,$F$2:$F$121,"DESIGN")*INDEX(المرجع!$K$9:$K$11,MATCH("DESIGN",المرجع!$L$9:$L$11,0))+SUMIFS($H$2:$H$121,$A$2:$A$121,$A119,$F$2:$F$121,"BUILD")*INDEX(المرجع!$K$9:$K$11,MATCH("BUILD",المرجع!$L$9:$L$11,0))+SUMIFS($H$2:$H$121,$A$2:$A$121,$A119,$F$2:$F$121,"OPERATE")*INDEX(المرجع!$K$9:$K$11,MATCH("OPERATE",المرجع!$L$9:$L$11,0)))/100,1)</f>
        <v>58.7</v>
      </c>
      <c r="L119" s="32" t="str">
        <f aca="false">IF($K119&gt;المرجع!$K$3,"متقدم",IF($K119&lt;=المرجع!$K$2,"أولي","جزئي"))</f>
        <v>جزئي</v>
      </c>
      <c r="M119" s="31" t="n">
        <f aca="false">ROUND((SUMIFS($I$2:$I$121,$A$2:$A$121,$A119,$F$2:$F$121,"DESIGN")*INDEX(المرجع!$K$9:$K$11,MATCH("DESIGN",المرجع!$L$9:$L$11,0))+SUMIFS($I$2:$I$121,$A$2:$A$121,$A119,$F$2:$F$121,"BUILD")*INDEX(المرجع!$K$9:$K$11,MATCH("BUILD",المرجع!$L$9:$L$11,0))+SUMIFS($I$2:$I$121,$A$2:$A$121,$A119,$F$2:$F$121,"OPERATE")*INDEX(المرجع!$K$9:$K$11,MATCH("OPERATE",المرجع!$L$9:$L$11,0)))/100,1)</f>
        <v>89.3</v>
      </c>
      <c r="N119" s="32" t="str">
        <f aca="false">IF($M119&gt;المرجع!$K$3,"متقدم",IF($M119&lt;=المرجع!$K$2,"أولي","جزئي"))</f>
        <v>متقدم</v>
      </c>
    </row>
    <row r="120" customFormat="false" ht="15" hidden="false" customHeight="true" outlineLevel="0" collapsed="false">
      <c r="A120" s="19" t="s">
        <v>236</v>
      </c>
      <c r="B120" s="19" t="str">
        <f aca="false">IFERROR(INDEX('قائمة الوحدات'!$B$2:$B$41,MATCH($A120,'قائمة الوحدات'!$A$2:$A$41,0)),"")</f>
        <v>MIL</v>
      </c>
      <c r="C120" s="18" t="str">
        <f aca="false">IFERROR(INDEX('قائمة الوحدات'!$C$2:$C$41,MATCH($A120,'قائمة الوحدات'!$A$2:$A$41,0)),"")</f>
        <v>الجهاز العسكري</v>
      </c>
      <c r="D120" s="18" t="str">
        <f aca="false">IFERROR(INDEX('قائمة الوحدات'!$D$2:$D$41,MATCH($A120,'قائمة الوحدات'!$A$2:$A$41,0)),"")</f>
        <v>الإدارة العامة للمراسم والتشريفات العسكرية</v>
      </c>
      <c r="E120" s="18" t="str">
        <f aca="false">IFERROR(INDEX('قائمة الوحدات'!$F$2:$F$41,MATCH($A120,'قائمة الوحدات'!$A$2:$A$41,0)),"")</f>
        <v>الإدارة العامة للمراسم والتشريفات العسكرية</v>
      </c>
      <c r="F120" s="19" t="s">
        <v>62</v>
      </c>
      <c r="G120" s="18" t="str">
        <f aca="false">IFERROR(INDEX(المرجع!$A$2:$A$19,MATCH($F120,المرجع!$B$2:$B$19,0)),"")</f>
        <v>البناء المؤسسي</v>
      </c>
      <c r="H120" s="29" t="n">
        <f aca="false">SUMIFS('تقييم العناصر'!$R$2:$R$721,'تقييم العناصر'!$B$2:$B$721,$A120,'تقييم العناصر'!$G$2:$G$721,$F120)</f>
        <v>59.75</v>
      </c>
      <c r="I120" s="30" t="n">
        <f aca="false">SUMIFS('تقييم العناصر'!$T$2:$T$721,'تقييم العناصر'!$B$2:$B$721,$A120,'تقييم العناصر'!$G$2:$G$721,$F120)</f>
        <v>92.85</v>
      </c>
      <c r="J120" s="27" t="str">
        <f aca="false">IF($H120&gt;المرجع!$K$3,"متقدم",IF($H120&lt;=المرجع!$K$2,"أولي","جزئي"))</f>
        <v>جزئي</v>
      </c>
      <c r="K120" s="31" t="n">
        <f aca="false">ROUND((SUMIFS($H$2:$H$121,$A$2:$A$121,$A120,$F$2:$F$121,"DESIGN")*INDEX(المرجع!$K$9:$K$11,MATCH("DESIGN",المرجع!$L$9:$L$11,0))+SUMIFS($H$2:$H$121,$A$2:$A$121,$A120,$F$2:$F$121,"BUILD")*INDEX(المرجع!$K$9:$K$11,MATCH("BUILD",المرجع!$L$9:$L$11,0))+SUMIFS($H$2:$H$121,$A$2:$A$121,$A120,$F$2:$F$121,"OPERATE")*INDEX(المرجع!$K$9:$K$11,MATCH("OPERATE",المرجع!$L$9:$L$11,0)))/100,1)</f>
        <v>58.7</v>
      </c>
      <c r="L120" s="32" t="str">
        <f aca="false">IF($K120&gt;المرجع!$K$3,"متقدم",IF($K120&lt;=المرجع!$K$2,"أولي","جزئي"))</f>
        <v>جزئي</v>
      </c>
      <c r="M120" s="31" t="n">
        <f aca="false">ROUND((SUMIFS($I$2:$I$121,$A$2:$A$121,$A120,$F$2:$F$121,"DESIGN")*INDEX(المرجع!$K$9:$K$11,MATCH("DESIGN",المرجع!$L$9:$L$11,0))+SUMIFS($I$2:$I$121,$A$2:$A$121,$A120,$F$2:$F$121,"BUILD")*INDEX(المرجع!$K$9:$K$11,MATCH("BUILD",المرجع!$L$9:$L$11,0))+SUMIFS($I$2:$I$121,$A$2:$A$121,$A120,$F$2:$F$121,"OPERATE")*INDEX(المرجع!$K$9:$K$11,MATCH("OPERATE",المرجع!$L$9:$L$11,0)))/100,1)</f>
        <v>89.3</v>
      </c>
      <c r="N120" s="32" t="str">
        <f aca="false">IF($M120&gt;المرجع!$K$3,"متقدم",IF($M120&lt;=المرجع!$K$2,"أولي","جزئي"))</f>
        <v>متقدم</v>
      </c>
    </row>
    <row r="121" customFormat="false" ht="15" hidden="false" customHeight="true" outlineLevel="0" collapsed="false">
      <c r="A121" s="19" t="s">
        <v>236</v>
      </c>
      <c r="B121" s="19" t="str">
        <f aca="false">IFERROR(INDEX('قائمة الوحدات'!$B$2:$B$41,MATCH($A121,'قائمة الوحدات'!$A$2:$A$41,0)),"")</f>
        <v>MIL</v>
      </c>
      <c r="C121" s="18" t="str">
        <f aca="false">IFERROR(INDEX('قائمة الوحدات'!$C$2:$C$41,MATCH($A121,'قائمة الوحدات'!$A$2:$A$41,0)),"")</f>
        <v>الجهاز العسكري</v>
      </c>
      <c r="D121" s="18" t="str">
        <f aca="false">IFERROR(INDEX('قائمة الوحدات'!$D$2:$D$41,MATCH($A121,'قائمة الوحدات'!$A$2:$A$41,0)),"")</f>
        <v>الإدارة العامة للمراسم والتشريفات العسكرية</v>
      </c>
      <c r="E121" s="18" t="str">
        <f aca="false">IFERROR(INDEX('قائمة الوحدات'!$F$2:$F$41,MATCH($A121,'قائمة الوحدات'!$A$2:$A$41,0)),"")</f>
        <v>الإدارة العامة للمراسم والتشريفات العسكرية</v>
      </c>
      <c r="F121" s="19" t="s">
        <v>66</v>
      </c>
      <c r="G121" s="18" t="str">
        <f aca="false">IFERROR(INDEX(المرجع!$A$2:$A$19,MATCH($F121,المرجع!$B$2:$B$19,0)),"")</f>
        <v>التشغيل</v>
      </c>
      <c r="H121" s="29" t="n">
        <f aca="false">SUMIFS('تقييم العناصر'!$R$2:$R$721,'تقييم العناصر'!$B$2:$B$721,$A121,'تقييم العناصر'!$G$2:$G$721,$F121)</f>
        <v>46.4</v>
      </c>
      <c r="I121" s="30" t="n">
        <f aca="false">SUMIFS('تقييم العناصر'!$T$2:$T$721,'تقييم العناصر'!$B$2:$B$721,$A121,'تقييم العناصر'!$G$2:$G$721,$F121)</f>
        <v>84.95</v>
      </c>
      <c r="J121" s="27" t="str">
        <f aca="false">IF($H121&gt;المرجع!$K$3,"متقدم",IF($H121&lt;=المرجع!$K$2,"أولي","جزئي"))</f>
        <v>جزئي</v>
      </c>
      <c r="K121" s="31" t="n">
        <f aca="false">ROUND((SUMIFS($H$2:$H$121,$A$2:$A$121,$A121,$F$2:$F$121,"DESIGN")*INDEX(المرجع!$K$9:$K$11,MATCH("DESIGN",المرجع!$L$9:$L$11,0))+SUMIFS($H$2:$H$121,$A$2:$A$121,$A121,$F$2:$F$121,"BUILD")*INDEX(المرجع!$K$9:$K$11,MATCH("BUILD",المرجع!$L$9:$L$11,0))+SUMIFS($H$2:$H$121,$A$2:$A$121,$A121,$F$2:$F$121,"OPERATE")*INDEX(المرجع!$K$9:$K$11,MATCH("OPERATE",المرجع!$L$9:$L$11,0)))/100,1)</f>
        <v>58.7</v>
      </c>
      <c r="L121" s="32" t="str">
        <f aca="false">IF($K121&gt;المرجع!$K$3,"متقدم",IF($K121&lt;=المرجع!$K$2,"أولي","جزئي"))</f>
        <v>جزئي</v>
      </c>
      <c r="M121" s="31" t="n">
        <f aca="false">ROUND((SUMIFS($I$2:$I$121,$A$2:$A$121,$A121,$F$2:$F$121,"DESIGN")*INDEX(المرجع!$K$9:$K$11,MATCH("DESIGN",المرجع!$L$9:$L$11,0))+SUMIFS($I$2:$I$121,$A$2:$A$121,$A121,$F$2:$F$121,"BUILD")*INDEX(المرجع!$K$9:$K$11,MATCH("BUILD",المرجع!$L$9:$L$11,0))+SUMIFS($I$2:$I$121,$A$2:$A$121,$A121,$F$2:$F$121,"OPERATE")*INDEX(المرجع!$K$9:$K$11,MATCH("OPERATE",المرجع!$L$9:$L$11,0)))/100,1)</f>
        <v>89.3</v>
      </c>
      <c r="N121" s="32" t="str">
        <f aca="false">IF($M121&gt;المرجع!$K$3,"متقدم",IF($M121&lt;=المرجع!$K$2,"أولي","جزئي"))</f>
        <v>متقدم</v>
      </c>
    </row>
  </sheetData>
  <autoFilter ref="A1:N121"/>
  <conditionalFormatting sqref="I2:I121">
    <cfRule type="cellIs" priority="2" operator="equal" aboveAverage="0" equalAverage="0" bottom="0" percent="0" rank="0" text="" dxfId="10">
      <formula>"متقدم"</formula>
    </cfRule>
    <cfRule type="cellIs" priority="3" operator="equal" aboveAverage="0" equalAverage="0" bottom="0" percent="0" rank="0" text="" dxfId="12">
      <formula>"جزئي"</formula>
    </cfRule>
    <cfRule type="cellIs" priority="4" operator="equal" aboveAverage="0" equalAverage="0" bottom="0" percent="0" rank="0" text="" dxfId="11">
      <formula>"أولي"</formula>
    </cfRule>
    <cfRule type="cellIs" priority="5" operator="greaterThan" aboveAverage="0" equalAverage="0" bottom="0" percent="0" rank="0" text="" dxfId="10">
      <formula>70</formula>
    </cfRule>
    <cfRule type="cellIs" priority="6" operator="lessThanOrEqual" aboveAverage="0" equalAverage="0" bottom="0" percent="0" rank="0" text="" dxfId="11">
      <formula>30</formula>
    </cfRule>
  </conditionalFormatting>
  <conditionalFormatting sqref="K2:K121">
    <cfRule type="cellIs" priority="7" operator="equal" aboveAverage="0" equalAverage="0" bottom="0" percent="0" rank="0" text="" dxfId="10">
      <formula>"متقدم"</formula>
    </cfRule>
    <cfRule type="cellIs" priority="8" operator="equal" aboveAverage="0" equalAverage="0" bottom="0" percent="0" rank="0" text="" dxfId="12">
      <formula>"جزئي"</formula>
    </cfRule>
    <cfRule type="cellIs" priority="9" operator="equal" aboveAverage="0" equalAverage="0" bottom="0" percent="0" rank="0" text="" dxfId="11">
      <formula>"أولي"</formula>
    </cfRule>
    <cfRule type="cellIs" priority="10" operator="greaterThan" aboveAverage="0" equalAverage="0" bottom="0" percent="0" rank="0" text="" dxfId="10">
      <formula>70</formula>
    </cfRule>
    <cfRule type="cellIs" priority="11" operator="lessThanOrEqual" aboveAverage="0" equalAverage="0" bottom="0" percent="0" rank="0" text="" dxfId="11">
      <formula>30</formula>
    </cfRule>
  </conditionalFormatting>
  <conditionalFormatting sqref="J2:J121">
    <cfRule type="cellIs" priority="12" operator="greaterThan" aboveAverage="0" equalAverage="0" bottom="0" percent="0" rank="0" text="" dxfId="10">
      <formula>70</formula>
    </cfRule>
    <cfRule type="cellIs" priority="13" operator="lessThanOrEqual" aboveAverage="0" equalAverage="0" bottom="0" percent="0" rank="0" text="" dxfId="11">
      <formula>30</formula>
    </cfRule>
  </conditionalFormatting>
  <conditionalFormatting sqref="M2:M121">
    <cfRule type="cellIs" priority="14" operator="greaterThan" aboveAverage="0" equalAverage="0" bottom="0" percent="0" rank="0" text="" dxfId="10">
      <formula>70</formula>
    </cfRule>
    <cfRule type="cellIs" priority="15" operator="lessThanOrEqual" aboveAverage="0" equalAverage="0" bottom="0" percent="0" rank="0" text="" dxfId="11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1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A42" activeCellId="0" sqref="A42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5"/>
    <col collapsed="false" customWidth="true" hidden="false" outlineLevel="0" max="11" min="11" style="1" width="20"/>
    <col collapsed="false" customWidth="true" hidden="false" outlineLevel="0" max="12" min="12" style="1" width="18"/>
  </cols>
  <sheetData>
    <row r="1" customFormat="false" ht="36" hidden="false" customHeight="true" outlineLevel="0" collapsed="false">
      <c r="A1" s="5" t="s">
        <v>136</v>
      </c>
      <c r="B1" s="5" t="s">
        <v>137</v>
      </c>
      <c r="C1" s="5" t="s">
        <v>138</v>
      </c>
      <c r="D1" s="5" t="s">
        <v>139</v>
      </c>
      <c r="E1" s="5" t="s">
        <v>140</v>
      </c>
      <c r="F1" s="5" t="s">
        <v>2181</v>
      </c>
      <c r="G1" s="5" t="s">
        <v>2182</v>
      </c>
      <c r="H1" s="5" t="s">
        <v>2183</v>
      </c>
      <c r="I1" s="5" t="s">
        <v>2177</v>
      </c>
      <c r="J1" s="5" t="s">
        <v>2178</v>
      </c>
      <c r="K1" s="23" t="s">
        <v>2179</v>
      </c>
      <c r="L1" s="23" t="s">
        <v>2180</v>
      </c>
    </row>
    <row r="2" customFormat="false" ht="15" hidden="false" customHeight="true" outlineLevel="0" collapsed="false">
      <c r="A2" s="19" t="s">
        <v>145</v>
      </c>
      <c r="B2" s="19" t="str">
        <f aca="false">IFERROR(INDEX('قائمة الوحدات'!$B$2:$B$41,MATCH($A2,'قائمة الوحدات'!$A$2:$A$41,0)),"")</f>
        <v>TOP</v>
      </c>
      <c r="C2" s="18" t="str">
        <f aca="false">IFERROR(INDEX('قائمة الوحدات'!$C$2:$C$41,MATCH($A2,'قائمة الوحدات'!$A$2:$A$41,0)),"")</f>
        <v>المرتبطة بسمو الوزير</v>
      </c>
      <c r="D2" s="18" t="str">
        <f aca="false">IFERROR(INDEX('قائمة الوحدات'!$D$2:$D$41,MATCH($A2,'قائمة الوحدات'!$A$2:$A$41,0)),"")</f>
        <v>المكتب التنفيذي</v>
      </c>
      <c r="E2" s="18" t="str">
        <f aca="false">IFERROR(INDEX('قائمة الوحدات'!$F$2:$F$41,MATCH($A2,'قائمة الوحدات'!$A$2:$A$41,0)),"")</f>
        <v>المكتب التنفيذي</v>
      </c>
      <c r="F2" s="29" t="n">
        <f aca="false">SUMIFS(النتائج!$H$2:$H$121,النتائج!$A$2:$A$121,$A2,النتائج!$F$2:$F$121,"DESIGN")</f>
        <v>75.85</v>
      </c>
      <c r="G2" s="29" t="n">
        <f aca="false">SUMIFS(النتائج!$H$2:$H$121,النتائج!$A$2:$A$121,$A2,النتائج!$F$2:$F$121,"BUILD")</f>
        <v>68.85</v>
      </c>
      <c r="H2" s="29" t="n">
        <f aca="false">SUMIFS(النتائج!$H$2:$H$121,النتائج!$A$2:$A$121,$A2,النتائج!$F$2:$F$121,"OPERATE")</f>
        <v>45.55</v>
      </c>
      <c r="I2" s="31" t="n">
        <f aca="false">ROUND(($F2*INDEX(المرجع!$K$9:$K$11,MATCH("DESIGN",المرجع!$L$9:$L$11,0))+$G2*INDEX(المرجع!$K$9:$K$11,MATCH("BUILD",المرجع!$L$9:$L$11,0))+$H2*INDEX(المرجع!$K$9:$K$11,MATCH("OPERATE",المرجع!$L$9:$L$11,0)))/100,1)</f>
        <v>58.6</v>
      </c>
      <c r="J2" s="32" t="str">
        <f aca="false">IF($I2&gt;المرجع!$K$3,"متقدم",IF($I2&lt;=المرجع!$K$2,"أولي","جزئي"))</f>
        <v>جزئي</v>
      </c>
      <c r="K2" s="31" t="n">
        <f aca="false">ROUND((SUMIFS(النتائج!$I$2:$I$121,النتائج!$A$2:$A$121,$A2,النتائج!$F$2:$F$121,"DESIGN")*INDEX(المرجع!$K$9:$K$11,MATCH("DESIGN",المرجع!$L$9:$L$11,0))+SUMIFS(النتائج!$I$2:$I$121,النتائج!$A$2:$A$121,$A2,النتائج!$F$2:$F$121,"BUILD")*INDEX(المرجع!$K$9:$K$11,MATCH("BUILD",المرجع!$L$9:$L$11,0))+SUMIFS(النتائج!$I$2:$I$121,النتائج!$A$2:$A$121,$A2,النتائج!$F$2:$F$121,"OPERATE")*INDEX(المرجع!$K$9:$K$11,MATCH("OPERATE",المرجع!$L$9:$L$11,0)))/100,1)</f>
        <v>92</v>
      </c>
      <c r="L2" s="32" t="str">
        <f aca="false">IF($K2&gt;المرجع!$K$3,"متقدم",IF($K2&lt;=المرجع!$K$2,"أولي","جزئي"))</f>
        <v>متقدم</v>
      </c>
    </row>
    <row r="3" customFormat="false" ht="15" hidden="false" customHeight="true" outlineLevel="0" collapsed="false">
      <c r="A3" s="19" t="s">
        <v>152</v>
      </c>
      <c r="B3" s="19" t="str">
        <f aca="false">IFERROR(INDEX('قائمة الوحدات'!$B$2:$B$41,MATCH($A3,'قائمة الوحدات'!$A$2:$A$41,0)),"")</f>
        <v>TOP</v>
      </c>
      <c r="C3" s="18" t="str">
        <f aca="false">IFERROR(INDEX('قائمة الوحدات'!$C$2:$C$41,MATCH($A3,'قائمة الوحدات'!$A$2:$A$41,0)),"")</f>
        <v>المرتبطة بسمو الوزير</v>
      </c>
      <c r="D3" s="18" t="str">
        <f aca="false">IFERROR(INDEX('قائمة الوحدات'!$D$2:$D$41,MATCH($A3,'قائمة الوحدات'!$A$2:$A$41,0)),"")</f>
        <v>إدارة المتابعة والتقارير</v>
      </c>
      <c r="E3" s="18" t="str">
        <f aca="false">IFERROR(INDEX('قائمة الوحدات'!$F$2:$F$41,MATCH($A3,'قائمة الوحدات'!$A$2:$A$41,0)),"")</f>
        <v>إدارة المتابعة والتقارير</v>
      </c>
      <c r="F3" s="29" t="n">
        <f aca="false">SUMIFS(النتائج!$H$2:$H$121,النتائج!$A$2:$A$121,$A3,النتائج!$F$2:$F$121,"DESIGN")</f>
        <v>79.8</v>
      </c>
      <c r="G3" s="29" t="n">
        <f aca="false">SUMIFS(النتائج!$H$2:$H$121,النتائج!$A$2:$A$121,$A3,النتائج!$F$2:$F$121,"BUILD")</f>
        <v>64.5</v>
      </c>
      <c r="H3" s="29" t="n">
        <f aca="false">SUMIFS(النتائج!$H$2:$H$121,النتائج!$A$2:$A$121,$A3,النتائج!$F$2:$F$121,"OPERATE")</f>
        <v>49.4</v>
      </c>
      <c r="I3" s="31" t="n">
        <f aca="false">ROUND(($F3*INDEX(المرجع!$K$9:$K$11,MATCH("DESIGN",المرجع!$L$9:$L$11,0))+$G3*INDEX(المرجع!$K$9:$K$11,MATCH("BUILD",المرجع!$L$9:$L$11,0))+$H3*INDEX(المرجع!$K$9:$K$11,MATCH("OPERATE",المرجع!$L$9:$L$11,0)))/100,1)</f>
        <v>60</v>
      </c>
      <c r="J3" s="32" t="str">
        <f aca="false">IF($I3&gt;المرجع!$K$3,"متقدم",IF($I3&lt;=المرجع!$K$2,"أولي","جزئي"))</f>
        <v>جزئي</v>
      </c>
      <c r="K3" s="31" t="n">
        <f aca="false">ROUND((SUMIFS(النتائج!$I$2:$I$121,النتائج!$A$2:$A$121,$A3,النتائج!$F$2:$F$121,"DESIGN")*INDEX(المرجع!$K$9:$K$11,MATCH("DESIGN",المرجع!$L$9:$L$11,0))+SUMIFS(النتائج!$I$2:$I$121,النتائج!$A$2:$A$121,$A3,النتائج!$F$2:$F$121,"BUILD")*INDEX(المرجع!$K$9:$K$11,MATCH("BUILD",المرجع!$L$9:$L$11,0))+SUMIFS(النتائج!$I$2:$I$121,النتائج!$A$2:$A$121,$A3,النتائج!$F$2:$F$121,"OPERATE")*INDEX(المرجع!$K$9:$K$11,MATCH("OPERATE",المرجع!$L$9:$L$11,0)))/100,1)</f>
        <v>93.1</v>
      </c>
      <c r="L3" s="32" t="str">
        <f aca="false">IF($K3&gt;المرجع!$K$3,"متقدم",IF($K3&lt;=المرجع!$K$2,"أولي","جزئي"))</f>
        <v>متقدم</v>
      </c>
    </row>
    <row r="4" customFormat="false" ht="15" hidden="false" customHeight="true" outlineLevel="0" collapsed="false">
      <c r="A4" s="19" t="s">
        <v>154</v>
      </c>
      <c r="B4" s="19" t="str">
        <f aca="false">IFERROR(INDEX('قائمة الوحدات'!$B$2:$B$41,MATCH($A4,'قائمة الوحدات'!$A$2:$A$41,0)),"")</f>
        <v>TOP</v>
      </c>
      <c r="C4" s="18" t="str">
        <f aca="false">IFERROR(INDEX('قائمة الوحدات'!$C$2:$C$41,MATCH($A4,'قائمة الوحدات'!$A$2:$A$41,0)),"")</f>
        <v>المرتبطة بسمو الوزير</v>
      </c>
      <c r="D4" s="18" t="str">
        <f aca="false">IFERROR(INDEX('قائمة الوحدات'!$D$2:$D$41,MATCH($A4,'قائمة الوحدات'!$A$2:$A$41,0)),"")</f>
        <v>إدارة الحوكمة والمخاطر</v>
      </c>
      <c r="E4" s="18" t="str">
        <f aca="false">IFERROR(INDEX('قائمة الوحدات'!$F$2:$F$41,MATCH($A4,'قائمة الوحدات'!$A$2:$A$41,0)),"")</f>
        <v>إدارة الحوكمة والمخاطر</v>
      </c>
      <c r="F4" s="29" t="n">
        <f aca="false">SUMIFS(النتائج!$H$2:$H$121,النتائج!$A$2:$A$121,$A4,النتائج!$F$2:$F$121,"DESIGN")</f>
        <v>80.45</v>
      </c>
      <c r="G4" s="29" t="n">
        <f aca="false">SUMIFS(النتائج!$H$2:$H$121,النتائج!$A$2:$A$121,$A4,النتائج!$F$2:$F$121,"BUILD")</f>
        <v>58.3</v>
      </c>
      <c r="H4" s="29" t="n">
        <f aca="false">SUMIFS(النتائج!$H$2:$H$121,النتائج!$A$2:$A$121,$A4,النتائج!$F$2:$F$121,"OPERATE")</f>
        <v>35.2</v>
      </c>
      <c r="I4" s="31" t="n">
        <f aca="false">ROUND(($F4*INDEX(المرجع!$K$9:$K$11,MATCH("DESIGN",المرجع!$L$9:$L$11,0))+$G4*INDEX(المرجع!$K$9:$K$11,MATCH("BUILD",المرجع!$L$9:$L$11,0))+$H4*INDEX(المرجع!$K$9:$K$11,MATCH("OPERATE",المرجع!$L$9:$L$11,0)))/100,1)</f>
        <v>51.2</v>
      </c>
      <c r="J4" s="32" t="str">
        <f aca="false">IF($I4&gt;المرجع!$K$3,"متقدم",IF($I4&lt;=المرجع!$K$2,"أولي","جزئي"))</f>
        <v>جزئي</v>
      </c>
      <c r="K4" s="31" t="n">
        <f aca="false">ROUND((SUMIFS(النتائج!$I$2:$I$121,النتائج!$A$2:$A$121,$A4,النتائج!$F$2:$F$121,"DESIGN")*INDEX(المرجع!$K$9:$K$11,MATCH("DESIGN",المرجع!$L$9:$L$11,0))+SUMIFS(النتائج!$I$2:$I$121,النتائج!$A$2:$A$121,$A4,النتائج!$F$2:$F$121,"BUILD")*INDEX(المرجع!$K$9:$K$11,MATCH("BUILD",المرجع!$L$9:$L$11,0))+SUMIFS(النتائج!$I$2:$I$121,النتائج!$A$2:$A$121,$A4,النتائج!$F$2:$F$121,"OPERATE")*INDEX(المرجع!$K$9:$K$11,MATCH("OPERATE",المرجع!$L$9:$L$11,0)))/100,1)</f>
        <v>94</v>
      </c>
      <c r="L4" s="32" t="str">
        <f aca="false">IF($K4&gt;المرجع!$K$3,"متقدم",IF($K4&lt;=المرجع!$K$2,"أولي","جزئي"))</f>
        <v>متقدم</v>
      </c>
    </row>
    <row r="5" customFormat="false" ht="15" hidden="false" customHeight="true" outlineLevel="0" collapsed="false">
      <c r="A5" s="19" t="s">
        <v>156</v>
      </c>
      <c r="B5" s="19" t="str">
        <f aca="false">IFERROR(INDEX('قائمة الوحدات'!$B$2:$B$41,MATCH($A5,'قائمة الوحدات'!$A$2:$A$41,0)),"")</f>
        <v>TOP</v>
      </c>
      <c r="C5" s="18" t="str">
        <f aca="false">IFERROR(INDEX('قائمة الوحدات'!$C$2:$C$41,MATCH($A5,'قائمة الوحدات'!$A$2:$A$41,0)),"")</f>
        <v>المرتبطة بسمو الوزير</v>
      </c>
      <c r="D5" s="18" t="str">
        <f aca="false">IFERROR(INDEX('قائمة الوحدات'!$D$2:$D$41,MATCH($A5,'قائمة الوحدات'!$A$2:$A$41,0)),"")</f>
        <v>إدارة الشؤون القانونية</v>
      </c>
      <c r="E5" s="18" t="str">
        <f aca="false">IFERROR(INDEX('قائمة الوحدات'!$F$2:$F$41,MATCH($A5,'قائمة الوحدات'!$A$2:$A$41,0)),"")</f>
        <v>إدارة الشؤون القانونية</v>
      </c>
      <c r="F5" s="29" t="n">
        <f aca="false">SUMIFS(النتائج!$H$2:$H$121,النتائج!$A$2:$A$121,$A5,النتائج!$F$2:$F$121,"DESIGN")</f>
        <v>83.65</v>
      </c>
      <c r="G5" s="29" t="n">
        <f aca="false">SUMIFS(النتائج!$H$2:$H$121,النتائج!$A$2:$A$121,$A5,النتائج!$F$2:$F$121,"BUILD")</f>
        <v>60.45</v>
      </c>
      <c r="H5" s="29" t="n">
        <f aca="false">SUMIFS(النتائج!$H$2:$H$121,النتائج!$A$2:$A$121,$A5,النتائج!$F$2:$F$121,"OPERATE")</f>
        <v>41.2</v>
      </c>
      <c r="I5" s="31" t="n">
        <f aca="false">ROUND(($F5*INDEX(المرجع!$K$9:$K$11,MATCH("DESIGN",المرجع!$L$9:$L$11,0))+$G5*INDEX(المرجع!$K$9:$K$11,MATCH("BUILD",المرجع!$L$9:$L$11,0))+$H5*INDEX(المرجع!$K$9:$K$11,MATCH("OPERATE",المرجع!$L$9:$L$11,0)))/100,1)</f>
        <v>55.5</v>
      </c>
      <c r="J5" s="32" t="str">
        <f aca="false">IF($I5&gt;المرجع!$K$3,"متقدم",IF($I5&lt;=المرجع!$K$2,"أولي","جزئي"))</f>
        <v>جزئي</v>
      </c>
      <c r="K5" s="31" t="n">
        <f aca="false">ROUND((SUMIFS(النتائج!$I$2:$I$121,النتائج!$A$2:$A$121,$A5,النتائج!$F$2:$F$121,"DESIGN")*INDEX(المرجع!$K$9:$K$11,MATCH("DESIGN",المرجع!$L$9:$L$11,0))+SUMIFS(النتائج!$I$2:$I$121,النتائج!$A$2:$A$121,$A5,النتائج!$F$2:$F$121,"BUILD")*INDEX(المرجع!$K$9:$K$11,MATCH("BUILD",المرجع!$L$9:$L$11,0))+SUMIFS(النتائج!$I$2:$I$121,النتائج!$A$2:$A$121,$A5,النتائج!$F$2:$F$121,"OPERATE")*INDEX(المرجع!$K$9:$K$11,MATCH("OPERATE",المرجع!$L$9:$L$11,0)))/100,1)</f>
        <v>94.4</v>
      </c>
      <c r="L5" s="32" t="str">
        <f aca="false">IF($K5&gt;المرجع!$K$3,"متقدم",IF($K5&lt;=المرجع!$K$2,"أولي","جزئي"))</f>
        <v>متقدم</v>
      </c>
    </row>
    <row r="6" customFormat="false" ht="15" hidden="false" customHeight="true" outlineLevel="0" collapsed="false">
      <c r="A6" s="19" t="s">
        <v>158</v>
      </c>
      <c r="B6" s="19" t="str">
        <f aca="false">IFERROR(INDEX('قائمة الوحدات'!$B$2:$B$41,MATCH($A6,'قائمة الوحدات'!$A$2:$A$41,0)),"")</f>
        <v>TOP</v>
      </c>
      <c r="C6" s="18" t="str">
        <f aca="false">IFERROR(INDEX('قائمة الوحدات'!$C$2:$C$41,MATCH($A6,'قائمة الوحدات'!$A$2:$A$41,0)),"")</f>
        <v>المرتبطة بسمو الوزير</v>
      </c>
      <c r="D6" s="18" t="str">
        <f aca="false">IFERROR(INDEX('قائمة الوحدات'!$D$2:$D$41,MATCH($A6,'قائمة الوحدات'!$A$2:$A$41,0)),"")</f>
        <v>إدارة التميز المؤسسي</v>
      </c>
      <c r="E6" s="18" t="str">
        <f aca="false">IFERROR(INDEX('قائمة الوحدات'!$F$2:$F$41,MATCH($A6,'قائمة الوحدات'!$A$2:$A$41,0)),"")</f>
        <v>إدارة التميز المؤسسي</v>
      </c>
      <c r="F6" s="29" t="n">
        <f aca="false">SUMIFS(النتائج!$H$2:$H$121,النتائج!$A$2:$A$121,$A6,النتائج!$F$2:$F$121,"DESIGN")</f>
        <v>81.9</v>
      </c>
      <c r="G6" s="29" t="n">
        <f aca="false">SUMIFS(النتائج!$H$2:$H$121,النتائج!$A$2:$A$121,$A6,النتائج!$F$2:$F$121,"BUILD")</f>
        <v>64.8</v>
      </c>
      <c r="H6" s="29" t="n">
        <f aca="false">SUMIFS(النتائج!$H$2:$H$121,النتائج!$A$2:$A$121,$A6,النتائج!$F$2:$F$121,"OPERATE")</f>
        <v>33.35</v>
      </c>
      <c r="I6" s="31" t="n">
        <f aca="false">ROUND(($F6*INDEX(المرجع!$K$9:$K$11,MATCH("DESIGN",المرجع!$L$9:$L$11,0))+$G6*INDEX(المرجع!$K$9:$K$11,MATCH("BUILD",المرجع!$L$9:$L$11,0))+$H6*INDEX(المرجع!$K$9:$K$11,MATCH("OPERATE",المرجع!$L$9:$L$11,0)))/100,1)</f>
        <v>52.5</v>
      </c>
      <c r="J6" s="32" t="str">
        <f aca="false">IF($I6&gt;المرجع!$K$3,"متقدم",IF($I6&lt;=المرجع!$K$2,"أولي","جزئي"))</f>
        <v>جزئي</v>
      </c>
      <c r="K6" s="31" t="n">
        <f aca="false">ROUND((SUMIFS(النتائج!$I$2:$I$121,النتائج!$A$2:$A$121,$A6,النتائج!$F$2:$F$121,"DESIGN")*INDEX(المرجع!$K$9:$K$11,MATCH("DESIGN",المرجع!$L$9:$L$11,0))+SUMIFS(النتائج!$I$2:$I$121,النتائج!$A$2:$A$121,$A6,النتائج!$F$2:$F$121,"BUILD")*INDEX(المرجع!$K$9:$K$11,MATCH("BUILD",المرجع!$L$9:$L$11,0))+SUMIFS(النتائج!$I$2:$I$121,النتائج!$A$2:$A$121,$A6,النتائج!$F$2:$F$121,"OPERATE")*INDEX(المرجع!$K$9:$K$11,MATCH("OPERATE",المرجع!$L$9:$L$11,0)))/100,1)</f>
        <v>89.7</v>
      </c>
      <c r="L6" s="32" t="str">
        <f aca="false">IF($K6&gt;المرجع!$K$3,"متقدم",IF($K6&lt;=المرجع!$K$2,"أولي","جزئي"))</f>
        <v>متقدم</v>
      </c>
    </row>
    <row r="7" customFormat="false" ht="15" hidden="false" customHeight="true" outlineLevel="0" collapsed="false">
      <c r="A7" s="19" t="s">
        <v>160</v>
      </c>
      <c r="B7" s="19" t="str">
        <f aca="false">IFERROR(INDEX('قائمة الوحدات'!$B$2:$B$41,MATCH($A7,'قائمة الوحدات'!$A$2:$A$41,0)),"")</f>
        <v>EXE</v>
      </c>
      <c r="C7" s="18" t="str">
        <f aca="false">IFERROR(INDEX('قائمة الوحدات'!$C$2:$C$41,MATCH($A7,'قائمة الوحدات'!$A$2:$A$41,0)),"")</f>
        <v>الشؤون التنفيذية</v>
      </c>
      <c r="D7" s="18" t="str">
        <f aca="false">IFERROR(INDEX('قائمة الوحدات'!$D$2:$D$41,MATCH($A7,'قائمة الوحدات'!$A$2:$A$41,0)),"")</f>
        <v>وكالة الشؤون الفنية</v>
      </c>
      <c r="E7" s="18" t="str">
        <f aca="false">IFERROR(INDEX('قائمة الوحدات'!$F$2:$F$41,MATCH($A7,'قائمة الوحدات'!$A$2:$A$41,0)),"")</f>
        <v>الإدارة العامة للتخطيط والدراسات</v>
      </c>
      <c r="F7" s="29" t="n">
        <f aca="false">SUMIFS(النتائج!$H$2:$H$121,النتائج!$A$2:$A$121,$A7,النتائج!$F$2:$F$121,"DESIGN")</f>
        <v>81.1</v>
      </c>
      <c r="G7" s="29" t="n">
        <f aca="false">SUMIFS(النتائج!$H$2:$H$121,النتائج!$A$2:$A$121,$A7,النتائج!$F$2:$F$121,"BUILD")</f>
        <v>65.55</v>
      </c>
      <c r="H7" s="29" t="n">
        <f aca="false">SUMIFS(النتائج!$H$2:$H$121,النتائج!$A$2:$A$121,$A7,النتائج!$F$2:$F$121,"OPERATE")</f>
        <v>42.4</v>
      </c>
      <c r="I7" s="31" t="n">
        <f aca="false">ROUND(($F7*INDEX(المرجع!$K$9:$K$11,MATCH("DESIGN",المرجع!$L$9:$L$11,0))+$G7*INDEX(المرجع!$K$9:$K$11,MATCH("BUILD",المرجع!$L$9:$L$11,0))+$H7*INDEX(المرجع!$K$9:$K$11,MATCH("OPERATE",المرجع!$L$9:$L$11,0)))/100,1)</f>
        <v>57.1</v>
      </c>
      <c r="J7" s="32" t="str">
        <f aca="false">IF($I7&gt;المرجع!$K$3,"متقدم",IF($I7&lt;=المرجع!$K$2,"أولي","جزئي"))</f>
        <v>جزئي</v>
      </c>
      <c r="K7" s="31" t="n">
        <f aca="false">ROUND((SUMIFS(النتائج!$I$2:$I$121,النتائج!$A$2:$A$121,$A7,النتائج!$F$2:$F$121,"DESIGN")*INDEX(المرجع!$K$9:$K$11,MATCH("DESIGN",المرجع!$L$9:$L$11,0))+SUMIFS(النتائج!$I$2:$I$121,النتائج!$A$2:$A$121,$A7,النتائج!$F$2:$F$121,"BUILD")*INDEX(المرجع!$K$9:$K$11,MATCH("BUILD",المرجع!$L$9:$L$11,0))+SUMIFS(النتائج!$I$2:$I$121,النتائج!$A$2:$A$121,$A7,النتائج!$F$2:$F$121,"OPERATE")*INDEX(المرجع!$K$9:$K$11,MATCH("OPERATE",المرجع!$L$9:$L$11,0)))/100,1)</f>
        <v>91.1</v>
      </c>
      <c r="L7" s="32" t="str">
        <f aca="false">IF($K7&gt;المرجع!$K$3,"متقدم",IF($K7&lt;=المرجع!$K$2,"أولي","جزئي"))</f>
        <v>متقدم</v>
      </c>
    </row>
    <row r="8" customFormat="false" ht="15" hidden="false" customHeight="true" outlineLevel="0" collapsed="false">
      <c r="A8" s="19" t="s">
        <v>166</v>
      </c>
      <c r="B8" s="19" t="str">
        <f aca="false">IFERROR(INDEX('قائمة الوحدات'!$B$2:$B$41,MATCH($A8,'قائمة الوحدات'!$A$2:$A$41,0)),"")</f>
        <v>EXE</v>
      </c>
      <c r="C8" s="18" t="str">
        <f aca="false">IFERROR(INDEX('قائمة الوحدات'!$C$2:$C$41,MATCH($A8,'قائمة الوحدات'!$A$2:$A$41,0)),"")</f>
        <v>الشؤون التنفيذية</v>
      </c>
      <c r="D8" s="18" t="str">
        <f aca="false">IFERROR(INDEX('قائمة الوحدات'!$D$2:$D$41,MATCH($A8,'قائمة الوحدات'!$A$2:$A$41,0)),"")</f>
        <v>وكالة الشؤون الفنية</v>
      </c>
      <c r="E8" s="18" t="str">
        <f aca="false">IFERROR(INDEX('قائمة الوحدات'!$F$2:$F$41,MATCH($A8,'قائمة الوحدات'!$A$2:$A$41,0)),"")</f>
        <v>الإدارة العامة للجودة والتطوير</v>
      </c>
      <c r="F8" s="29" t="n">
        <f aca="false">SUMIFS(النتائج!$H$2:$H$121,النتائج!$A$2:$A$121,$A8,النتائج!$F$2:$F$121,"DESIGN")</f>
        <v>81.9</v>
      </c>
      <c r="G8" s="29" t="n">
        <f aca="false">SUMIFS(النتائج!$H$2:$H$121,النتائج!$A$2:$A$121,$A8,النتائج!$F$2:$F$121,"BUILD")</f>
        <v>63.65</v>
      </c>
      <c r="H8" s="29" t="n">
        <f aca="false">SUMIFS(النتائج!$H$2:$H$121,النتائج!$A$2:$A$121,$A8,النتائج!$F$2:$F$121,"OPERATE")</f>
        <v>39.95</v>
      </c>
      <c r="I8" s="31" t="n">
        <f aca="false">ROUND(($F8*INDEX(المرجع!$K$9:$K$11,MATCH("DESIGN",المرجع!$L$9:$L$11,0))+$G8*INDEX(المرجع!$K$9:$K$11,MATCH("BUILD",المرجع!$L$9:$L$11,0))+$H8*INDEX(المرجع!$K$9:$K$11,MATCH("OPERATE",المرجع!$L$9:$L$11,0)))/100,1)</f>
        <v>55.5</v>
      </c>
      <c r="J8" s="32" t="str">
        <f aca="false">IF($I8&gt;المرجع!$K$3,"متقدم",IF($I8&lt;=المرجع!$K$2,"أولي","جزئي"))</f>
        <v>جزئي</v>
      </c>
      <c r="K8" s="31" t="n">
        <f aca="false">ROUND((SUMIFS(النتائج!$I$2:$I$121,النتائج!$A$2:$A$121,$A8,النتائج!$F$2:$F$121,"DESIGN")*INDEX(المرجع!$K$9:$K$11,MATCH("DESIGN",المرجع!$L$9:$L$11,0))+SUMIFS(النتائج!$I$2:$I$121,النتائج!$A$2:$A$121,$A8,النتائج!$F$2:$F$121,"BUILD")*INDEX(المرجع!$K$9:$K$11,MATCH("BUILD",المرجع!$L$9:$L$11,0))+SUMIFS(النتائج!$I$2:$I$121,النتائج!$A$2:$A$121,$A8,النتائج!$F$2:$F$121,"OPERATE")*INDEX(المرجع!$K$9:$K$11,MATCH("OPERATE",المرجع!$L$9:$L$11,0)))/100,1)</f>
        <v>93.7</v>
      </c>
      <c r="L8" s="32" t="str">
        <f aca="false">IF($K8&gt;المرجع!$K$3,"متقدم",IF($K8&lt;=المرجع!$K$2,"أولي","جزئي"))</f>
        <v>متقدم</v>
      </c>
    </row>
    <row r="9" customFormat="false" ht="15" hidden="false" customHeight="true" outlineLevel="0" collapsed="false">
      <c r="A9" s="19" t="s">
        <v>168</v>
      </c>
      <c r="B9" s="19" t="str">
        <f aca="false">IFERROR(INDEX('قائمة الوحدات'!$B$2:$B$41,MATCH($A9,'قائمة الوحدات'!$A$2:$A$41,0)),"")</f>
        <v>EXE</v>
      </c>
      <c r="C9" s="18" t="str">
        <f aca="false">IFERROR(INDEX('قائمة الوحدات'!$C$2:$C$41,MATCH($A9,'قائمة الوحدات'!$A$2:$A$41,0)),"")</f>
        <v>الشؤون التنفيذية</v>
      </c>
      <c r="D9" s="18" t="str">
        <f aca="false">IFERROR(INDEX('قائمة الوحدات'!$D$2:$D$41,MATCH($A9,'قائمة الوحدات'!$A$2:$A$41,0)),"")</f>
        <v>وكالة الشؤون الفنية</v>
      </c>
      <c r="E9" s="18" t="str">
        <f aca="false">IFERROR(INDEX('قائمة الوحدات'!$F$2:$F$41,MATCH($A9,'قائمة الوحدات'!$A$2:$A$41,0)),"")</f>
        <v>الإدارة العامة للمشاريع</v>
      </c>
      <c r="F9" s="29" t="n">
        <f aca="false">SUMIFS(النتائج!$H$2:$H$121,النتائج!$A$2:$A$121,$A9,النتائج!$F$2:$F$121,"DESIGN")</f>
        <v>86.9</v>
      </c>
      <c r="G9" s="29" t="n">
        <f aca="false">SUMIFS(النتائج!$H$2:$H$121,النتائج!$A$2:$A$121,$A9,النتائج!$F$2:$F$121,"BUILD")</f>
        <v>69.25</v>
      </c>
      <c r="H9" s="29" t="n">
        <f aca="false">SUMIFS(النتائج!$H$2:$H$121,النتائج!$A$2:$A$121,$A9,النتائج!$F$2:$F$121,"OPERATE")</f>
        <v>43</v>
      </c>
      <c r="I9" s="31" t="n">
        <f aca="false">ROUND(($F9*INDEX(المرجع!$K$9:$K$11,MATCH("DESIGN",المرجع!$L$9:$L$11,0))+$G9*INDEX(المرجع!$K$9:$K$11,MATCH("BUILD",المرجع!$L$9:$L$11,0))+$H9*INDEX(المرجع!$K$9:$K$11,MATCH("OPERATE",المرجع!$L$9:$L$11,0)))/100,1)</f>
        <v>59.7</v>
      </c>
      <c r="J9" s="32" t="str">
        <f aca="false">IF($I9&gt;المرجع!$K$3,"متقدم",IF($I9&lt;=المرجع!$K$2,"أولي","جزئي"))</f>
        <v>جزئي</v>
      </c>
      <c r="K9" s="31" t="n">
        <f aca="false">ROUND((SUMIFS(النتائج!$I$2:$I$121,النتائج!$A$2:$A$121,$A9,النتائج!$F$2:$F$121,"DESIGN")*INDEX(المرجع!$K$9:$K$11,MATCH("DESIGN",المرجع!$L$9:$L$11,0))+SUMIFS(النتائج!$I$2:$I$121,النتائج!$A$2:$A$121,$A9,النتائج!$F$2:$F$121,"BUILD")*INDEX(المرجع!$K$9:$K$11,MATCH("BUILD",المرجع!$L$9:$L$11,0))+SUMIFS(النتائج!$I$2:$I$121,النتائج!$A$2:$A$121,$A9,النتائج!$F$2:$F$121,"OPERATE")*INDEX(المرجع!$K$9:$K$11,MATCH("OPERATE",المرجع!$L$9:$L$11,0)))/100,1)</f>
        <v>91.3</v>
      </c>
      <c r="L9" s="32" t="str">
        <f aca="false">IF($K9&gt;المرجع!$K$3,"متقدم",IF($K9&lt;=المرجع!$K$2,"أولي","جزئي"))</f>
        <v>متقدم</v>
      </c>
    </row>
    <row r="10" customFormat="false" ht="15" hidden="false" customHeight="true" outlineLevel="0" collapsed="false">
      <c r="A10" s="19" t="s">
        <v>170</v>
      </c>
      <c r="B10" s="19" t="str">
        <f aca="false">IFERROR(INDEX('قائمة الوحدات'!$B$2:$B$41,MATCH($A10,'قائمة الوحدات'!$A$2:$A$41,0)),"")</f>
        <v>EXE</v>
      </c>
      <c r="C10" s="18" t="str">
        <f aca="false">IFERROR(INDEX('قائمة الوحدات'!$C$2:$C$41,MATCH($A10,'قائمة الوحدات'!$A$2:$A$41,0)),"")</f>
        <v>الشؤون التنفيذية</v>
      </c>
      <c r="D10" s="18" t="str">
        <f aca="false">IFERROR(INDEX('قائمة الوحدات'!$D$2:$D$41,MATCH($A10,'قائمة الوحدات'!$A$2:$A$41,0)),"")</f>
        <v>وكالة الشؤون الفنية</v>
      </c>
      <c r="E10" s="18" t="str">
        <f aca="false">IFERROR(INDEX('قائمة الوحدات'!$F$2:$F$41,MATCH($A10,'قائمة الوحدات'!$A$2:$A$41,0)),"")</f>
        <v>الإدارة العامة للتشغيل والصيانة</v>
      </c>
      <c r="F10" s="29" t="n">
        <f aca="false">SUMIFS(النتائج!$H$2:$H$121,النتائج!$A$2:$A$121,$A10,النتائج!$F$2:$F$121,"DESIGN")</f>
        <v>80.95</v>
      </c>
      <c r="G10" s="29" t="n">
        <f aca="false">SUMIFS(النتائج!$H$2:$H$121,النتائج!$A$2:$A$121,$A10,النتائج!$F$2:$F$121,"BUILD")</f>
        <v>68.6</v>
      </c>
      <c r="H10" s="29" t="n">
        <f aca="false">SUMIFS(النتائج!$H$2:$H$121,النتائج!$A$2:$A$121,$A10,النتائج!$F$2:$F$121,"OPERATE")</f>
        <v>40.95</v>
      </c>
      <c r="I10" s="31" t="n">
        <f aca="false">ROUND(($F10*INDEX(المرجع!$K$9:$K$11,MATCH("DESIGN",المرجع!$L$9:$L$11,0))+$G10*INDEX(المرجع!$K$9:$K$11,MATCH("BUILD",المرجع!$L$9:$L$11,0))+$H10*INDEX(المرجع!$K$9:$K$11,MATCH("OPERATE",المرجع!$L$9:$L$11,0)))/100,1)</f>
        <v>57.2</v>
      </c>
      <c r="J10" s="32" t="str">
        <f aca="false">IF($I10&gt;المرجع!$K$3,"متقدم",IF($I10&lt;=المرجع!$K$2,"أولي","جزئي"))</f>
        <v>جزئي</v>
      </c>
      <c r="K10" s="31" t="n">
        <f aca="false">ROUND((SUMIFS(النتائج!$I$2:$I$121,النتائج!$A$2:$A$121,$A10,النتائج!$F$2:$F$121,"DESIGN")*INDEX(المرجع!$K$9:$K$11,MATCH("DESIGN",المرجع!$L$9:$L$11,0))+SUMIFS(النتائج!$I$2:$I$121,النتائج!$A$2:$A$121,$A10,النتائج!$F$2:$F$121,"BUILD")*INDEX(المرجع!$K$9:$K$11,MATCH("BUILD",المرجع!$L$9:$L$11,0))+SUMIFS(النتائج!$I$2:$I$121,النتائج!$A$2:$A$121,$A10,النتائج!$F$2:$F$121,"OPERATE")*INDEX(المرجع!$K$9:$K$11,MATCH("OPERATE",المرجع!$L$9:$L$11,0)))/100,1)</f>
        <v>91</v>
      </c>
      <c r="L10" s="32" t="str">
        <f aca="false">IF($K10&gt;المرجع!$K$3,"متقدم",IF($K10&lt;=المرجع!$K$2,"أولي","جزئي"))</f>
        <v>متقدم</v>
      </c>
    </row>
    <row r="11" customFormat="false" ht="15" hidden="false" customHeight="true" outlineLevel="0" collapsed="false">
      <c r="A11" s="19" t="s">
        <v>172</v>
      </c>
      <c r="B11" s="19" t="str">
        <f aca="false">IFERROR(INDEX('قائمة الوحدات'!$B$2:$B$41,MATCH($A11,'قائمة الوحدات'!$A$2:$A$41,0)),"")</f>
        <v>EXE</v>
      </c>
      <c r="C11" s="18" t="str">
        <f aca="false">IFERROR(INDEX('قائمة الوحدات'!$C$2:$C$41,MATCH($A11,'قائمة الوحدات'!$A$2:$A$41,0)),"")</f>
        <v>الشؤون التنفيذية</v>
      </c>
      <c r="D11" s="18" t="str">
        <f aca="false">IFERROR(INDEX('قائمة الوحدات'!$D$2:$D$41,MATCH($A11,'قائمة الوحدات'!$A$2:$A$41,0)),"")</f>
        <v>وكالة الشؤون الفنية</v>
      </c>
      <c r="E11" s="18" t="str">
        <f aca="false">IFERROR(INDEX('قائمة الوحدات'!$F$2:$F$41,MATCH($A11,'قائمة الوحدات'!$A$2:$A$41,0)),"")</f>
        <v>الإدارة العامة للسلامة والبيئة</v>
      </c>
      <c r="F11" s="29" t="n">
        <f aca="false">SUMIFS(النتائج!$H$2:$H$121,النتائج!$A$2:$A$121,$A11,النتائج!$F$2:$F$121,"DESIGN")</f>
        <v>91.3</v>
      </c>
      <c r="G11" s="29" t="n">
        <f aca="false">SUMIFS(النتائج!$H$2:$H$121,النتائج!$A$2:$A$121,$A11,النتائج!$F$2:$F$121,"BUILD")</f>
        <v>63.3</v>
      </c>
      <c r="H11" s="29" t="n">
        <f aca="false">SUMIFS(النتائج!$H$2:$H$121,النتائج!$A$2:$A$121,$A11,النتائج!$F$2:$F$121,"OPERATE")</f>
        <v>37.45</v>
      </c>
      <c r="I11" s="31" t="n">
        <f aca="false">ROUND(($F11*INDEX(المرجع!$K$9:$K$11,MATCH("DESIGN",المرجع!$L$9:$L$11,0))+$G11*INDEX(المرجع!$K$9:$K$11,MATCH("BUILD",المرجع!$L$9:$L$11,0))+$H11*INDEX(المرجع!$K$9:$K$11,MATCH("OPERATE",المرجع!$L$9:$L$11,0)))/100,1)</f>
        <v>56</v>
      </c>
      <c r="J11" s="32" t="str">
        <f aca="false">IF($I11&gt;المرجع!$K$3,"متقدم",IF($I11&lt;=المرجع!$K$2,"أولي","جزئي"))</f>
        <v>جزئي</v>
      </c>
      <c r="K11" s="31" t="n">
        <f aca="false">ROUND((SUMIFS(النتائج!$I$2:$I$121,النتائج!$A$2:$A$121,$A11,النتائج!$F$2:$F$121,"DESIGN")*INDEX(المرجع!$K$9:$K$11,MATCH("DESIGN",المرجع!$L$9:$L$11,0))+SUMIFS(النتائج!$I$2:$I$121,النتائج!$A$2:$A$121,$A11,النتائج!$F$2:$F$121,"BUILD")*INDEX(المرجع!$K$9:$K$11,MATCH("BUILD",المرجع!$L$9:$L$11,0))+SUMIFS(النتائج!$I$2:$I$121,النتائج!$A$2:$A$121,$A11,النتائج!$F$2:$F$121,"OPERATE")*INDEX(المرجع!$K$9:$K$11,MATCH("OPERATE",المرجع!$L$9:$L$11,0)))/100,1)</f>
        <v>95.4</v>
      </c>
      <c r="L11" s="32" t="str">
        <f aca="false">IF($K11&gt;المرجع!$K$3,"متقدم",IF($K11&lt;=المرجع!$K$2,"أولي","جزئي"))</f>
        <v>متقدم</v>
      </c>
    </row>
    <row r="12" customFormat="false" ht="15" hidden="false" customHeight="true" outlineLevel="0" collapsed="false">
      <c r="A12" s="19" t="s">
        <v>174</v>
      </c>
      <c r="B12" s="19" t="str">
        <f aca="false">IFERROR(INDEX('قائمة الوحدات'!$B$2:$B$41,MATCH($A12,'قائمة الوحدات'!$A$2:$A$41,0)),"")</f>
        <v>EXE</v>
      </c>
      <c r="C12" s="18" t="str">
        <f aca="false">IFERROR(INDEX('قائمة الوحدات'!$C$2:$C$41,MATCH($A12,'قائمة الوحدات'!$A$2:$A$41,0)),"")</f>
        <v>الشؤون التنفيذية</v>
      </c>
      <c r="D12" s="18" t="str">
        <f aca="false">IFERROR(INDEX('قائمة الوحدات'!$D$2:$D$41,MATCH($A12,'قائمة الوحدات'!$A$2:$A$41,0)),"")</f>
        <v>وكالة الشؤون الفنية</v>
      </c>
      <c r="E12" s="18" t="str">
        <f aca="false">IFERROR(INDEX('قائمة الوحدات'!$F$2:$F$41,MATCH($A12,'قائمة الوحدات'!$A$2:$A$41,0)),"")</f>
        <v>الإدارة العامة للأصول والمرافق</v>
      </c>
      <c r="F12" s="29" t="n">
        <f aca="false">SUMIFS(النتائج!$H$2:$H$121,النتائج!$A$2:$A$121,$A12,النتائج!$F$2:$F$121,"DESIGN")</f>
        <v>78.5</v>
      </c>
      <c r="G12" s="29" t="n">
        <f aca="false">SUMIFS(النتائج!$H$2:$H$121,النتائج!$A$2:$A$121,$A12,النتائج!$F$2:$F$121,"BUILD")</f>
        <v>57.3</v>
      </c>
      <c r="H12" s="29" t="n">
        <f aca="false">SUMIFS(النتائج!$H$2:$H$121,النتائج!$A$2:$A$121,$A12,النتائج!$F$2:$F$121,"OPERATE")</f>
        <v>50.1</v>
      </c>
      <c r="I12" s="31" t="n">
        <f aca="false">ROUND(($F12*INDEX(المرجع!$K$9:$K$11,MATCH("DESIGN",المرجع!$L$9:$L$11,0))+$G12*INDEX(المرجع!$K$9:$K$11,MATCH("BUILD",المرجع!$L$9:$L$11,0))+$H12*INDEX(المرجع!$K$9:$K$11,MATCH("OPERATE",المرجع!$L$9:$L$11,0)))/100,1)</f>
        <v>57.9</v>
      </c>
      <c r="J12" s="32" t="str">
        <f aca="false">IF($I12&gt;المرجع!$K$3,"متقدم",IF($I12&lt;=المرجع!$K$2,"أولي","جزئي"))</f>
        <v>جزئي</v>
      </c>
      <c r="K12" s="31" t="n">
        <f aca="false">ROUND((SUMIFS(النتائج!$I$2:$I$121,النتائج!$A$2:$A$121,$A12,النتائج!$F$2:$F$121,"DESIGN")*INDEX(المرجع!$K$9:$K$11,MATCH("DESIGN",المرجع!$L$9:$L$11,0))+SUMIFS(النتائج!$I$2:$I$121,النتائج!$A$2:$A$121,$A12,النتائج!$F$2:$F$121,"BUILD")*INDEX(المرجع!$K$9:$K$11,MATCH("BUILD",المرجع!$L$9:$L$11,0))+SUMIFS(النتائج!$I$2:$I$121,النتائج!$A$2:$A$121,$A12,النتائج!$F$2:$F$121,"OPERATE")*INDEX(المرجع!$K$9:$K$11,MATCH("OPERATE",المرجع!$L$9:$L$11,0)))/100,1)</f>
        <v>92.6</v>
      </c>
      <c r="L12" s="32" t="str">
        <f aca="false">IF($K12&gt;المرجع!$K$3,"متقدم",IF($K12&lt;=المرجع!$K$2,"أولي","جزئي"))</f>
        <v>متقدم</v>
      </c>
    </row>
    <row r="13" customFormat="false" ht="15" hidden="false" customHeight="true" outlineLevel="0" collapsed="false">
      <c r="A13" s="19" t="s">
        <v>176</v>
      </c>
      <c r="B13" s="19" t="str">
        <f aca="false">IFERROR(INDEX('قائمة الوحدات'!$B$2:$B$41,MATCH($A13,'قائمة الوحدات'!$A$2:$A$41,0)),"")</f>
        <v>EXE</v>
      </c>
      <c r="C13" s="18" t="str">
        <f aca="false">IFERROR(INDEX('قائمة الوحدات'!$C$2:$C$41,MATCH($A13,'قائمة الوحدات'!$A$2:$A$41,0)),"")</f>
        <v>الشؤون التنفيذية</v>
      </c>
      <c r="D13" s="18" t="str">
        <f aca="false">IFERROR(INDEX('قائمة الوحدات'!$D$2:$D$41,MATCH($A13,'قائمة الوحدات'!$A$2:$A$41,0)),"")</f>
        <v>وكالة الشؤون الفنية</v>
      </c>
      <c r="E13" s="18" t="str">
        <f aca="false">IFERROR(INDEX('قائمة الوحدات'!$F$2:$F$41,MATCH($A13,'قائمة الوحدات'!$A$2:$A$41,0)),"")</f>
        <v>الإدارة العامة للأمن والحماية</v>
      </c>
      <c r="F13" s="29" t="n">
        <f aca="false">SUMIFS(النتائج!$H$2:$H$121,النتائج!$A$2:$A$121,$A13,النتائج!$F$2:$F$121,"DESIGN")</f>
        <v>81.45</v>
      </c>
      <c r="G13" s="29" t="n">
        <f aca="false">SUMIFS(النتائج!$H$2:$H$121,النتائج!$A$2:$A$121,$A13,النتائج!$F$2:$F$121,"BUILD")</f>
        <v>71.5</v>
      </c>
      <c r="H13" s="29" t="n">
        <f aca="false">SUMIFS(النتائج!$H$2:$H$121,النتائج!$A$2:$A$121,$A13,النتائج!$F$2:$F$121,"OPERATE")</f>
        <v>38.2</v>
      </c>
      <c r="I13" s="31" t="n">
        <f aca="false">ROUND(($F13*INDEX(المرجع!$K$9:$K$11,MATCH("DESIGN",المرجع!$L$9:$L$11,0))+$G13*INDEX(المرجع!$K$9:$K$11,MATCH("BUILD",المرجع!$L$9:$L$11,0))+$H13*INDEX(المرجع!$K$9:$K$11,MATCH("OPERATE",المرجع!$L$9:$L$11,0)))/100,1)</f>
        <v>56.8</v>
      </c>
      <c r="J13" s="32" t="str">
        <f aca="false">IF($I13&gt;المرجع!$K$3,"متقدم",IF($I13&lt;=المرجع!$K$2,"أولي","جزئي"))</f>
        <v>جزئي</v>
      </c>
      <c r="K13" s="31" t="n">
        <f aca="false">ROUND((SUMIFS(النتائج!$I$2:$I$121,النتائج!$A$2:$A$121,$A13,النتائج!$F$2:$F$121,"DESIGN")*INDEX(المرجع!$K$9:$K$11,MATCH("DESIGN",المرجع!$L$9:$L$11,0))+SUMIFS(النتائج!$I$2:$I$121,النتائج!$A$2:$A$121,$A13,النتائج!$F$2:$F$121,"BUILD")*INDEX(المرجع!$K$9:$K$11,MATCH("BUILD",المرجع!$L$9:$L$11,0))+SUMIFS(النتائج!$I$2:$I$121,النتائج!$A$2:$A$121,$A13,النتائج!$F$2:$F$121,"OPERATE")*INDEX(المرجع!$K$9:$K$11,MATCH("OPERATE",المرجع!$L$9:$L$11,0)))/100,1)</f>
        <v>93.2</v>
      </c>
      <c r="L13" s="32" t="str">
        <f aca="false">IF($K13&gt;المرجع!$K$3,"متقدم",IF($K13&lt;=المرجع!$K$2,"أولي","جزئي"))</f>
        <v>متقدم</v>
      </c>
    </row>
    <row r="14" customFormat="false" ht="15" hidden="false" customHeight="true" outlineLevel="0" collapsed="false">
      <c r="A14" s="19" t="s">
        <v>178</v>
      </c>
      <c r="B14" s="19" t="str">
        <f aca="false">IFERROR(INDEX('قائمة الوحدات'!$B$2:$B$41,MATCH($A14,'قائمة الوحدات'!$A$2:$A$41,0)),"")</f>
        <v>EXE</v>
      </c>
      <c r="C14" s="18" t="str">
        <f aca="false">IFERROR(INDEX('قائمة الوحدات'!$C$2:$C$41,MATCH($A14,'قائمة الوحدات'!$A$2:$A$41,0)),"")</f>
        <v>الشؤون التنفيذية</v>
      </c>
      <c r="D14" s="18" t="str">
        <f aca="false">IFERROR(INDEX('قائمة الوحدات'!$D$2:$D$41,MATCH($A14,'قائمة الوحدات'!$A$2:$A$41,0)),"")</f>
        <v>وكالة الخدمات المساندة</v>
      </c>
      <c r="E14" s="18" t="str">
        <f aca="false">IFERROR(INDEX('قائمة الوحدات'!$F$2:$F$41,MATCH($A14,'قائمة الوحدات'!$A$2:$A$41,0)),"")</f>
        <v>الإدارة العامة للموارد البشرية</v>
      </c>
      <c r="F14" s="29" t="n">
        <f aca="false">SUMIFS(النتائج!$H$2:$H$121,النتائج!$A$2:$A$121,$A14,النتائج!$F$2:$F$121,"DESIGN")</f>
        <v>82.5</v>
      </c>
      <c r="G14" s="29" t="n">
        <f aca="false">SUMIFS(النتائج!$H$2:$H$121,النتائج!$A$2:$A$121,$A14,النتائج!$F$2:$F$121,"BUILD")</f>
        <v>66.55</v>
      </c>
      <c r="H14" s="29" t="n">
        <f aca="false">SUMIFS(النتائج!$H$2:$H$121,النتائج!$A$2:$A$121,$A14,النتائج!$F$2:$F$121,"OPERATE")</f>
        <v>40.1</v>
      </c>
      <c r="I14" s="31" t="n">
        <f aca="false">ROUND(($F14*INDEX(المرجع!$K$9:$K$11,MATCH("DESIGN",المرجع!$L$9:$L$11,0))+$G14*INDEX(المرجع!$K$9:$K$11,MATCH("BUILD",المرجع!$L$9:$L$11,0))+$H14*INDEX(المرجع!$K$9:$K$11,MATCH("OPERATE",المرجع!$L$9:$L$11,0)))/100,1)</f>
        <v>56.5</v>
      </c>
      <c r="J14" s="32" t="str">
        <f aca="false">IF($I14&gt;المرجع!$K$3,"متقدم",IF($I14&lt;=المرجع!$K$2,"أولي","جزئي"))</f>
        <v>جزئي</v>
      </c>
      <c r="K14" s="31" t="n">
        <f aca="false">ROUND((SUMIFS(النتائج!$I$2:$I$121,النتائج!$A$2:$A$121,$A14,النتائج!$F$2:$F$121,"DESIGN")*INDEX(المرجع!$K$9:$K$11,MATCH("DESIGN",المرجع!$L$9:$L$11,0))+SUMIFS(النتائج!$I$2:$I$121,النتائج!$A$2:$A$121,$A14,النتائج!$F$2:$F$121,"BUILD")*INDEX(المرجع!$K$9:$K$11,MATCH("BUILD",المرجع!$L$9:$L$11,0))+SUMIFS(النتائج!$I$2:$I$121,النتائج!$A$2:$A$121,$A14,النتائج!$F$2:$F$121,"OPERATE")*INDEX(المرجع!$K$9:$K$11,MATCH("OPERATE",المرجع!$L$9:$L$11,0)))/100,1)</f>
        <v>92.5</v>
      </c>
      <c r="L14" s="32" t="str">
        <f aca="false">IF($K14&gt;المرجع!$K$3,"متقدم",IF($K14&lt;=المرجع!$K$2,"أولي","جزئي"))</f>
        <v>متقدم</v>
      </c>
    </row>
    <row r="15" customFormat="false" ht="15" hidden="false" customHeight="true" outlineLevel="0" collapsed="false">
      <c r="A15" s="19" t="s">
        <v>181</v>
      </c>
      <c r="B15" s="19" t="str">
        <f aca="false">IFERROR(INDEX('قائمة الوحدات'!$B$2:$B$41,MATCH($A15,'قائمة الوحدات'!$A$2:$A$41,0)),"")</f>
        <v>EXE</v>
      </c>
      <c r="C15" s="18" t="str">
        <f aca="false">IFERROR(INDEX('قائمة الوحدات'!$C$2:$C$41,MATCH($A15,'قائمة الوحدات'!$A$2:$A$41,0)),"")</f>
        <v>الشؤون التنفيذية</v>
      </c>
      <c r="D15" s="18" t="str">
        <f aca="false">IFERROR(INDEX('قائمة الوحدات'!$D$2:$D$41,MATCH($A15,'قائمة الوحدات'!$A$2:$A$41,0)),"")</f>
        <v>وكالة الخدمات المساندة</v>
      </c>
      <c r="E15" s="18" t="str">
        <f aca="false">IFERROR(INDEX('قائمة الوحدات'!$F$2:$F$41,MATCH($A15,'قائمة الوحدات'!$A$2:$A$41,0)),"")</f>
        <v>الإدارة العامة للشؤون المالية</v>
      </c>
      <c r="F15" s="29" t="n">
        <f aca="false">SUMIFS(النتائج!$H$2:$H$121,النتائج!$A$2:$A$121,$A15,النتائج!$F$2:$F$121,"DESIGN")</f>
        <v>78.45</v>
      </c>
      <c r="G15" s="29" t="n">
        <f aca="false">SUMIFS(النتائج!$H$2:$H$121,النتائج!$A$2:$A$121,$A15,النتائج!$F$2:$F$121,"BUILD")</f>
        <v>65.2</v>
      </c>
      <c r="H15" s="29" t="n">
        <f aca="false">SUMIFS(النتائج!$H$2:$H$121,النتائج!$A$2:$A$121,$A15,النتائج!$F$2:$F$121,"OPERATE")</f>
        <v>37.75</v>
      </c>
      <c r="I15" s="31" t="n">
        <f aca="false">ROUND(($F15*INDEX(المرجع!$K$9:$K$11,MATCH("DESIGN",المرجع!$L$9:$L$11,0))+$G15*INDEX(المرجع!$K$9:$K$11,MATCH("BUILD",المرجع!$L$9:$L$11,0))+$H15*INDEX(المرجع!$K$9:$K$11,MATCH("OPERATE",المرجع!$L$9:$L$11,0)))/100,1)</f>
        <v>54.1</v>
      </c>
      <c r="J15" s="32" t="str">
        <f aca="false">IF($I15&gt;المرجع!$K$3,"متقدم",IF($I15&lt;=المرجع!$K$2,"أولي","جزئي"))</f>
        <v>جزئي</v>
      </c>
      <c r="K15" s="31" t="n">
        <f aca="false">ROUND((SUMIFS(النتائج!$I$2:$I$121,النتائج!$A$2:$A$121,$A15,النتائج!$F$2:$F$121,"DESIGN")*INDEX(المرجع!$K$9:$K$11,MATCH("DESIGN",المرجع!$L$9:$L$11,0))+SUMIFS(النتائج!$I$2:$I$121,النتائج!$A$2:$A$121,$A15,النتائج!$F$2:$F$121,"BUILD")*INDEX(المرجع!$K$9:$K$11,MATCH("BUILD",المرجع!$L$9:$L$11,0))+SUMIFS(النتائج!$I$2:$I$121,النتائج!$A$2:$A$121,$A15,النتائج!$F$2:$F$121,"OPERATE")*INDEX(المرجع!$K$9:$K$11,MATCH("OPERATE",المرجع!$L$9:$L$11,0)))/100,1)</f>
        <v>94.7</v>
      </c>
      <c r="L15" s="32" t="str">
        <f aca="false">IF($K15&gt;المرجع!$K$3,"متقدم",IF($K15&lt;=المرجع!$K$2,"أولي","جزئي"))</f>
        <v>متقدم</v>
      </c>
    </row>
    <row r="16" customFormat="false" ht="15" hidden="false" customHeight="true" outlineLevel="0" collapsed="false">
      <c r="A16" s="19" t="s">
        <v>183</v>
      </c>
      <c r="B16" s="19" t="str">
        <f aca="false">IFERROR(INDEX('قائمة الوحدات'!$B$2:$B$41,MATCH($A16,'قائمة الوحدات'!$A$2:$A$41,0)),"")</f>
        <v>EXE</v>
      </c>
      <c r="C16" s="18" t="str">
        <f aca="false">IFERROR(INDEX('قائمة الوحدات'!$C$2:$C$41,MATCH($A16,'قائمة الوحدات'!$A$2:$A$41,0)),"")</f>
        <v>الشؤون التنفيذية</v>
      </c>
      <c r="D16" s="18" t="str">
        <f aca="false">IFERROR(INDEX('قائمة الوحدات'!$D$2:$D$41,MATCH($A16,'قائمة الوحدات'!$A$2:$A$41,0)),"")</f>
        <v>وكالة الخدمات المساندة</v>
      </c>
      <c r="E16" s="18" t="str">
        <f aca="false">IFERROR(INDEX('قائمة الوحدات'!$F$2:$F$41,MATCH($A16,'قائمة الوحدات'!$A$2:$A$41,0)),"")</f>
        <v>الإدارة العامة لتقنية المعلومات</v>
      </c>
      <c r="F16" s="29" t="n">
        <f aca="false">SUMIFS(النتائج!$H$2:$H$121,النتائج!$A$2:$A$121,$A16,النتائج!$F$2:$F$121,"DESIGN")</f>
        <v>73.45</v>
      </c>
      <c r="G16" s="29" t="n">
        <f aca="false">SUMIFS(النتائج!$H$2:$H$121,النتائج!$A$2:$A$121,$A16,النتائج!$F$2:$F$121,"BUILD")</f>
        <v>63.75</v>
      </c>
      <c r="H16" s="29" t="n">
        <f aca="false">SUMIFS(النتائج!$H$2:$H$121,النتائج!$A$2:$A$121,$A16,النتائج!$F$2:$F$121,"OPERATE")</f>
        <v>47.4</v>
      </c>
      <c r="I16" s="31" t="n">
        <f aca="false">ROUND(($F16*INDEX(المرجع!$K$9:$K$11,MATCH("DESIGN",المرجع!$L$9:$L$11,0))+$G16*INDEX(المرجع!$K$9:$K$11,MATCH("BUILD",المرجع!$L$9:$L$11,0))+$H16*INDEX(المرجع!$K$9:$K$11,MATCH("OPERATE",المرجع!$L$9:$L$11,0)))/100,1)</f>
        <v>57.5</v>
      </c>
      <c r="J16" s="32" t="str">
        <f aca="false">IF($I16&gt;المرجع!$K$3,"متقدم",IF($I16&lt;=المرجع!$K$2,"أولي","جزئي"))</f>
        <v>جزئي</v>
      </c>
      <c r="K16" s="31" t="n">
        <f aca="false">ROUND((SUMIFS(النتائج!$I$2:$I$121,النتائج!$A$2:$A$121,$A16,النتائج!$F$2:$F$121,"DESIGN")*INDEX(المرجع!$K$9:$K$11,MATCH("DESIGN",المرجع!$L$9:$L$11,0))+SUMIFS(النتائج!$I$2:$I$121,النتائج!$A$2:$A$121,$A16,النتائج!$F$2:$F$121,"BUILD")*INDEX(المرجع!$K$9:$K$11,MATCH("BUILD",المرجع!$L$9:$L$11,0))+SUMIFS(النتائج!$I$2:$I$121,النتائج!$A$2:$A$121,$A16,النتائج!$F$2:$F$121,"OPERATE")*INDEX(المرجع!$K$9:$K$11,MATCH("OPERATE",المرجع!$L$9:$L$11,0)))/100,1)</f>
        <v>93.2</v>
      </c>
      <c r="L16" s="32" t="str">
        <f aca="false">IF($K16&gt;المرجع!$K$3,"متقدم",IF($K16&lt;=المرجع!$K$2,"أولي","جزئي"))</f>
        <v>متقدم</v>
      </c>
    </row>
    <row r="17" customFormat="false" ht="15" hidden="false" customHeight="true" outlineLevel="0" collapsed="false">
      <c r="A17" s="19" t="s">
        <v>185</v>
      </c>
      <c r="B17" s="19" t="str">
        <f aca="false">IFERROR(INDEX('قائمة الوحدات'!$B$2:$B$41,MATCH($A17,'قائمة الوحدات'!$A$2:$A$41,0)),"")</f>
        <v>EXE</v>
      </c>
      <c r="C17" s="18" t="str">
        <f aca="false">IFERROR(INDEX('قائمة الوحدات'!$C$2:$C$41,MATCH($A17,'قائمة الوحدات'!$A$2:$A$41,0)),"")</f>
        <v>الشؤون التنفيذية</v>
      </c>
      <c r="D17" s="18" t="str">
        <f aca="false">IFERROR(INDEX('قائمة الوحدات'!$D$2:$D$41,MATCH($A17,'قائمة الوحدات'!$A$2:$A$41,0)),"")</f>
        <v>وكالة الشؤون الاستراتيجية</v>
      </c>
      <c r="E17" s="18" t="str">
        <f aca="false">IFERROR(INDEX('قائمة الوحدات'!$F$2:$F$41,MATCH($A17,'قائمة الوحدات'!$A$2:$A$41,0)),"")</f>
        <v>وكالة الشؤون الاستراتيجية</v>
      </c>
      <c r="F17" s="29" t="n">
        <f aca="false">SUMIFS(النتائج!$H$2:$H$121,النتائج!$A$2:$A$121,$A17,النتائج!$F$2:$F$121,"DESIGN")</f>
        <v>84.35</v>
      </c>
      <c r="G17" s="29" t="n">
        <f aca="false">SUMIFS(النتائج!$H$2:$H$121,النتائج!$A$2:$A$121,$A17,النتائج!$F$2:$F$121,"BUILD")</f>
        <v>62.45</v>
      </c>
      <c r="H17" s="29" t="n">
        <f aca="false">SUMIFS(النتائج!$H$2:$H$121,النتائج!$A$2:$A$121,$A17,النتائج!$F$2:$F$121,"OPERATE")</f>
        <v>40.85</v>
      </c>
      <c r="I17" s="31" t="n">
        <f aca="false">ROUND(($F17*INDEX(المرجع!$K$9:$K$11,MATCH("DESIGN",المرجع!$L$9:$L$11,0))+$G17*INDEX(المرجع!$K$9:$K$11,MATCH("BUILD",المرجع!$L$9:$L$11,0))+$H17*INDEX(المرجع!$K$9:$K$11,MATCH("OPERATE",المرجع!$L$9:$L$11,0)))/100,1)</f>
        <v>56</v>
      </c>
      <c r="J17" s="32" t="str">
        <f aca="false">IF($I17&gt;المرجع!$K$3,"متقدم",IF($I17&lt;=المرجع!$K$2,"أولي","جزئي"))</f>
        <v>جزئي</v>
      </c>
      <c r="K17" s="31" t="n">
        <f aca="false">ROUND((SUMIFS(النتائج!$I$2:$I$121,النتائج!$A$2:$A$121,$A17,النتائج!$F$2:$F$121,"DESIGN")*INDEX(المرجع!$K$9:$K$11,MATCH("DESIGN",المرجع!$L$9:$L$11,0))+SUMIFS(النتائج!$I$2:$I$121,النتائج!$A$2:$A$121,$A17,النتائج!$F$2:$F$121,"BUILD")*INDEX(المرجع!$K$9:$K$11,MATCH("BUILD",المرجع!$L$9:$L$11,0))+SUMIFS(النتائج!$I$2:$I$121,النتائج!$A$2:$A$121,$A17,النتائج!$F$2:$F$121,"OPERATE")*INDEX(المرجع!$K$9:$K$11,MATCH("OPERATE",المرجع!$L$9:$L$11,0)))/100,1)</f>
        <v>90.9</v>
      </c>
      <c r="L17" s="32" t="str">
        <f aca="false">IF($K17&gt;المرجع!$K$3,"متقدم",IF($K17&lt;=المرجع!$K$2,"أولي","جزئي"))</f>
        <v>متقدم</v>
      </c>
    </row>
    <row r="18" customFormat="false" ht="15" hidden="false" customHeight="true" outlineLevel="0" collapsed="false">
      <c r="A18" s="19" t="s">
        <v>188</v>
      </c>
      <c r="B18" s="19" t="str">
        <f aca="false">IFERROR(INDEX('قائمة الوحدات'!$B$2:$B$41,MATCH($A18,'قائمة الوحدات'!$A$2:$A$41,0)),"")</f>
        <v>EXE</v>
      </c>
      <c r="C18" s="18" t="str">
        <f aca="false">IFERROR(INDEX('قائمة الوحدات'!$C$2:$C$41,MATCH($A18,'قائمة الوحدات'!$A$2:$A$41,0)),"")</f>
        <v>الشؤون التنفيذية</v>
      </c>
      <c r="D18" s="18" t="str">
        <f aca="false">IFERROR(INDEX('قائمة الوحدات'!$D$2:$D$41,MATCH($A18,'قائمة الوحدات'!$A$2:$A$41,0)),"")</f>
        <v>وكالة التحول الرقمي</v>
      </c>
      <c r="E18" s="18" t="str">
        <f aca="false">IFERROR(INDEX('قائمة الوحدات'!$F$2:$F$41,MATCH($A18,'قائمة الوحدات'!$A$2:$A$41,0)),"")</f>
        <v>وكالة التحول الرقمي</v>
      </c>
      <c r="F18" s="29" t="n">
        <f aca="false">SUMIFS(النتائج!$H$2:$H$121,النتائج!$A$2:$A$121,$A18,النتائج!$F$2:$F$121,"DESIGN")</f>
        <v>80.35</v>
      </c>
      <c r="G18" s="29" t="n">
        <f aca="false">SUMIFS(النتائج!$H$2:$H$121,النتائج!$A$2:$A$121,$A18,النتائج!$F$2:$F$121,"BUILD")</f>
        <v>57.3</v>
      </c>
      <c r="H18" s="29" t="n">
        <f aca="false">SUMIFS(النتائج!$H$2:$H$121,النتائج!$A$2:$A$121,$A18,النتائج!$F$2:$F$121,"OPERATE")</f>
        <v>29.65</v>
      </c>
      <c r="I18" s="31" t="n">
        <f aca="false">ROUND(($F18*INDEX(المرجع!$K$9:$K$11,MATCH("DESIGN",المرجع!$L$9:$L$11,0))+$G18*INDEX(المرجع!$K$9:$K$11,MATCH("BUILD",المرجع!$L$9:$L$11,0))+$H18*INDEX(المرجع!$K$9:$K$11,MATCH("OPERATE",المرجع!$L$9:$L$11,0)))/100,1)</f>
        <v>48.1</v>
      </c>
      <c r="J18" s="32" t="str">
        <f aca="false">IF($I18&gt;المرجع!$K$3,"متقدم",IF($I18&lt;=المرجع!$K$2,"أولي","جزئي"))</f>
        <v>جزئي</v>
      </c>
      <c r="K18" s="31" t="n">
        <f aca="false">ROUND((SUMIFS(النتائج!$I$2:$I$121,النتائج!$A$2:$A$121,$A18,النتائج!$F$2:$F$121,"DESIGN")*INDEX(المرجع!$K$9:$K$11,MATCH("DESIGN",المرجع!$L$9:$L$11,0))+SUMIFS(النتائج!$I$2:$I$121,النتائج!$A$2:$A$121,$A18,النتائج!$F$2:$F$121,"BUILD")*INDEX(المرجع!$K$9:$K$11,MATCH("BUILD",المرجع!$L$9:$L$11,0))+SUMIFS(النتائج!$I$2:$I$121,النتائج!$A$2:$A$121,$A18,النتائج!$F$2:$F$121,"OPERATE")*INDEX(المرجع!$K$9:$K$11,MATCH("OPERATE",المرجع!$L$9:$L$11,0)))/100,1)</f>
        <v>94.5</v>
      </c>
      <c r="L18" s="32" t="str">
        <f aca="false">IF($K18&gt;المرجع!$K$3,"متقدم",IF($K18&lt;=المرجع!$K$2,"أولي","جزئي"))</f>
        <v>متقدم</v>
      </c>
    </row>
    <row r="19" customFormat="false" ht="15" hidden="false" customHeight="true" outlineLevel="0" collapsed="false">
      <c r="A19" s="19" t="s">
        <v>190</v>
      </c>
      <c r="B19" s="19" t="str">
        <f aca="false">IFERROR(INDEX('قائمة الوحدات'!$B$2:$B$41,MATCH($A19,'قائمة الوحدات'!$A$2:$A$41,0)),"")</f>
        <v>EXE</v>
      </c>
      <c r="C19" s="18" t="str">
        <f aca="false">IFERROR(INDEX('قائمة الوحدات'!$C$2:$C$41,MATCH($A19,'قائمة الوحدات'!$A$2:$A$41,0)),"")</f>
        <v>الشؤون التنفيذية</v>
      </c>
      <c r="D19" s="18" t="str">
        <f aca="false">IFERROR(INDEX('قائمة الوحدات'!$D$2:$D$41,MATCH($A19,'قائمة الوحدات'!$A$2:$A$41,0)),"")</f>
        <v>وكالة الاتصال المؤسسي</v>
      </c>
      <c r="E19" s="18" t="str">
        <f aca="false">IFERROR(INDEX('قائمة الوحدات'!$F$2:$F$41,MATCH($A19,'قائمة الوحدات'!$A$2:$A$41,0)),"")</f>
        <v>وكالة الاتصال المؤسسي</v>
      </c>
      <c r="F19" s="29" t="n">
        <f aca="false">SUMIFS(النتائج!$H$2:$H$121,النتائج!$A$2:$A$121,$A19,النتائج!$F$2:$F$121,"DESIGN")</f>
        <v>83</v>
      </c>
      <c r="G19" s="29" t="n">
        <f aca="false">SUMIFS(النتائج!$H$2:$H$121,النتائج!$A$2:$A$121,$A19,النتائج!$F$2:$F$121,"BUILD")</f>
        <v>60.45</v>
      </c>
      <c r="H19" s="29" t="n">
        <f aca="false">SUMIFS(النتائج!$H$2:$H$121,النتائج!$A$2:$A$121,$A19,النتائج!$F$2:$F$121,"OPERATE")</f>
        <v>46.5</v>
      </c>
      <c r="I19" s="31" t="n">
        <f aca="false">ROUND(($F19*INDEX(المرجع!$K$9:$K$11,MATCH("DESIGN",المرجع!$L$9:$L$11,0))+$G19*INDEX(المرجع!$K$9:$K$11,MATCH("BUILD",المرجع!$L$9:$L$11,0))+$H19*INDEX(المرجع!$K$9:$K$11,MATCH("OPERATE",المرجع!$L$9:$L$11,0)))/100,1)</f>
        <v>58</v>
      </c>
      <c r="J19" s="32" t="str">
        <f aca="false">IF($I19&gt;المرجع!$K$3,"متقدم",IF($I19&lt;=المرجع!$K$2,"أولي","جزئي"))</f>
        <v>جزئي</v>
      </c>
      <c r="K19" s="31" t="n">
        <f aca="false">ROUND((SUMIFS(النتائج!$I$2:$I$121,النتائج!$A$2:$A$121,$A19,النتائج!$F$2:$F$121,"DESIGN")*INDEX(المرجع!$K$9:$K$11,MATCH("DESIGN",المرجع!$L$9:$L$11,0))+SUMIFS(النتائج!$I$2:$I$121,النتائج!$A$2:$A$121,$A19,النتائج!$F$2:$F$121,"BUILD")*INDEX(المرجع!$K$9:$K$11,MATCH("BUILD",المرجع!$L$9:$L$11,0))+SUMIFS(النتائج!$I$2:$I$121,النتائج!$A$2:$A$121,$A19,النتائج!$F$2:$F$121,"OPERATE")*INDEX(المرجع!$K$9:$K$11,MATCH("OPERATE",المرجع!$L$9:$L$11,0)))/100,1)</f>
        <v>91.6</v>
      </c>
      <c r="L19" s="32" t="str">
        <f aca="false">IF($K19&gt;المرجع!$K$3,"متقدم",IF($K19&lt;=المرجع!$K$2,"أولي","جزئي"))</f>
        <v>متقدم</v>
      </c>
    </row>
    <row r="20" customFormat="false" ht="15" hidden="false" customHeight="true" outlineLevel="0" collapsed="false">
      <c r="A20" s="19" t="s">
        <v>192</v>
      </c>
      <c r="B20" s="19" t="str">
        <f aca="false">IFERROR(INDEX('قائمة الوحدات'!$B$2:$B$41,MATCH($A20,'قائمة الوحدات'!$A$2:$A$41,0)),"")</f>
        <v>EXE</v>
      </c>
      <c r="C20" s="18" t="str">
        <f aca="false">IFERROR(INDEX('قائمة الوحدات'!$C$2:$C$41,MATCH($A20,'قائمة الوحدات'!$A$2:$A$41,0)),"")</f>
        <v>الشؤون التنفيذية</v>
      </c>
      <c r="D20" s="18" t="str">
        <f aca="false">IFERROR(INDEX('قائمة الوحدات'!$D$2:$D$41,MATCH($A20,'قائمة الوحدات'!$A$2:$A$41,0)),"")</f>
        <v>وكالة الرقابة والالتزام</v>
      </c>
      <c r="E20" s="18" t="str">
        <f aca="false">IFERROR(INDEX('قائمة الوحدات'!$F$2:$F$41,MATCH($A20,'قائمة الوحدات'!$A$2:$A$41,0)),"")</f>
        <v>وكالة الرقابة والالتزام</v>
      </c>
      <c r="F20" s="29" t="n">
        <f aca="false">SUMIFS(النتائج!$H$2:$H$121,النتائج!$A$2:$A$121,$A20,النتائج!$F$2:$F$121,"DESIGN")</f>
        <v>79.25</v>
      </c>
      <c r="G20" s="29" t="n">
        <f aca="false">SUMIFS(النتائج!$H$2:$H$121,النتائج!$A$2:$A$121,$A20,النتائج!$F$2:$F$121,"BUILD")</f>
        <v>76.15</v>
      </c>
      <c r="H20" s="29" t="n">
        <f aca="false">SUMIFS(النتائج!$H$2:$H$121,النتائج!$A$2:$A$121,$A20,النتائج!$F$2:$F$121,"OPERATE")</f>
        <v>47.35</v>
      </c>
      <c r="I20" s="31" t="n">
        <f aca="false">ROUND(($F20*INDEX(المرجع!$K$9:$K$11,MATCH("DESIGN",المرجع!$L$9:$L$11,0))+$G20*INDEX(المرجع!$K$9:$K$11,MATCH("BUILD",المرجع!$L$9:$L$11,0))+$H20*INDEX(المرجع!$K$9:$K$11,MATCH("OPERATE",المرجع!$L$9:$L$11,0)))/100,1)</f>
        <v>62.4</v>
      </c>
      <c r="J20" s="32" t="str">
        <f aca="false">IF($I20&gt;المرجع!$K$3,"متقدم",IF($I20&lt;=المرجع!$K$2,"أولي","جزئي"))</f>
        <v>جزئي</v>
      </c>
      <c r="K20" s="31" t="n">
        <f aca="false">ROUND((SUMIFS(النتائج!$I$2:$I$121,النتائج!$A$2:$A$121,$A20,النتائج!$F$2:$F$121,"DESIGN")*INDEX(المرجع!$K$9:$K$11,MATCH("DESIGN",المرجع!$L$9:$L$11,0))+SUMIFS(النتائج!$I$2:$I$121,النتائج!$A$2:$A$121,$A20,النتائج!$F$2:$F$121,"BUILD")*INDEX(المرجع!$K$9:$K$11,MATCH("BUILD",المرجع!$L$9:$L$11,0))+SUMIFS(النتائج!$I$2:$I$121,النتائج!$A$2:$A$121,$A20,النتائج!$F$2:$F$121,"OPERATE")*INDEX(المرجع!$K$9:$K$11,MATCH("OPERATE",المرجع!$L$9:$L$11,0)))/100,1)</f>
        <v>93.6</v>
      </c>
      <c r="L20" s="32" t="str">
        <f aca="false">IF($K20&gt;المرجع!$K$3,"متقدم",IF($K20&lt;=المرجع!$K$2,"أولي","جزئي"))</f>
        <v>متقدم</v>
      </c>
    </row>
    <row r="21" customFormat="false" ht="15" hidden="false" customHeight="true" outlineLevel="0" collapsed="false">
      <c r="A21" s="19" t="s">
        <v>194</v>
      </c>
      <c r="B21" s="19" t="str">
        <f aca="false">IFERROR(INDEX('قائمة الوحدات'!$B$2:$B$41,MATCH($A21,'قائمة الوحدات'!$A$2:$A$41,0)),"")</f>
        <v>MIL</v>
      </c>
      <c r="C21" s="18" t="str">
        <f aca="false">IFERROR(INDEX('قائمة الوحدات'!$C$2:$C$41,MATCH($A21,'قائمة الوحدات'!$A$2:$A$41,0)),"")</f>
        <v>الجهاز العسكري</v>
      </c>
      <c r="D21" s="18" t="str">
        <f aca="false">IFERROR(INDEX('قائمة الوحدات'!$D$2:$D$41,MATCH($A21,'قائمة الوحدات'!$A$2:$A$41,0)),"")</f>
        <v>هيئة الأركان</v>
      </c>
      <c r="E21" s="18" t="str">
        <f aca="false">IFERROR(INDEX('قائمة الوحدات'!$F$2:$F$41,MATCH($A21,'قائمة الوحدات'!$A$2:$A$41,0)),"")</f>
        <v>هيئة الأركان</v>
      </c>
      <c r="F21" s="29" t="n">
        <f aca="false">SUMIFS(النتائج!$H$2:$H$121,النتائج!$A$2:$A$121,$A21,النتائج!$F$2:$F$121,"DESIGN")</f>
        <v>72.25</v>
      </c>
      <c r="G21" s="29" t="n">
        <f aca="false">SUMIFS(النتائج!$H$2:$H$121,النتائج!$A$2:$A$121,$A21,النتائج!$F$2:$F$121,"BUILD")</f>
        <v>61.6</v>
      </c>
      <c r="H21" s="29" t="n">
        <f aca="false">SUMIFS(النتائج!$H$2:$H$121,النتائج!$A$2:$A$121,$A21,النتائج!$F$2:$F$121,"OPERATE")</f>
        <v>39.7</v>
      </c>
      <c r="I21" s="31" t="n">
        <f aca="false">ROUND(($F21*INDEX(المرجع!$K$9:$K$11,MATCH("DESIGN",المرجع!$L$9:$L$11,0))+$G21*INDEX(المرجع!$K$9:$K$11,MATCH("BUILD",المرجع!$L$9:$L$11,0))+$H21*INDEX(المرجع!$K$9:$K$11,MATCH("OPERATE",المرجع!$L$9:$L$11,0)))/100,1)</f>
        <v>52.8</v>
      </c>
      <c r="J21" s="32" t="str">
        <f aca="false">IF($I21&gt;المرجع!$K$3,"متقدم",IF($I21&lt;=المرجع!$K$2,"أولي","جزئي"))</f>
        <v>جزئي</v>
      </c>
      <c r="K21" s="31" t="n">
        <f aca="false">ROUND((SUMIFS(النتائج!$I$2:$I$121,النتائج!$A$2:$A$121,$A21,النتائج!$F$2:$F$121,"DESIGN")*INDEX(المرجع!$K$9:$K$11,MATCH("DESIGN",المرجع!$L$9:$L$11,0))+SUMIFS(النتائج!$I$2:$I$121,النتائج!$A$2:$A$121,$A21,النتائج!$F$2:$F$121,"BUILD")*INDEX(المرجع!$K$9:$K$11,MATCH("BUILD",المرجع!$L$9:$L$11,0))+SUMIFS(النتائج!$I$2:$I$121,النتائج!$A$2:$A$121,$A21,النتائج!$F$2:$F$121,"OPERATE")*INDEX(المرجع!$K$9:$K$11,MATCH("OPERATE",المرجع!$L$9:$L$11,0)))/100,1)</f>
        <v>90.5</v>
      </c>
      <c r="L21" s="32" t="str">
        <f aca="false">IF($K21&gt;المرجع!$K$3,"متقدم",IF($K21&lt;=المرجع!$K$2,"أولي","جزئي"))</f>
        <v>متقدم</v>
      </c>
    </row>
    <row r="22" customFormat="false" ht="15" hidden="false" customHeight="true" outlineLevel="0" collapsed="false">
      <c r="A22" s="19" t="s">
        <v>198</v>
      </c>
      <c r="B22" s="19" t="str">
        <f aca="false">IFERROR(INDEX('قائمة الوحدات'!$B$2:$B$41,MATCH($A22,'قائمة الوحدات'!$A$2:$A$41,0)),"")</f>
        <v>MIL</v>
      </c>
      <c r="C22" s="18" t="str">
        <f aca="false">IFERROR(INDEX('قائمة الوحدات'!$C$2:$C$41,MATCH($A22,'قائمة الوحدات'!$A$2:$A$41,0)),"")</f>
        <v>الجهاز العسكري</v>
      </c>
      <c r="D22" s="18" t="str">
        <f aca="false">IFERROR(INDEX('قائمة الوحدات'!$D$2:$D$41,MATCH($A22,'قائمة الوحدات'!$A$2:$A$41,0)),"")</f>
        <v>قيادة القوات البرية</v>
      </c>
      <c r="E22" s="18" t="str">
        <f aca="false">IFERROR(INDEX('قائمة الوحدات'!$F$2:$F$41,MATCH($A22,'قائمة الوحدات'!$A$2:$A$41,0)),"")</f>
        <v>قيادة القوات البرية</v>
      </c>
      <c r="F22" s="29" t="n">
        <f aca="false">SUMIFS(النتائج!$H$2:$H$121,النتائج!$A$2:$A$121,$A22,النتائج!$F$2:$F$121,"DESIGN")</f>
        <v>74.1</v>
      </c>
      <c r="G22" s="29" t="n">
        <f aca="false">SUMIFS(النتائج!$H$2:$H$121,النتائج!$A$2:$A$121,$A22,النتائج!$F$2:$F$121,"BUILD")</f>
        <v>57.3</v>
      </c>
      <c r="H22" s="29" t="n">
        <f aca="false">SUMIFS(النتائج!$H$2:$H$121,النتائج!$A$2:$A$121,$A22,النتائج!$F$2:$F$121,"OPERATE")</f>
        <v>44.3</v>
      </c>
      <c r="I22" s="31" t="n">
        <f aca="false">ROUND(($F22*INDEX(المرجع!$K$9:$K$11,MATCH("DESIGN",المرجع!$L$9:$L$11,0))+$G22*INDEX(المرجع!$K$9:$K$11,MATCH("BUILD",المرجع!$L$9:$L$11,0))+$H22*INDEX(المرجع!$K$9:$K$11,MATCH("OPERATE",المرجع!$L$9:$L$11,0)))/100,1)</f>
        <v>54.2</v>
      </c>
      <c r="J22" s="32" t="str">
        <f aca="false">IF($I22&gt;المرجع!$K$3,"متقدم",IF($I22&lt;=المرجع!$K$2,"أولي","جزئي"))</f>
        <v>جزئي</v>
      </c>
      <c r="K22" s="31" t="n">
        <f aca="false">ROUND((SUMIFS(النتائج!$I$2:$I$121,النتائج!$A$2:$A$121,$A22,النتائج!$F$2:$F$121,"DESIGN")*INDEX(المرجع!$K$9:$K$11,MATCH("DESIGN",المرجع!$L$9:$L$11,0))+SUMIFS(النتائج!$I$2:$I$121,النتائج!$A$2:$A$121,$A22,النتائج!$F$2:$F$121,"BUILD")*INDEX(المرجع!$K$9:$K$11,MATCH("BUILD",المرجع!$L$9:$L$11,0))+SUMIFS(النتائج!$I$2:$I$121,النتائج!$A$2:$A$121,$A22,النتائج!$F$2:$F$121,"OPERATE")*INDEX(المرجع!$K$9:$K$11,MATCH("OPERATE",المرجع!$L$9:$L$11,0)))/100,1)</f>
        <v>90.5</v>
      </c>
      <c r="L22" s="32" t="str">
        <f aca="false">IF($K22&gt;المرجع!$K$3,"متقدم",IF($K22&lt;=المرجع!$K$2,"أولي","جزئي"))</f>
        <v>متقدم</v>
      </c>
    </row>
    <row r="23" customFormat="false" ht="15" hidden="false" customHeight="true" outlineLevel="0" collapsed="false">
      <c r="A23" s="19" t="s">
        <v>200</v>
      </c>
      <c r="B23" s="19" t="str">
        <f aca="false">IFERROR(INDEX('قائمة الوحدات'!$B$2:$B$41,MATCH($A23,'قائمة الوحدات'!$A$2:$A$41,0)),"")</f>
        <v>MIL</v>
      </c>
      <c r="C23" s="18" t="str">
        <f aca="false">IFERROR(INDEX('قائمة الوحدات'!$C$2:$C$41,MATCH($A23,'قائمة الوحدات'!$A$2:$A$41,0)),"")</f>
        <v>الجهاز العسكري</v>
      </c>
      <c r="D23" s="18" t="str">
        <f aca="false">IFERROR(INDEX('قائمة الوحدات'!$D$2:$D$41,MATCH($A23,'قائمة الوحدات'!$A$2:$A$41,0)),"")</f>
        <v>قيادة القوات الجوية</v>
      </c>
      <c r="E23" s="18" t="str">
        <f aca="false">IFERROR(INDEX('قائمة الوحدات'!$F$2:$F$41,MATCH($A23,'قائمة الوحدات'!$A$2:$A$41,0)),"")</f>
        <v>قيادة القوات الجوية</v>
      </c>
      <c r="F23" s="29" t="n">
        <f aca="false">SUMIFS(النتائج!$H$2:$H$121,النتائج!$A$2:$A$121,$A23,النتائج!$F$2:$F$121,"DESIGN")</f>
        <v>81.15</v>
      </c>
      <c r="G23" s="29" t="n">
        <f aca="false">SUMIFS(النتائج!$H$2:$H$121,النتائج!$A$2:$A$121,$A23,النتائج!$F$2:$F$121,"BUILD")</f>
        <v>63.6</v>
      </c>
      <c r="H23" s="29" t="n">
        <f aca="false">SUMIFS(النتائج!$H$2:$H$121,النتائج!$A$2:$A$121,$A23,النتائج!$F$2:$F$121,"OPERATE")</f>
        <v>51.2</v>
      </c>
      <c r="I23" s="31" t="n">
        <f aca="false">ROUND(($F23*INDEX(المرجع!$K$9:$K$11,MATCH("DESIGN",المرجع!$L$9:$L$11,0))+$G23*INDEX(المرجع!$K$9:$K$11,MATCH("BUILD",المرجع!$L$9:$L$11,0))+$H23*INDEX(المرجع!$K$9:$K$11,MATCH("OPERATE",المرجع!$L$9:$L$11,0)))/100,1)</f>
        <v>60.9</v>
      </c>
      <c r="J23" s="32" t="str">
        <f aca="false">IF($I23&gt;المرجع!$K$3,"متقدم",IF($I23&lt;=المرجع!$K$2,"أولي","جزئي"))</f>
        <v>جزئي</v>
      </c>
      <c r="K23" s="31" t="n">
        <f aca="false">ROUND((SUMIFS(النتائج!$I$2:$I$121,النتائج!$A$2:$A$121,$A23,النتائج!$F$2:$F$121,"DESIGN")*INDEX(المرجع!$K$9:$K$11,MATCH("DESIGN",المرجع!$L$9:$L$11,0))+SUMIFS(النتائج!$I$2:$I$121,النتائج!$A$2:$A$121,$A23,النتائج!$F$2:$F$121,"BUILD")*INDEX(المرجع!$K$9:$K$11,MATCH("BUILD",المرجع!$L$9:$L$11,0))+SUMIFS(النتائج!$I$2:$I$121,النتائج!$A$2:$A$121,$A23,النتائج!$F$2:$F$121,"OPERATE")*INDEX(المرجع!$K$9:$K$11,MATCH("OPERATE",المرجع!$L$9:$L$11,0)))/100,1)</f>
        <v>92.4</v>
      </c>
      <c r="L23" s="32" t="str">
        <f aca="false">IF($K23&gt;المرجع!$K$3,"متقدم",IF($K23&lt;=المرجع!$K$2,"أولي","جزئي"))</f>
        <v>متقدم</v>
      </c>
    </row>
    <row r="24" customFormat="false" ht="15" hidden="false" customHeight="true" outlineLevel="0" collapsed="false">
      <c r="A24" s="19" t="s">
        <v>202</v>
      </c>
      <c r="B24" s="19" t="str">
        <f aca="false">IFERROR(INDEX('قائمة الوحدات'!$B$2:$B$41,MATCH($A24,'قائمة الوحدات'!$A$2:$A$41,0)),"")</f>
        <v>MIL</v>
      </c>
      <c r="C24" s="18" t="str">
        <f aca="false">IFERROR(INDEX('قائمة الوحدات'!$C$2:$C$41,MATCH($A24,'قائمة الوحدات'!$A$2:$A$41,0)),"")</f>
        <v>الجهاز العسكري</v>
      </c>
      <c r="D24" s="18" t="str">
        <f aca="false">IFERROR(INDEX('قائمة الوحدات'!$D$2:$D$41,MATCH($A24,'قائمة الوحدات'!$A$2:$A$41,0)),"")</f>
        <v>قيادة القوات البحرية</v>
      </c>
      <c r="E24" s="18" t="str">
        <f aca="false">IFERROR(INDEX('قائمة الوحدات'!$F$2:$F$41,MATCH($A24,'قائمة الوحدات'!$A$2:$A$41,0)),"")</f>
        <v>قيادة القوات البحرية</v>
      </c>
      <c r="F24" s="29" t="n">
        <f aca="false">SUMIFS(النتائج!$H$2:$H$121,النتائج!$A$2:$A$121,$A24,النتائج!$F$2:$F$121,"DESIGN")</f>
        <v>83.75</v>
      </c>
      <c r="G24" s="29" t="n">
        <f aca="false">SUMIFS(النتائج!$H$2:$H$121,النتائج!$A$2:$A$121,$A24,النتائج!$F$2:$F$121,"BUILD")</f>
        <v>60.25</v>
      </c>
      <c r="H24" s="29" t="n">
        <f aca="false">SUMIFS(النتائج!$H$2:$H$121,النتائج!$A$2:$A$121,$A24,النتائج!$F$2:$F$121,"OPERATE")</f>
        <v>38.05</v>
      </c>
      <c r="I24" s="31" t="n">
        <f aca="false">ROUND(($F24*INDEX(المرجع!$K$9:$K$11,MATCH("DESIGN",المرجع!$L$9:$L$11,0))+$G24*INDEX(المرجع!$K$9:$K$11,MATCH("BUILD",المرجع!$L$9:$L$11,0))+$H24*INDEX(المرجع!$K$9:$K$11,MATCH("OPERATE",المرجع!$L$9:$L$11,0)))/100,1)</f>
        <v>53.9</v>
      </c>
      <c r="J24" s="32" t="str">
        <f aca="false">IF($I24&gt;المرجع!$K$3,"متقدم",IF($I24&lt;=المرجع!$K$2,"أولي","جزئي"))</f>
        <v>جزئي</v>
      </c>
      <c r="K24" s="31" t="n">
        <f aca="false">ROUND((SUMIFS(النتائج!$I$2:$I$121,النتائج!$A$2:$A$121,$A24,النتائج!$F$2:$F$121,"DESIGN")*INDEX(المرجع!$K$9:$K$11,MATCH("DESIGN",المرجع!$L$9:$L$11,0))+SUMIFS(النتائج!$I$2:$I$121,النتائج!$A$2:$A$121,$A24,النتائج!$F$2:$F$121,"BUILD")*INDEX(المرجع!$K$9:$K$11,MATCH("BUILD",المرجع!$L$9:$L$11,0))+SUMIFS(النتائج!$I$2:$I$121,النتائج!$A$2:$A$121,$A24,النتائج!$F$2:$F$121,"OPERATE")*INDEX(المرجع!$K$9:$K$11,MATCH("OPERATE",المرجع!$L$9:$L$11,0)))/100,1)</f>
        <v>92.3</v>
      </c>
      <c r="L24" s="32" t="str">
        <f aca="false">IF($K24&gt;المرجع!$K$3,"متقدم",IF($K24&lt;=المرجع!$K$2,"أولي","جزئي"))</f>
        <v>متقدم</v>
      </c>
    </row>
    <row r="25" customFormat="false" ht="15" hidden="false" customHeight="true" outlineLevel="0" collapsed="false">
      <c r="A25" s="19" t="s">
        <v>204</v>
      </c>
      <c r="B25" s="19" t="str">
        <f aca="false">IFERROR(INDEX('قائمة الوحدات'!$B$2:$B$41,MATCH($A25,'قائمة الوحدات'!$A$2:$A$41,0)),"")</f>
        <v>MIL</v>
      </c>
      <c r="C25" s="18" t="str">
        <f aca="false">IFERROR(INDEX('قائمة الوحدات'!$C$2:$C$41,MATCH($A25,'قائمة الوحدات'!$A$2:$A$41,0)),"")</f>
        <v>الجهاز العسكري</v>
      </c>
      <c r="D25" s="18" t="str">
        <f aca="false">IFERROR(INDEX('قائمة الوحدات'!$D$2:$D$41,MATCH($A25,'قائمة الوحدات'!$A$2:$A$41,0)),"")</f>
        <v>قيادة قوات الدفاع الجوي</v>
      </c>
      <c r="E25" s="18" t="str">
        <f aca="false">IFERROR(INDEX('قائمة الوحدات'!$F$2:$F$41,MATCH($A25,'قائمة الوحدات'!$A$2:$A$41,0)),"")</f>
        <v>قيادة قوات الدفاع الجوي</v>
      </c>
      <c r="F25" s="29" t="n">
        <f aca="false">SUMIFS(النتائج!$H$2:$H$121,النتائج!$A$2:$A$121,$A25,النتائج!$F$2:$F$121,"DESIGN")</f>
        <v>85.4</v>
      </c>
      <c r="G25" s="29" t="n">
        <f aca="false">SUMIFS(النتائج!$H$2:$H$121,النتائج!$A$2:$A$121,$A25,النتائج!$F$2:$F$121,"BUILD")</f>
        <v>67.9</v>
      </c>
      <c r="H25" s="29" t="n">
        <f aca="false">SUMIFS(النتائج!$H$2:$H$121,النتائج!$A$2:$A$121,$A25,النتائج!$F$2:$F$121,"OPERATE")</f>
        <v>38.35</v>
      </c>
      <c r="I25" s="31" t="n">
        <f aca="false">ROUND(($F25*INDEX(المرجع!$K$9:$K$11,MATCH("DESIGN",المرجع!$L$9:$L$11,0))+$G25*INDEX(المرجع!$K$9:$K$11,MATCH("BUILD",المرجع!$L$9:$L$11,0))+$H25*INDEX(المرجع!$K$9:$K$11,MATCH("OPERATE",المرجع!$L$9:$L$11,0)))/100,1)</f>
        <v>56.6</v>
      </c>
      <c r="J25" s="32" t="str">
        <f aca="false">IF($I25&gt;المرجع!$K$3,"متقدم",IF($I25&lt;=المرجع!$K$2,"أولي","جزئي"))</f>
        <v>جزئي</v>
      </c>
      <c r="K25" s="31" t="n">
        <f aca="false">ROUND((SUMIFS(النتائج!$I$2:$I$121,النتائج!$A$2:$A$121,$A25,النتائج!$F$2:$F$121,"DESIGN")*INDEX(المرجع!$K$9:$K$11,MATCH("DESIGN",المرجع!$L$9:$L$11,0))+SUMIFS(النتائج!$I$2:$I$121,النتائج!$A$2:$A$121,$A25,النتائج!$F$2:$F$121,"BUILD")*INDEX(المرجع!$K$9:$K$11,MATCH("BUILD",المرجع!$L$9:$L$11,0))+SUMIFS(النتائج!$I$2:$I$121,النتائج!$A$2:$A$121,$A25,النتائج!$F$2:$F$121,"OPERATE")*INDEX(المرجع!$K$9:$K$11,MATCH("OPERATE",المرجع!$L$9:$L$11,0)))/100,1)</f>
        <v>91.3</v>
      </c>
      <c r="L25" s="32" t="str">
        <f aca="false">IF($K25&gt;المرجع!$K$3,"متقدم",IF($K25&lt;=المرجع!$K$2,"أولي","جزئي"))</f>
        <v>متقدم</v>
      </c>
    </row>
    <row r="26" customFormat="false" ht="15" hidden="false" customHeight="true" outlineLevel="0" collapsed="false">
      <c r="A26" s="19" t="s">
        <v>206</v>
      </c>
      <c r="B26" s="19" t="str">
        <f aca="false">IFERROR(INDEX('قائمة الوحدات'!$B$2:$B$41,MATCH($A26,'قائمة الوحدات'!$A$2:$A$41,0)),"")</f>
        <v>MIL</v>
      </c>
      <c r="C26" s="18" t="str">
        <f aca="false">IFERROR(INDEX('قائمة الوحدات'!$C$2:$C$41,MATCH($A26,'قائمة الوحدات'!$A$2:$A$41,0)),"")</f>
        <v>الجهاز العسكري</v>
      </c>
      <c r="D26" s="18" t="str">
        <f aca="false">IFERROR(INDEX('قائمة الوحدات'!$D$2:$D$41,MATCH($A26,'قائمة الوحدات'!$A$2:$A$41,0)),"")</f>
        <v>قيادة القوات الاستراتيجية</v>
      </c>
      <c r="E26" s="18" t="str">
        <f aca="false">IFERROR(INDEX('قائمة الوحدات'!$F$2:$F$41,MATCH($A26,'قائمة الوحدات'!$A$2:$A$41,0)),"")</f>
        <v>قيادة القوات الاستراتيجية</v>
      </c>
      <c r="F26" s="29" t="n">
        <f aca="false">SUMIFS(النتائج!$H$2:$H$121,النتائج!$A$2:$A$121,$A26,النتائج!$F$2:$F$121,"DESIGN")</f>
        <v>84.75</v>
      </c>
      <c r="G26" s="29" t="n">
        <f aca="false">SUMIFS(النتائج!$H$2:$H$121,النتائج!$A$2:$A$121,$A26,النتائج!$F$2:$F$121,"BUILD")</f>
        <v>62.45</v>
      </c>
      <c r="H26" s="29" t="n">
        <f aca="false">SUMIFS(النتائج!$H$2:$H$121,النتائج!$A$2:$A$121,$A26,النتائج!$F$2:$F$121,"OPERATE")</f>
        <v>36.6</v>
      </c>
      <c r="I26" s="31" t="n">
        <f aca="false">ROUND(($F26*INDEX(المرجع!$K$9:$K$11,MATCH("DESIGN",المرجع!$L$9:$L$11,0))+$G26*INDEX(المرجع!$K$9:$K$11,MATCH("BUILD",المرجع!$L$9:$L$11,0))+$H26*INDEX(المرجع!$K$9:$K$11,MATCH("OPERATE",المرجع!$L$9:$L$11,0)))/100,1)</f>
        <v>54</v>
      </c>
      <c r="J26" s="32" t="str">
        <f aca="false">IF($I26&gt;المرجع!$K$3,"متقدم",IF($I26&lt;=المرجع!$K$2,"أولي","جزئي"))</f>
        <v>جزئي</v>
      </c>
      <c r="K26" s="31" t="n">
        <f aca="false">ROUND((SUMIFS(النتائج!$I$2:$I$121,النتائج!$A$2:$A$121,$A26,النتائج!$F$2:$F$121,"DESIGN")*INDEX(المرجع!$K$9:$K$11,MATCH("DESIGN",المرجع!$L$9:$L$11,0))+SUMIFS(النتائج!$I$2:$I$121,النتائج!$A$2:$A$121,$A26,النتائج!$F$2:$F$121,"BUILD")*INDEX(المرجع!$K$9:$K$11,MATCH("BUILD",المرجع!$L$9:$L$11,0))+SUMIFS(النتائج!$I$2:$I$121,النتائج!$A$2:$A$121,$A26,النتائج!$F$2:$F$121,"OPERATE")*INDEX(المرجع!$K$9:$K$11,MATCH("OPERATE",المرجع!$L$9:$L$11,0)))/100,1)</f>
        <v>90.1</v>
      </c>
      <c r="L26" s="32" t="str">
        <f aca="false">IF($K26&gt;المرجع!$K$3,"متقدم",IF($K26&lt;=المرجع!$K$2,"أولي","جزئي"))</f>
        <v>متقدم</v>
      </c>
    </row>
    <row r="27" customFormat="false" ht="15" hidden="false" customHeight="true" outlineLevel="0" collapsed="false">
      <c r="A27" s="19" t="s">
        <v>208</v>
      </c>
      <c r="B27" s="19" t="str">
        <f aca="false">IFERROR(INDEX('قائمة الوحدات'!$B$2:$B$41,MATCH($A27,'قائمة الوحدات'!$A$2:$A$41,0)),"")</f>
        <v>MIL</v>
      </c>
      <c r="C27" s="18" t="str">
        <f aca="false">IFERROR(INDEX('قائمة الوحدات'!$C$2:$C$41,MATCH($A27,'قائمة الوحدات'!$A$2:$A$41,0)),"")</f>
        <v>الجهاز العسكري</v>
      </c>
      <c r="D27" s="18" t="str">
        <f aca="false">IFERROR(INDEX('قائمة الوحدات'!$D$2:$D$41,MATCH($A27,'قائمة الوحدات'!$A$2:$A$41,0)),"")</f>
        <v>الإدارة العامة للاستخبارات العسكرية</v>
      </c>
      <c r="E27" s="18" t="str">
        <f aca="false">IFERROR(INDEX('قائمة الوحدات'!$F$2:$F$41,MATCH($A27,'قائمة الوحدات'!$A$2:$A$41,0)),"")</f>
        <v>الإدارة العامة للاستخبارات العسكرية</v>
      </c>
      <c r="F27" s="29" t="n">
        <f aca="false">SUMIFS(النتائج!$H$2:$H$121,النتائج!$A$2:$A$121,$A27,النتائج!$F$2:$F$121,"DESIGN")</f>
        <v>82.95</v>
      </c>
      <c r="G27" s="29" t="n">
        <f aca="false">SUMIFS(النتائج!$H$2:$H$121,النتائج!$A$2:$A$121,$A27,النتائج!$F$2:$F$121,"BUILD")</f>
        <v>74.2</v>
      </c>
      <c r="H27" s="29" t="n">
        <f aca="false">SUMIFS(النتائج!$H$2:$H$121,النتائج!$A$2:$A$121,$A27,النتائج!$F$2:$F$121,"OPERATE")</f>
        <v>37.45</v>
      </c>
      <c r="I27" s="31" t="n">
        <f aca="false">ROUND(($F27*INDEX(المرجع!$K$9:$K$11,MATCH("DESIGN",المرجع!$L$9:$L$11,0))+$G27*INDEX(المرجع!$K$9:$K$11,MATCH("BUILD",المرجع!$L$9:$L$11,0))+$H27*INDEX(المرجع!$K$9:$K$11,MATCH("OPERATE",المرجع!$L$9:$L$11,0)))/100,1)</f>
        <v>57.6</v>
      </c>
      <c r="J27" s="32" t="str">
        <f aca="false">IF($I27&gt;المرجع!$K$3,"متقدم",IF($I27&lt;=المرجع!$K$2,"أولي","جزئي"))</f>
        <v>جزئي</v>
      </c>
      <c r="K27" s="31" t="n">
        <f aca="false">ROUND((SUMIFS(النتائج!$I$2:$I$121,النتائج!$A$2:$A$121,$A27,النتائج!$F$2:$F$121,"DESIGN")*INDEX(المرجع!$K$9:$K$11,MATCH("DESIGN",المرجع!$L$9:$L$11,0))+SUMIFS(النتائج!$I$2:$I$121,النتائج!$A$2:$A$121,$A27,النتائج!$F$2:$F$121,"BUILD")*INDEX(المرجع!$K$9:$K$11,MATCH("BUILD",المرجع!$L$9:$L$11,0))+SUMIFS(النتائج!$I$2:$I$121,النتائج!$A$2:$A$121,$A27,النتائج!$F$2:$F$121,"OPERATE")*INDEX(المرجع!$K$9:$K$11,MATCH("OPERATE",المرجع!$L$9:$L$11,0)))/100,1)</f>
        <v>93.1</v>
      </c>
      <c r="L27" s="32" t="str">
        <f aca="false">IF($K27&gt;المرجع!$K$3,"متقدم",IF($K27&lt;=المرجع!$K$2,"أولي","جزئي"))</f>
        <v>متقدم</v>
      </c>
    </row>
    <row r="28" customFormat="false" ht="15" hidden="false" customHeight="true" outlineLevel="0" collapsed="false">
      <c r="A28" s="19" t="s">
        <v>210</v>
      </c>
      <c r="B28" s="19" t="str">
        <f aca="false">IFERROR(INDEX('قائمة الوحدات'!$B$2:$B$41,MATCH($A28,'قائمة الوحدات'!$A$2:$A$41,0)),"")</f>
        <v>MIL</v>
      </c>
      <c r="C28" s="18" t="str">
        <f aca="false">IFERROR(INDEX('قائمة الوحدات'!$C$2:$C$41,MATCH($A28,'قائمة الوحدات'!$A$2:$A$41,0)),"")</f>
        <v>الجهاز العسكري</v>
      </c>
      <c r="D28" s="18" t="str">
        <f aca="false">IFERROR(INDEX('قائمة الوحدات'!$D$2:$D$41,MATCH($A28,'قائمة الوحدات'!$A$2:$A$41,0)),"")</f>
        <v>الإدارة العامة للعمليات المشتركة</v>
      </c>
      <c r="E28" s="18" t="str">
        <f aca="false">IFERROR(INDEX('قائمة الوحدات'!$F$2:$F$41,MATCH($A28,'قائمة الوحدات'!$A$2:$A$41,0)),"")</f>
        <v>الإدارة العامة للعمليات المشتركة</v>
      </c>
      <c r="F28" s="29" t="n">
        <f aca="false">SUMIFS(النتائج!$H$2:$H$121,النتائج!$A$2:$A$121,$A28,النتائج!$F$2:$F$121,"DESIGN")</f>
        <v>80.65</v>
      </c>
      <c r="G28" s="29" t="n">
        <f aca="false">SUMIFS(النتائج!$H$2:$H$121,النتائج!$A$2:$A$121,$A28,النتائج!$F$2:$F$121,"BUILD")</f>
        <v>74.95</v>
      </c>
      <c r="H28" s="29" t="n">
        <f aca="false">SUMIFS(النتائج!$H$2:$H$121,النتائج!$A$2:$A$121,$A28,النتائج!$F$2:$F$121,"OPERATE")</f>
        <v>42.45</v>
      </c>
      <c r="I28" s="31" t="n">
        <f aca="false">ROUND(($F28*INDEX(المرجع!$K$9:$K$11,MATCH("DESIGN",المرجع!$L$9:$L$11,0))+$G28*INDEX(المرجع!$K$9:$K$11,MATCH("BUILD",المرجع!$L$9:$L$11,0))+$H28*INDEX(المرجع!$K$9:$K$11,MATCH("OPERATE",المرجع!$L$9:$L$11,0)))/100,1)</f>
        <v>59.8</v>
      </c>
      <c r="J28" s="32" t="str">
        <f aca="false">IF($I28&gt;المرجع!$K$3,"متقدم",IF($I28&lt;=المرجع!$K$2,"أولي","جزئي"))</f>
        <v>جزئي</v>
      </c>
      <c r="K28" s="31" t="n">
        <f aca="false">ROUND((SUMIFS(النتائج!$I$2:$I$121,النتائج!$A$2:$A$121,$A28,النتائج!$F$2:$F$121,"DESIGN")*INDEX(المرجع!$K$9:$K$11,MATCH("DESIGN",المرجع!$L$9:$L$11,0))+SUMIFS(النتائج!$I$2:$I$121,النتائج!$A$2:$A$121,$A28,النتائج!$F$2:$F$121,"BUILD")*INDEX(المرجع!$K$9:$K$11,MATCH("BUILD",المرجع!$L$9:$L$11,0))+SUMIFS(النتائج!$I$2:$I$121,النتائج!$A$2:$A$121,$A28,النتائج!$F$2:$F$121,"OPERATE")*INDEX(المرجع!$K$9:$K$11,MATCH("OPERATE",المرجع!$L$9:$L$11,0)))/100,1)</f>
        <v>92.8</v>
      </c>
      <c r="L28" s="32" t="str">
        <f aca="false">IF($K28&gt;المرجع!$K$3,"متقدم",IF($K28&lt;=المرجع!$K$2,"أولي","جزئي"))</f>
        <v>متقدم</v>
      </c>
    </row>
    <row r="29" customFormat="false" ht="15" hidden="false" customHeight="true" outlineLevel="0" collapsed="false">
      <c r="A29" s="19" t="s">
        <v>212</v>
      </c>
      <c r="B29" s="19" t="str">
        <f aca="false">IFERROR(INDEX('قائمة الوحدات'!$B$2:$B$41,MATCH($A29,'قائمة الوحدات'!$A$2:$A$41,0)),"")</f>
        <v>MIL</v>
      </c>
      <c r="C29" s="18" t="str">
        <f aca="false">IFERROR(INDEX('قائمة الوحدات'!$C$2:$C$41,MATCH($A29,'قائمة الوحدات'!$A$2:$A$41,0)),"")</f>
        <v>الجهاز العسكري</v>
      </c>
      <c r="D29" s="18" t="str">
        <f aca="false">IFERROR(INDEX('قائمة الوحدات'!$D$2:$D$41,MATCH($A29,'قائمة الوحدات'!$A$2:$A$41,0)),"")</f>
        <v>الإدارة العامة للتخطيط والتنظيم العسكري</v>
      </c>
      <c r="E29" s="18" t="str">
        <f aca="false">IFERROR(INDEX('قائمة الوحدات'!$F$2:$F$41,MATCH($A29,'قائمة الوحدات'!$A$2:$A$41,0)),"")</f>
        <v>الإدارة العامة للتخطيط والتنظيم العسكري</v>
      </c>
      <c r="F29" s="29" t="n">
        <f aca="false">SUMIFS(النتائج!$H$2:$H$121,النتائج!$A$2:$A$121,$A29,النتائج!$F$2:$F$121,"DESIGN")</f>
        <v>80.25</v>
      </c>
      <c r="G29" s="29" t="n">
        <f aca="false">SUMIFS(النتائج!$H$2:$H$121,النتائج!$A$2:$A$121,$A29,النتائج!$F$2:$F$121,"BUILD")</f>
        <v>60.15</v>
      </c>
      <c r="H29" s="29" t="n">
        <f aca="false">SUMIFS(النتائج!$H$2:$H$121,النتائج!$A$2:$A$121,$A29,النتائج!$F$2:$F$121,"OPERATE")</f>
        <v>31.6</v>
      </c>
      <c r="I29" s="31" t="n">
        <f aca="false">ROUND(($F29*INDEX(المرجع!$K$9:$K$11,MATCH("DESIGN",المرجع!$L$9:$L$11,0))+$G29*INDEX(المرجع!$K$9:$K$11,MATCH("BUILD",المرجع!$L$9:$L$11,0))+$H29*INDEX(المرجع!$K$9:$K$11,MATCH("OPERATE",المرجع!$L$9:$L$11,0)))/100,1)</f>
        <v>49.9</v>
      </c>
      <c r="J29" s="32" t="str">
        <f aca="false">IF($I29&gt;المرجع!$K$3,"متقدم",IF($I29&lt;=المرجع!$K$2,"أولي","جزئي"))</f>
        <v>جزئي</v>
      </c>
      <c r="K29" s="31" t="n">
        <f aca="false">ROUND((SUMIFS(النتائج!$I$2:$I$121,النتائج!$A$2:$A$121,$A29,النتائج!$F$2:$F$121,"DESIGN")*INDEX(المرجع!$K$9:$K$11,MATCH("DESIGN",المرجع!$L$9:$L$11,0))+SUMIFS(النتائج!$I$2:$I$121,النتائج!$A$2:$A$121,$A29,النتائج!$F$2:$F$121,"BUILD")*INDEX(المرجع!$K$9:$K$11,MATCH("BUILD",المرجع!$L$9:$L$11,0))+SUMIFS(النتائج!$I$2:$I$121,النتائج!$A$2:$A$121,$A29,النتائج!$F$2:$F$121,"OPERATE")*INDEX(المرجع!$K$9:$K$11,MATCH("OPERATE",المرجع!$L$9:$L$11,0)))/100,1)</f>
        <v>94.5</v>
      </c>
      <c r="L29" s="32" t="str">
        <f aca="false">IF($K29&gt;المرجع!$K$3,"متقدم",IF($K29&lt;=المرجع!$K$2,"أولي","جزئي"))</f>
        <v>متقدم</v>
      </c>
    </row>
    <row r="30" customFormat="false" ht="15" hidden="false" customHeight="true" outlineLevel="0" collapsed="false">
      <c r="A30" s="19" t="s">
        <v>214</v>
      </c>
      <c r="B30" s="19" t="str">
        <f aca="false">IFERROR(INDEX('قائمة الوحدات'!$B$2:$B$41,MATCH($A30,'قائمة الوحدات'!$A$2:$A$41,0)),"")</f>
        <v>MIL</v>
      </c>
      <c r="C30" s="18" t="str">
        <f aca="false">IFERROR(INDEX('قائمة الوحدات'!$C$2:$C$41,MATCH($A30,'قائمة الوحدات'!$A$2:$A$41,0)),"")</f>
        <v>الجهاز العسكري</v>
      </c>
      <c r="D30" s="18" t="str">
        <f aca="false">IFERROR(INDEX('قائمة الوحدات'!$D$2:$D$41,MATCH($A30,'قائمة الوحدات'!$A$2:$A$41,0)),"")</f>
        <v>الإدارة العامة للإمداد والتموين</v>
      </c>
      <c r="E30" s="18" t="str">
        <f aca="false">IFERROR(INDEX('قائمة الوحدات'!$F$2:$F$41,MATCH($A30,'قائمة الوحدات'!$A$2:$A$41,0)),"")</f>
        <v>الإدارة العامة للإمداد والتموين</v>
      </c>
      <c r="F30" s="29" t="n">
        <f aca="false">SUMIFS(النتائج!$H$2:$H$121,النتائج!$A$2:$A$121,$A30,النتائج!$F$2:$F$121,"DESIGN")</f>
        <v>88.75</v>
      </c>
      <c r="G30" s="29" t="n">
        <f aca="false">SUMIFS(النتائج!$H$2:$H$121,النتائج!$A$2:$A$121,$A30,النتائج!$F$2:$F$121,"BUILD")</f>
        <v>66.3</v>
      </c>
      <c r="H30" s="29" t="n">
        <f aca="false">SUMIFS(النتائج!$H$2:$H$121,النتائج!$A$2:$A$121,$A30,النتائج!$F$2:$F$121,"OPERATE")</f>
        <v>47.1</v>
      </c>
      <c r="I30" s="31" t="n">
        <f aca="false">ROUND(($F30*INDEX(المرجع!$K$9:$K$11,MATCH("DESIGN",المرجع!$L$9:$L$11,0))+$G30*INDEX(المرجع!$K$9:$K$11,MATCH("BUILD",المرجع!$L$9:$L$11,0))+$H30*INDEX(المرجع!$K$9:$K$11,MATCH("OPERATE",المرجع!$L$9:$L$11,0)))/100,1)</f>
        <v>61.2</v>
      </c>
      <c r="J30" s="32" t="str">
        <f aca="false">IF($I30&gt;المرجع!$K$3,"متقدم",IF($I30&lt;=المرجع!$K$2,"أولي","جزئي"))</f>
        <v>جزئي</v>
      </c>
      <c r="K30" s="31" t="n">
        <f aca="false">ROUND((SUMIFS(النتائج!$I$2:$I$121,النتائج!$A$2:$A$121,$A30,النتائج!$F$2:$F$121,"DESIGN")*INDEX(المرجع!$K$9:$K$11,MATCH("DESIGN",المرجع!$L$9:$L$11,0))+SUMIFS(النتائج!$I$2:$I$121,النتائج!$A$2:$A$121,$A30,النتائج!$F$2:$F$121,"BUILD")*INDEX(المرجع!$K$9:$K$11,MATCH("BUILD",المرجع!$L$9:$L$11,0))+SUMIFS(النتائج!$I$2:$I$121,النتائج!$A$2:$A$121,$A30,النتائج!$F$2:$F$121,"OPERATE")*INDEX(المرجع!$K$9:$K$11,MATCH("OPERATE",المرجع!$L$9:$L$11,0)))/100,1)</f>
        <v>92.8</v>
      </c>
      <c r="L30" s="32" t="str">
        <f aca="false">IF($K30&gt;المرجع!$K$3,"متقدم",IF($K30&lt;=المرجع!$K$2,"أولي","جزئي"))</f>
        <v>متقدم</v>
      </c>
    </row>
    <row r="31" customFormat="false" ht="15" hidden="false" customHeight="true" outlineLevel="0" collapsed="false">
      <c r="A31" s="19" t="s">
        <v>216</v>
      </c>
      <c r="B31" s="19" t="str">
        <f aca="false">IFERROR(INDEX('قائمة الوحدات'!$B$2:$B$41,MATCH($A31,'قائمة الوحدات'!$A$2:$A$41,0)),"")</f>
        <v>MIL</v>
      </c>
      <c r="C31" s="18" t="str">
        <f aca="false">IFERROR(INDEX('قائمة الوحدات'!$C$2:$C$41,MATCH($A31,'قائمة الوحدات'!$A$2:$A$41,0)),"")</f>
        <v>الجهاز العسكري</v>
      </c>
      <c r="D31" s="18" t="str">
        <f aca="false">IFERROR(INDEX('قائمة الوحدات'!$D$2:$D$41,MATCH($A31,'قائمة الوحدات'!$A$2:$A$41,0)),"")</f>
        <v>الإدارة العامة للاتصالات وتقنية المعلومات العسكرية</v>
      </c>
      <c r="E31" s="18" t="str">
        <f aca="false">IFERROR(INDEX('قائمة الوحدات'!$F$2:$F$41,MATCH($A31,'قائمة الوحدات'!$A$2:$A$41,0)),"")</f>
        <v>الإدارة العامة للاتصالات وتقنية المعلومات العسكرية</v>
      </c>
      <c r="F31" s="29" t="n">
        <f aca="false">SUMIFS(النتائج!$H$2:$H$121,النتائج!$A$2:$A$121,$A31,النتائج!$F$2:$F$121,"DESIGN")</f>
        <v>85.5</v>
      </c>
      <c r="G31" s="29" t="n">
        <f aca="false">SUMIFS(النتائج!$H$2:$H$121,النتائج!$A$2:$A$121,$A31,النتائج!$F$2:$F$121,"BUILD")</f>
        <v>69.2</v>
      </c>
      <c r="H31" s="29" t="n">
        <f aca="false">SUMIFS(النتائج!$H$2:$H$121,النتائج!$A$2:$A$121,$A31,النتائج!$F$2:$F$121,"OPERATE")</f>
        <v>41.45</v>
      </c>
      <c r="I31" s="31" t="n">
        <f aca="false">ROUND(($F31*INDEX(المرجع!$K$9:$K$11,MATCH("DESIGN",المرجع!$L$9:$L$11,0))+$G31*INDEX(المرجع!$K$9:$K$11,MATCH("BUILD",المرجع!$L$9:$L$11,0))+$H31*INDEX(المرجع!$K$9:$K$11,MATCH("OPERATE",المرجع!$L$9:$L$11,0)))/100,1)</f>
        <v>58.6</v>
      </c>
      <c r="J31" s="32" t="str">
        <f aca="false">IF($I31&gt;المرجع!$K$3,"متقدم",IF($I31&lt;=المرجع!$K$2,"أولي","جزئي"))</f>
        <v>جزئي</v>
      </c>
      <c r="K31" s="31" t="n">
        <f aca="false">ROUND((SUMIFS(النتائج!$I$2:$I$121,النتائج!$A$2:$A$121,$A31,النتائج!$F$2:$F$121,"DESIGN")*INDEX(المرجع!$K$9:$K$11,MATCH("DESIGN",المرجع!$L$9:$L$11,0))+SUMIFS(النتائج!$I$2:$I$121,النتائج!$A$2:$A$121,$A31,النتائج!$F$2:$F$121,"BUILD")*INDEX(المرجع!$K$9:$K$11,MATCH("BUILD",المرجع!$L$9:$L$11,0))+SUMIFS(النتائج!$I$2:$I$121,النتائج!$A$2:$A$121,$A31,النتائج!$F$2:$F$121,"OPERATE")*INDEX(المرجع!$K$9:$K$11,MATCH("OPERATE",المرجع!$L$9:$L$11,0)))/100,1)</f>
        <v>94.3</v>
      </c>
      <c r="L31" s="32" t="str">
        <f aca="false">IF($K31&gt;المرجع!$K$3,"متقدم",IF($K31&lt;=المرجع!$K$2,"أولي","جزئي"))</f>
        <v>متقدم</v>
      </c>
    </row>
    <row r="32" customFormat="false" ht="15" hidden="false" customHeight="true" outlineLevel="0" collapsed="false">
      <c r="A32" s="19" t="s">
        <v>218</v>
      </c>
      <c r="B32" s="19" t="str">
        <f aca="false">IFERROR(INDEX('قائمة الوحدات'!$B$2:$B$41,MATCH($A32,'قائمة الوحدات'!$A$2:$A$41,0)),"")</f>
        <v>MIL</v>
      </c>
      <c r="C32" s="18" t="str">
        <f aca="false">IFERROR(INDEX('قائمة الوحدات'!$C$2:$C$41,MATCH($A32,'قائمة الوحدات'!$A$2:$A$41,0)),"")</f>
        <v>الجهاز العسكري</v>
      </c>
      <c r="D32" s="18" t="str">
        <f aca="false">IFERROR(INDEX('قائمة الوحدات'!$D$2:$D$41,MATCH($A32,'قائمة الوحدات'!$A$2:$A$41,0)),"")</f>
        <v>الإدارة العامة للشؤون الهندسية العسكرية</v>
      </c>
      <c r="E32" s="18" t="str">
        <f aca="false">IFERROR(INDEX('قائمة الوحدات'!$F$2:$F$41,MATCH($A32,'قائمة الوحدات'!$A$2:$A$41,0)),"")</f>
        <v>الإدارة العامة للشؤون الهندسية العسكرية</v>
      </c>
      <c r="F32" s="29" t="n">
        <f aca="false">SUMIFS(النتائج!$H$2:$H$121,النتائج!$A$2:$A$121,$A32,النتائج!$F$2:$F$121,"DESIGN")</f>
        <v>81.35</v>
      </c>
      <c r="G32" s="29" t="n">
        <f aca="false">SUMIFS(النتائج!$H$2:$H$121,النتائج!$A$2:$A$121,$A32,النتائج!$F$2:$F$121,"BUILD")</f>
        <v>59.55</v>
      </c>
      <c r="H32" s="29" t="n">
        <f aca="false">SUMIFS(النتائج!$H$2:$H$121,النتائج!$A$2:$A$121,$A32,النتائج!$F$2:$F$121,"OPERATE")</f>
        <v>37.75</v>
      </c>
      <c r="I32" s="31" t="n">
        <f aca="false">ROUND(($F32*INDEX(المرجع!$K$9:$K$11,MATCH("DESIGN",المرجع!$L$9:$L$11,0))+$G32*INDEX(المرجع!$K$9:$K$11,MATCH("BUILD",المرجع!$L$9:$L$11,0))+$H32*INDEX(المرجع!$K$9:$K$11,MATCH("OPERATE",المرجع!$L$9:$L$11,0)))/100,1)</f>
        <v>53</v>
      </c>
      <c r="J32" s="32" t="str">
        <f aca="false">IF($I32&gt;المرجع!$K$3,"متقدم",IF($I32&lt;=المرجع!$K$2,"أولي","جزئي"))</f>
        <v>جزئي</v>
      </c>
      <c r="K32" s="31" t="n">
        <f aca="false">ROUND((SUMIFS(النتائج!$I$2:$I$121,النتائج!$A$2:$A$121,$A32,النتائج!$F$2:$F$121,"DESIGN")*INDEX(المرجع!$K$9:$K$11,MATCH("DESIGN",المرجع!$L$9:$L$11,0))+SUMIFS(النتائج!$I$2:$I$121,النتائج!$A$2:$A$121,$A32,النتائج!$F$2:$F$121,"BUILD")*INDEX(المرجع!$K$9:$K$11,MATCH("BUILD",المرجع!$L$9:$L$11,0))+SUMIFS(النتائج!$I$2:$I$121,النتائج!$A$2:$A$121,$A32,النتائج!$F$2:$F$121,"OPERATE")*INDEX(المرجع!$K$9:$K$11,MATCH("OPERATE",المرجع!$L$9:$L$11,0)))/100,1)</f>
        <v>89.3</v>
      </c>
      <c r="L32" s="32" t="str">
        <f aca="false">IF($K32&gt;المرجع!$K$3,"متقدم",IF($K32&lt;=المرجع!$K$2,"أولي","جزئي"))</f>
        <v>متقدم</v>
      </c>
    </row>
    <row r="33" customFormat="false" ht="15" hidden="false" customHeight="true" outlineLevel="0" collapsed="false">
      <c r="A33" s="19" t="s">
        <v>220</v>
      </c>
      <c r="B33" s="19" t="str">
        <f aca="false">IFERROR(INDEX('قائمة الوحدات'!$B$2:$B$41,MATCH($A33,'قائمة الوحدات'!$A$2:$A$41,0)),"")</f>
        <v>MIL</v>
      </c>
      <c r="C33" s="18" t="str">
        <f aca="false">IFERROR(INDEX('قائمة الوحدات'!$C$2:$C$41,MATCH($A33,'قائمة الوحدات'!$A$2:$A$41,0)),"")</f>
        <v>الجهاز العسكري</v>
      </c>
      <c r="D33" s="18" t="str">
        <f aca="false">IFERROR(INDEX('قائمة الوحدات'!$D$2:$D$41,MATCH($A33,'قائمة الوحدات'!$A$2:$A$41,0)),"")</f>
        <v>الإدارة العامة للخدمات الطبية العسكرية</v>
      </c>
      <c r="E33" s="18" t="str">
        <f aca="false">IFERROR(INDEX('قائمة الوحدات'!$F$2:$F$41,MATCH($A33,'قائمة الوحدات'!$A$2:$A$41,0)),"")</f>
        <v>الإدارة العامة للخدمات الطبية العسكرية</v>
      </c>
      <c r="F33" s="29" t="n">
        <f aca="false">SUMIFS(النتائج!$H$2:$H$121,النتائج!$A$2:$A$121,$A33,النتائج!$F$2:$F$121,"DESIGN")</f>
        <v>83.6</v>
      </c>
      <c r="G33" s="29" t="n">
        <f aca="false">SUMIFS(النتائج!$H$2:$H$121,النتائج!$A$2:$A$121,$A33,النتائج!$F$2:$F$121,"BUILD")</f>
        <v>66.35</v>
      </c>
      <c r="H33" s="29" t="n">
        <f aca="false">SUMIFS(النتائج!$H$2:$H$121,النتائج!$A$2:$A$121,$A33,النتائج!$F$2:$F$121,"OPERATE")</f>
        <v>51.3</v>
      </c>
      <c r="I33" s="31" t="n">
        <f aca="false">ROUND(($F33*INDEX(المرجع!$K$9:$K$11,MATCH("DESIGN",المرجع!$L$9:$L$11,0))+$G33*INDEX(المرجع!$K$9:$K$11,MATCH("BUILD",المرجع!$L$9:$L$11,0))+$H33*INDEX(المرجع!$K$9:$K$11,MATCH("OPERATE",المرجع!$L$9:$L$11,0)))/100,1)</f>
        <v>62.3</v>
      </c>
      <c r="J33" s="32" t="str">
        <f aca="false">IF($I33&gt;المرجع!$K$3,"متقدم",IF($I33&lt;=المرجع!$K$2,"أولي","جزئي"))</f>
        <v>جزئي</v>
      </c>
      <c r="K33" s="31" t="n">
        <f aca="false">ROUND((SUMIFS(النتائج!$I$2:$I$121,النتائج!$A$2:$A$121,$A33,النتائج!$F$2:$F$121,"DESIGN")*INDEX(المرجع!$K$9:$K$11,MATCH("DESIGN",المرجع!$L$9:$L$11,0))+SUMIFS(النتائج!$I$2:$I$121,النتائج!$A$2:$A$121,$A33,النتائج!$F$2:$F$121,"BUILD")*INDEX(المرجع!$K$9:$K$11,MATCH("BUILD",المرجع!$L$9:$L$11,0))+SUMIFS(النتائج!$I$2:$I$121,النتائج!$A$2:$A$121,$A33,النتائج!$F$2:$F$121,"OPERATE")*INDEX(المرجع!$K$9:$K$11,MATCH("OPERATE",المرجع!$L$9:$L$11,0)))/100,1)</f>
        <v>90.7</v>
      </c>
      <c r="L33" s="32" t="str">
        <f aca="false">IF($K33&gt;المرجع!$K$3,"متقدم",IF($K33&lt;=المرجع!$K$2,"أولي","جزئي"))</f>
        <v>متقدم</v>
      </c>
    </row>
    <row r="34" customFormat="false" ht="15" hidden="false" customHeight="true" outlineLevel="0" collapsed="false">
      <c r="A34" s="19" t="s">
        <v>222</v>
      </c>
      <c r="B34" s="19" t="str">
        <f aca="false">IFERROR(INDEX('قائمة الوحدات'!$B$2:$B$41,MATCH($A34,'قائمة الوحدات'!$A$2:$A$41,0)),"")</f>
        <v>MIL</v>
      </c>
      <c r="C34" s="18" t="str">
        <f aca="false">IFERROR(INDEX('قائمة الوحدات'!$C$2:$C$41,MATCH($A34,'قائمة الوحدات'!$A$2:$A$41,0)),"")</f>
        <v>الجهاز العسكري</v>
      </c>
      <c r="D34" s="18" t="str">
        <f aca="false">IFERROR(INDEX('قائمة الوحدات'!$D$2:$D$41,MATCH($A34,'قائمة الوحدات'!$A$2:$A$41,0)),"")</f>
        <v>الإدارة العامة للقوى البشرية العسكرية</v>
      </c>
      <c r="E34" s="18" t="str">
        <f aca="false">IFERROR(INDEX('قائمة الوحدات'!$F$2:$F$41,MATCH($A34,'قائمة الوحدات'!$A$2:$A$41,0)),"")</f>
        <v>الإدارة العامة للقوى البشرية العسكرية</v>
      </c>
      <c r="F34" s="29" t="n">
        <f aca="false">SUMIFS(النتائج!$H$2:$H$121,النتائج!$A$2:$A$121,$A34,النتائج!$F$2:$F$121,"DESIGN")</f>
        <v>83.2</v>
      </c>
      <c r="G34" s="29" t="n">
        <f aca="false">SUMIFS(النتائج!$H$2:$H$121,النتائج!$A$2:$A$121,$A34,النتائج!$F$2:$F$121,"BUILD")</f>
        <v>55.65</v>
      </c>
      <c r="H34" s="29" t="n">
        <f aca="false">SUMIFS(النتائج!$H$2:$H$121,النتائج!$A$2:$A$121,$A34,النتائج!$F$2:$F$121,"OPERATE")</f>
        <v>49.25</v>
      </c>
      <c r="I34" s="31" t="n">
        <f aca="false">ROUND(($F34*INDEX(المرجع!$K$9:$K$11,MATCH("DESIGN",المرجع!$L$9:$L$11,0))+$G34*INDEX(المرجع!$K$9:$K$11,MATCH("BUILD",المرجع!$L$9:$L$11,0))+$H34*INDEX(المرجع!$K$9:$K$11,MATCH("OPERATE",المرجع!$L$9:$L$11,0)))/100,1)</f>
        <v>58</v>
      </c>
      <c r="J34" s="32" t="str">
        <f aca="false">IF($I34&gt;المرجع!$K$3,"متقدم",IF($I34&lt;=المرجع!$K$2,"أولي","جزئي"))</f>
        <v>جزئي</v>
      </c>
      <c r="K34" s="31" t="n">
        <f aca="false">ROUND((SUMIFS(النتائج!$I$2:$I$121,النتائج!$A$2:$A$121,$A34,النتائج!$F$2:$F$121,"DESIGN")*INDEX(المرجع!$K$9:$K$11,MATCH("DESIGN",المرجع!$L$9:$L$11,0))+SUMIFS(النتائج!$I$2:$I$121,النتائج!$A$2:$A$121,$A34,النتائج!$F$2:$F$121,"BUILD")*INDEX(المرجع!$K$9:$K$11,MATCH("BUILD",المرجع!$L$9:$L$11,0))+SUMIFS(النتائج!$I$2:$I$121,النتائج!$A$2:$A$121,$A34,النتائج!$F$2:$F$121,"OPERATE")*INDEX(المرجع!$K$9:$K$11,MATCH("OPERATE",المرجع!$L$9:$L$11,0)))/100,1)</f>
        <v>91.9</v>
      </c>
      <c r="L34" s="32" t="str">
        <f aca="false">IF($K34&gt;المرجع!$K$3,"متقدم",IF($K34&lt;=المرجع!$K$2,"أولي","جزئي"))</f>
        <v>متقدم</v>
      </c>
    </row>
    <row r="35" customFormat="false" ht="15" hidden="false" customHeight="true" outlineLevel="0" collapsed="false">
      <c r="A35" s="19" t="s">
        <v>224</v>
      </c>
      <c r="B35" s="19" t="str">
        <f aca="false">IFERROR(INDEX('قائمة الوحدات'!$B$2:$B$41,MATCH($A35,'قائمة الوحدات'!$A$2:$A$41,0)),"")</f>
        <v>MIL</v>
      </c>
      <c r="C35" s="18" t="str">
        <f aca="false">IFERROR(INDEX('قائمة الوحدات'!$C$2:$C$41,MATCH($A35,'قائمة الوحدات'!$A$2:$A$41,0)),"")</f>
        <v>الجهاز العسكري</v>
      </c>
      <c r="D35" s="18" t="str">
        <f aca="false">IFERROR(INDEX('قائمة الوحدات'!$D$2:$D$41,MATCH($A35,'قائمة الوحدات'!$A$2:$A$41,0)),"")</f>
        <v>الإدارة العامة للتدريب والتأهيل العسكري</v>
      </c>
      <c r="E35" s="18" t="str">
        <f aca="false">IFERROR(INDEX('قائمة الوحدات'!$F$2:$F$41,MATCH($A35,'قائمة الوحدات'!$A$2:$A$41,0)),"")</f>
        <v>الإدارة العامة للتدريب والتأهيل العسكري</v>
      </c>
      <c r="F35" s="29" t="n">
        <f aca="false">SUMIFS(النتائج!$H$2:$H$121,النتائج!$A$2:$A$121,$A35,النتائج!$F$2:$F$121,"DESIGN")</f>
        <v>90.55</v>
      </c>
      <c r="G35" s="29" t="n">
        <f aca="false">SUMIFS(النتائج!$H$2:$H$121,النتائج!$A$2:$A$121,$A35,النتائج!$F$2:$F$121,"BUILD")</f>
        <v>69.75</v>
      </c>
      <c r="H35" s="29" t="n">
        <f aca="false">SUMIFS(النتائج!$H$2:$H$121,النتائج!$A$2:$A$121,$A35,النتائج!$F$2:$F$121,"OPERATE")</f>
        <v>41.8</v>
      </c>
      <c r="I35" s="31" t="n">
        <f aca="false">ROUND(($F35*INDEX(المرجع!$K$9:$K$11,MATCH("DESIGN",المرجع!$L$9:$L$11,0))+$G35*INDEX(المرجع!$K$9:$K$11,MATCH("BUILD",المرجع!$L$9:$L$11,0))+$H35*INDEX(المرجع!$K$9:$K$11,MATCH("OPERATE",المرجع!$L$9:$L$11,0)))/100,1)</f>
        <v>59.9</v>
      </c>
      <c r="J35" s="32" t="str">
        <f aca="false">IF($I35&gt;المرجع!$K$3,"متقدم",IF($I35&lt;=المرجع!$K$2,"أولي","جزئي"))</f>
        <v>جزئي</v>
      </c>
      <c r="K35" s="31" t="n">
        <f aca="false">ROUND((SUMIFS(النتائج!$I$2:$I$121,النتائج!$A$2:$A$121,$A35,النتائج!$F$2:$F$121,"DESIGN")*INDEX(المرجع!$K$9:$K$11,MATCH("DESIGN",المرجع!$L$9:$L$11,0))+SUMIFS(النتائج!$I$2:$I$121,النتائج!$A$2:$A$121,$A35,النتائج!$F$2:$F$121,"BUILD")*INDEX(المرجع!$K$9:$K$11,MATCH("BUILD",المرجع!$L$9:$L$11,0))+SUMIFS(النتائج!$I$2:$I$121,النتائج!$A$2:$A$121,$A35,النتائج!$F$2:$F$121,"OPERATE")*INDEX(المرجع!$K$9:$K$11,MATCH("OPERATE",المرجع!$L$9:$L$11,0)))/100,1)</f>
        <v>94.3</v>
      </c>
      <c r="L35" s="32" t="str">
        <f aca="false">IF($K35&gt;المرجع!$K$3,"متقدم",IF($K35&lt;=المرجع!$K$2,"أولي","جزئي"))</f>
        <v>متقدم</v>
      </c>
    </row>
    <row r="36" customFormat="false" ht="15" hidden="false" customHeight="true" outlineLevel="0" collapsed="false">
      <c r="A36" s="19" t="s">
        <v>226</v>
      </c>
      <c r="B36" s="19" t="str">
        <f aca="false">IFERROR(INDEX('قائمة الوحدات'!$B$2:$B$41,MATCH($A36,'قائمة الوحدات'!$A$2:$A$41,0)),"")</f>
        <v>MIL</v>
      </c>
      <c r="C36" s="18" t="str">
        <f aca="false">IFERROR(INDEX('قائمة الوحدات'!$C$2:$C$41,MATCH($A36,'قائمة الوحدات'!$A$2:$A$41,0)),"")</f>
        <v>الجهاز العسكري</v>
      </c>
      <c r="D36" s="18" t="str">
        <f aca="false">IFERROR(INDEX('قائمة الوحدات'!$D$2:$D$41,MATCH($A36,'قائمة الوحدات'!$A$2:$A$41,0)),"")</f>
        <v>الإدارة العامة للتسليح والعتاد</v>
      </c>
      <c r="E36" s="18" t="str">
        <f aca="false">IFERROR(INDEX('قائمة الوحدات'!$F$2:$F$41,MATCH($A36,'قائمة الوحدات'!$A$2:$A$41,0)),"")</f>
        <v>الإدارة العامة للتسليح والعتاد</v>
      </c>
      <c r="F36" s="29" t="n">
        <f aca="false">SUMIFS(النتائج!$H$2:$H$121,النتائج!$A$2:$A$121,$A36,النتائج!$F$2:$F$121,"DESIGN")</f>
        <v>82.3</v>
      </c>
      <c r="G36" s="29" t="n">
        <f aca="false">SUMIFS(النتائج!$H$2:$H$121,النتائج!$A$2:$A$121,$A36,النتائج!$F$2:$F$121,"BUILD")</f>
        <v>69.05</v>
      </c>
      <c r="H36" s="29" t="n">
        <f aca="false">SUMIFS(النتائج!$H$2:$H$121,النتائج!$A$2:$A$121,$A36,النتائج!$F$2:$F$121,"OPERATE")</f>
        <v>36.75</v>
      </c>
      <c r="I36" s="31" t="n">
        <f aca="false">ROUND(($F36*INDEX(المرجع!$K$9:$K$11,MATCH("DESIGN",المرجع!$L$9:$L$11,0))+$G36*INDEX(المرجع!$K$9:$K$11,MATCH("BUILD",المرجع!$L$9:$L$11,0))+$H36*INDEX(المرجع!$K$9:$K$11,MATCH("OPERATE",المرجع!$L$9:$L$11,0)))/100,1)</f>
        <v>55.6</v>
      </c>
      <c r="J36" s="32" t="str">
        <f aca="false">IF($I36&gt;المرجع!$K$3,"متقدم",IF($I36&lt;=المرجع!$K$2,"أولي","جزئي"))</f>
        <v>جزئي</v>
      </c>
      <c r="K36" s="31" t="n">
        <f aca="false">ROUND((SUMIFS(النتائج!$I$2:$I$121,النتائج!$A$2:$A$121,$A36,النتائج!$F$2:$F$121,"DESIGN")*INDEX(المرجع!$K$9:$K$11,MATCH("DESIGN",المرجع!$L$9:$L$11,0))+SUMIFS(النتائج!$I$2:$I$121,النتائج!$A$2:$A$121,$A36,النتائج!$F$2:$F$121,"BUILD")*INDEX(المرجع!$K$9:$K$11,MATCH("BUILD",المرجع!$L$9:$L$11,0))+SUMIFS(النتائج!$I$2:$I$121,النتائج!$A$2:$A$121,$A36,النتائج!$F$2:$F$121,"OPERATE")*INDEX(المرجع!$K$9:$K$11,MATCH("OPERATE",المرجع!$L$9:$L$11,0)))/100,1)</f>
        <v>94.1</v>
      </c>
      <c r="L36" s="32" t="str">
        <f aca="false">IF($K36&gt;المرجع!$K$3,"متقدم",IF($K36&lt;=المرجع!$K$2,"أولي","جزئي"))</f>
        <v>متقدم</v>
      </c>
    </row>
    <row r="37" customFormat="false" ht="15" hidden="false" customHeight="true" outlineLevel="0" collapsed="false">
      <c r="A37" s="19" t="s">
        <v>228</v>
      </c>
      <c r="B37" s="19" t="str">
        <f aca="false">IFERROR(INDEX('قائمة الوحدات'!$B$2:$B$41,MATCH($A37,'قائمة الوحدات'!$A$2:$A$41,0)),"")</f>
        <v>MIL</v>
      </c>
      <c r="C37" s="18" t="str">
        <f aca="false">IFERROR(INDEX('قائمة الوحدات'!$C$2:$C$41,MATCH($A37,'قائمة الوحدات'!$A$2:$A$41,0)),"")</f>
        <v>الجهاز العسكري</v>
      </c>
      <c r="D37" s="18" t="str">
        <f aca="false">IFERROR(INDEX('قائمة الوحدات'!$D$2:$D$41,MATCH($A37,'قائمة الوحدات'!$A$2:$A$41,0)),"")</f>
        <v>الإدارة العامة للقضاء العسكري</v>
      </c>
      <c r="E37" s="18" t="str">
        <f aca="false">IFERROR(INDEX('قائمة الوحدات'!$F$2:$F$41,MATCH($A37,'قائمة الوحدات'!$A$2:$A$41,0)),"")</f>
        <v>الإدارة العامة للقضاء العسكري</v>
      </c>
      <c r="F37" s="29" t="n">
        <f aca="false">SUMIFS(النتائج!$H$2:$H$121,النتائج!$A$2:$A$121,$A37,النتائج!$F$2:$F$121,"DESIGN")</f>
        <v>87.3</v>
      </c>
      <c r="G37" s="29" t="n">
        <f aca="false">SUMIFS(النتائج!$H$2:$H$121,النتائج!$A$2:$A$121,$A37,النتائج!$F$2:$F$121,"BUILD")</f>
        <v>63.5</v>
      </c>
      <c r="H37" s="29" t="n">
        <f aca="false">SUMIFS(النتائج!$H$2:$H$121,النتائج!$A$2:$A$121,$A37,النتائج!$F$2:$F$121,"OPERATE")</f>
        <v>32.1</v>
      </c>
      <c r="I37" s="31" t="n">
        <f aca="false">ROUND(($F37*INDEX(المرجع!$K$9:$K$11,MATCH("DESIGN",المرجع!$L$9:$L$11,0))+$G37*INDEX(المرجع!$K$9:$K$11,MATCH("BUILD",المرجع!$L$9:$L$11,0))+$H37*INDEX(المرجع!$K$9:$K$11,MATCH("OPERATE",المرجع!$L$9:$L$11,0)))/100,1)</f>
        <v>52.6</v>
      </c>
      <c r="J37" s="32" t="str">
        <f aca="false">IF($I37&gt;المرجع!$K$3,"متقدم",IF($I37&lt;=المرجع!$K$2,"أولي","جزئي"))</f>
        <v>جزئي</v>
      </c>
      <c r="K37" s="31" t="n">
        <f aca="false">ROUND((SUMIFS(النتائج!$I$2:$I$121,النتائج!$A$2:$A$121,$A37,النتائج!$F$2:$F$121,"DESIGN")*INDEX(المرجع!$K$9:$K$11,MATCH("DESIGN",المرجع!$L$9:$L$11,0))+SUMIFS(النتائج!$I$2:$I$121,النتائج!$A$2:$A$121,$A37,النتائج!$F$2:$F$121,"BUILD")*INDEX(المرجع!$K$9:$K$11,MATCH("BUILD",المرجع!$L$9:$L$11,0))+SUMIFS(النتائج!$I$2:$I$121,النتائج!$A$2:$A$121,$A37,النتائج!$F$2:$F$121,"OPERATE")*INDEX(المرجع!$K$9:$K$11,MATCH("OPERATE",المرجع!$L$9:$L$11,0)))/100,1)</f>
        <v>94.3</v>
      </c>
      <c r="L37" s="32" t="str">
        <f aca="false">IF($K37&gt;المرجع!$K$3,"متقدم",IF($K37&lt;=المرجع!$K$2,"أولي","جزئي"))</f>
        <v>متقدم</v>
      </c>
    </row>
    <row r="38" customFormat="false" ht="15" hidden="false" customHeight="true" outlineLevel="0" collapsed="false">
      <c r="A38" s="19" t="s">
        <v>230</v>
      </c>
      <c r="B38" s="19" t="str">
        <f aca="false">IFERROR(INDEX('قائمة الوحدات'!$B$2:$B$41,MATCH($A38,'قائمة الوحدات'!$A$2:$A$41,0)),"")</f>
        <v>MIL</v>
      </c>
      <c r="C38" s="18" t="str">
        <f aca="false">IFERROR(INDEX('قائمة الوحدات'!$C$2:$C$41,MATCH($A38,'قائمة الوحدات'!$A$2:$A$41,0)),"")</f>
        <v>الجهاز العسكري</v>
      </c>
      <c r="D38" s="18" t="str">
        <f aca="false">IFERROR(INDEX('قائمة الوحدات'!$D$2:$D$41,MATCH($A38,'قائمة الوحدات'!$A$2:$A$41,0)),"")</f>
        <v>الإدارة العامة للأمن العسكري</v>
      </c>
      <c r="E38" s="18" t="str">
        <f aca="false">IFERROR(INDEX('قائمة الوحدات'!$F$2:$F$41,MATCH($A38,'قائمة الوحدات'!$A$2:$A$41,0)),"")</f>
        <v>الإدارة العامة للأمن العسكري</v>
      </c>
      <c r="F38" s="29" t="n">
        <f aca="false">SUMIFS(النتائج!$H$2:$H$121,النتائج!$A$2:$A$121,$A38,النتائج!$F$2:$F$121,"DESIGN")</f>
        <v>84.7</v>
      </c>
      <c r="G38" s="29" t="n">
        <f aca="false">SUMIFS(النتائج!$H$2:$H$121,النتائج!$A$2:$A$121,$A38,النتائج!$F$2:$F$121,"BUILD")</f>
        <v>65.1</v>
      </c>
      <c r="H38" s="29" t="n">
        <f aca="false">SUMIFS(النتائج!$H$2:$H$121,النتائج!$A$2:$A$121,$A38,النتائج!$F$2:$F$121,"OPERATE")</f>
        <v>35.65</v>
      </c>
      <c r="I38" s="31" t="n">
        <f aca="false">ROUND(($F38*INDEX(المرجع!$K$9:$K$11,MATCH("DESIGN",المرجع!$L$9:$L$11,0))+$G38*INDEX(المرجع!$K$9:$K$11,MATCH("BUILD",المرجع!$L$9:$L$11,0))+$H38*INDEX(المرجع!$K$9:$K$11,MATCH("OPERATE",المرجع!$L$9:$L$11,0)))/100,1)</f>
        <v>54.3</v>
      </c>
      <c r="J38" s="32" t="str">
        <f aca="false">IF($I38&gt;المرجع!$K$3,"متقدم",IF($I38&lt;=المرجع!$K$2,"أولي","جزئي"))</f>
        <v>جزئي</v>
      </c>
      <c r="K38" s="31" t="n">
        <f aca="false">ROUND((SUMIFS(النتائج!$I$2:$I$121,النتائج!$A$2:$A$121,$A38,النتائج!$F$2:$F$121,"DESIGN")*INDEX(المرجع!$K$9:$K$11,MATCH("DESIGN",المرجع!$L$9:$L$11,0))+SUMIFS(النتائج!$I$2:$I$121,النتائج!$A$2:$A$121,$A38,النتائج!$F$2:$F$121,"BUILD")*INDEX(المرجع!$K$9:$K$11,MATCH("BUILD",المرجع!$L$9:$L$11,0))+SUMIFS(النتائج!$I$2:$I$121,النتائج!$A$2:$A$121,$A38,النتائج!$F$2:$F$121,"OPERATE")*INDEX(المرجع!$K$9:$K$11,MATCH("OPERATE",المرجع!$L$9:$L$11,0)))/100,1)</f>
        <v>94.3</v>
      </c>
      <c r="L38" s="32" t="str">
        <f aca="false">IF($K38&gt;المرجع!$K$3,"متقدم",IF($K38&lt;=المرجع!$K$2,"أولي","جزئي"))</f>
        <v>متقدم</v>
      </c>
    </row>
    <row r="39" customFormat="false" ht="15" hidden="false" customHeight="true" outlineLevel="0" collapsed="false">
      <c r="A39" s="19" t="s">
        <v>232</v>
      </c>
      <c r="B39" s="19" t="str">
        <f aca="false">IFERROR(INDEX('قائمة الوحدات'!$B$2:$B$41,MATCH($A39,'قائمة الوحدات'!$A$2:$A$41,0)),"")</f>
        <v>MIL</v>
      </c>
      <c r="C39" s="18" t="str">
        <f aca="false">IFERROR(INDEX('قائمة الوحدات'!$C$2:$C$41,MATCH($A39,'قائمة الوحدات'!$A$2:$A$41,0)),"")</f>
        <v>الجهاز العسكري</v>
      </c>
      <c r="D39" s="18" t="str">
        <f aca="false">IFERROR(INDEX('قائمة الوحدات'!$D$2:$D$41,MATCH($A39,'قائمة الوحدات'!$A$2:$A$41,0)),"")</f>
        <v>الإدارة العامة للمالية والميزانية العسكرية</v>
      </c>
      <c r="E39" s="18" t="str">
        <f aca="false">IFERROR(INDEX('قائمة الوحدات'!$F$2:$F$41,MATCH($A39,'قائمة الوحدات'!$A$2:$A$41,0)),"")</f>
        <v>الإدارة العامة للمالية والميزانية العسكرية</v>
      </c>
      <c r="F39" s="29" t="n">
        <f aca="false">SUMIFS(النتائج!$H$2:$H$121,النتائج!$A$2:$A$121,$A39,النتائج!$F$2:$F$121,"DESIGN")</f>
        <v>81.3</v>
      </c>
      <c r="G39" s="29" t="n">
        <f aca="false">SUMIFS(النتائج!$H$2:$H$121,النتائج!$A$2:$A$121,$A39,النتائج!$F$2:$F$121,"BUILD")</f>
        <v>68.95</v>
      </c>
      <c r="H39" s="29" t="n">
        <f aca="false">SUMIFS(النتائج!$H$2:$H$121,النتائج!$A$2:$A$121,$A39,النتائج!$F$2:$F$121,"OPERATE")</f>
        <v>33</v>
      </c>
      <c r="I39" s="31" t="n">
        <f aca="false">ROUND(($F39*INDEX(المرجع!$K$9:$K$11,MATCH("DESIGN",المرجع!$L$9:$L$11,0))+$G39*INDEX(المرجع!$K$9:$K$11,MATCH("BUILD",المرجع!$L$9:$L$11,0))+$H39*INDEX(المرجع!$K$9:$K$11,MATCH("OPERATE",المرجع!$L$9:$L$11,0)))/100,1)</f>
        <v>53.4</v>
      </c>
      <c r="J39" s="32" t="str">
        <f aca="false">IF($I39&gt;المرجع!$K$3,"متقدم",IF($I39&lt;=المرجع!$K$2,"أولي","جزئي"))</f>
        <v>جزئي</v>
      </c>
      <c r="K39" s="31" t="n">
        <f aca="false">ROUND((SUMIFS(النتائج!$I$2:$I$121,النتائج!$A$2:$A$121,$A39,النتائج!$F$2:$F$121,"DESIGN")*INDEX(المرجع!$K$9:$K$11,MATCH("DESIGN",المرجع!$L$9:$L$11,0))+SUMIFS(النتائج!$I$2:$I$121,النتائج!$A$2:$A$121,$A39,النتائج!$F$2:$F$121,"BUILD")*INDEX(المرجع!$K$9:$K$11,MATCH("BUILD",المرجع!$L$9:$L$11,0))+SUMIFS(النتائج!$I$2:$I$121,النتائج!$A$2:$A$121,$A39,النتائج!$F$2:$F$121,"OPERATE")*INDEX(المرجع!$K$9:$K$11,MATCH("OPERATE",المرجع!$L$9:$L$11,0)))/100,1)</f>
        <v>93.3</v>
      </c>
      <c r="L39" s="32" t="str">
        <f aca="false">IF($K39&gt;المرجع!$K$3,"متقدم",IF($K39&lt;=المرجع!$K$2,"أولي","جزئي"))</f>
        <v>متقدم</v>
      </c>
    </row>
    <row r="40" customFormat="false" ht="15" hidden="false" customHeight="true" outlineLevel="0" collapsed="false">
      <c r="A40" s="19" t="s">
        <v>234</v>
      </c>
      <c r="B40" s="19" t="str">
        <f aca="false">IFERROR(INDEX('قائمة الوحدات'!$B$2:$B$41,MATCH($A40,'قائمة الوحدات'!$A$2:$A$41,0)),"")</f>
        <v>MIL</v>
      </c>
      <c r="C40" s="18" t="str">
        <f aca="false">IFERROR(INDEX('قائمة الوحدات'!$C$2:$C$41,MATCH($A40,'قائمة الوحدات'!$A$2:$A$41,0)),"")</f>
        <v>الجهاز العسكري</v>
      </c>
      <c r="D40" s="18" t="str">
        <f aca="false">IFERROR(INDEX('قائمة الوحدات'!$D$2:$D$41,MATCH($A40,'قائمة الوحدات'!$A$2:$A$41,0)),"")</f>
        <v>الإدارة العامة للعلاقات العامة والإعلام العسكري</v>
      </c>
      <c r="E40" s="18" t="str">
        <f aca="false">IFERROR(INDEX('قائمة الوحدات'!$F$2:$F$41,MATCH($A40,'قائمة الوحدات'!$A$2:$A$41,0)),"")</f>
        <v>الإدارة العامة للعلاقات العامة والإعلام العسكري</v>
      </c>
      <c r="F40" s="29" t="n">
        <f aca="false">SUMIFS(النتائج!$H$2:$H$121,النتائج!$A$2:$A$121,$A40,النتائج!$F$2:$F$121,"DESIGN")</f>
        <v>79.35</v>
      </c>
      <c r="G40" s="29" t="n">
        <f aca="false">SUMIFS(النتائج!$H$2:$H$121,النتائج!$A$2:$A$121,$A40,النتائج!$F$2:$F$121,"BUILD")</f>
        <v>69.15</v>
      </c>
      <c r="H40" s="29" t="n">
        <f aca="false">SUMIFS(النتائج!$H$2:$H$121,النتائج!$A$2:$A$121,$A40,النتائج!$F$2:$F$121,"OPERATE")</f>
        <v>36.05</v>
      </c>
      <c r="I40" s="31" t="n">
        <f aca="false">ROUND(($F40*INDEX(المرجع!$K$9:$K$11,MATCH("DESIGN",المرجع!$L$9:$L$11,0))+$G40*INDEX(المرجع!$K$9:$K$11,MATCH("BUILD",المرجع!$L$9:$L$11,0))+$H40*INDEX(المرجع!$K$9:$K$11,MATCH("OPERATE",المرجع!$L$9:$L$11,0)))/100,1)</f>
        <v>54.6</v>
      </c>
      <c r="J40" s="32" t="str">
        <f aca="false">IF($I40&gt;المرجع!$K$3,"متقدم",IF($I40&lt;=المرجع!$K$2,"أولي","جزئي"))</f>
        <v>جزئي</v>
      </c>
      <c r="K40" s="31" t="n">
        <f aca="false">ROUND((SUMIFS(النتائج!$I$2:$I$121,النتائج!$A$2:$A$121,$A40,النتائج!$F$2:$F$121,"DESIGN")*INDEX(المرجع!$K$9:$K$11,MATCH("DESIGN",المرجع!$L$9:$L$11,0))+SUMIFS(النتائج!$I$2:$I$121,النتائج!$A$2:$A$121,$A40,النتائج!$F$2:$F$121,"BUILD")*INDEX(المرجع!$K$9:$K$11,MATCH("BUILD",المرجع!$L$9:$L$11,0))+SUMIFS(النتائج!$I$2:$I$121,النتائج!$A$2:$A$121,$A40,النتائج!$F$2:$F$121,"OPERATE")*INDEX(المرجع!$K$9:$K$11,MATCH("OPERATE",المرجع!$L$9:$L$11,0)))/100,1)</f>
        <v>92.2</v>
      </c>
      <c r="L40" s="32" t="str">
        <f aca="false">IF($K40&gt;المرجع!$K$3,"متقدم",IF($K40&lt;=المرجع!$K$2,"أولي","جزئي"))</f>
        <v>متقدم</v>
      </c>
    </row>
    <row r="41" customFormat="false" ht="15" hidden="false" customHeight="true" outlineLevel="0" collapsed="false">
      <c r="A41" s="19" t="s">
        <v>236</v>
      </c>
      <c r="B41" s="19" t="str">
        <f aca="false">IFERROR(INDEX('قائمة الوحدات'!$B$2:$B$41,MATCH($A41,'قائمة الوحدات'!$A$2:$A$41,0)),"")</f>
        <v>MIL</v>
      </c>
      <c r="C41" s="18" t="str">
        <f aca="false">IFERROR(INDEX('قائمة الوحدات'!$C$2:$C$41,MATCH($A41,'قائمة الوحدات'!$A$2:$A$41,0)),"")</f>
        <v>الجهاز العسكري</v>
      </c>
      <c r="D41" s="18" t="str">
        <f aca="false">IFERROR(INDEX('قائمة الوحدات'!$D$2:$D$41,MATCH($A41,'قائمة الوحدات'!$A$2:$A$41,0)),"")</f>
        <v>الإدارة العامة للمراسم والتشريفات العسكرية</v>
      </c>
      <c r="E41" s="18" t="str">
        <f aca="false">IFERROR(INDEX('قائمة الوحدات'!$F$2:$F$41,MATCH($A41,'قائمة الوحدات'!$A$2:$A$41,0)),"")</f>
        <v>الإدارة العامة للمراسم والتشريفات العسكرية</v>
      </c>
      <c r="F41" s="29" t="n">
        <f aca="false">SUMIFS(النتائج!$H$2:$H$121,النتائج!$A$2:$A$121,$A41,النتائج!$F$2:$F$121,"DESIGN")</f>
        <v>88.1</v>
      </c>
      <c r="G41" s="29" t="n">
        <f aca="false">SUMIFS(النتائج!$H$2:$H$121,النتائج!$A$2:$A$121,$A41,النتائج!$F$2:$F$121,"BUILD")</f>
        <v>59.75</v>
      </c>
      <c r="H41" s="29" t="n">
        <f aca="false">SUMIFS(النتائج!$H$2:$H$121,النتائج!$A$2:$A$121,$A41,النتائج!$F$2:$F$121,"OPERATE")</f>
        <v>46.4</v>
      </c>
      <c r="I41" s="31" t="n">
        <f aca="false">ROUND(($F41*INDEX(المرجع!$K$9:$K$11,MATCH("DESIGN",المرجع!$L$9:$L$11,0))+$G41*INDEX(المرجع!$K$9:$K$11,MATCH("BUILD",المرجع!$L$9:$L$11,0))+$H41*INDEX(المرجع!$K$9:$K$11,MATCH("OPERATE",المرجع!$L$9:$L$11,0)))/100,1)</f>
        <v>58.7</v>
      </c>
      <c r="J41" s="32" t="str">
        <f aca="false">IF($I41&gt;المرجع!$K$3,"متقدم",IF($I41&lt;=المرجع!$K$2,"أولي","جزئي"))</f>
        <v>جزئي</v>
      </c>
      <c r="K41" s="31" t="n">
        <f aca="false">ROUND((SUMIFS(النتائج!$I$2:$I$121,النتائج!$A$2:$A$121,$A41,النتائج!$F$2:$F$121,"DESIGN")*INDEX(المرجع!$K$9:$K$11,MATCH("DESIGN",المرجع!$L$9:$L$11,0))+SUMIFS(النتائج!$I$2:$I$121,النتائج!$A$2:$A$121,$A41,النتائج!$F$2:$F$121,"BUILD")*INDEX(المرجع!$K$9:$K$11,MATCH("BUILD",المرجع!$L$9:$L$11,0))+SUMIFS(النتائج!$I$2:$I$121,النتائج!$A$2:$A$121,$A41,النتائج!$F$2:$F$121,"OPERATE")*INDEX(المرجع!$K$9:$K$11,MATCH("OPERATE",المرجع!$L$9:$L$11,0)))/100,1)</f>
        <v>89.3</v>
      </c>
      <c r="L41" s="32" t="str">
        <f aca="false">IF($K41&gt;المرجع!$K$3,"متقدم",IF($K41&lt;=المرجع!$K$2,"أولي","جزئي"))</f>
        <v>متقدم</v>
      </c>
    </row>
    <row r="42" customFormat="false" ht="15" hidden="false" customHeight="true" outlineLevel="0" collapsed="false">
      <c r="I42" s="33"/>
      <c r="J42" s="34"/>
    </row>
    <row r="43" customFormat="false" ht="15" hidden="false" customHeight="true" outlineLevel="0" collapsed="false">
      <c r="A43" s="11" t="s">
        <v>2184</v>
      </c>
      <c r="I43" s="33"/>
      <c r="J43" s="34"/>
    </row>
  </sheetData>
  <autoFilter ref="A1:J43"/>
  <conditionalFormatting sqref="F2:H41">
    <cfRule type="cellIs" priority="2" operator="greaterThan" aboveAverage="0" equalAverage="0" bottom="0" percent="0" rank="0" text="" dxfId="10">
      <formula>70</formula>
    </cfRule>
    <cfRule type="cellIs" priority="3" operator="lessThanOrEqual" aboveAverage="0" equalAverage="0" bottom="0" percent="0" rank="0" text="" dxfId="11">
      <formula>30</formula>
    </cfRule>
  </conditionalFormatting>
  <conditionalFormatting sqref="J2:J43">
    <cfRule type="cellIs" priority="4" operator="equal" aboveAverage="0" equalAverage="0" bottom="0" percent="0" rank="0" text="" dxfId="10">
      <formula>"متقدم"</formula>
    </cfRule>
    <cfRule type="cellIs" priority="5" operator="equal" aboveAverage="0" equalAverage="0" bottom="0" percent="0" rank="0" text="" dxfId="12">
      <formula>"جزئي"</formula>
    </cfRule>
    <cfRule type="cellIs" priority="6" operator="equal" aboveAverage="0" equalAverage="0" bottom="0" percent="0" rank="0" text="" dxfId="11">
      <formula>"أولي"</formula>
    </cfRule>
  </conditionalFormatting>
  <conditionalFormatting sqref="I2:I43">
    <cfRule type="cellIs" priority="7" operator="greaterThan" aboveAverage="0" equalAverage="0" bottom="0" percent="0" rank="0" text="" dxfId="10">
      <formula>70</formula>
    </cfRule>
    <cfRule type="cellIs" priority="8" operator="lessThanOrEqual" aboveAverage="0" equalAverage="0" bottom="0" percent="0" rank="0" text="" dxfId="11">
      <formula>30</formula>
    </cfRule>
  </conditionalFormatting>
  <conditionalFormatting sqref="L2:L41">
    <cfRule type="cellIs" priority="9" operator="equal" aboveAverage="0" equalAverage="0" bottom="0" percent="0" rank="0" text="" dxfId="10">
      <formula>"متقدم"</formula>
    </cfRule>
    <cfRule type="cellIs" priority="10" operator="equal" aboveAverage="0" equalAverage="0" bottom="0" percent="0" rank="0" text="" dxfId="12">
      <formula>"جزئي"</formula>
    </cfRule>
    <cfRule type="cellIs" priority="11" operator="equal" aboveAverage="0" equalAverage="0" bottom="0" percent="0" rank="0" text="" dxfId="11">
      <formula>"أولي"</formula>
    </cfRule>
  </conditionalFormatting>
  <conditionalFormatting sqref="K2:K41">
    <cfRule type="cellIs" priority="12" operator="greaterThan" aboveAverage="0" equalAverage="0" bottom="0" percent="0" rank="0" text="" dxfId="10">
      <formula>70</formula>
    </cfRule>
    <cfRule type="cellIs" priority="13" operator="lessThanOrEqual" aboveAverage="0" equalAverage="0" bottom="0" percent="0" rank="0" text="" dxfId="11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2026-08-19T09:52:41Z</dcterms:created>
  <dc:creator>openpyxl</dc:creator>
  <dc:description/>
  <dc:language>en-US</dc:language>
  <cp:lastModifiedBy>Faisal Mohammed AlBanmi</cp:lastModifiedBy>
  <dcterms:modified xsi:type="dcterms:W3CDTF">2026-08-25T09:30:42Z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