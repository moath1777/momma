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9a45c5548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d67112930dea4297"/>
    <x:sheet xmlns:r="http://schemas.openxmlformats.org/officeDocument/2006/relationships" name="الإدخال والحساب" sheetId="2" r:id="R28d1f75f447a4b3a"/>
    <x:sheet xmlns:r="http://schemas.openxmlformats.org/officeDocument/2006/relationships" name="النتائج" sheetId="3" r:id="Rc5b0f135395f45b8"/>
    <x:sheet xmlns:r="http://schemas.openxmlformats.org/officeDocument/2006/relationships" name="المرجع" sheetId="4" r:id="R2141692cbea14dec"/>
  </x:sheets>
</x:workbook>
</file>

<file path=xl/sharedStrings.xml><?xml version="1.0" encoding="utf-8"?>
<x:sst xmlns:x="http://schemas.openxmlformats.org/spreadsheetml/2006/main">
  <x:si>
    <x:t xml:space="preserve">دليل الاستخدام — قياس نضج النموذج التشغيلي</x:t>
  </x:si>
  <x:si>
    <x:t xml:space="preserve">١. عبّئ عمود «نسبة التحقق %» فقط (الخلايا الصفراء) لكل عنصر، من ٠ إلى ١٠٠. القيم الحالية وهمية للتجربة.</x:t>
  </x:si>
  <x:si>
    <x:t xml:space="preserve">٢. «الوزن المكتسب» = الوزن × نسبة التحقق ÷ ١٠٠، يُحسب تلقائيًا، ودرجة المرحلة وتصنيفها في ورقة «النتائج».</x:t>
  </x:si>
  <x:si>
    <x:t xml:space="preserve">٣. الهيكل في هذا الملف: القطاع العسكري والقطاع الصحي يُقاس كلٌّ على مستوى القطاع (عمود الوحدة = اسم القطاع، والوكالة = —).</x:t>
  </x:si>
  <x:si>
    <x:t xml:space="preserve">٤. القطاع التنفيذي: «وكالة (أ)» تنقسم لـ٧ وحدات، «وكالة (ب)» لـ٣ وحدات، والوكالات (ج) و(د) و(هـ) و(و) تُقاس على مستوى الوكالة (الوحدة = اسم الوكالة).</x:t>
  </x:si>
  <x:si>
    <x:t xml:space="preserve">٥. كل وحدة/وكالة/قطاع مقاس يأخذ ١٨ صفًا (التصميم ٦ + التفعيل ٧ + التشغيل ٥).</x:t>
  </x:si>
  <x:si>
    <x:t xml:space="preserve">٦. لإضافة كيان جديد: انسخ ١٨ صفًا كاملة وغيّر القطاع/الوكالة/الوحدة، وأضف ٣ صفوف مقابلة في «النتائج».</x:t>
  </x:si>
  <x:si>
    <x:t xml:space="preserve">٧. الأوزان وحدود التصنيف في ورقة «المرجع» — أي تعديل ينعكس تلقائيًا.</x:t>
  </x:si>
  <x:si>
    <x:t xml:space="preserve">٨. ورقة «الإدخال والحساب» مسطّحة وجاهزة كمصدر مباشر لـ Power BI.</x:t>
  </x:si>
  <x:si>
    <x:t xml:space="preserve">ID</x:t>
  </x:si>
  <x:si>
    <x:t xml:space="preserve">القطاع</x:t>
  </x:si>
  <x:si>
    <x:t xml:space="preserve">الوحدة التنظيمية الرئيسية</x:t>
  </x:si>
  <x:si>
    <x:t xml:space="preserve">الوحدة التنظيمية الفرعية</x:t>
  </x:si>
  <x:si>
    <x:t xml:space="preserve">المرحلة</x:t>
  </x:si>
  <x:si>
    <x:t xml:space="preserve">العنصر</x:t>
  </x:si>
  <x:si>
    <x:t xml:space="preserve">الوزن في المرحلة</x:t>
  </x:si>
  <x:si>
    <x:t xml:space="preserve">نسبة التحقق %</x:t>
  </x:si>
  <x:si>
    <x:t xml:space="preserve">الوزن المكتسب</x:t>
  </x:si>
  <x:si>
    <x:t xml:space="preserve">M01</x:t>
  </x:si>
  <x:si>
    <x:t xml:space="preserve">القطاع العسكري</x:t>
  </x:si>
  <x:si>
    <x:t xml:space="preserve">العسكرية</x:t>
  </x:si>
  <x:si>
    <x:t xml:space="preserve">التصميم</x:t>
  </x:si>
  <x:si>
    <x:t xml:space="preserve">الدور</x:t>
  </x:si>
  <x:si>
    <x:t xml:space="preserve">M02</x:t>
  </x:si>
  <x:si>
    <x:t xml:space="preserve">الأهداف ومؤشرات الأداء</x:t>
  </x:si>
  <x:si>
    <x:t xml:space="preserve">M03</x:t>
  </x:si>
  <x:si>
    <x:t xml:space="preserve">الحوكمة</x:t>
  </x:si>
  <x:si>
    <x:t xml:space="preserve">M04</x:t>
  </x:si>
  <x:si>
    <x:t xml:space="preserve">التنظيم</x:t>
  </x:si>
  <x:si>
    <x:t xml:space="preserve">M05</x:t>
  </x:si>
  <x:si>
    <x:t xml:space="preserve">الموارد</x:t>
  </x:si>
  <x:si>
    <x:t xml:space="preserve">M06</x:t>
  </x:si>
  <x:si>
    <x:t xml:space="preserve">الإجراءات</x:t>
  </x:si>
  <x:si>
    <x:t xml:space="preserve">M07</x:t>
  </x:si>
  <x:si>
    <x:t xml:space="preserve">التفعيل</x:t>
  </x:si>
  <x:si>
    <x:t xml:space="preserve">M08</x:t>
  </x:si>
  <x:si>
    <x:t xml:space="preserve">M09</x:t>
  </x:si>
  <x:si>
    <x:t xml:space="preserve">M10</x:t>
  </x:si>
  <x:si>
    <x:t xml:space="preserve">M11</x:t>
  </x:si>
  <x:si>
    <x:t xml:space="preserve">M12</x:t>
  </x:si>
  <x:si>
    <x:t xml:space="preserve">M13</x:t>
  </x:si>
  <x:si>
    <x:t xml:space="preserve">إنتاج المخرج الأول</x:t>
  </x:si>
  <x:si>
    <x:t xml:space="preserve">M14</x:t>
  </x:si>
  <x:si>
    <x:t xml:space="preserve">التشغيل</x:t>
  </x:si>
  <x:si>
    <x:t xml:space="preserve">M15</x:t>
  </x:si>
  <x:si>
    <x:t xml:space="preserve">M16</x:t>
  </x:si>
  <x:si>
    <x:t xml:space="preserve">M17</x:t>
  </x:si>
  <x:si>
    <x:t xml:space="preserve">M18</x:t>
  </x:si>
  <x:si>
    <x:t xml:space="preserve">اكتمال المخرجات المستهدفة</x:t>
  </x:si>
  <x:si>
    <x:t xml:space="preserve">M19</x:t>
  </x:si>
  <x:si>
    <x:t xml:space="preserve">الأمن</x:t>
  </x:si>
  <x:si>
    <x:t xml:space="preserve">M20</x:t>
  </x:si>
  <x:si>
    <x:t xml:space="preserve">M21</x:t>
  </x:si>
  <x:si>
    <x:t xml:space="preserve">M22</x:t>
  </x:si>
  <x:si>
    <x:t xml:space="preserve">M23</x:t>
  </x:si>
  <x:si>
    <x:t xml:space="preserve">M24</x:t>
  </x:si>
  <x:si>
    <x:t xml:space="preserve">M25</x:t>
  </x:si>
  <x:si>
    <x:t xml:space="preserve">M26</x:t>
  </x:si>
  <x:si>
    <x:t xml:space="preserve">M27</x:t>
  </x:si>
  <x:si>
    <x:t xml:space="preserve">M28</x:t>
  </x:si>
  <x:si>
    <x:t xml:space="preserve">M29</x:t>
  </x:si>
  <x:si>
    <x:t xml:space="preserve">M30</x:t>
  </x:si>
  <x:si>
    <x:t xml:space="preserve">M31</x:t>
  </x:si>
  <x:si>
    <x:t xml:space="preserve">M32</x:t>
  </x:si>
  <x:si>
    <x:t xml:space="preserve">M33</x:t>
  </x:si>
  <x:si>
    <x:t xml:space="preserve">M34</x:t>
  </x:si>
  <x:si>
    <x:t xml:space="preserve">M35</x:t>
  </x:si>
  <x:si>
    <x:t xml:space="preserve">M36</x:t>
  </x:si>
  <x:si>
    <x:t xml:space="preserve">E01</x:t>
  </x:si>
  <x:si>
    <x:t xml:space="preserve">القطاع التنفيذي</x:t>
  </x:si>
  <x:si>
    <x:r>
      <x:rPr>
        <x:sz val="11"/>
        <x:color theme="1"/>
        <x:rFont val="FreeSans"/>
        <x:family val="2"/>
      </x:rPr>
      <x:t xml:space="preserve">وكالة </x:t>
    </x:r>
    <x:r>
      <x:rPr>
        <x:sz val="11"/>
        <x:color theme="1"/>
        <x:rFont val="Calibri"/>
        <x:family val="2"/>
      </x:rPr>
      <x:t xml:space="preserve">(</x:t>
    </x:r>
    <x:r>
      <x:rPr>
        <x:sz val="11"/>
        <x:color theme="1"/>
        <x:rFont val="FreeSans"/>
        <x:family val="2"/>
      </x:rPr>
      <x:t xml:space="preserve">أ</x:t>
    </x:r>
    <x:r>
      <x:rPr>
        <x:sz val="11"/>
        <x:color theme="1"/>
        <x:rFont val="Calibri"/>
        <x:family val="2"/>
      </x:rPr>
      <x:t xml:space="preserve">)</x:t>
    </x:r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</x:si>
  <x:si>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١</x:t>
    </x:r>
  </x:si>
  <x:si>
    <x:t xml:space="preserve">E02</x:t>
  </x:si>
  <x:si>
    <x:t xml:space="preserve">E03</x:t>
  </x:si>
  <x:si>
    <x:t xml:space="preserve">E04</x:t>
  </x:si>
  <x:si>
    <x:t xml:space="preserve">E05</x:t>
  </x:si>
  <x:si>
    <x:t xml:space="preserve">E06</x:t>
  </x:si>
  <x:si>
    <x:t xml:space="preserve">E07</x:t>
  </x:si>
  <x:si>
    <x:t xml:space="preserve">E08</x:t>
  </x:si>
  <x:si>
    <x:t xml:space="preserve">E09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</x:si>
  <x:si>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</x:si>
  <x:si>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</x:si>
  <x:si>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</x:si>
  <x:si>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</x:si>
  <x:si>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</x:si>
  <x:si>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</x:si>
  <x:si>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</x:si>
  <x:si>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E17</x:t>
  </x:si>
  <x:si>
    <x:t xml:space="preserve">E18</x:t>
  </x:si>
  <x:si>
    <x:t xml:space="preserve">E19</x:t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</x:si>
  <x:si>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٢</x:t>
    </x:r>
  </x:si>
  <x:si>
    <x:t xml:space="preserve">E20</x:t>
  </x:si>
  <x:si>
    <x:t xml:space="preserve">E21</x:t>
  </x:si>
  <x:si>
    <x:t xml:space="preserve">E22</x:t>
  </x:si>
  <x:si>
    <x:t xml:space="preserve">E23</x:t>
  </x:si>
  <x:si>
    <x:t xml:space="preserve">E24</x:t>
  </x:si>
  <x:si>
    <x:t xml:space="preserve">E25</x:t>
  </x:si>
  <x:si>
    <x:t xml:space="preserve">E26</x:t>
  </x:si>
  <x:si>
    <x:t xml:space="preserve">E27</x:t>
  </x:si>
  <x:si>
    <x:t xml:space="preserve">E28</x:t>
  </x:si>
  <x:si>
    <x:t xml:space="preserve">E29</x:t>
  </x:si>
  <x:si>
    <x:t xml:space="preserve">E30</x:t>
  </x:si>
  <x:si>
    <x:t xml:space="preserve">E31</x:t>
  </x:si>
  <x:si>
    <x:t xml:space="preserve">E32</x:t>
  </x:si>
  <x:si>
    <x:t xml:space="preserve">E33</x:t>
  </x:si>
  <x:si>
    <x:t xml:space="preserve">E34</x:t>
  </x:si>
  <x:si>
    <x:t xml:space="preserve">E35</x:t>
  </x:si>
  <x:si>
    <x:t xml:space="preserve">E36</x:t>
  </x:si>
  <x:si>
    <x:t xml:space="preserve">E37</x:t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</x:si>
  <x:si>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٣</x:t>
    </x:r>
  </x:si>
  <x:si>
    <x:t xml:space="preserve">E38</x:t>
  </x:si>
  <x:si>
    <x:t xml:space="preserve">E39</x:t>
  </x:si>
  <x:si>
    <x:t xml:space="preserve">E40</x:t>
  </x:si>
  <x:si>
    <x:t xml:space="preserve">E41</x:t>
  </x:si>
  <x:si>
    <x:t xml:space="preserve">E42</x:t>
  </x:si>
  <x:si>
    <x:t xml:space="preserve">E43</x:t>
  </x:si>
  <x:si>
    <x:t xml:space="preserve">E44</x:t>
  </x:si>
  <x:si>
    <x:t xml:space="preserve">E45</x:t>
  </x:si>
  <x:si>
    <x:t xml:space="preserve">E46</x:t>
  </x:si>
  <x:si>
    <x:t xml:space="preserve">E47</x:t>
  </x:si>
  <x:si>
    <x:t xml:space="preserve">E48</x:t>
  </x:si>
  <x:si>
    <x:t xml:space="preserve">E49</x:t>
  </x:si>
  <x:si>
    <x:t xml:space="preserve">E50</x:t>
  </x:si>
  <x:si>
    <x:t xml:space="preserve">E51</x:t>
  </x:si>
  <x:si>
    <x:t xml:space="preserve">E52</x:t>
  </x:si>
  <x:si>
    <x:t xml:space="preserve">E53</x:t>
  </x:si>
  <x:si>
    <x:t xml:space="preserve">E54</x:t>
  </x:si>
  <x:si>
    <x:t xml:space="preserve">E55</x:t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</x:si>
  <x:si>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٤</x:t>
    </x:r>
  </x:si>
  <x:si>
    <x:t xml:space="preserve">E56</x:t>
  </x:si>
  <x:si>
    <x:t xml:space="preserve">E57</x:t>
  </x:si>
  <x:si>
    <x:t xml:space="preserve">E58</x:t>
  </x:si>
  <x:si>
    <x:t xml:space="preserve">E59</x:t>
  </x:si>
  <x:si>
    <x:t xml:space="preserve">E60</x:t>
  </x:si>
  <x:si>
    <x:t xml:space="preserve">E61</x:t>
  </x:si>
  <x:si>
    <x:t xml:space="preserve">E62</x:t>
  </x:si>
  <x:si>
    <x:t xml:space="preserve">E63</x:t>
  </x:si>
  <x:si>
    <x:t xml:space="preserve">E64</x:t>
  </x:si>
  <x:si>
    <x:t xml:space="preserve">E65</x:t>
  </x:si>
  <x:si>
    <x:t xml:space="preserve">E66</x:t>
  </x:si>
  <x:si>
    <x:t xml:space="preserve">E67</x:t>
  </x:si>
  <x:si>
    <x:t xml:space="preserve">E68</x:t>
  </x:si>
  <x:si>
    <x:t xml:space="preserve">E69</x:t>
  </x:si>
  <x:si>
    <x:t xml:space="preserve">E70</x:t>
  </x:si>
  <x:si>
    <x:t xml:space="preserve">E71</x:t>
  </x:si>
  <x:si>
    <x:t xml:space="preserve">E72</x:t>
  </x:si>
  <x:si>
    <x:t xml:space="preserve">E73</x:t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</x:si>
  <x:si>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٥</x:t>
    </x:r>
  </x:si>
  <x:si>
    <x:t xml:space="preserve">E74</x:t>
  </x:si>
  <x:si>
    <x:t xml:space="preserve">E75</x:t>
  </x:si>
  <x:si>
    <x:t xml:space="preserve">E76</x:t>
  </x:si>
  <x:si>
    <x:t xml:space="preserve">E77</x:t>
  </x:si>
  <x:si>
    <x:t xml:space="preserve">E78</x:t>
  </x:si>
  <x:si>
    <x:t xml:space="preserve">E79</x:t>
  </x:si>
  <x:si>
    <x:t xml:space="preserve">E80</x:t>
  </x:si>
  <x:si>
    <x:t xml:space="preserve">E81</x:t>
  </x:si>
  <x:si>
    <x:t xml:space="preserve">E82</x:t>
  </x:si>
  <x:si>
    <x:t xml:space="preserve">E83</x:t>
  </x:si>
  <x:si>
    <x:t xml:space="preserve">E84</x:t>
  </x:si>
  <x:si>
    <x:t xml:space="preserve">E85</x:t>
  </x:si>
  <x:si>
    <x:t xml:space="preserve">E86</x:t>
  </x:si>
  <x:si>
    <x:t xml:space="preserve">E87</x:t>
  </x:si>
  <x:si>
    <x:t xml:space="preserve">E88</x:t>
  </x:si>
  <x:si>
    <x:t xml:space="preserve">E89</x:t>
  </x:si>
  <x:si>
    <x:t xml:space="preserve">E90</x:t>
  </x:si>
  <x:si>
    <x:t xml:space="preserve">E91</x:t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</x:si>
  <x:si>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٦</x:t>
    </x:r>
  </x:si>
  <x:si>
    <x:t xml:space="preserve">E92</x:t>
  </x:si>
  <x:si>
    <x:t xml:space="preserve">E93</x:t>
  </x:si>
  <x:si>
    <x:t xml:space="preserve">E94</x:t>
  </x:si>
  <x:si>
    <x:t xml:space="preserve">E95</x:t>
  </x:si>
  <x:si>
    <x:t xml:space="preserve">E96</x:t>
  </x:si>
  <x:si>
    <x:t xml:space="preserve">E97</x:t>
  </x:si>
  <x:si>
    <x:t xml:space="preserve">E98</x:t>
  </x:si>
  <x:si>
    <x:t xml:space="preserve">E99</x:t>
  </x:si>
  <x:si>
    <x:t xml:space="preserve">E100</x:t>
  </x:si>
  <x:si>
    <x:t xml:space="preserve">E101</x:t>
  </x:si>
  <x:si>
    <x:t xml:space="preserve">E102</x:t>
  </x:si>
  <x:si>
    <x:t xml:space="preserve">E103</x:t>
  </x:si>
  <x:si>
    <x:t xml:space="preserve">E104</x:t>
  </x:si>
  <x:si>
    <x:t xml:space="preserve">E105</x:t>
  </x:si>
  <x:si>
    <x:t xml:space="preserve">E106</x:t>
  </x:si>
  <x:si>
    <x:t xml:space="preserve">E107</x:t>
  </x:si>
  <x:si>
    <x:t xml:space="preserve">E108</x:t>
  </x:si>
  <x:si>
    <x:t xml:space="preserve">E109</x:t>
  </x:si>
  <x:si>
    <x:r>
      <x:rPr>
        <x:sz val="11"/>
        <x:color theme="1"/>
        <x:rFont val="FreeSans"/>
        <x:family val="2"/>
      </x:rPr>
      <x:t xml:space="preserve">وحدة أ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٧</x:t>
    </x:r>
  </x:si>
  <x:si>
    <x:t xml:space="preserve">E110</x:t>
  </x:si>
  <x:si>
    <x:t xml:space="preserve">E111</x:t>
  </x:si>
  <x:si>
    <x:t xml:space="preserve">E112</x:t>
  </x:si>
  <x:si>
    <x:t xml:space="preserve">E113</x:t>
  </x:si>
  <x:si>
    <x:t xml:space="preserve">E114</x:t>
  </x:si>
  <x:si>
    <x:t xml:space="preserve">E115</x:t>
  </x:si>
  <x:si>
    <x:t xml:space="preserve">E116</x:t>
  </x:si>
  <x:si>
    <x:t xml:space="preserve">E117</x:t>
  </x:si>
  <x:si>
    <x:t xml:space="preserve">E118</x:t>
  </x:si>
  <x:si>
    <x:t xml:space="preserve">E119</x:t>
  </x:si>
  <x:si>
    <x:t xml:space="preserve">E120</x:t>
  </x:si>
  <x:si>
    <x:t xml:space="preserve">E121</x:t>
  </x:si>
  <x:si>
    <x:t xml:space="preserve">E122</x:t>
  </x:si>
  <x:si>
    <x:t xml:space="preserve">E123</x:t>
  </x:si>
  <x:si>
    <x:t xml:space="preserve">E124</x:t>
  </x:si>
  <x:si>
    <x:t xml:space="preserve">E125</x:t>
  </x:si>
  <x:si>
    <x:t xml:space="preserve">E126</x:t>
  </x:si>
  <x:si>
    <x:t xml:space="preserve">E127</x:t>
  </x:si>
  <x:si>
    <x:r>
      <x:rPr>
        <x:sz val="11"/>
        <x:color theme="1"/>
        <x:rFont val="FreeSans"/>
        <x:family val="2"/>
      </x:rPr>
      <x:t xml:space="preserve">وكالة </x:t>
    </x:r>
    <x:r>
      <x:rPr>
        <x:sz val="11"/>
        <x:color theme="1"/>
        <x:rFont val="Calibri"/>
        <x:family val="2"/>
      </x:rPr>
      <x:t xml:space="preserve">(</x:t>
    </x:r>
    <x:r>
      <x:rPr>
        <x:sz val="11"/>
        <x:color theme="1"/>
        <x:rFont val="FreeSans"/>
        <x:family val="2"/>
      </x:rPr>
      <x:t xml:space="preserve">ب</x:t>
    </x:r>
    <x:r>
      <x:rPr>
        <x:sz val="11"/>
        <x:color theme="1"/>
        <x:rFont val="Calibri"/>
        <x:family val="2"/>
      </x:rPr>
      <x:t xml:space="preserve">)</x:t>
    </x:r>
  </x:si>
  <x:si>
    <x:r>
      <x:rPr>
        <x:sz val="11"/>
        <x:color theme="1"/>
        <x:rFont val="FreeSans"/>
        <x:family val="2"/>
      </x:rPr>
      <x:t xml:space="preserve">وحدة ب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١</x:t>
    </x:r>
  </x:si>
  <x:si>
    <x:t xml:space="preserve">E128</x:t>
  </x:si>
  <x:si>
    <x:t xml:space="preserve">E129</x:t>
  </x:si>
  <x:si>
    <x:t xml:space="preserve">E130</x:t>
  </x:si>
  <x:si>
    <x:t xml:space="preserve">E131</x:t>
  </x:si>
  <x:si>
    <x:t xml:space="preserve">E132</x:t>
  </x:si>
  <x:si>
    <x:t xml:space="preserve">E133</x:t>
  </x:si>
  <x:si>
    <x:t xml:space="preserve">E134</x:t>
  </x:si>
  <x:si>
    <x:t xml:space="preserve">E135</x:t>
  </x:si>
  <x:si>
    <x:t xml:space="preserve">E136</x:t>
  </x:si>
  <x:si>
    <x:t xml:space="preserve">E137</x:t>
  </x:si>
  <x:si>
    <x:t xml:space="preserve">E138</x:t>
  </x:si>
  <x:si>
    <x:t xml:space="preserve">E139</x:t>
  </x:si>
  <x:si>
    <x:t xml:space="preserve">E140</x:t>
  </x:si>
  <x:si>
    <x:t xml:space="preserve">E141</x:t>
  </x:si>
  <x:si>
    <x:t xml:space="preserve">E142</x:t>
  </x:si>
  <x:si>
    <x:t xml:space="preserve">E143</x:t>
  </x:si>
  <x:si>
    <x:t xml:space="preserve">E144</x:t>
  </x:si>
  <x:si>
    <x:t xml:space="preserve">E145</x:t>
  </x:si>
  <x:si>
    <x:r>
      <x:rPr>
        <x:sz val="11"/>
        <x:color theme="1"/>
        <x:rFont val="FreeSans"/>
        <x:family val="2"/>
      </x:rPr>
      <x:t xml:space="preserve">وحدة ب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٢</x:t>
    </x:r>
  </x:si>
  <x:si>
    <x:t xml:space="preserve">E146</x:t>
  </x:si>
  <x:si>
    <x:t xml:space="preserve">E147</x:t>
  </x:si>
  <x:si>
    <x:t xml:space="preserve">E148</x:t>
  </x:si>
  <x:si>
    <x:t xml:space="preserve">E149</x:t>
  </x:si>
  <x:si>
    <x:t xml:space="preserve">E150</x:t>
  </x:si>
  <x:si>
    <x:t xml:space="preserve">E151</x:t>
  </x:si>
  <x:si>
    <x:t xml:space="preserve">E152</x:t>
  </x:si>
  <x:si>
    <x:t xml:space="preserve">E153</x:t>
  </x:si>
  <x:si>
    <x:t xml:space="preserve">E154</x:t>
  </x:si>
  <x:si>
    <x:t xml:space="preserve">E155</x:t>
  </x:si>
  <x:si>
    <x:t xml:space="preserve">E156</x:t>
  </x:si>
  <x:si>
    <x:t xml:space="preserve">E157</x:t>
  </x:si>
  <x:si>
    <x:t xml:space="preserve">E158</x:t>
  </x:si>
  <x:si>
    <x:t xml:space="preserve">E159</x:t>
  </x:si>
  <x:si>
    <x:t xml:space="preserve">E160</x:t>
  </x:si>
  <x:si>
    <x:t xml:space="preserve">E161</x:t>
  </x:si>
  <x:si>
    <x:t xml:space="preserve">E162</x:t>
  </x:si>
  <x:si>
    <x:t xml:space="preserve">E163</x:t>
  </x:si>
  <x:si>
    <x:r>
      <x:rPr>
        <x:sz val="11"/>
        <x:color theme="1"/>
        <x:rFont val="FreeSans"/>
        <x:family val="2"/>
      </x:rPr>
      <x:t xml:space="preserve">وحدة ب</x:t>
    </x:r>
    <x:r>
      <x:rPr>
        <x:sz val="11"/>
        <x:color theme="1"/>
        <x:rFont val="Calibri"/>
        <x:family val="2"/>
      </x:rPr>
      <x:t xml:space="preserve">-</x:t>
    </x:r>
    <x:r>
      <x:rPr>
        <x:sz val="11"/>
        <x:color theme="1"/>
        <x:rFont val="FreeSans"/>
        <x:family val="2"/>
      </x:rPr>
      <x:t xml:space="preserve">٣</x:t>
    </x:r>
  </x:si>
  <x:si>
    <x:t xml:space="preserve">E164</x:t>
  </x:si>
  <x:si>
    <x:t xml:space="preserve">E165</x:t>
  </x:si>
  <x:si>
    <x:t xml:space="preserve">E166</x:t>
  </x:si>
  <x:si>
    <x:t xml:space="preserve">E167</x:t>
  </x:si>
  <x:si>
    <x:t xml:space="preserve">E168</x:t>
  </x:si>
  <x:si>
    <x:t xml:space="preserve">E169</x:t>
  </x:si>
  <x:si>
    <x:t xml:space="preserve">E170</x:t>
  </x:si>
  <x:si>
    <x:t xml:space="preserve">E171</x:t>
  </x:si>
  <x:si>
    <x:t xml:space="preserve">E172</x:t>
  </x:si>
  <x:si>
    <x:t xml:space="preserve">E173</x:t>
  </x:si>
  <x:si>
    <x:t xml:space="preserve">E174</x:t>
  </x:si>
  <x:si>
    <x:t xml:space="preserve">E175</x:t>
  </x:si>
  <x:si>
    <x:t xml:space="preserve">E176</x:t>
  </x:si>
  <x:si>
    <x:t xml:space="preserve">E177</x:t>
  </x:si>
  <x:si>
    <x:t xml:space="preserve">E178</x:t>
  </x:si>
  <x:si>
    <x:t xml:space="preserve">E179</x:t>
  </x:si>
  <x:si>
    <x:t xml:space="preserve">E180</x:t>
  </x:si>
  <x:si>
    <x:t xml:space="preserve">E181</x:t>
  </x:si>
  <x:si>
    <x:r>
      <x:rPr>
        <x:sz val="11"/>
        <x:color theme="1"/>
        <x:rFont val="FreeSans"/>
        <x:family val="2"/>
      </x:rPr>
      <x:t xml:space="preserve">وكالة </x:t>
    </x:r>
    <x:r>
      <x:rPr>
        <x:sz val="11"/>
        <x:color theme="1"/>
        <x:rFont val="Calibri"/>
        <x:family val="2"/>
      </x:rPr>
      <x:t xml:space="preserve">(</x:t>
    </x:r>
    <x:r>
      <x:rPr>
        <x:sz val="11"/>
        <x:color theme="1"/>
        <x:rFont val="FreeSans"/>
        <x:family val="2"/>
      </x:rPr>
      <x:t xml:space="preserve">ج</x:t>
    </x:r>
    <x:r>
      <x:rPr>
        <x:sz val="11"/>
        <x:color theme="1"/>
        <x:rFont val="Calibri"/>
        <x:family val="2"/>
      </x:rPr>
      <x:t xml:space="preserve">)</x:t>
    </x:r>
  </x:si>
  <x:si>
    <x:t xml:space="preserve">E182</x:t>
  </x:si>
  <x:si>
    <x:t xml:space="preserve">E183</x:t>
  </x:si>
  <x:si>
    <x:t xml:space="preserve">E184</x:t>
  </x:si>
  <x:si>
    <x:t xml:space="preserve">E185</x:t>
  </x:si>
  <x:si>
    <x:t xml:space="preserve">E186</x:t>
  </x:si>
  <x:si>
    <x:t xml:space="preserve">E187</x:t>
  </x:si>
  <x:si>
    <x:t xml:space="preserve">E188</x:t>
  </x:si>
  <x:si>
    <x:t xml:space="preserve">E189</x:t>
  </x:si>
  <x:si>
    <x:t xml:space="preserve">E190</x:t>
  </x:si>
  <x:si>
    <x:t xml:space="preserve">E191</x:t>
  </x:si>
  <x:si>
    <x:t xml:space="preserve">E192</x:t>
  </x:si>
  <x:si>
    <x:t xml:space="preserve">E193</x:t>
  </x:si>
  <x:si>
    <x:t xml:space="preserve">E194</x:t>
  </x:si>
  <x:si>
    <x:t xml:space="preserve">E195</x:t>
  </x:si>
  <x:si>
    <x:t xml:space="preserve">E196</x:t>
  </x:si>
  <x:si>
    <x:t xml:space="preserve">E197</x:t>
  </x:si>
  <x:si>
    <x:t xml:space="preserve">E198</x:t>
  </x:si>
  <x:si>
    <x:t xml:space="preserve">E199</x:t>
  </x:si>
  <x:si>
    <x:r>
      <x:rPr>
        <x:sz val="11"/>
        <x:color theme="1"/>
        <x:rFont val="FreeSans"/>
        <x:family val="2"/>
      </x:rPr>
      <x:t xml:space="preserve">وكالة </x:t>
    </x:r>
    <x:r>
      <x:rPr>
        <x:sz val="11"/>
        <x:color theme="1"/>
        <x:rFont val="Calibri"/>
        <x:family val="2"/>
      </x:rPr>
      <x:t xml:space="preserve">(</x:t>
    </x:r>
    <x:r>
      <x:rPr>
        <x:sz val="11"/>
        <x:color theme="1"/>
        <x:rFont val="FreeSans"/>
        <x:family val="2"/>
      </x:rPr>
      <x:t xml:space="preserve">د</x:t>
    </x:r>
    <x:r>
      <x:rPr>
        <x:sz val="11"/>
        <x:color theme="1"/>
        <x:rFont val="Calibri"/>
        <x:family val="2"/>
      </x:rPr>
      <x:t xml:space="preserve">)</x:t>
    </x:r>
  </x:si>
  <x:si>
    <x:t xml:space="preserve">E200</x:t>
  </x:si>
  <x:si>
    <x:t xml:space="preserve">E201</x:t>
  </x:si>
  <x:si>
    <x:t xml:space="preserve">E202</x:t>
  </x:si>
  <x:si>
    <x:t xml:space="preserve">E203</x:t>
  </x:si>
  <x:si>
    <x:t xml:space="preserve">E204</x:t>
  </x:si>
  <x:si>
    <x:t xml:space="preserve">E205</x:t>
  </x:si>
  <x:si>
    <x:t xml:space="preserve">E206</x:t>
  </x:si>
  <x:si>
    <x:t xml:space="preserve">E207</x:t>
  </x:si>
  <x:si>
    <x:t xml:space="preserve">E208</x:t>
  </x:si>
  <x:si>
    <x:t xml:space="preserve">E209</x:t>
  </x:si>
  <x:si>
    <x:t xml:space="preserve">E210</x:t>
  </x:si>
  <x:si>
    <x:t xml:space="preserve">E211</x:t>
  </x:si>
  <x:si>
    <x:t xml:space="preserve">E212</x:t>
  </x:si>
  <x:si>
    <x:t xml:space="preserve">E213</x:t>
  </x:si>
  <x:si>
    <x:t xml:space="preserve">E214</x:t>
  </x:si>
  <x:si>
    <x:t xml:space="preserve">E215</x:t>
  </x:si>
  <x:si>
    <x:t xml:space="preserve">E216</x:t>
  </x:si>
  <x:si>
    <x:t xml:space="preserve">E217</x:t>
  </x:si>
  <x:si>
    <x:r>
      <x:rPr>
        <x:sz val="11"/>
        <x:color theme="1"/>
        <x:rFont val="FreeSans"/>
        <x:family val="2"/>
      </x:rPr>
      <x:t xml:space="preserve">وكالة </x:t>
    </x:r>
    <x:r>
      <x:rPr>
        <x:sz val="11"/>
        <x:color theme="1"/>
        <x:rFont val="Calibri"/>
        <x:family val="2"/>
      </x:rPr>
      <x:t xml:space="preserve">(</x:t>
    </x:r>
    <x:r>
      <x:rPr>
        <x:sz val="11"/>
        <x:color theme="1"/>
        <x:rFont val="FreeSans"/>
        <x:family val="2"/>
      </x:rPr>
      <x:t xml:space="preserve">هـ</x:t>
    </x:r>
    <x:r>
      <x:rPr>
        <x:sz val="11"/>
        <x:color theme="1"/>
        <x:rFont val="Calibri"/>
        <x:family val="2"/>
      </x:rPr>
      <x:t xml:space="preserve">)</x:t>
    </x:r>
  </x:si>
  <x:si>
    <x:t xml:space="preserve">E218</x:t>
  </x:si>
  <x:si>
    <x:t xml:space="preserve">E219</x:t>
  </x:si>
  <x:si>
    <x:t xml:space="preserve">E220</x:t>
  </x:si>
  <x:si>
    <x:t xml:space="preserve">E221</x:t>
  </x:si>
  <x:si>
    <x:t xml:space="preserve">E222</x:t>
  </x:si>
  <x:si>
    <x:t xml:space="preserve">E223</x:t>
  </x:si>
  <x:si>
    <x:t xml:space="preserve">E224</x:t>
  </x:si>
  <x:si>
    <x:t xml:space="preserve">E225</x:t>
  </x:si>
  <x:si>
    <x:t xml:space="preserve">E226</x:t>
  </x:si>
  <x:si>
    <x:t xml:space="preserve">E227</x:t>
  </x:si>
  <x:si>
    <x:t xml:space="preserve">E228</x:t>
  </x:si>
  <x:si>
    <x:t xml:space="preserve">E229</x:t>
  </x:si>
  <x:si>
    <x:t xml:space="preserve">E230</x:t>
  </x:si>
  <x:si>
    <x:t xml:space="preserve">E231</x:t>
  </x:si>
  <x:si>
    <x:t xml:space="preserve">E232</x:t>
  </x:si>
  <x:si>
    <x:t xml:space="preserve">E233</x:t>
  </x:si>
  <x:si>
    <x:t xml:space="preserve">E234</x:t>
  </x:si>
  <x:si>
    <x:t xml:space="preserve">E235</x:t>
  </x:si>
  <x:si>
    <x:r>
      <x:rPr>
        <x:sz val="11"/>
        <x:color theme="1"/>
        <x:rFont val="FreeSans"/>
        <x:family val="2"/>
      </x:rPr>
      <x:t xml:space="preserve">وكالة </x:t>
    </x:r>
    <x:r>
      <x:rPr>
        <x:sz val="11"/>
        <x:color theme="1"/>
        <x:rFont val="Calibri"/>
        <x:family val="2"/>
      </x:rPr>
      <x:t xml:space="preserve">(</x:t>
    </x:r>
    <x:r>
      <x:rPr>
        <x:sz val="11"/>
        <x:color theme="1"/>
        <x:rFont val="FreeSans"/>
        <x:family val="2"/>
      </x:rPr>
      <x:t xml:space="preserve">و</x:t>
    </x:r>
    <x:r>
      <x:rPr>
        <x:sz val="11"/>
        <x:color theme="1"/>
        <x:rFont val="Calibri"/>
        <x:family val="2"/>
      </x:rPr>
      <x:t xml:space="preserve">)</x:t>
    </x:r>
  </x:si>
  <x:si>
    <x:t xml:space="preserve">E236</x:t>
  </x:si>
  <x:si>
    <x:t xml:space="preserve">E237</x:t>
  </x:si>
  <x:si>
    <x:t xml:space="preserve">E238</x:t>
  </x:si>
  <x:si>
    <x:t xml:space="preserve">E239</x:t>
  </x:si>
  <x:si>
    <x:t xml:space="preserve">E240</x:t>
  </x:si>
  <x:si>
    <x:t xml:space="preserve">E241</x:t>
  </x:si>
  <x:si>
    <x:t xml:space="preserve">E242</x:t>
  </x:si>
  <x:si>
    <x:t xml:space="preserve">E243</x:t>
  </x:si>
  <x:si>
    <x:t xml:space="preserve">E244</x:t>
  </x:si>
  <x:si>
    <x:t xml:space="preserve">E245</x:t>
  </x:si>
  <x:si>
    <x:t xml:space="preserve">E246</x:t>
  </x:si>
  <x:si>
    <x:t xml:space="preserve">E247</x:t>
  </x:si>
  <x:si>
    <x:t xml:space="preserve">E248</x:t>
  </x:si>
  <x:si>
    <x:t xml:space="preserve">E249</x:t>
  </x:si>
  <x:si>
    <x:t xml:space="preserve">E250</x:t>
  </x:si>
  <x:si>
    <x:t xml:space="preserve">E251</x:t>
  </x:si>
  <x:si>
    <x:t xml:space="preserve">E252</x:t>
  </x:si>
  <x:si>
    <x:t xml:space="preserve">الوكالة</x:t>
  </x:si>
  <x:si>
    <x:t xml:space="preserve">الوحدة المقاسة</x:t>
  </x:si>
  <x:si>
    <x:t xml:space="preserve">درجة المرحلة</x:t>
  </x:si>
  <x:si>
    <x:t xml:space="preserve">التصنيف</x:t>
  </x:si>
  <x:si>
    <x:t xml:space="preserve">—</x:t>
  </x:si>
  <x:si>
    <x:t xml:space="preserve">القطاع الصحي</x:t>
  </x:si>
  <x:si>
    <x:t xml:space="preserve">الوزن</x:t>
  </x:si>
  <x:si>
    <x:t xml:space="preserve">حدود التصنيف</x:t>
  </x:si>
  <x:si>
    <x:r>
      <x:rPr>
        <x:sz val="11"/>
        <x:color theme="1"/>
        <x:rFont val="FreeSans"/>
        <x:family val="2"/>
      </x:rPr>
      <x:t xml:space="preserve">أولي</x:t>
    </x:r>
    <x:r>
      <x:rPr>
        <x:sz val="11"/>
        <x:color theme="1"/>
        <x:rFont val="Calibri"/>
        <x:family val="2"/>
      </x:rPr>
      <x:t xml:space="preserve">: </x:t>
    </x:r>
    <x:r>
      <x:rPr>
        <x:sz val="11"/>
        <x:color theme="1"/>
        <x:rFont val="FreeSans"/>
        <x:family val="2"/>
      </x:rPr>
      <x:t xml:space="preserve">أقل من أو يساوي</x:t>
    </x:r>
  </x:si>
  <x:si>
    <x:r>
      <x:rPr>
        <x:sz val="11"/>
        <x:color theme="1"/>
        <x:rFont val="FreeSans"/>
        <x:family val="2"/>
      </x:rPr>
      <x:t xml:space="preserve">متقدم</x:t>
    </x:r>
    <x:r>
      <x:rPr>
        <x:sz val="11"/>
        <x:color theme="1"/>
        <x:rFont val="Calibri"/>
        <x:family val="2"/>
      </x:rPr>
      <x:t xml:space="preserve">: </x:t>
    </x:r>
    <x:r>
      <x:rPr>
        <x:sz val="11"/>
        <x:color theme="1"/>
        <x:rFont val="FreeSans"/>
        <x:family val="2"/>
      </x:rPr>
      <x:t xml:space="preserve">أعلى من</x:t>
    </x:r>
  </x:si>
  <x:si>
    <x:t xml:space="preserve">جزئي: ما بينهما</x:t>
  </x:si>
</x:sst>
</file>

<file path=xl/styles.xml><?xml version="1.0" encoding="utf-8"?>
<x:styleSheet xmlns:x="http://schemas.openxmlformats.org/spreadsheetml/2006/main">
  <x:numFmts count="5">
    <x:numFmt numFmtId="164" formatCode="0\%"/>
    <x:numFmt numFmtId="165" formatCode="0.0"/>
    <x:numFmt numFmtId="166" formatCode="0.000"/>
    <x:numFmt numFmtId="200" formatCode="0.0\%"/>
    <x:numFmt numFmtId="201" formatCode="0.00"/>
  </x:numFmts>
  <x:fonts count="12">
    <x:font>
      <x:sz val="11"/>
      <x:color theme="1"/>
      <x:name val="Calibri"/>
    </x:font>
    <x:font>
      <x:b/>
      <x:sz val="14"/>
      <x:color rgb="FF1F6E43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theme="1"/>
      <x:name val="FreeSans"/>
    </x:font>
    <x:font>
      <x:sz val="11"/>
      <x:color rgb="FF008000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1"/>
      <x:name val="Arial"/>
    </x:font>
    <x:font>
      <x:i/>
      <x:sz val="11"/>
      <x:color rgb="FF808080"/>
      <x:name val="Arial"/>
    </x:font>
    <x:font>
      <x:sz val="11"/>
      <x:color theme="1"/>
      <x:name val="Calibri"/>
    </x:font>
    <x:font>
      <x:sz val="8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/>
    <x:xf numFmtId="9" fontId="10" fillId="0" borderId="0" applyFont="0" applyFill="0" applyBorder="0" applyAlignment="0" applyProtection="0"/>
  </x:cellStyleXfs>
  <x:cellXfs count="21">
    <x:xf numFmtId="0" fontId="0" fillId="0" borderId="0" xfId="0"/>
    <x:xf numFmtId="0" fontId="1" fillId="0" borderId="0" xfId="0" applyFont="1"/>
    <x:xf numFmtId="0" fontId="2" fillId="0" borderId="0" xfId="0" applyFont="1" applyAlignment="1">
      <x:alignment horizontal="right" vertical="top" wrapText="1"/>
    </x:xf>
    <x:xf numFmtId="0" fontId="3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right" vertical="center"/>
    </x:xf>
    <x:xf numFmtId="0" fontId="0" fillId="0" borderId="1" xfId="0" applyBorder="1" applyAlignment="1">
      <x:alignment horizontal="right" vertical="center"/>
    </x:xf>
    <x:xf numFmtId="0" fontId="4" fillId="0" borderId="1" xfId="0" applyFont="1" applyBorder="1" applyAlignment="1">
      <x:alignment horizontal="center" vertical="center"/>
    </x:xf>
    <x:xf numFmtId="1" fontId="5" fillId="0" borderId="1" xfId="0" applyNumberFormat="1" applyFont="1" applyBorder="1" applyAlignment="1">
      <x:alignment horizontal="center" vertical="center"/>
    </x:xf>
    <x:xf numFmtId="164" fontId="6" fillId="3" borderId="1" xfId="0" applyNumberFormat="1" applyFont="1" applyFill="1" applyBorder="1" applyAlignment="1">
      <x:alignment horizontal="center" vertical="center"/>
    </x:xf>
    <x:xf numFmtId="165" fontId="7" fillId="0" borderId="1" xfId="0" applyNumberFormat="1" applyFont="1" applyBorder="1" applyAlignment="1">
      <x:alignment horizontal="center" vertical="center"/>
    </x:xf>
    <x:xf numFmtId="165" fontId="5" fillId="0" borderId="1" xfId="0" applyNumberFormat="1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8" fillId="0" borderId="0" xfId="0" applyFont="1"/>
    <x:xf numFmtId="1" fontId="6" fillId="3" borderId="1" xfId="0" applyNumberFormat="1" applyFont="1" applyFill="1" applyBorder="1" applyAlignment="1">
      <x:alignment horizontal="center" vertical="center"/>
    </x:xf>
    <x:xf numFmtId="0" fontId="4" fillId="0" borderId="0" xfId="0" applyFont="1"/>
    <x:xf numFmtId="0" fontId="6" fillId="3" borderId="0" xfId="0" applyFont="1" applyFill="1"/>
    <x:xf numFmtId="0" fontId="9" fillId="0" borderId="0" xfId="0" applyFont="1"/>
    <x:xf numFmtId="166" fontId="6" fillId="3" borderId="1" xfId="1" applyNumberFormat="1" applyFont="1" applyFill="1" applyBorder="1" applyAlignment="1">
      <x:alignment horizontal="center" vertical="center"/>
    </x:xf>
    <x:xf numFmtId="200" fontId="6" fillId="3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horizontal="center" vertical="center"/>
    </x:xf>
  </x:cellXfs>
  <x:cellStyles count="2">
    <x:cellStyle name="Normal" xfId="0"/>
    <x:cellStyle name="Per cent" xfId="1"/>
  </x:cellStyles>
  <x:dxfs count="6">
    <x:dxf>
      <x:font>
        <x:b/>
        <x:color rgb="FF501313"/>
        <x:name val="Arial"/>
      </x:font>
      <x:fill>
        <x:patternFill>
          <x:bgColor rgb="FFF7C1C1"/>
        </x:patternFill>
      </x:fill>
    </x:dxf>
    <x:dxf>
      <x:font>
        <x:b/>
        <x:color rgb="FF412402"/>
        <x:name val="Arial"/>
      </x:font>
      <x:fill>
        <x:patternFill>
          <x:bgColor rgb="FFFAC775"/>
        </x:patternFill>
      </x:fill>
    </x:dxf>
    <x:dxf>
      <x:font>
        <x:b/>
        <x:color rgb="FF173404"/>
        <x:name val="Arial"/>
      </x:font>
      <x:fill>
        <x:patternFill>
          <x:bgColor rgb="FFC0DD97"/>
        </x:patternFill>
      </x:fill>
    </x:dxf>
    <x:dxf>
      <x:font>
        <x:b/>
        <x:color rgb="FF501313"/>
        <x:name val="Arial"/>
      </x:font>
      <x:fill>
        <x:patternFill>
          <x:bgColor rgb="FFF7C1C1"/>
        </x:patternFill>
      </x:fill>
    </x:dxf>
    <x:dxf>
      <x:font>
        <x:b/>
        <x:color rgb="FF412402"/>
        <x:name val="Arial"/>
      </x:font>
      <x:fill>
        <x:patternFill>
          <x:bgColor rgb="FFFAC775"/>
        </x:patternFill>
      </x:fill>
    </x:dxf>
    <x:dxf>
      <x:font>
        <x:b/>
        <x:color rgb="FF173404"/>
        <x:name val="Arial"/>
      </x:font>
      <x:fill>
        <x:patternFill>
          <x:bgColor rgb="FFC0DD9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501313"/>
      <x:rgbColor rgb="FF008000"/>
      <x:rgbColor rgb="FF000080"/>
      <x:rgbColor rgb="FF808000"/>
      <x:rgbColor rgb="FF800080"/>
      <x:rgbColor rgb="FF1F6E43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0DD97"/>
      <x:rgbColor rgb="FFFFFF99"/>
      <x:rgbColor rgb="FF99CCFF"/>
      <x:rgbColor rgb="FFF7C1C1"/>
      <x:rgbColor rgb="FFCC99FF"/>
      <x:rgbColor rgb="FFFAC775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173404"/>
      <x:rgbColor rgb="FF412402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d7191590244e6" /><Relationship Type="http://schemas.openxmlformats.org/officeDocument/2006/relationships/theme" Target="/xl/theme/theme1.xml" Id="R29ec3c284f70416d" /><Relationship Type="http://schemas.openxmlformats.org/officeDocument/2006/relationships/sharedStrings" Target="/xl/sharedStrings.xml" Id="Re76e5d0421914510" /><Relationship Type="http://schemas.openxmlformats.org/officeDocument/2006/relationships/worksheet" Target="/xl/worksheets/sheet1.xml" Id="Rd67112930dea4297" /><Relationship Type="http://schemas.openxmlformats.org/officeDocument/2006/relationships/worksheet" Target="/xl/worksheets/sheet2.xml" Id="R28d1f75f447a4b3a" /><Relationship Type="http://schemas.openxmlformats.org/officeDocument/2006/relationships/worksheet" Target="/xl/worksheets/sheet3.xml" Id="Rc5b0f135395f45b8" /><Relationship Type="http://schemas.openxmlformats.org/officeDocument/2006/relationships/worksheet" Target="/xl/worksheets/sheet4.xml" Id="R2141692cbea14dec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4.25"/>
  <x:cols>
    <x:col min="1" max="1" width="115" customWidth="1"/>
  </x:cols>
  <x:sheetData>
    <x:row r="1" ht="17.649999618530273">
      <x:c r="A1" s="1" t="s">
        <x:v>0</x:v>
      </x:c>
    </x:row>
    <x:row r="3" ht="30" customHeight="1">
      <x:c r="A3" s="2" t="s">
        <x:v>1</x:v>
      </x:c>
    </x:row>
    <x:row r="4" ht="30" customHeight="1">
      <x:c r="A4" s="2" t="s">
        <x:v>2</x:v>
      </x:c>
    </x:row>
    <x:row r="5" ht="30" customHeight="1">
      <x:c r="A5" s="2" t="s">
        <x:v>3</x:v>
      </x:c>
    </x:row>
    <x:row r="6" ht="30" customHeight="1">
      <x:c r="A6" s="2" t="s">
        <x:v>4</x:v>
      </x:c>
    </x:row>
    <x:row r="7" ht="30" customHeight="1">
      <x:c r="A7" s="2" t="s">
        <x:v>5</x:v>
      </x:c>
    </x:row>
    <x:row r="8" ht="30" customHeight="1">
      <x:c r="A8" s="2" t="s">
        <x:v>6</x:v>
      </x:c>
    </x:row>
    <x:row r="9" ht="30" customHeight="1">
      <x:c r="A9" s="2" t="s">
        <x:v>7</x:v>
      </x:c>
    </x:row>
    <x:row r="10" ht="30" customHeight="1">
      <x:c r="A10" s="2" t="s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3046875" defaultRowHeight="14.25"/>
  <x:cols>
    <x:col min="2" max="2" width="16" customWidth="1"/>
    <x:col min="3" max="3" width="22.265625" customWidth="1"/>
    <x:col min="4" max="4" width="21.73046875" customWidth="1"/>
    <x:col min="5" max="5" width="12" customWidth="1"/>
    <x:col min="6" max="6" width="26" customWidth="1"/>
    <x:col min="7" max="7" width="16" customWidth="1"/>
    <x:col min="8" max="9" width="15" customWidth="1"/>
  </x:cols>
  <x:sheetData>
    <x:row r="1">
      <x:c r="A1" t="s">
        <x:v>9</x:v>
      </x:c>
      <x:c r="B1" s="3" t="s">
        <x:v>10</x:v>
      </x:c>
      <x:c r="C1" s="3" t="s">
        <x:v>11</x:v>
      </x:c>
      <x:c r="D1" s="3" t="s">
        <x:v>12</x:v>
      </x:c>
      <x:c r="E1" s="3" t="s">
        <x:v>13</x:v>
      </x:c>
      <x:c r="F1" s="3" t="s">
        <x:v>14</x:v>
      </x:c>
      <x:c r="G1" s="3" t="s">
        <x:v>15</x:v>
      </x:c>
      <x:c r="H1" s="3" t="s">
        <x:v>16</x:v>
      </x:c>
      <x:c r="I1" s="3" t="s">
        <x:v>17</x:v>
      </x:c>
    </x:row>
    <x:row r="2">
      <x:c r="A2" t="s">
        <x:v>18</x:v>
      </x:c>
      <x:c r="B2" s="4" t="s">
        <x:v>19</x:v>
      </x:c>
      <x:c r="C2" s="4" t="s">
        <x:v>19</x:v>
      </x:c>
      <x:c r="D2" s="4" t="s">
        <x:v>20</x:v>
      </x:c>
      <x:c r="E2" s="6" t="s">
        <x:v>21</x:v>
      </x:c>
      <x:c r="F2" s="4" t="s">
        <x:v>22</x:v>
      </x:c>
      <x:c r="G2" s="19" t="n">
        <x:f>SUMIFS('المرجع'!$C$2:$C$19,'المرجع'!$A$2:$A$19,$E2,'المرجع'!$B$2:$B$19,$F2)</x:f>
        <x:v>25</x:v>
      </x:c>
      <x:c r="H2" s="18" t="n">
        <x:v>98</x:v>
      </x:c>
      <x:c r="I2" s="20" t="n">
        <x:f>G2*H2/100</x:f>
        <x:v>24.5</x:v>
      </x:c>
    </x:row>
    <x:row r="3">
      <x:c r="A3" t="s">
        <x:v>23</x:v>
      </x:c>
      <x:c r="B3" s="4" t="s">
        <x:v>19</x:v>
      </x:c>
      <x:c r="C3" s="4" t="s">
        <x:v>19</x:v>
      </x:c>
      <x:c r="D3" s="4" t="s">
        <x:v>20</x:v>
      </x:c>
      <x:c r="E3" s="6" t="s">
        <x:v>21</x:v>
      </x:c>
      <x:c r="F3" s="4" t="s">
        <x:v>24</x:v>
      </x:c>
      <x:c r="G3" s="19" t="n">
        <x:f>SUMIFS('المرجع'!$C$2:$C$19,'المرجع'!$A$2:$A$19,$E3,'المرجع'!$B$2:$B$19,$F3)</x:f>
        <x:v>15</x:v>
      </x:c>
      <x:c r="H3" s="18" t="n">
        <x:v>81</x:v>
      </x:c>
      <x:c r="I3" s="20" t="n">
        <x:f t="shared" ref="I3:I65" si="0">G3*H3/100</x:f>
        <x:v>12.15</x:v>
      </x:c>
    </x:row>
    <x:row r="4">
      <x:c r="A4" t="s">
        <x:v>25</x:v>
      </x:c>
      <x:c r="B4" s="4" t="s">
        <x:v>19</x:v>
      </x:c>
      <x:c r="C4" s="4" t="s">
        <x:v>19</x:v>
      </x:c>
      <x:c r="D4" s="4" t="s">
        <x:v>20</x:v>
      </x:c>
      <x:c r="E4" s="6" t="s">
        <x:v>21</x:v>
      </x:c>
      <x:c r="F4" s="4" t="s">
        <x:v>26</x:v>
      </x:c>
      <x:c r="G4" s="19" t="n">
        <x:f>SUMIFS('المرجع'!$C$2:$C$19,'المرجع'!$A$2:$A$19,$E4,'المرجع'!$B$2:$B$19,$F4)</x:f>
        <x:v>15</x:v>
      </x:c>
      <x:c r="H4" s="18" t="n">
        <x:v>78</x:v>
      </x:c>
      <x:c r="I4" s="20" t="n">
        <x:f t="shared" si="0">G4*H4/100</x:f>
        <x:v>11.7</x:v>
      </x:c>
    </x:row>
    <x:row r="5">
      <x:c r="A5" t="s">
        <x:v>27</x:v>
      </x:c>
      <x:c r="B5" s="4" t="s">
        <x:v>19</x:v>
      </x:c>
      <x:c r="C5" s="4" t="s">
        <x:v>19</x:v>
      </x:c>
      <x:c r="D5" s="4" t="s">
        <x:v>20</x:v>
      </x:c>
      <x:c r="E5" s="6" t="s">
        <x:v>21</x:v>
      </x:c>
      <x:c r="F5" s="4" t="s">
        <x:v>28</x:v>
      </x:c>
      <x:c r="G5" s="19" t="n">
        <x:f>SUMIFS('المرجع'!$C$2:$C$19,'المرجع'!$A$2:$A$19,$E5,'المرجع'!$B$2:$B$19,$F5)</x:f>
        <x:v>20</x:v>
      </x:c>
      <x:c r="H5" s="18" t="n">
        <x:v>86</x:v>
      </x:c>
      <x:c r="I5" s="20" t="n">
        <x:f t="shared" si="0">G5*H5/100</x:f>
        <x:v>17.2</x:v>
      </x:c>
    </x:row>
    <x:row r="6">
      <x:c r="A6" t="s">
        <x:v>29</x:v>
      </x:c>
      <x:c r="B6" s="4" t="s">
        <x:v>19</x:v>
      </x:c>
      <x:c r="C6" s="4" t="s">
        <x:v>19</x:v>
      </x:c>
      <x:c r="D6" s="4" t="s">
        <x:v>20</x:v>
      </x:c>
      <x:c r="E6" s="6" t="s">
        <x:v>21</x:v>
      </x:c>
      <x:c r="F6" s="4" t="s">
        <x:v>30</x:v>
      </x:c>
      <x:c r="G6" s="19" t="n">
        <x:f>SUMIFS('المرجع'!$C$2:$C$19,'المرجع'!$A$2:$A$19,$E6,'المرجع'!$B$2:$B$19,$F6)</x:f>
        <x:v>20</x:v>
      </x:c>
      <x:c r="H6" s="18" t="n">
        <x:v>85</x:v>
      </x:c>
      <x:c r="I6" s="20" t="n">
        <x:f t="shared" si="0">G6*H6/100</x:f>
        <x:v>17</x:v>
      </x:c>
    </x:row>
    <x:row r="7">
      <x:c r="A7" t="s">
        <x:v>31</x:v>
      </x:c>
      <x:c r="B7" s="4" t="s">
        <x:v>19</x:v>
      </x:c>
      <x:c r="C7" s="4" t="s">
        <x:v>19</x:v>
      </x:c>
      <x:c r="D7" s="4" t="s">
        <x:v>20</x:v>
      </x:c>
      <x:c r="E7" s="6" t="s">
        <x:v>21</x:v>
      </x:c>
      <x:c r="F7" s="4" t="s">
        <x:v>32</x:v>
      </x:c>
      <x:c r="G7" s="19" t="n">
        <x:f>SUMIFS('المرجع'!$C$2:$C$19,'المرجع'!$A$2:$A$19,$E7,'المرجع'!$B$2:$B$19,$F7)</x:f>
        <x:v>5</x:v>
      </x:c>
      <x:c r="H7" s="18" t="n">
        <x:v>85</x:v>
      </x:c>
      <x:c r="I7" s="20" t="n">
        <x:f t="shared" si="0">G7*H7/100</x:f>
        <x:v>4.25</x:v>
      </x:c>
    </x:row>
    <x:row r="8">
      <x:c r="A8" t="s">
        <x:v>33</x:v>
      </x:c>
      <x:c r="B8" s="4" t="s">
        <x:v>19</x:v>
      </x:c>
      <x:c r="C8" s="4" t="s">
        <x:v>19</x:v>
      </x:c>
      <x:c r="D8" s="4" t="s">
        <x:v>20</x:v>
      </x:c>
      <x:c r="E8" s="6" t="s">
        <x:v>34</x:v>
      </x:c>
      <x:c r="F8" s="4" t="s">
        <x:v>22</x:v>
      </x:c>
      <x:c r="G8" s="19" t="n">
        <x:f>SUMIFS('المرجع'!$C$2:$C$19,'المرجع'!$A$2:$A$19,$E8,'المرجع'!$B$2:$B$19,$F8)</x:f>
        <x:v>15</x:v>
      </x:c>
      <x:c r="H8" s="18" t="n">
        <x:v>53</x:v>
      </x:c>
      <x:c r="I8" s="20" t="n">
        <x:f t="shared" si="0">G8*H8/100</x:f>
        <x:v>7.95</x:v>
      </x:c>
    </x:row>
    <x:row r="9">
      <x:c r="A9" t="s">
        <x:v>35</x:v>
      </x:c>
      <x:c r="B9" s="4" t="s">
        <x:v>19</x:v>
      </x:c>
      <x:c r="C9" s="4" t="s">
        <x:v>19</x:v>
      </x:c>
      <x:c r="D9" s="4" t="s">
        <x:v>20</x:v>
      </x:c>
      <x:c r="E9" s="6" t="s">
        <x:v>34</x:v>
      </x:c>
      <x:c r="F9" s="4" t="s">
        <x:v>24</x:v>
      </x:c>
      <x:c r="G9" s="19" t="n">
        <x:f>SUMIFS('المرجع'!$C$2:$C$19,'المرجع'!$A$2:$A$19,$E9,'المرجع'!$B$2:$B$19,$F9)</x:f>
        <x:v>15</x:v>
      </x:c>
      <x:c r="H9" s="18" t="n">
        <x:v>51</x:v>
      </x:c>
      <x:c r="I9" s="20" t="n">
        <x:f t="shared" si="0">G9*H9/100</x:f>
        <x:v>7.65</x:v>
      </x:c>
    </x:row>
    <x:row r="10">
      <x:c r="A10" t="s">
        <x:v>36</x:v>
      </x:c>
      <x:c r="B10" s="4" t="s">
        <x:v>19</x:v>
      </x:c>
      <x:c r="C10" s="4" t="s">
        <x:v>19</x:v>
      </x:c>
      <x:c r="D10" s="4" t="s">
        <x:v>20</x:v>
      </x:c>
      <x:c r="E10" s="6" t="s">
        <x:v>34</x:v>
      </x:c>
      <x:c r="F10" s="4" t="s">
        <x:v>26</x:v>
      </x:c>
      <x:c r="G10" s="19" t="n">
        <x:f>SUMIFS('المرجع'!$C$2:$C$19,'المرجع'!$A$2:$A$19,$E10,'المرجع'!$B$2:$B$19,$F10)</x:f>
        <x:v>15</x:v>
      </x:c>
      <x:c r="H10" s="18" t="n">
        <x:v>79</x:v>
      </x:c>
      <x:c r="I10" s="20" t="n">
        <x:f t="shared" si="0">G10*H10/100</x:f>
        <x:v>11.85</x:v>
      </x:c>
    </x:row>
    <x:row r="11">
      <x:c r="A11" t="s">
        <x:v>37</x:v>
      </x:c>
      <x:c r="B11" s="4" t="s">
        <x:v>19</x:v>
      </x:c>
      <x:c r="C11" s="4" t="s">
        <x:v>19</x:v>
      </x:c>
      <x:c r="D11" s="4" t="s">
        <x:v>20</x:v>
      </x:c>
      <x:c r="E11" s="6" t="s">
        <x:v>34</x:v>
      </x:c>
      <x:c r="F11" s="4" t="s">
        <x:v>28</x:v>
      </x:c>
      <x:c r="G11" s="19" t="n">
        <x:f>SUMIFS('المرجع'!$C$2:$C$19,'المرجع'!$A$2:$A$19,$E11,'المرجع'!$B$2:$B$19,$F11)</x:f>
        <x:v>20</x:v>
      </x:c>
      <x:c r="H11" s="18" t="n">
        <x:v>50</x:v>
      </x:c>
      <x:c r="I11" s="20" t="n">
        <x:f t="shared" si="0">G11*H11/100</x:f>
        <x:v>10</x:v>
      </x:c>
    </x:row>
    <x:row r="12">
      <x:c r="A12" t="s">
        <x:v>38</x:v>
      </x:c>
      <x:c r="B12" s="4" t="s">
        <x:v>19</x:v>
      </x:c>
      <x:c r="C12" s="4" t="s">
        <x:v>19</x:v>
      </x:c>
      <x:c r="D12" s="4" t="s">
        <x:v>20</x:v>
      </x:c>
      <x:c r="E12" s="6" t="s">
        <x:v>34</x:v>
      </x:c>
      <x:c r="F12" s="4" t="s">
        <x:v>30</x:v>
      </x:c>
      <x:c r="G12" s="19" t="n">
        <x:f>SUMIFS('المرجع'!$C$2:$C$19,'المرجع'!$A$2:$A$19,$E12,'المرجع'!$B$2:$B$19,$F12)</x:f>
        <x:v>25</x:v>
      </x:c>
      <x:c r="H12" s="18" t="n">
        <x:v>82</x:v>
      </x:c>
      <x:c r="I12" s="20" t="n">
        <x:f t="shared" si="0">G12*H12/100</x:f>
        <x:v>20.5</x:v>
      </x:c>
    </x:row>
    <x:row r="13">
      <x:c r="A13" t="s">
        <x:v>39</x:v>
      </x:c>
      <x:c r="B13" s="4" t="s">
        <x:v>19</x:v>
      </x:c>
      <x:c r="C13" s="4" t="s">
        <x:v>19</x:v>
      </x:c>
      <x:c r="D13" s="4" t="s">
        <x:v>20</x:v>
      </x:c>
      <x:c r="E13" s="6" t="s">
        <x:v>34</x:v>
      </x:c>
      <x:c r="F13" s="4" t="s">
        <x:v>32</x:v>
      </x:c>
      <x:c r="G13" s="19" t="n">
        <x:f>SUMIFS('المرجع'!$C$2:$C$19,'المرجع'!$A$2:$A$19,$E13,'المرجع'!$B$2:$B$19,$F13)</x:f>
        <x:v>5</x:v>
      </x:c>
      <x:c r="H13" s="18" t="n">
        <x:v>72</x:v>
      </x:c>
      <x:c r="I13" s="20" t="n">
        <x:f t="shared" si="0">G13*H13/100</x:f>
        <x:v>3.6</x:v>
      </x:c>
    </x:row>
    <x:row r="14">
      <x:c r="A14" t="s">
        <x:v>40</x:v>
      </x:c>
      <x:c r="B14" s="4" t="s">
        <x:v>19</x:v>
      </x:c>
      <x:c r="C14" s="4" t="s">
        <x:v>19</x:v>
      </x:c>
      <x:c r="D14" s="4" t="s">
        <x:v>20</x:v>
      </x:c>
      <x:c r="E14" s="6" t="s">
        <x:v>34</x:v>
      </x:c>
      <x:c r="F14" s="4" t="s">
        <x:v>41</x:v>
      </x:c>
      <x:c r="G14" s="19" t="n">
        <x:f>SUMIFS('المرجع'!$C$2:$C$19,'المرجع'!$A$2:$A$19,$E14,'المرجع'!$B$2:$B$19,$F14)</x:f>
        <x:v>5</x:v>
      </x:c>
      <x:c r="H14" s="18" t="n">
        <x:v>47</x:v>
      </x:c>
      <x:c r="I14" s="20" t="n">
        <x:f t="shared" si="0">G14*H14/100</x:f>
        <x:v>2.35</x:v>
      </x:c>
    </x:row>
    <x:row r="15">
      <x:c r="A15" t="s">
        <x:v>42</x:v>
      </x:c>
      <x:c r="B15" s="4" t="s">
        <x:v>19</x:v>
      </x:c>
      <x:c r="C15" s="4" t="s">
        <x:v>19</x:v>
      </x:c>
      <x:c r="D15" s="4" t="s">
        <x:v>20</x:v>
      </x:c>
      <x:c r="E15" s="6" t="s">
        <x:v>43</x:v>
      </x:c>
      <x:c r="F15" s="4" t="s">
        <x:v>24</x:v>
      </x:c>
      <x:c r="G15" s="19" t="n">
        <x:f>SUMIFS('المرجع'!$C$2:$C$19,'المرجع'!$A$2:$A$19,$E15,'المرجع'!$B$2:$B$19,$F15)</x:f>
        <x:v>25</x:v>
      </x:c>
      <x:c r="H15" s="18" t="n">
        <x:v>25</x:v>
      </x:c>
      <x:c r="I15" s="20" t="n">
        <x:f t="shared" si="0">G15*H15/100</x:f>
        <x:v>6.25</x:v>
      </x:c>
    </x:row>
    <x:row r="16">
      <x:c r="A16" t="s">
        <x:v>44</x:v>
      </x:c>
      <x:c r="B16" s="4" t="s">
        <x:v>19</x:v>
      </x:c>
      <x:c r="C16" s="4" t="s">
        <x:v>19</x:v>
      </x:c>
      <x:c r="D16" s="4" t="s">
        <x:v>20</x:v>
      </x:c>
      <x:c r="E16" s="6" t="s">
        <x:v>43</x:v>
      </x:c>
      <x:c r="F16" s="4" t="s">
        <x:v>26</x:v>
      </x:c>
      <x:c r="G16" s="19" t="n">
        <x:f>SUMIFS('المرجع'!$C$2:$C$19,'المرجع'!$A$2:$A$19,$E16,'المرجع'!$B$2:$B$19,$F16)</x:f>
        <x:v>15</x:v>
      </x:c>
      <x:c r="H16" s="18" t="n">
        <x:v>29</x:v>
      </x:c>
      <x:c r="I16" s="20" t="n">
        <x:f t="shared" si="0">G16*H16/100</x:f>
        <x:v>4.35</x:v>
      </x:c>
    </x:row>
    <x:row r="17">
      <x:c r="A17" t="s">
        <x:v>45</x:v>
      </x:c>
      <x:c r="B17" s="4" t="s">
        <x:v>19</x:v>
      </x:c>
      <x:c r="C17" s="4" t="s">
        <x:v>19</x:v>
      </x:c>
      <x:c r="D17" s="4" t="s">
        <x:v>20</x:v>
      </x:c>
      <x:c r="E17" s="6" t="s">
        <x:v>43</x:v>
      </x:c>
      <x:c r="F17" s="4" t="s">
        <x:v>30</x:v>
      </x:c>
      <x:c r="G17" s="19" t="n">
        <x:f>SUMIFS('المرجع'!$C$2:$C$19,'المرجع'!$A$2:$A$19,$E17,'المرجع'!$B$2:$B$19,$F17)</x:f>
        <x:v>15</x:v>
      </x:c>
      <x:c r="H17" s="18" t="n">
        <x:v>37</x:v>
      </x:c>
      <x:c r="I17" s="20" t="n">
        <x:f t="shared" si="0">G17*H17/100</x:f>
        <x:v>5.55</x:v>
      </x:c>
    </x:row>
    <x:row r="18">
      <x:c r="A18" t="s">
        <x:v>46</x:v>
      </x:c>
      <x:c r="B18" s="4" t="s">
        <x:v>19</x:v>
      </x:c>
      <x:c r="C18" s="4" t="s">
        <x:v>19</x:v>
      </x:c>
      <x:c r="D18" s="4" t="s">
        <x:v>20</x:v>
      </x:c>
      <x:c r="E18" s="6" t="s">
        <x:v>43</x:v>
      </x:c>
      <x:c r="F18" s="4" t="s">
        <x:v>32</x:v>
      </x:c>
      <x:c r="G18" s="19" t="n">
        <x:f>SUMIFS('المرجع'!$C$2:$C$19,'المرجع'!$A$2:$A$19,$E18,'المرجع'!$B$2:$B$19,$F18)</x:f>
        <x:v>15</x:v>
      </x:c>
      <x:c r="H18" s="18" t="n">
        <x:v>38</x:v>
      </x:c>
      <x:c r="I18" s="20" t="n">
        <x:f t="shared" si="0">G18*H18/100</x:f>
        <x:v>5.7</x:v>
      </x:c>
    </x:row>
    <x:row r="19">
      <x:c r="A19" t="s">
        <x:v>47</x:v>
      </x:c>
      <x:c r="B19" s="4" t="s">
        <x:v>19</x:v>
      </x:c>
      <x:c r="C19" s="4" t="s">
        <x:v>19</x:v>
      </x:c>
      <x:c r="D19" s="4" t="s">
        <x:v>20</x:v>
      </x:c>
      <x:c r="E19" s="6" t="s">
        <x:v>43</x:v>
      </x:c>
      <x:c r="F19" s="4" t="s">
        <x:v>48</x:v>
      </x:c>
      <x:c r="G19" s="19" t="n">
        <x:f>SUMIFS('المرجع'!$C$2:$C$19,'المرجع'!$A$2:$A$19,$E19,'المرجع'!$B$2:$B$19,$F19)</x:f>
        <x:v>30</x:v>
      </x:c>
      <x:c r="H19" s="18" t="n">
        <x:v>56</x:v>
      </x:c>
      <x:c r="I19" s="20" t="n">
        <x:f t="shared" si="0">G19*H19/100</x:f>
        <x:v>16.8</x:v>
      </x:c>
    </x:row>
    <x:row r="20">
      <x:c r="A20" t="s">
        <x:v>49</x:v>
      </x:c>
      <x:c r="B20" s="4" t="s">
        <x:v>19</x:v>
      </x:c>
      <x:c r="C20" s="4" t="s">
        <x:v>19</x:v>
      </x:c>
      <x:c r="D20" s="4" t="s">
        <x:v>50</x:v>
      </x:c>
      <x:c r="E20" s="6" t="s">
        <x:v>21</x:v>
      </x:c>
      <x:c r="F20" s="4" t="s">
        <x:v>22</x:v>
      </x:c>
      <x:c r="G20" s="19" t="n">
        <x:f>SUMIFS('المرجع'!$C$2:$C$19,'المرجع'!$A$2:$A$19,$E20,'المرجع'!$B$2:$B$19,$F20)</x:f>
        <x:v>25</x:v>
      </x:c>
      <x:c r="H20" s="18" t="n">
        <x:v>98</x:v>
      </x:c>
      <x:c r="I20" s="20" t="n">
        <x:f t="shared" ref="I20:I37" si="1">G20*H20/100</x:f>
        <x:v>24.5</x:v>
      </x:c>
    </x:row>
    <x:row r="21">
      <x:c r="A21" t="s">
        <x:v>51</x:v>
      </x:c>
      <x:c r="B21" s="4" t="s">
        <x:v>19</x:v>
      </x:c>
      <x:c r="C21" s="4" t="s">
        <x:v>19</x:v>
      </x:c>
      <x:c r="D21" s="4" t="s">
        <x:v>50</x:v>
      </x:c>
      <x:c r="E21" s="6" t="s">
        <x:v>21</x:v>
      </x:c>
      <x:c r="F21" s="4" t="s">
        <x:v>24</x:v>
      </x:c>
      <x:c r="G21" s="19" t="n">
        <x:f>SUMIFS('المرجع'!$C$2:$C$19,'المرجع'!$A$2:$A$19,$E21,'المرجع'!$B$2:$B$19,$F21)</x:f>
        <x:v>15</x:v>
      </x:c>
      <x:c r="H21" s="18" t="n">
        <x:v>81</x:v>
      </x:c>
      <x:c r="I21" s="20" t="n">
        <x:f t="shared" si="1">G21*H21/100</x:f>
        <x:v>12.15</x:v>
      </x:c>
    </x:row>
    <x:row r="22">
      <x:c r="A22" t="s">
        <x:v>52</x:v>
      </x:c>
      <x:c r="B22" s="4" t="s">
        <x:v>19</x:v>
      </x:c>
      <x:c r="C22" s="4" t="s">
        <x:v>19</x:v>
      </x:c>
      <x:c r="D22" s="4" t="s">
        <x:v>50</x:v>
      </x:c>
      <x:c r="E22" s="6" t="s">
        <x:v>21</x:v>
      </x:c>
      <x:c r="F22" s="4" t="s">
        <x:v>26</x:v>
      </x:c>
      <x:c r="G22" s="19" t="n">
        <x:f>SUMIFS('المرجع'!$C$2:$C$19,'المرجع'!$A$2:$A$19,$E22,'المرجع'!$B$2:$B$19,$F22)</x:f>
        <x:v>15</x:v>
      </x:c>
      <x:c r="H22" s="18" t="n">
        <x:v>78</x:v>
      </x:c>
      <x:c r="I22" s="20" t="n">
        <x:f t="shared" si="1">G22*H22/100</x:f>
        <x:v>11.7</x:v>
      </x:c>
    </x:row>
    <x:row r="23">
      <x:c r="A23" t="s">
        <x:v>53</x:v>
      </x:c>
      <x:c r="B23" s="4" t="s">
        <x:v>19</x:v>
      </x:c>
      <x:c r="C23" s="4" t="s">
        <x:v>19</x:v>
      </x:c>
      <x:c r="D23" s="4" t="s">
        <x:v>50</x:v>
      </x:c>
      <x:c r="E23" s="6" t="s">
        <x:v>21</x:v>
      </x:c>
      <x:c r="F23" s="4" t="s">
        <x:v>28</x:v>
      </x:c>
      <x:c r="G23" s="19" t="n">
        <x:f>SUMIFS('المرجع'!$C$2:$C$19,'المرجع'!$A$2:$A$19,$E23,'المرجع'!$B$2:$B$19,$F23)</x:f>
        <x:v>20</x:v>
      </x:c>
      <x:c r="H23" s="18" t="n">
        <x:v>86</x:v>
      </x:c>
      <x:c r="I23" s="20" t="n">
        <x:f t="shared" si="1">G23*H23/100</x:f>
        <x:v>17.2</x:v>
      </x:c>
    </x:row>
    <x:row r="24">
      <x:c r="A24" t="s">
        <x:v>54</x:v>
      </x:c>
      <x:c r="B24" s="4" t="s">
        <x:v>19</x:v>
      </x:c>
      <x:c r="C24" s="4" t="s">
        <x:v>19</x:v>
      </x:c>
      <x:c r="D24" s="4" t="s">
        <x:v>50</x:v>
      </x:c>
      <x:c r="E24" s="6" t="s">
        <x:v>21</x:v>
      </x:c>
      <x:c r="F24" s="4" t="s">
        <x:v>30</x:v>
      </x:c>
      <x:c r="G24" s="19" t="n">
        <x:f>SUMIFS('المرجع'!$C$2:$C$19,'المرجع'!$A$2:$A$19,$E24,'المرجع'!$B$2:$B$19,$F24)</x:f>
        <x:v>20</x:v>
      </x:c>
      <x:c r="H24" s="18" t="n">
        <x:v>85</x:v>
      </x:c>
      <x:c r="I24" s="20" t="n">
        <x:f t="shared" si="1">G24*H24/100</x:f>
        <x:v>17</x:v>
      </x:c>
    </x:row>
    <x:row r="25">
      <x:c r="A25" t="s">
        <x:v>55</x:v>
      </x:c>
      <x:c r="B25" s="4" t="s">
        <x:v>19</x:v>
      </x:c>
      <x:c r="C25" s="4" t="s">
        <x:v>19</x:v>
      </x:c>
      <x:c r="D25" s="4" t="s">
        <x:v>50</x:v>
      </x:c>
      <x:c r="E25" s="6" t="s">
        <x:v>21</x:v>
      </x:c>
      <x:c r="F25" s="4" t="s">
        <x:v>32</x:v>
      </x:c>
      <x:c r="G25" s="19" t="n">
        <x:f>SUMIFS('المرجع'!$C$2:$C$19,'المرجع'!$A$2:$A$19,$E25,'المرجع'!$B$2:$B$19,$F25)</x:f>
        <x:v>5</x:v>
      </x:c>
      <x:c r="H25" s="18" t="n">
        <x:v>85</x:v>
      </x:c>
      <x:c r="I25" s="20" t="n">
        <x:f t="shared" si="1">G25*H25/100</x:f>
        <x:v>4.25</x:v>
      </x:c>
    </x:row>
    <x:row r="26">
      <x:c r="A26" t="s">
        <x:v>56</x:v>
      </x:c>
      <x:c r="B26" s="4" t="s">
        <x:v>19</x:v>
      </x:c>
      <x:c r="C26" s="4" t="s">
        <x:v>19</x:v>
      </x:c>
      <x:c r="D26" s="4" t="s">
        <x:v>50</x:v>
      </x:c>
      <x:c r="E26" s="6" t="s">
        <x:v>34</x:v>
      </x:c>
      <x:c r="F26" s="4" t="s">
        <x:v>22</x:v>
      </x:c>
      <x:c r="G26" s="19" t="n">
        <x:f>SUMIFS('المرجع'!$C$2:$C$19,'المرجع'!$A$2:$A$19,$E26,'المرجع'!$B$2:$B$19,$F26)</x:f>
        <x:v>15</x:v>
      </x:c>
      <x:c r="H26" s="18" t="n">
        <x:v>53</x:v>
      </x:c>
      <x:c r="I26" s="20" t="n">
        <x:f t="shared" si="1">G26*H26/100</x:f>
        <x:v>7.95</x:v>
      </x:c>
    </x:row>
    <x:row r="27">
      <x:c r="A27" t="s">
        <x:v>57</x:v>
      </x:c>
      <x:c r="B27" s="4" t="s">
        <x:v>19</x:v>
      </x:c>
      <x:c r="C27" s="4" t="s">
        <x:v>19</x:v>
      </x:c>
      <x:c r="D27" s="4" t="s">
        <x:v>50</x:v>
      </x:c>
      <x:c r="E27" s="6" t="s">
        <x:v>34</x:v>
      </x:c>
      <x:c r="F27" s="4" t="s">
        <x:v>24</x:v>
      </x:c>
      <x:c r="G27" s="19" t="n">
        <x:f>SUMIFS('المرجع'!$C$2:$C$19,'المرجع'!$A$2:$A$19,$E27,'المرجع'!$B$2:$B$19,$F27)</x:f>
        <x:v>15</x:v>
      </x:c>
      <x:c r="H27" s="18" t="n">
        <x:v>51</x:v>
      </x:c>
      <x:c r="I27" s="20" t="n">
        <x:f t="shared" si="1">G27*H27/100</x:f>
        <x:v>7.65</x:v>
      </x:c>
    </x:row>
    <x:row r="28">
      <x:c r="A28" t="s">
        <x:v>58</x:v>
      </x:c>
      <x:c r="B28" s="4" t="s">
        <x:v>19</x:v>
      </x:c>
      <x:c r="C28" s="4" t="s">
        <x:v>19</x:v>
      </x:c>
      <x:c r="D28" s="4" t="s">
        <x:v>50</x:v>
      </x:c>
      <x:c r="E28" s="6" t="s">
        <x:v>34</x:v>
      </x:c>
      <x:c r="F28" s="4" t="s">
        <x:v>26</x:v>
      </x:c>
      <x:c r="G28" s="19" t="n">
        <x:f>SUMIFS('المرجع'!$C$2:$C$19,'المرجع'!$A$2:$A$19,$E28,'المرجع'!$B$2:$B$19,$F28)</x:f>
        <x:v>15</x:v>
      </x:c>
      <x:c r="H28" s="18" t="n">
        <x:v>79</x:v>
      </x:c>
      <x:c r="I28" s="20" t="n">
        <x:f t="shared" si="1">G28*H28/100</x:f>
        <x:v>11.85</x:v>
      </x:c>
    </x:row>
    <x:row r="29">
      <x:c r="A29" t="s">
        <x:v>59</x:v>
      </x:c>
      <x:c r="B29" s="4" t="s">
        <x:v>19</x:v>
      </x:c>
      <x:c r="C29" s="4" t="s">
        <x:v>19</x:v>
      </x:c>
      <x:c r="D29" s="4" t="s">
        <x:v>50</x:v>
      </x:c>
      <x:c r="E29" s="6" t="s">
        <x:v>34</x:v>
      </x:c>
      <x:c r="F29" s="4" t="s">
        <x:v>28</x:v>
      </x:c>
      <x:c r="G29" s="19" t="n">
        <x:f>SUMIFS('المرجع'!$C$2:$C$19,'المرجع'!$A$2:$A$19,$E29,'المرجع'!$B$2:$B$19,$F29)</x:f>
        <x:v>20</x:v>
      </x:c>
      <x:c r="H29" s="18" t="n">
        <x:v>50</x:v>
      </x:c>
      <x:c r="I29" s="20" t="n">
        <x:f t="shared" si="1">G29*H29/100</x:f>
        <x:v>10</x:v>
      </x:c>
    </x:row>
    <x:row r="30">
      <x:c r="A30" t="s">
        <x:v>60</x:v>
      </x:c>
      <x:c r="B30" s="4" t="s">
        <x:v>19</x:v>
      </x:c>
      <x:c r="C30" s="4" t="s">
        <x:v>19</x:v>
      </x:c>
      <x:c r="D30" s="4" t="s">
        <x:v>50</x:v>
      </x:c>
      <x:c r="E30" s="6" t="s">
        <x:v>34</x:v>
      </x:c>
      <x:c r="F30" s="4" t="s">
        <x:v>30</x:v>
      </x:c>
      <x:c r="G30" s="19" t="n">
        <x:f>SUMIFS('المرجع'!$C$2:$C$19,'المرجع'!$A$2:$A$19,$E30,'المرجع'!$B$2:$B$19,$F30)</x:f>
        <x:v>25</x:v>
      </x:c>
      <x:c r="H30" s="18" t="n">
        <x:v>82</x:v>
      </x:c>
      <x:c r="I30" s="20" t="n">
        <x:f t="shared" si="1">G30*H30/100</x:f>
        <x:v>20.5</x:v>
      </x:c>
    </x:row>
    <x:row r="31">
      <x:c r="A31" t="s">
        <x:v>61</x:v>
      </x:c>
      <x:c r="B31" s="4" t="s">
        <x:v>19</x:v>
      </x:c>
      <x:c r="C31" s="4" t="s">
        <x:v>19</x:v>
      </x:c>
      <x:c r="D31" s="4" t="s">
        <x:v>50</x:v>
      </x:c>
      <x:c r="E31" s="6" t="s">
        <x:v>34</x:v>
      </x:c>
      <x:c r="F31" s="4" t="s">
        <x:v>32</x:v>
      </x:c>
      <x:c r="G31" s="19" t="n">
        <x:f>SUMIFS('المرجع'!$C$2:$C$19,'المرجع'!$A$2:$A$19,$E31,'المرجع'!$B$2:$B$19,$F31)</x:f>
        <x:v>5</x:v>
      </x:c>
      <x:c r="H31" s="18" t="n">
        <x:v>72</x:v>
      </x:c>
      <x:c r="I31" s="20" t="n">
        <x:f t="shared" si="1">G31*H31/100</x:f>
        <x:v>3.6</x:v>
      </x:c>
    </x:row>
    <x:row r="32">
      <x:c r="A32" t="s">
        <x:v>62</x:v>
      </x:c>
      <x:c r="B32" s="4" t="s">
        <x:v>19</x:v>
      </x:c>
      <x:c r="C32" s="4" t="s">
        <x:v>19</x:v>
      </x:c>
      <x:c r="D32" s="4" t="s">
        <x:v>50</x:v>
      </x:c>
      <x:c r="E32" s="6" t="s">
        <x:v>34</x:v>
      </x:c>
      <x:c r="F32" s="4" t="s">
        <x:v>41</x:v>
      </x:c>
      <x:c r="G32" s="19" t="n">
        <x:f>SUMIFS('المرجع'!$C$2:$C$19,'المرجع'!$A$2:$A$19,$E32,'المرجع'!$B$2:$B$19,$F32)</x:f>
        <x:v>5</x:v>
      </x:c>
      <x:c r="H32" s="18" t="n">
        <x:v>47</x:v>
      </x:c>
      <x:c r="I32" s="20" t="n">
        <x:f t="shared" si="1">G32*H32/100</x:f>
        <x:v>2.35</x:v>
      </x:c>
    </x:row>
    <x:row r="33">
      <x:c r="A33" t="s">
        <x:v>63</x:v>
      </x:c>
      <x:c r="B33" s="4" t="s">
        <x:v>19</x:v>
      </x:c>
      <x:c r="C33" s="4" t="s">
        <x:v>19</x:v>
      </x:c>
      <x:c r="D33" s="4" t="s">
        <x:v>50</x:v>
      </x:c>
      <x:c r="E33" s="6" t="s">
        <x:v>43</x:v>
      </x:c>
      <x:c r="F33" s="4" t="s">
        <x:v>24</x:v>
      </x:c>
      <x:c r="G33" s="19" t="n">
        <x:f>SUMIFS('المرجع'!$C$2:$C$19,'المرجع'!$A$2:$A$19,$E33,'المرجع'!$B$2:$B$19,$F33)</x:f>
        <x:v>25</x:v>
      </x:c>
      <x:c r="H33" s="18" t="n">
        <x:v>25</x:v>
      </x:c>
      <x:c r="I33" s="20" t="n">
        <x:f t="shared" si="1">G33*H33/100</x:f>
        <x:v>6.25</x:v>
      </x:c>
    </x:row>
    <x:row r="34">
      <x:c r="A34" t="s">
        <x:v>64</x:v>
      </x:c>
      <x:c r="B34" s="4" t="s">
        <x:v>19</x:v>
      </x:c>
      <x:c r="C34" s="4" t="s">
        <x:v>19</x:v>
      </x:c>
      <x:c r="D34" s="4" t="s">
        <x:v>50</x:v>
      </x:c>
      <x:c r="E34" s="6" t="s">
        <x:v>43</x:v>
      </x:c>
      <x:c r="F34" s="4" t="s">
        <x:v>26</x:v>
      </x:c>
      <x:c r="G34" s="19" t="n">
        <x:f>SUMIFS('المرجع'!$C$2:$C$19,'المرجع'!$A$2:$A$19,$E34,'المرجع'!$B$2:$B$19,$F34)</x:f>
        <x:v>15</x:v>
      </x:c>
      <x:c r="H34" s="18" t="n">
        <x:v>29</x:v>
      </x:c>
      <x:c r="I34" s="20" t="n">
        <x:f t="shared" si="1">G34*H34/100</x:f>
        <x:v>4.35</x:v>
      </x:c>
    </x:row>
    <x:row r="35">
      <x:c r="A35" t="s">
        <x:v>65</x:v>
      </x:c>
      <x:c r="B35" s="4" t="s">
        <x:v>19</x:v>
      </x:c>
      <x:c r="C35" s="4" t="s">
        <x:v>19</x:v>
      </x:c>
      <x:c r="D35" s="4" t="s">
        <x:v>50</x:v>
      </x:c>
      <x:c r="E35" s="6" t="s">
        <x:v>43</x:v>
      </x:c>
      <x:c r="F35" s="4" t="s">
        <x:v>30</x:v>
      </x:c>
      <x:c r="G35" s="19" t="n">
        <x:f>SUMIFS('المرجع'!$C$2:$C$19,'المرجع'!$A$2:$A$19,$E35,'المرجع'!$B$2:$B$19,$F35)</x:f>
        <x:v>15</x:v>
      </x:c>
      <x:c r="H35" s="18" t="n">
        <x:v>37</x:v>
      </x:c>
      <x:c r="I35" s="20" t="n">
        <x:f t="shared" si="1">G35*H35/100</x:f>
        <x:v>5.55</x:v>
      </x:c>
    </x:row>
    <x:row r="36">
      <x:c r="A36" t="s">
        <x:v>66</x:v>
      </x:c>
      <x:c r="B36" s="4" t="s">
        <x:v>19</x:v>
      </x:c>
      <x:c r="C36" s="4" t="s">
        <x:v>19</x:v>
      </x:c>
      <x:c r="D36" s="4" t="s">
        <x:v>50</x:v>
      </x:c>
      <x:c r="E36" s="6" t="s">
        <x:v>43</x:v>
      </x:c>
      <x:c r="F36" s="4" t="s">
        <x:v>32</x:v>
      </x:c>
      <x:c r="G36" s="19" t="n">
        <x:f>SUMIFS('المرجع'!$C$2:$C$19,'المرجع'!$A$2:$A$19,$E36,'المرجع'!$B$2:$B$19,$F36)</x:f>
        <x:v>15</x:v>
      </x:c>
      <x:c r="H36" s="18" t="n">
        <x:v>38</x:v>
      </x:c>
      <x:c r="I36" s="20" t="n">
        <x:f t="shared" si="1">G36*H36/100</x:f>
        <x:v>5.7</x:v>
      </x:c>
    </x:row>
    <x:row r="37">
      <x:c r="A37" t="s">
        <x:v>67</x:v>
      </x:c>
      <x:c r="B37" s="4" t="s">
        <x:v>19</x:v>
      </x:c>
      <x:c r="C37" s="4" t="s">
        <x:v>19</x:v>
      </x:c>
      <x:c r="D37" s="4" t="s">
        <x:v>50</x:v>
      </x:c>
      <x:c r="E37" s="6" t="s">
        <x:v>43</x:v>
      </x:c>
      <x:c r="F37" s="4" t="s">
        <x:v>48</x:v>
      </x:c>
      <x:c r="G37" s="19" t="n">
        <x:f>SUMIFS('المرجع'!$C$2:$C$19,'المرجع'!$A$2:$A$19,$E37,'المرجع'!$B$2:$B$19,$F37)</x:f>
        <x:v>30</x:v>
      </x:c>
      <x:c r="H37" s="18" t="n">
        <x:v>56</x:v>
      </x:c>
      <x:c r="I37" s="20" t="n">
        <x:f t="shared" si="1">G37*H37/100</x:f>
        <x:v>16.8</x:v>
      </x:c>
    </x:row>
    <x:row r="38">
      <x:c r="A38" t="s">
        <x:v>68</x:v>
      </x:c>
      <x:c r="B38" s="4" t="s">
        <x:v>69</x:v>
      </x:c>
      <x:c r="C38" s="4" t="s">
        <x:v>70</x:v>
      </x:c>
      <x:c r="D38" s="4" t="s">
        <x:v>71</x:v>
      </x:c>
      <x:c r="E38" s="6" t="s">
        <x:v>21</x:v>
      </x:c>
      <x:c r="F38" s="4" t="s">
        <x:v>22</x:v>
      </x:c>
      <x:c r="G38" s="19" t="n">
        <x:f>SUMIFS('المرجع'!$C$2:$C$19,'المرجع'!$A$2:$A$19,$E38,'المرجع'!$B$2:$B$19,$F38)</x:f>
        <x:v>25</x:v>
      </x:c>
      <x:c r="H38" s="18" t="n">
        <x:f ca="1"/>
        <x:v>74.65</x:v>
      </x:c>
      <x:c r="I38" s="20" t="n">
        <x:f ca="1">G38*H38/100</x:f>
        <x:v>18.6625</x:v>
      </x:c>
    </x:row>
    <x:row r="39">
      <x:c r="A39" t="s">
        <x:v>72</x:v>
      </x:c>
      <x:c r="B39" s="4" t="s">
        <x:v>69</x:v>
      </x:c>
      <x:c r="C39" s="4" t="s">
        <x:v>70</x:v>
      </x:c>
      <x:c r="D39" s="4" t="s">
        <x:v>71</x:v>
      </x:c>
      <x:c r="E39" s="6" t="s">
        <x:v>21</x:v>
      </x:c>
      <x:c r="F39" s="4" t="s">
        <x:v>24</x:v>
      </x:c>
      <x:c r="G39" s="19" t="n">
        <x:f>SUMIFS('المرجع'!$C$2:$C$19,'المرجع'!$A$2:$A$19,$E39,'المرجع'!$B$2:$B$19,$F39)</x:f>
        <x:v>15</x:v>
      </x:c>
      <x:c r="H39" s="18" t="n">
        <x:f t="shared" ref="H39:H43" ca="1" si="2">89.99</x:f>
        <x:v>89.99</x:v>
      </x:c>
      <x:c r="I39" s="20" t="n">
        <x:f t="shared" ref="I39:I43" ca="1" si="3">G39*H39/100</x:f>
        <x:v>13.4985</x:v>
      </x:c>
    </x:row>
    <x:row r="40">
      <x:c r="A40" t="s">
        <x:v>73</x:v>
      </x:c>
      <x:c r="B40" s="4" t="s">
        <x:v>69</x:v>
      </x:c>
      <x:c r="C40" s="4" t="s">
        <x:v>70</x:v>
      </x:c>
      <x:c r="D40" s="4" t="s">
        <x:v>71</x:v>
      </x:c>
      <x:c r="E40" s="6" t="s">
        <x:v>21</x:v>
      </x:c>
      <x:c r="F40" s="4" t="s">
        <x:v>26</x:v>
      </x:c>
      <x:c r="G40" s="19" t="n">
        <x:f>SUMIFS('المرجع'!$C$2:$C$19,'المرجع'!$A$2:$A$19,$E40,'المرجع'!$B$2:$B$19,$F40)</x:f>
        <x:v>15</x:v>
      </x:c>
      <x:c r="H40" s="18" t="n">
        <x:f t="shared" ca="1" si="2"/>
        <x:v>90</x:v>
      </x:c>
      <x:c r="I40" s="20" t="n">
        <x:f t="shared" ca="1" si="3">G40*H40/100</x:f>
        <x:v>13.5</x:v>
      </x:c>
    </x:row>
    <x:row r="41">
      <x:c r="A41" t="s">
        <x:v>74</x:v>
      </x:c>
      <x:c r="B41" s="4" t="s">
        <x:v>69</x:v>
      </x:c>
      <x:c r="C41" s="4" t="s">
        <x:v>70</x:v>
      </x:c>
      <x:c r="D41" s="4" t="s">
        <x:v>71</x:v>
      </x:c>
      <x:c r="E41" s="6" t="s">
        <x:v>21</x:v>
      </x:c>
      <x:c r="F41" s="4" t="s">
        <x:v>28</x:v>
      </x:c>
      <x:c r="G41" s="19" t="n">
        <x:f>SUMIFS('المرجع'!$C$2:$C$19,'المرجع'!$A$2:$A$19,$E41,'المرجع'!$B$2:$B$19,$F41)</x:f>
        <x:v>20</x:v>
      </x:c>
      <x:c r="H41" s="18" t="n">
        <x:f t="shared" ca="1" si="2"/>
        <x:v>3.35</x:v>
      </x:c>
      <x:c r="I41" s="20" t="n">
        <x:f t="shared" ca="1" si="3">G41*H41/100</x:f>
        <x:v>0.67</x:v>
      </x:c>
    </x:row>
    <x:row r="42">
      <x:c r="A42" t="s">
        <x:v>75</x:v>
      </x:c>
      <x:c r="B42" s="4" t="s">
        <x:v>69</x:v>
      </x:c>
      <x:c r="C42" s="4" t="s">
        <x:v>70</x:v>
      </x:c>
      <x:c r="D42" s="4" t="s">
        <x:v>71</x:v>
      </x:c>
      <x:c r="E42" s="6" t="s">
        <x:v>21</x:v>
      </x:c>
      <x:c r="F42" s="4" t="s">
        <x:v>30</x:v>
      </x:c>
      <x:c r="G42" s="19" t="n">
        <x:f>SUMIFS('المرجع'!$C$2:$C$19,'المرجع'!$A$2:$A$19,$E42,'المرجع'!$B$2:$B$19,$F42)</x:f>
        <x:v>20</x:v>
      </x:c>
      <x:c r="H42" s="18" t="n">
        <x:f t="shared" ca="1" si="2"/>
        <x:v>14.66</x:v>
      </x:c>
      <x:c r="I42" s="20" t="n">
        <x:f t="shared" ca="1" si="3">G42*H42/100</x:f>
        <x:v>2.932</x:v>
      </x:c>
    </x:row>
    <x:row r="43">
      <x:c r="A43" t="s">
        <x:v>76</x:v>
      </x:c>
      <x:c r="B43" s="4" t="s">
        <x:v>69</x:v>
      </x:c>
      <x:c r="C43" s="4" t="s">
        <x:v>70</x:v>
      </x:c>
      <x:c r="D43" s="4" t="s">
        <x:v>71</x:v>
      </x:c>
      <x:c r="E43" s="6" t="s">
        <x:v>21</x:v>
      </x:c>
      <x:c r="F43" s="4" t="s">
        <x:v>32</x:v>
      </x:c>
      <x:c r="G43" s="19" t="n">
        <x:f>SUMIFS('المرجع'!$C$2:$C$19,'المرجع'!$A$2:$A$19,$E43,'المرجع'!$B$2:$B$19,$F43)</x:f>
        <x:v>5</x:v>
      </x:c>
      <x:c r="H43" s="18" t="n">
        <x:f t="shared" ca="1" si="2"/>
        <x:v>43.09</x:v>
      </x:c>
      <x:c r="I43" s="20" t="n">
        <x:f t="shared" ca="1" si="3">G43*H43/100</x:f>
        <x:v>2.1545</x:v>
      </x:c>
    </x:row>
    <x:row r="44">
      <x:c r="A44" t="s">
        <x:v>77</x:v>
      </x:c>
      <x:c r="B44" s="4" t="s">
        <x:v>69</x:v>
      </x:c>
      <x:c r="C44" s="4" t="s">
        <x:v>70</x:v>
      </x:c>
      <x:c r="D44" s="4" t="s">
        <x:v>71</x:v>
      </x:c>
      <x:c r="E44" s="6" t="s">
        <x:v>34</x:v>
      </x:c>
      <x:c r="F44" s="4" t="s">
        <x:v>22</x:v>
      </x:c>
      <x:c r="G44" s="19" t="n">
        <x:f>SUMIFS('المرجع'!$C$2:$C$19,'المرجع'!$A$2:$A$19,$E44,'المرجع'!$B$2:$B$19,$F44)</x:f>
        <x:v>15</x:v>
      </x:c>
      <x:c r="H44" s="18" t="n">
        <x:v>67</x:v>
      </x:c>
      <x:c r="I44" s="20" t="n">
        <x:f t="shared" si="0">G44*H44/100</x:f>
        <x:v>10.05</x:v>
      </x:c>
    </x:row>
    <x:row r="45">
      <x:c r="A45" t="s">
        <x:v>78</x:v>
      </x:c>
      <x:c r="B45" s="4" t="s">
        <x:v>69</x:v>
      </x:c>
      <x:c r="C45" s="4" t="s">
        <x:v>70</x:v>
      </x:c>
      <x:c r="D45" s="4" t="s">
        <x:v>71</x:v>
      </x:c>
      <x:c r="E45" s="6" t="s">
        <x:v>34</x:v>
      </x:c>
      <x:c r="F45" s="4" t="s">
        <x:v>24</x:v>
      </x:c>
      <x:c r="G45" s="19" t="n">
        <x:f>SUMIFS('المرجع'!$C$2:$C$19,'المرجع'!$A$2:$A$19,$E45,'المرجع'!$B$2:$B$19,$F45)</x:f>
        <x:v>15</x:v>
      </x:c>
      <x:c r="H45" s="18" t="n">
        <x:v>61</x:v>
      </x:c>
      <x:c r="I45" s="20" t="n">
        <x:f t="shared" si="0">G45*H45/100</x:f>
        <x:v>9.15</x:v>
      </x:c>
    </x:row>
    <x:row r="46">
      <x:c r="A46" t="s">
        <x:v>79</x:v>
      </x:c>
      <x:c r="B46" s="4" t="s">
        <x:v>69</x:v>
      </x:c>
      <x:c r="C46" s="4" t="s">
        <x:v>70</x:v>
      </x:c>
      <x:c r="D46" s="4" t="s">
        <x:v>71</x:v>
      </x:c>
      <x:c r="E46" s="6" t="s">
        <x:v>34</x:v>
      </x:c>
      <x:c r="F46" s="4" t="s">
        <x:v>26</x:v>
      </x:c>
      <x:c r="G46" s="19" t="n">
        <x:f>SUMIFS('المرجع'!$C$2:$C$19,'المرجع'!$A$2:$A$19,$E46,'المرجع'!$B$2:$B$19,$F46)</x:f>
        <x:v>15</x:v>
      </x:c>
      <x:c r="H46" s="18" t="n">
        <x:v>47</x:v>
      </x:c>
      <x:c r="I46" s="20" t="n">
        <x:f t="shared" si="0">G46*H46/100</x:f>
        <x:v>7.05</x:v>
      </x:c>
    </x:row>
    <x:row r="47">
      <x:c r="A47" t="s">
        <x:v>80</x:v>
      </x:c>
      <x:c r="B47" s="4" t="s">
        <x:v>69</x:v>
      </x:c>
      <x:c r="C47" s="4" t="s">
        <x:v>70</x:v>
      </x:c>
      <x:c r="D47" s="4" t="s">
        <x:v>71</x:v>
      </x:c>
      <x:c r="E47" s="6" t="s">
        <x:v>34</x:v>
      </x:c>
      <x:c r="F47" s="4" t="s">
        <x:v>28</x:v>
      </x:c>
      <x:c r="G47" s="19" t="n">
        <x:f>SUMIFS('المرجع'!$C$2:$C$19,'المرجع'!$A$2:$A$19,$E47,'المرجع'!$B$2:$B$19,$F47)</x:f>
        <x:v>20</x:v>
      </x:c>
      <x:c r="H47" s="18" t="n">
        <x:v>74</x:v>
      </x:c>
      <x:c r="I47" s="20" t="n">
        <x:f t="shared" si="0">G47*H47/100</x:f>
        <x:v>14.8</x:v>
      </x:c>
    </x:row>
    <x:row r="48">
      <x:c r="A48" t="s">
        <x:v>81</x:v>
      </x:c>
      <x:c r="B48" s="4" t="s">
        <x:v>69</x:v>
      </x:c>
      <x:c r="C48" s="4" t="s">
        <x:v>70</x:v>
      </x:c>
      <x:c r="D48" s="4" t="s">
        <x:v>71</x:v>
      </x:c>
      <x:c r="E48" s="6" t="s">
        <x:v>34</x:v>
      </x:c>
      <x:c r="F48" s="4" t="s">
        <x:v>30</x:v>
      </x:c>
      <x:c r="G48" s="19" t="n">
        <x:f>SUMIFS('المرجع'!$C$2:$C$19,'المرجع'!$A$2:$A$19,$E48,'المرجع'!$B$2:$B$19,$F48)</x:f>
        <x:v>25</x:v>
      </x:c>
      <x:c r="H48" s="18" t="n">
        <x:v>79</x:v>
      </x:c>
      <x:c r="I48" s="20" t="n">
        <x:f t="shared" si="0">G48*H48/100</x:f>
        <x:v>19.75</x:v>
      </x:c>
    </x:row>
    <x:row r="49">
      <x:c r="A49" t="s">
        <x:v>82</x:v>
      </x:c>
      <x:c r="B49" s="4" t="s">
        <x:v>69</x:v>
      </x:c>
      <x:c r="C49" s="4" t="s">
        <x:v>70</x:v>
      </x:c>
      <x:c r="D49" s="4" t="s">
        <x:v>71</x:v>
      </x:c>
      <x:c r="E49" s="6" t="s">
        <x:v>34</x:v>
      </x:c>
      <x:c r="F49" s="4" t="s">
        <x:v>32</x:v>
      </x:c>
      <x:c r="G49" s="19" t="n">
        <x:f>SUMIFS('المرجع'!$C$2:$C$19,'المرجع'!$A$2:$A$19,$E49,'المرجع'!$B$2:$B$19,$F49)</x:f>
        <x:v>5</x:v>
      </x:c>
      <x:c r="H49" s="18" t="n">
        <x:v>52</x:v>
      </x:c>
      <x:c r="I49" s="20" t="n">
        <x:f t="shared" si="0">G49*H49/100</x:f>
        <x:v>2.6</x:v>
      </x:c>
    </x:row>
    <x:row r="50">
      <x:c r="A50" t="s">
        <x:v>83</x:v>
      </x:c>
      <x:c r="B50" s="4" t="s">
        <x:v>69</x:v>
      </x:c>
      <x:c r="C50" s="4" t="s">
        <x:v>70</x:v>
      </x:c>
      <x:c r="D50" s="4" t="s">
        <x:v>71</x:v>
      </x:c>
      <x:c r="E50" s="6" t="s">
        <x:v>34</x:v>
      </x:c>
      <x:c r="F50" s="4" t="s">
        <x:v>41</x:v>
      </x:c>
      <x:c r="G50" s="19" t="n">
        <x:f>SUMIFS('المرجع'!$C$2:$C$19,'المرجع'!$A$2:$A$19,$E50,'المرجع'!$B$2:$B$19,$F50)</x:f>
        <x:v>5</x:v>
      </x:c>
      <x:c r="H50" s="18" t="n">
        <x:v>69</x:v>
      </x:c>
      <x:c r="I50" s="20" t="n">
        <x:f t="shared" si="0">G50*H50/100</x:f>
        <x:v>3.45</x:v>
      </x:c>
    </x:row>
    <x:row r="51">
      <x:c r="A51" t="s">
        <x:v>84</x:v>
      </x:c>
      <x:c r="B51" s="4" t="s">
        <x:v>69</x:v>
      </x:c>
      <x:c r="C51" s="4" t="s">
        <x:v>70</x:v>
      </x:c>
      <x:c r="D51" s="4" t="s">
        <x:v>71</x:v>
      </x:c>
      <x:c r="E51" s="6" t="s">
        <x:v>43</x:v>
      </x:c>
      <x:c r="F51" s="4" t="s">
        <x:v>24</x:v>
      </x:c>
      <x:c r="G51" s="19" t="n">
        <x:f>SUMIFS('المرجع'!$C$2:$C$19,'المرجع'!$A$2:$A$19,$E51,'المرجع'!$B$2:$B$19,$F51)</x:f>
        <x:v>25</x:v>
      </x:c>
      <x:c r="H51" s="18" t="n">
        <x:v>29</x:v>
      </x:c>
      <x:c r="I51" s="20" t="n">
        <x:f t="shared" si="0">G51*H51/100</x:f>
        <x:v>7.25</x:v>
      </x:c>
    </x:row>
    <x:row r="52">
      <x:c r="A52" t="s">
        <x:v>85</x:v>
      </x:c>
      <x:c r="B52" s="4" t="s">
        <x:v>69</x:v>
      </x:c>
      <x:c r="C52" s="4" t="s">
        <x:v>70</x:v>
      </x:c>
      <x:c r="D52" s="4" t="s">
        <x:v>71</x:v>
      </x:c>
      <x:c r="E52" s="6" t="s">
        <x:v>43</x:v>
      </x:c>
      <x:c r="F52" s="4" t="s">
        <x:v>26</x:v>
      </x:c>
      <x:c r="G52" s="19" t="n">
        <x:f>SUMIFS('المرجع'!$C$2:$C$19,'المرجع'!$A$2:$A$19,$E52,'المرجع'!$B$2:$B$19,$F52)</x:f>
        <x:v>15</x:v>
      </x:c>
      <x:c r="H52" s="18" t="n">
        <x:v>59</x:v>
      </x:c>
      <x:c r="I52" s="20" t="n">
        <x:f t="shared" si="0">G52*H52/100</x:f>
        <x:v>8.85</x:v>
      </x:c>
    </x:row>
    <x:row r="53">
      <x:c r="A53" t="s">
        <x:v>86</x:v>
      </x:c>
      <x:c r="B53" s="4" t="s">
        <x:v>69</x:v>
      </x:c>
      <x:c r="C53" s="4" t="s">
        <x:v>70</x:v>
      </x:c>
      <x:c r="D53" s="4" t="s">
        <x:v>71</x:v>
      </x:c>
      <x:c r="E53" s="6" t="s">
        <x:v>43</x:v>
      </x:c>
      <x:c r="F53" s="4" t="s">
        <x:v>30</x:v>
      </x:c>
      <x:c r="G53" s="19" t="n">
        <x:f>SUMIFS('المرجع'!$C$2:$C$19,'المرجع'!$A$2:$A$19,$E53,'المرجع'!$B$2:$B$19,$F53)</x:f>
        <x:v>15</x:v>
      </x:c>
      <x:c r="H53" s="18" t="n">
        <x:v>42</x:v>
      </x:c>
      <x:c r="I53" s="20" t="n">
        <x:f t="shared" si="0">G53*H53/100</x:f>
        <x:v>6.3</x:v>
      </x:c>
    </x:row>
    <x:row r="54">
      <x:c r="A54" t="s">
        <x:v>87</x:v>
      </x:c>
      <x:c r="B54" s="4" t="s">
        <x:v>69</x:v>
      </x:c>
      <x:c r="C54" s="4" t="s">
        <x:v>70</x:v>
      </x:c>
      <x:c r="D54" s="4" t="s">
        <x:v>71</x:v>
      </x:c>
      <x:c r="E54" s="6" t="s">
        <x:v>43</x:v>
      </x:c>
      <x:c r="F54" s="4" t="s">
        <x:v>32</x:v>
      </x:c>
      <x:c r="G54" s="19" t="n">
        <x:f>SUMIFS('المرجع'!$C$2:$C$19,'المرجع'!$A$2:$A$19,$E54,'المرجع'!$B$2:$B$19,$F54)</x:f>
        <x:v>15</x:v>
      </x:c>
      <x:c r="H54" s="18" t="n">
        <x:v>64</x:v>
      </x:c>
      <x:c r="I54" s="20" t="n">
        <x:f t="shared" si="0">G54*H54/100</x:f>
        <x:v>9.6</x:v>
      </x:c>
    </x:row>
    <x:row r="55">
      <x:c r="A55" t="s">
        <x:v>88</x:v>
      </x:c>
      <x:c r="B55" s="4" t="s">
        <x:v>69</x:v>
      </x:c>
      <x:c r="C55" s="4" t="s">
        <x:v>70</x:v>
      </x:c>
      <x:c r="D55" s="4" t="s">
        <x:v>71</x:v>
      </x:c>
      <x:c r="E55" s="6" t="s">
        <x:v>43</x:v>
      </x:c>
      <x:c r="F55" s="4" t="s">
        <x:v>48</x:v>
      </x:c>
      <x:c r="G55" s="19" t="n">
        <x:f>SUMIFS('المرجع'!$C$2:$C$19,'المرجع'!$A$2:$A$19,$E55,'المرجع'!$B$2:$B$19,$F55)</x:f>
        <x:v>30</x:v>
      </x:c>
      <x:c r="H55" s="18" t="n">
        <x:v>63</x:v>
      </x:c>
      <x:c r="I55" s="20" t="n">
        <x:f t="shared" si="0">G55*H55/100</x:f>
        <x:v>18.9</x:v>
      </x:c>
    </x:row>
    <x:row r="56">
      <x:c r="A56" t="s">
        <x:v>89</x:v>
      </x:c>
      <x:c r="B56" s="4" t="s">
        <x:v>69</x:v>
      </x:c>
      <x:c r="C56" s="4" t="s">
        <x:v>70</x:v>
      </x:c>
      <x:c r="D56" s="4" t="s">
        <x:v>90</x:v>
      </x:c>
      <x:c r="E56" s="6" t="s">
        <x:v>21</x:v>
      </x:c>
      <x:c r="F56" s="4" t="s">
        <x:v>22</x:v>
      </x:c>
      <x:c r="G56" s="19" t="n">
        <x:f>SUMIFS('المرجع'!$C$2:$C$19,'المرجع'!$A$2:$A$19,$E56,'المرجع'!$B$2:$B$19,$F56)</x:f>
        <x:v>25</x:v>
      </x:c>
      <x:c r="H56" s="18" t="n">
        <x:f t="shared" ref="H56:H61" ca="1" si="4">25.93</x:f>
        <x:v>25.93</x:v>
      </x:c>
      <x:c r="I56" s="20" t="n">
        <x:f t="shared" ref="I56:I61" ca="1" si="5">G56*H56/100</x:f>
        <x:v>6.4825</x:v>
      </x:c>
    </x:row>
    <x:row r="57">
      <x:c r="A57" t="s">
        <x:v>91</x:v>
      </x:c>
      <x:c r="B57" s="4" t="s">
        <x:v>69</x:v>
      </x:c>
      <x:c r="C57" s="4" t="s">
        <x:v>70</x:v>
      </x:c>
      <x:c r="D57" s="4" t="s">
        <x:v>90</x:v>
      </x:c>
      <x:c r="E57" s="6" t="s">
        <x:v>21</x:v>
      </x:c>
      <x:c r="F57" s="4" t="s">
        <x:v>24</x:v>
      </x:c>
      <x:c r="G57" s="19" t="n">
        <x:f>SUMIFS('المرجع'!$C$2:$C$19,'المرجع'!$A$2:$A$19,$E57,'المرجع'!$B$2:$B$19,$F57)</x:f>
        <x:v>15</x:v>
      </x:c>
      <x:c r="H57" s="18" t="n">
        <x:f t="shared" ca="1" si="4"/>
        <x:v>23.93</x:v>
      </x:c>
      <x:c r="I57" s="20" t="n">
        <x:f t="shared" ca="1" si="5">G57*H57/100</x:f>
        <x:v>3.5894999999999997</x:v>
      </x:c>
    </x:row>
    <x:row r="58">
      <x:c r="A58" t="s">
        <x:v>92</x:v>
      </x:c>
      <x:c r="B58" s="4" t="s">
        <x:v>69</x:v>
      </x:c>
      <x:c r="C58" s="4" t="s">
        <x:v>70</x:v>
      </x:c>
      <x:c r="D58" s="4" t="s">
        <x:v>90</x:v>
      </x:c>
      <x:c r="E58" s="6" t="s">
        <x:v>21</x:v>
      </x:c>
      <x:c r="F58" s="4" t="s">
        <x:v>26</x:v>
      </x:c>
      <x:c r="G58" s="19" t="n">
        <x:f>SUMIFS('المرجع'!$C$2:$C$19,'المرجع'!$A$2:$A$19,$E58,'المرجع'!$B$2:$B$19,$F58)</x:f>
        <x:v>15</x:v>
      </x:c>
      <x:c r="H58" s="18" t="n">
        <x:f t="shared" ca="1" si="4"/>
        <x:v>29.17</x:v>
      </x:c>
      <x:c r="I58" s="20" t="n">
        <x:f t="shared" ca="1" si="5">G58*H58/100</x:f>
        <x:v>4.3755</x:v>
      </x:c>
    </x:row>
    <x:row r="59">
      <x:c r="A59" t="s">
        <x:v>93</x:v>
      </x:c>
      <x:c r="B59" s="4" t="s">
        <x:v>69</x:v>
      </x:c>
      <x:c r="C59" s="4" t="s">
        <x:v>70</x:v>
      </x:c>
      <x:c r="D59" s="4" t="s">
        <x:v>90</x:v>
      </x:c>
      <x:c r="E59" s="6" t="s">
        <x:v>21</x:v>
      </x:c>
      <x:c r="F59" s="4" t="s">
        <x:v>28</x:v>
      </x:c>
      <x:c r="G59" s="19" t="n">
        <x:f>SUMIFS('المرجع'!$C$2:$C$19,'المرجع'!$A$2:$A$19,$E59,'المرجع'!$B$2:$B$19,$F59)</x:f>
        <x:v>20</x:v>
      </x:c>
      <x:c r="H59" s="18" t="n">
        <x:f t="shared" ca="1" si="4"/>
        <x:v>25.33</x:v>
      </x:c>
      <x:c r="I59" s="20" t="n">
        <x:f t="shared" ca="1" si="5">G59*H59/100</x:f>
        <x:v>5.066</x:v>
      </x:c>
    </x:row>
    <x:row r="60">
      <x:c r="A60" t="s">
        <x:v>94</x:v>
      </x:c>
      <x:c r="B60" s="4" t="s">
        <x:v>69</x:v>
      </x:c>
      <x:c r="C60" s="4" t="s">
        <x:v>70</x:v>
      </x:c>
      <x:c r="D60" s="4" t="s">
        <x:v>90</x:v>
      </x:c>
      <x:c r="E60" s="6" t="s">
        <x:v>21</x:v>
      </x:c>
      <x:c r="F60" s="4" t="s">
        <x:v>30</x:v>
      </x:c>
      <x:c r="G60" s="19" t="n">
        <x:f>SUMIFS('المرجع'!$C$2:$C$19,'المرجع'!$A$2:$A$19,$E60,'المرجع'!$B$2:$B$19,$F60)</x:f>
        <x:v>20</x:v>
      </x:c>
      <x:c r="H60" s="18" t="n">
        <x:f t="shared" ca="1" si="4"/>
        <x:v>4.8</x:v>
      </x:c>
      <x:c r="I60" s="20" t="n">
        <x:f t="shared" ca="1" si="5">G60*H60/100</x:f>
        <x:v>0.96</x:v>
      </x:c>
    </x:row>
    <x:row r="61">
      <x:c r="A61" t="s">
        <x:v>95</x:v>
      </x:c>
      <x:c r="B61" s="4" t="s">
        <x:v>69</x:v>
      </x:c>
      <x:c r="C61" s="4" t="s">
        <x:v>70</x:v>
      </x:c>
      <x:c r="D61" s="4" t="s">
        <x:v>90</x:v>
      </x:c>
      <x:c r="E61" s="6" t="s">
        <x:v>21</x:v>
      </x:c>
      <x:c r="F61" s="4" t="s">
        <x:v>32</x:v>
      </x:c>
      <x:c r="G61" s="19" t="n">
        <x:f>SUMIFS('المرجع'!$C$2:$C$19,'المرجع'!$A$2:$A$19,$E61,'المرجع'!$B$2:$B$19,$F61)</x:f>
        <x:v>5</x:v>
      </x:c>
      <x:c r="H61" s="18" t="n">
        <x:f t="shared" ca="1" si="4"/>
        <x:v>33.51</x:v>
      </x:c>
      <x:c r="I61" s="20" t="n">
        <x:f t="shared" ca="1" si="5">G61*H61/100</x:f>
        <x:v>1.6754999999999998</x:v>
      </x:c>
    </x:row>
    <x:row r="62">
      <x:c r="A62" t="s">
        <x:v>96</x:v>
      </x:c>
      <x:c r="B62" s="4" t="s">
        <x:v>69</x:v>
      </x:c>
      <x:c r="C62" s="4" t="s">
        <x:v>70</x:v>
      </x:c>
      <x:c r="D62" s="4" t="s">
        <x:v>90</x:v>
      </x:c>
      <x:c r="E62" s="6" t="s">
        <x:v>34</x:v>
      </x:c>
      <x:c r="F62" s="4" t="s">
        <x:v>22</x:v>
      </x:c>
      <x:c r="G62" s="19" t="n">
        <x:f>SUMIFS('المرجع'!$C$2:$C$19,'المرجع'!$A$2:$A$19,$E62,'المرجع'!$B$2:$B$19,$F62)</x:f>
        <x:v>15</x:v>
      </x:c>
      <x:c r="H62" s="18" t="n">
        <x:v>63</x:v>
      </x:c>
      <x:c r="I62" s="20" t="n">
        <x:f t="shared" si="0">G62*H62/100</x:f>
        <x:v>9.45</x:v>
      </x:c>
    </x:row>
    <x:row r="63">
      <x:c r="A63" t="s">
        <x:v>97</x:v>
      </x:c>
      <x:c r="B63" s="4" t="s">
        <x:v>69</x:v>
      </x:c>
      <x:c r="C63" s="4" t="s">
        <x:v>70</x:v>
      </x:c>
      <x:c r="D63" s="4" t="s">
        <x:v>90</x:v>
      </x:c>
      <x:c r="E63" s="6" t="s">
        <x:v>34</x:v>
      </x:c>
      <x:c r="F63" s="4" t="s">
        <x:v>24</x:v>
      </x:c>
      <x:c r="G63" s="19" t="n">
        <x:f>SUMIFS('المرجع'!$C$2:$C$19,'المرجع'!$A$2:$A$19,$E63,'المرجع'!$B$2:$B$19,$F63)</x:f>
        <x:v>15</x:v>
      </x:c>
      <x:c r="H63" s="18" t="n">
        <x:v>50</x:v>
      </x:c>
      <x:c r="I63" s="20" t="n">
        <x:f t="shared" si="0">G63*H63/100</x:f>
        <x:v>7.5</x:v>
      </x:c>
    </x:row>
    <x:row r="64">
      <x:c r="A64" t="s">
        <x:v>98</x:v>
      </x:c>
      <x:c r="B64" s="4" t="s">
        <x:v>69</x:v>
      </x:c>
      <x:c r="C64" s="4" t="s">
        <x:v>70</x:v>
      </x:c>
      <x:c r="D64" s="4" t="s">
        <x:v>90</x:v>
      </x:c>
      <x:c r="E64" s="6" t="s">
        <x:v>34</x:v>
      </x:c>
      <x:c r="F64" s="4" t="s">
        <x:v>26</x:v>
      </x:c>
      <x:c r="G64" s="19" t="n">
        <x:f>SUMIFS('المرجع'!$C$2:$C$19,'المرجع'!$A$2:$A$19,$E64,'المرجع'!$B$2:$B$19,$F64)</x:f>
        <x:v>15</x:v>
      </x:c>
      <x:c r="H64" s="18" t="n">
        <x:v>59</x:v>
      </x:c>
      <x:c r="I64" s="20" t="n">
        <x:f t="shared" si="0">G64*H64/100</x:f>
        <x:v>8.85</x:v>
      </x:c>
    </x:row>
    <x:row r="65">
      <x:c r="A65" t="s">
        <x:v>99</x:v>
      </x:c>
      <x:c r="B65" s="4" t="s">
        <x:v>69</x:v>
      </x:c>
      <x:c r="C65" s="4" t="s">
        <x:v>70</x:v>
      </x:c>
      <x:c r="D65" s="4" t="s">
        <x:v>90</x:v>
      </x:c>
      <x:c r="E65" s="6" t="s">
        <x:v>34</x:v>
      </x:c>
      <x:c r="F65" s="4" t="s">
        <x:v>28</x:v>
      </x:c>
      <x:c r="G65" s="19" t="n">
        <x:f>SUMIFS('المرجع'!$C$2:$C$19,'المرجع'!$A$2:$A$19,$E65,'المرجع'!$B$2:$B$19,$F65)</x:f>
        <x:v>20</x:v>
      </x:c>
      <x:c r="H65" s="18" t="n">
        <x:v>51</x:v>
      </x:c>
      <x:c r="I65" s="20" t="n">
        <x:f t="shared" si="0">G65*H65/100</x:f>
        <x:v>10.2</x:v>
      </x:c>
    </x:row>
    <x:row r="66">
      <x:c r="A66" t="s">
        <x:v>100</x:v>
      </x:c>
      <x:c r="B66" s="4" t="s">
        <x:v>69</x:v>
      </x:c>
      <x:c r="C66" s="4" t="s">
        <x:v>70</x:v>
      </x:c>
      <x:c r="D66" s="4" t="s">
        <x:v>90</x:v>
      </x:c>
      <x:c r="E66" s="6" t="s">
        <x:v>34</x:v>
      </x:c>
      <x:c r="F66" s="4" t="s">
        <x:v>30</x:v>
      </x:c>
      <x:c r="G66" s="19" t="n">
        <x:f>SUMIFS('المرجع'!$C$2:$C$19,'المرجع'!$A$2:$A$19,$E66,'المرجع'!$B$2:$B$19,$F66)</x:f>
        <x:v>25</x:v>
      </x:c>
      <x:c r="H66" s="18" t="n">
        <x:v>69</x:v>
      </x:c>
      <x:c r="I66" s="20" t="n">
        <x:f t="shared" ref="I66:I127" si="6">G66*H66/100</x:f>
        <x:v>17.25</x:v>
      </x:c>
    </x:row>
    <x:row r="67">
      <x:c r="A67" t="s">
        <x:v>101</x:v>
      </x:c>
      <x:c r="B67" s="4" t="s">
        <x:v>69</x:v>
      </x:c>
      <x:c r="C67" s="4" t="s">
        <x:v>70</x:v>
      </x:c>
      <x:c r="D67" s="4" t="s">
        <x:v>90</x:v>
      </x:c>
      <x:c r="E67" s="6" t="s">
        <x:v>34</x:v>
      </x:c>
      <x:c r="F67" s="4" t="s">
        <x:v>32</x:v>
      </x:c>
      <x:c r="G67" s="19" t="n">
        <x:f>SUMIFS('المرجع'!$C$2:$C$19,'المرجع'!$A$2:$A$19,$E67,'المرجع'!$B$2:$B$19,$F67)</x:f>
        <x:v>5</x:v>
      </x:c>
      <x:c r="H67" s="18" t="n">
        <x:v>62</x:v>
      </x:c>
      <x:c r="I67" s="20" t="n">
        <x:f t="shared" si="6">G67*H67/100</x:f>
        <x:v>3.1</x:v>
      </x:c>
    </x:row>
    <x:row r="68">
      <x:c r="A68" t="s">
        <x:v>102</x:v>
      </x:c>
      <x:c r="B68" s="4" t="s">
        <x:v>69</x:v>
      </x:c>
      <x:c r="C68" s="4" t="s">
        <x:v>70</x:v>
      </x:c>
      <x:c r="D68" s="4" t="s">
        <x:v>90</x:v>
      </x:c>
      <x:c r="E68" s="6" t="s">
        <x:v>34</x:v>
      </x:c>
      <x:c r="F68" s="4" t="s">
        <x:v>41</x:v>
      </x:c>
      <x:c r="G68" s="19" t="n">
        <x:f>SUMIFS('المرجع'!$C$2:$C$19,'المرجع'!$A$2:$A$19,$E68,'المرجع'!$B$2:$B$19,$F68)</x:f>
        <x:v>5</x:v>
      </x:c>
      <x:c r="H68" s="18" t="n">
        <x:v>74</x:v>
      </x:c>
      <x:c r="I68" s="20" t="n">
        <x:f t="shared" si="6">G68*H68/100</x:f>
        <x:v>3.7</x:v>
      </x:c>
    </x:row>
    <x:row r="69">
      <x:c r="A69" t="s">
        <x:v>103</x:v>
      </x:c>
      <x:c r="B69" s="4" t="s">
        <x:v>69</x:v>
      </x:c>
      <x:c r="C69" s="4" t="s">
        <x:v>70</x:v>
      </x:c>
      <x:c r="D69" s="4" t="s">
        <x:v>90</x:v>
      </x:c>
      <x:c r="E69" s="6" t="s">
        <x:v>43</x:v>
      </x:c>
      <x:c r="F69" s="4" t="s">
        <x:v>24</x:v>
      </x:c>
      <x:c r="G69" s="19" t="n">
        <x:f>SUMIFS('المرجع'!$C$2:$C$19,'المرجع'!$A$2:$A$19,$E69,'المرجع'!$B$2:$B$19,$F69)</x:f>
        <x:v>25</x:v>
      </x:c>
      <x:c r="H69" s="18" t="n">
        <x:v>64</x:v>
      </x:c>
      <x:c r="I69" s="20" t="n">
        <x:f t="shared" si="6">G69*H69/100</x:f>
        <x:v>16</x:v>
      </x:c>
    </x:row>
    <x:row r="70">
      <x:c r="A70" t="s">
        <x:v>104</x:v>
      </x:c>
      <x:c r="B70" s="4" t="s">
        <x:v>69</x:v>
      </x:c>
      <x:c r="C70" s="4" t="s">
        <x:v>70</x:v>
      </x:c>
      <x:c r="D70" s="4" t="s">
        <x:v>90</x:v>
      </x:c>
      <x:c r="E70" s="6" t="s">
        <x:v>43</x:v>
      </x:c>
      <x:c r="F70" s="4" t="s">
        <x:v>26</x:v>
      </x:c>
      <x:c r="G70" s="19" t="n">
        <x:f>SUMIFS('المرجع'!$C$2:$C$19,'المرجع'!$A$2:$A$19,$E70,'المرجع'!$B$2:$B$19,$F70)</x:f>
        <x:v>15</x:v>
      </x:c>
      <x:c r="H70" s="18" t="n">
        <x:v>47</x:v>
      </x:c>
      <x:c r="I70" s="20" t="n">
        <x:f t="shared" si="6">G70*H70/100</x:f>
        <x:v>7.05</x:v>
      </x:c>
    </x:row>
    <x:row r="71">
      <x:c r="A71" t="s">
        <x:v>105</x:v>
      </x:c>
      <x:c r="B71" s="4" t="s">
        <x:v>69</x:v>
      </x:c>
      <x:c r="C71" s="4" t="s">
        <x:v>70</x:v>
      </x:c>
      <x:c r="D71" s="4" t="s">
        <x:v>90</x:v>
      </x:c>
      <x:c r="E71" s="6" t="s">
        <x:v>43</x:v>
      </x:c>
      <x:c r="F71" s="4" t="s">
        <x:v>30</x:v>
      </x:c>
      <x:c r="G71" s="19" t="n">
        <x:f>SUMIFS('المرجع'!$C$2:$C$19,'المرجع'!$A$2:$A$19,$E71,'المرجع'!$B$2:$B$19,$F71)</x:f>
        <x:v>15</x:v>
      </x:c>
      <x:c r="H71" s="18" t="n">
        <x:v>34</x:v>
      </x:c>
      <x:c r="I71" s="20" t="n">
        <x:f t="shared" si="6">G71*H71/100</x:f>
        <x:v>5.1</x:v>
      </x:c>
    </x:row>
    <x:row r="72">
      <x:c r="A72" t="s">
        <x:v>106</x:v>
      </x:c>
      <x:c r="B72" s="4" t="s">
        <x:v>69</x:v>
      </x:c>
      <x:c r="C72" s="4" t="s">
        <x:v>70</x:v>
      </x:c>
      <x:c r="D72" s="4" t="s">
        <x:v>90</x:v>
      </x:c>
      <x:c r="E72" s="6" t="s">
        <x:v>43</x:v>
      </x:c>
      <x:c r="F72" s="4" t="s">
        <x:v>32</x:v>
      </x:c>
      <x:c r="G72" s="19" t="n">
        <x:f>SUMIFS('المرجع'!$C$2:$C$19,'المرجع'!$A$2:$A$19,$E72,'المرجع'!$B$2:$B$19,$F72)</x:f>
        <x:v>15</x:v>
      </x:c>
      <x:c r="H72" s="18" t="n">
        <x:v>47</x:v>
      </x:c>
      <x:c r="I72" s="20" t="n">
        <x:f t="shared" si="6">G72*H72/100</x:f>
        <x:v>7.05</x:v>
      </x:c>
    </x:row>
    <x:row r="73">
      <x:c r="A73" t="s">
        <x:v>107</x:v>
      </x:c>
      <x:c r="B73" s="4" t="s">
        <x:v>69</x:v>
      </x:c>
      <x:c r="C73" s="4" t="s">
        <x:v>70</x:v>
      </x:c>
      <x:c r="D73" s="4" t="s">
        <x:v>90</x:v>
      </x:c>
      <x:c r="E73" s="6" t="s">
        <x:v>43</x:v>
      </x:c>
      <x:c r="F73" s="4" t="s">
        <x:v>48</x:v>
      </x:c>
      <x:c r="G73" s="19" t="n">
        <x:f>SUMIFS('المرجع'!$C$2:$C$19,'المرجع'!$A$2:$A$19,$E73,'المرجع'!$B$2:$B$19,$F73)</x:f>
        <x:v>30</x:v>
      </x:c>
      <x:c r="H73" s="18" t="n">
        <x:v>46</x:v>
      </x:c>
      <x:c r="I73" s="20" t="n">
        <x:f t="shared" si="6">G73*H73/100</x:f>
        <x:v>13.8</x:v>
      </x:c>
    </x:row>
    <x:row r="74">
      <x:c r="A74" t="s">
        <x:v>108</x:v>
      </x:c>
      <x:c r="B74" s="4" t="s">
        <x:v>69</x:v>
      </x:c>
      <x:c r="C74" s="4" t="s">
        <x:v>70</x:v>
      </x:c>
      <x:c r="D74" s="4" t="s">
        <x:v>109</x:v>
      </x:c>
      <x:c r="E74" s="6" t="s">
        <x:v>21</x:v>
      </x:c>
      <x:c r="F74" s="4" t="s">
        <x:v>22</x:v>
      </x:c>
      <x:c r="G74" s="19" t="n">
        <x:f>SUMIFS('المرجع'!$C$2:$C$19,'المرجع'!$A$2:$A$19,$E74,'المرجع'!$B$2:$B$19,$F74)</x:f>
        <x:v>25</x:v>
      </x:c>
      <x:c r="H74" s="18" t="n">
        <x:f t="shared" ref="H74:H79" ca="1" si="7">60.26</x:f>
        <x:v>60.26</x:v>
      </x:c>
      <x:c r="I74" s="20" t="n">
        <x:f t="shared" ref="I74:I79" ca="1" si="8">G74*H74/100</x:f>
        <x:v>15.065</x:v>
      </x:c>
    </x:row>
    <x:row r="75">
      <x:c r="A75" t="s">
        <x:v>110</x:v>
      </x:c>
      <x:c r="B75" s="4" t="s">
        <x:v>69</x:v>
      </x:c>
      <x:c r="C75" s="4" t="s">
        <x:v>70</x:v>
      </x:c>
      <x:c r="D75" s="4" t="s">
        <x:v>109</x:v>
      </x:c>
      <x:c r="E75" s="6" t="s">
        <x:v>21</x:v>
      </x:c>
      <x:c r="F75" s="4" t="s">
        <x:v>24</x:v>
      </x:c>
      <x:c r="G75" s="19" t="n">
        <x:f>SUMIFS('المرجع'!$C$2:$C$19,'المرجع'!$A$2:$A$19,$E75,'المرجع'!$B$2:$B$19,$F75)</x:f>
        <x:v>15</x:v>
      </x:c>
      <x:c r="H75" s="18" t="n">
        <x:f t="shared" ca="1" si="7"/>
        <x:v>18.64</x:v>
      </x:c>
      <x:c r="I75" s="20" t="n">
        <x:f t="shared" ca="1" si="8">G75*H75/100</x:f>
        <x:v>2.7960000000000003</x:v>
      </x:c>
    </x:row>
    <x:row r="76">
      <x:c r="A76" t="s">
        <x:v>111</x:v>
      </x:c>
      <x:c r="B76" s="4" t="s">
        <x:v>69</x:v>
      </x:c>
      <x:c r="C76" s="4" t="s">
        <x:v>70</x:v>
      </x:c>
      <x:c r="D76" s="4" t="s">
        <x:v>109</x:v>
      </x:c>
      <x:c r="E76" s="6" t="s">
        <x:v>21</x:v>
      </x:c>
      <x:c r="F76" s="4" t="s">
        <x:v>26</x:v>
      </x:c>
      <x:c r="G76" s="19" t="n">
        <x:f>SUMIFS('المرجع'!$C$2:$C$19,'المرجع'!$A$2:$A$19,$E76,'المرجع'!$B$2:$B$19,$F76)</x:f>
        <x:v>15</x:v>
      </x:c>
      <x:c r="H76" s="18" t="n">
        <x:f t="shared" ca="1" si="7"/>
        <x:v>25.21</x:v>
      </x:c>
      <x:c r="I76" s="20" t="n">
        <x:f t="shared" ca="1" si="8">G76*H76/100</x:f>
        <x:v>3.7815000000000003</x:v>
      </x:c>
    </x:row>
    <x:row r="77">
      <x:c r="A77" t="s">
        <x:v>112</x:v>
      </x:c>
      <x:c r="B77" s="4" t="s">
        <x:v>69</x:v>
      </x:c>
      <x:c r="C77" s="4" t="s">
        <x:v>70</x:v>
      </x:c>
      <x:c r="D77" s="4" t="s">
        <x:v>109</x:v>
      </x:c>
      <x:c r="E77" s="6" t="s">
        <x:v>21</x:v>
      </x:c>
      <x:c r="F77" s="4" t="s">
        <x:v>28</x:v>
      </x:c>
      <x:c r="G77" s="19" t="n">
        <x:f>SUMIFS('المرجع'!$C$2:$C$19,'المرجع'!$A$2:$A$19,$E77,'المرجع'!$B$2:$B$19,$F77)</x:f>
        <x:v>20</x:v>
      </x:c>
      <x:c r="H77" s="18" t="n">
        <x:f t="shared" ca="1" si="7"/>
        <x:v>99.6</x:v>
      </x:c>
      <x:c r="I77" s="20" t="n">
        <x:f t="shared" ca="1" si="8">G77*H77/100</x:f>
        <x:v>19.92</x:v>
      </x:c>
    </x:row>
    <x:row r="78">
      <x:c r="A78" t="s">
        <x:v>113</x:v>
      </x:c>
      <x:c r="B78" s="4" t="s">
        <x:v>69</x:v>
      </x:c>
      <x:c r="C78" s="4" t="s">
        <x:v>70</x:v>
      </x:c>
      <x:c r="D78" s="4" t="s">
        <x:v>109</x:v>
      </x:c>
      <x:c r="E78" s="6" t="s">
        <x:v>21</x:v>
      </x:c>
      <x:c r="F78" s="4" t="s">
        <x:v>30</x:v>
      </x:c>
      <x:c r="G78" s="19" t="n">
        <x:f>SUMIFS('المرجع'!$C$2:$C$19,'المرجع'!$A$2:$A$19,$E78,'المرجع'!$B$2:$B$19,$F78)</x:f>
        <x:v>20</x:v>
      </x:c>
      <x:c r="H78" s="18" t="n">
        <x:f t="shared" ca="1" si="7"/>
        <x:v>91.41</x:v>
      </x:c>
      <x:c r="I78" s="20" t="n">
        <x:f t="shared" ca="1" si="8">G78*H78/100</x:f>
        <x:v>18.281999999999996</x:v>
      </x:c>
    </x:row>
    <x:row r="79">
      <x:c r="A79" t="s">
        <x:v>114</x:v>
      </x:c>
      <x:c r="B79" s="4" t="s">
        <x:v>69</x:v>
      </x:c>
      <x:c r="C79" s="4" t="s">
        <x:v>70</x:v>
      </x:c>
      <x:c r="D79" s="4" t="s">
        <x:v>109</x:v>
      </x:c>
      <x:c r="E79" s="6" t="s">
        <x:v>21</x:v>
      </x:c>
      <x:c r="F79" s="4" t="s">
        <x:v>32</x:v>
      </x:c>
      <x:c r="G79" s="19" t="n">
        <x:f>SUMIFS('المرجع'!$C$2:$C$19,'المرجع'!$A$2:$A$19,$E79,'المرجع'!$B$2:$B$19,$F79)</x:f>
        <x:v>5</x:v>
      </x:c>
      <x:c r="H79" s="18" t="n">
        <x:f t="shared" ca="1" si="7"/>
        <x:v>67.79</x:v>
      </x:c>
      <x:c r="I79" s="20" t="n">
        <x:f t="shared" ca="1" si="8">G79*H79/100</x:f>
        <x:v>3.3895000000000004</x:v>
      </x:c>
    </x:row>
    <x:row r="80">
      <x:c r="A80" t="s">
        <x:v>115</x:v>
      </x:c>
      <x:c r="B80" s="4" t="s">
        <x:v>69</x:v>
      </x:c>
      <x:c r="C80" s="4" t="s">
        <x:v>70</x:v>
      </x:c>
      <x:c r="D80" s="4" t="s">
        <x:v>109</x:v>
      </x:c>
      <x:c r="E80" s="6" t="s">
        <x:v>34</x:v>
      </x:c>
      <x:c r="F80" s="4" t="s">
        <x:v>22</x:v>
      </x:c>
      <x:c r="G80" s="19" t="n">
        <x:f>SUMIFS('المرجع'!$C$2:$C$19,'المرجع'!$A$2:$A$19,$E80,'المرجع'!$B$2:$B$19,$F80)</x:f>
        <x:v>15</x:v>
      </x:c>
      <x:c r="H80" s="18" t="n">
        <x:v>55</x:v>
      </x:c>
      <x:c r="I80" s="20" t="n">
        <x:f t="shared" si="6">G80*H80/100</x:f>
        <x:v>8.25</x:v>
      </x:c>
    </x:row>
    <x:row r="81">
      <x:c r="A81" t="s">
        <x:v>116</x:v>
      </x:c>
      <x:c r="B81" s="4" t="s">
        <x:v>69</x:v>
      </x:c>
      <x:c r="C81" s="4" t="s">
        <x:v>70</x:v>
      </x:c>
      <x:c r="D81" s="4" t="s">
        <x:v>109</x:v>
      </x:c>
      <x:c r="E81" s="6" t="s">
        <x:v>34</x:v>
      </x:c>
      <x:c r="F81" s="4" t="s">
        <x:v>24</x:v>
      </x:c>
      <x:c r="G81" s="19" t="n">
        <x:f>SUMIFS('المرجع'!$C$2:$C$19,'المرجع'!$A$2:$A$19,$E81,'المرجع'!$B$2:$B$19,$F81)</x:f>
        <x:v>15</x:v>
      </x:c>
      <x:c r="H81" s="18" t="n">
        <x:v>79</x:v>
      </x:c>
      <x:c r="I81" s="20" t="n">
        <x:f t="shared" si="6">G81*H81/100</x:f>
        <x:v>11.85</x:v>
      </x:c>
    </x:row>
    <x:row r="82">
      <x:c r="A82" t="s">
        <x:v>117</x:v>
      </x:c>
      <x:c r="B82" s="4" t="s">
        <x:v>69</x:v>
      </x:c>
      <x:c r="C82" s="4" t="s">
        <x:v>70</x:v>
      </x:c>
      <x:c r="D82" s="4" t="s">
        <x:v>109</x:v>
      </x:c>
      <x:c r="E82" s="6" t="s">
        <x:v>34</x:v>
      </x:c>
      <x:c r="F82" s="4" t="s">
        <x:v>26</x:v>
      </x:c>
      <x:c r="G82" s="19" t="n">
        <x:f>SUMIFS('المرجع'!$C$2:$C$19,'المرجع'!$A$2:$A$19,$E82,'المرجع'!$B$2:$B$19,$F82)</x:f>
        <x:v>15</x:v>
      </x:c>
      <x:c r="H82" s="18" t="n">
        <x:v>60</x:v>
      </x:c>
      <x:c r="I82" s="20" t="n">
        <x:f t="shared" si="6">G82*H82/100</x:f>
        <x:v>9</x:v>
      </x:c>
    </x:row>
    <x:row r="83">
      <x:c r="A83" t="s">
        <x:v>118</x:v>
      </x:c>
      <x:c r="B83" s="4" t="s">
        <x:v>69</x:v>
      </x:c>
      <x:c r="C83" s="4" t="s">
        <x:v>70</x:v>
      </x:c>
      <x:c r="D83" s="4" t="s">
        <x:v>109</x:v>
      </x:c>
      <x:c r="E83" s="6" t="s">
        <x:v>34</x:v>
      </x:c>
      <x:c r="F83" s="4" t="s">
        <x:v>28</x:v>
      </x:c>
      <x:c r="G83" s="19" t="n">
        <x:f>SUMIFS('المرجع'!$C$2:$C$19,'المرجع'!$A$2:$A$19,$E83,'المرجع'!$B$2:$B$19,$F83)</x:f>
        <x:v>20</x:v>
      </x:c>
      <x:c r="H83" s="18" t="n">
        <x:v>55</x:v>
      </x:c>
      <x:c r="I83" s="20" t="n">
        <x:f t="shared" si="6">G83*H83/100</x:f>
        <x:v>11</x:v>
      </x:c>
    </x:row>
    <x:row r="84">
      <x:c r="A84" t="s">
        <x:v>119</x:v>
      </x:c>
      <x:c r="B84" s="4" t="s">
        <x:v>69</x:v>
      </x:c>
      <x:c r="C84" s="4" t="s">
        <x:v>70</x:v>
      </x:c>
      <x:c r="D84" s="4" t="s">
        <x:v>109</x:v>
      </x:c>
      <x:c r="E84" s="6" t="s">
        <x:v>34</x:v>
      </x:c>
      <x:c r="F84" s="4" t="s">
        <x:v>30</x:v>
      </x:c>
      <x:c r="G84" s="19" t="n">
        <x:f>SUMIFS('المرجع'!$C$2:$C$19,'المرجع'!$A$2:$A$19,$E84,'المرجع'!$B$2:$B$19,$F84)</x:f>
        <x:v>25</x:v>
      </x:c>
      <x:c r="H84" s="18" t="n">
        <x:v>74</x:v>
      </x:c>
      <x:c r="I84" s="20" t="n">
        <x:f t="shared" si="6">G84*H84/100</x:f>
        <x:v>18.5</x:v>
      </x:c>
    </x:row>
    <x:row r="85">
      <x:c r="A85" t="s">
        <x:v>120</x:v>
      </x:c>
      <x:c r="B85" s="4" t="s">
        <x:v>69</x:v>
      </x:c>
      <x:c r="C85" s="4" t="s">
        <x:v>70</x:v>
      </x:c>
      <x:c r="D85" s="4" t="s">
        <x:v>109</x:v>
      </x:c>
      <x:c r="E85" s="6" t="s">
        <x:v>34</x:v>
      </x:c>
      <x:c r="F85" s="4" t="s">
        <x:v>32</x:v>
      </x:c>
      <x:c r="G85" s="19" t="n">
        <x:f>SUMIFS('المرجع'!$C$2:$C$19,'المرجع'!$A$2:$A$19,$E85,'المرجع'!$B$2:$B$19,$F85)</x:f>
        <x:v>5</x:v>
      </x:c>
      <x:c r="H85" s="18" t="n">
        <x:v>69</x:v>
      </x:c>
      <x:c r="I85" s="20" t="n">
        <x:f t="shared" si="6">G85*H85/100</x:f>
        <x:v>3.45</x:v>
      </x:c>
    </x:row>
    <x:row r="86">
      <x:c r="A86" t="s">
        <x:v>121</x:v>
      </x:c>
      <x:c r="B86" s="4" t="s">
        <x:v>69</x:v>
      </x:c>
      <x:c r="C86" s="4" t="s">
        <x:v>70</x:v>
      </x:c>
      <x:c r="D86" s="4" t="s">
        <x:v>109</x:v>
      </x:c>
      <x:c r="E86" s="6" t="s">
        <x:v>34</x:v>
      </x:c>
      <x:c r="F86" s="4" t="s">
        <x:v>41</x:v>
      </x:c>
      <x:c r="G86" s="19" t="n">
        <x:f>SUMIFS('المرجع'!$C$2:$C$19,'المرجع'!$A$2:$A$19,$E86,'المرجع'!$B$2:$B$19,$F86)</x:f>
        <x:v>5</x:v>
      </x:c>
      <x:c r="H86" s="18" t="n">
        <x:v>62</x:v>
      </x:c>
      <x:c r="I86" s="20" t="n">
        <x:f t="shared" si="6">G86*H86/100</x:f>
        <x:v>3.1</x:v>
      </x:c>
    </x:row>
    <x:row r="87">
      <x:c r="A87" t="s">
        <x:v>122</x:v>
      </x:c>
      <x:c r="B87" s="4" t="s">
        <x:v>69</x:v>
      </x:c>
      <x:c r="C87" s="4" t="s">
        <x:v>70</x:v>
      </x:c>
      <x:c r="D87" s="4" t="s">
        <x:v>109</x:v>
      </x:c>
      <x:c r="E87" s="6" t="s">
        <x:v>43</x:v>
      </x:c>
      <x:c r="F87" s="4" t="s">
        <x:v>24</x:v>
      </x:c>
      <x:c r="G87" s="19" t="n">
        <x:f>SUMIFS('المرجع'!$C$2:$C$19,'المرجع'!$A$2:$A$19,$E87,'المرجع'!$B$2:$B$19,$F87)</x:f>
        <x:v>25</x:v>
      </x:c>
      <x:c r="H87" s="18" t="n">
        <x:v>64</x:v>
      </x:c>
      <x:c r="I87" s="20" t="n">
        <x:f t="shared" si="6">G87*H87/100</x:f>
        <x:v>16</x:v>
      </x:c>
    </x:row>
    <x:row r="88">
      <x:c r="A88" t="s">
        <x:v>123</x:v>
      </x:c>
      <x:c r="B88" s="4" t="s">
        <x:v>69</x:v>
      </x:c>
      <x:c r="C88" s="4" t="s">
        <x:v>70</x:v>
      </x:c>
      <x:c r="D88" s="4" t="s">
        <x:v>109</x:v>
      </x:c>
      <x:c r="E88" s="6" t="s">
        <x:v>43</x:v>
      </x:c>
      <x:c r="F88" s="4" t="s">
        <x:v>26</x:v>
      </x:c>
      <x:c r="G88" s="19" t="n">
        <x:f>SUMIFS('المرجع'!$C$2:$C$19,'المرجع'!$A$2:$A$19,$E88,'المرجع'!$B$2:$B$19,$F88)</x:f>
        <x:v>15</x:v>
      </x:c>
      <x:c r="H88" s="18" t="n">
        <x:v>59</x:v>
      </x:c>
      <x:c r="I88" s="20" t="n">
        <x:f t="shared" si="6">G88*H88/100</x:f>
        <x:v>8.85</x:v>
      </x:c>
    </x:row>
    <x:row r="89">
      <x:c r="A89" t="s">
        <x:v>124</x:v>
      </x:c>
      <x:c r="B89" s="4" t="s">
        <x:v>69</x:v>
      </x:c>
      <x:c r="C89" s="4" t="s">
        <x:v>70</x:v>
      </x:c>
      <x:c r="D89" s="4" t="s">
        <x:v>109</x:v>
      </x:c>
      <x:c r="E89" s="6" t="s">
        <x:v>43</x:v>
      </x:c>
      <x:c r="F89" s="4" t="s">
        <x:v>30</x:v>
      </x:c>
      <x:c r="G89" s="19" t="n">
        <x:f>SUMIFS('المرجع'!$C$2:$C$19,'المرجع'!$A$2:$A$19,$E89,'المرجع'!$B$2:$B$19,$F89)</x:f>
        <x:v>15</x:v>
      </x:c>
      <x:c r="H89" s="18" t="n">
        <x:v>38</x:v>
      </x:c>
      <x:c r="I89" s="20" t="n">
        <x:f t="shared" si="6">G89*H89/100</x:f>
        <x:v>5.7</x:v>
      </x:c>
    </x:row>
    <x:row r="90">
      <x:c r="A90" t="s">
        <x:v>125</x:v>
      </x:c>
      <x:c r="B90" s="4" t="s">
        <x:v>69</x:v>
      </x:c>
      <x:c r="C90" s="4" t="s">
        <x:v>70</x:v>
      </x:c>
      <x:c r="D90" s="4" t="s">
        <x:v>109</x:v>
      </x:c>
      <x:c r="E90" s="6" t="s">
        <x:v>43</x:v>
      </x:c>
      <x:c r="F90" s="4" t="s">
        <x:v>32</x:v>
      </x:c>
      <x:c r="G90" s="19" t="n">
        <x:f>SUMIFS('المرجع'!$C$2:$C$19,'المرجع'!$A$2:$A$19,$E90,'المرجع'!$B$2:$B$19,$F90)</x:f>
        <x:v>15</x:v>
      </x:c>
      <x:c r="H90" s="18" t="n">
        <x:v>44</x:v>
      </x:c>
      <x:c r="I90" s="20" t="n">
        <x:f t="shared" si="6">G90*H90/100</x:f>
        <x:v>6.6</x:v>
      </x:c>
    </x:row>
    <x:row r="91">
      <x:c r="A91" t="s">
        <x:v>126</x:v>
      </x:c>
      <x:c r="B91" s="4" t="s">
        <x:v>69</x:v>
      </x:c>
      <x:c r="C91" s="4" t="s">
        <x:v>70</x:v>
      </x:c>
      <x:c r="D91" s="4" t="s">
        <x:v>109</x:v>
      </x:c>
      <x:c r="E91" s="6" t="s">
        <x:v>43</x:v>
      </x:c>
      <x:c r="F91" s="4" t="s">
        <x:v>48</x:v>
      </x:c>
      <x:c r="G91" s="19" t="n">
        <x:f>SUMIFS('المرجع'!$C$2:$C$19,'المرجع'!$A$2:$A$19,$E91,'المرجع'!$B$2:$B$19,$F91)</x:f>
        <x:v>30</x:v>
      </x:c>
      <x:c r="H91" s="18" t="n">
        <x:v>27</x:v>
      </x:c>
      <x:c r="I91" s="20" t="n">
        <x:f t="shared" si="6">G91*H91/100</x:f>
        <x:v>8.1</x:v>
      </x:c>
    </x:row>
    <x:row r="92">
      <x:c r="A92" t="s">
        <x:v>127</x:v>
      </x:c>
      <x:c r="B92" s="4" t="s">
        <x:v>69</x:v>
      </x:c>
      <x:c r="C92" s="4" t="s">
        <x:v>70</x:v>
      </x:c>
      <x:c r="D92" s="4" t="s">
        <x:v>128</x:v>
      </x:c>
      <x:c r="E92" s="6" t="s">
        <x:v>21</x:v>
      </x:c>
      <x:c r="F92" s="4" t="s">
        <x:v>22</x:v>
      </x:c>
      <x:c r="G92" s="19" t="n">
        <x:f>SUMIFS('المرجع'!$C$2:$C$19,'المرجع'!$A$2:$A$19,$E92,'المرجع'!$B$2:$B$19,$F92)</x:f>
        <x:v>25</x:v>
      </x:c>
      <x:c r="H92" s="18" t="n">
        <x:f t="shared" ref="H92:H97" ca="1" si="9">37.25</x:f>
        <x:v>37.25</x:v>
      </x:c>
      <x:c r="I92" s="20" t="n">
        <x:f t="shared" ref="I92:I97" ca="1" si="10">G92*H92/100</x:f>
        <x:v>9.3125</x:v>
      </x:c>
    </x:row>
    <x:row r="93">
      <x:c r="A93" t="s">
        <x:v>129</x:v>
      </x:c>
      <x:c r="B93" s="4" t="s">
        <x:v>69</x:v>
      </x:c>
      <x:c r="C93" s="4" t="s">
        <x:v>70</x:v>
      </x:c>
      <x:c r="D93" s="4" t="s">
        <x:v>128</x:v>
      </x:c>
      <x:c r="E93" s="6" t="s">
        <x:v>21</x:v>
      </x:c>
      <x:c r="F93" s="4" t="s">
        <x:v>24</x:v>
      </x:c>
      <x:c r="G93" s="19" t="n">
        <x:f>SUMIFS('المرجع'!$C$2:$C$19,'المرجع'!$A$2:$A$19,$E93,'المرجع'!$B$2:$B$19,$F93)</x:f>
        <x:v>15</x:v>
      </x:c>
      <x:c r="H93" s="18" t="n">
        <x:f t="shared" ca="1" si="9"/>
        <x:v>98.67</x:v>
      </x:c>
      <x:c r="I93" s="20" t="n">
        <x:f t="shared" ca="1" si="10">G93*H93/100</x:f>
        <x:v>14.8005</x:v>
      </x:c>
    </x:row>
    <x:row r="94">
      <x:c r="A94" t="s">
        <x:v>130</x:v>
      </x:c>
      <x:c r="B94" s="4" t="s">
        <x:v>69</x:v>
      </x:c>
      <x:c r="C94" s="4" t="s">
        <x:v>70</x:v>
      </x:c>
      <x:c r="D94" s="4" t="s">
        <x:v>128</x:v>
      </x:c>
      <x:c r="E94" s="6" t="s">
        <x:v>21</x:v>
      </x:c>
      <x:c r="F94" s="4" t="s">
        <x:v>26</x:v>
      </x:c>
      <x:c r="G94" s="19" t="n">
        <x:f>SUMIFS('المرجع'!$C$2:$C$19,'المرجع'!$A$2:$A$19,$E94,'المرجع'!$B$2:$B$19,$F94)</x:f>
        <x:v>15</x:v>
      </x:c>
      <x:c r="H94" s="18" t="n">
        <x:f t="shared" ca="1" si="9"/>
        <x:v>19.15</x:v>
      </x:c>
      <x:c r="I94" s="20" t="n">
        <x:f t="shared" ca="1" si="10">G94*H94/100</x:f>
        <x:v>2.8725</x:v>
      </x:c>
    </x:row>
    <x:row r="95">
      <x:c r="A95" t="s">
        <x:v>131</x:v>
      </x:c>
      <x:c r="B95" s="4" t="s">
        <x:v>69</x:v>
      </x:c>
      <x:c r="C95" s="4" t="s">
        <x:v>70</x:v>
      </x:c>
      <x:c r="D95" s="4" t="s">
        <x:v>128</x:v>
      </x:c>
      <x:c r="E95" s="6" t="s">
        <x:v>21</x:v>
      </x:c>
      <x:c r="F95" s="4" t="s">
        <x:v>28</x:v>
      </x:c>
      <x:c r="G95" s="19" t="n">
        <x:f>SUMIFS('المرجع'!$C$2:$C$19,'المرجع'!$A$2:$A$19,$E95,'المرجع'!$B$2:$B$19,$F95)</x:f>
        <x:v>20</x:v>
      </x:c>
      <x:c r="H95" s="18" t="n">
        <x:f t="shared" ca="1" si="9"/>
        <x:v>98.37</x:v>
      </x:c>
      <x:c r="I95" s="20" t="n">
        <x:f t="shared" ca="1" si="10">G95*H95/100</x:f>
        <x:v>19.674</x:v>
      </x:c>
    </x:row>
    <x:row r="96">
      <x:c r="A96" t="s">
        <x:v>132</x:v>
      </x:c>
      <x:c r="B96" s="4" t="s">
        <x:v>69</x:v>
      </x:c>
      <x:c r="C96" s="4" t="s">
        <x:v>70</x:v>
      </x:c>
      <x:c r="D96" s="4" t="s">
        <x:v>128</x:v>
      </x:c>
      <x:c r="E96" s="6" t="s">
        <x:v>21</x:v>
      </x:c>
      <x:c r="F96" s="4" t="s">
        <x:v>30</x:v>
      </x:c>
      <x:c r="G96" s="19" t="n">
        <x:f>SUMIFS('المرجع'!$C$2:$C$19,'المرجع'!$A$2:$A$19,$E96,'المرجع'!$B$2:$B$19,$F96)</x:f>
        <x:v>20</x:v>
      </x:c>
      <x:c r="H96" s="18" t="n">
        <x:f t="shared" ca="1" si="9"/>
        <x:v>25.45</x:v>
      </x:c>
      <x:c r="I96" s="20" t="n">
        <x:f t="shared" ca="1" si="10">G96*H96/100</x:f>
        <x:v>5.09</x:v>
      </x:c>
    </x:row>
    <x:row r="97">
      <x:c r="A97" t="s">
        <x:v>133</x:v>
      </x:c>
      <x:c r="B97" s="4" t="s">
        <x:v>69</x:v>
      </x:c>
      <x:c r="C97" s="4" t="s">
        <x:v>70</x:v>
      </x:c>
      <x:c r="D97" s="4" t="s">
        <x:v>128</x:v>
      </x:c>
      <x:c r="E97" s="6" t="s">
        <x:v>21</x:v>
      </x:c>
      <x:c r="F97" s="4" t="s">
        <x:v>32</x:v>
      </x:c>
      <x:c r="G97" s="19" t="n">
        <x:f>SUMIFS('المرجع'!$C$2:$C$19,'المرجع'!$A$2:$A$19,$E97,'المرجع'!$B$2:$B$19,$F97)</x:f>
        <x:v>5</x:v>
      </x:c>
      <x:c r="H97" s="18" t="n">
        <x:f t="shared" ca="1" si="9"/>
        <x:v>17.83</x:v>
      </x:c>
      <x:c r="I97" s="20" t="n">
        <x:f t="shared" ca="1" si="10">G97*H97/100</x:f>
        <x:v>0.8915</x:v>
      </x:c>
    </x:row>
    <x:row r="98">
      <x:c r="A98" t="s">
        <x:v>134</x:v>
      </x:c>
      <x:c r="B98" s="4" t="s">
        <x:v>69</x:v>
      </x:c>
      <x:c r="C98" s="4" t="s">
        <x:v>70</x:v>
      </x:c>
      <x:c r="D98" s="4" t="s">
        <x:v>128</x:v>
      </x:c>
      <x:c r="E98" s="6" t="s">
        <x:v>34</x:v>
      </x:c>
      <x:c r="F98" s="4" t="s">
        <x:v>22</x:v>
      </x:c>
      <x:c r="G98" s="19" t="n">
        <x:f>SUMIFS('المرجع'!$C$2:$C$19,'المرجع'!$A$2:$A$19,$E98,'المرجع'!$B$2:$B$19,$F98)</x:f>
        <x:v>15</x:v>
      </x:c>
      <x:c r="H98" s="18" t="n">
        <x:v>58</x:v>
      </x:c>
      <x:c r="I98" s="20" t="n">
        <x:f t="shared" si="6">G98*H98/100</x:f>
        <x:v>8.7</x:v>
      </x:c>
    </x:row>
    <x:row r="99">
      <x:c r="A99" t="s">
        <x:v>135</x:v>
      </x:c>
      <x:c r="B99" s="4" t="s">
        <x:v>69</x:v>
      </x:c>
      <x:c r="C99" s="4" t="s">
        <x:v>70</x:v>
      </x:c>
      <x:c r="D99" s="4" t="s">
        <x:v>128</x:v>
      </x:c>
      <x:c r="E99" s="6" t="s">
        <x:v>34</x:v>
      </x:c>
      <x:c r="F99" s="4" t="s">
        <x:v>24</x:v>
      </x:c>
      <x:c r="G99" s="19" t="n">
        <x:f>SUMIFS('المرجع'!$C$2:$C$19,'المرجع'!$A$2:$A$19,$E99,'المرجع'!$B$2:$B$19,$F99)</x:f>
        <x:v>15</x:v>
      </x:c>
      <x:c r="H99" s="18" t="n">
        <x:v>81</x:v>
      </x:c>
      <x:c r="I99" s="20" t="n">
        <x:f t="shared" si="6">G99*H99/100</x:f>
        <x:v>12.15</x:v>
      </x:c>
    </x:row>
    <x:row r="100">
      <x:c r="A100" t="s">
        <x:v>136</x:v>
      </x:c>
      <x:c r="B100" s="4" t="s">
        <x:v>69</x:v>
      </x:c>
      <x:c r="C100" s="4" t="s">
        <x:v>70</x:v>
      </x:c>
      <x:c r="D100" s="4" t="s">
        <x:v>128</x:v>
      </x:c>
      <x:c r="E100" s="6" t="s">
        <x:v>34</x:v>
      </x:c>
      <x:c r="F100" s="4" t="s">
        <x:v>26</x:v>
      </x:c>
      <x:c r="G100" s="19" t="n">
        <x:f>SUMIFS('المرجع'!$C$2:$C$19,'المرجع'!$A$2:$A$19,$E100,'المرجع'!$B$2:$B$19,$F100)</x:f>
        <x:v>15</x:v>
      </x:c>
      <x:c r="H100" s="18" t="n">
        <x:v>65</x:v>
      </x:c>
      <x:c r="I100" s="20" t="n">
        <x:f t="shared" si="6">G100*H100/100</x:f>
        <x:v>9.75</x:v>
      </x:c>
    </x:row>
    <x:row r="101">
      <x:c r="A101" t="s">
        <x:v>137</x:v>
      </x:c>
      <x:c r="B101" s="4" t="s">
        <x:v>69</x:v>
      </x:c>
      <x:c r="C101" s="4" t="s">
        <x:v>70</x:v>
      </x:c>
      <x:c r="D101" s="4" t="s">
        <x:v>128</x:v>
      </x:c>
      <x:c r="E101" s="6" t="s">
        <x:v>34</x:v>
      </x:c>
      <x:c r="F101" s="4" t="s">
        <x:v>28</x:v>
      </x:c>
      <x:c r="G101" s="19" t="n">
        <x:f>SUMIFS('المرجع'!$C$2:$C$19,'المرجع'!$A$2:$A$19,$E101,'المرجع'!$B$2:$B$19,$F101)</x:f>
        <x:v>20</x:v>
      </x:c>
      <x:c r="H101" s="18" t="n">
        <x:v>58</x:v>
      </x:c>
      <x:c r="I101" s="20" t="n">
        <x:f t="shared" si="6">G101*H101/100</x:f>
        <x:v>11.6</x:v>
      </x:c>
    </x:row>
    <x:row r="102">
      <x:c r="A102" t="s">
        <x:v>138</x:v>
      </x:c>
      <x:c r="B102" s="4" t="s">
        <x:v>69</x:v>
      </x:c>
      <x:c r="C102" s="4" t="s">
        <x:v>70</x:v>
      </x:c>
      <x:c r="D102" s="4" t="s">
        <x:v>128</x:v>
      </x:c>
      <x:c r="E102" s="6" t="s">
        <x:v>34</x:v>
      </x:c>
      <x:c r="F102" s="4" t="s">
        <x:v>30</x:v>
      </x:c>
      <x:c r="G102" s="19" t="n">
        <x:f>SUMIFS('المرجع'!$C$2:$C$19,'المرجع'!$A$2:$A$19,$E102,'المرجع'!$B$2:$B$19,$F102)</x:f>
        <x:v>25</x:v>
      </x:c>
      <x:c r="H102" s="18" t="n">
        <x:v>76</x:v>
      </x:c>
      <x:c r="I102" s="20" t="n">
        <x:f t="shared" si="6">G102*H102/100</x:f>
        <x:v>19</x:v>
      </x:c>
    </x:row>
    <x:row r="103">
      <x:c r="A103" t="s">
        <x:v>139</x:v>
      </x:c>
      <x:c r="B103" s="4" t="s">
        <x:v>69</x:v>
      </x:c>
      <x:c r="C103" s="4" t="s">
        <x:v>70</x:v>
      </x:c>
      <x:c r="D103" s="4" t="s">
        <x:v>128</x:v>
      </x:c>
      <x:c r="E103" s="6" t="s">
        <x:v>34</x:v>
      </x:c>
      <x:c r="F103" s="4" t="s">
        <x:v>32</x:v>
      </x:c>
      <x:c r="G103" s="19" t="n">
        <x:f>SUMIFS('المرجع'!$C$2:$C$19,'المرجع'!$A$2:$A$19,$E103,'المرجع'!$B$2:$B$19,$F103)</x:f>
        <x:v>5</x:v>
      </x:c>
      <x:c r="H103" s="18" t="n">
        <x:v>70</x:v>
      </x:c>
      <x:c r="I103" s="20" t="n">
        <x:f t="shared" si="6">G103*H103/100</x:f>
        <x:v>3.5</x:v>
      </x:c>
    </x:row>
    <x:row r="104">
      <x:c r="A104" t="s">
        <x:v>140</x:v>
      </x:c>
      <x:c r="B104" s="4" t="s">
        <x:v>69</x:v>
      </x:c>
      <x:c r="C104" s="4" t="s">
        <x:v>70</x:v>
      </x:c>
      <x:c r="D104" s="4" t="s">
        <x:v>128</x:v>
      </x:c>
      <x:c r="E104" s="6" t="s">
        <x:v>34</x:v>
      </x:c>
      <x:c r="F104" s="4" t="s">
        <x:v>41</x:v>
      </x:c>
      <x:c r="G104" s="19" t="n">
        <x:f>SUMIFS('المرجع'!$C$2:$C$19,'المرجع'!$A$2:$A$19,$E104,'المرجع'!$B$2:$B$19,$F104)</x:f>
        <x:v>5</x:v>
      </x:c>
      <x:c r="H104" s="18" t="n">
        <x:v>74</x:v>
      </x:c>
      <x:c r="I104" s="20" t="n">
        <x:f t="shared" si="6">G104*H104/100</x:f>
        <x:v>3.7</x:v>
      </x:c>
    </x:row>
    <x:row r="105">
      <x:c r="A105" t="s">
        <x:v>141</x:v>
      </x:c>
      <x:c r="B105" s="4" t="s">
        <x:v>69</x:v>
      </x:c>
      <x:c r="C105" s="4" t="s">
        <x:v>70</x:v>
      </x:c>
      <x:c r="D105" s="4" t="s">
        <x:v>128</x:v>
      </x:c>
      <x:c r="E105" s="6" t="s">
        <x:v>43</x:v>
      </x:c>
      <x:c r="F105" s="4" t="s">
        <x:v>24</x:v>
      </x:c>
      <x:c r="G105" s="19" t="n">
        <x:f>SUMIFS('المرجع'!$C$2:$C$19,'المرجع'!$A$2:$A$19,$E105,'المرجع'!$B$2:$B$19,$F105)</x:f>
        <x:v>25</x:v>
      </x:c>
      <x:c r="H105" s="18" t="n">
        <x:v>33</x:v>
      </x:c>
      <x:c r="I105" s="20" t="n">
        <x:f t="shared" si="6">G105*H105/100</x:f>
        <x:v>8.25</x:v>
      </x:c>
    </x:row>
    <x:row r="106">
      <x:c r="A106" t="s">
        <x:v>142</x:v>
      </x:c>
      <x:c r="B106" s="4" t="s">
        <x:v>69</x:v>
      </x:c>
      <x:c r="C106" s="4" t="s">
        <x:v>70</x:v>
      </x:c>
      <x:c r="D106" s="4" t="s">
        <x:v>128</x:v>
      </x:c>
      <x:c r="E106" s="6" t="s">
        <x:v>43</x:v>
      </x:c>
      <x:c r="F106" s="4" t="s">
        <x:v>26</x:v>
      </x:c>
      <x:c r="G106" s="19" t="n">
        <x:f>SUMIFS('المرجع'!$C$2:$C$19,'المرجع'!$A$2:$A$19,$E106,'المرجع'!$B$2:$B$19,$F106)</x:f>
        <x:v>15</x:v>
      </x:c>
      <x:c r="H106" s="18" t="n">
        <x:v>40</x:v>
      </x:c>
      <x:c r="I106" s="20" t="n">
        <x:f t="shared" si="6">G106*H106/100</x:f>
        <x:v>6</x:v>
      </x:c>
    </x:row>
    <x:row r="107">
      <x:c r="A107" t="s">
        <x:v>143</x:v>
      </x:c>
      <x:c r="B107" s="4" t="s">
        <x:v>69</x:v>
      </x:c>
      <x:c r="C107" s="4" t="s">
        <x:v>70</x:v>
      </x:c>
      <x:c r="D107" s="4" t="s">
        <x:v>128</x:v>
      </x:c>
      <x:c r="E107" s="6" t="s">
        <x:v>43</x:v>
      </x:c>
      <x:c r="F107" s="4" t="s">
        <x:v>30</x:v>
      </x:c>
      <x:c r="G107" s="19" t="n">
        <x:f>SUMIFS('المرجع'!$C$2:$C$19,'المرجع'!$A$2:$A$19,$E107,'المرجع'!$B$2:$B$19,$F107)</x:f>
        <x:v>15</x:v>
      </x:c>
      <x:c r="H107" s="18" t="n">
        <x:v>32</x:v>
      </x:c>
      <x:c r="I107" s="20" t="n">
        <x:f t="shared" si="6">G107*H107/100</x:f>
        <x:v>4.8</x:v>
      </x:c>
    </x:row>
    <x:row r="108">
      <x:c r="A108" t="s">
        <x:v>144</x:v>
      </x:c>
      <x:c r="B108" s="4" t="s">
        <x:v>69</x:v>
      </x:c>
      <x:c r="C108" s="4" t="s">
        <x:v>70</x:v>
      </x:c>
      <x:c r="D108" s="4" t="s">
        <x:v>128</x:v>
      </x:c>
      <x:c r="E108" s="6" t="s">
        <x:v>43</x:v>
      </x:c>
      <x:c r="F108" s="4" t="s">
        <x:v>32</x:v>
      </x:c>
      <x:c r="G108" s="19" t="n">
        <x:f>SUMIFS('المرجع'!$C$2:$C$19,'المرجع'!$A$2:$A$19,$E108,'المرجع'!$B$2:$B$19,$F108)</x:f>
        <x:v>15</x:v>
      </x:c>
      <x:c r="H108" s="18" t="n">
        <x:v>39</x:v>
      </x:c>
      <x:c r="I108" s="20" t="n">
        <x:f t="shared" si="6">G108*H108/100</x:f>
        <x:v>5.85</x:v>
      </x:c>
    </x:row>
    <x:row r="109">
      <x:c r="A109" t="s">
        <x:v>145</x:v>
      </x:c>
      <x:c r="B109" s="4" t="s">
        <x:v>69</x:v>
      </x:c>
      <x:c r="C109" s="4" t="s">
        <x:v>70</x:v>
      </x:c>
      <x:c r="D109" s="4" t="s">
        <x:v>128</x:v>
      </x:c>
      <x:c r="E109" s="6" t="s">
        <x:v>43</x:v>
      </x:c>
      <x:c r="F109" s="4" t="s">
        <x:v>48</x:v>
      </x:c>
      <x:c r="G109" s="19" t="n">
        <x:f>SUMIFS('المرجع'!$C$2:$C$19,'المرجع'!$A$2:$A$19,$E109,'المرجع'!$B$2:$B$19,$F109)</x:f>
        <x:v>30</x:v>
      </x:c>
      <x:c r="H109" s="18" t="n">
        <x:v>59</x:v>
      </x:c>
      <x:c r="I109" s="20" t="n">
        <x:f t="shared" si="6">G109*H109/100</x:f>
        <x:v>17.7</x:v>
      </x:c>
    </x:row>
    <x:row r="110">
      <x:c r="A110" t="s">
        <x:v>146</x:v>
      </x:c>
      <x:c r="B110" s="4" t="s">
        <x:v>69</x:v>
      </x:c>
      <x:c r="C110" s="4" t="s">
        <x:v>70</x:v>
      </x:c>
      <x:c r="D110" s="4" t="s">
        <x:v>147</x:v>
      </x:c>
      <x:c r="E110" s="6" t="s">
        <x:v>21</x:v>
      </x:c>
      <x:c r="F110" s="4" t="s">
        <x:v>22</x:v>
      </x:c>
      <x:c r="G110" s="19" t="n">
        <x:f>SUMIFS('المرجع'!$C$2:$C$19,'المرجع'!$A$2:$A$19,$E110,'المرجع'!$B$2:$B$19,$F110)</x:f>
        <x:v>25</x:v>
      </x:c>
      <x:c r="H110" s="18" t="n">
        <x:f t="shared" ref="H110:H115" ca="1" si="11">65.92</x:f>
        <x:v>65.92</x:v>
      </x:c>
      <x:c r="I110" s="20" t="n">
        <x:f t="shared" ref="I110:I115" ca="1" si="12">G110*H110/100</x:f>
        <x:v>16.48</x:v>
      </x:c>
    </x:row>
    <x:row r="111">
      <x:c r="A111" t="s">
        <x:v>148</x:v>
      </x:c>
      <x:c r="B111" s="4" t="s">
        <x:v>69</x:v>
      </x:c>
      <x:c r="C111" s="4" t="s">
        <x:v>70</x:v>
      </x:c>
      <x:c r="D111" s="4" t="s">
        <x:v>147</x:v>
      </x:c>
      <x:c r="E111" s="6" t="s">
        <x:v>21</x:v>
      </x:c>
      <x:c r="F111" s="4" t="s">
        <x:v>24</x:v>
      </x:c>
      <x:c r="G111" s="19" t="n">
        <x:f>SUMIFS('المرجع'!$C$2:$C$19,'المرجع'!$A$2:$A$19,$E111,'المرجع'!$B$2:$B$19,$F111)</x:f>
        <x:v>15</x:v>
      </x:c>
      <x:c r="H111" s="18" t="n">
        <x:f t="shared" ca="1" si="11"/>
        <x:v>11.7</x:v>
      </x:c>
      <x:c r="I111" s="20" t="n">
        <x:f t="shared" ca="1" si="12">G111*H111/100</x:f>
        <x:v>1.755</x:v>
      </x:c>
    </x:row>
    <x:row r="112">
      <x:c r="A112" t="s">
        <x:v>149</x:v>
      </x:c>
      <x:c r="B112" s="4" t="s">
        <x:v>69</x:v>
      </x:c>
      <x:c r="C112" s="4" t="s">
        <x:v>70</x:v>
      </x:c>
      <x:c r="D112" s="4" t="s">
        <x:v>147</x:v>
      </x:c>
      <x:c r="E112" s="6" t="s">
        <x:v>21</x:v>
      </x:c>
      <x:c r="F112" s="4" t="s">
        <x:v>26</x:v>
      </x:c>
      <x:c r="G112" s="19" t="n">
        <x:f>SUMIFS('المرجع'!$C$2:$C$19,'المرجع'!$A$2:$A$19,$E112,'المرجع'!$B$2:$B$19,$F112)</x:f>
        <x:v>15</x:v>
      </x:c>
      <x:c r="H112" s="18" t="n">
        <x:f t="shared" ca="1" si="11"/>
        <x:v>17.36</x:v>
      </x:c>
      <x:c r="I112" s="20" t="n">
        <x:f t="shared" ca="1" si="12">G112*H112/100</x:f>
        <x:v>2.6039999999999996</x:v>
      </x:c>
    </x:row>
    <x:row r="113">
      <x:c r="A113" t="s">
        <x:v>150</x:v>
      </x:c>
      <x:c r="B113" s="4" t="s">
        <x:v>69</x:v>
      </x:c>
      <x:c r="C113" s="4" t="s">
        <x:v>70</x:v>
      </x:c>
      <x:c r="D113" s="4" t="s">
        <x:v>147</x:v>
      </x:c>
      <x:c r="E113" s="6" t="s">
        <x:v>21</x:v>
      </x:c>
      <x:c r="F113" s="4" t="s">
        <x:v>28</x:v>
      </x:c>
      <x:c r="G113" s="19" t="n">
        <x:f>SUMIFS('المرجع'!$C$2:$C$19,'المرجع'!$A$2:$A$19,$E113,'المرجع'!$B$2:$B$19,$F113)</x:f>
        <x:v>20</x:v>
      </x:c>
      <x:c r="H113" s="18" t="n">
        <x:f t="shared" ca="1" si="11"/>
        <x:v>1.67</x:v>
      </x:c>
      <x:c r="I113" s="20" t="n">
        <x:f t="shared" ca="1" si="12">G113*H113/100</x:f>
        <x:v>0.33399999999999996</x:v>
      </x:c>
    </x:row>
    <x:row r="114">
      <x:c r="A114" t="s">
        <x:v>151</x:v>
      </x:c>
      <x:c r="B114" s="4" t="s">
        <x:v>69</x:v>
      </x:c>
      <x:c r="C114" s="4" t="s">
        <x:v>70</x:v>
      </x:c>
      <x:c r="D114" s="4" t="s">
        <x:v>147</x:v>
      </x:c>
      <x:c r="E114" s="6" t="s">
        <x:v>21</x:v>
      </x:c>
      <x:c r="F114" s="4" t="s">
        <x:v>30</x:v>
      </x:c>
      <x:c r="G114" s="19" t="n">
        <x:f>SUMIFS('المرجع'!$C$2:$C$19,'المرجع'!$A$2:$A$19,$E114,'المرجع'!$B$2:$B$19,$F114)</x:f>
        <x:v>20</x:v>
      </x:c>
      <x:c r="H114" s="18" t="n">
        <x:f t="shared" ca="1" si="11"/>
        <x:v>86.15</x:v>
      </x:c>
      <x:c r="I114" s="20" t="n">
        <x:f t="shared" ca="1" si="12">G114*H114/100</x:f>
        <x:v>17.23</x:v>
      </x:c>
    </x:row>
    <x:row r="115">
      <x:c r="A115" t="s">
        <x:v>152</x:v>
      </x:c>
      <x:c r="B115" s="4" t="s">
        <x:v>69</x:v>
      </x:c>
      <x:c r="C115" s="4" t="s">
        <x:v>70</x:v>
      </x:c>
      <x:c r="D115" s="4" t="s">
        <x:v>147</x:v>
      </x:c>
      <x:c r="E115" s="6" t="s">
        <x:v>21</x:v>
      </x:c>
      <x:c r="F115" s="4" t="s">
        <x:v>32</x:v>
      </x:c>
      <x:c r="G115" s="19" t="n">
        <x:f>SUMIFS('المرجع'!$C$2:$C$19,'المرجع'!$A$2:$A$19,$E115,'المرجع'!$B$2:$B$19,$F115)</x:f>
        <x:v>5</x:v>
      </x:c>
      <x:c r="H115" s="18" t="n">
        <x:f t="shared" ca="1" si="11"/>
        <x:v>57.19</x:v>
      </x:c>
      <x:c r="I115" s="20" t="n">
        <x:f t="shared" ca="1" si="12">G115*H115/100</x:f>
        <x:v>2.8594999999999997</x:v>
      </x:c>
    </x:row>
    <x:row r="116">
      <x:c r="A116" t="s">
        <x:v>153</x:v>
      </x:c>
      <x:c r="B116" s="4" t="s">
        <x:v>69</x:v>
      </x:c>
      <x:c r="C116" s="4" t="s">
        <x:v>70</x:v>
      </x:c>
      <x:c r="D116" s="4" t="s">
        <x:v>147</x:v>
      </x:c>
      <x:c r="E116" s="6" t="s">
        <x:v>34</x:v>
      </x:c>
      <x:c r="F116" s="4" t="s">
        <x:v>22</x:v>
      </x:c>
      <x:c r="G116" s="19" t="n">
        <x:f>SUMIFS('المرجع'!$C$2:$C$19,'المرجع'!$A$2:$A$19,$E116,'المرجع'!$B$2:$B$19,$F116)</x:f>
        <x:v>15</x:v>
      </x:c>
      <x:c r="H116" s="18" t="n">
        <x:v>68</x:v>
      </x:c>
      <x:c r="I116" s="20" t="n">
        <x:f t="shared" si="6">G116*H116/100</x:f>
        <x:v>10.2</x:v>
      </x:c>
    </x:row>
    <x:row r="117">
      <x:c r="A117" t="s">
        <x:v>154</x:v>
      </x:c>
      <x:c r="B117" s="4" t="s">
        <x:v>69</x:v>
      </x:c>
      <x:c r="C117" s="4" t="s">
        <x:v>70</x:v>
      </x:c>
      <x:c r="D117" s="4" t="s">
        <x:v>147</x:v>
      </x:c>
      <x:c r="E117" s="6" t="s">
        <x:v>34</x:v>
      </x:c>
      <x:c r="F117" s="4" t="s">
        <x:v>24</x:v>
      </x:c>
      <x:c r="G117" s="19" t="n">
        <x:f>SUMIFS('المرجع'!$C$2:$C$19,'المرجع'!$A$2:$A$19,$E117,'المرجع'!$B$2:$B$19,$F117)</x:f>
        <x:v>15</x:v>
      </x:c>
      <x:c r="H117" s="18" t="n">
        <x:v>59</x:v>
      </x:c>
      <x:c r="I117" s="20" t="n">
        <x:f t="shared" si="6">G117*H117/100</x:f>
        <x:v>8.85</x:v>
      </x:c>
    </x:row>
    <x:row r="118">
      <x:c r="A118" t="s">
        <x:v>155</x:v>
      </x:c>
      <x:c r="B118" s="4" t="s">
        <x:v>69</x:v>
      </x:c>
      <x:c r="C118" s="4" t="s">
        <x:v>70</x:v>
      </x:c>
      <x:c r="D118" s="4" t="s">
        <x:v>147</x:v>
      </x:c>
      <x:c r="E118" s="6" t="s">
        <x:v>34</x:v>
      </x:c>
      <x:c r="F118" s="4" t="s">
        <x:v>26</x:v>
      </x:c>
      <x:c r="G118" s="19" t="n">
        <x:f>SUMIFS('المرجع'!$C$2:$C$19,'المرجع'!$A$2:$A$19,$E118,'المرجع'!$B$2:$B$19,$F118)</x:f>
        <x:v>15</x:v>
      </x:c>
      <x:c r="H118" s="18" t="n">
        <x:v>53</x:v>
      </x:c>
      <x:c r="I118" s="20" t="n">
        <x:f t="shared" si="6">G118*H118/100</x:f>
        <x:v>7.95</x:v>
      </x:c>
    </x:row>
    <x:row r="119">
      <x:c r="A119" t="s">
        <x:v>156</x:v>
      </x:c>
      <x:c r="B119" s="4" t="s">
        <x:v>69</x:v>
      </x:c>
      <x:c r="C119" s="4" t="s">
        <x:v>70</x:v>
      </x:c>
      <x:c r="D119" s="4" t="s">
        <x:v>147</x:v>
      </x:c>
      <x:c r="E119" s="6" t="s">
        <x:v>34</x:v>
      </x:c>
      <x:c r="F119" s="4" t="s">
        <x:v>28</x:v>
      </x:c>
      <x:c r="G119" s="19" t="n">
        <x:f>SUMIFS('المرجع'!$C$2:$C$19,'المرجع'!$A$2:$A$19,$E119,'المرجع'!$B$2:$B$19,$F119)</x:f>
        <x:v>20</x:v>
      </x:c>
      <x:c r="H119" s="18" t="n">
        <x:v>77</x:v>
      </x:c>
      <x:c r="I119" s="20" t="n">
        <x:f t="shared" si="6">G119*H119/100</x:f>
        <x:v>15.4</x:v>
      </x:c>
    </x:row>
    <x:row r="120">
      <x:c r="A120" t="s">
        <x:v>157</x:v>
      </x:c>
      <x:c r="B120" s="4" t="s">
        <x:v>69</x:v>
      </x:c>
      <x:c r="C120" s="4" t="s">
        <x:v>70</x:v>
      </x:c>
      <x:c r="D120" s="4" t="s">
        <x:v>147</x:v>
      </x:c>
      <x:c r="E120" s="6" t="s">
        <x:v>34</x:v>
      </x:c>
      <x:c r="F120" s="4" t="s">
        <x:v>30</x:v>
      </x:c>
      <x:c r="G120" s="19" t="n">
        <x:f>SUMIFS('المرجع'!$C$2:$C$19,'المرجع'!$A$2:$A$19,$E120,'المرجع'!$B$2:$B$19,$F120)</x:f>
        <x:v>25</x:v>
      </x:c>
      <x:c r="H120" s="18" t="n">
        <x:v>76</x:v>
      </x:c>
      <x:c r="I120" s="20" t="n">
        <x:f t="shared" si="6">G120*H120/100</x:f>
        <x:v>19</x:v>
      </x:c>
    </x:row>
    <x:row r="121">
      <x:c r="A121" t="s">
        <x:v>158</x:v>
      </x:c>
      <x:c r="B121" s="4" t="s">
        <x:v>69</x:v>
      </x:c>
      <x:c r="C121" s="4" t="s">
        <x:v>70</x:v>
      </x:c>
      <x:c r="D121" s="4" t="s">
        <x:v>147</x:v>
      </x:c>
      <x:c r="E121" s="6" t="s">
        <x:v>34</x:v>
      </x:c>
      <x:c r="F121" s="4" t="s">
        <x:v>32</x:v>
      </x:c>
      <x:c r="G121" s="19" t="n">
        <x:f>SUMIFS('المرجع'!$C$2:$C$19,'المرجع'!$A$2:$A$19,$E121,'المرجع'!$B$2:$B$19,$F121)</x:f>
        <x:v>5</x:v>
      </x:c>
      <x:c r="H121" s="18" t="n">
        <x:v>50</x:v>
      </x:c>
      <x:c r="I121" s="20" t="n">
        <x:f t="shared" si="6">G121*H121/100</x:f>
        <x:v>2.5</x:v>
      </x:c>
    </x:row>
    <x:row r="122">
      <x:c r="A122" t="s">
        <x:v>159</x:v>
      </x:c>
      <x:c r="B122" s="4" t="s">
        <x:v>69</x:v>
      </x:c>
      <x:c r="C122" s="4" t="s">
        <x:v>70</x:v>
      </x:c>
      <x:c r="D122" s="4" t="s">
        <x:v>147</x:v>
      </x:c>
      <x:c r="E122" s="6" t="s">
        <x:v>34</x:v>
      </x:c>
      <x:c r="F122" s="4" t="s">
        <x:v>41</x:v>
      </x:c>
      <x:c r="G122" s="19" t="n">
        <x:f>SUMIFS('المرجع'!$C$2:$C$19,'المرجع'!$A$2:$A$19,$E122,'المرجع'!$B$2:$B$19,$F122)</x:f>
        <x:v>5</x:v>
      </x:c>
      <x:c r="H122" s="18" t="n">
        <x:v>48</x:v>
      </x:c>
      <x:c r="I122" s="20" t="n">
        <x:f t="shared" si="6">G122*H122/100</x:f>
        <x:v>2.4</x:v>
      </x:c>
    </x:row>
    <x:row r="123">
      <x:c r="A123" t="s">
        <x:v>160</x:v>
      </x:c>
      <x:c r="B123" s="4" t="s">
        <x:v>69</x:v>
      </x:c>
      <x:c r="C123" s="4" t="s">
        <x:v>70</x:v>
      </x:c>
      <x:c r="D123" s="4" t="s">
        <x:v>147</x:v>
      </x:c>
      <x:c r="E123" s="6" t="s">
        <x:v>43</x:v>
      </x:c>
      <x:c r="F123" s="4" t="s">
        <x:v>24</x:v>
      </x:c>
      <x:c r="G123" s="19" t="n">
        <x:f>SUMIFS('المرجع'!$C$2:$C$19,'المرجع'!$A$2:$A$19,$E123,'المرجع'!$B$2:$B$19,$F123)</x:f>
        <x:v>25</x:v>
      </x:c>
      <x:c r="H123" s="18" t="n">
        <x:v>31</x:v>
      </x:c>
      <x:c r="I123" s="20" t="n">
        <x:f t="shared" si="6">G123*H123/100</x:f>
        <x:v>7.75</x:v>
      </x:c>
    </x:row>
    <x:row r="124">
      <x:c r="A124" t="s">
        <x:v>161</x:v>
      </x:c>
      <x:c r="B124" s="4" t="s">
        <x:v>69</x:v>
      </x:c>
      <x:c r="C124" s="4" t="s">
        <x:v>70</x:v>
      </x:c>
      <x:c r="D124" s="4" t="s">
        <x:v>147</x:v>
      </x:c>
      <x:c r="E124" s="6" t="s">
        <x:v>43</x:v>
      </x:c>
      <x:c r="F124" s="4" t="s">
        <x:v>26</x:v>
      </x:c>
      <x:c r="G124" s="19" t="n">
        <x:f>SUMIFS('المرجع'!$C$2:$C$19,'المرجع'!$A$2:$A$19,$E124,'المرجع'!$B$2:$B$19,$F124)</x:f>
        <x:v>15</x:v>
      </x:c>
      <x:c r="H124" s="18" t="n">
        <x:v>33</x:v>
      </x:c>
      <x:c r="I124" s="20" t="n">
        <x:f t="shared" si="6">G124*H124/100</x:f>
        <x:v>4.95</x:v>
      </x:c>
    </x:row>
    <x:row r="125">
      <x:c r="A125" t="s">
        <x:v>162</x:v>
      </x:c>
      <x:c r="B125" s="4" t="s">
        <x:v>69</x:v>
      </x:c>
      <x:c r="C125" s="4" t="s">
        <x:v>70</x:v>
      </x:c>
      <x:c r="D125" s="4" t="s">
        <x:v>147</x:v>
      </x:c>
      <x:c r="E125" s="6" t="s">
        <x:v>43</x:v>
      </x:c>
      <x:c r="F125" s="4" t="s">
        <x:v>30</x:v>
      </x:c>
      <x:c r="G125" s="19" t="n">
        <x:f>SUMIFS('المرجع'!$C$2:$C$19,'المرجع'!$A$2:$A$19,$E125,'المرجع'!$B$2:$B$19,$F125)</x:f>
        <x:v>15</x:v>
      </x:c>
      <x:c r="H125" s="18" t="n">
        <x:v>64</x:v>
      </x:c>
      <x:c r="I125" s="20" t="n">
        <x:f t="shared" si="6">G125*H125/100</x:f>
        <x:v>9.6</x:v>
      </x:c>
    </x:row>
    <x:row r="126">
      <x:c r="A126" t="s">
        <x:v>163</x:v>
      </x:c>
      <x:c r="B126" s="4" t="s">
        <x:v>69</x:v>
      </x:c>
      <x:c r="C126" s="4" t="s">
        <x:v>70</x:v>
      </x:c>
      <x:c r="D126" s="4" t="s">
        <x:v>147</x:v>
      </x:c>
      <x:c r="E126" s="6" t="s">
        <x:v>43</x:v>
      </x:c>
      <x:c r="F126" s="4" t="s">
        <x:v>32</x:v>
      </x:c>
      <x:c r="G126" s="19" t="n">
        <x:f>SUMIFS('المرجع'!$C$2:$C$19,'المرجع'!$A$2:$A$19,$E126,'المرجع'!$B$2:$B$19,$F126)</x:f>
        <x:v>15</x:v>
      </x:c>
      <x:c r="H126" s="18" t="n">
        <x:v>34</x:v>
      </x:c>
      <x:c r="I126" s="20" t="n">
        <x:f t="shared" si="6">G126*H126/100</x:f>
        <x:v>5.1</x:v>
      </x:c>
    </x:row>
    <x:row r="127">
      <x:c r="A127" t="s">
        <x:v>164</x:v>
      </x:c>
      <x:c r="B127" s="4" t="s">
        <x:v>69</x:v>
      </x:c>
      <x:c r="C127" s="4" t="s">
        <x:v>70</x:v>
      </x:c>
      <x:c r="D127" s="4" t="s">
        <x:v>147</x:v>
      </x:c>
      <x:c r="E127" s="6" t="s">
        <x:v>43</x:v>
      </x:c>
      <x:c r="F127" s="4" t="s">
        <x:v>48</x:v>
      </x:c>
      <x:c r="G127" s="19" t="n">
        <x:f>SUMIFS('المرجع'!$C$2:$C$19,'المرجع'!$A$2:$A$19,$E127,'المرجع'!$B$2:$B$19,$F127)</x:f>
        <x:v>30</x:v>
      </x:c>
      <x:c r="H127" s="18" t="n">
        <x:v>51</x:v>
      </x:c>
      <x:c r="I127" s="20" t="n">
        <x:f t="shared" si="6">G127*H127/100</x:f>
        <x:v>15.3</x:v>
      </x:c>
    </x:row>
    <x:row r="128">
      <x:c r="A128" t="s">
        <x:v>165</x:v>
      </x:c>
      <x:c r="B128" s="4" t="s">
        <x:v>69</x:v>
      </x:c>
      <x:c r="C128" s="4" t="s">
        <x:v>70</x:v>
      </x:c>
      <x:c r="D128" s="4" t="s">
        <x:v>166</x:v>
      </x:c>
      <x:c r="E128" s="6" t="s">
        <x:v>21</x:v>
      </x:c>
      <x:c r="F128" s="4" t="s">
        <x:v>22</x:v>
      </x:c>
      <x:c r="G128" s="19" t="n">
        <x:f>SUMIFS('المرجع'!$C$2:$C$19,'المرجع'!$A$2:$A$19,$E128,'المرجع'!$B$2:$B$19,$F128)</x:f>
        <x:v>25</x:v>
      </x:c>
      <x:c r="H128" s="18" t="n">
        <x:f t="shared" ref="H128:H133" ca="1" si="13">5.49</x:f>
        <x:v>5.49</x:v>
      </x:c>
      <x:c r="I128" s="20" t="n">
        <x:f t="shared" ref="I128:I133" ca="1" si="14">G128*H128/100</x:f>
        <x:v>1.3725</x:v>
      </x:c>
    </x:row>
    <x:row r="129">
      <x:c r="A129" t="s">
        <x:v>167</x:v>
      </x:c>
      <x:c r="B129" s="4" t="s">
        <x:v>69</x:v>
      </x:c>
      <x:c r="C129" s="4" t="s">
        <x:v>70</x:v>
      </x:c>
      <x:c r="D129" s="4" t="s">
        <x:v>166</x:v>
      </x:c>
      <x:c r="E129" s="6" t="s">
        <x:v>21</x:v>
      </x:c>
      <x:c r="F129" s="4" t="s">
        <x:v>24</x:v>
      </x:c>
      <x:c r="G129" s="19" t="n">
        <x:f>SUMIFS('المرجع'!$C$2:$C$19,'المرجع'!$A$2:$A$19,$E129,'المرجع'!$B$2:$B$19,$F129)</x:f>
        <x:v>15</x:v>
      </x:c>
      <x:c r="H129" s="18" t="n">
        <x:f t="shared" ca="1" si="13"/>
        <x:v>70.24</x:v>
      </x:c>
      <x:c r="I129" s="20" t="n">
        <x:f t="shared" ca="1" si="14">G129*H129/100</x:f>
        <x:v>10.536</x:v>
      </x:c>
    </x:row>
    <x:row r="130">
      <x:c r="A130" t="s">
        <x:v>168</x:v>
      </x:c>
      <x:c r="B130" s="4" t="s">
        <x:v>69</x:v>
      </x:c>
      <x:c r="C130" s="4" t="s">
        <x:v>70</x:v>
      </x:c>
      <x:c r="D130" s="4" t="s">
        <x:v>166</x:v>
      </x:c>
      <x:c r="E130" s="6" t="s">
        <x:v>21</x:v>
      </x:c>
      <x:c r="F130" s="4" t="s">
        <x:v>26</x:v>
      </x:c>
      <x:c r="G130" s="19" t="n">
        <x:f>SUMIFS('المرجع'!$C$2:$C$19,'المرجع'!$A$2:$A$19,$E130,'المرجع'!$B$2:$B$19,$F130)</x:f>
        <x:v>15</x:v>
      </x:c>
      <x:c r="H130" s="18" t="n">
        <x:f t="shared" ca="1" si="13"/>
        <x:v>58.66</x:v>
      </x:c>
      <x:c r="I130" s="20" t="n">
        <x:f t="shared" ca="1" si="14">G130*H130/100</x:f>
        <x:v>8.799</x:v>
      </x:c>
    </x:row>
    <x:row r="131">
      <x:c r="A131" t="s">
        <x:v>169</x:v>
      </x:c>
      <x:c r="B131" s="4" t="s">
        <x:v>69</x:v>
      </x:c>
      <x:c r="C131" s="4" t="s">
        <x:v>70</x:v>
      </x:c>
      <x:c r="D131" s="4" t="s">
        <x:v>166</x:v>
      </x:c>
      <x:c r="E131" s="6" t="s">
        <x:v>21</x:v>
      </x:c>
      <x:c r="F131" s="4" t="s">
        <x:v>28</x:v>
      </x:c>
      <x:c r="G131" s="19" t="n">
        <x:f>SUMIFS('المرجع'!$C$2:$C$19,'المرجع'!$A$2:$A$19,$E131,'المرجع'!$B$2:$B$19,$F131)</x:f>
        <x:v>20</x:v>
      </x:c>
      <x:c r="H131" s="18" t="n">
        <x:f t="shared" ca="1" si="13"/>
        <x:v>27.35</x:v>
      </x:c>
      <x:c r="I131" s="20" t="n">
        <x:f t="shared" ca="1" si="14">G131*H131/100</x:f>
        <x:v>5.47</x:v>
      </x:c>
    </x:row>
    <x:row r="132">
      <x:c r="A132" t="s">
        <x:v>170</x:v>
      </x:c>
      <x:c r="B132" s="4" t="s">
        <x:v>69</x:v>
      </x:c>
      <x:c r="C132" s="4" t="s">
        <x:v>70</x:v>
      </x:c>
      <x:c r="D132" s="4" t="s">
        <x:v>166</x:v>
      </x:c>
      <x:c r="E132" s="6" t="s">
        <x:v>21</x:v>
      </x:c>
      <x:c r="F132" s="4" t="s">
        <x:v>30</x:v>
      </x:c>
      <x:c r="G132" s="19" t="n">
        <x:f>SUMIFS('المرجع'!$C$2:$C$19,'المرجع'!$A$2:$A$19,$E132,'المرجع'!$B$2:$B$19,$F132)</x:f>
        <x:v>20</x:v>
      </x:c>
      <x:c r="H132" s="18" t="n">
        <x:f t="shared" ca="1" si="13"/>
        <x:v>75.48</x:v>
      </x:c>
      <x:c r="I132" s="20" t="n">
        <x:f t="shared" ca="1" si="14">G132*H132/100</x:f>
        <x:v>15.096000000000002</x:v>
      </x:c>
    </x:row>
    <x:row r="133">
      <x:c r="A133" t="s">
        <x:v>171</x:v>
      </x:c>
      <x:c r="B133" s="4" t="s">
        <x:v>69</x:v>
      </x:c>
      <x:c r="C133" s="4" t="s">
        <x:v>70</x:v>
      </x:c>
      <x:c r="D133" s="4" t="s">
        <x:v>166</x:v>
      </x:c>
      <x:c r="E133" s="6" t="s">
        <x:v>21</x:v>
      </x:c>
      <x:c r="F133" s="4" t="s">
        <x:v>32</x:v>
      </x:c>
      <x:c r="G133" s="19" t="n">
        <x:f>SUMIFS('المرجع'!$C$2:$C$19,'المرجع'!$A$2:$A$19,$E133,'المرجع'!$B$2:$B$19,$F133)</x:f>
        <x:v>5</x:v>
      </x:c>
      <x:c r="H133" s="18" t="n">
        <x:f t="shared" ca="1" si="13"/>
        <x:v>62.86</x:v>
      </x:c>
      <x:c r="I133" s="20" t="n">
        <x:f t="shared" ca="1" si="14">G133*H133/100</x:f>
        <x:v>3.1430000000000002</x:v>
      </x:c>
    </x:row>
    <x:row r="134">
      <x:c r="A134" t="s">
        <x:v>172</x:v>
      </x:c>
      <x:c r="B134" s="4" t="s">
        <x:v>69</x:v>
      </x:c>
      <x:c r="C134" s="4" t="s">
        <x:v>70</x:v>
      </x:c>
      <x:c r="D134" s="4" t="s">
        <x:v>166</x:v>
      </x:c>
      <x:c r="E134" s="6" t="s">
        <x:v>34</x:v>
      </x:c>
      <x:c r="F134" s="4" t="s">
        <x:v>22</x:v>
      </x:c>
      <x:c r="G134" s="19" t="n">
        <x:f>SUMIFS('المرجع'!$C$2:$C$19,'المرجع'!$A$2:$A$19,$E134,'المرجع'!$B$2:$B$19,$F134)</x:f>
        <x:v>15</x:v>
      </x:c>
      <x:c r="H134" s="18" t="n">
        <x:v>78</x:v>
      </x:c>
      <x:c r="I134" s="20" t="n">
        <x:f t="shared" ref="I134:I193" si="15">G134*H134/100</x:f>
        <x:v>11.7</x:v>
      </x:c>
    </x:row>
    <x:row r="135">
      <x:c r="A135" t="s">
        <x:v>173</x:v>
      </x:c>
      <x:c r="B135" s="4" t="s">
        <x:v>69</x:v>
      </x:c>
      <x:c r="C135" s="4" t="s">
        <x:v>70</x:v>
      </x:c>
      <x:c r="D135" s="4" t="s">
        <x:v>166</x:v>
      </x:c>
      <x:c r="E135" s="6" t="s">
        <x:v>34</x:v>
      </x:c>
      <x:c r="F135" s="4" t="s">
        <x:v>24</x:v>
      </x:c>
      <x:c r="G135" s="19" t="n">
        <x:f>SUMIFS('المرجع'!$C$2:$C$19,'المرجع'!$A$2:$A$19,$E135,'المرجع'!$B$2:$B$19,$F135)</x:f>
        <x:v>15</x:v>
      </x:c>
      <x:c r="H135" s="18" t="n">
        <x:v>61</x:v>
      </x:c>
      <x:c r="I135" s="20" t="n">
        <x:f t="shared" si="15">G135*H135/100</x:f>
        <x:v>9.15</x:v>
      </x:c>
    </x:row>
    <x:row r="136">
      <x:c r="A136" t="s">
        <x:v>174</x:v>
      </x:c>
      <x:c r="B136" s="4" t="s">
        <x:v>69</x:v>
      </x:c>
      <x:c r="C136" s="4" t="s">
        <x:v>70</x:v>
      </x:c>
      <x:c r="D136" s="4" t="s">
        <x:v>166</x:v>
      </x:c>
      <x:c r="E136" s="6" t="s">
        <x:v>34</x:v>
      </x:c>
      <x:c r="F136" s="4" t="s">
        <x:v>26</x:v>
      </x:c>
      <x:c r="G136" s="19" t="n">
        <x:f>SUMIFS('المرجع'!$C$2:$C$19,'المرجع'!$A$2:$A$19,$E136,'المرجع'!$B$2:$B$19,$F136)</x:f>
        <x:v>15</x:v>
      </x:c>
      <x:c r="H136" s="18" t="n">
        <x:v>80</x:v>
      </x:c>
      <x:c r="I136" s="20" t="n">
        <x:f t="shared" si="15">G136*H136/100</x:f>
        <x:v>12</x:v>
      </x:c>
    </x:row>
    <x:row r="137">
      <x:c r="A137" t="s">
        <x:v>175</x:v>
      </x:c>
      <x:c r="B137" s="4" t="s">
        <x:v>69</x:v>
      </x:c>
      <x:c r="C137" s="4" t="s">
        <x:v>70</x:v>
      </x:c>
      <x:c r="D137" s="4" t="s">
        <x:v>166</x:v>
      </x:c>
      <x:c r="E137" s="6" t="s">
        <x:v>34</x:v>
      </x:c>
      <x:c r="F137" s="4" t="s">
        <x:v>28</x:v>
      </x:c>
      <x:c r="G137" s="19" t="n">
        <x:f>SUMIFS('المرجع'!$C$2:$C$19,'المرجع'!$A$2:$A$19,$E137,'المرجع'!$B$2:$B$19,$F137)</x:f>
        <x:v>20</x:v>
      </x:c>
      <x:c r="H137" s="18" t="n">
        <x:v>45</x:v>
      </x:c>
      <x:c r="I137" s="20" t="n">
        <x:f t="shared" si="15">G137*H137/100</x:f>
        <x:v>9</x:v>
      </x:c>
    </x:row>
    <x:row r="138">
      <x:c r="A138" t="s">
        <x:v>176</x:v>
      </x:c>
      <x:c r="B138" s="4" t="s">
        <x:v>69</x:v>
      </x:c>
      <x:c r="C138" s="4" t="s">
        <x:v>70</x:v>
      </x:c>
      <x:c r="D138" s="4" t="s">
        <x:v>166</x:v>
      </x:c>
      <x:c r="E138" s="6" t="s">
        <x:v>34</x:v>
      </x:c>
      <x:c r="F138" s="4" t="s">
        <x:v>30</x:v>
      </x:c>
      <x:c r="G138" s="19" t="n">
        <x:f>SUMIFS('المرجع'!$C$2:$C$19,'المرجع'!$A$2:$A$19,$E138,'المرجع'!$B$2:$B$19,$F138)</x:f>
        <x:v>25</x:v>
      </x:c>
      <x:c r="H138" s="18" t="n">
        <x:v>52</x:v>
      </x:c>
      <x:c r="I138" s="20" t="n">
        <x:f t="shared" si="15">G138*H138/100</x:f>
        <x:v>13</x:v>
      </x:c>
    </x:row>
    <x:row r="139">
      <x:c r="A139" t="s">
        <x:v>177</x:v>
      </x:c>
      <x:c r="B139" s="4" t="s">
        <x:v>69</x:v>
      </x:c>
      <x:c r="C139" s="4" t="s">
        <x:v>70</x:v>
      </x:c>
      <x:c r="D139" s="4" t="s">
        <x:v>166</x:v>
      </x:c>
      <x:c r="E139" s="6" t="s">
        <x:v>34</x:v>
      </x:c>
      <x:c r="F139" s="4" t="s">
        <x:v>32</x:v>
      </x:c>
      <x:c r="G139" s="19" t="n">
        <x:f>SUMIFS('المرجع'!$C$2:$C$19,'المرجع'!$A$2:$A$19,$E139,'المرجع'!$B$2:$B$19,$F139)</x:f>
        <x:v>5</x:v>
      </x:c>
      <x:c r="H139" s="18" t="n">
        <x:v>79</x:v>
      </x:c>
      <x:c r="I139" s="20" t="n">
        <x:f t="shared" si="15">G139*H139/100</x:f>
        <x:v>3.95</x:v>
      </x:c>
    </x:row>
    <x:row r="140">
      <x:c r="A140" t="s">
        <x:v>178</x:v>
      </x:c>
      <x:c r="B140" s="4" t="s">
        <x:v>69</x:v>
      </x:c>
      <x:c r="C140" s="4" t="s">
        <x:v>70</x:v>
      </x:c>
      <x:c r="D140" s="4" t="s">
        <x:v>166</x:v>
      </x:c>
      <x:c r="E140" s="6" t="s">
        <x:v>34</x:v>
      </x:c>
      <x:c r="F140" s="4" t="s">
        <x:v>41</x:v>
      </x:c>
      <x:c r="G140" s="19" t="n">
        <x:f>SUMIFS('المرجع'!$C$2:$C$19,'المرجع'!$A$2:$A$19,$E140,'المرجع'!$B$2:$B$19,$F140)</x:f>
        <x:v>5</x:v>
      </x:c>
      <x:c r="H140" s="18" t="n">
        <x:v>62</x:v>
      </x:c>
      <x:c r="I140" s="20" t="n">
        <x:f t="shared" si="15">G140*H140/100</x:f>
        <x:v>3.1</x:v>
      </x:c>
    </x:row>
    <x:row r="141">
      <x:c r="A141" t="s">
        <x:v>179</x:v>
      </x:c>
      <x:c r="B141" s="4" t="s">
        <x:v>69</x:v>
      </x:c>
      <x:c r="C141" s="4" t="s">
        <x:v>70</x:v>
      </x:c>
      <x:c r="D141" s="4" t="s">
        <x:v>166</x:v>
      </x:c>
      <x:c r="E141" s="6" t="s">
        <x:v>43</x:v>
      </x:c>
      <x:c r="F141" s="4" t="s">
        <x:v>24</x:v>
      </x:c>
      <x:c r="G141" s="19" t="n">
        <x:f>SUMIFS('المرجع'!$C$2:$C$19,'المرجع'!$A$2:$A$19,$E141,'المرجع'!$B$2:$B$19,$F141)</x:f>
        <x:v>25</x:v>
      </x:c>
      <x:c r="H141" s="18" t="n">
        <x:v>45</x:v>
      </x:c>
      <x:c r="I141" s="20" t="n">
        <x:f t="shared" si="15">G141*H141/100</x:f>
        <x:v>11.25</x:v>
      </x:c>
    </x:row>
    <x:row r="142">
      <x:c r="A142" t="s">
        <x:v>180</x:v>
      </x:c>
      <x:c r="B142" s="4" t="s">
        <x:v>69</x:v>
      </x:c>
      <x:c r="C142" s="4" t="s">
        <x:v>70</x:v>
      </x:c>
      <x:c r="D142" s="4" t="s">
        <x:v>166</x:v>
      </x:c>
      <x:c r="E142" s="6" t="s">
        <x:v>43</x:v>
      </x:c>
      <x:c r="F142" s="4" t="s">
        <x:v>26</x:v>
      </x:c>
      <x:c r="G142" s="19" t="n">
        <x:f>SUMIFS('المرجع'!$C$2:$C$19,'المرجع'!$A$2:$A$19,$E142,'المرجع'!$B$2:$B$19,$F142)</x:f>
        <x:v>15</x:v>
      </x:c>
      <x:c r="H142" s="18" t="n">
        <x:v>31</x:v>
      </x:c>
      <x:c r="I142" s="20" t="n">
        <x:f t="shared" si="15">G142*H142/100</x:f>
        <x:v>4.65</x:v>
      </x:c>
    </x:row>
    <x:row r="143">
      <x:c r="A143" t="s">
        <x:v>181</x:v>
      </x:c>
      <x:c r="B143" s="4" t="s">
        <x:v>69</x:v>
      </x:c>
      <x:c r="C143" s="4" t="s">
        <x:v>70</x:v>
      </x:c>
      <x:c r="D143" s="4" t="s">
        <x:v>166</x:v>
      </x:c>
      <x:c r="E143" s="6" t="s">
        <x:v>43</x:v>
      </x:c>
      <x:c r="F143" s="4" t="s">
        <x:v>30</x:v>
      </x:c>
      <x:c r="G143" s="19" t="n">
        <x:f>SUMIFS('المرجع'!$C$2:$C$19,'المرجع'!$A$2:$A$19,$E143,'المرجع'!$B$2:$B$19,$F143)</x:f>
        <x:v>15</x:v>
      </x:c>
      <x:c r="H143" s="18" t="n">
        <x:v>42</x:v>
      </x:c>
      <x:c r="I143" s="20" t="n">
        <x:f t="shared" si="15">G143*H143/100</x:f>
        <x:v>6.3</x:v>
      </x:c>
    </x:row>
    <x:row r="144">
      <x:c r="A144" t="s">
        <x:v>182</x:v>
      </x:c>
      <x:c r="B144" s="4" t="s">
        <x:v>69</x:v>
      </x:c>
      <x:c r="C144" s="4" t="s">
        <x:v>70</x:v>
      </x:c>
      <x:c r="D144" s="4" t="s">
        <x:v>166</x:v>
      </x:c>
      <x:c r="E144" s="6" t="s">
        <x:v>43</x:v>
      </x:c>
      <x:c r="F144" s="4" t="s">
        <x:v>32</x:v>
      </x:c>
      <x:c r="G144" s="19" t="n">
        <x:f>SUMIFS('المرجع'!$C$2:$C$19,'المرجع'!$A$2:$A$19,$E144,'المرجع'!$B$2:$B$19,$F144)</x:f>
        <x:v>15</x:v>
      </x:c>
      <x:c r="H144" s="18" t="n">
        <x:v>51</x:v>
      </x:c>
      <x:c r="I144" s="20" t="n">
        <x:f t="shared" si="15">G144*H144/100</x:f>
        <x:v>7.65</x:v>
      </x:c>
    </x:row>
    <x:row r="145">
      <x:c r="A145" t="s">
        <x:v>183</x:v>
      </x:c>
      <x:c r="B145" s="4" t="s">
        <x:v>69</x:v>
      </x:c>
      <x:c r="C145" s="4" t="s">
        <x:v>70</x:v>
      </x:c>
      <x:c r="D145" s="4" t="s">
        <x:v>166</x:v>
      </x:c>
      <x:c r="E145" s="6" t="s">
        <x:v>43</x:v>
      </x:c>
      <x:c r="F145" s="4" t="s">
        <x:v>48</x:v>
      </x:c>
      <x:c r="G145" s="19" t="n">
        <x:f>SUMIFS('المرجع'!$C$2:$C$19,'المرجع'!$A$2:$A$19,$E145,'المرجع'!$B$2:$B$19,$F145)</x:f>
        <x:v>30</x:v>
      </x:c>
      <x:c r="H145" s="18" t="n">
        <x:v>34</x:v>
      </x:c>
      <x:c r="I145" s="20" t="n">
        <x:f t="shared" si="15">G145*H145/100</x:f>
        <x:v>10.2</x:v>
      </x:c>
    </x:row>
    <x:row r="146">
      <x:c r="A146" t="s">
        <x:v>184</x:v>
      </x:c>
      <x:c r="B146" s="4" t="s">
        <x:v>69</x:v>
      </x:c>
      <x:c r="C146" s="4" t="s">
        <x:v>70</x:v>
      </x:c>
      <x:c r="D146" s="4" t="s">
        <x:v>185</x:v>
      </x:c>
      <x:c r="E146" s="6" t="s">
        <x:v>21</x:v>
      </x:c>
      <x:c r="F146" s="4" t="s">
        <x:v>22</x:v>
      </x:c>
      <x:c r="G146" s="19" t="n">
        <x:f>SUMIFS('المرجع'!$C$2:$C$19,'المرجع'!$A$2:$A$19,$E146,'المرجع'!$B$2:$B$19,$F146)</x:f>
        <x:v>25</x:v>
      </x:c>
      <x:c r="H146" s="18" t="n">
        <x:f t="shared" ref="H146:H151" ca="1" si="16">4.4</x:f>
        <x:v>4.4</x:v>
      </x:c>
      <x:c r="I146" s="20" t="n">
        <x:f t="shared" ref="I146:I151" ca="1" si="17">G146*H146/100</x:f>
        <x:v>1.1</x:v>
      </x:c>
    </x:row>
    <x:row r="147">
      <x:c r="A147" t="s">
        <x:v>186</x:v>
      </x:c>
      <x:c r="B147" s="4" t="s">
        <x:v>69</x:v>
      </x:c>
      <x:c r="C147" s="4" t="s">
        <x:v>70</x:v>
      </x:c>
      <x:c r="D147" s="4" t="s">
        <x:v>185</x:v>
      </x:c>
      <x:c r="E147" s="6" t="s">
        <x:v>21</x:v>
      </x:c>
      <x:c r="F147" s="4" t="s">
        <x:v>24</x:v>
      </x:c>
      <x:c r="G147" s="19" t="n">
        <x:f>SUMIFS('المرجع'!$C$2:$C$19,'المرجع'!$A$2:$A$19,$E147,'المرجع'!$B$2:$B$19,$F147)</x:f>
        <x:v>15</x:v>
      </x:c>
      <x:c r="H147" s="18" t="n">
        <x:f t="shared" ca="1" si="16"/>
        <x:v>73.02</x:v>
      </x:c>
      <x:c r="I147" s="20" t="n">
        <x:f t="shared" ca="1" si="17">G147*H147/100</x:f>
        <x:v>10.953</x:v>
      </x:c>
    </x:row>
    <x:row r="148">
      <x:c r="A148" t="s">
        <x:v>187</x:v>
      </x:c>
      <x:c r="B148" s="4" t="s">
        <x:v>69</x:v>
      </x:c>
      <x:c r="C148" s="4" t="s">
        <x:v>70</x:v>
      </x:c>
      <x:c r="D148" s="4" t="s">
        <x:v>185</x:v>
      </x:c>
      <x:c r="E148" s="6" t="s">
        <x:v>21</x:v>
      </x:c>
      <x:c r="F148" s="4" t="s">
        <x:v>26</x:v>
      </x:c>
      <x:c r="G148" s="19" t="n">
        <x:f>SUMIFS('المرجع'!$C$2:$C$19,'المرجع'!$A$2:$A$19,$E148,'المرجع'!$B$2:$B$19,$F148)</x:f>
        <x:v>15</x:v>
      </x:c>
      <x:c r="H148" s="18" t="n">
        <x:f t="shared" ca="1" si="16"/>
        <x:v>6.65</x:v>
      </x:c>
      <x:c r="I148" s="20" t="n">
        <x:f t="shared" ca="1" si="17">G148*H148/100</x:f>
        <x:v>0.9975</x:v>
      </x:c>
    </x:row>
    <x:row r="149">
      <x:c r="A149" t="s">
        <x:v>188</x:v>
      </x:c>
      <x:c r="B149" s="4" t="s">
        <x:v>69</x:v>
      </x:c>
      <x:c r="C149" s="4" t="s">
        <x:v>70</x:v>
      </x:c>
      <x:c r="D149" s="4" t="s">
        <x:v>185</x:v>
      </x:c>
      <x:c r="E149" s="6" t="s">
        <x:v>21</x:v>
      </x:c>
      <x:c r="F149" s="4" t="s">
        <x:v>28</x:v>
      </x:c>
      <x:c r="G149" s="19" t="n">
        <x:f>SUMIFS('المرجع'!$C$2:$C$19,'المرجع'!$A$2:$A$19,$E149,'المرجع'!$B$2:$B$19,$F149)</x:f>
        <x:v>20</x:v>
      </x:c>
      <x:c r="H149" s="18" t="n">
        <x:f t="shared" ca="1" si="16"/>
        <x:v>54.8</x:v>
      </x:c>
      <x:c r="I149" s="20" t="n">
        <x:f t="shared" ca="1" si="17">G149*H149/100</x:f>
        <x:v>10.96</x:v>
      </x:c>
    </x:row>
    <x:row r="150">
      <x:c r="A150" t="s">
        <x:v>189</x:v>
      </x:c>
      <x:c r="B150" s="4" t="s">
        <x:v>69</x:v>
      </x:c>
      <x:c r="C150" s="4" t="s">
        <x:v>70</x:v>
      </x:c>
      <x:c r="D150" s="4" t="s">
        <x:v>185</x:v>
      </x:c>
      <x:c r="E150" s="6" t="s">
        <x:v>21</x:v>
      </x:c>
      <x:c r="F150" s="4" t="s">
        <x:v>30</x:v>
      </x:c>
      <x:c r="G150" s="19" t="n">
        <x:f>SUMIFS('المرجع'!$C$2:$C$19,'المرجع'!$A$2:$A$19,$E150,'المرجع'!$B$2:$B$19,$F150)</x:f>
        <x:v>20</x:v>
      </x:c>
      <x:c r="H150" s="18" t="n">
        <x:f t="shared" ca="1" si="16"/>
        <x:v>42.69</x:v>
      </x:c>
      <x:c r="I150" s="20" t="n">
        <x:f t="shared" ca="1" si="17">G150*H150/100</x:f>
        <x:v>8.538</x:v>
      </x:c>
    </x:row>
    <x:row r="151">
      <x:c r="A151" t="s">
        <x:v>190</x:v>
      </x:c>
      <x:c r="B151" s="4" t="s">
        <x:v>69</x:v>
      </x:c>
      <x:c r="C151" s="4" t="s">
        <x:v>70</x:v>
      </x:c>
      <x:c r="D151" s="4" t="s">
        <x:v>185</x:v>
      </x:c>
      <x:c r="E151" s="6" t="s">
        <x:v>21</x:v>
      </x:c>
      <x:c r="F151" s="4" t="s">
        <x:v>32</x:v>
      </x:c>
      <x:c r="G151" s="19" t="n">
        <x:f>SUMIFS('المرجع'!$C$2:$C$19,'المرجع'!$A$2:$A$19,$E151,'المرجع'!$B$2:$B$19,$F151)</x:f>
        <x:v>5</x:v>
      </x:c>
      <x:c r="H151" s="18" t="n">
        <x:f t="shared" ca="1" si="16"/>
        <x:v>68.45</x:v>
      </x:c>
      <x:c r="I151" s="20" t="n">
        <x:f t="shared" ca="1" si="17">G151*H151/100</x:f>
        <x:v>3.4225</x:v>
      </x:c>
    </x:row>
    <x:row r="152">
      <x:c r="A152" t="s">
        <x:v>191</x:v>
      </x:c>
      <x:c r="B152" s="4" t="s">
        <x:v>69</x:v>
      </x:c>
      <x:c r="C152" s="4" t="s">
        <x:v>70</x:v>
      </x:c>
      <x:c r="D152" s="4" t="s">
        <x:v>185</x:v>
      </x:c>
      <x:c r="E152" s="6" t="s">
        <x:v>34</x:v>
      </x:c>
      <x:c r="F152" s="4" t="s">
        <x:v>22</x:v>
      </x:c>
      <x:c r="G152" s="19" t="n">
        <x:f>SUMIFS('المرجع'!$C$2:$C$19,'المرجع'!$A$2:$A$19,$E152,'المرجع'!$B$2:$B$19,$F152)</x:f>
        <x:v>15</x:v>
      </x:c>
      <x:c r="H152" s="18" t="n">
        <x:v>51</x:v>
      </x:c>
      <x:c r="I152" s="20" t="n">
        <x:f t="shared" si="15">G152*H152/100</x:f>
        <x:v>7.65</x:v>
      </x:c>
    </x:row>
    <x:row r="153">
      <x:c r="A153" t="s">
        <x:v>192</x:v>
      </x:c>
      <x:c r="B153" s="4" t="s">
        <x:v>69</x:v>
      </x:c>
      <x:c r="C153" s="4" t="s">
        <x:v>70</x:v>
      </x:c>
      <x:c r="D153" s="4" t="s">
        <x:v>185</x:v>
      </x:c>
      <x:c r="E153" s="6" t="s">
        <x:v>34</x:v>
      </x:c>
      <x:c r="F153" s="4" t="s">
        <x:v>24</x:v>
      </x:c>
      <x:c r="G153" s="19" t="n">
        <x:f>SUMIFS('المرجع'!$C$2:$C$19,'المرجع'!$A$2:$A$19,$E153,'المرجع'!$B$2:$B$19,$F153)</x:f>
        <x:v>15</x:v>
      </x:c>
      <x:c r="H153" s="18" t="n">
        <x:v>64</x:v>
      </x:c>
      <x:c r="I153" s="20" t="n">
        <x:f t="shared" si="15">G153*H153/100</x:f>
        <x:v>9.6</x:v>
      </x:c>
    </x:row>
    <x:row r="154">
      <x:c r="A154" t="s">
        <x:v>193</x:v>
      </x:c>
      <x:c r="B154" s="4" t="s">
        <x:v>69</x:v>
      </x:c>
      <x:c r="C154" s="4" t="s">
        <x:v>70</x:v>
      </x:c>
      <x:c r="D154" s="4" t="s">
        <x:v>185</x:v>
      </x:c>
      <x:c r="E154" s="6" t="s">
        <x:v>34</x:v>
      </x:c>
      <x:c r="F154" s="4" t="s">
        <x:v>26</x:v>
      </x:c>
      <x:c r="G154" s="19" t="n">
        <x:f>SUMIFS('المرجع'!$C$2:$C$19,'المرجع'!$A$2:$A$19,$E154,'المرجع'!$B$2:$B$19,$F154)</x:f>
        <x:v>15</x:v>
      </x:c>
      <x:c r="H154" s="18" t="n">
        <x:v>77</x:v>
      </x:c>
      <x:c r="I154" s="20" t="n">
        <x:f t="shared" si="15">G154*H154/100</x:f>
        <x:v>11.55</x:v>
      </x:c>
    </x:row>
    <x:row r="155">
      <x:c r="A155" t="s">
        <x:v>194</x:v>
      </x:c>
      <x:c r="B155" s="4" t="s">
        <x:v>69</x:v>
      </x:c>
      <x:c r="C155" s="4" t="s">
        <x:v>70</x:v>
      </x:c>
      <x:c r="D155" s="4" t="s">
        <x:v>185</x:v>
      </x:c>
      <x:c r="E155" s="6" t="s">
        <x:v>34</x:v>
      </x:c>
      <x:c r="F155" s="4" t="s">
        <x:v>28</x:v>
      </x:c>
      <x:c r="G155" s="19" t="n">
        <x:f>SUMIFS('المرجع'!$C$2:$C$19,'المرجع'!$A$2:$A$19,$E155,'المرجع'!$B$2:$B$19,$F155)</x:f>
        <x:v>20</x:v>
      </x:c>
      <x:c r="H155" s="18" t="n">
        <x:v>57</x:v>
      </x:c>
      <x:c r="I155" s="20" t="n">
        <x:f t="shared" si="15">G155*H155/100</x:f>
        <x:v>11.4</x:v>
      </x:c>
    </x:row>
    <x:row r="156">
      <x:c r="A156" t="s">
        <x:v>195</x:v>
      </x:c>
      <x:c r="B156" s="4" t="s">
        <x:v>69</x:v>
      </x:c>
      <x:c r="C156" s="4" t="s">
        <x:v>70</x:v>
      </x:c>
      <x:c r="D156" s="4" t="s">
        <x:v>185</x:v>
      </x:c>
      <x:c r="E156" s="6" t="s">
        <x:v>34</x:v>
      </x:c>
      <x:c r="F156" s="4" t="s">
        <x:v>30</x:v>
      </x:c>
      <x:c r="G156" s="19" t="n">
        <x:f>SUMIFS('المرجع'!$C$2:$C$19,'المرجع'!$A$2:$A$19,$E156,'المرجع'!$B$2:$B$19,$F156)</x:f>
        <x:v>25</x:v>
      </x:c>
      <x:c r="H156" s="18" t="n">
        <x:v>54</x:v>
      </x:c>
      <x:c r="I156" s="20" t="n">
        <x:f t="shared" si="15">G156*H156/100</x:f>
        <x:v>13.5</x:v>
      </x:c>
    </x:row>
    <x:row r="157">
      <x:c r="A157" t="s">
        <x:v>196</x:v>
      </x:c>
      <x:c r="B157" s="4" t="s">
        <x:v>69</x:v>
      </x:c>
      <x:c r="C157" s="4" t="s">
        <x:v>70</x:v>
      </x:c>
      <x:c r="D157" s="4" t="s">
        <x:v>185</x:v>
      </x:c>
      <x:c r="E157" s="6" t="s">
        <x:v>34</x:v>
      </x:c>
      <x:c r="F157" s="4" t="s">
        <x:v>32</x:v>
      </x:c>
      <x:c r="G157" s="19" t="n">
        <x:f>SUMIFS('المرجع'!$C$2:$C$19,'المرجع'!$A$2:$A$19,$E157,'المرجع'!$B$2:$B$19,$F157)</x:f>
        <x:v>5</x:v>
      </x:c>
      <x:c r="H157" s="18" t="n">
        <x:v>68</x:v>
      </x:c>
      <x:c r="I157" s="20" t="n">
        <x:f t="shared" si="15">G157*H157/100</x:f>
        <x:v>3.4</x:v>
      </x:c>
    </x:row>
    <x:row r="158">
      <x:c r="A158" t="s">
        <x:v>197</x:v>
      </x:c>
      <x:c r="B158" s="4" t="s">
        <x:v>69</x:v>
      </x:c>
      <x:c r="C158" s="4" t="s">
        <x:v>70</x:v>
      </x:c>
      <x:c r="D158" s="4" t="s">
        <x:v>185</x:v>
      </x:c>
      <x:c r="E158" s="6" t="s">
        <x:v>34</x:v>
      </x:c>
      <x:c r="F158" s="4" t="s">
        <x:v>41</x:v>
      </x:c>
      <x:c r="G158" s="19" t="n">
        <x:f>SUMIFS('المرجع'!$C$2:$C$19,'المرجع'!$A$2:$A$19,$E158,'المرجع'!$B$2:$B$19,$F158)</x:f>
        <x:v>5</x:v>
      </x:c>
      <x:c r="H158" s="18" t="n">
        <x:v>55</x:v>
      </x:c>
      <x:c r="I158" s="20" t="n">
        <x:f t="shared" si="15">G158*H158/100</x:f>
        <x:v>2.75</x:v>
      </x:c>
    </x:row>
    <x:row r="159">
      <x:c r="A159" t="s">
        <x:v>198</x:v>
      </x:c>
      <x:c r="B159" s="4" t="s">
        <x:v>69</x:v>
      </x:c>
      <x:c r="C159" s="4" t="s">
        <x:v>70</x:v>
      </x:c>
      <x:c r="D159" s="4" t="s">
        <x:v>185</x:v>
      </x:c>
      <x:c r="E159" s="6" t="s">
        <x:v>43</x:v>
      </x:c>
      <x:c r="F159" s="4" t="s">
        <x:v>24</x:v>
      </x:c>
      <x:c r="G159" s="19" t="n">
        <x:f>SUMIFS('المرجع'!$C$2:$C$19,'المرجع'!$A$2:$A$19,$E159,'المرجع'!$B$2:$B$19,$F159)</x:f>
        <x:v>25</x:v>
      </x:c>
      <x:c r="H159" s="18" t="n">
        <x:v>23</x:v>
      </x:c>
      <x:c r="I159" s="20" t="n">
        <x:f t="shared" si="15">G159*H159/100</x:f>
        <x:v>5.75</x:v>
      </x:c>
    </x:row>
    <x:row r="160">
      <x:c r="A160" t="s">
        <x:v>199</x:v>
      </x:c>
      <x:c r="B160" s="4" t="s">
        <x:v>69</x:v>
      </x:c>
      <x:c r="C160" s="4" t="s">
        <x:v>70</x:v>
      </x:c>
      <x:c r="D160" s="4" t="s">
        <x:v>185</x:v>
      </x:c>
      <x:c r="E160" s="6" t="s">
        <x:v>43</x:v>
      </x:c>
      <x:c r="F160" s="4" t="s">
        <x:v>26</x:v>
      </x:c>
      <x:c r="G160" s="19" t="n">
        <x:f>SUMIFS('المرجع'!$C$2:$C$19,'المرجع'!$A$2:$A$19,$E160,'المرجع'!$B$2:$B$19,$F160)</x:f>
        <x:v>15</x:v>
      </x:c>
      <x:c r="H160" s="18" t="n">
        <x:v>27</x:v>
      </x:c>
      <x:c r="I160" s="20" t="n">
        <x:f t="shared" si="15">G160*H160/100</x:f>
        <x:v>4.05</x:v>
      </x:c>
    </x:row>
    <x:row r="161">
      <x:c r="A161" t="s">
        <x:v>200</x:v>
      </x:c>
      <x:c r="B161" s="4" t="s">
        <x:v>69</x:v>
      </x:c>
      <x:c r="C161" s="4" t="s">
        <x:v>70</x:v>
      </x:c>
      <x:c r="D161" s="4" t="s">
        <x:v>185</x:v>
      </x:c>
      <x:c r="E161" s="6" t="s">
        <x:v>43</x:v>
      </x:c>
      <x:c r="F161" s="4" t="s">
        <x:v>30</x:v>
      </x:c>
      <x:c r="G161" s="19" t="n">
        <x:f>SUMIFS('المرجع'!$C$2:$C$19,'المرجع'!$A$2:$A$19,$E161,'المرجع'!$B$2:$B$19,$F161)</x:f>
        <x:v>15</x:v>
      </x:c>
      <x:c r="H161" s="18" t="n">
        <x:v>23</x:v>
      </x:c>
      <x:c r="I161" s="20" t="n">
        <x:f t="shared" si="15">G161*H161/100</x:f>
        <x:v>3.45</x:v>
      </x:c>
    </x:row>
    <x:row r="162">
      <x:c r="A162" t="s">
        <x:v>201</x:v>
      </x:c>
      <x:c r="B162" s="4" t="s">
        <x:v>69</x:v>
      </x:c>
      <x:c r="C162" s="4" t="s">
        <x:v>70</x:v>
      </x:c>
      <x:c r="D162" s="4" t="s">
        <x:v>185</x:v>
      </x:c>
      <x:c r="E162" s="6" t="s">
        <x:v>43</x:v>
      </x:c>
      <x:c r="F162" s="4" t="s">
        <x:v>32</x:v>
      </x:c>
      <x:c r="G162" s="19" t="n">
        <x:f>SUMIFS('المرجع'!$C$2:$C$19,'المرجع'!$A$2:$A$19,$E162,'المرجع'!$B$2:$B$19,$F162)</x:f>
        <x:v>15</x:v>
      </x:c>
      <x:c r="H162" s="18" t="n">
        <x:v>15</x:v>
      </x:c>
      <x:c r="I162" s="20" t="n">
        <x:f t="shared" si="15">G162*H162/100</x:f>
        <x:v>2.25</x:v>
      </x:c>
    </x:row>
    <x:row r="163">
      <x:c r="A163" t="s">
        <x:v>202</x:v>
      </x:c>
      <x:c r="B163" s="4" t="s">
        <x:v>69</x:v>
      </x:c>
      <x:c r="C163" s="4" t="s">
        <x:v>70</x:v>
      </x:c>
      <x:c r="D163" s="4" t="s">
        <x:v>185</x:v>
      </x:c>
      <x:c r="E163" s="6" t="s">
        <x:v>43</x:v>
      </x:c>
      <x:c r="F163" s="4" t="s">
        <x:v>48</x:v>
      </x:c>
      <x:c r="G163" s="19" t="n">
        <x:f>SUMIFS('المرجع'!$C$2:$C$19,'المرجع'!$A$2:$A$19,$E163,'المرجع'!$B$2:$B$19,$F163)</x:f>
        <x:v>30</x:v>
      </x:c>
      <x:c r="H163" s="18" t="n">
        <x:v>24</x:v>
      </x:c>
      <x:c r="I163" s="20" t="n">
        <x:f t="shared" si="15">G163*H163/100</x:f>
        <x:v>7.2</x:v>
      </x:c>
    </x:row>
    <x:row r="164">
      <x:c r="A164" t="s">
        <x:v>203</x:v>
      </x:c>
      <x:c r="B164" s="4" t="s">
        <x:v>69</x:v>
      </x:c>
      <x:c r="C164" s="4" t="s">
        <x:v>204</x:v>
      </x:c>
      <x:c r="D164" s="4" t="s">
        <x:v>205</x:v>
      </x:c>
      <x:c r="E164" s="6" t="s">
        <x:v>21</x:v>
      </x:c>
      <x:c r="F164" s="4" t="s">
        <x:v>22</x:v>
      </x:c>
      <x:c r="G164" s="19" t="n">
        <x:f>SUMIFS('المرجع'!$C$2:$C$19,'المرجع'!$A$2:$A$19,$E164,'المرجع'!$B$2:$B$19,$F164)</x:f>
        <x:v>25</x:v>
      </x:c>
      <x:c r="H164" s="18" t="n">
        <x:f t="shared" ref="H164:H169" ca="1" si="18">65.95</x:f>
        <x:v>65.95</x:v>
      </x:c>
      <x:c r="I164" s="20" t="n">
        <x:f t="shared" ref="I164:I169" ca="1" si="19">G164*H164/100</x:f>
        <x:v>16.4875</x:v>
      </x:c>
    </x:row>
    <x:row r="165">
      <x:c r="A165" t="s">
        <x:v>206</x:v>
      </x:c>
      <x:c r="B165" s="4" t="s">
        <x:v>69</x:v>
      </x:c>
      <x:c r="C165" s="4" t="s">
        <x:v>204</x:v>
      </x:c>
      <x:c r="D165" s="4" t="s">
        <x:v>205</x:v>
      </x:c>
      <x:c r="E165" s="6" t="s">
        <x:v>21</x:v>
      </x:c>
      <x:c r="F165" s="4" t="s">
        <x:v>24</x:v>
      </x:c>
      <x:c r="G165" s="19" t="n">
        <x:f>SUMIFS('المرجع'!$C$2:$C$19,'المرجع'!$A$2:$A$19,$E165,'المرجع'!$B$2:$B$19,$F165)</x:f>
        <x:v>15</x:v>
      </x:c>
      <x:c r="H165" s="18" t="n">
        <x:f t="shared" ca="1" si="18"/>
        <x:v>66.56</x:v>
      </x:c>
      <x:c r="I165" s="20" t="n">
        <x:f t="shared" ca="1" si="19">G165*H165/100</x:f>
        <x:v>9.984000000000002</x:v>
      </x:c>
    </x:row>
    <x:row r="166">
      <x:c r="A166" t="s">
        <x:v>207</x:v>
      </x:c>
      <x:c r="B166" s="4" t="s">
        <x:v>69</x:v>
      </x:c>
      <x:c r="C166" s="4" t="s">
        <x:v>204</x:v>
      </x:c>
      <x:c r="D166" s="4" t="s">
        <x:v>205</x:v>
      </x:c>
      <x:c r="E166" s="6" t="s">
        <x:v>21</x:v>
      </x:c>
      <x:c r="F166" s="4" t="s">
        <x:v>26</x:v>
      </x:c>
      <x:c r="G166" s="19" t="n">
        <x:f>SUMIFS('المرجع'!$C$2:$C$19,'المرجع'!$A$2:$A$19,$E166,'المرجع'!$B$2:$B$19,$F166)</x:f>
        <x:v>15</x:v>
      </x:c>
      <x:c r="H166" s="18" t="n">
        <x:f t="shared" ca="1" si="18"/>
        <x:v>30.09</x:v>
      </x:c>
      <x:c r="I166" s="20" t="n">
        <x:f t="shared" ca="1" si="19">G166*H166/100</x:f>
        <x:v>4.5135000000000005</x:v>
      </x:c>
    </x:row>
    <x:row r="167">
      <x:c r="A167" t="s">
        <x:v>208</x:v>
      </x:c>
      <x:c r="B167" s="4" t="s">
        <x:v>69</x:v>
      </x:c>
      <x:c r="C167" s="4" t="s">
        <x:v>204</x:v>
      </x:c>
      <x:c r="D167" s="4" t="s">
        <x:v>205</x:v>
      </x:c>
      <x:c r="E167" s="6" t="s">
        <x:v>21</x:v>
      </x:c>
      <x:c r="F167" s="4" t="s">
        <x:v>28</x:v>
      </x:c>
      <x:c r="G167" s="19" t="n">
        <x:f>SUMIFS('المرجع'!$C$2:$C$19,'المرجع'!$A$2:$A$19,$E167,'المرجع'!$B$2:$B$19,$F167)</x:f>
        <x:v>20</x:v>
      </x:c>
      <x:c r="H167" s="18" t="n">
        <x:f t="shared" ca="1" si="18"/>
        <x:v>17.87</x:v>
      </x:c>
      <x:c r="I167" s="20" t="n">
        <x:f t="shared" ca="1" si="19">G167*H167/100</x:f>
        <x:v>3.5740000000000003</x:v>
      </x:c>
    </x:row>
    <x:row r="168">
      <x:c r="A168" t="s">
        <x:v>209</x:v>
      </x:c>
      <x:c r="B168" s="4" t="s">
        <x:v>69</x:v>
      </x:c>
      <x:c r="C168" s="4" t="s">
        <x:v>204</x:v>
      </x:c>
      <x:c r="D168" s="4" t="s">
        <x:v>205</x:v>
      </x:c>
      <x:c r="E168" s="6" t="s">
        <x:v>21</x:v>
      </x:c>
      <x:c r="F168" s="4" t="s">
        <x:v>30</x:v>
      </x:c>
      <x:c r="G168" s="19" t="n">
        <x:f>SUMIFS('المرجع'!$C$2:$C$19,'المرجع'!$A$2:$A$19,$E168,'المرجع'!$B$2:$B$19,$F168)</x:f>
        <x:v>20</x:v>
      </x:c>
      <x:c r="H168" s="18" t="n">
        <x:f t="shared" ca="1" si="18"/>
        <x:v>42.26</x:v>
      </x:c>
      <x:c r="I168" s="20" t="n">
        <x:f t="shared" ca="1" si="19">G168*H168/100</x:f>
        <x:v>8.452</x:v>
      </x:c>
    </x:row>
    <x:row r="169">
      <x:c r="A169" t="s">
        <x:v>210</x:v>
      </x:c>
      <x:c r="B169" s="4" t="s">
        <x:v>69</x:v>
      </x:c>
      <x:c r="C169" s="4" t="s">
        <x:v>204</x:v>
      </x:c>
      <x:c r="D169" s="4" t="s">
        <x:v>205</x:v>
      </x:c>
      <x:c r="E169" s="6" t="s">
        <x:v>21</x:v>
      </x:c>
      <x:c r="F169" s="4" t="s">
        <x:v>32</x:v>
      </x:c>
      <x:c r="G169" s="19" t="n">
        <x:f>SUMIFS('المرجع'!$C$2:$C$19,'المرجع'!$A$2:$A$19,$E169,'المرجع'!$B$2:$B$19,$F169)</x:f>
        <x:v>5</x:v>
      </x:c>
      <x:c r="H169" s="18" t="n">
        <x:f t="shared" ca="1" si="18"/>
        <x:v>83.26</x:v>
      </x:c>
      <x:c r="I169" s="20" t="n">
        <x:f t="shared" ca="1" si="19">G169*H169/100</x:f>
        <x:v>4.163</x:v>
      </x:c>
    </x:row>
    <x:row r="170">
      <x:c r="A170" t="s">
        <x:v>211</x:v>
      </x:c>
      <x:c r="B170" s="4" t="s">
        <x:v>69</x:v>
      </x:c>
      <x:c r="C170" s="4" t="s">
        <x:v>204</x:v>
      </x:c>
      <x:c r="D170" s="4" t="s">
        <x:v>205</x:v>
      </x:c>
      <x:c r="E170" s="6" t="s">
        <x:v>34</x:v>
      </x:c>
      <x:c r="F170" s="4" t="s">
        <x:v>22</x:v>
      </x:c>
      <x:c r="G170" s="19" t="n">
        <x:f>SUMIFS('المرجع'!$C$2:$C$19,'المرجع'!$A$2:$A$19,$E170,'المرجع'!$B$2:$B$19,$F170)</x:f>
        <x:v>15</x:v>
      </x:c>
      <x:c r="H170" s="18" t="n">
        <x:v>60</x:v>
      </x:c>
      <x:c r="I170" s="20" t="n">
        <x:f t="shared" si="15">G170*H170/100</x:f>
        <x:v>9</x:v>
      </x:c>
    </x:row>
    <x:row r="171">
      <x:c r="A171" t="s">
        <x:v>212</x:v>
      </x:c>
      <x:c r="B171" s="4" t="s">
        <x:v>69</x:v>
      </x:c>
      <x:c r="C171" s="4" t="s">
        <x:v>204</x:v>
      </x:c>
      <x:c r="D171" s="4" t="s">
        <x:v>205</x:v>
      </x:c>
      <x:c r="E171" s="6" t="s">
        <x:v>34</x:v>
      </x:c>
      <x:c r="F171" s="4" t="s">
        <x:v>24</x:v>
      </x:c>
      <x:c r="G171" s="19" t="n">
        <x:f>SUMIFS('المرجع'!$C$2:$C$19,'المرجع'!$A$2:$A$19,$E171,'المرجع'!$B$2:$B$19,$F171)</x:f>
        <x:v>15</x:v>
      </x:c>
      <x:c r="H171" s="18" t="n">
        <x:v>48</x:v>
      </x:c>
      <x:c r="I171" s="20" t="n">
        <x:f t="shared" si="15">G171*H171/100</x:f>
        <x:v>7.2</x:v>
      </x:c>
    </x:row>
    <x:row r="172">
      <x:c r="A172" t="s">
        <x:v>213</x:v>
      </x:c>
      <x:c r="B172" s="4" t="s">
        <x:v>69</x:v>
      </x:c>
      <x:c r="C172" s="4" t="s">
        <x:v>204</x:v>
      </x:c>
      <x:c r="D172" s="4" t="s">
        <x:v>205</x:v>
      </x:c>
      <x:c r="E172" s="6" t="s">
        <x:v>34</x:v>
      </x:c>
      <x:c r="F172" s="4" t="s">
        <x:v>26</x:v>
      </x:c>
      <x:c r="G172" s="19" t="n">
        <x:f>SUMIFS('المرجع'!$C$2:$C$19,'المرجع'!$A$2:$A$19,$E172,'المرجع'!$B$2:$B$19,$F172)</x:f>
        <x:v>15</x:v>
      </x:c>
      <x:c r="H172" s="18" t="n">
        <x:v>60</x:v>
      </x:c>
      <x:c r="I172" s="20" t="n">
        <x:f t="shared" si="15">G172*H172/100</x:f>
        <x:v>9</x:v>
      </x:c>
    </x:row>
    <x:row r="173">
      <x:c r="A173" t="s">
        <x:v>214</x:v>
      </x:c>
      <x:c r="B173" s="4" t="s">
        <x:v>69</x:v>
      </x:c>
      <x:c r="C173" s="4" t="s">
        <x:v>204</x:v>
      </x:c>
      <x:c r="D173" s="4" t="s">
        <x:v>205</x:v>
      </x:c>
      <x:c r="E173" s="6" t="s">
        <x:v>34</x:v>
      </x:c>
      <x:c r="F173" s="4" t="s">
        <x:v>28</x:v>
      </x:c>
      <x:c r="G173" s="19" t="n">
        <x:f>SUMIFS('المرجع'!$C$2:$C$19,'المرجع'!$A$2:$A$19,$E173,'المرجع'!$B$2:$B$19,$F173)</x:f>
        <x:v>20</x:v>
      </x:c>
      <x:c r="H173" s="18" t="n">
        <x:v>81</x:v>
      </x:c>
      <x:c r="I173" s="20" t="n">
        <x:f t="shared" si="15">G173*H173/100</x:f>
        <x:v>16.2</x:v>
      </x:c>
    </x:row>
    <x:row r="174">
      <x:c r="A174" t="s">
        <x:v>215</x:v>
      </x:c>
      <x:c r="B174" s="4" t="s">
        <x:v>69</x:v>
      </x:c>
      <x:c r="C174" s="4" t="s">
        <x:v>204</x:v>
      </x:c>
      <x:c r="D174" s="4" t="s">
        <x:v>205</x:v>
      </x:c>
      <x:c r="E174" s="6" t="s">
        <x:v>34</x:v>
      </x:c>
      <x:c r="F174" s="4" t="s">
        <x:v>30</x:v>
      </x:c>
      <x:c r="G174" s="19" t="n">
        <x:f>SUMIFS('المرجع'!$C$2:$C$19,'المرجع'!$A$2:$A$19,$E174,'المرجع'!$B$2:$B$19,$F174)</x:f>
        <x:v>25</x:v>
      </x:c>
      <x:c r="H174" s="18" t="n">
        <x:v>50</x:v>
      </x:c>
      <x:c r="I174" s="20" t="n">
        <x:f t="shared" si="15">G174*H174/100</x:f>
        <x:v>12.5</x:v>
      </x:c>
    </x:row>
    <x:row r="175">
      <x:c r="A175" t="s">
        <x:v>216</x:v>
      </x:c>
      <x:c r="B175" s="4" t="s">
        <x:v>69</x:v>
      </x:c>
      <x:c r="C175" s="4" t="s">
        <x:v>204</x:v>
      </x:c>
      <x:c r="D175" s="4" t="s">
        <x:v>205</x:v>
      </x:c>
      <x:c r="E175" s="6" t="s">
        <x:v>34</x:v>
      </x:c>
      <x:c r="F175" s="4" t="s">
        <x:v>32</x:v>
      </x:c>
      <x:c r="G175" s="19" t="n">
        <x:f>SUMIFS('المرجع'!$C$2:$C$19,'المرجع'!$A$2:$A$19,$E175,'المرجع'!$B$2:$B$19,$F175)</x:f>
        <x:v>5</x:v>
      </x:c>
      <x:c r="H175" s="18" t="n">
        <x:v>50</x:v>
      </x:c>
      <x:c r="I175" s="20" t="n">
        <x:f t="shared" si="15">G175*H175/100</x:f>
        <x:v>2.5</x:v>
      </x:c>
    </x:row>
    <x:row r="176">
      <x:c r="A176" t="s">
        <x:v>217</x:v>
      </x:c>
      <x:c r="B176" s="4" t="s">
        <x:v>69</x:v>
      </x:c>
      <x:c r="C176" s="4" t="s">
        <x:v>204</x:v>
      </x:c>
      <x:c r="D176" s="4" t="s">
        <x:v>205</x:v>
      </x:c>
      <x:c r="E176" s="6" t="s">
        <x:v>34</x:v>
      </x:c>
      <x:c r="F176" s="4" t="s">
        <x:v>41</x:v>
      </x:c>
      <x:c r="G176" s="19" t="n">
        <x:f>SUMIFS('المرجع'!$C$2:$C$19,'المرجع'!$A$2:$A$19,$E176,'المرجع'!$B$2:$B$19,$F176)</x:f>
        <x:v>5</x:v>
      </x:c>
      <x:c r="H176" s="18" t="n">
        <x:v>76</x:v>
      </x:c>
      <x:c r="I176" s="20" t="n">
        <x:f t="shared" si="15">G176*H176/100</x:f>
        <x:v>3.8</x:v>
      </x:c>
    </x:row>
    <x:row r="177">
      <x:c r="A177" t="s">
        <x:v>218</x:v>
      </x:c>
      <x:c r="B177" s="4" t="s">
        <x:v>69</x:v>
      </x:c>
      <x:c r="C177" s="4" t="s">
        <x:v>204</x:v>
      </x:c>
      <x:c r="D177" s="4" t="s">
        <x:v>205</x:v>
      </x:c>
      <x:c r="E177" s="6" t="s">
        <x:v>43</x:v>
      </x:c>
      <x:c r="F177" s="4" t="s">
        <x:v>24</x:v>
      </x:c>
      <x:c r="G177" s="19" t="n">
        <x:f>SUMIFS('المرجع'!$C$2:$C$19,'المرجع'!$A$2:$A$19,$E177,'المرجع'!$B$2:$B$19,$F177)</x:f>
        <x:v>25</x:v>
      </x:c>
      <x:c r="H177" s="18" t="n">
        <x:v>28</x:v>
      </x:c>
      <x:c r="I177" s="20" t="n">
        <x:f t="shared" si="15">G177*H177/100</x:f>
        <x:v>7</x:v>
      </x:c>
    </x:row>
    <x:row r="178">
      <x:c r="A178" t="s">
        <x:v>219</x:v>
      </x:c>
      <x:c r="B178" s="4" t="s">
        <x:v>69</x:v>
      </x:c>
      <x:c r="C178" s="4" t="s">
        <x:v>204</x:v>
      </x:c>
      <x:c r="D178" s="4" t="s">
        <x:v>205</x:v>
      </x:c>
      <x:c r="E178" s="6" t="s">
        <x:v>43</x:v>
      </x:c>
      <x:c r="F178" s="4" t="s">
        <x:v>26</x:v>
      </x:c>
      <x:c r="G178" s="19" t="n">
        <x:f>SUMIFS('المرجع'!$C$2:$C$19,'المرجع'!$A$2:$A$19,$E178,'المرجع'!$B$2:$B$19,$F178)</x:f>
        <x:v>15</x:v>
      </x:c>
      <x:c r="H178" s="18" t="n">
        <x:v>58</x:v>
      </x:c>
      <x:c r="I178" s="20" t="n">
        <x:f t="shared" si="15">G178*H178/100</x:f>
        <x:v>8.7</x:v>
      </x:c>
    </x:row>
    <x:row r="179">
      <x:c r="A179" t="s">
        <x:v>220</x:v>
      </x:c>
      <x:c r="B179" s="4" t="s">
        <x:v>69</x:v>
      </x:c>
      <x:c r="C179" s="4" t="s">
        <x:v>204</x:v>
      </x:c>
      <x:c r="D179" s="4" t="s">
        <x:v>205</x:v>
      </x:c>
      <x:c r="E179" s="6" t="s">
        <x:v>43</x:v>
      </x:c>
      <x:c r="F179" s="4" t="s">
        <x:v>30</x:v>
      </x:c>
      <x:c r="G179" s="19" t="n">
        <x:f>SUMIFS('المرجع'!$C$2:$C$19,'المرجع'!$A$2:$A$19,$E179,'المرجع'!$B$2:$B$19,$F179)</x:f>
        <x:v>15</x:v>
      </x:c>
      <x:c r="H179" s="18" t="n">
        <x:v>32</x:v>
      </x:c>
      <x:c r="I179" s="20" t="n">
        <x:f t="shared" si="15">G179*H179/100</x:f>
        <x:v>4.8</x:v>
      </x:c>
    </x:row>
    <x:row r="180">
      <x:c r="A180" t="s">
        <x:v>221</x:v>
      </x:c>
      <x:c r="B180" s="4" t="s">
        <x:v>69</x:v>
      </x:c>
      <x:c r="C180" s="4" t="s">
        <x:v>204</x:v>
      </x:c>
      <x:c r="D180" s="4" t="s">
        <x:v>205</x:v>
      </x:c>
      <x:c r="E180" s="6" t="s">
        <x:v>43</x:v>
      </x:c>
      <x:c r="F180" s="4" t="s">
        <x:v>32</x:v>
      </x:c>
      <x:c r="G180" s="19" t="n">
        <x:f>SUMIFS('المرجع'!$C$2:$C$19,'المرجع'!$A$2:$A$19,$E180,'المرجع'!$B$2:$B$19,$F180)</x:f>
        <x:v>15</x:v>
      </x:c>
      <x:c r="H180" s="18" t="n">
        <x:v>32</x:v>
      </x:c>
      <x:c r="I180" s="20" t="n">
        <x:f t="shared" si="15">G180*H180/100</x:f>
        <x:v>4.8</x:v>
      </x:c>
    </x:row>
    <x:row r="181">
      <x:c r="A181" t="s">
        <x:v>222</x:v>
      </x:c>
      <x:c r="B181" s="4" t="s">
        <x:v>69</x:v>
      </x:c>
      <x:c r="C181" s="4" t="s">
        <x:v>204</x:v>
      </x:c>
      <x:c r="D181" s="4" t="s">
        <x:v>205</x:v>
      </x:c>
      <x:c r="E181" s="6" t="s">
        <x:v>43</x:v>
      </x:c>
      <x:c r="F181" s="4" t="s">
        <x:v>48</x:v>
      </x:c>
      <x:c r="G181" s="19" t="n">
        <x:f>SUMIFS('المرجع'!$C$2:$C$19,'المرجع'!$A$2:$A$19,$E181,'المرجع'!$B$2:$B$19,$F181)</x:f>
        <x:v>30</x:v>
      </x:c>
      <x:c r="H181" s="18" t="n">
        <x:v>54</x:v>
      </x:c>
      <x:c r="I181" s="20" t="n">
        <x:f t="shared" si="15">G181*H181/100</x:f>
        <x:v>16.2</x:v>
      </x:c>
    </x:row>
    <x:row r="182">
      <x:c r="A182" t="s">
        <x:v>223</x:v>
      </x:c>
      <x:c r="B182" s="4" t="s">
        <x:v>69</x:v>
      </x:c>
      <x:c r="C182" s="4" t="s">
        <x:v>204</x:v>
      </x:c>
      <x:c r="D182" s="4" t="s">
        <x:v>224</x:v>
      </x:c>
      <x:c r="E182" s="6" t="s">
        <x:v>21</x:v>
      </x:c>
      <x:c r="F182" s="4" t="s">
        <x:v>22</x:v>
      </x:c>
      <x:c r="G182" s="19" t="n">
        <x:f>SUMIFS('المرجع'!$C$2:$C$19,'المرجع'!$A$2:$A$19,$E182,'المرجع'!$B$2:$B$19,$F182)</x:f>
        <x:v>25</x:v>
      </x:c>
      <x:c r="H182" s="18" t="n">
        <x:f t="shared" ref="H182:H187" ca="1" si="20">8.64</x:f>
        <x:v>8.64</x:v>
      </x:c>
      <x:c r="I182" s="20" t="n">
        <x:f t="shared" ref="I182:I187" ca="1" si="21">G182*H182/100</x:f>
        <x:v>2.16</x:v>
      </x:c>
    </x:row>
    <x:row r="183">
      <x:c r="A183" t="s">
        <x:v>225</x:v>
      </x:c>
      <x:c r="B183" s="4" t="s">
        <x:v>69</x:v>
      </x:c>
      <x:c r="C183" s="4" t="s">
        <x:v>204</x:v>
      </x:c>
      <x:c r="D183" s="4" t="s">
        <x:v>224</x:v>
      </x:c>
      <x:c r="E183" s="6" t="s">
        <x:v>21</x:v>
      </x:c>
      <x:c r="F183" s="4" t="s">
        <x:v>24</x:v>
      </x:c>
      <x:c r="G183" s="19" t="n">
        <x:f>SUMIFS('المرجع'!$C$2:$C$19,'المرجع'!$A$2:$A$19,$E183,'المرجع'!$B$2:$B$19,$F183)</x:f>
        <x:v>15</x:v>
      </x:c>
      <x:c r="H183" s="18" t="n">
        <x:f t="shared" ca="1" si="20"/>
        <x:v>67.47</x:v>
      </x:c>
      <x:c r="I183" s="20" t="n">
        <x:f t="shared" ca="1" si="21">G183*H183/100</x:f>
        <x:v>10.1205</x:v>
      </x:c>
    </x:row>
    <x:row r="184">
      <x:c r="A184" t="s">
        <x:v>226</x:v>
      </x:c>
      <x:c r="B184" s="4" t="s">
        <x:v>69</x:v>
      </x:c>
      <x:c r="C184" s="4" t="s">
        <x:v>204</x:v>
      </x:c>
      <x:c r="D184" s="4" t="s">
        <x:v>224</x:v>
      </x:c>
      <x:c r="E184" s="6" t="s">
        <x:v>21</x:v>
      </x:c>
      <x:c r="F184" s="4" t="s">
        <x:v>26</x:v>
      </x:c>
      <x:c r="G184" s="19" t="n">
        <x:f>SUMIFS('المرجع'!$C$2:$C$19,'المرجع'!$A$2:$A$19,$E184,'المرجع'!$B$2:$B$19,$F184)</x:f>
        <x:v>15</x:v>
      </x:c>
      <x:c r="H184" s="18" t="n">
        <x:f t="shared" ca="1" si="20"/>
        <x:v>65.74</x:v>
      </x:c>
      <x:c r="I184" s="20" t="n">
        <x:f t="shared" ca="1" si="21">G184*H184/100</x:f>
        <x:v>9.860999999999999</x:v>
      </x:c>
    </x:row>
    <x:row r="185">
      <x:c r="A185" t="s">
        <x:v>227</x:v>
      </x:c>
      <x:c r="B185" s="4" t="s">
        <x:v>69</x:v>
      </x:c>
      <x:c r="C185" s="4" t="s">
        <x:v>204</x:v>
      </x:c>
      <x:c r="D185" s="4" t="s">
        <x:v>224</x:v>
      </x:c>
      <x:c r="E185" s="6" t="s">
        <x:v>21</x:v>
      </x:c>
      <x:c r="F185" s="4" t="s">
        <x:v>28</x:v>
      </x:c>
      <x:c r="G185" s="19" t="n">
        <x:f>SUMIFS('المرجع'!$C$2:$C$19,'المرجع'!$A$2:$A$19,$E185,'المرجع'!$B$2:$B$19,$F185)</x:f>
        <x:v>20</x:v>
      </x:c>
      <x:c r="H185" s="18" t="n">
        <x:f t="shared" ca="1" si="20"/>
        <x:v>24.12</x:v>
      </x:c>
      <x:c r="I185" s="20" t="n">
        <x:f t="shared" ca="1" si="21">G185*H185/100</x:f>
        <x:v>4.824000000000001</x:v>
      </x:c>
    </x:row>
    <x:row r="186">
      <x:c r="A186" t="s">
        <x:v>228</x:v>
      </x:c>
      <x:c r="B186" s="4" t="s">
        <x:v>69</x:v>
      </x:c>
      <x:c r="C186" s="4" t="s">
        <x:v>204</x:v>
      </x:c>
      <x:c r="D186" s="4" t="s">
        <x:v>224</x:v>
      </x:c>
      <x:c r="E186" s="6" t="s">
        <x:v>21</x:v>
      </x:c>
      <x:c r="F186" s="4" t="s">
        <x:v>30</x:v>
      </x:c>
      <x:c r="G186" s="19" t="n">
        <x:f>SUMIFS('المرجع'!$C$2:$C$19,'المرجع'!$A$2:$A$19,$E186,'المرجع'!$B$2:$B$19,$F186)</x:f>
        <x:v>20</x:v>
      </x:c>
      <x:c r="H186" s="18" t="n">
        <x:f t="shared" ca="1" si="20"/>
        <x:v>85.65</x:v>
      </x:c>
      <x:c r="I186" s="20" t="n">
        <x:f t="shared" ca="1" si="21">G186*H186/100</x:f>
        <x:v>17.13</x:v>
      </x:c>
    </x:row>
    <x:row r="187">
      <x:c r="A187" t="s">
        <x:v>229</x:v>
      </x:c>
      <x:c r="B187" s="4" t="s">
        <x:v>69</x:v>
      </x:c>
      <x:c r="C187" s="4" t="s">
        <x:v>204</x:v>
      </x:c>
      <x:c r="D187" s="4" t="s">
        <x:v>224</x:v>
      </x:c>
      <x:c r="E187" s="6" t="s">
        <x:v>21</x:v>
      </x:c>
      <x:c r="F187" s="4" t="s">
        <x:v>32</x:v>
      </x:c>
      <x:c r="G187" s="19" t="n">
        <x:f>SUMIFS('المرجع'!$C$2:$C$19,'المرجع'!$A$2:$A$19,$E187,'المرجع'!$B$2:$B$19,$F187)</x:f>
        <x:v>5</x:v>
      </x:c>
      <x:c r="H187" s="18" t="n">
        <x:f t="shared" ca="1" si="20"/>
        <x:v>22.85</x:v>
      </x:c>
      <x:c r="I187" s="20" t="n">
        <x:f t="shared" ca="1" si="21">G187*H187/100</x:f>
        <x:v>1.1425</x:v>
      </x:c>
    </x:row>
    <x:row r="188">
      <x:c r="A188" t="s">
        <x:v>230</x:v>
      </x:c>
      <x:c r="B188" s="4" t="s">
        <x:v>69</x:v>
      </x:c>
      <x:c r="C188" s="4" t="s">
        <x:v>204</x:v>
      </x:c>
      <x:c r="D188" s="4" t="s">
        <x:v>224</x:v>
      </x:c>
      <x:c r="E188" s="6" t="s">
        <x:v>34</x:v>
      </x:c>
      <x:c r="F188" s="4" t="s">
        <x:v>22</x:v>
      </x:c>
      <x:c r="G188" s="19" t="n">
        <x:f>SUMIFS('المرجع'!$C$2:$C$19,'المرجع'!$A$2:$A$19,$E188,'المرجع'!$B$2:$B$19,$F188)</x:f>
        <x:v>15</x:v>
      </x:c>
      <x:c r="H188" s="18" t="n">
        <x:v>58</x:v>
      </x:c>
      <x:c r="I188" s="20" t="n">
        <x:f t="shared" si="15">G188*H188/100</x:f>
        <x:v>8.7</x:v>
      </x:c>
    </x:row>
    <x:row r="189">
      <x:c r="A189" t="s">
        <x:v>231</x:v>
      </x:c>
      <x:c r="B189" s="4" t="s">
        <x:v>69</x:v>
      </x:c>
      <x:c r="C189" s="4" t="s">
        <x:v>204</x:v>
      </x:c>
      <x:c r="D189" s="4" t="s">
        <x:v>224</x:v>
      </x:c>
      <x:c r="E189" s="6" t="s">
        <x:v>34</x:v>
      </x:c>
      <x:c r="F189" s="4" t="s">
        <x:v>24</x:v>
      </x:c>
      <x:c r="G189" s="19" t="n">
        <x:f>SUMIFS('المرجع'!$C$2:$C$19,'المرجع'!$A$2:$A$19,$E189,'المرجع'!$B$2:$B$19,$F189)</x:f>
        <x:v>15</x:v>
      </x:c>
      <x:c r="H189" s="18" t="n">
        <x:v>79</x:v>
      </x:c>
      <x:c r="I189" s="20" t="n">
        <x:f t="shared" si="15">G189*H189/100</x:f>
        <x:v>11.85</x:v>
      </x:c>
    </x:row>
    <x:row r="190">
      <x:c r="A190" t="s">
        <x:v>232</x:v>
      </x:c>
      <x:c r="B190" s="4" t="s">
        <x:v>69</x:v>
      </x:c>
      <x:c r="C190" s="4" t="s">
        <x:v>204</x:v>
      </x:c>
      <x:c r="D190" s="4" t="s">
        <x:v>224</x:v>
      </x:c>
      <x:c r="E190" s="6" t="s">
        <x:v>34</x:v>
      </x:c>
      <x:c r="F190" s="4" t="s">
        <x:v>26</x:v>
      </x:c>
      <x:c r="G190" s="19" t="n">
        <x:f>SUMIFS('المرجع'!$C$2:$C$19,'المرجع'!$A$2:$A$19,$E190,'المرجع'!$B$2:$B$19,$F190)</x:f>
        <x:v>15</x:v>
      </x:c>
      <x:c r="H190" s="18" t="n">
        <x:v>57</x:v>
      </x:c>
      <x:c r="I190" s="20" t="n">
        <x:f t="shared" si="15">G190*H190/100</x:f>
        <x:v>8.55</x:v>
      </x:c>
    </x:row>
    <x:row r="191">
      <x:c r="A191" t="s">
        <x:v>233</x:v>
      </x:c>
      <x:c r="B191" s="4" t="s">
        <x:v>69</x:v>
      </x:c>
      <x:c r="C191" s="4" t="s">
        <x:v>204</x:v>
      </x:c>
      <x:c r="D191" s="4" t="s">
        <x:v>224</x:v>
      </x:c>
      <x:c r="E191" s="6" t="s">
        <x:v>34</x:v>
      </x:c>
      <x:c r="F191" s="4" t="s">
        <x:v>28</x:v>
      </x:c>
      <x:c r="G191" s="19" t="n">
        <x:f>SUMIFS('المرجع'!$C$2:$C$19,'المرجع'!$A$2:$A$19,$E191,'المرجع'!$B$2:$B$19,$F191)</x:f>
        <x:v>20</x:v>
      </x:c>
      <x:c r="H191" s="18" t="n">
        <x:v>64</x:v>
      </x:c>
      <x:c r="I191" s="20" t="n">
        <x:f t="shared" si="15">G191*H191/100</x:f>
        <x:v>12.8</x:v>
      </x:c>
    </x:row>
    <x:row r="192">
      <x:c r="A192" t="s">
        <x:v>234</x:v>
      </x:c>
      <x:c r="B192" s="4" t="s">
        <x:v>69</x:v>
      </x:c>
      <x:c r="C192" s="4" t="s">
        <x:v>204</x:v>
      </x:c>
      <x:c r="D192" s="4" t="s">
        <x:v>224</x:v>
      </x:c>
      <x:c r="E192" s="6" t="s">
        <x:v>34</x:v>
      </x:c>
      <x:c r="F192" s="4" t="s">
        <x:v>30</x:v>
      </x:c>
      <x:c r="G192" s="19" t="n">
        <x:f>SUMIFS('المرجع'!$C$2:$C$19,'المرجع'!$A$2:$A$19,$E192,'المرجع'!$B$2:$B$19,$F192)</x:f>
        <x:v>25</x:v>
      </x:c>
      <x:c r="H192" s="18" t="n">
        <x:v>70</x:v>
      </x:c>
      <x:c r="I192" s="20" t="n">
        <x:f t="shared" si="15">G192*H192/100</x:f>
        <x:v>17.5</x:v>
      </x:c>
    </x:row>
    <x:row r="193">
      <x:c r="A193" t="s">
        <x:v>235</x:v>
      </x:c>
      <x:c r="B193" s="4" t="s">
        <x:v>69</x:v>
      </x:c>
      <x:c r="C193" s="4" t="s">
        <x:v>204</x:v>
      </x:c>
      <x:c r="D193" s="4" t="s">
        <x:v>224</x:v>
      </x:c>
      <x:c r="E193" s="6" t="s">
        <x:v>34</x:v>
      </x:c>
      <x:c r="F193" s="4" t="s">
        <x:v>32</x:v>
      </x:c>
      <x:c r="G193" s="19" t="n">
        <x:f>SUMIFS('المرجع'!$C$2:$C$19,'المرجع'!$A$2:$A$19,$E193,'المرجع'!$B$2:$B$19,$F193)</x:f>
        <x:v>5</x:v>
      </x:c>
      <x:c r="H193" s="18" t="n">
        <x:v>68</x:v>
      </x:c>
      <x:c r="I193" s="20" t="n">
        <x:f t="shared" si="15">G193*H193/100</x:f>
        <x:v>3.4</x:v>
      </x:c>
    </x:row>
    <x:row r="194">
      <x:c r="A194" t="s">
        <x:v>236</x:v>
      </x:c>
      <x:c r="B194" s="4" t="s">
        <x:v>69</x:v>
      </x:c>
      <x:c r="C194" s="4" t="s">
        <x:v>204</x:v>
      </x:c>
      <x:c r="D194" s="4" t="s">
        <x:v>224</x:v>
      </x:c>
      <x:c r="E194" s="6" t="s">
        <x:v>34</x:v>
      </x:c>
      <x:c r="F194" s="4" t="s">
        <x:v>41</x:v>
      </x:c>
      <x:c r="G194" s="19" t="n">
        <x:f>SUMIFS('المرجع'!$C$2:$C$19,'المرجع'!$A$2:$A$19,$E194,'المرجع'!$B$2:$B$19,$F194)</x:f>
        <x:v>5</x:v>
      </x:c>
      <x:c r="H194" s="18" t="n">
        <x:v>73</x:v>
      </x:c>
      <x:c r="I194" s="20" t="n">
        <x:f t="shared" ref="I194:I253" si="22">G194*H194/100</x:f>
        <x:v>3.65</x:v>
      </x:c>
    </x:row>
    <x:row r="195">
      <x:c r="A195" t="s">
        <x:v>237</x:v>
      </x:c>
      <x:c r="B195" s="4" t="s">
        <x:v>69</x:v>
      </x:c>
      <x:c r="C195" s="4" t="s">
        <x:v>204</x:v>
      </x:c>
      <x:c r="D195" s="4" t="s">
        <x:v>224</x:v>
      </x:c>
      <x:c r="E195" s="6" t="s">
        <x:v>43</x:v>
      </x:c>
      <x:c r="F195" s="4" t="s">
        <x:v>24</x:v>
      </x:c>
      <x:c r="G195" s="19" t="n">
        <x:f>SUMIFS('المرجع'!$C$2:$C$19,'المرجع'!$A$2:$A$19,$E195,'المرجع'!$B$2:$B$19,$F195)</x:f>
        <x:v>25</x:v>
      </x:c>
      <x:c r="H195" s="18" t="n">
        <x:v>57</x:v>
      </x:c>
      <x:c r="I195" s="20" t="n">
        <x:f t="shared" si="22">G195*H195/100</x:f>
        <x:v>14.25</x:v>
      </x:c>
    </x:row>
    <x:row r="196">
      <x:c r="A196" t="s">
        <x:v>238</x:v>
      </x:c>
      <x:c r="B196" s="4" t="s">
        <x:v>69</x:v>
      </x:c>
      <x:c r="C196" s="4" t="s">
        <x:v>204</x:v>
      </x:c>
      <x:c r="D196" s="4" t="s">
        <x:v>224</x:v>
      </x:c>
      <x:c r="E196" s="6" t="s">
        <x:v>43</x:v>
      </x:c>
      <x:c r="F196" s="4" t="s">
        <x:v>26</x:v>
      </x:c>
      <x:c r="G196" s="19" t="n">
        <x:f>SUMIFS('المرجع'!$C$2:$C$19,'المرجع'!$A$2:$A$19,$E196,'المرجع'!$B$2:$B$19,$F196)</x:f>
        <x:v>15</x:v>
      </x:c>
      <x:c r="H196" s="18" t="n">
        <x:v>52</x:v>
      </x:c>
      <x:c r="I196" s="20" t="n">
        <x:f t="shared" si="22">G196*H196/100</x:f>
        <x:v>7.8</x:v>
      </x:c>
    </x:row>
    <x:row r="197">
      <x:c r="A197" t="s">
        <x:v>239</x:v>
      </x:c>
      <x:c r="B197" s="4" t="s">
        <x:v>69</x:v>
      </x:c>
      <x:c r="C197" s="4" t="s">
        <x:v>204</x:v>
      </x:c>
      <x:c r="D197" s="4" t="s">
        <x:v>224</x:v>
      </x:c>
      <x:c r="E197" s="6" t="s">
        <x:v>43</x:v>
      </x:c>
      <x:c r="F197" s="4" t="s">
        <x:v>30</x:v>
      </x:c>
      <x:c r="G197" s="19" t="n">
        <x:f>SUMIFS('المرجع'!$C$2:$C$19,'المرجع'!$A$2:$A$19,$E197,'المرجع'!$B$2:$B$19,$F197)</x:f>
        <x:v>15</x:v>
      </x:c>
      <x:c r="H197" s="18" t="n">
        <x:v>31</x:v>
      </x:c>
      <x:c r="I197" s="20" t="n">
        <x:f t="shared" si="22">G197*H197/100</x:f>
        <x:v>4.65</x:v>
      </x:c>
    </x:row>
    <x:row r="198">
      <x:c r="A198" t="s">
        <x:v>240</x:v>
      </x:c>
      <x:c r="B198" s="4" t="s">
        <x:v>69</x:v>
      </x:c>
      <x:c r="C198" s="4" t="s">
        <x:v>204</x:v>
      </x:c>
      <x:c r="D198" s="4" t="s">
        <x:v>224</x:v>
      </x:c>
      <x:c r="E198" s="6" t="s">
        <x:v>43</x:v>
      </x:c>
      <x:c r="F198" s="4" t="s">
        <x:v>32</x:v>
      </x:c>
      <x:c r="G198" s="19" t="n">
        <x:f>SUMIFS('المرجع'!$C$2:$C$19,'المرجع'!$A$2:$A$19,$E198,'المرجع'!$B$2:$B$19,$F198)</x:f>
        <x:v>15</x:v>
      </x:c>
      <x:c r="H198" s="18" t="n">
        <x:v>39</x:v>
      </x:c>
      <x:c r="I198" s="20" t="n">
        <x:f t="shared" si="22">G198*H198/100</x:f>
        <x:v>5.85</x:v>
      </x:c>
    </x:row>
    <x:row r="199">
      <x:c r="A199" t="s">
        <x:v>241</x:v>
      </x:c>
      <x:c r="B199" s="4" t="s">
        <x:v>69</x:v>
      </x:c>
      <x:c r="C199" s="4" t="s">
        <x:v>204</x:v>
      </x:c>
      <x:c r="D199" s="4" t="s">
        <x:v>224</x:v>
      </x:c>
      <x:c r="E199" s="6" t="s">
        <x:v>43</x:v>
      </x:c>
      <x:c r="F199" s="4" t="s">
        <x:v>48</x:v>
      </x:c>
      <x:c r="G199" s="19" t="n">
        <x:f>SUMIFS('المرجع'!$C$2:$C$19,'المرجع'!$A$2:$A$19,$E199,'المرجع'!$B$2:$B$19,$F199)</x:f>
        <x:v>30</x:v>
      </x:c>
      <x:c r="H199" s="18" t="n">
        <x:v>38</x:v>
      </x:c>
      <x:c r="I199" s="20" t="n">
        <x:f t="shared" si="22">G199*H199/100</x:f>
        <x:v>11.4</x:v>
      </x:c>
    </x:row>
    <x:row r="200">
      <x:c r="A200" t="s">
        <x:v>242</x:v>
      </x:c>
      <x:c r="B200" s="4" t="s">
        <x:v>69</x:v>
      </x:c>
      <x:c r="C200" s="4" t="s">
        <x:v>204</x:v>
      </x:c>
      <x:c r="D200" s="4" t="s">
        <x:v>243</x:v>
      </x:c>
      <x:c r="E200" s="6" t="s">
        <x:v>21</x:v>
      </x:c>
      <x:c r="F200" s="4" t="s">
        <x:v>22</x:v>
      </x:c>
      <x:c r="G200" s="19" t="n">
        <x:f>SUMIFS('المرجع'!$C$2:$C$19,'المرجع'!$A$2:$A$19,$E200,'المرجع'!$B$2:$B$19,$F200)</x:f>
        <x:v>25</x:v>
      </x:c>
      <x:c r="H200" s="18" t="n">
        <x:f t="shared" ref="H200:H205" ca="1" si="23">83.26</x:f>
        <x:v>83.26</x:v>
      </x:c>
      <x:c r="I200" s="20" t="n">
        <x:f t="shared" ref="I200:I205" ca="1" si="24">G200*H200/100</x:f>
        <x:v>20.815</x:v>
      </x:c>
    </x:row>
    <x:row r="201">
      <x:c r="A201" t="s">
        <x:v>244</x:v>
      </x:c>
      <x:c r="B201" s="4" t="s">
        <x:v>69</x:v>
      </x:c>
      <x:c r="C201" s="4" t="s">
        <x:v>204</x:v>
      </x:c>
      <x:c r="D201" s="4" t="s">
        <x:v>243</x:v>
      </x:c>
      <x:c r="E201" s="6" t="s">
        <x:v>21</x:v>
      </x:c>
      <x:c r="F201" s="4" t="s">
        <x:v>24</x:v>
      </x:c>
      <x:c r="G201" s="19" t="n">
        <x:f>SUMIFS('المرجع'!$C$2:$C$19,'المرجع'!$A$2:$A$19,$E201,'المرجع'!$B$2:$B$19,$F201)</x:f>
        <x:v>15</x:v>
      </x:c>
      <x:c r="H201" s="18" t="n">
        <x:f t="shared" ca="1" si="23"/>
        <x:v>13.27</x:v>
      </x:c>
      <x:c r="I201" s="20" t="n">
        <x:f t="shared" ca="1" si="24">G201*H201/100</x:f>
        <x:v>1.9905</x:v>
      </x:c>
    </x:row>
    <x:row r="202">
      <x:c r="A202" t="s">
        <x:v>245</x:v>
      </x:c>
      <x:c r="B202" s="4" t="s">
        <x:v>69</x:v>
      </x:c>
      <x:c r="C202" s="4" t="s">
        <x:v>204</x:v>
      </x:c>
      <x:c r="D202" s="4" t="s">
        <x:v>243</x:v>
      </x:c>
      <x:c r="E202" s="6" t="s">
        <x:v>21</x:v>
      </x:c>
      <x:c r="F202" s="4" t="s">
        <x:v>26</x:v>
      </x:c>
      <x:c r="G202" s="19" t="n">
        <x:f>SUMIFS('المرجع'!$C$2:$C$19,'المرجع'!$A$2:$A$19,$E202,'المرجع'!$B$2:$B$19,$F202)</x:f>
        <x:v>15</x:v>
      </x:c>
      <x:c r="H202" s="18" t="n">
        <x:f t="shared" ca="1" si="23"/>
        <x:v>10.46</x:v>
      </x:c>
      <x:c r="I202" s="20" t="n">
        <x:f t="shared" ca="1" si="24">G202*H202/100</x:f>
        <x:v>1.569</x:v>
      </x:c>
    </x:row>
    <x:row r="203">
      <x:c r="A203" t="s">
        <x:v>246</x:v>
      </x:c>
      <x:c r="B203" s="4" t="s">
        <x:v>69</x:v>
      </x:c>
      <x:c r="C203" s="4" t="s">
        <x:v>204</x:v>
      </x:c>
      <x:c r="D203" s="4" t="s">
        <x:v>243</x:v>
      </x:c>
      <x:c r="E203" s="6" t="s">
        <x:v>21</x:v>
      </x:c>
      <x:c r="F203" s="4" t="s">
        <x:v>28</x:v>
      </x:c>
      <x:c r="G203" s="19" t="n">
        <x:f>SUMIFS('المرجع'!$C$2:$C$19,'المرجع'!$A$2:$A$19,$E203,'المرجع'!$B$2:$B$19,$F203)</x:f>
        <x:v>20</x:v>
      </x:c>
      <x:c r="H203" s="18" t="n">
        <x:f t="shared" ca="1" si="23"/>
        <x:v>59.32</x:v>
      </x:c>
      <x:c r="I203" s="20" t="n">
        <x:f t="shared" ca="1" si="24">G203*H203/100</x:f>
        <x:v>11.864</x:v>
      </x:c>
    </x:row>
    <x:row r="204">
      <x:c r="A204" t="s">
        <x:v>247</x:v>
      </x:c>
      <x:c r="B204" s="4" t="s">
        <x:v>69</x:v>
      </x:c>
      <x:c r="C204" s="4" t="s">
        <x:v>204</x:v>
      </x:c>
      <x:c r="D204" s="4" t="s">
        <x:v>243</x:v>
      </x:c>
      <x:c r="E204" s="6" t="s">
        <x:v>21</x:v>
      </x:c>
      <x:c r="F204" s="4" t="s">
        <x:v>30</x:v>
      </x:c>
      <x:c r="G204" s="19" t="n">
        <x:f>SUMIFS('المرجع'!$C$2:$C$19,'المرجع'!$A$2:$A$19,$E204,'المرجع'!$B$2:$B$19,$F204)</x:f>
        <x:v>20</x:v>
      </x:c>
      <x:c r="H204" s="18" t="n">
        <x:f t="shared" ca="1" si="23"/>
        <x:v>10.46</x:v>
      </x:c>
      <x:c r="I204" s="20" t="n">
        <x:f t="shared" ca="1" si="24">G204*H204/100</x:f>
        <x:v>2.092</x:v>
      </x:c>
    </x:row>
    <x:row r="205">
      <x:c r="A205" t="s">
        <x:v>248</x:v>
      </x:c>
      <x:c r="B205" s="4" t="s">
        <x:v>69</x:v>
      </x:c>
      <x:c r="C205" s="4" t="s">
        <x:v>204</x:v>
      </x:c>
      <x:c r="D205" s="4" t="s">
        <x:v>243</x:v>
      </x:c>
      <x:c r="E205" s="6" t="s">
        <x:v>21</x:v>
      </x:c>
      <x:c r="F205" s="4" t="s">
        <x:v>32</x:v>
      </x:c>
      <x:c r="G205" s="19" t="n">
        <x:f>SUMIFS('المرجع'!$C$2:$C$19,'المرجع'!$A$2:$A$19,$E205,'المرجع'!$B$2:$B$19,$F205)</x:f>
        <x:v>5</x:v>
      </x:c>
      <x:c r="H205" s="18" t="n">
        <x:f t="shared" ca="1" si="23"/>
        <x:v>44.54</x:v>
      </x:c>
      <x:c r="I205" s="20" t="n">
        <x:f t="shared" ca="1" si="24">G205*H205/100</x:f>
        <x:v>2.227</x:v>
      </x:c>
    </x:row>
    <x:row r="206">
      <x:c r="A206" t="s">
        <x:v>249</x:v>
      </x:c>
      <x:c r="B206" s="4" t="s">
        <x:v>69</x:v>
      </x:c>
      <x:c r="C206" s="4" t="s">
        <x:v>204</x:v>
      </x:c>
      <x:c r="D206" s="4" t="s">
        <x:v>243</x:v>
      </x:c>
      <x:c r="E206" s="6" t="s">
        <x:v>34</x:v>
      </x:c>
      <x:c r="F206" s="4" t="s">
        <x:v>22</x:v>
      </x:c>
      <x:c r="G206" s="19" t="n">
        <x:f>SUMIFS('المرجع'!$C$2:$C$19,'المرجع'!$A$2:$A$19,$E206,'المرجع'!$B$2:$B$19,$F206)</x:f>
        <x:v>15</x:v>
      </x:c>
      <x:c r="H206" s="18" t="n">
        <x:v>82</x:v>
      </x:c>
      <x:c r="I206" s="20" t="n">
        <x:f t="shared" si="22">G206*H206/100</x:f>
        <x:v>12.3</x:v>
      </x:c>
    </x:row>
    <x:row r="207">
      <x:c r="A207" t="s">
        <x:v>250</x:v>
      </x:c>
      <x:c r="B207" s="4" t="s">
        <x:v>69</x:v>
      </x:c>
      <x:c r="C207" s="4" t="s">
        <x:v>204</x:v>
      </x:c>
      <x:c r="D207" s="4" t="s">
        <x:v>243</x:v>
      </x:c>
      <x:c r="E207" s="6" t="s">
        <x:v>34</x:v>
      </x:c>
      <x:c r="F207" s="4" t="s">
        <x:v>24</x:v>
      </x:c>
      <x:c r="G207" s="19" t="n">
        <x:f>SUMIFS('المرجع'!$C$2:$C$19,'المرجع'!$A$2:$A$19,$E207,'المرجع'!$B$2:$B$19,$F207)</x:f>
        <x:v>15</x:v>
      </x:c>
      <x:c r="H207" s="18" t="n">
        <x:v>59</x:v>
      </x:c>
      <x:c r="I207" s="20" t="n">
        <x:f t="shared" si="22">G207*H207/100</x:f>
        <x:v>8.85</x:v>
      </x:c>
    </x:row>
    <x:row r="208">
      <x:c r="A208" t="s">
        <x:v>251</x:v>
      </x:c>
      <x:c r="B208" s="4" t="s">
        <x:v>69</x:v>
      </x:c>
      <x:c r="C208" s="4" t="s">
        <x:v>204</x:v>
      </x:c>
      <x:c r="D208" s="4" t="s">
        <x:v>243</x:v>
      </x:c>
      <x:c r="E208" s="6" t="s">
        <x:v>34</x:v>
      </x:c>
      <x:c r="F208" s="4" t="s">
        <x:v>26</x:v>
      </x:c>
      <x:c r="G208" s="19" t="n">
        <x:f>SUMIFS('المرجع'!$C$2:$C$19,'المرجع'!$A$2:$A$19,$E208,'المرجع'!$B$2:$B$19,$F208)</x:f>
        <x:v>15</x:v>
      </x:c>
      <x:c r="H208" s="18" t="n">
        <x:v>45</x:v>
      </x:c>
      <x:c r="I208" s="20" t="n">
        <x:f t="shared" si="22">G208*H208/100</x:f>
        <x:v>6.75</x:v>
      </x:c>
    </x:row>
    <x:row r="209">
      <x:c r="A209" t="s">
        <x:v>252</x:v>
      </x:c>
      <x:c r="B209" s="4" t="s">
        <x:v>69</x:v>
      </x:c>
      <x:c r="C209" s="4" t="s">
        <x:v>204</x:v>
      </x:c>
      <x:c r="D209" s="4" t="s">
        <x:v>243</x:v>
      </x:c>
      <x:c r="E209" s="6" t="s">
        <x:v>34</x:v>
      </x:c>
      <x:c r="F209" s="4" t="s">
        <x:v>28</x:v>
      </x:c>
      <x:c r="G209" s="19" t="n">
        <x:f>SUMIFS('المرجع'!$C$2:$C$19,'المرجع'!$A$2:$A$19,$E209,'المرجع'!$B$2:$B$19,$F209)</x:f>
        <x:v>20</x:v>
      </x:c>
      <x:c r="H209" s="18" t="n">
        <x:v>49</x:v>
      </x:c>
      <x:c r="I209" s="20" t="n">
        <x:f t="shared" si="22">G209*H209/100</x:f>
        <x:v>9.8</x:v>
      </x:c>
    </x:row>
    <x:row r="210">
      <x:c r="A210" t="s">
        <x:v>253</x:v>
      </x:c>
      <x:c r="B210" s="4" t="s">
        <x:v>69</x:v>
      </x:c>
      <x:c r="C210" s="4" t="s">
        <x:v>204</x:v>
      </x:c>
      <x:c r="D210" s="4" t="s">
        <x:v>243</x:v>
      </x:c>
      <x:c r="E210" s="6" t="s">
        <x:v>34</x:v>
      </x:c>
      <x:c r="F210" s="4" t="s">
        <x:v>30</x:v>
      </x:c>
      <x:c r="G210" s="19" t="n">
        <x:f>SUMIFS('المرجع'!$C$2:$C$19,'المرجع'!$A$2:$A$19,$E210,'المرجع'!$B$2:$B$19,$F210)</x:f>
        <x:v>25</x:v>
      </x:c>
      <x:c r="H210" s="18" t="n">
        <x:v>48</x:v>
      </x:c>
      <x:c r="I210" s="20" t="n">
        <x:f t="shared" si="22">G210*H210/100</x:f>
        <x:v>12</x:v>
      </x:c>
    </x:row>
    <x:row r="211">
      <x:c r="A211" t="s">
        <x:v>254</x:v>
      </x:c>
      <x:c r="B211" s="4" t="s">
        <x:v>69</x:v>
      </x:c>
      <x:c r="C211" s="4" t="s">
        <x:v>204</x:v>
      </x:c>
      <x:c r="D211" s="4" t="s">
        <x:v>243</x:v>
      </x:c>
      <x:c r="E211" s="6" t="s">
        <x:v>34</x:v>
      </x:c>
      <x:c r="F211" s="4" t="s">
        <x:v>32</x:v>
      </x:c>
      <x:c r="G211" s="19" t="n">
        <x:f>SUMIFS('المرجع'!$C$2:$C$19,'المرجع'!$A$2:$A$19,$E211,'المرجع'!$B$2:$B$19,$F211)</x:f>
        <x:v>5</x:v>
      </x:c>
      <x:c r="H211" s="18" t="n">
        <x:v>59</x:v>
      </x:c>
      <x:c r="I211" s="20" t="n">
        <x:f t="shared" si="22">G211*H211/100</x:f>
        <x:v>2.95</x:v>
      </x:c>
    </x:row>
    <x:row r="212">
      <x:c r="A212" t="s">
        <x:v>255</x:v>
      </x:c>
      <x:c r="B212" s="4" t="s">
        <x:v>69</x:v>
      </x:c>
      <x:c r="C212" s="4" t="s">
        <x:v>204</x:v>
      </x:c>
      <x:c r="D212" s="4" t="s">
        <x:v>243</x:v>
      </x:c>
      <x:c r="E212" s="6" t="s">
        <x:v>34</x:v>
      </x:c>
      <x:c r="F212" s="4" t="s">
        <x:v>41</x:v>
      </x:c>
      <x:c r="G212" s="19" t="n">
        <x:f>SUMIFS('المرجع'!$C$2:$C$19,'المرجع'!$A$2:$A$19,$E212,'المرجع'!$B$2:$B$19,$F212)</x:f>
        <x:v>5</x:v>
      </x:c>
      <x:c r="H212" s="18" t="n">
        <x:v>49</x:v>
      </x:c>
      <x:c r="I212" s="20" t="n">
        <x:f t="shared" si="22">G212*H212/100</x:f>
        <x:v>2.45</x:v>
      </x:c>
    </x:row>
    <x:row r="213">
      <x:c r="A213" t="s">
        <x:v>256</x:v>
      </x:c>
      <x:c r="B213" s="4" t="s">
        <x:v>69</x:v>
      </x:c>
      <x:c r="C213" s="4" t="s">
        <x:v>204</x:v>
      </x:c>
      <x:c r="D213" s="4" t="s">
        <x:v>243</x:v>
      </x:c>
      <x:c r="E213" s="6" t="s">
        <x:v>43</x:v>
      </x:c>
      <x:c r="F213" s="4" t="s">
        <x:v>24</x:v>
      </x:c>
      <x:c r="G213" s="19" t="n">
        <x:f>SUMIFS('المرجع'!$C$2:$C$19,'المرجع'!$A$2:$A$19,$E213,'المرجع'!$B$2:$B$19,$F213)</x:f>
        <x:v>25</x:v>
      </x:c>
      <x:c r="H213" s="18" t="n">
        <x:v>26</x:v>
      </x:c>
      <x:c r="I213" s="20" t="n">
        <x:f t="shared" si="22">G213*H213/100</x:f>
        <x:v>6.5</x:v>
      </x:c>
    </x:row>
    <x:row r="214">
      <x:c r="A214" t="s">
        <x:v>257</x:v>
      </x:c>
      <x:c r="B214" s="4" t="s">
        <x:v>69</x:v>
      </x:c>
      <x:c r="C214" s="4" t="s">
        <x:v>204</x:v>
      </x:c>
      <x:c r="D214" s="4" t="s">
        <x:v>243</x:v>
      </x:c>
      <x:c r="E214" s="6" t="s">
        <x:v>43</x:v>
      </x:c>
      <x:c r="F214" s="4" t="s">
        <x:v>26</x:v>
      </x:c>
      <x:c r="G214" s="19" t="n">
        <x:f>SUMIFS('المرجع'!$C$2:$C$19,'المرجع'!$A$2:$A$19,$E214,'المرجع'!$B$2:$B$19,$F214)</x:f>
        <x:v>15</x:v>
      </x:c>
      <x:c r="H214" s="18" t="n">
        <x:v>45</x:v>
      </x:c>
      <x:c r="I214" s="20" t="n">
        <x:f t="shared" si="22">G214*H214/100</x:f>
        <x:v>6.75</x:v>
      </x:c>
    </x:row>
    <x:row r="215">
      <x:c r="A215" t="s">
        <x:v>258</x:v>
      </x:c>
      <x:c r="B215" s="4" t="s">
        <x:v>69</x:v>
      </x:c>
      <x:c r="C215" s="4" t="s">
        <x:v>204</x:v>
      </x:c>
      <x:c r="D215" s="4" t="s">
        <x:v>243</x:v>
      </x:c>
      <x:c r="E215" s="6" t="s">
        <x:v>43</x:v>
      </x:c>
      <x:c r="F215" s="4" t="s">
        <x:v>30</x:v>
      </x:c>
      <x:c r="G215" s="19" t="n">
        <x:f>SUMIFS('المرجع'!$C$2:$C$19,'المرجع'!$A$2:$A$19,$E215,'المرجع'!$B$2:$B$19,$F215)</x:f>
        <x:v>15</x:v>
      </x:c>
      <x:c r="H215" s="18" t="n">
        <x:v>28</x:v>
      </x:c>
      <x:c r="I215" s="20" t="n">
        <x:f t="shared" si="22">G215*H215/100</x:f>
        <x:v>4.2</x:v>
      </x:c>
    </x:row>
    <x:row r="216">
      <x:c r="A216" t="s">
        <x:v>259</x:v>
      </x:c>
      <x:c r="B216" s="4" t="s">
        <x:v>69</x:v>
      </x:c>
      <x:c r="C216" s="4" t="s">
        <x:v>204</x:v>
      </x:c>
      <x:c r="D216" s="4" t="s">
        <x:v>243</x:v>
      </x:c>
      <x:c r="E216" s="6" t="s">
        <x:v>43</x:v>
      </x:c>
      <x:c r="F216" s="4" t="s">
        <x:v>32</x:v>
      </x:c>
      <x:c r="G216" s="19" t="n">
        <x:f>SUMIFS('المرجع'!$C$2:$C$19,'المرجع'!$A$2:$A$19,$E216,'المرجع'!$B$2:$B$19,$F216)</x:f>
        <x:v>15</x:v>
      </x:c>
      <x:c r="H216" s="18" t="n">
        <x:v>56</x:v>
      </x:c>
      <x:c r="I216" s="20" t="n">
        <x:f t="shared" si="22">G216*H216/100</x:f>
        <x:v>8.4</x:v>
      </x:c>
    </x:row>
    <x:row r="217">
      <x:c r="A217" t="s">
        <x:v>260</x:v>
      </x:c>
      <x:c r="B217" s="4" t="s">
        <x:v>69</x:v>
      </x:c>
      <x:c r="C217" s="4" t="s">
        <x:v>204</x:v>
      </x:c>
      <x:c r="D217" s="4" t="s">
        <x:v>243</x:v>
      </x:c>
      <x:c r="E217" s="6" t="s">
        <x:v>43</x:v>
      </x:c>
      <x:c r="F217" s="4" t="s">
        <x:v>48</x:v>
      </x:c>
      <x:c r="G217" s="19" t="n">
        <x:f>SUMIFS('المرجع'!$C$2:$C$19,'المرجع'!$A$2:$A$19,$E217,'المرجع'!$B$2:$B$19,$F217)</x:f>
        <x:v>30</x:v>
      </x:c>
      <x:c r="H217" s="18" t="n">
        <x:v>39</x:v>
      </x:c>
      <x:c r="I217" s="20" t="n">
        <x:f t="shared" si="22">G217*H217/100</x:f>
        <x:v>11.7</x:v>
      </x:c>
    </x:row>
    <x:row r="218">
      <x:c r="A218" t="s">
        <x:v>261</x:v>
      </x:c>
      <x:c r="B218" s="4" t="s">
        <x:v>69</x:v>
      </x:c>
      <x:c r="C218" s="4" t="s">
        <x:v>262</x:v>
      </x:c>
      <x:c r="D218" s="4" t="s">
        <x:v>262</x:v>
      </x:c>
      <x:c r="E218" s="6" t="s">
        <x:v>21</x:v>
      </x:c>
      <x:c r="F218" s="4" t="s">
        <x:v>22</x:v>
      </x:c>
      <x:c r="G218" s="19" t="n">
        <x:f>SUMIFS('المرجع'!$C$2:$C$19,'المرجع'!$A$2:$A$19,$E218,'المرجع'!$B$2:$B$19,$F218)</x:f>
        <x:v>25</x:v>
      </x:c>
      <x:c r="H218" s="18" t="n">
        <x:f t="shared" ref="H218:H223" ca="1" si="25">81.05</x:f>
        <x:v>81.05</x:v>
      </x:c>
      <x:c r="I218" s="20" t="n">
        <x:f t="shared" ref="I218:I223" ca="1" si="26">G218*H218/100</x:f>
        <x:v>20.2625</x:v>
      </x:c>
    </x:row>
    <x:row r="219">
      <x:c r="A219" t="s">
        <x:v>263</x:v>
      </x:c>
      <x:c r="B219" s="4" t="s">
        <x:v>69</x:v>
      </x:c>
      <x:c r="C219" s="4" t="s">
        <x:v>262</x:v>
      </x:c>
      <x:c r="D219" s="4" t="s">
        <x:v>262</x:v>
      </x:c>
      <x:c r="E219" s="6" t="s">
        <x:v>21</x:v>
      </x:c>
      <x:c r="F219" s="4" t="s">
        <x:v>24</x:v>
      </x:c>
      <x:c r="G219" s="19" t="n">
        <x:f>SUMIFS('المرجع'!$C$2:$C$19,'المرجع'!$A$2:$A$19,$E219,'المرجع'!$B$2:$B$19,$F219)</x:f>
        <x:v>15</x:v>
      </x:c>
      <x:c r="H219" s="18" t="n">
        <x:f t="shared" ca="1" si="25"/>
        <x:v>66.11</x:v>
      </x:c>
      <x:c r="I219" s="20" t="n">
        <x:f t="shared" ca="1" si="26">G219*H219/100</x:f>
        <x:v>9.9165</x:v>
      </x:c>
    </x:row>
    <x:row r="220">
      <x:c r="A220" t="s">
        <x:v>264</x:v>
      </x:c>
      <x:c r="B220" s="4" t="s">
        <x:v>69</x:v>
      </x:c>
      <x:c r="C220" s="4" t="s">
        <x:v>262</x:v>
      </x:c>
      <x:c r="D220" s="4" t="s">
        <x:v>262</x:v>
      </x:c>
      <x:c r="E220" s="6" t="s">
        <x:v>21</x:v>
      </x:c>
      <x:c r="F220" s="4" t="s">
        <x:v>26</x:v>
      </x:c>
      <x:c r="G220" s="19" t="n">
        <x:f>SUMIFS('المرجع'!$C$2:$C$19,'المرجع'!$A$2:$A$19,$E220,'المرجع'!$B$2:$B$19,$F220)</x:f>
        <x:v>15</x:v>
      </x:c>
      <x:c r="H220" s="18" t="n">
        <x:f t="shared" ca="1" si="25"/>
        <x:v>75.15</x:v>
      </x:c>
      <x:c r="I220" s="20" t="n">
        <x:f t="shared" ca="1" si="26">G220*H220/100</x:f>
        <x:v>11.2725</x:v>
      </x:c>
    </x:row>
    <x:row r="221">
      <x:c r="A221" t="s">
        <x:v>265</x:v>
      </x:c>
      <x:c r="B221" s="4" t="s">
        <x:v>69</x:v>
      </x:c>
      <x:c r="C221" s="4" t="s">
        <x:v>262</x:v>
      </x:c>
      <x:c r="D221" s="4" t="s">
        <x:v>262</x:v>
      </x:c>
      <x:c r="E221" s="6" t="s">
        <x:v>21</x:v>
      </x:c>
      <x:c r="F221" s="4" t="s">
        <x:v>28</x:v>
      </x:c>
      <x:c r="G221" s="19" t="n">
        <x:f>SUMIFS('المرجع'!$C$2:$C$19,'المرجع'!$A$2:$A$19,$E221,'المرجع'!$B$2:$B$19,$F221)</x:f>
        <x:v>20</x:v>
      </x:c>
      <x:c r="H221" s="18" t="n">
        <x:f t="shared" ca="1" si="25"/>
        <x:v>10.46</x:v>
      </x:c>
      <x:c r="I221" s="20" t="n">
        <x:f t="shared" ca="1" si="26">G221*H221/100</x:f>
        <x:v>2.092</x:v>
      </x:c>
    </x:row>
    <x:row r="222">
      <x:c r="A222" t="s">
        <x:v>266</x:v>
      </x:c>
      <x:c r="B222" s="4" t="s">
        <x:v>69</x:v>
      </x:c>
      <x:c r="C222" s="4" t="s">
        <x:v>262</x:v>
      </x:c>
      <x:c r="D222" s="4" t="s">
        <x:v>262</x:v>
      </x:c>
      <x:c r="E222" s="6" t="s">
        <x:v>21</x:v>
      </x:c>
      <x:c r="F222" s="4" t="s">
        <x:v>30</x:v>
      </x:c>
      <x:c r="G222" s="19" t="n">
        <x:f>SUMIFS('المرجع'!$C$2:$C$19,'المرجع'!$A$2:$A$19,$E222,'المرجع'!$B$2:$B$19,$F222)</x:f>
        <x:v>20</x:v>
      </x:c>
      <x:c r="H222" s="18" t="n">
        <x:f t="shared" ca="1" si="25"/>
        <x:v>1.48</x:v>
      </x:c>
      <x:c r="I222" s="20" t="n">
        <x:f t="shared" ca="1" si="26">G222*H222/100</x:f>
        <x:v>0.29600000000000004</x:v>
      </x:c>
    </x:row>
    <x:row r="223">
      <x:c r="A223" t="s">
        <x:v>267</x:v>
      </x:c>
      <x:c r="B223" s="4" t="s">
        <x:v>69</x:v>
      </x:c>
      <x:c r="C223" s="4" t="s">
        <x:v>262</x:v>
      </x:c>
      <x:c r="D223" s="4" t="s">
        <x:v>262</x:v>
      </x:c>
      <x:c r="E223" s="6" t="s">
        <x:v>21</x:v>
      </x:c>
      <x:c r="F223" s="4" t="s">
        <x:v>32</x:v>
      </x:c>
      <x:c r="G223" s="19" t="n">
        <x:f>SUMIFS('المرجع'!$C$2:$C$19,'المرجع'!$A$2:$A$19,$E223,'المرجع'!$B$2:$B$19,$F223)</x:f>
        <x:v>5</x:v>
      </x:c>
      <x:c r="H223" s="18" t="n">
        <x:f t="shared" ca="1" si="25"/>
        <x:v>44.97</x:v>
      </x:c>
      <x:c r="I223" s="20" t="n">
        <x:f t="shared" ca="1" si="26">G223*H223/100</x:f>
        <x:v>2.2485</x:v>
      </x:c>
    </x:row>
    <x:row r="224">
      <x:c r="A224" t="s">
        <x:v>268</x:v>
      </x:c>
      <x:c r="B224" s="4" t="s">
        <x:v>69</x:v>
      </x:c>
      <x:c r="C224" s="4" t="s">
        <x:v>262</x:v>
      </x:c>
      <x:c r="D224" s="4" t="s">
        <x:v>262</x:v>
      </x:c>
      <x:c r="E224" s="6" t="s">
        <x:v>34</x:v>
      </x:c>
      <x:c r="F224" s="4" t="s">
        <x:v>22</x:v>
      </x:c>
      <x:c r="G224" s="19" t="n">
        <x:f>SUMIFS('المرجع'!$C$2:$C$19,'المرجع'!$A$2:$A$19,$E224,'المرجع'!$B$2:$B$19,$F224)</x:f>
        <x:v>15</x:v>
      </x:c>
      <x:c r="H224" s="18" t="n">
        <x:v>81</x:v>
      </x:c>
      <x:c r="I224" s="20" t="n">
        <x:f t="shared" si="22">G224*H224/100</x:f>
        <x:v>12.15</x:v>
      </x:c>
    </x:row>
    <x:row r="225">
      <x:c r="A225" t="s">
        <x:v>269</x:v>
      </x:c>
      <x:c r="B225" s="4" t="s">
        <x:v>69</x:v>
      </x:c>
      <x:c r="C225" s="4" t="s">
        <x:v>262</x:v>
      </x:c>
      <x:c r="D225" s="4" t="s">
        <x:v>262</x:v>
      </x:c>
      <x:c r="E225" s="6" t="s">
        <x:v>34</x:v>
      </x:c>
      <x:c r="F225" s="4" t="s">
        <x:v>24</x:v>
      </x:c>
      <x:c r="G225" s="19" t="n">
        <x:f>SUMIFS('المرجع'!$C$2:$C$19,'المرجع'!$A$2:$A$19,$E225,'المرجع'!$B$2:$B$19,$F225)</x:f>
        <x:v>15</x:v>
      </x:c>
      <x:c r="H225" s="18" t="n">
        <x:v>75</x:v>
      </x:c>
      <x:c r="I225" s="20" t="n">
        <x:f t="shared" si="22">G225*H225/100</x:f>
        <x:v>11.25</x:v>
      </x:c>
    </x:row>
    <x:row r="226">
      <x:c r="A226" t="s">
        <x:v>270</x:v>
      </x:c>
      <x:c r="B226" s="4" t="s">
        <x:v>69</x:v>
      </x:c>
      <x:c r="C226" s="4" t="s">
        <x:v>262</x:v>
      </x:c>
      <x:c r="D226" s="4" t="s">
        <x:v>262</x:v>
      </x:c>
      <x:c r="E226" s="6" t="s">
        <x:v>34</x:v>
      </x:c>
      <x:c r="F226" s="4" t="s">
        <x:v>26</x:v>
      </x:c>
      <x:c r="G226" s="19" t="n">
        <x:f>SUMIFS('المرجع'!$C$2:$C$19,'المرجع'!$A$2:$A$19,$E226,'المرجع'!$B$2:$B$19,$F226)</x:f>
        <x:v>15</x:v>
      </x:c>
      <x:c r="H226" s="18" t="n">
        <x:v>60</x:v>
      </x:c>
      <x:c r="I226" s="20" t="n">
        <x:f t="shared" si="22">G226*H226/100</x:f>
        <x:v>9</x:v>
      </x:c>
    </x:row>
    <x:row r="227">
      <x:c r="A227" t="s">
        <x:v>271</x:v>
      </x:c>
      <x:c r="B227" s="4" t="s">
        <x:v>69</x:v>
      </x:c>
      <x:c r="C227" s="4" t="s">
        <x:v>262</x:v>
      </x:c>
      <x:c r="D227" s="4" t="s">
        <x:v>262</x:v>
      </x:c>
      <x:c r="E227" s="6" t="s">
        <x:v>34</x:v>
      </x:c>
      <x:c r="F227" s="4" t="s">
        <x:v>28</x:v>
      </x:c>
      <x:c r="G227" s="19" t="n">
        <x:f>SUMIFS('المرجع'!$C$2:$C$19,'المرجع'!$A$2:$A$19,$E227,'المرجع'!$B$2:$B$19,$F227)</x:f>
        <x:v>20</x:v>
      </x:c>
      <x:c r="H227" s="18" t="n">
        <x:v>75</x:v>
      </x:c>
      <x:c r="I227" s="20" t="n">
        <x:f t="shared" si="22">G227*H227/100</x:f>
        <x:v>15</x:v>
      </x:c>
    </x:row>
    <x:row r="228">
      <x:c r="A228" t="s">
        <x:v>272</x:v>
      </x:c>
      <x:c r="B228" s="4" t="s">
        <x:v>69</x:v>
      </x:c>
      <x:c r="C228" s="4" t="s">
        <x:v>262</x:v>
      </x:c>
      <x:c r="D228" s="4" t="s">
        <x:v>262</x:v>
      </x:c>
      <x:c r="E228" s="6" t="s">
        <x:v>34</x:v>
      </x:c>
      <x:c r="F228" s="4" t="s">
        <x:v>30</x:v>
      </x:c>
      <x:c r="G228" s="19" t="n">
        <x:f>SUMIFS('المرجع'!$C$2:$C$19,'المرجع'!$A$2:$A$19,$E228,'المرجع'!$B$2:$B$19,$F228)</x:f>
        <x:v>25</x:v>
      </x:c>
      <x:c r="H228" s="18" t="n">
        <x:v>71</x:v>
      </x:c>
      <x:c r="I228" s="20" t="n">
        <x:f t="shared" si="22">G228*H228/100</x:f>
        <x:v>17.75</x:v>
      </x:c>
    </x:row>
    <x:row r="229">
      <x:c r="A229" t="s">
        <x:v>273</x:v>
      </x:c>
      <x:c r="B229" s="4" t="s">
        <x:v>69</x:v>
      </x:c>
      <x:c r="C229" s="4" t="s">
        <x:v>262</x:v>
      </x:c>
      <x:c r="D229" s="4" t="s">
        <x:v>262</x:v>
      </x:c>
      <x:c r="E229" s="6" t="s">
        <x:v>34</x:v>
      </x:c>
      <x:c r="F229" s="4" t="s">
        <x:v>32</x:v>
      </x:c>
      <x:c r="G229" s="19" t="n">
        <x:f>SUMIFS('المرجع'!$C$2:$C$19,'المرجع'!$A$2:$A$19,$E229,'المرجع'!$B$2:$B$19,$F229)</x:f>
        <x:v>5</x:v>
      </x:c>
      <x:c r="H229" s="18" t="n">
        <x:v>57</x:v>
      </x:c>
      <x:c r="I229" s="20" t="n">
        <x:f t="shared" si="22">G229*H229/100</x:f>
        <x:v>2.85</x:v>
      </x:c>
    </x:row>
    <x:row r="230">
      <x:c r="A230" t="s">
        <x:v>274</x:v>
      </x:c>
      <x:c r="B230" s="4" t="s">
        <x:v>69</x:v>
      </x:c>
      <x:c r="C230" s="4" t="s">
        <x:v>262</x:v>
      </x:c>
      <x:c r="D230" s="4" t="s">
        <x:v>262</x:v>
      </x:c>
      <x:c r="E230" s="6" t="s">
        <x:v>34</x:v>
      </x:c>
      <x:c r="F230" s="4" t="s">
        <x:v>41</x:v>
      </x:c>
      <x:c r="G230" s="19" t="n">
        <x:f>SUMIFS('المرجع'!$C$2:$C$19,'المرجع'!$A$2:$A$19,$E230,'المرجع'!$B$2:$B$19,$F230)</x:f>
        <x:v>5</x:v>
      </x:c>
      <x:c r="H230" s="18" t="n">
        <x:v>51</x:v>
      </x:c>
      <x:c r="I230" s="20" t="n">
        <x:f t="shared" si="22">G230*H230/100</x:f>
        <x:v>2.55</x:v>
      </x:c>
    </x:row>
    <x:row r="231">
      <x:c r="A231" t="s">
        <x:v>275</x:v>
      </x:c>
      <x:c r="B231" s="4" t="s">
        <x:v>69</x:v>
      </x:c>
      <x:c r="C231" s="4" t="s">
        <x:v>262</x:v>
      </x:c>
      <x:c r="D231" s="4" t="s">
        <x:v>262</x:v>
      </x:c>
      <x:c r="E231" s="6" t="s">
        <x:v>43</x:v>
      </x:c>
      <x:c r="F231" s="4" t="s">
        <x:v>24</x:v>
      </x:c>
      <x:c r="G231" s="19" t="n">
        <x:f>SUMIFS('المرجع'!$C$2:$C$19,'المرجع'!$A$2:$A$19,$E231,'المرجع'!$B$2:$B$19,$F231)</x:f>
        <x:v>25</x:v>
      </x:c>
      <x:c r="H231" s="18" t="n">
        <x:v>30</x:v>
      </x:c>
      <x:c r="I231" s="20" t="n">
        <x:f t="shared" si="22">G231*H231/100</x:f>
        <x:v>7.5</x:v>
      </x:c>
    </x:row>
    <x:row r="232">
      <x:c r="A232" t="s">
        <x:v>276</x:v>
      </x:c>
      <x:c r="B232" s="4" t="s">
        <x:v>69</x:v>
      </x:c>
      <x:c r="C232" s="4" t="s">
        <x:v>262</x:v>
      </x:c>
      <x:c r="D232" s="4" t="s">
        <x:v>262</x:v>
      </x:c>
      <x:c r="E232" s="6" t="s">
        <x:v>43</x:v>
      </x:c>
      <x:c r="F232" s="4" t="s">
        <x:v>26</x:v>
      </x:c>
      <x:c r="G232" s="19" t="n">
        <x:f>SUMIFS('المرجع'!$C$2:$C$19,'المرجع'!$A$2:$A$19,$E232,'المرجع'!$B$2:$B$19,$F232)</x:f>
        <x:v>15</x:v>
      </x:c>
      <x:c r="H232" s="18" t="n">
        <x:v>51</x:v>
      </x:c>
      <x:c r="I232" s="20" t="n">
        <x:f t="shared" si="22">G232*H232/100</x:f>
        <x:v>7.65</x:v>
      </x:c>
    </x:row>
    <x:row r="233">
      <x:c r="A233" t="s">
        <x:v>277</x:v>
      </x:c>
      <x:c r="B233" s="4" t="s">
        <x:v>69</x:v>
      </x:c>
      <x:c r="C233" s="4" t="s">
        <x:v>262</x:v>
      </x:c>
      <x:c r="D233" s="4" t="s">
        <x:v>262</x:v>
      </x:c>
      <x:c r="E233" s="6" t="s">
        <x:v>43</x:v>
      </x:c>
      <x:c r="F233" s="4" t="s">
        <x:v>30</x:v>
      </x:c>
      <x:c r="G233" s="19" t="n">
        <x:f>SUMIFS('المرجع'!$C$2:$C$19,'المرجع'!$A$2:$A$19,$E233,'المرجع'!$B$2:$B$19,$F233)</x:f>
        <x:v>15</x:v>
      </x:c>
      <x:c r="H233" s="18" t="n">
        <x:v>46</x:v>
      </x:c>
      <x:c r="I233" s="20" t="n">
        <x:f t="shared" si="22">G233*H233/100</x:f>
        <x:v>6.9</x:v>
      </x:c>
    </x:row>
    <x:row r="234">
      <x:c r="A234" t="s">
        <x:v>278</x:v>
      </x:c>
      <x:c r="B234" s="4" t="s">
        <x:v>69</x:v>
      </x:c>
      <x:c r="C234" s="4" t="s">
        <x:v>262</x:v>
      </x:c>
      <x:c r="D234" s="4" t="s">
        <x:v>262</x:v>
      </x:c>
      <x:c r="E234" s="6" t="s">
        <x:v>43</x:v>
      </x:c>
      <x:c r="F234" s="4" t="s">
        <x:v>32</x:v>
      </x:c>
      <x:c r="G234" s="19" t="n">
        <x:f>SUMIFS('المرجع'!$C$2:$C$19,'المرجع'!$A$2:$A$19,$E234,'المرجع'!$B$2:$B$19,$F234)</x:f>
        <x:v>15</x:v>
      </x:c>
      <x:c r="H234" s="18" t="n">
        <x:v>51</x:v>
      </x:c>
      <x:c r="I234" s="20" t="n">
        <x:f t="shared" si="22">G234*H234/100</x:f>
        <x:v>7.65</x:v>
      </x:c>
    </x:row>
    <x:row r="235">
      <x:c r="A235" t="s">
        <x:v>279</x:v>
      </x:c>
      <x:c r="B235" s="4" t="s">
        <x:v>69</x:v>
      </x:c>
      <x:c r="C235" s="4" t="s">
        <x:v>262</x:v>
      </x:c>
      <x:c r="D235" s="4" t="s">
        <x:v>262</x:v>
      </x:c>
      <x:c r="E235" s="6" t="s">
        <x:v>43</x:v>
      </x:c>
      <x:c r="F235" s="4" t="s">
        <x:v>48</x:v>
      </x:c>
      <x:c r="G235" s="19" t="n">
        <x:f>SUMIFS('المرجع'!$C$2:$C$19,'المرجع'!$A$2:$A$19,$E235,'المرجع'!$B$2:$B$19,$F235)</x:f>
        <x:v>30</x:v>
      </x:c>
      <x:c r="H235" s="18" t="n">
        <x:v>50</x:v>
      </x:c>
      <x:c r="I235" s="20" t="n">
        <x:f t="shared" si="22">G235*H235/100</x:f>
        <x:v>15</x:v>
      </x:c>
    </x:row>
    <x:row r="236">
      <x:c r="A236" t="s">
        <x:v>280</x:v>
      </x:c>
      <x:c r="B236" s="4" t="s">
        <x:v>69</x:v>
      </x:c>
      <x:c r="C236" s="4" t="s">
        <x:v>281</x:v>
      </x:c>
      <x:c r="D236" s="4" t="s">
        <x:v>281</x:v>
      </x:c>
      <x:c r="E236" s="6" t="s">
        <x:v>21</x:v>
      </x:c>
      <x:c r="F236" s="4" t="s">
        <x:v>22</x:v>
      </x:c>
      <x:c r="G236" s="19" t="n">
        <x:f>SUMIFS('المرجع'!$C$2:$C$19,'المرجع'!$A$2:$A$19,$E236,'المرجع'!$B$2:$B$19,$F236)</x:f>
        <x:v>25</x:v>
      </x:c>
      <x:c r="H236" s="18" t="n">
        <x:f t="shared" ref="H236:H241" ca="1" si="27">79.85</x:f>
        <x:v>79.85</x:v>
      </x:c>
      <x:c r="I236" s="20" t="n">
        <x:f t="shared" ref="I236:I241" ca="1" si="28">G236*H236/100</x:f>
        <x:v>19.9625</x:v>
      </x:c>
    </x:row>
    <x:row r="237">
      <x:c r="A237" t="s">
        <x:v>282</x:v>
      </x:c>
      <x:c r="B237" s="4" t="s">
        <x:v>69</x:v>
      </x:c>
      <x:c r="C237" s="4" t="s">
        <x:v>281</x:v>
      </x:c>
      <x:c r="D237" s="4" t="s">
        <x:v>281</x:v>
      </x:c>
      <x:c r="E237" s="6" t="s">
        <x:v>21</x:v>
      </x:c>
      <x:c r="F237" s="4" t="s">
        <x:v>24</x:v>
      </x:c>
      <x:c r="G237" s="19" t="n">
        <x:f>SUMIFS('المرجع'!$C$2:$C$19,'المرجع'!$A$2:$A$19,$E237,'المرجع'!$B$2:$B$19,$F237)</x:f>
        <x:v>15</x:v>
      </x:c>
      <x:c r="H237" s="18" t="n">
        <x:f t="shared" ca="1" si="27"/>
        <x:v>65.92</x:v>
      </x:c>
      <x:c r="I237" s="20" t="n">
        <x:f t="shared" ca="1" si="28">G237*H237/100</x:f>
        <x:v>9.888</x:v>
      </x:c>
    </x:row>
    <x:row r="238">
      <x:c r="A238" t="s">
        <x:v>283</x:v>
      </x:c>
      <x:c r="B238" s="4" t="s">
        <x:v>69</x:v>
      </x:c>
      <x:c r="C238" s="4" t="s">
        <x:v>281</x:v>
      </x:c>
      <x:c r="D238" s="4" t="s">
        <x:v>281</x:v>
      </x:c>
      <x:c r="E238" s="6" t="s">
        <x:v>21</x:v>
      </x:c>
      <x:c r="F238" s="4" t="s">
        <x:v>26</x:v>
      </x:c>
      <x:c r="G238" s="19" t="n">
        <x:f>SUMIFS('المرجع'!$C$2:$C$19,'المرجع'!$A$2:$A$19,$E238,'المرجع'!$B$2:$B$19,$F238)</x:f>
        <x:v>15</x:v>
      </x:c>
      <x:c r="H238" s="18" t="n">
        <x:f t="shared" ca="1" si="27"/>
        <x:v>57.63</x:v>
      </x:c>
      <x:c r="I238" s="20" t="n">
        <x:f t="shared" ca="1" si="28">G238*H238/100</x:f>
        <x:v>8.6445</x:v>
      </x:c>
    </x:row>
    <x:row r="239">
      <x:c r="A239" t="s">
        <x:v>284</x:v>
      </x:c>
      <x:c r="B239" s="4" t="s">
        <x:v>69</x:v>
      </x:c>
      <x:c r="C239" s="4" t="s">
        <x:v>281</x:v>
      </x:c>
      <x:c r="D239" s="4" t="s">
        <x:v>281</x:v>
      </x:c>
      <x:c r="E239" s="6" t="s">
        <x:v>21</x:v>
      </x:c>
      <x:c r="F239" s="4" t="s">
        <x:v>28</x:v>
      </x:c>
      <x:c r="G239" s="19" t="n">
        <x:f>SUMIFS('المرجع'!$C$2:$C$19,'المرجع'!$A$2:$A$19,$E239,'المرجع'!$B$2:$B$19,$F239)</x:f>
        <x:v>20</x:v>
      </x:c>
      <x:c r="H239" s="18" t="n">
        <x:f t="shared" ca="1" si="27"/>
        <x:v>46.98</x:v>
      </x:c>
      <x:c r="I239" s="20" t="n">
        <x:f t="shared" ca="1" si="28">G239*H239/100</x:f>
        <x:v>9.395999999999999</x:v>
      </x:c>
    </x:row>
    <x:row r="240">
      <x:c r="A240" t="s">
        <x:v>285</x:v>
      </x:c>
      <x:c r="B240" s="4" t="s">
        <x:v>69</x:v>
      </x:c>
      <x:c r="C240" s="4" t="s">
        <x:v>281</x:v>
      </x:c>
      <x:c r="D240" s="4" t="s">
        <x:v>281</x:v>
      </x:c>
      <x:c r="E240" s="6" t="s">
        <x:v>21</x:v>
      </x:c>
      <x:c r="F240" s="4" t="s">
        <x:v>30</x:v>
      </x:c>
      <x:c r="G240" s="19" t="n">
        <x:f>SUMIFS('المرجع'!$C$2:$C$19,'المرجع'!$A$2:$A$19,$E240,'المرجع'!$B$2:$B$19,$F240)</x:f>
        <x:v>20</x:v>
      </x:c>
      <x:c r="H240" s="18" t="n">
        <x:f t="shared" ca="1" si="27"/>
        <x:v>96.3</x:v>
      </x:c>
      <x:c r="I240" s="20" t="n">
        <x:f t="shared" ca="1" si="28">G240*H240/100</x:f>
        <x:v>19.26</x:v>
      </x:c>
    </x:row>
    <x:row r="241">
      <x:c r="A241" t="s">
        <x:v>286</x:v>
      </x:c>
      <x:c r="B241" s="4" t="s">
        <x:v>69</x:v>
      </x:c>
      <x:c r="C241" s="4" t="s">
        <x:v>281</x:v>
      </x:c>
      <x:c r="D241" s="4" t="s">
        <x:v>281</x:v>
      </x:c>
      <x:c r="E241" s="6" t="s">
        <x:v>21</x:v>
      </x:c>
      <x:c r="F241" s="4" t="s">
        <x:v>32</x:v>
      </x:c>
      <x:c r="G241" s="19" t="n">
        <x:f>SUMIFS('المرجع'!$C$2:$C$19,'المرجع'!$A$2:$A$19,$E241,'المرجع'!$B$2:$B$19,$F241)</x:f>
        <x:v>5</x:v>
      </x:c>
      <x:c r="H241" s="18" t="n">
        <x:f t="shared" ca="1" si="27"/>
        <x:v>95.61</x:v>
      </x:c>
      <x:c r="I241" s="20" t="n">
        <x:f t="shared" ca="1" si="28">G241*H241/100</x:f>
        <x:v>4.7805</x:v>
      </x:c>
    </x:row>
    <x:row r="242">
      <x:c r="A242" t="s">
        <x:v>287</x:v>
      </x:c>
      <x:c r="B242" s="4" t="s">
        <x:v>69</x:v>
      </x:c>
      <x:c r="C242" s="4" t="s">
        <x:v>281</x:v>
      </x:c>
      <x:c r="D242" s="4" t="s">
        <x:v>281</x:v>
      </x:c>
      <x:c r="E242" s="6" t="s">
        <x:v>34</x:v>
      </x:c>
      <x:c r="F242" s="4" t="s">
        <x:v>22</x:v>
      </x:c>
      <x:c r="G242" s="19" t="n">
        <x:f>SUMIFS('المرجع'!$C$2:$C$19,'المرجع'!$A$2:$A$19,$E242,'المرجع'!$B$2:$B$19,$F242)</x:f>
        <x:v>15</x:v>
      </x:c>
      <x:c r="H242" s="18" t="n">
        <x:v>70</x:v>
      </x:c>
      <x:c r="I242" s="20" t="n">
        <x:f t="shared" si="22">G242*H242/100</x:f>
        <x:v>10.5</x:v>
      </x:c>
    </x:row>
    <x:row r="243">
      <x:c r="A243" t="s">
        <x:v>288</x:v>
      </x:c>
      <x:c r="B243" s="4" t="s">
        <x:v>69</x:v>
      </x:c>
      <x:c r="C243" s="4" t="s">
        <x:v>281</x:v>
      </x:c>
      <x:c r="D243" s="4" t="s">
        <x:v>281</x:v>
      </x:c>
      <x:c r="E243" s="6" t="s">
        <x:v>34</x:v>
      </x:c>
      <x:c r="F243" s="4" t="s">
        <x:v>24</x:v>
      </x:c>
      <x:c r="G243" s="19" t="n">
        <x:f>SUMIFS('المرجع'!$C$2:$C$19,'المرجع'!$A$2:$A$19,$E243,'المرجع'!$B$2:$B$19,$F243)</x:f>
        <x:v>15</x:v>
      </x:c>
      <x:c r="H243" s="18" t="n">
        <x:v>66</x:v>
      </x:c>
      <x:c r="I243" s="20" t="n">
        <x:f t="shared" si="22">G243*H243/100</x:f>
        <x:v>9.9</x:v>
      </x:c>
    </x:row>
    <x:row r="244">
      <x:c r="A244" t="s">
        <x:v>289</x:v>
      </x:c>
      <x:c r="B244" s="4" t="s">
        <x:v>69</x:v>
      </x:c>
      <x:c r="C244" s="4" t="s">
        <x:v>281</x:v>
      </x:c>
      <x:c r="D244" s="4" t="s">
        <x:v>281</x:v>
      </x:c>
      <x:c r="E244" s="6" t="s">
        <x:v>34</x:v>
      </x:c>
      <x:c r="F244" s="4" t="s">
        <x:v>26</x:v>
      </x:c>
      <x:c r="G244" s="19" t="n">
        <x:f>SUMIFS('المرجع'!$C$2:$C$19,'المرجع'!$A$2:$A$19,$E244,'المرجع'!$B$2:$B$19,$F244)</x:f>
        <x:v>15</x:v>
      </x:c>
      <x:c r="H244" s="18" t="n">
        <x:v>51</x:v>
      </x:c>
      <x:c r="I244" s="20" t="n">
        <x:f t="shared" si="22">G244*H244/100</x:f>
        <x:v>7.65</x:v>
      </x:c>
    </x:row>
    <x:row r="245">
      <x:c r="A245" t="s">
        <x:v>290</x:v>
      </x:c>
      <x:c r="B245" s="4" t="s">
        <x:v>69</x:v>
      </x:c>
      <x:c r="C245" s="4" t="s">
        <x:v>281</x:v>
      </x:c>
      <x:c r="D245" s="4" t="s">
        <x:v>281</x:v>
      </x:c>
      <x:c r="E245" s="6" t="s">
        <x:v>34</x:v>
      </x:c>
      <x:c r="F245" s="4" t="s">
        <x:v>28</x:v>
      </x:c>
      <x:c r="G245" s="19" t="n">
        <x:f>SUMIFS('المرجع'!$C$2:$C$19,'المرجع'!$A$2:$A$19,$E245,'المرجع'!$B$2:$B$19,$F245)</x:f>
        <x:v>20</x:v>
      </x:c>
      <x:c r="H245" s="18" t="n">
        <x:v>60</x:v>
      </x:c>
      <x:c r="I245" s="20" t="n">
        <x:f t="shared" si="22">G245*H245/100</x:f>
        <x:v>12</x:v>
      </x:c>
    </x:row>
    <x:row r="246">
      <x:c r="A246" t="s">
        <x:v>291</x:v>
      </x:c>
      <x:c r="B246" s="4" t="s">
        <x:v>69</x:v>
      </x:c>
      <x:c r="C246" s="4" t="s">
        <x:v>281</x:v>
      </x:c>
      <x:c r="D246" s="4" t="s">
        <x:v>281</x:v>
      </x:c>
      <x:c r="E246" s="6" t="s">
        <x:v>34</x:v>
      </x:c>
      <x:c r="F246" s="4" t="s">
        <x:v>30</x:v>
      </x:c>
      <x:c r="G246" s="19" t="n">
        <x:f>SUMIFS('المرجع'!$C$2:$C$19,'المرجع'!$A$2:$A$19,$E246,'المرجع'!$B$2:$B$19,$F246)</x:f>
        <x:v>25</x:v>
      </x:c>
      <x:c r="H246" s="18" t="n">
        <x:v>57</x:v>
      </x:c>
      <x:c r="I246" s="20" t="n">
        <x:f t="shared" si="22">G246*H246/100</x:f>
        <x:v>14.25</x:v>
      </x:c>
    </x:row>
    <x:row r="247">
      <x:c r="A247" t="s">
        <x:v>292</x:v>
      </x:c>
      <x:c r="B247" s="4" t="s">
        <x:v>69</x:v>
      </x:c>
      <x:c r="C247" s="4" t="s">
        <x:v>281</x:v>
      </x:c>
      <x:c r="D247" s="4" t="s">
        <x:v>281</x:v>
      </x:c>
      <x:c r="E247" s="6" t="s">
        <x:v>34</x:v>
      </x:c>
      <x:c r="F247" s="4" t="s">
        <x:v>32</x:v>
      </x:c>
      <x:c r="G247" s="19" t="n">
        <x:f>SUMIFS('المرجع'!$C$2:$C$19,'المرجع'!$A$2:$A$19,$E247,'المرجع'!$B$2:$B$19,$F247)</x:f>
        <x:v>5</x:v>
      </x:c>
      <x:c r="H247" s="18" t="n">
        <x:v>57</x:v>
      </x:c>
      <x:c r="I247" s="20" t="n">
        <x:f t="shared" si="22">G247*H247/100</x:f>
        <x:v>2.85</x:v>
      </x:c>
    </x:row>
    <x:row r="248">
      <x:c r="A248" t="s">
        <x:v>293</x:v>
      </x:c>
      <x:c r="B248" s="4" t="s">
        <x:v>69</x:v>
      </x:c>
      <x:c r="C248" s="4" t="s">
        <x:v>281</x:v>
      </x:c>
      <x:c r="D248" s="4" t="s">
        <x:v>281</x:v>
      </x:c>
      <x:c r="E248" s="6" t="s">
        <x:v>34</x:v>
      </x:c>
      <x:c r="F248" s="4" t="s">
        <x:v>41</x:v>
      </x:c>
      <x:c r="G248" s="19" t="n">
        <x:f>SUMIFS('المرجع'!$C$2:$C$19,'المرجع'!$A$2:$A$19,$E248,'المرجع'!$B$2:$B$19,$F248)</x:f>
        <x:v>5</x:v>
      </x:c>
      <x:c r="H248" s="18" t="n">
        <x:v>79</x:v>
      </x:c>
      <x:c r="I248" s="20" t="n">
        <x:f t="shared" si="22">G248*H248/100</x:f>
        <x:v>3.95</x:v>
      </x:c>
    </x:row>
    <x:row r="249">
      <x:c r="A249" t="s">
        <x:v>294</x:v>
      </x:c>
      <x:c r="B249" s="4" t="s">
        <x:v>69</x:v>
      </x:c>
      <x:c r="C249" s="4" t="s">
        <x:v>281</x:v>
      </x:c>
      <x:c r="D249" s="4" t="s">
        <x:v>281</x:v>
      </x:c>
      <x:c r="E249" s="6" t="s">
        <x:v>43</x:v>
      </x:c>
      <x:c r="F249" s="4" t="s">
        <x:v>24</x:v>
      </x:c>
      <x:c r="G249" s="19" t="n">
        <x:f>SUMIFS('المرجع'!$C$2:$C$19,'المرجع'!$A$2:$A$19,$E249,'المرجع'!$B$2:$B$19,$F249)</x:f>
        <x:v>25</x:v>
      </x:c>
      <x:c r="H249" s="18" t="n">
        <x:v>52</x:v>
      </x:c>
      <x:c r="I249" s="20" t="n">
        <x:f t="shared" si="22">G249*H249/100</x:f>
        <x:v>13</x:v>
      </x:c>
    </x:row>
    <x:row r="250">
      <x:c r="A250" t="s">
        <x:v>295</x:v>
      </x:c>
      <x:c r="B250" s="4" t="s">
        <x:v>69</x:v>
      </x:c>
      <x:c r="C250" s="4" t="s">
        <x:v>281</x:v>
      </x:c>
      <x:c r="D250" s="4" t="s">
        <x:v>281</x:v>
      </x:c>
      <x:c r="E250" s="6" t="s">
        <x:v>43</x:v>
      </x:c>
      <x:c r="F250" s="4" t="s">
        <x:v>26</x:v>
      </x:c>
      <x:c r="G250" s="19" t="n">
        <x:f>SUMIFS('المرجع'!$C$2:$C$19,'المرجع'!$A$2:$A$19,$E250,'المرجع'!$B$2:$B$19,$F250)</x:f>
        <x:v>15</x:v>
      </x:c>
      <x:c r="H250" s="18" t="n">
        <x:v>32</x:v>
      </x:c>
      <x:c r="I250" s="20" t="n">
        <x:f t="shared" si="22">G250*H250/100</x:f>
        <x:v>4.8</x:v>
      </x:c>
    </x:row>
    <x:row r="251">
      <x:c r="A251" t="s">
        <x:v>296</x:v>
      </x:c>
      <x:c r="B251" s="4" t="s">
        <x:v>69</x:v>
      </x:c>
      <x:c r="C251" s="4" t="s">
        <x:v>281</x:v>
      </x:c>
      <x:c r="D251" s="4" t="s">
        <x:v>281</x:v>
      </x:c>
      <x:c r="E251" s="6" t="s">
        <x:v>43</x:v>
      </x:c>
      <x:c r="F251" s="4" t="s">
        <x:v>30</x:v>
      </x:c>
      <x:c r="G251" s="19" t="n">
        <x:f>SUMIFS('المرجع'!$C$2:$C$19,'المرجع'!$A$2:$A$19,$E251,'المرجع'!$B$2:$B$19,$F251)</x:f>
        <x:v>15</x:v>
      </x:c>
      <x:c r="H251" s="18" t="n">
        <x:v>51</x:v>
      </x:c>
      <x:c r="I251" s="20" t="n">
        <x:f t="shared" si="22">G251*H251/100</x:f>
        <x:v>7.65</x:v>
      </x:c>
    </x:row>
    <x:row r="252">
      <x:c r="A252" t="s">
        <x:v>297</x:v>
      </x:c>
      <x:c r="B252" s="4" t="s">
        <x:v>69</x:v>
      </x:c>
      <x:c r="C252" s="4" t="s">
        <x:v>281</x:v>
      </x:c>
      <x:c r="D252" s="4" t="s">
        <x:v>281</x:v>
      </x:c>
      <x:c r="E252" s="6" t="s">
        <x:v>43</x:v>
      </x:c>
      <x:c r="F252" s="4" t="s">
        <x:v>32</x:v>
      </x:c>
      <x:c r="G252" s="19" t="n">
        <x:f>SUMIFS('المرجع'!$C$2:$C$19,'المرجع'!$A$2:$A$19,$E252,'المرجع'!$B$2:$B$19,$F252)</x:f>
        <x:v>15</x:v>
      </x:c>
      <x:c r="H252" s="18" t="n">
        <x:v>35</x:v>
      </x:c>
      <x:c r="I252" s="20" t="n">
        <x:f t="shared" si="22">G252*H252/100</x:f>
        <x:v>5.25</x:v>
      </x:c>
    </x:row>
    <x:row r="253">
      <x:c r="A253" t="s">
        <x:v>298</x:v>
      </x:c>
      <x:c r="B253" s="4" t="s">
        <x:v>69</x:v>
      </x:c>
      <x:c r="C253" s="4" t="s">
        <x:v>281</x:v>
      </x:c>
      <x:c r="D253" s="4" t="s">
        <x:v>281</x:v>
      </x:c>
      <x:c r="E253" s="6" t="s">
        <x:v>43</x:v>
      </x:c>
      <x:c r="F253" s="4" t="s">
        <x:v>48</x:v>
      </x:c>
      <x:c r="G253" s="19" t="n">
        <x:f>SUMIFS('المرجع'!$C$2:$C$19,'المرجع'!$A$2:$A$19,$E253,'المرجع'!$B$2:$B$19,$F253)</x:f>
        <x:v>30</x:v>
      </x:c>
      <x:c r="H253" s="18" t="n">
        <x:v>41</x:v>
      </x:c>
      <x:c r="I253" s="20" t="n">
        <x:f t="shared" si="22">G253*H253/100</x:f>
        <x:v>12.3</x:v>
      </x:c>
    </x:row>
    <x:row r="254">
      <x:c r="A254" t="s">
        <x:v>299</x:v>
      </x:c>
      <x:c r="B254" s="4" t="s">
        <x:v>69</x:v>
      </x:c>
      <x:c r="C254" s="4" t="s">
        <x:v>300</x:v>
      </x:c>
      <x:c r="D254" s="4" t="s">
        <x:v>300</x:v>
      </x:c>
      <x:c r="E254" s="6" t="s">
        <x:v>21</x:v>
      </x:c>
      <x:c r="F254" s="4" t="s">
        <x:v>22</x:v>
      </x:c>
      <x:c r="G254" s="19" t="n">
        <x:f>SUMIFS('المرجع'!$C$2:$C$19,'المرجع'!$A$2:$A$19,$E254,'المرجع'!$B$2:$B$19,$F254)</x:f>
        <x:v>25</x:v>
      </x:c>
      <x:c r="H254" s="18" t="n">
        <x:f t="shared" ref="H254:H259" ca="1" si="29">1.06</x:f>
        <x:v>1.06</x:v>
      </x:c>
      <x:c r="I254" s="20" t="n">
        <x:f t="shared" ref="I254:I259" ca="1" si="30">G254*H254/100</x:f>
        <x:v>0.265</x:v>
      </x:c>
    </x:row>
    <x:row r="255">
      <x:c r="A255" t="s">
        <x:v>301</x:v>
      </x:c>
      <x:c r="B255" s="4" t="s">
        <x:v>69</x:v>
      </x:c>
      <x:c r="C255" s="4" t="s">
        <x:v>300</x:v>
      </x:c>
      <x:c r="D255" s="4" t="s">
        <x:v>300</x:v>
      </x:c>
      <x:c r="E255" s="6" t="s">
        <x:v>21</x:v>
      </x:c>
      <x:c r="F255" s="4" t="s">
        <x:v>24</x:v>
      </x:c>
      <x:c r="G255" s="19" t="n">
        <x:f>SUMIFS('المرجع'!$C$2:$C$19,'المرجع'!$A$2:$A$19,$E255,'المرجع'!$B$2:$B$19,$F255)</x:f>
        <x:v>15</x:v>
      </x:c>
      <x:c r="H255" s="18" t="n">
        <x:f t="shared" ca="1" si="29"/>
        <x:v>55.12</x:v>
      </x:c>
      <x:c r="I255" s="20" t="n">
        <x:f t="shared" ca="1" si="30">G255*H255/100</x:f>
        <x:v>8.267999999999999</x:v>
      </x:c>
    </x:row>
    <x:row r="256">
      <x:c r="A256" t="s">
        <x:v>302</x:v>
      </x:c>
      <x:c r="B256" s="4" t="s">
        <x:v>69</x:v>
      </x:c>
      <x:c r="C256" s="4" t="s">
        <x:v>300</x:v>
      </x:c>
      <x:c r="D256" s="4" t="s">
        <x:v>300</x:v>
      </x:c>
      <x:c r="E256" s="6" t="s">
        <x:v>21</x:v>
      </x:c>
      <x:c r="F256" s="4" t="s">
        <x:v>26</x:v>
      </x:c>
      <x:c r="G256" s="19" t="n">
        <x:f>SUMIFS('المرجع'!$C$2:$C$19,'المرجع'!$A$2:$A$19,$E256,'المرجع'!$B$2:$B$19,$F256)</x:f>
        <x:v>15</x:v>
      </x:c>
      <x:c r="H256" s="18" t="n">
        <x:f t="shared" ca="1" si="29"/>
        <x:v>93.64</x:v>
      </x:c>
      <x:c r="I256" s="20" t="n">
        <x:f t="shared" ca="1" si="30">G256*H256/100</x:f>
        <x:v>14.046</x:v>
      </x:c>
    </x:row>
    <x:row r="257">
      <x:c r="A257" t="s">
        <x:v>303</x:v>
      </x:c>
      <x:c r="B257" s="4" t="s">
        <x:v>69</x:v>
      </x:c>
      <x:c r="C257" s="4" t="s">
        <x:v>300</x:v>
      </x:c>
      <x:c r="D257" s="4" t="s">
        <x:v>300</x:v>
      </x:c>
      <x:c r="E257" s="6" t="s">
        <x:v>21</x:v>
      </x:c>
      <x:c r="F257" s="4" t="s">
        <x:v>28</x:v>
      </x:c>
      <x:c r="G257" s="19" t="n">
        <x:f>SUMIFS('المرجع'!$C$2:$C$19,'المرجع'!$A$2:$A$19,$E257,'المرجع'!$B$2:$B$19,$F257)</x:f>
        <x:v>20</x:v>
      </x:c>
      <x:c r="H257" s="18" t="n">
        <x:f t="shared" ca="1" si="29"/>
        <x:v>94.09</x:v>
      </x:c>
      <x:c r="I257" s="20" t="n">
        <x:f t="shared" ca="1" si="30">G257*H257/100</x:f>
        <x:v>18.818</x:v>
      </x:c>
    </x:row>
    <x:row r="258">
      <x:c r="A258" t="s">
        <x:v>304</x:v>
      </x:c>
      <x:c r="B258" s="4" t="s">
        <x:v>69</x:v>
      </x:c>
      <x:c r="C258" s="4" t="s">
        <x:v>300</x:v>
      </x:c>
      <x:c r="D258" s="4" t="s">
        <x:v>300</x:v>
      </x:c>
      <x:c r="E258" s="6" t="s">
        <x:v>21</x:v>
      </x:c>
      <x:c r="F258" s="4" t="s">
        <x:v>30</x:v>
      </x:c>
      <x:c r="G258" s="19" t="n">
        <x:f>SUMIFS('المرجع'!$C$2:$C$19,'المرجع'!$A$2:$A$19,$E258,'المرجع'!$B$2:$B$19,$F258)</x:f>
        <x:v>20</x:v>
      </x:c>
      <x:c r="H258" s="18" t="n">
        <x:f t="shared" ca="1" si="29"/>
        <x:v>38.75</x:v>
      </x:c>
      <x:c r="I258" s="20" t="n">
        <x:f t="shared" ca="1" si="30">G258*H258/100</x:f>
        <x:v>7.75</x:v>
      </x:c>
    </x:row>
    <x:row r="259">
      <x:c r="A259" t="s">
        <x:v>305</x:v>
      </x:c>
      <x:c r="B259" s="4" t="s">
        <x:v>69</x:v>
      </x:c>
      <x:c r="C259" s="4" t="s">
        <x:v>300</x:v>
      </x:c>
      <x:c r="D259" s="4" t="s">
        <x:v>300</x:v>
      </x:c>
      <x:c r="E259" s="6" t="s">
        <x:v>21</x:v>
      </x:c>
      <x:c r="F259" s="4" t="s">
        <x:v>32</x:v>
      </x:c>
      <x:c r="G259" s="19" t="n">
        <x:f>SUMIFS('المرجع'!$C$2:$C$19,'المرجع'!$A$2:$A$19,$E259,'المرجع'!$B$2:$B$19,$F259)</x:f>
        <x:v>5</x:v>
      </x:c>
      <x:c r="H259" s="18" t="n">
        <x:f t="shared" ca="1" si="29"/>
        <x:v>45.05</x:v>
      </x:c>
      <x:c r="I259" s="20" t="n">
        <x:f t="shared" ca="1" si="30">G259*H259/100</x:f>
        <x:v>2.2525</x:v>
      </x:c>
    </x:row>
    <x:row r="260">
      <x:c r="A260" t="s">
        <x:v>306</x:v>
      </x:c>
      <x:c r="B260" s="4" t="s">
        <x:v>69</x:v>
      </x:c>
      <x:c r="C260" s="4" t="s">
        <x:v>300</x:v>
      </x:c>
      <x:c r="D260" s="4" t="s">
        <x:v>300</x:v>
      </x:c>
      <x:c r="E260" s="6" t="s">
        <x:v>34</x:v>
      </x:c>
      <x:c r="F260" s="4" t="s">
        <x:v>22</x:v>
      </x:c>
      <x:c r="G260" s="19" t="n">
        <x:f>SUMIFS('المرجع'!$C$2:$C$19,'المرجع'!$A$2:$A$19,$E260,'المرجع'!$B$2:$B$19,$F260)</x:f>
        <x:v>15</x:v>
      </x:c>
      <x:c r="H260" s="18" t="n">
        <x:v>48</x:v>
      </x:c>
      <x:c r="I260" s="20" t="n">
        <x:f t="shared" ref="I260:I289" si="31">G260*H260/100</x:f>
        <x:v>7.2</x:v>
      </x:c>
    </x:row>
    <x:row r="261">
      <x:c r="A261" t="s">
        <x:v>307</x:v>
      </x:c>
      <x:c r="B261" s="4" t="s">
        <x:v>69</x:v>
      </x:c>
      <x:c r="C261" s="4" t="s">
        <x:v>300</x:v>
      </x:c>
      <x:c r="D261" s="4" t="s">
        <x:v>300</x:v>
      </x:c>
      <x:c r="E261" s="6" t="s">
        <x:v>34</x:v>
      </x:c>
      <x:c r="F261" s="4" t="s">
        <x:v>24</x:v>
      </x:c>
      <x:c r="G261" s="19" t="n">
        <x:f>SUMIFS('المرجع'!$C$2:$C$19,'المرجع'!$A$2:$A$19,$E261,'المرجع'!$B$2:$B$19,$F261)</x:f>
        <x:v>15</x:v>
      </x:c>
      <x:c r="H261" s="18" t="n">
        <x:v>79</x:v>
      </x:c>
      <x:c r="I261" s="20" t="n">
        <x:f t="shared" si="31">G261*H261/100</x:f>
        <x:v>11.85</x:v>
      </x:c>
    </x:row>
    <x:row r="262">
      <x:c r="A262" t="s">
        <x:v>308</x:v>
      </x:c>
      <x:c r="B262" s="4" t="s">
        <x:v>69</x:v>
      </x:c>
      <x:c r="C262" s="4" t="s">
        <x:v>300</x:v>
      </x:c>
      <x:c r="D262" s="4" t="s">
        <x:v>300</x:v>
      </x:c>
      <x:c r="E262" s="6" t="s">
        <x:v>34</x:v>
      </x:c>
      <x:c r="F262" s="4" t="s">
        <x:v>26</x:v>
      </x:c>
      <x:c r="G262" s="19" t="n">
        <x:f>SUMIFS('المرجع'!$C$2:$C$19,'المرجع'!$A$2:$A$19,$E262,'المرجع'!$B$2:$B$19,$F262)</x:f>
        <x:v>15</x:v>
      </x:c>
      <x:c r="H262" s="18" t="n">
        <x:v>45</x:v>
      </x:c>
      <x:c r="I262" s="20" t="n">
        <x:f t="shared" si="31">G262*H262/100</x:f>
        <x:v>6.75</x:v>
      </x:c>
    </x:row>
    <x:row r="263">
      <x:c r="A263" t="s">
        <x:v>309</x:v>
      </x:c>
      <x:c r="B263" s="4" t="s">
        <x:v>69</x:v>
      </x:c>
      <x:c r="C263" s="4" t="s">
        <x:v>300</x:v>
      </x:c>
      <x:c r="D263" s="4" t="s">
        <x:v>300</x:v>
      </x:c>
      <x:c r="E263" s="6" t="s">
        <x:v>34</x:v>
      </x:c>
      <x:c r="F263" s="4" t="s">
        <x:v>28</x:v>
      </x:c>
      <x:c r="G263" s="19" t="n">
        <x:f>SUMIFS('المرجع'!$C$2:$C$19,'المرجع'!$A$2:$A$19,$E263,'المرجع'!$B$2:$B$19,$F263)</x:f>
        <x:v>20</x:v>
      </x:c>
      <x:c r="H263" s="18" t="n">
        <x:v>50</x:v>
      </x:c>
      <x:c r="I263" s="20" t="n">
        <x:f t="shared" si="31">G263*H263/100</x:f>
        <x:v>10</x:v>
      </x:c>
    </x:row>
    <x:row r="264">
      <x:c r="A264" t="s">
        <x:v>310</x:v>
      </x:c>
      <x:c r="B264" s="4" t="s">
        <x:v>69</x:v>
      </x:c>
      <x:c r="C264" s="4" t="s">
        <x:v>300</x:v>
      </x:c>
      <x:c r="D264" s="4" t="s">
        <x:v>300</x:v>
      </x:c>
      <x:c r="E264" s="6" t="s">
        <x:v>34</x:v>
      </x:c>
      <x:c r="F264" s="4" t="s">
        <x:v>30</x:v>
      </x:c>
      <x:c r="G264" s="19" t="n">
        <x:f>SUMIFS('المرجع'!$C$2:$C$19,'المرجع'!$A$2:$A$19,$E264,'المرجع'!$B$2:$B$19,$F264)</x:f>
        <x:v>25</x:v>
      </x:c>
      <x:c r="H264" s="18" t="n">
        <x:v>60</x:v>
      </x:c>
      <x:c r="I264" s="20" t="n">
        <x:f t="shared" si="31">G264*H264/100</x:f>
        <x:v>15</x:v>
      </x:c>
    </x:row>
    <x:row r="265">
      <x:c r="A265" t="s">
        <x:v>311</x:v>
      </x:c>
      <x:c r="B265" s="4" t="s">
        <x:v>69</x:v>
      </x:c>
      <x:c r="C265" s="4" t="s">
        <x:v>300</x:v>
      </x:c>
      <x:c r="D265" s="4" t="s">
        <x:v>300</x:v>
      </x:c>
      <x:c r="E265" s="6" t="s">
        <x:v>34</x:v>
      </x:c>
      <x:c r="F265" s="4" t="s">
        <x:v>32</x:v>
      </x:c>
      <x:c r="G265" s="19" t="n">
        <x:f>SUMIFS('المرجع'!$C$2:$C$19,'المرجع'!$A$2:$A$19,$E265,'المرجع'!$B$2:$B$19,$F265)</x:f>
        <x:v>5</x:v>
      </x:c>
      <x:c r="H265" s="18" t="n">
        <x:v>55</x:v>
      </x:c>
      <x:c r="I265" s="20" t="n">
        <x:f t="shared" si="31">G265*H265/100</x:f>
        <x:v>2.75</x:v>
      </x:c>
    </x:row>
    <x:row r="266">
      <x:c r="A266" t="s">
        <x:v>312</x:v>
      </x:c>
      <x:c r="B266" s="4" t="s">
        <x:v>69</x:v>
      </x:c>
      <x:c r="C266" s="4" t="s">
        <x:v>300</x:v>
      </x:c>
      <x:c r="D266" s="4" t="s">
        <x:v>300</x:v>
      </x:c>
      <x:c r="E266" s="6" t="s">
        <x:v>34</x:v>
      </x:c>
      <x:c r="F266" s="4" t="s">
        <x:v>41</x:v>
      </x:c>
      <x:c r="G266" s="19" t="n">
        <x:f>SUMIFS('المرجع'!$C$2:$C$19,'المرجع'!$A$2:$A$19,$E266,'المرجع'!$B$2:$B$19,$F266)</x:f>
        <x:v>5</x:v>
      </x:c>
      <x:c r="H266" s="18" t="n">
        <x:v>71</x:v>
      </x:c>
      <x:c r="I266" s="20" t="n">
        <x:f t="shared" si="31">G266*H266/100</x:f>
        <x:v>3.55</x:v>
      </x:c>
    </x:row>
    <x:row r="267">
      <x:c r="A267" t="s">
        <x:v>313</x:v>
      </x:c>
      <x:c r="B267" s="4" t="s">
        <x:v>69</x:v>
      </x:c>
      <x:c r="C267" s="4" t="s">
        <x:v>300</x:v>
      </x:c>
      <x:c r="D267" s="4" t="s">
        <x:v>300</x:v>
      </x:c>
      <x:c r="E267" s="6" t="s">
        <x:v>43</x:v>
      </x:c>
      <x:c r="F267" s="4" t="s">
        <x:v>24</x:v>
      </x:c>
      <x:c r="G267" s="19" t="n">
        <x:f>SUMIFS('المرجع'!$C$2:$C$19,'المرجع'!$A$2:$A$19,$E267,'المرجع'!$B$2:$B$19,$F267)</x:f>
        <x:v>25</x:v>
      </x:c>
      <x:c r="H267" s="18" t="n">
        <x:v>55</x:v>
      </x:c>
      <x:c r="I267" s="20" t="n">
        <x:f t="shared" si="31">G267*H267/100</x:f>
        <x:v>13.75</x:v>
      </x:c>
    </x:row>
    <x:row r="268">
      <x:c r="A268" t="s">
        <x:v>314</x:v>
      </x:c>
      <x:c r="B268" s="4" t="s">
        <x:v>69</x:v>
      </x:c>
      <x:c r="C268" s="4" t="s">
        <x:v>300</x:v>
      </x:c>
      <x:c r="D268" s="4" t="s">
        <x:v>300</x:v>
      </x:c>
      <x:c r="E268" s="6" t="s">
        <x:v>43</x:v>
      </x:c>
      <x:c r="F268" s="4" t="s">
        <x:v>26</x:v>
      </x:c>
      <x:c r="G268" s="19" t="n">
        <x:f>SUMIFS('المرجع'!$C$2:$C$19,'المرجع'!$A$2:$A$19,$E268,'المرجع'!$B$2:$B$19,$F268)</x:f>
        <x:v>15</x:v>
      </x:c>
      <x:c r="H268" s="18" t="n">
        <x:v>54</x:v>
      </x:c>
      <x:c r="I268" s="20" t="n">
        <x:f t="shared" si="31">G268*H268/100</x:f>
        <x:v>8.1</x:v>
      </x:c>
    </x:row>
    <x:row r="269">
      <x:c r="A269" t="s">
        <x:v>315</x:v>
      </x:c>
      <x:c r="B269" s="4" t="s">
        <x:v>69</x:v>
      </x:c>
      <x:c r="C269" s="4" t="s">
        <x:v>300</x:v>
      </x:c>
      <x:c r="D269" s="4" t="s">
        <x:v>300</x:v>
      </x:c>
      <x:c r="E269" s="6" t="s">
        <x:v>43</x:v>
      </x:c>
      <x:c r="F269" s="4" t="s">
        <x:v>30</x:v>
      </x:c>
      <x:c r="G269" s="19" t="n">
        <x:f>SUMIFS('المرجع'!$C$2:$C$19,'المرجع'!$A$2:$A$19,$E269,'المرجع'!$B$2:$B$19,$F269)</x:f>
        <x:v>15</x:v>
      </x:c>
      <x:c r="H269" s="18" t="n">
        <x:v>37</x:v>
      </x:c>
      <x:c r="I269" s="20" t="n">
        <x:f t="shared" si="31">G269*H269/100</x:f>
        <x:v>5.55</x:v>
      </x:c>
    </x:row>
    <x:row r="270">
      <x:c r="A270" t="s">
        <x:v>316</x:v>
      </x:c>
      <x:c r="B270" s="4" t="s">
        <x:v>69</x:v>
      </x:c>
      <x:c r="C270" s="4" t="s">
        <x:v>300</x:v>
      </x:c>
      <x:c r="D270" s="4" t="s">
        <x:v>300</x:v>
      </x:c>
      <x:c r="E270" s="6" t="s">
        <x:v>43</x:v>
      </x:c>
      <x:c r="F270" s="4" t="s">
        <x:v>32</x:v>
      </x:c>
      <x:c r="G270" s="19" t="n">
        <x:f>SUMIFS('المرجع'!$C$2:$C$19,'المرجع'!$A$2:$A$19,$E270,'المرجع'!$B$2:$B$19,$F270)</x:f>
        <x:v>15</x:v>
      </x:c>
      <x:c r="H270" s="18" t="n">
        <x:v>49</x:v>
      </x:c>
      <x:c r="I270" s="20" t="n">
        <x:f t="shared" si="31">G270*H270/100</x:f>
        <x:v>7.35</x:v>
      </x:c>
    </x:row>
    <x:row r="271">
      <x:c r="A271" t="s">
        <x:v>317</x:v>
      </x:c>
      <x:c r="B271" s="4" t="s">
        <x:v>69</x:v>
      </x:c>
      <x:c r="C271" s="4" t="s">
        <x:v>300</x:v>
      </x:c>
      <x:c r="D271" s="4" t="s">
        <x:v>300</x:v>
      </x:c>
      <x:c r="E271" s="6" t="s">
        <x:v>43</x:v>
      </x:c>
      <x:c r="F271" s="4" t="s">
        <x:v>48</x:v>
      </x:c>
      <x:c r="G271" s="19" t="n">
        <x:f>SUMIFS('المرجع'!$C$2:$C$19,'المرجع'!$A$2:$A$19,$E271,'المرجع'!$B$2:$B$19,$F271)</x:f>
        <x:v>30</x:v>
      </x:c>
      <x:c r="H271" s="18" t="n">
        <x:v>27</x:v>
      </x:c>
      <x:c r="I271" s="20" t="n">
        <x:f t="shared" si="31">G271*H271/100</x:f>
        <x:v>8.1</x:v>
      </x:c>
    </x:row>
    <x:row r="272">
      <x:c r="A272" t="s">
        <x:v>318</x:v>
      </x:c>
      <x:c r="B272" s="4" t="s">
        <x:v>69</x:v>
      </x:c>
      <x:c r="C272" s="4" t="s">
        <x:v>319</x:v>
      </x:c>
      <x:c r="D272" s="4" t="s">
        <x:v>319</x:v>
      </x:c>
      <x:c r="E272" s="6" t="s">
        <x:v>21</x:v>
      </x:c>
      <x:c r="F272" s="4" t="s">
        <x:v>22</x:v>
      </x:c>
      <x:c r="G272" s="19" t="n">
        <x:f>SUMIFS('المرجع'!$C$2:$C$19,'المرجع'!$A$2:$A$19,$E272,'المرجع'!$B$2:$B$19,$F272)</x:f>
        <x:v>25</x:v>
      </x:c>
      <x:c r="H272" s="18" t="n">
        <x:f t="shared" ref="H272:H277" ca="1" si="32">91.74</x:f>
        <x:v>91.74</x:v>
      </x:c>
      <x:c r="I272" s="20" t="n">
        <x:f t="shared" ref="I272:I277" ca="1" si="33">G272*H272/100</x:f>
        <x:v>22.935</x:v>
      </x:c>
    </x:row>
    <x:row r="273">
      <x:c r="A273" t="s">
        <x:v>320</x:v>
      </x:c>
      <x:c r="B273" s="4" t="s">
        <x:v>69</x:v>
      </x:c>
      <x:c r="C273" s="4" t="s">
        <x:v>319</x:v>
      </x:c>
      <x:c r="D273" s="4" t="s">
        <x:v>319</x:v>
      </x:c>
      <x:c r="E273" s="6" t="s">
        <x:v>21</x:v>
      </x:c>
      <x:c r="F273" s="4" t="s">
        <x:v>24</x:v>
      </x:c>
      <x:c r="G273" s="19" t="n">
        <x:f>SUMIFS('المرجع'!$C$2:$C$19,'المرجع'!$A$2:$A$19,$E273,'المرجع'!$B$2:$B$19,$F273)</x:f>
        <x:v>15</x:v>
      </x:c>
      <x:c r="H273" s="18" t="n">
        <x:f t="shared" ca="1" si="32"/>
        <x:v>52.99</x:v>
      </x:c>
      <x:c r="I273" s="20" t="n">
        <x:f t="shared" ca="1" si="33">G273*H273/100</x:f>
        <x:v>7.9485</x:v>
      </x:c>
    </x:row>
    <x:row r="274">
      <x:c r="A274" t="s">
        <x:v>321</x:v>
      </x:c>
      <x:c r="B274" s="4" t="s">
        <x:v>69</x:v>
      </x:c>
      <x:c r="C274" s="4" t="s">
        <x:v>319</x:v>
      </x:c>
      <x:c r="D274" s="4" t="s">
        <x:v>319</x:v>
      </x:c>
      <x:c r="E274" s="6" t="s">
        <x:v>21</x:v>
      </x:c>
      <x:c r="F274" s="4" t="s">
        <x:v>26</x:v>
      </x:c>
      <x:c r="G274" s="19" t="n">
        <x:f>SUMIFS('المرجع'!$C$2:$C$19,'المرجع'!$A$2:$A$19,$E274,'المرجع'!$B$2:$B$19,$F274)</x:f>
        <x:v>15</x:v>
      </x:c>
      <x:c r="H274" s="18" t="n">
        <x:f t="shared" ca="1" si="32"/>
        <x:v>12.88</x:v>
      </x:c>
      <x:c r="I274" s="20" t="n">
        <x:f t="shared" ca="1" si="33">G274*H274/100</x:f>
        <x:v>1.9320000000000002</x:v>
      </x:c>
    </x:row>
    <x:row r="275">
      <x:c r="A275" t="s">
        <x:v>322</x:v>
      </x:c>
      <x:c r="B275" s="4" t="s">
        <x:v>69</x:v>
      </x:c>
      <x:c r="C275" s="4" t="s">
        <x:v>319</x:v>
      </x:c>
      <x:c r="D275" s="4" t="s">
        <x:v>319</x:v>
      </x:c>
      <x:c r="E275" s="6" t="s">
        <x:v>21</x:v>
      </x:c>
      <x:c r="F275" s="4" t="s">
        <x:v>28</x:v>
      </x:c>
      <x:c r="G275" s="19" t="n">
        <x:f>SUMIFS('المرجع'!$C$2:$C$19,'المرجع'!$A$2:$A$19,$E275,'المرجع'!$B$2:$B$19,$F275)</x:f>
        <x:v>20</x:v>
      </x:c>
      <x:c r="H275" s="18" t="n">
        <x:f t="shared" ca="1" si="32"/>
        <x:v>59.53</x:v>
      </x:c>
      <x:c r="I275" s="20" t="n">
        <x:f t="shared" ca="1" si="33">G275*H275/100</x:f>
        <x:v>11.905999999999999</x:v>
      </x:c>
    </x:row>
    <x:row r="276">
      <x:c r="A276" t="s">
        <x:v>323</x:v>
      </x:c>
      <x:c r="B276" s="4" t="s">
        <x:v>69</x:v>
      </x:c>
      <x:c r="C276" s="4" t="s">
        <x:v>319</x:v>
      </x:c>
      <x:c r="D276" s="4" t="s">
        <x:v>319</x:v>
      </x:c>
      <x:c r="E276" s="6" t="s">
        <x:v>21</x:v>
      </x:c>
      <x:c r="F276" s="4" t="s">
        <x:v>30</x:v>
      </x:c>
      <x:c r="G276" s="19" t="n">
        <x:f>SUMIFS('المرجع'!$C$2:$C$19,'المرجع'!$A$2:$A$19,$E276,'المرجع'!$B$2:$B$19,$F276)</x:f>
        <x:v>20</x:v>
      </x:c>
      <x:c r="H276" s="18" t="n">
        <x:f t="shared" ca="1" si="32"/>
        <x:v>56.8</x:v>
      </x:c>
      <x:c r="I276" s="20" t="n">
        <x:f t="shared" ca="1" si="33">G276*H276/100</x:f>
        <x:v>11.36</x:v>
      </x:c>
    </x:row>
    <x:row r="277">
      <x:c r="A277" t="s">
        <x:v>324</x:v>
      </x:c>
      <x:c r="B277" s="4" t="s">
        <x:v>69</x:v>
      </x:c>
      <x:c r="C277" s="4" t="s">
        <x:v>319</x:v>
      </x:c>
      <x:c r="D277" s="4" t="s">
        <x:v>319</x:v>
      </x:c>
      <x:c r="E277" s="6" t="s">
        <x:v>21</x:v>
      </x:c>
      <x:c r="F277" s="4" t="s">
        <x:v>32</x:v>
      </x:c>
      <x:c r="G277" s="19" t="n">
        <x:f>SUMIFS('المرجع'!$C$2:$C$19,'المرجع'!$A$2:$A$19,$E277,'المرجع'!$B$2:$B$19,$F277)</x:f>
        <x:v>5</x:v>
      </x:c>
      <x:c r="H277" s="18" t="n">
        <x:f t="shared" ca="1" si="32"/>
        <x:v>6.09</x:v>
      </x:c>
      <x:c r="I277" s="20" t="n">
        <x:f t="shared" ca="1" si="33">G277*H277/100</x:f>
        <x:v>0.3045</x:v>
      </x:c>
    </x:row>
    <x:row r="278">
      <x:c r="A278" t="s">
        <x:v>325</x:v>
      </x:c>
      <x:c r="B278" s="4" t="s">
        <x:v>69</x:v>
      </x:c>
      <x:c r="C278" s="4" t="s">
        <x:v>319</x:v>
      </x:c>
      <x:c r="D278" s="4" t="s">
        <x:v>319</x:v>
      </x:c>
      <x:c r="E278" s="6" t="s">
        <x:v>34</x:v>
      </x:c>
      <x:c r="F278" s="4" t="s">
        <x:v>22</x:v>
      </x:c>
      <x:c r="G278" s="19" t="n">
        <x:f>SUMIFS('المرجع'!$C$2:$C$19,'المرجع'!$A$2:$A$19,$E278,'المرجع'!$B$2:$B$19,$F278)</x:f>
        <x:v>15</x:v>
      </x:c>
      <x:c r="H278" s="18" t="n">
        <x:v>63</x:v>
      </x:c>
      <x:c r="I278" s="20" t="n">
        <x:f t="shared" si="31">G278*H278/100</x:f>
        <x:v>9.45</x:v>
      </x:c>
    </x:row>
    <x:row r="279">
      <x:c r="A279" t="s">
        <x:v>326</x:v>
      </x:c>
      <x:c r="B279" s="4" t="s">
        <x:v>69</x:v>
      </x:c>
      <x:c r="C279" s="4" t="s">
        <x:v>319</x:v>
      </x:c>
      <x:c r="D279" s="4" t="s">
        <x:v>319</x:v>
      </x:c>
      <x:c r="E279" s="6" t="s">
        <x:v>34</x:v>
      </x:c>
      <x:c r="F279" s="4" t="s">
        <x:v>24</x:v>
      </x:c>
      <x:c r="G279" s="19" t="n">
        <x:f>SUMIFS('المرجع'!$C$2:$C$19,'المرجع'!$A$2:$A$19,$E279,'المرجع'!$B$2:$B$19,$F279)</x:f>
        <x:v>15</x:v>
      </x:c>
      <x:c r="H279" s="18" t="n">
        <x:v>72</x:v>
      </x:c>
      <x:c r="I279" s="20" t="n">
        <x:f t="shared" si="31">G279*H279/100</x:f>
        <x:v>10.8</x:v>
      </x:c>
    </x:row>
    <x:row r="280">
      <x:c r="A280" t="s">
        <x:v>327</x:v>
      </x:c>
      <x:c r="B280" s="4" t="s">
        <x:v>69</x:v>
      </x:c>
      <x:c r="C280" s="4" t="s">
        <x:v>319</x:v>
      </x:c>
      <x:c r="D280" s="4" t="s">
        <x:v>319</x:v>
      </x:c>
      <x:c r="E280" s="6" t="s">
        <x:v>34</x:v>
      </x:c>
      <x:c r="F280" s="4" t="s">
        <x:v>26</x:v>
      </x:c>
      <x:c r="G280" s="19" t="n">
        <x:f>SUMIFS('المرجع'!$C$2:$C$19,'المرجع'!$A$2:$A$19,$E280,'المرجع'!$B$2:$B$19,$F280)</x:f>
        <x:v>15</x:v>
      </x:c>
      <x:c r="H280" s="18" t="n">
        <x:v>80</x:v>
      </x:c>
      <x:c r="I280" s="20" t="n">
        <x:f t="shared" si="31">G280*H280/100</x:f>
        <x:v>12</x:v>
      </x:c>
    </x:row>
    <x:row r="281">
      <x:c r="A281" t="s">
        <x:v>328</x:v>
      </x:c>
      <x:c r="B281" s="4" t="s">
        <x:v>69</x:v>
      </x:c>
      <x:c r="C281" s="4" t="s">
        <x:v>319</x:v>
      </x:c>
      <x:c r="D281" s="4" t="s">
        <x:v>319</x:v>
      </x:c>
      <x:c r="E281" s="6" t="s">
        <x:v>34</x:v>
      </x:c>
      <x:c r="F281" s="4" t="s">
        <x:v>28</x:v>
      </x:c>
      <x:c r="G281" s="19" t="n">
        <x:f>SUMIFS('المرجع'!$C$2:$C$19,'المرجع'!$A$2:$A$19,$E281,'المرجع'!$B$2:$B$19,$F281)</x:f>
        <x:v>20</x:v>
      </x:c>
      <x:c r="H281" s="18" t="n">
        <x:v>76</x:v>
      </x:c>
      <x:c r="I281" s="20" t="n">
        <x:f t="shared" si="31">G281*H281/100</x:f>
        <x:v>15.2</x:v>
      </x:c>
    </x:row>
    <x:row r="282">
      <x:c r="A282" t="s">
        <x:v>329</x:v>
      </x:c>
      <x:c r="B282" s="4" t="s">
        <x:v>69</x:v>
      </x:c>
      <x:c r="C282" s="4" t="s">
        <x:v>319</x:v>
      </x:c>
      <x:c r="D282" s="4" t="s">
        <x:v>319</x:v>
      </x:c>
      <x:c r="E282" s="6" t="s">
        <x:v>34</x:v>
      </x:c>
      <x:c r="F282" s="4" t="s">
        <x:v>30</x:v>
      </x:c>
      <x:c r="G282" s="19" t="n">
        <x:f>SUMIFS('المرجع'!$C$2:$C$19,'المرجع'!$A$2:$A$19,$E282,'المرجع'!$B$2:$B$19,$F282)</x:f>
        <x:v>25</x:v>
      </x:c>
      <x:c r="H282" s="18" t="n">
        <x:v>54</x:v>
      </x:c>
      <x:c r="I282" s="20" t="n">
        <x:f t="shared" si="31">G282*H282/100</x:f>
        <x:v>13.5</x:v>
      </x:c>
    </x:row>
    <x:row r="283">
      <x:c r="A283" t="s">
        <x:v>330</x:v>
      </x:c>
      <x:c r="B283" s="4" t="s">
        <x:v>69</x:v>
      </x:c>
      <x:c r="C283" s="4" t="s">
        <x:v>319</x:v>
      </x:c>
      <x:c r="D283" s="4" t="s">
        <x:v>319</x:v>
      </x:c>
      <x:c r="E283" s="6" t="s">
        <x:v>34</x:v>
      </x:c>
      <x:c r="F283" s="4" t="s">
        <x:v>32</x:v>
      </x:c>
      <x:c r="G283" s="19" t="n">
        <x:f>SUMIFS('المرجع'!$C$2:$C$19,'المرجع'!$A$2:$A$19,$E283,'المرجع'!$B$2:$B$19,$F283)</x:f>
        <x:v>5</x:v>
      </x:c>
      <x:c r="H283" s="18" t="n">
        <x:v>57</x:v>
      </x:c>
      <x:c r="I283" s="20" t="n">
        <x:f t="shared" si="31">G283*H283/100</x:f>
        <x:v>2.85</x:v>
      </x:c>
    </x:row>
    <x:row r="284">
      <x:c r="A284" t="s">
        <x:v>331</x:v>
      </x:c>
      <x:c r="B284" s="4" t="s">
        <x:v>69</x:v>
      </x:c>
      <x:c r="C284" s="4" t="s">
        <x:v>319</x:v>
      </x:c>
      <x:c r="D284" s="4" t="s">
        <x:v>319</x:v>
      </x:c>
      <x:c r="E284" s="6" t="s">
        <x:v>34</x:v>
      </x:c>
      <x:c r="F284" s="4" t="s">
        <x:v>41</x:v>
      </x:c>
      <x:c r="G284" s="19" t="n">
        <x:f>SUMIFS('المرجع'!$C$2:$C$19,'المرجع'!$A$2:$A$19,$E284,'المرجع'!$B$2:$B$19,$F284)</x:f>
        <x:v>5</x:v>
      </x:c>
      <x:c r="H284" s="18" t="n">
        <x:v>63</x:v>
      </x:c>
      <x:c r="I284" s="20" t="n">
        <x:f t="shared" si="31">G284*H284/100</x:f>
        <x:v>3.15</x:v>
      </x:c>
    </x:row>
    <x:row r="285">
      <x:c r="A285" t="s">
        <x:v>332</x:v>
      </x:c>
      <x:c r="B285" s="4" t="s">
        <x:v>69</x:v>
      </x:c>
      <x:c r="C285" s="4" t="s">
        <x:v>319</x:v>
      </x:c>
      <x:c r="D285" s="4" t="s">
        <x:v>319</x:v>
      </x:c>
      <x:c r="E285" s="6" t="s">
        <x:v>43</x:v>
      </x:c>
      <x:c r="F285" s="4" t="s">
        <x:v>24</x:v>
      </x:c>
      <x:c r="G285" s="19" t="n">
        <x:f>SUMIFS('المرجع'!$C$2:$C$19,'المرجع'!$A$2:$A$19,$E285,'المرجع'!$B$2:$B$19,$F285)</x:f>
        <x:v>25</x:v>
      </x:c>
      <x:c r="H285" s="18" t="n">
        <x:v>37</x:v>
      </x:c>
      <x:c r="I285" s="20" t="n">
        <x:f t="shared" si="31">G285*H285/100</x:f>
        <x:v>9.25</x:v>
      </x:c>
    </x:row>
    <x:row r="286">
      <x:c r="A286" t="s">
        <x:v>333</x:v>
      </x:c>
      <x:c r="B286" s="4" t="s">
        <x:v>69</x:v>
      </x:c>
      <x:c r="C286" s="4" t="s">
        <x:v>319</x:v>
      </x:c>
      <x:c r="D286" s="4" t="s">
        <x:v>319</x:v>
      </x:c>
      <x:c r="E286" s="6" t="s">
        <x:v>43</x:v>
      </x:c>
      <x:c r="F286" s="4" t="s">
        <x:v>26</x:v>
      </x:c>
      <x:c r="G286" s="19" t="n">
        <x:f>SUMIFS('المرجع'!$C$2:$C$19,'المرجع'!$A$2:$A$19,$E286,'المرجع'!$B$2:$B$19,$F286)</x:f>
        <x:v>15</x:v>
      </x:c>
      <x:c r="H286" s="18" t="n">
        <x:v>27</x:v>
      </x:c>
      <x:c r="I286" s="20" t="n">
        <x:f t="shared" si="31">G286*H286/100</x:f>
        <x:v>4.05</x:v>
      </x:c>
    </x:row>
    <x:row r="287">
      <x:c r="A287" t="s">
        <x:v>334</x:v>
      </x:c>
      <x:c r="B287" s="4" t="s">
        <x:v>69</x:v>
      </x:c>
      <x:c r="C287" s="4" t="s">
        <x:v>319</x:v>
      </x:c>
      <x:c r="D287" s="4" t="s">
        <x:v>319</x:v>
      </x:c>
      <x:c r="E287" s="6" t="s">
        <x:v>43</x:v>
      </x:c>
      <x:c r="F287" s="4" t="s">
        <x:v>30</x:v>
      </x:c>
      <x:c r="G287" s="19" t="n">
        <x:f>SUMIFS('المرجع'!$C$2:$C$19,'المرجع'!$A$2:$A$19,$E287,'المرجع'!$B$2:$B$19,$F287)</x:f>
        <x:v>15</x:v>
      </x:c>
      <x:c r="H287" s="18" t="n">
        <x:v>61</x:v>
      </x:c>
      <x:c r="I287" s="20" t="n">
        <x:f t="shared" si="31">G287*H287/100</x:f>
        <x:v>9.15</x:v>
      </x:c>
    </x:row>
    <x:row r="288">
      <x:c r="A288" t="s">
        <x:v>335</x:v>
      </x:c>
      <x:c r="B288" s="4" t="s">
        <x:v>69</x:v>
      </x:c>
      <x:c r="C288" s="4" t="s">
        <x:v>319</x:v>
      </x:c>
      <x:c r="D288" s="4" t="s">
        <x:v>319</x:v>
      </x:c>
      <x:c r="E288" s="6" t="s">
        <x:v>43</x:v>
      </x:c>
      <x:c r="F288" s="4" t="s">
        <x:v>32</x:v>
      </x:c>
      <x:c r="G288" s="19" t="n">
        <x:f>SUMIFS('المرجع'!$C$2:$C$19,'المرجع'!$A$2:$A$19,$E288,'المرجع'!$B$2:$B$19,$F288)</x:f>
        <x:v>15</x:v>
      </x:c>
      <x:c r="H288" s="18" t="n">
        <x:v>58</x:v>
      </x:c>
      <x:c r="I288" s="20" t="n">
        <x:f t="shared" si="31">G288*H288/100</x:f>
        <x:v>8.7</x:v>
      </x:c>
    </x:row>
    <x:row r="289">
      <x:c r="A289" t="s">
        <x:v>336</x:v>
      </x:c>
      <x:c r="B289" s="4" t="s">
        <x:v>69</x:v>
      </x:c>
      <x:c r="C289" s="4" t="s">
        <x:v>319</x:v>
      </x:c>
      <x:c r="D289" s="4" t="s">
        <x:v>319</x:v>
      </x:c>
      <x:c r="E289" s="6" t="s">
        <x:v>43</x:v>
      </x:c>
      <x:c r="F289" s="4" t="s">
        <x:v>48</x:v>
      </x:c>
      <x:c r="G289" s="19" t="n">
        <x:f>SUMIFS('المرجع'!$C$2:$C$19,'المرجع'!$A$2:$A$19,$E289,'المرجع'!$B$2:$B$19,$F289)</x:f>
        <x:v>30</x:v>
      </x:c>
      <x:c r="H289" s="18" t="n">
        <x:v>27</x:v>
      </x:c>
      <x:c r="I289" s="20" t="n">
        <x:f t="shared" si="31">G289*H289/100</x:f>
        <x:v>8.1</x:v>
      </x:c>
    </x:row>
  </x:sheetData>
  <x:dataValidations count="1">
    <x:dataValidation type="whole" allowBlank="1" errorTitle="نسبة غير صحيحة" error="أدخل قيمة من ٠ إلى ١٠٠" sqref="H2:H289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3046875" defaultRowHeight="14.25"/>
  <x:cols>
    <x:col min="1" max="1" width="16" customWidth="1"/>
    <x:col min="2" max="2" width="14" customWidth="1"/>
    <x:col min="3" max="3" width="16" customWidth="1"/>
    <x:col min="4" max="4" width="12" customWidth="1"/>
    <x:col min="5" max="5" width="14" customWidth="1"/>
    <x:col min="6" max="6" width="12" customWidth="1"/>
  </x:cols>
  <x:sheetData>
    <x:row r="1">
      <x:c r="A1" s="3" t="s">
        <x:v>10</x:v>
      </x:c>
      <x:c r="B1" s="3" t="s">
        <x:v>337</x:v>
      </x:c>
      <x:c r="C1" s="3" t="s">
        <x:v>338</x:v>
      </x:c>
      <x:c r="D1" s="3" t="s">
        <x:v>13</x:v>
      </x:c>
      <x:c r="E1" s="3" t="s">
        <x:v>339</x:v>
      </x:c>
      <x:c r="F1" s="3" t="s">
        <x:v>340</x:v>
      </x:c>
    </x:row>
    <x:row r="2">
      <x:c r="A2" s="4" t="s">
        <x:v>19</x:v>
      </x:c>
      <x:c r="B2" s="5" t="s">
        <x:v>341</x:v>
      </x:c>
      <x:c r="C2" s="4" t="s">
        <x:v>19</x:v>
      </x:c>
      <x:c r="D2" s="6" t="s">
        <x:v>21</x:v>
      </x:c>
      <x:c r="E2" s="10" t="n">
        <x:f>SUMIFS('الإدخال والحساب'!$I$2:$I$289,'الإدخال والحساب'!$D$2:$D$289,$C2,'الإدخال والحساب'!$E$2:$E$289,$D2)</x:f>
        <x:v>0</x:v>
      </x:c>
      <x:c r="F2" s="11" t="str">
        <x:f>IF(E2&gt;'المرجع'!$F$3,"متقدم",IF(E2&lt;='المرجع'!$F$2,"أولي","جزئي"))</x:f>
        <x:v>أولي</x:v>
      </x:c>
    </x:row>
    <x:row r="3">
      <x:c r="A3" s="4" t="s">
        <x:v>19</x:v>
      </x:c>
      <x:c r="B3" s="5" t="s">
        <x:v>341</x:v>
      </x:c>
      <x:c r="C3" s="4" t="s">
        <x:v>19</x:v>
      </x:c>
      <x:c r="D3" s="6" t="s">
        <x:v>34</x:v>
      </x:c>
      <x:c r="E3" s="10" t="n">
        <x:f>SUMIFS('الإدخال والحساب'!$I$2:$I$289,'الإدخال والحساب'!$D$2:$D$289,$C3,'الإدخال والحساب'!$E$2:$E$289,$D3)</x:f>
        <x:v>0</x:v>
      </x:c>
      <x:c r="F3" s="11" t="str">
        <x:f>IF(E3&gt;'المرجع'!$F$3,"متقدم",IF(E3&lt;='المرجع'!$F$2,"أولي","جزئي"))</x:f>
        <x:v>أولي</x:v>
      </x:c>
    </x:row>
    <x:row r="4">
      <x:c r="A4" s="4" t="s">
        <x:v>19</x:v>
      </x:c>
      <x:c r="B4" s="5" t="s">
        <x:v>341</x:v>
      </x:c>
      <x:c r="C4" s="4" t="s">
        <x:v>19</x:v>
      </x:c>
      <x:c r="D4" s="6" t="s">
        <x:v>43</x:v>
      </x:c>
      <x:c r="E4" s="10" t="n">
        <x:f>SUMIFS('الإدخال والحساب'!$I$2:$I$289,'الإدخال والحساب'!$D$2:$D$289,$C4,'الإدخال والحساب'!$E$2:$E$289,$D4)</x:f>
        <x:v>0</x:v>
      </x:c>
      <x:c r="F4" s="11" t="str">
        <x:f>IF(E4&gt;'المرجع'!$F$3,"متقدم",IF(E4&lt;='المرجع'!$F$2,"أولي","جزئي"))</x:f>
        <x:v>أولي</x:v>
      </x:c>
    </x:row>
    <x:row r="5">
      <x:c r="A5" s="4" t="s">
        <x:v>342</x:v>
      </x:c>
      <x:c r="B5" s="5" t="s">
        <x:v>341</x:v>
      </x:c>
      <x:c r="C5" s="4" t="s">
        <x:v>342</x:v>
      </x:c>
      <x:c r="D5" s="6" t="s">
        <x:v>21</x:v>
      </x:c>
      <x:c r="E5" s="10" t="n">
        <x:f>SUMIFS('الإدخال والحساب'!$I$2:$I$289,'الإدخال والحساب'!$D$2:$D$289,$C5,'الإدخال والحساب'!$E$2:$E$289,$D5)</x:f>
        <x:v>0</x:v>
      </x:c>
      <x:c r="F5" s="11" t="str">
        <x:f>IF(E5&gt;'المرجع'!$F$3,"متقدم",IF(E5&lt;='المرجع'!$F$2,"أولي","جزئي"))</x:f>
        <x:v>أولي</x:v>
      </x:c>
    </x:row>
    <x:row r="6">
      <x:c r="A6" s="4" t="s">
        <x:v>342</x:v>
      </x:c>
      <x:c r="B6" s="5" t="s">
        <x:v>341</x:v>
      </x:c>
      <x:c r="C6" s="4" t="s">
        <x:v>342</x:v>
      </x:c>
      <x:c r="D6" s="6" t="s">
        <x:v>34</x:v>
      </x:c>
      <x:c r="E6" s="10" t="n">
        <x:f>SUMIFS('الإدخال والحساب'!$I$2:$I$289,'الإدخال والحساب'!$D$2:$D$289,$C6,'الإدخال والحساب'!$E$2:$E$289,$D6)</x:f>
        <x:v>0</x:v>
      </x:c>
      <x:c r="F6" s="11" t="str">
        <x:f>IF(E6&gt;'المرجع'!$F$3,"متقدم",IF(E6&lt;='المرجع'!$F$2,"أولي","جزئي"))</x:f>
        <x:v>أولي</x:v>
      </x:c>
    </x:row>
    <x:row r="7">
      <x:c r="A7" s="4" t="s">
        <x:v>342</x:v>
      </x:c>
      <x:c r="B7" s="5" t="s">
        <x:v>341</x:v>
      </x:c>
      <x:c r="C7" s="4" t="s">
        <x:v>342</x:v>
      </x:c>
      <x:c r="D7" s="6" t="s">
        <x:v>43</x:v>
      </x:c>
      <x:c r="E7" s="10" t="n">
        <x:f>SUMIFS('الإدخال والحساب'!$I$2:$I$289,'الإدخال والحساب'!$D$2:$D$289,$C7,'الإدخال والحساب'!$E$2:$E$289,$D7)</x:f>
        <x:v>0</x:v>
      </x:c>
      <x:c r="F7" s="11" t="str">
        <x:f>IF(E7&gt;'المرجع'!$F$3,"متقدم",IF(E7&lt;='المرجع'!$F$2,"أولي","جزئي"))</x:f>
        <x:v>أولي</x:v>
      </x:c>
    </x:row>
    <x:row r="8">
      <x:c r="A8" s="4" t="s">
        <x:v>69</x:v>
      </x:c>
      <x:c r="B8" s="4" t="s">
        <x:v>70</x:v>
      </x:c>
      <x:c r="C8" s="4" t="s">
        <x:v>71</x:v>
      </x:c>
      <x:c r="D8" s="6" t="s">
        <x:v>21</x:v>
      </x:c>
      <x:c r="E8" s="10" t="n">
        <x:f ca="1">SUMIFS('الإدخال والحساب'!$I$2:$I$289,'الإدخال والحساب'!$D$2:$D$289,$C8,'الإدخال والحساب'!$E$2:$E$289,$D8)</x:f>
        <x:v>51.417500000000004</x:v>
      </x:c>
      <x:c r="F8" s="11" t="str">
        <x:f ca="1">IF(E8&gt;'المرجع'!$F$3,"متقدم",IF(E8&lt;='المرجع'!$F$2,"أولي","جزئي"))</x:f>
        <x:v>جزئي</x:v>
      </x:c>
    </x:row>
    <x:row r="9">
      <x:c r="A9" s="4" t="s">
        <x:v>69</x:v>
      </x:c>
      <x:c r="B9" s="4" t="s">
        <x:v>70</x:v>
      </x:c>
      <x:c r="C9" s="4" t="s">
        <x:v>71</x:v>
      </x:c>
      <x:c r="D9" s="6" t="s">
        <x:v>34</x:v>
      </x:c>
      <x:c r="E9" s="10" t="n">
        <x:f>SUMIFS('الإدخال والحساب'!$I$2:$I$289,'الإدخال والحساب'!$D$2:$D$289,$C9,'الإدخال والحساب'!$E$2:$E$289,$D9)</x:f>
        <x:v>66.85000000000001</x:v>
      </x:c>
      <x:c r="F9" s="11" t="str">
        <x:f>IF(E9&gt;'المرجع'!$F$3,"متقدم",IF(E9&lt;='المرجع'!$F$2,"أولي","جزئي"))</x:f>
        <x:v>جزئي</x:v>
      </x:c>
    </x:row>
    <x:row r="10">
      <x:c r="A10" s="4" t="s">
        <x:v>69</x:v>
      </x:c>
      <x:c r="B10" s="4" t="s">
        <x:v>70</x:v>
      </x:c>
      <x:c r="C10" s="4" t="s">
        <x:v>71</x:v>
      </x:c>
      <x:c r="D10" s="6" t="s">
        <x:v>43</x:v>
      </x:c>
      <x:c r="E10" s="10" t="n">
        <x:f>SUMIFS('الإدخال والحساب'!$I$2:$I$289,'الإدخال والحساب'!$D$2:$D$289,$C10,'الإدخال والحساب'!$E$2:$E$289,$D10)</x:f>
        <x:v>50.9</x:v>
      </x:c>
      <x:c r="F10" s="11" t="str">
        <x:f>IF(E10&gt;'المرجع'!$F$3,"متقدم",IF(E10&lt;='المرجع'!$F$2,"أولي","جزئي"))</x:f>
        <x:v>جزئي</x:v>
      </x:c>
    </x:row>
    <x:row r="11">
      <x:c r="A11" s="4" t="s">
        <x:v>69</x:v>
      </x:c>
      <x:c r="B11" s="4" t="s">
        <x:v>70</x:v>
      </x:c>
      <x:c r="C11" s="4" t="s">
        <x:v>90</x:v>
      </x:c>
      <x:c r="D11" s="6" t="s">
        <x:v>21</x:v>
      </x:c>
      <x:c r="E11" s="10" t="n">
        <x:f ca="1">SUMIFS('الإدخال والحساب'!$I$2:$I$289,'الإدخال والحساب'!$D$2:$D$289,$C11,'الإدخال والحساب'!$E$2:$E$289,$D11)</x:f>
        <x:v>22.148999999999997</x:v>
      </x:c>
      <x:c r="F11" s="11" t="str">
        <x:f ca="1">IF(E11&gt;'المرجع'!$F$3,"متقدم",IF(E11&lt;='المرجع'!$F$2,"أولي","جزئي"))</x:f>
        <x:v>أولي</x:v>
      </x:c>
    </x:row>
    <x:row r="12">
      <x:c r="A12" s="4" t="s">
        <x:v>69</x:v>
      </x:c>
      <x:c r="B12" s="4" t="s">
        <x:v>70</x:v>
      </x:c>
      <x:c r="C12" s="4" t="s">
        <x:v>90</x:v>
      </x:c>
      <x:c r="D12" s="6" t="s">
        <x:v>34</x:v>
      </x:c>
      <x:c r="E12" s="10" t="n">
        <x:f>SUMIFS('الإدخال والحساب'!$I$2:$I$289,'الإدخال والحساب'!$D$2:$D$289,$C12,'الإدخال والحساب'!$E$2:$E$289,$D12)</x:f>
        <x:v>60.050000000000004</x:v>
      </x:c>
      <x:c r="F12" s="11" t="str">
        <x:f>IF(E12&gt;'المرجع'!$F$3,"متقدم",IF(E12&lt;='المرجع'!$F$2,"أولي","جزئي"))</x:f>
        <x:v>جزئي</x:v>
      </x:c>
    </x:row>
    <x:row r="13">
      <x:c r="A13" s="4" t="s">
        <x:v>69</x:v>
      </x:c>
      <x:c r="B13" s="4" t="s">
        <x:v>70</x:v>
      </x:c>
      <x:c r="C13" s="4" t="s">
        <x:v>90</x:v>
      </x:c>
      <x:c r="D13" s="6" t="s">
        <x:v>43</x:v>
      </x:c>
      <x:c r="E13" s="10" t="n">
        <x:f>SUMIFS('الإدخال والحساب'!$I$2:$I$289,'الإدخال والحساب'!$D$2:$D$289,$C13,'الإدخال والحساب'!$E$2:$E$289,$D13)</x:f>
        <x:v>49</x:v>
      </x:c>
      <x:c r="F13" s="11" t="str">
        <x:f>IF(E13&gt;'المرجع'!$F$3,"متقدم",IF(E13&lt;='المرجع'!$F$2,"أولي","جزئي"))</x:f>
        <x:v>جزئي</x:v>
      </x:c>
    </x:row>
    <x:row r="14">
      <x:c r="A14" s="4" t="s">
        <x:v>69</x:v>
      </x:c>
      <x:c r="B14" s="4" t="s">
        <x:v>70</x:v>
      </x:c>
      <x:c r="C14" s="4" t="s">
        <x:v>109</x:v>
      </x:c>
      <x:c r="D14" s="6" t="s">
        <x:v>21</x:v>
      </x:c>
      <x:c r="E14" s="10" t="n">
        <x:f ca="1">SUMIFS('الإدخال والحساب'!$I$2:$I$289,'الإدخال والحساب'!$D$2:$D$289,$C14,'الإدخال والحساب'!$E$2:$E$289,$D14)</x:f>
        <x:v>63.233999999999995</x:v>
      </x:c>
      <x:c r="F14" s="11" t="str">
        <x:f ca="1">IF(E14&gt;'المرجع'!$F$3,"متقدم",IF(E14&lt;='المرجع'!$F$2,"أولي","جزئي"))</x:f>
        <x:v>جزئي</x:v>
      </x:c>
    </x:row>
    <x:row r="15">
      <x:c r="A15" s="4" t="s">
        <x:v>69</x:v>
      </x:c>
      <x:c r="B15" s="4" t="s">
        <x:v>70</x:v>
      </x:c>
      <x:c r="C15" s="4" t="s">
        <x:v>109</x:v>
      </x:c>
      <x:c r="D15" s="6" t="s">
        <x:v>34</x:v>
      </x:c>
      <x:c r="E15" s="10" t="n">
        <x:f>SUMIFS('الإدخال والحساب'!$I$2:$I$289,'الإدخال والحساب'!$D$2:$D$289,$C15,'الإدخال والحساب'!$E$2:$E$289,$D15)</x:f>
        <x:v>65.15</x:v>
      </x:c>
      <x:c r="F15" s="11" t="str">
        <x:f>IF(E15&gt;'المرجع'!$F$3,"متقدم",IF(E15&lt;='المرجع'!$F$2,"أولي","جزئي"))</x:f>
        <x:v>جزئي</x:v>
      </x:c>
    </x:row>
    <x:row r="16">
      <x:c r="A16" s="4" t="s">
        <x:v>69</x:v>
      </x:c>
      <x:c r="B16" s="4" t="s">
        <x:v>70</x:v>
      </x:c>
      <x:c r="C16" s="4" t="s">
        <x:v>109</x:v>
      </x:c>
      <x:c r="D16" s="6" t="s">
        <x:v>43</x:v>
      </x:c>
      <x:c r="E16" s="10" t="n">
        <x:f>SUMIFS('الإدخال والحساب'!$I$2:$I$289,'الإدخال والحساب'!$D$2:$D$289,$C16,'الإدخال والحساب'!$E$2:$E$289,$D16)</x:f>
        <x:v>45.25</x:v>
      </x:c>
      <x:c r="F16" s="11" t="str">
        <x:f>IF(E16&gt;'المرجع'!$F$3,"متقدم",IF(E16&lt;='المرجع'!$F$2,"أولي","جزئي"))</x:f>
        <x:v>جزئي</x:v>
      </x:c>
    </x:row>
    <x:row r="17">
      <x:c r="A17" s="4" t="s">
        <x:v>69</x:v>
      </x:c>
      <x:c r="B17" s="4" t="s">
        <x:v>70</x:v>
      </x:c>
      <x:c r="C17" s="4" t="s">
        <x:v>128</x:v>
      </x:c>
      <x:c r="D17" s="6" t="s">
        <x:v>21</x:v>
      </x:c>
      <x:c r="E17" s="10" t="n">
        <x:f ca="1">SUMIFS('الإدخال والحساب'!$I$2:$I$289,'الإدخال والحساب'!$D$2:$D$289,$C17,'الإدخال والحساب'!$E$2:$E$289,$D17)</x:f>
        <x:v>52.641</x:v>
      </x:c>
      <x:c r="F17" s="11" t="str">
        <x:f ca="1">IF(E17&gt;'المرجع'!$F$3,"متقدم",IF(E17&lt;='المرجع'!$F$2,"أولي","جزئي"))</x:f>
        <x:v>جزئي</x:v>
      </x:c>
    </x:row>
    <x:row r="18">
      <x:c r="A18" s="4" t="s">
        <x:v>69</x:v>
      </x:c>
      <x:c r="B18" s="4" t="s">
        <x:v>70</x:v>
      </x:c>
      <x:c r="C18" s="4" t="s">
        <x:v>128</x:v>
      </x:c>
      <x:c r="D18" s="6" t="s">
        <x:v>34</x:v>
      </x:c>
      <x:c r="E18" s="10" t="n">
        <x:f>SUMIFS('الإدخال والحساب'!$I$2:$I$289,'الإدخال والحساب'!$D$2:$D$289,$C18,'الإدخال والحساب'!$E$2:$E$289,$D18)</x:f>
        <x:v>68.4</x:v>
      </x:c>
      <x:c r="F18" s="11" t="str">
        <x:f>IF(E18&gt;'المرجع'!$F$3,"متقدم",IF(E18&lt;='المرجع'!$F$2,"أولي","جزئي"))</x:f>
        <x:v>جزئي</x:v>
      </x:c>
    </x:row>
    <x:row r="19">
      <x:c r="A19" s="4" t="s">
        <x:v>69</x:v>
      </x:c>
      <x:c r="B19" s="4" t="s">
        <x:v>70</x:v>
      </x:c>
      <x:c r="C19" s="4" t="s">
        <x:v>128</x:v>
      </x:c>
      <x:c r="D19" s="6" t="s">
        <x:v>43</x:v>
      </x:c>
      <x:c r="E19" s="10" t="n">
        <x:f>SUMIFS('الإدخال والحساب'!$I$2:$I$289,'الإدخال والحساب'!$D$2:$D$289,$C19,'الإدخال والحساب'!$E$2:$E$289,$D19)</x:f>
        <x:v>42.599999999999994</x:v>
      </x:c>
      <x:c r="F19" s="11" t="str">
        <x:f>IF(E19&gt;'المرجع'!$F$3,"متقدم",IF(E19&lt;='المرجع'!$F$2,"أولي","جزئي"))</x:f>
        <x:v>جزئي</x:v>
      </x:c>
    </x:row>
    <x:row r="20">
      <x:c r="A20" s="4" t="s">
        <x:v>69</x:v>
      </x:c>
      <x:c r="B20" s="4" t="s">
        <x:v>70</x:v>
      </x:c>
      <x:c r="C20" s="4" t="s">
        <x:v>147</x:v>
      </x:c>
      <x:c r="D20" s="6" t="s">
        <x:v>21</x:v>
      </x:c>
      <x:c r="E20" s="10" t="n">
        <x:f ca="1">SUMIFS('الإدخال والحساب'!$I$2:$I$289,'الإدخال والحساب'!$D$2:$D$289,$C20,'الإدخال والحساب'!$E$2:$E$289,$D20)</x:f>
        <x:v>41.262499999999996</x:v>
      </x:c>
      <x:c r="F20" s="11" t="str">
        <x:f ca="1">IF(E20&gt;'المرجع'!$F$3,"متقدم",IF(E20&lt;='المرجع'!$F$2,"أولي","جزئي"))</x:f>
        <x:v>جزئي</x:v>
      </x:c>
    </x:row>
    <x:row r="21">
      <x:c r="A21" s="4" t="s">
        <x:v>69</x:v>
      </x:c>
      <x:c r="B21" s="4" t="s">
        <x:v>70</x:v>
      </x:c>
      <x:c r="C21" s="4" t="s">
        <x:v>147</x:v>
      </x:c>
      <x:c r="D21" s="6" t="s">
        <x:v>34</x:v>
      </x:c>
      <x:c r="E21" s="10" t="n">
        <x:f>SUMIFS('الإدخال والحساب'!$I$2:$I$289,'الإدخال والحساب'!$D$2:$D$289,$C21,'الإدخال والحساب'!$E$2:$E$289,$D21)</x:f>
        <x:v>66.3</x:v>
      </x:c>
      <x:c r="F21" s="11" t="str">
        <x:f>IF(E21&gt;'المرجع'!$F$3,"متقدم",IF(E21&lt;='المرجع'!$F$2,"أولي","جزئي"))</x:f>
        <x:v>جزئي</x:v>
      </x:c>
    </x:row>
    <x:row r="22">
      <x:c r="A22" s="4" t="s">
        <x:v>69</x:v>
      </x:c>
      <x:c r="B22" s="4" t="s">
        <x:v>70</x:v>
      </x:c>
      <x:c r="C22" s="4" t="s">
        <x:v>147</x:v>
      </x:c>
      <x:c r="D22" s="6" t="s">
        <x:v>43</x:v>
      </x:c>
      <x:c r="E22" s="10" t="n">
        <x:f>SUMIFS('الإدخال والحساب'!$I$2:$I$289,'الإدخال والحساب'!$D$2:$D$289,$C22,'الإدخال والحساب'!$E$2:$E$289,$D22)</x:f>
        <x:v>42.7</x:v>
      </x:c>
      <x:c r="F22" s="11" t="str">
        <x:f>IF(E22&gt;'المرجع'!$F$3,"متقدم",IF(E22&lt;='المرجع'!$F$2,"أولي","جزئي"))</x:f>
        <x:v>جزئي</x:v>
      </x:c>
    </x:row>
    <x:row r="23">
      <x:c r="A23" s="4" t="s">
        <x:v>69</x:v>
      </x:c>
      <x:c r="B23" s="4" t="s">
        <x:v>70</x:v>
      </x:c>
      <x:c r="C23" s="4" t="s">
        <x:v>166</x:v>
      </x:c>
      <x:c r="D23" s="6" t="s">
        <x:v>21</x:v>
      </x:c>
      <x:c r="E23" s="10" t="n">
        <x:f ca="1">SUMIFS('الإدخال والحساب'!$I$2:$I$289,'الإدخال والحساب'!$D$2:$D$289,$C23,'الإدخال والحساب'!$E$2:$E$289,$D23)</x:f>
        <x:v>44.4165</x:v>
      </x:c>
      <x:c r="F23" s="11" t="str">
        <x:f ca="1">IF(E23&gt;'المرجع'!$F$3,"متقدم",IF(E23&lt;='المرجع'!$F$2,"أولي","جزئي"))</x:f>
        <x:v>جزئي</x:v>
      </x:c>
    </x:row>
    <x:row r="24">
      <x:c r="A24" s="4" t="s">
        <x:v>69</x:v>
      </x:c>
      <x:c r="B24" s="4" t="s">
        <x:v>70</x:v>
      </x:c>
      <x:c r="C24" s="4" t="s">
        <x:v>166</x:v>
      </x:c>
      <x:c r="D24" s="6" t="s">
        <x:v>34</x:v>
      </x:c>
      <x:c r="E24" s="10" t="n">
        <x:f>SUMIFS('الإدخال والحساب'!$I$2:$I$289,'الإدخال والحساب'!$D$2:$D$289,$C24,'الإدخال والحساب'!$E$2:$E$289,$D24)</x:f>
        <x:v>61.900000000000006</x:v>
      </x:c>
      <x:c r="F24" s="11" t="str">
        <x:f>IF(E24&gt;'المرجع'!$F$3,"متقدم",IF(E24&lt;='المرجع'!$F$2,"أولي","جزئي"))</x:f>
        <x:v>جزئي</x:v>
      </x:c>
    </x:row>
    <x:row r="25">
      <x:c r="A25" s="4" t="s">
        <x:v>69</x:v>
      </x:c>
      <x:c r="B25" s="4" t="s">
        <x:v>70</x:v>
      </x:c>
      <x:c r="C25" s="4" t="s">
        <x:v>166</x:v>
      </x:c>
      <x:c r="D25" s="6" t="s">
        <x:v>43</x:v>
      </x:c>
      <x:c r="E25" s="10" t="n">
        <x:f>SUMIFS('الإدخال والحساب'!$I$2:$I$289,'الإدخال والحساب'!$D$2:$D$289,$C25,'الإدخال والحساب'!$E$2:$E$289,$D25)</x:f>
        <x:v>40.05</x:v>
      </x:c>
      <x:c r="F25" s="11" t="str">
        <x:f>IF(E25&gt;'المرجع'!$F$3,"متقدم",IF(E25&lt;='المرجع'!$F$2,"أولي","جزئي"))</x:f>
        <x:v>جزئي</x:v>
      </x:c>
    </x:row>
    <x:row r="26">
      <x:c r="A26" s="4" t="s">
        <x:v>69</x:v>
      </x:c>
      <x:c r="B26" s="4" t="s">
        <x:v>70</x:v>
      </x:c>
      <x:c r="C26" s="4" t="s">
        <x:v>185</x:v>
      </x:c>
      <x:c r="D26" s="6" t="s">
        <x:v>21</x:v>
      </x:c>
      <x:c r="E26" s="10" t="n">
        <x:f ca="1">SUMIFS('الإدخال والحساب'!$I$2:$I$289,'الإدخال والحساب'!$D$2:$D$289,$C26,'الإدخال والحساب'!$E$2:$E$289,$D26)</x:f>
        <x:v>35.971000000000004</x:v>
      </x:c>
      <x:c r="F26" s="11" t="str">
        <x:f ca="1">IF(E26&gt;'المرجع'!$F$3,"متقدم",IF(E26&lt;='المرجع'!$F$2,"أولي","جزئي"))</x:f>
        <x:v>جزئي</x:v>
      </x:c>
    </x:row>
    <x:row r="27">
      <x:c r="A27" s="4" t="s">
        <x:v>69</x:v>
      </x:c>
      <x:c r="B27" s="4" t="s">
        <x:v>70</x:v>
      </x:c>
      <x:c r="C27" s="4" t="s">
        <x:v>185</x:v>
      </x:c>
      <x:c r="D27" s="6" t="s">
        <x:v>34</x:v>
      </x:c>
      <x:c r="E27" s="10" t="n">
        <x:f>SUMIFS('الإدخال والحساب'!$I$2:$I$289,'الإدخال والحساب'!$D$2:$D$289,$C27,'الإدخال والحساب'!$E$2:$E$289,$D27)</x:f>
        <x:v>59.85</x:v>
      </x:c>
      <x:c r="F27" s="11" t="str">
        <x:f>IF(E27&gt;'المرجع'!$F$3,"متقدم",IF(E27&lt;='المرجع'!$F$2,"أولي","جزئي"))</x:f>
        <x:v>جزئي</x:v>
      </x:c>
    </x:row>
    <x:row r="28">
      <x:c r="A28" s="4" t="s">
        <x:v>69</x:v>
      </x:c>
      <x:c r="B28" s="4" t="s">
        <x:v>70</x:v>
      </x:c>
      <x:c r="C28" s="4" t="s">
        <x:v>185</x:v>
      </x:c>
      <x:c r="D28" s="6" t="s">
        <x:v>43</x:v>
      </x:c>
      <x:c r="E28" s="10" t="n">
        <x:f>SUMIFS('الإدخال والحساب'!$I$2:$I$289,'الإدخال والحساب'!$D$2:$D$289,$C28,'الإدخال والحساب'!$E$2:$E$289,$D28)</x:f>
        <x:v>22.7</x:v>
      </x:c>
      <x:c r="F28" s="11" t="str">
        <x:f>IF(E28&gt;'المرجع'!$F$3,"متقدم",IF(E28&lt;='المرجع'!$F$2,"أولي","جزئي"))</x:f>
        <x:v>أولي</x:v>
      </x:c>
    </x:row>
    <x:row r="29">
      <x:c r="A29" s="4" t="s">
        <x:v>69</x:v>
      </x:c>
      <x:c r="B29" s="4" t="s">
        <x:v>204</x:v>
      </x:c>
      <x:c r="C29" s="4" t="s">
        <x:v>205</x:v>
      </x:c>
      <x:c r="D29" s="6" t="s">
        <x:v>21</x:v>
      </x:c>
      <x:c r="E29" s="10" t="n">
        <x:f ca="1">SUMIFS('الإدخال والحساب'!$I$2:$I$289,'الإدخال والحساب'!$D$2:$D$289,$C29,'الإدخال والحساب'!$E$2:$E$289,$D29)</x:f>
        <x:v>47.17400000000001</x:v>
      </x:c>
      <x:c r="F29" s="11" t="str">
        <x:f ca="1">IF(E29&gt;'المرجع'!$F$3,"متقدم",IF(E29&lt;='المرجع'!$F$2,"أولي","جزئي"))</x:f>
        <x:v>جزئي</x:v>
      </x:c>
    </x:row>
    <x:row r="30">
      <x:c r="A30" s="4" t="s">
        <x:v>69</x:v>
      </x:c>
      <x:c r="B30" s="4" t="s">
        <x:v>204</x:v>
      </x:c>
      <x:c r="C30" s="4" t="s">
        <x:v>205</x:v>
      </x:c>
      <x:c r="D30" s="6" t="s">
        <x:v>34</x:v>
      </x:c>
      <x:c r="E30" s="10" t="n">
        <x:f>SUMIFS('الإدخال والحساب'!$I$2:$I$289,'الإدخال والحساب'!$D$2:$D$289,$C30,'الإدخال والحساب'!$E$2:$E$289,$D30)</x:f>
        <x:v>60.199999999999996</x:v>
      </x:c>
      <x:c r="F30" s="11" t="str">
        <x:f>IF(E30&gt;'المرجع'!$F$3,"متقدم",IF(E30&lt;='المرجع'!$F$2,"أولي","جزئي"))</x:f>
        <x:v>جزئي</x:v>
      </x:c>
    </x:row>
    <x:row r="31">
      <x:c r="A31" s="4" t="s">
        <x:v>69</x:v>
      </x:c>
      <x:c r="B31" s="4" t="s">
        <x:v>204</x:v>
      </x:c>
      <x:c r="C31" s="4" t="s">
        <x:v>205</x:v>
      </x:c>
      <x:c r="D31" s="6" t="s">
        <x:v>43</x:v>
      </x:c>
      <x:c r="E31" s="10" t="n">
        <x:f>SUMIFS('الإدخال والحساب'!$I$2:$I$289,'الإدخال والحساب'!$D$2:$D$289,$C31,'الإدخال والحساب'!$E$2:$E$289,$D31)</x:f>
        <x:v>41.5</x:v>
      </x:c>
      <x:c r="F31" s="11" t="str">
        <x:f>IF(E31&gt;'المرجع'!$F$3,"متقدم",IF(E31&lt;='المرجع'!$F$2,"أولي","جزئي"))</x:f>
        <x:v>جزئي</x:v>
      </x:c>
    </x:row>
    <x:row r="32">
      <x:c r="A32" s="4" t="s">
        <x:v>69</x:v>
      </x:c>
      <x:c r="B32" s="4" t="s">
        <x:v>204</x:v>
      </x:c>
      <x:c r="C32" s="4" t="s">
        <x:v>224</x:v>
      </x:c>
      <x:c r="D32" s="6" t="s">
        <x:v>21</x:v>
      </x:c>
      <x:c r="E32" s="10" t="n">
        <x:f ca="1">SUMIFS('الإدخال والحساب'!$I$2:$I$289,'الإدخال والحساب'!$D$2:$D$289,$C32,'الإدخال والحساب'!$E$2:$E$289,$D32)</x:f>
        <x:v>45.238</x:v>
      </x:c>
      <x:c r="F32" s="11" t="str">
        <x:f ca="1">IF(E32&gt;'المرجع'!$F$3,"متقدم",IF(E32&lt;='المرجع'!$F$2,"أولي","جزئي"))</x:f>
        <x:v>جزئي</x:v>
      </x:c>
    </x:row>
    <x:row r="33">
      <x:c r="A33" s="4" t="s">
        <x:v>69</x:v>
      </x:c>
      <x:c r="B33" s="4" t="s">
        <x:v>204</x:v>
      </x:c>
      <x:c r="C33" s="4" t="s">
        <x:v>224</x:v>
      </x:c>
      <x:c r="D33" s="6" t="s">
        <x:v>34</x:v>
      </x:c>
      <x:c r="E33" s="10" t="n">
        <x:f>SUMIFS('الإدخال والحساب'!$I$2:$I$289,'الإدخال والحساب'!$D$2:$D$289,$C33,'الإدخال والحساب'!$E$2:$E$289,$D33)</x:f>
        <x:v>66.45</x:v>
      </x:c>
      <x:c r="F33" s="11" t="str">
        <x:f>IF(E33&gt;'المرجع'!$F$3,"متقدم",IF(E33&lt;='المرجع'!$F$2,"أولي","جزئي"))</x:f>
        <x:v>جزئي</x:v>
      </x:c>
    </x:row>
    <x:row r="34">
      <x:c r="A34" s="4" t="s">
        <x:v>69</x:v>
      </x:c>
      <x:c r="B34" s="4" t="s">
        <x:v>204</x:v>
      </x:c>
      <x:c r="C34" s="4" t="s">
        <x:v>224</x:v>
      </x:c>
      <x:c r="D34" s="6" t="s">
        <x:v>43</x:v>
      </x:c>
      <x:c r="E34" s="10" t="n">
        <x:f>SUMIFS('الإدخال والحساب'!$I$2:$I$289,'الإدخال والحساب'!$D$2:$D$289,$C34,'الإدخال والحساب'!$E$2:$E$289,$D34)</x:f>
        <x:v>43.95</x:v>
      </x:c>
      <x:c r="F34" s="11" t="str">
        <x:f>IF(E34&gt;'المرجع'!$F$3,"متقدم",IF(E34&lt;='المرجع'!$F$2,"أولي","جزئي"))</x:f>
        <x:v>جزئي</x:v>
      </x:c>
    </x:row>
    <x:row r="35">
      <x:c r="A35" s="4" t="s">
        <x:v>69</x:v>
      </x:c>
      <x:c r="B35" s="4" t="s">
        <x:v>204</x:v>
      </x:c>
      <x:c r="C35" s="4" t="s">
        <x:v>243</x:v>
      </x:c>
      <x:c r="D35" s="6" t="s">
        <x:v>21</x:v>
      </x:c>
      <x:c r="E35" s="10" t="n">
        <x:f ca="1">SUMIFS('الإدخال والحساب'!$I$2:$I$289,'الإدخال والحساب'!$D$2:$D$289,$C35,'الإدخال والحساب'!$E$2:$E$289,$D35)</x:f>
        <x:v>40.5575</x:v>
      </x:c>
      <x:c r="F35" s="11" t="str">
        <x:f ca="1">IF(E35&gt;'المرجع'!$F$3,"متقدم",IF(E35&lt;='المرجع'!$F$2,"أولي","جزئي"))</x:f>
        <x:v>جزئي</x:v>
      </x:c>
    </x:row>
    <x:row r="36">
      <x:c r="A36" s="4" t="s">
        <x:v>69</x:v>
      </x:c>
      <x:c r="B36" s="4" t="s">
        <x:v>204</x:v>
      </x:c>
      <x:c r="C36" s="4" t="s">
        <x:v>243</x:v>
      </x:c>
      <x:c r="D36" s="6" t="s">
        <x:v>34</x:v>
      </x:c>
      <x:c r="E36" s="10" t="n">
        <x:f>SUMIFS('الإدخال والحساب'!$I$2:$I$289,'الإدخال والحساب'!$D$2:$D$289,$C36,'الإدخال والحساب'!$E$2:$E$289,$D36)</x:f>
        <x:v>55.10000000000001</x:v>
      </x:c>
      <x:c r="F36" s="11" t="str">
        <x:f>IF(E36&gt;'المرجع'!$F$3,"متقدم",IF(E36&lt;='المرجع'!$F$2,"أولي","جزئي"))</x:f>
        <x:v>جزئي</x:v>
      </x:c>
    </x:row>
    <x:row r="37">
      <x:c r="A37" s="4" t="s">
        <x:v>69</x:v>
      </x:c>
      <x:c r="B37" s="4" t="s">
        <x:v>204</x:v>
      </x:c>
      <x:c r="C37" s="4" t="s">
        <x:v>243</x:v>
      </x:c>
      <x:c r="D37" s="6" t="s">
        <x:v>43</x:v>
      </x:c>
      <x:c r="E37" s="10" t="n">
        <x:f>SUMIFS('الإدخال والحساب'!$I$2:$I$289,'الإدخال والحساب'!$D$2:$D$289,$C37,'الإدخال والحساب'!$E$2:$E$289,$D37)</x:f>
        <x:v>37.55</x:v>
      </x:c>
      <x:c r="F37" s="11" t="str">
        <x:f>IF(E37&gt;'المرجع'!$F$3,"متقدم",IF(E37&lt;='المرجع'!$F$2,"أولي","جزئي"))</x:f>
        <x:v>جزئي</x:v>
      </x:c>
    </x:row>
    <x:row r="38">
      <x:c r="A38" s="4" t="s">
        <x:v>69</x:v>
      </x:c>
      <x:c r="B38" s="4" t="s">
        <x:v>262</x:v>
      </x:c>
      <x:c r="C38" s="4" t="s">
        <x:v>262</x:v>
      </x:c>
      <x:c r="D38" s="6" t="s">
        <x:v>21</x:v>
      </x:c>
      <x:c r="E38" s="10" t="n">
        <x:f ca="1">SUMIFS('الإدخال والحساب'!$I$2:$I$289,'الإدخال والحساب'!$D$2:$D$289,$C38,'الإدخال والحساب'!$E$2:$E$289,$D38)</x:f>
        <x:v>46.087999999999994</x:v>
      </x:c>
      <x:c r="F38" s="11" t="str">
        <x:f ca="1">IF(E38&gt;'المرجع'!$F$3,"متقدم",IF(E38&lt;='المرجع'!$F$2,"أولي","جزئي"))</x:f>
        <x:v>جزئي</x:v>
      </x:c>
    </x:row>
    <x:row r="39">
      <x:c r="A39" s="4" t="s">
        <x:v>69</x:v>
      </x:c>
      <x:c r="B39" s="4" t="s">
        <x:v>262</x:v>
      </x:c>
      <x:c r="C39" s="4" t="s">
        <x:v>262</x:v>
      </x:c>
      <x:c r="D39" s="6" t="s">
        <x:v>34</x:v>
      </x:c>
      <x:c r="E39" s="10" t="n">
        <x:f>SUMIFS('الإدخال والحساب'!$I$2:$I$289,'الإدخال والحساب'!$D$2:$D$289,$C39,'الإدخال والحساب'!$E$2:$E$289,$D39)</x:f>
        <x:v>70.55</x:v>
      </x:c>
      <x:c r="F39" s="11" t="str">
        <x:f>IF(E39&gt;'المرجع'!$F$3,"متقدم",IF(E39&lt;='المرجع'!$F$2,"أولي","جزئي"))</x:f>
        <x:v>متقدم</x:v>
      </x:c>
    </x:row>
    <x:row r="40">
      <x:c r="A40" s="4" t="s">
        <x:v>69</x:v>
      </x:c>
      <x:c r="B40" s="4" t="s">
        <x:v>262</x:v>
      </x:c>
      <x:c r="C40" s="4" t="s">
        <x:v>262</x:v>
      </x:c>
      <x:c r="D40" s="6" t="s">
        <x:v>43</x:v>
      </x:c>
      <x:c r="E40" s="10" t="n">
        <x:f>SUMIFS('الإدخال والحساب'!$I$2:$I$289,'الإدخال والحساب'!$D$2:$D$289,$C40,'الإدخال والحساب'!$E$2:$E$289,$D40)</x:f>
        <x:v>44.7</x:v>
      </x:c>
      <x:c r="F40" s="11" t="str">
        <x:f>IF(E40&gt;'المرجع'!$F$3,"متقدم",IF(E40&lt;='المرجع'!$F$2,"أولي","جزئي"))</x:f>
        <x:v>جزئي</x:v>
      </x:c>
    </x:row>
    <x:row r="41">
      <x:c r="A41" s="4" t="s">
        <x:v>69</x:v>
      </x:c>
      <x:c r="B41" s="4" t="s">
        <x:v>281</x:v>
      </x:c>
      <x:c r="C41" s="4" t="s">
        <x:v>281</x:v>
      </x:c>
      <x:c r="D41" s="6" t="s">
        <x:v>21</x:v>
      </x:c>
      <x:c r="E41" s="10" t="n">
        <x:f ca="1">SUMIFS('الإدخال والحساب'!$I$2:$I$289,'الإدخال والحساب'!$D$2:$D$289,$C41,'الإدخال والحساب'!$E$2:$E$289,$D41)</x:f>
        <x:v>71.9315</x:v>
      </x:c>
      <x:c r="F41" s="11" t="str">
        <x:f ca="1">IF(E41&gt;'المرجع'!$F$3,"متقدم",IF(E41&lt;='المرجع'!$F$2,"أولي","جزئي"))</x:f>
        <x:v>متقدم</x:v>
      </x:c>
    </x:row>
    <x:row r="42">
      <x:c r="A42" s="4" t="s">
        <x:v>69</x:v>
      </x:c>
      <x:c r="B42" s="4" t="s">
        <x:v>281</x:v>
      </x:c>
      <x:c r="C42" s="4" t="s">
        <x:v>281</x:v>
      </x:c>
      <x:c r="D42" s="6" t="s">
        <x:v>34</x:v>
      </x:c>
      <x:c r="E42" s="10" t="n">
        <x:f>SUMIFS('الإدخال والحساب'!$I$2:$I$289,'الإدخال والحساب'!$D$2:$D$289,$C42,'الإدخال والحساب'!$E$2:$E$289,$D42)</x:f>
        <x:v>61.1</x:v>
      </x:c>
      <x:c r="F42" s="11" t="str">
        <x:f>IF(E42&gt;'المرجع'!$F$3,"متقدم",IF(E42&lt;='المرجع'!$F$2,"أولي","جزئي"))</x:f>
        <x:v>جزئي</x:v>
      </x:c>
    </x:row>
    <x:row r="43">
      <x:c r="A43" s="4" t="s">
        <x:v>69</x:v>
      </x:c>
      <x:c r="B43" s="4" t="s">
        <x:v>281</x:v>
      </x:c>
      <x:c r="C43" s="4" t="s">
        <x:v>281</x:v>
      </x:c>
      <x:c r="D43" s="6" t="s">
        <x:v>43</x:v>
      </x:c>
      <x:c r="E43" s="10" t="n">
        <x:f>SUMIFS('الإدخال والحساب'!$I$2:$I$289,'الإدخال والحساب'!$D$2:$D$289,$C43,'الإدخال والحساب'!$E$2:$E$289,$D43)</x:f>
        <x:v>43</x:v>
      </x:c>
      <x:c r="F43" s="11" t="str">
        <x:f>IF(E43&gt;'المرجع'!$F$3,"متقدم",IF(E43&lt;='المرجع'!$F$2,"أولي","جزئي"))</x:f>
        <x:v>جزئي</x:v>
      </x:c>
    </x:row>
    <x:row r="44">
      <x:c r="A44" s="4" t="s">
        <x:v>69</x:v>
      </x:c>
      <x:c r="B44" s="4" t="s">
        <x:v>300</x:v>
      </x:c>
      <x:c r="C44" s="4" t="s">
        <x:v>300</x:v>
      </x:c>
      <x:c r="D44" s="6" t="s">
        <x:v>21</x:v>
      </x:c>
      <x:c r="E44" s="10" t="n">
        <x:f ca="1">SUMIFS('الإدخال والحساب'!$I$2:$I$289,'الإدخال والحساب'!$D$2:$D$289,$C44,'الإدخال والحساب'!$E$2:$E$289,$D44)</x:f>
        <x:v>51.3995</x:v>
      </x:c>
      <x:c r="F44" s="11" t="str">
        <x:f ca="1">IF(E44&gt;'المرجع'!$F$3,"متقدم",IF(E44&lt;='المرجع'!$F$2,"أولي","جزئي"))</x:f>
        <x:v>جزئي</x:v>
      </x:c>
    </x:row>
    <x:row r="45">
      <x:c r="A45" s="4" t="s">
        <x:v>69</x:v>
      </x:c>
      <x:c r="B45" s="4" t="s">
        <x:v>300</x:v>
      </x:c>
      <x:c r="C45" s="4" t="s">
        <x:v>300</x:v>
      </x:c>
      <x:c r="D45" s="6" t="s">
        <x:v>34</x:v>
      </x:c>
      <x:c r="E45" s="10" t="n">
        <x:f>SUMIFS('الإدخال والحساب'!$I$2:$I$289,'الإدخال والحساب'!$D$2:$D$289,$C45,'الإدخال والحساب'!$E$2:$E$289,$D45)</x:f>
        <x:v>57.099999999999994</x:v>
      </x:c>
      <x:c r="F45" s="11" t="str">
        <x:f>IF(E45&gt;'المرجع'!$F$3,"متقدم",IF(E45&lt;='المرجع'!$F$2,"أولي","جزئي"))</x:f>
        <x:v>جزئي</x:v>
      </x:c>
    </x:row>
    <x:row r="46">
      <x:c r="A46" s="4" t="s">
        <x:v>69</x:v>
      </x:c>
      <x:c r="B46" s="4" t="s">
        <x:v>300</x:v>
      </x:c>
      <x:c r="C46" s="4" t="s">
        <x:v>300</x:v>
      </x:c>
      <x:c r="D46" s="6" t="s">
        <x:v>43</x:v>
      </x:c>
      <x:c r="E46" s="10" t="n">
        <x:f>SUMIFS('الإدخال والحساب'!$I$2:$I$289,'الإدخال والحساب'!$D$2:$D$289,$C46,'الإدخال والحساب'!$E$2:$E$289,$D46)</x:f>
        <x:v>42.85</x:v>
      </x:c>
      <x:c r="F46" s="11" t="str">
        <x:f>IF(E46&gt;'المرجع'!$F$3,"متقدم",IF(E46&lt;='المرجع'!$F$2,"أولي","جزئي"))</x:f>
        <x:v>جزئي</x:v>
      </x:c>
    </x:row>
    <x:row r="47">
      <x:c r="A47" s="4" t="s">
        <x:v>69</x:v>
      </x:c>
      <x:c r="B47" s="4" t="s">
        <x:v>319</x:v>
      </x:c>
      <x:c r="C47" s="4" t="s">
        <x:v>319</x:v>
      </x:c>
      <x:c r="D47" s="6" t="s">
        <x:v>21</x:v>
      </x:c>
      <x:c r="E47" s="10" t="n">
        <x:f ca="1">SUMIFS('الإدخال والحساب'!$I$2:$I$289,'الإدخال والحساب'!$D$2:$D$289,$C47,'الإدخال والحساب'!$E$2:$E$289,$D47)</x:f>
        <x:v>56.385999999999996</x:v>
      </x:c>
      <x:c r="F47" s="11" t="str">
        <x:f ca="1">IF(E47&gt;'المرجع'!$F$3,"متقدم",IF(E47&lt;='المرجع'!$F$2,"أولي","جزئي"))</x:f>
        <x:v>جزئي</x:v>
      </x:c>
    </x:row>
    <x:row r="48">
      <x:c r="A48" s="4" t="s">
        <x:v>69</x:v>
      </x:c>
      <x:c r="B48" s="4" t="s">
        <x:v>319</x:v>
      </x:c>
      <x:c r="C48" s="4" t="s">
        <x:v>319</x:v>
      </x:c>
      <x:c r="D48" s="6" t="s">
        <x:v>34</x:v>
      </x:c>
      <x:c r="E48" s="10" t="n">
        <x:f>SUMIFS('الإدخال والحساب'!$I$2:$I$289,'الإدخال والحساب'!$D$2:$D$289,$C48,'الإدخال والحساب'!$E$2:$E$289,$D48)</x:f>
        <x:v>66.95</x:v>
      </x:c>
      <x:c r="F48" s="11" t="str">
        <x:f>IF(E48&gt;'المرجع'!$F$3,"متقدم",IF(E48&lt;='المرجع'!$F$2,"أولي","جزئي"))</x:f>
        <x:v>جزئي</x:v>
      </x:c>
    </x:row>
    <x:row r="49">
      <x:c r="A49" s="4" t="s">
        <x:v>69</x:v>
      </x:c>
      <x:c r="B49" s="4" t="s">
        <x:v>319</x:v>
      </x:c>
      <x:c r="C49" s="4" t="s">
        <x:v>319</x:v>
      </x:c>
      <x:c r="D49" s="6" t="s">
        <x:v>43</x:v>
      </x:c>
      <x:c r="E49" s="10" t="n">
        <x:f>SUMIFS('الإدخال والحساب'!$I$2:$I$289,'الإدخال والحساب'!$D$2:$D$289,$C49,'الإدخال والحساب'!$E$2:$E$289,$D49)</x:f>
        <x:v>39.25</x:v>
      </x:c>
      <x:c r="F49" s="11" t="str">
        <x:f>IF(E49&gt;'المرجع'!$F$3,"متقدم",IF(E49&lt;='المرجع'!$F$2,"أولي","جزئي"))</x:f>
        <x:v>جزئي</x:v>
      </x:c>
    </x:row>
  </x:sheetData>
  <x:conditionalFormatting sqref="E2:E49">
    <x:cfRule type="cellIs" dxfId="5" priority="2" operator="greaterThan">
      <x:formula>70</x:formula>
    </x:cfRule>
    <x:cfRule type="cellIs" dxfId="4" priority="3" operator="between">
      <x:formula>31</x:formula>
      <x:formula>70</x:formula>
    </x:cfRule>
    <x:cfRule type="cellIs" dxfId="3" priority="4" operator="lessThanOrEqual">
      <x:formula>30</x:formula>
    </x:cfRule>
  </x:conditionalFormatting>
  <x:conditionalFormatting sqref="F2:F49">
    <x:cfRule type="cellIs" dxfId="2" priority="5" operator="equal">
      <x:formula>"متقدم"</x:formula>
    </x:cfRule>
    <x:cfRule type="cellIs" dxfId="1" priority="6" operator="equal">
      <x:formula>"جزئي"</x:formula>
    </x:cfRule>
    <x:cfRule type="cellIs" dxfId="0" priority="7" operator="equal">
      <x:formula>"أولي"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3046875" defaultRowHeight="14.25"/>
  <x:cols>
    <x:col min="1" max="1" width="12" customWidth="1"/>
    <x:col min="2" max="2" width="26" customWidth="1"/>
    <x:col min="3" max="3" width="8" customWidth="1"/>
    <x:col min="4" max="4" width="3" customWidth="1"/>
    <x:col min="5" max="5" width="22" customWidth="1"/>
    <x:col min="6" max="6" width="8" customWidth="1"/>
  </x:cols>
  <x:sheetData>
    <x:row r="1">
      <x:c r="A1" s="3" t="s">
        <x:v>13</x:v>
      </x:c>
      <x:c r="B1" s="3" t="s">
        <x:v>14</x:v>
      </x:c>
      <x:c r="C1" s="3" t="s">
        <x:v>343</x:v>
      </x:c>
      <x:c r="E1" s="12" t="s">
        <x:v>344</x:v>
      </x:c>
    </x:row>
    <x:row r="2">
      <x:c r="A2" s="4" t="s">
        <x:v>21</x:v>
      </x:c>
      <x:c r="B2" s="4" t="s">
        <x:v>22</x:v>
      </x:c>
      <x:c r="C2" s="13">
        <x:v>25</x:v>
      </x:c>
      <x:c r="E2" s="14" t="s">
        <x:v>345</x:v>
      </x:c>
      <x:c r="F2" s="15">
        <x:v>30</x:v>
      </x:c>
    </x:row>
    <x:row r="3">
      <x:c r="A3" s="4" t="s">
        <x:v>21</x:v>
      </x:c>
      <x:c r="B3" s="4" t="s">
        <x:v>24</x:v>
      </x:c>
      <x:c r="C3" s="13">
        <x:v>15</x:v>
      </x:c>
      <x:c r="E3" s="14" t="s">
        <x:v>346</x:v>
      </x:c>
      <x:c r="F3" s="15">
        <x:v>70</x:v>
      </x:c>
    </x:row>
    <x:row r="4">
      <x:c r="A4" s="4" t="s">
        <x:v>21</x:v>
      </x:c>
      <x:c r="B4" s="4" t="s">
        <x:v>26</x:v>
      </x:c>
      <x:c r="C4" s="13">
        <x:v>15</x:v>
      </x:c>
      <x:c r="E4" s="16" t="s">
        <x:v>347</x:v>
      </x:c>
    </x:row>
    <x:row r="5">
      <x:c r="A5" s="4" t="s">
        <x:v>21</x:v>
      </x:c>
      <x:c r="B5" s="4" t="s">
        <x:v>28</x:v>
      </x:c>
      <x:c r="C5" s="13">
        <x:v>20</x:v>
      </x:c>
    </x:row>
    <x:row r="6">
      <x:c r="A6" s="4" t="s">
        <x:v>21</x:v>
      </x:c>
      <x:c r="B6" s="4" t="s">
        <x:v>30</x:v>
      </x:c>
      <x:c r="C6" s="13">
        <x:v>20</x:v>
      </x:c>
    </x:row>
    <x:row r="7">
      <x:c r="A7" s="4" t="s">
        <x:v>21</x:v>
      </x:c>
      <x:c r="B7" s="4" t="s">
        <x:v>32</x:v>
      </x:c>
      <x:c r="C7" s="13">
        <x:v>5</x:v>
      </x:c>
    </x:row>
    <x:row r="8">
      <x:c r="A8" s="4" t="s">
        <x:v>34</x:v>
      </x:c>
      <x:c r="B8" s="4" t="s">
        <x:v>22</x:v>
      </x:c>
      <x:c r="C8" s="13">
        <x:v>15</x:v>
      </x:c>
    </x:row>
    <x:row r="9">
      <x:c r="A9" s="4" t="s">
        <x:v>34</x:v>
      </x:c>
      <x:c r="B9" s="4" t="s">
        <x:v>24</x:v>
      </x:c>
      <x:c r="C9" s="13">
        <x:v>15</x:v>
      </x:c>
    </x:row>
    <x:row r="10">
      <x:c r="A10" s="4" t="s">
        <x:v>34</x:v>
      </x:c>
      <x:c r="B10" s="4" t="s">
        <x:v>26</x:v>
      </x:c>
      <x:c r="C10" s="13">
        <x:v>15</x:v>
      </x:c>
    </x:row>
    <x:row r="11">
      <x:c r="A11" s="4" t="s">
        <x:v>34</x:v>
      </x:c>
      <x:c r="B11" s="4" t="s">
        <x:v>28</x:v>
      </x:c>
      <x:c r="C11" s="13">
        <x:v>20</x:v>
      </x:c>
    </x:row>
    <x:row r="12">
      <x:c r="A12" s="4" t="s">
        <x:v>34</x:v>
      </x:c>
      <x:c r="B12" s="4" t="s">
        <x:v>30</x:v>
      </x:c>
      <x:c r="C12" s="13">
        <x:v>25</x:v>
      </x:c>
    </x:row>
    <x:row r="13">
      <x:c r="A13" s="4" t="s">
        <x:v>34</x:v>
      </x:c>
      <x:c r="B13" s="4" t="s">
        <x:v>32</x:v>
      </x:c>
      <x:c r="C13" s="13">
        <x:v>5</x:v>
      </x:c>
    </x:row>
    <x:row r="14">
      <x:c r="A14" s="4" t="s">
        <x:v>34</x:v>
      </x:c>
      <x:c r="B14" s="4" t="s">
        <x:v>41</x:v>
      </x:c>
      <x:c r="C14" s="13">
        <x:v>5</x:v>
      </x:c>
    </x:row>
    <x:row r="15">
      <x:c r="A15" s="4" t="s">
        <x:v>43</x:v>
      </x:c>
      <x:c r="B15" s="4" t="s">
        <x:v>24</x:v>
      </x:c>
      <x:c r="C15" s="13">
        <x:v>25</x:v>
      </x:c>
    </x:row>
    <x:row r="16">
      <x:c r="A16" s="4" t="s">
        <x:v>43</x:v>
      </x:c>
      <x:c r="B16" s="4" t="s">
        <x:v>26</x:v>
      </x:c>
      <x:c r="C16" s="13">
        <x:v>15</x:v>
      </x:c>
    </x:row>
    <x:row r="17">
      <x:c r="A17" s="4" t="s">
        <x:v>43</x:v>
      </x:c>
      <x:c r="B17" s="4" t="s">
        <x:v>30</x:v>
      </x:c>
      <x:c r="C17" s="13">
        <x:v>15</x:v>
      </x:c>
    </x:row>
    <x:row r="18">
      <x:c r="A18" s="4" t="s">
        <x:v>43</x:v>
      </x:c>
      <x:c r="B18" s="4" t="s">
        <x:v>32</x:v>
      </x:c>
      <x:c r="C18" s="13">
        <x:v>15</x:v>
      </x:c>
    </x:row>
    <x:row r="19">
      <x:c r="A19" s="4" t="s">
        <x:v>43</x:v>
      </x:c>
      <x:c r="B19" s="4" t="s">
        <x:v>48</x:v>
      </x:c>
      <x:c r="C19" s="13">
        <x:v>30</x:v>
      </x:c>
    </x:row>
  </x:sheetData>
  <x:pageMargins left="0.7" right="0.7" top="0.75" bottom="0.75" header="0.3" footer="0.3"/>
</x:worksheet>
</file>